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907"/>
  <workbookPr codeName="ThisWorkbook"/>
  <mc:AlternateContent xmlns:mc="http://schemas.openxmlformats.org/markup-compatibility/2006">
    <mc:Choice Requires="x15">
      <x15ac:absPath xmlns:x15ac="http://schemas.microsoft.com/office/spreadsheetml/2010/11/ac" url="D:\ASELBYTONTINE_2025\"/>
    </mc:Choice>
  </mc:AlternateContent>
  <xr:revisionPtr revIDLastSave="0" documentId="13_ncr:1_{62BB84D2-46A1-46AA-91F9-2EC5B7D716C8}" xr6:coauthVersionLast="37" xr6:coauthVersionMax="37" xr10:uidLastSave="{00000000-0000-0000-0000-000000000000}"/>
  <bookViews>
    <workbookView xWindow="0" yWindow="0" windowWidth="20490" windowHeight="7100" firstSheet="6" activeTab="11" xr2:uid="{00000000-000D-0000-FFFF-FFFF00000000}"/>
  </bookViews>
  <sheets>
    <sheet name="HISTOJANV25" sheetId="72" r:id="rId1"/>
    <sheet name="HISTOFEV25" sheetId="73" r:id="rId2"/>
    <sheet name="HISTOMARS25" sheetId="74" r:id="rId3"/>
    <sheet name="HISTOAVRIL25" sheetId="75" r:id="rId4"/>
    <sheet name="HISTOMAI25" sheetId="76" r:id="rId5"/>
    <sheet name="HISTOJUIN25" sheetId="77" r:id="rId6"/>
    <sheet name="HISTOJUIL25" sheetId="78" r:id="rId7"/>
    <sheet name="HISTOAOUT25" sheetId="79" r:id="rId8"/>
    <sheet name="HISTOSEPT25" sheetId="80" r:id="rId9"/>
    <sheet name="HISTOOCT25" sheetId="81" r:id="rId10"/>
    <sheet name="HISTONOV25" sheetId="82" r:id="rId11"/>
    <sheet name="HISTODEC25" sheetId="83" r:id="rId12"/>
    <sheet name="HISTORESUME" sheetId="84" r:id="rId13"/>
    <sheet name="HISTOJANV24" sheetId="59" r:id="rId14"/>
    <sheet name="HISTOFEV24" sheetId="60" r:id="rId15"/>
    <sheet name="HISTOMARS24" sheetId="61" r:id="rId16"/>
    <sheet name="HISTOAVRIL24" sheetId="62" r:id="rId17"/>
    <sheet name="HISTOMAI24" sheetId="63" r:id="rId18"/>
    <sheet name="HISTOJUIN24" sheetId="64" r:id="rId19"/>
    <sheet name="HISTOJUIL24" sheetId="65" r:id="rId20"/>
    <sheet name="HISTOAOUT24" sheetId="66" r:id="rId21"/>
    <sheet name="HISTOSEPT24" sheetId="67" r:id="rId22"/>
    <sheet name="HISTOOCT24" sheetId="68" r:id="rId23"/>
    <sheet name="HISTONOV24" sheetId="69" r:id="rId24"/>
    <sheet name="HISTODEC24" sheetId="70" r:id="rId25"/>
    <sheet name="HISTORESUME24" sheetId="71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xlnm._FilterDatabase" localSheetId="20" hidden="1">HISTOAOUT24!$A$6:$F$40</definedName>
    <definedName name="_xlnm._FilterDatabase" localSheetId="7" hidden="1">HISTOAOUT25!$A$4:$F$42</definedName>
    <definedName name="_xlnm._FilterDatabase" localSheetId="16" hidden="1">HISTOAVRIL24!$A$6:$F$40</definedName>
    <definedName name="_xlnm._FilterDatabase" localSheetId="3" hidden="1">HISTOAVRIL25!$A$4:$F$42</definedName>
    <definedName name="_xlnm._FilterDatabase" localSheetId="24" hidden="1">HISTODEC24!$A$6:$F$40</definedName>
    <definedName name="_xlnm._FilterDatabase" localSheetId="11" hidden="1">HISTODEC25!$A$4:$F$42</definedName>
    <definedName name="_xlnm._FilterDatabase" localSheetId="14" hidden="1">HISTOFEV24!$A$6:$F$40</definedName>
    <definedName name="_xlnm._FilterDatabase" localSheetId="1" hidden="1">HISTOFEV25!$A$4:$F$42</definedName>
    <definedName name="_xlnm._FilterDatabase" localSheetId="13" hidden="1">HISTOJANV24!$A$6:$F$40</definedName>
    <definedName name="_xlnm._FilterDatabase" localSheetId="0" hidden="1">HISTOJANV25!$A$4:$F$42</definedName>
    <definedName name="_xlnm._FilterDatabase" localSheetId="19" hidden="1">HISTOJUIL24!$A$6:$F$40</definedName>
    <definedName name="_xlnm._FilterDatabase" localSheetId="6" hidden="1">HISTOJUIL25!$A$4:$F$42</definedName>
    <definedName name="_xlnm._FilterDatabase" localSheetId="18" hidden="1">HISTOJUIN24!$A$6:$F$40</definedName>
    <definedName name="_xlnm._FilterDatabase" localSheetId="5" hidden="1">HISTOJUIN25!$A$4:$F$42</definedName>
    <definedName name="_xlnm._FilterDatabase" localSheetId="17" hidden="1">HISTOMAI24!$A$6:$F$40</definedName>
    <definedName name="_xlnm._FilterDatabase" localSheetId="4" hidden="1">HISTOMAI25!$A$4:$F$42</definedName>
    <definedName name="_xlnm._FilterDatabase" localSheetId="15" hidden="1">HISTOMARS24!$A$6:$F$40</definedName>
    <definedName name="_xlnm._FilterDatabase" localSheetId="2" hidden="1">HISTOMARS25!$A$4:$F$42</definedName>
    <definedName name="_xlnm._FilterDatabase" localSheetId="23" hidden="1">HISTONOV24!$A$6:$F$40</definedName>
    <definedName name="_xlnm._FilterDatabase" localSheetId="10" hidden="1">HISTONOV25!$A$4:$F$42</definedName>
    <definedName name="_xlnm._FilterDatabase" localSheetId="22" hidden="1">HISTOOCT24!$A$6:$F$40</definedName>
    <definedName name="_xlnm._FilterDatabase" localSheetId="9" hidden="1">HISTOOCT25!$A$4:$F$42</definedName>
    <definedName name="_xlnm._FilterDatabase" localSheetId="12" hidden="1">HISTORESUME!$A$4:$F$42</definedName>
    <definedName name="_xlnm._FilterDatabase" localSheetId="25" hidden="1">HISTORESUME24!$A$6:$F$40</definedName>
    <definedName name="_xlnm._FilterDatabase" localSheetId="21" hidden="1">HISTOSEPT24!$A$6:$F$40</definedName>
    <definedName name="_xlnm._FilterDatabase" localSheetId="8" hidden="1">HISTOSEPT25!$A$4:$F$42</definedName>
    <definedName name="BANQUE" localSheetId="20">#REF!</definedName>
    <definedName name="BANQUE" localSheetId="7">#REF!</definedName>
    <definedName name="BANQUE" localSheetId="16">#REF!</definedName>
    <definedName name="BANQUE" localSheetId="3">#REF!</definedName>
    <definedName name="BANQUE" localSheetId="24">#REF!</definedName>
    <definedName name="BANQUE" localSheetId="11">#REF!</definedName>
    <definedName name="BANQUE" localSheetId="14">#REF!</definedName>
    <definedName name="BANQUE" localSheetId="1">#REF!</definedName>
    <definedName name="BANQUE" localSheetId="13">#REF!</definedName>
    <definedName name="BANQUE" localSheetId="0">#REF!</definedName>
    <definedName name="BANQUE" localSheetId="19">#REF!</definedName>
    <definedName name="BANQUE" localSheetId="6">#REF!</definedName>
    <definedName name="BANQUE" localSheetId="18">#REF!</definedName>
    <definedName name="BANQUE" localSheetId="5">#REF!</definedName>
    <definedName name="BANQUE" localSheetId="17">#REF!</definedName>
    <definedName name="BANQUE" localSheetId="4">#REF!</definedName>
    <definedName name="BANQUE" localSheetId="15">#REF!</definedName>
    <definedName name="BANQUE" localSheetId="2">#REF!</definedName>
    <definedName name="BANQUE" localSheetId="23">#REF!</definedName>
    <definedName name="BANQUE" localSheetId="10">#REF!</definedName>
    <definedName name="BANQUE" localSheetId="22">#REF!</definedName>
    <definedName name="BANQUE" localSheetId="9">#REF!</definedName>
    <definedName name="BANQUE" localSheetId="12">#REF!</definedName>
    <definedName name="BANQUE" localSheetId="25">#REF!</definedName>
    <definedName name="BANQUE" localSheetId="21">#REF!</definedName>
    <definedName name="BANQUE" localSheetId="8">#REF!</definedName>
    <definedName name="BANQUE">#REF!</definedName>
    <definedName name="MODEPAID">[1]Feuil2!$A$1:$A$3</definedName>
    <definedName name="MODET25000">[2]MODEVERSEMENT!$A$1:$A$3</definedName>
    <definedName name="MODEVERSEMENT" localSheetId="20">#REF!</definedName>
    <definedName name="MODEVERSEMENT" localSheetId="7">#REF!</definedName>
    <definedName name="MODEVERSEMENT" localSheetId="16">#REF!</definedName>
    <definedName name="MODEVERSEMENT" localSheetId="3">#REF!</definedName>
    <definedName name="MODEVERSEMENT" localSheetId="24">#REF!</definedName>
    <definedName name="MODEVERSEMENT" localSheetId="11">#REF!</definedName>
    <definedName name="MODEVERSEMENT" localSheetId="14">#REF!</definedName>
    <definedName name="MODEVERSEMENT" localSheetId="1">#REF!</definedName>
    <definedName name="MODEVERSEMENT" localSheetId="13">#REF!</definedName>
    <definedName name="MODEVERSEMENT" localSheetId="0">#REF!</definedName>
    <definedName name="MODEVERSEMENT" localSheetId="19">#REF!</definedName>
    <definedName name="MODEVERSEMENT" localSheetId="6">#REF!</definedName>
    <definedName name="MODEVERSEMENT" localSheetId="18">#REF!</definedName>
    <definedName name="MODEVERSEMENT" localSheetId="5">#REF!</definedName>
    <definedName name="MODEVERSEMENT" localSheetId="17">#REF!</definedName>
    <definedName name="MODEVERSEMENT" localSheetId="4">#REF!</definedName>
    <definedName name="MODEVERSEMENT" localSheetId="15">#REF!</definedName>
    <definedName name="MODEVERSEMENT" localSheetId="2">#REF!</definedName>
    <definedName name="MODEVERSEMENT" localSheetId="23">#REF!</definedName>
    <definedName name="MODEVERSEMENT" localSheetId="10">#REF!</definedName>
    <definedName name="MODEVERSEMENT" localSheetId="22">#REF!</definedName>
    <definedName name="MODEVERSEMENT" localSheetId="9">#REF!</definedName>
    <definedName name="MODEVERSEMENT" localSheetId="12">#REF!</definedName>
    <definedName name="MODEVERSEMENT" localSheetId="25">#REF!</definedName>
    <definedName name="MODEVERSEMENT" localSheetId="21">#REF!</definedName>
    <definedName name="MODEVERSEMENT" localSheetId="8">#REF!</definedName>
    <definedName name="MODEVERSEMENT">#REF!</definedName>
    <definedName name="MODEVERSEMENTS" localSheetId="7">#REF!</definedName>
    <definedName name="MODEVERSEMENTS" localSheetId="3">#REF!</definedName>
    <definedName name="MODEVERSEMENTS" localSheetId="11">#REF!</definedName>
    <definedName name="MODEVERSEMENTS" localSheetId="1">#REF!</definedName>
    <definedName name="MODEVERSEMENTS" localSheetId="0">#REF!</definedName>
    <definedName name="MODEVERSEMENTS" localSheetId="6">#REF!</definedName>
    <definedName name="MODEVERSEMENTS" localSheetId="5">#REF!</definedName>
    <definedName name="MODEVERSEMENTS" localSheetId="4">#REF!</definedName>
    <definedName name="MODEVERSEMENTS" localSheetId="2">#REF!</definedName>
    <definedName name="MODEVERSEMENTS" localSheetId="10">#REF!</definedName>
    <definedName name="MODEVERSEMENTS" localSheetId="9">#REF!</definedName>
    <definedName name="MODEVERSEMENTS" localSheetId="12">#REF!</definedName>
    <definedName name="MODEVERSEMENTS" localSheetId="8">#REF!</definedName>
    <definedName name="MODEVERSEMENTS">#REF!</definedName>
    <definedName name="VALMODEPAID">[3]MODEPAID!$A$1:$A$3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2" i="83" l="1"/>
  <c r="D7" i="72" l="1"/>
  <c r="D8" i="72"/>
  <c r="D9" i="72"/>
  <c r="D10" i="72"/>
  <c r="D11" i="72"/>
  <c r="D12" i="72"/>
  <c r="D13" i="72"/>
  <c r="D14" i="72"/>
  <c r="D15" i="72"/>
  <c r="D16" i="72"/>
  <c r="D17" i="72"/>
  <c r="D18" i="72"/>
  <c r="D19" i="72"/>
  <c r="C20" i="72"/>
  <c r="D20" i="72"/>
  <c r="D21" i="72"/>
  <c r="D22" i="72"/>
  <c r="D23" i="72"/>
  <c r="D24" i="72"/>
  <c r="D25" i="72"/>
  <c r="D26" i="72"/>
  <c r="D27" i="72"/>
  <c r="D28" i="72"/>
  <c r="D29" i="72"/>
  <c r="D30" i="72"/>
  <c r="D31" i="72"/>
  <c r="D32" i="72"/>
  <c r="D33" i="72"/>
  <c r="D34" i="72"/>
  <c r="D35" i="72"/>
  <c r="D36" i="72"/>
  <c r="D37" i="72"/>
  <c r="D38" i="72"/>
  <c r="D39" i="72"/>
  <c r="D40" i="72"/>
  <c r="D41" i="72"/>
  <c r="D42" i="72"/>
  <c r="D6" i="72"/>
  <c r="D7" i="73"/>
  <c r="D8" i="73"/>
  <c r="D9" i="73"/>
  <c r="D10" i="73"/>
  <c r="D11" i="73"/>
  <c r="D12" i="73"/>
  <c r="D13" i="73"/>
  <c r="D14" i="73"/>
  <c r="D15" i="73"/>
  <c r="D16" i="73"/>
  <c r="D17" i="73"/>
  <c r="D18" i="73"/>
  <c r="D19" i="73"/>
  <c r="C20" i="73"/>
  <c r="D20" i="73"/>
  <c r="D21" i="73"/>
  <c r="D22" i="73"/>
  <c r="D23" i="73"/>
  <c r="D24" i="73"/>
  <c r="D25" i="73"/>
  <c r="D26" i="73"/>
  <c r="D27" i="73"/>
  <c r="D28" i="73"/>
  <c r="D29" i="73"/>
  <c r="D30" i="73"/>
  <c r="D31" i="73"/>
  <c r="D32" i="73"/>
  <c r="D33" i="73"/>
  <c r="D34" i="73"/>
  <c r="D35" i="73"/>
  <c r="D36" i="73"/>
  <c r="D37" i="73"/>
  <c r="D38" i="73"/>
  <c r="D39" i="73"/>
  <c r="D40" i="73"/>
  <c r="D41" i="73"/>
  <c r="D42" i="73"/>
  <c r="D6" i="73"/>
  <c r="D7" i="74"/>
  <c r="D8" i="74"/>
  <c r="D9" i="74"/>
  <c r="D10" i="74"/>
  <c r="D11" i="74"/>
  <c r="D12" i="74"/>
  <c r="D13" i="74"/>
  <c r="D14" i="74"/>
  <c r="D15" i="74"/>
  <c r="D16" i="74"/>
  <c r="D17" i="74"/>
  <c r="D18" i="74"/>
  <c r="D19" i="74"/>
  <c r="C20" i="74"/>
  <c r="D20" i="74"/>
  <c r="D21" i="74"/>
  <c r="D22" i="74"/>
  <c r="D23" i="74"/>
  <c r="D24" i="74"/>
  <c r="D25" i="74"/>
  <c r="D26" i="74"/>
  <c r="D27" i="74"/>
  <c r="D28" i="74"/>
  <c r="D29" i="74"/>
  <c r="D30" i="74"/>
  <c r="D31" i="74"/>
  <c r="D32" i="74"/>
  <c r="D33" i="74"/>
  <c r="D34" i="74"/>
  <c r="D35" i="74"/>
  <c r="D36" i="74"/>
  <c r="D37" i="74"/>
  <c r="D38" i="74"/>
  <c r="D39" i="74"/>
  <c r="D40" i="74"/>
  <c r="D41" i="74"/>
  <c r="D42" i="74"/>
  <c r="D6" i="74"/>
  <c r="B20" i="74"/>
  <c r="D7" i="75"/>
  <c r="D8" i="75"/>
  <c r="D9" i="75"/>
  <c r="D10" i="75"/>
  <c r="D11" i="75"/>
  <c r="D12" i="75"/>
  <c r="D13" i="75"/>
  <c r="D14" i="75"/>
  <c r="D15" i="75"/>
  <c r="D16" i="75"/>
  <c r="D17" i="75"/>
  <c r="D18" i="75"/>
  <c r="D19" i="75"/>
  <c r="C20" i="75"/>
  <c r="D20" i="75"/>
  <c r="D21" i="75"/>
  <c r="D22" i="75"/>
  <c r="D23" i="75"/>
  <c r="D24" i="75"/>
  <c r="D25" i="75"/>
  <c r="D26" i="75"/>
  <c r="D27" i="75"/>
  <c r="D28" i="75"/>
  <c r="D29" i="75"/>
  <c r="D30" i="75"/>
  <c r="D31" i="75"/>
  <c r="D32" i="75"/>
  <c r="D33" i="75"/>
  <c r="D34" i="75"/>
  <c r="D35" i="75"/>
  <c r="D36" i="75"/>
  <c r="D37" i="75"/>
  <c r="D38" i="75"/>
  <c r="D39" i="75"/>
  <c r="D40" i="75"/>
  <c r="D41" i="75"/>
  <c r="D42" i="75"/>
  <c r="D6" i="75"/>
  <c r="B20" i="75"/>
  <c r="D7" i="76"/>
  <c r="D8" i="76"/>
  <c r="D9" i="76"/>
  <c r="D10" i="76"/>
  <c r="D11" i="76"/>
  <c r="D12" i="76"/>
  <c r="D13" i="76"/>
  <c r="D14" i="76"/>
  <c r="D15" i="76"/>
  <c r="D16" i="76"/>
  <c r="D17" i="76"/>
  <c r="D18" i="76"/>
  <c r="D19" i="76"/>
  <c r="C20" i="76"/>
  <c r="D20" i="76"/>
  <c r="D21" i="76"/>
  <c r="D22" i="76"/>
  <c r="D23" i="76"/>
  <c r="D24" i="76"/>
  <c r="D25" i="76"/>
  <c r="D26" i="76"/>
  <c r="D27" i="76"/>
  <c r="D28" i="76"/>
  <c r="D29" i="76"/>
  <c r="D30" i="76"/>
  <c r="D31" i="76"/>
  <c r="D32" i="76"/>
  <c r="D33" i="76"/>
  <c r="D34" i="76"/>
  <c r="D35" i="76"/>
  <c r="D36" i="76"/>
  <c r="D37" i="76"/>
  <c r="D38" i="76"/>
  <c r="D39" i="76"/>
  <c r="D40" i="76"/>
  <c r="D41" i="76"/>
  <c r="D42" i="76"/>
  <c r="D6" i="76"/>
  <c r="B20" i="76"/>
  <c r="D7" i="77"/>
  <c r="D8" i="77"/>
  <c r="D9" i="77"/>
  <c r="D10" i="77"/>
  <c r="D11" i="77"/>
  <c r="D12" i="77"/>
  <c r="D13" i="77"/>
  <c r="D14" i="77"/>
  <c r="D15" i="77"/>
  <c r="D16" i="77"/>
  <c r="D17" i="77"/>
  <c r="D18" i="77"/>
  <c r="D19" i="77"/>
  <c r="C20" i="77"/>
  <c r="D20" i="77"/>
  <c r="D21" i="77"/>
  <c r="D22" i="77"/>
  <c r="D23" i="77"/>
  <c r="D24" i="77"/>
  <c r="D25" i="77"/>
  <c r="D26" i="77"/>
  <c r="D27" i="77"/>
  <c r="D28" i="77"/>
  <c r="D29" i="77"/>
  <c r="D30" i="77"/>
  <c r="D31" i="77"/>
  <c r="D32" i="77"/>
  <c r="D33" i="77"/>
  <c r="D34" i="77"/>
  <c r="D35" i="77"/>
  <c r="D36" i="77"/>
  <c r="D37" i="77"/>
  <c r="D38" i="77"/>
  <c r="D39" i="77"/>
  <c r="D40" i="77"/>
  <c r="D41" i="77"/>
  <c r="D42" i="77"/>
  <c r="D6" i="77"/>
  <c r="B20" i="77"/>
  <c r="D7" i="78"/>
  <c r="D8" i="78"/>
  <c r="D9" i="78"/>
  <c r="D10" i="78"/>
  <c r="D11" i="78"/>
  <c r="D12" i="78"/>
  <c r="D13" i="78"/>
  <c r="D14" i="78"/>
  <c r="D15" i="78"/>
  <c r="D16" i="78"/>
  <c r="D17" i="78"/>
  <c r="D18" i="78"/>
  <c r="D19" i="78"/>
  <c r="C20" i="78"/>
  <c r="D20" i="78"/>
  <c r="D21" i="78"/>
  <c r="D22" i="78"/>
  <c r="D23" i="78"/>
  <c r="D24" i="78"/>
  <c r="D25" i="78"/>
  <c r="D26" i="78"/>
  <c r="D27" i="78"/>
  <c r="D28" i="78"/>
  <c r="D29" i="78"/>
  <c r="D30" i="78"/>
  <c r="D31" i="78"/>
  <c r="D32" i="78"/>
  <c r="D33" i="78"/>
  <c r="D34" i="78"/>
  <c r="D35" i="78"/>
  <c r="D36" i="78"/>
  <c r="D37" i="78"/>
  <c r="D38" i="78"/>
  <c r="D39" i="78"/>
  <c r="D40" i="78"/>
  <c r="D41" i="78"/>
  <c r="D42" i="78"/>
  <c r="D6" i="78"/>
  <c r="B20" i="78"/>
  <c r="D7" i="79"/>
  <c r="D8" i="79"/>
  <c r="D9" i="79"/>
  <c r="D10" i="79"/>
  <c r="D11" i="79"/>
  <c r="D12" i="79"/>
  <c r="D13" i="79"/>
  <c r="D14" i="79"/>
  <c r="D15" i="79"/>
  <c r="D16" i="79"/>
  <c r="D17" i="79"/>
  <c r="D18" i="79"/>
  <c r="D19" i="79"/>
  <c r="C20" i="79"/>
  <c r="D20" i="79"/>
  <c r="D21" i="79"/>
  <c r="D22" i="79"/>
  <c r="D23" i="79"/>
  <c r="D24" i="79"/>
  <c r="D25" i="79"/>
  <c r="D26" i="79"/>
  <c r="D27" i="79"/>
  <c r="D28" i="79"/>
  <c r="D29" i="79"/>
  <c r="D30" i="79"/>
  <c r="D31" i="79"/>
  <c r="D32" i="79"/>
  <c r="D33" i="79"/>
  <c r="D34" i="79"/>
  <c r="D35" i="79"/>
  <c r="D36" i="79"/>
  <c r="D37" i="79"/>
  <c r="D38" i="79"/>
  <c r="D39" i="79"/>
  <c r="D40" i="79"/>
  <c r="D41" i="79"/>
  <c r="D42" i="79"/>
  <c r="D6" i="79"/>
  <c r="B20" i="79"/>
  <c r="D7" i="80"/>
  <c r="D8" i="80"/>
  <c r="D9" i="80"/>
  <c r="D10" i="80"/>
  <c r="D11" i="80"/>
  <c r="D12" i="80"/>
  <c r="D13" i="80"/>
  <c r="D14" i="80"/>
  <c r="C15" i="80"/>
  <c r="D15" i="80"/>
  <c r="D16" i="80"/>
  <c r="D17" i="80"/>
  <c r="D18" i="80"/>
  <c r="D19" i="80"/>
  <c r="C20" i="80"/>
  <c r="D20" i="80"/>
  <c r="D21" i="80"/>
  <c r="D22" i="80"/>
  <c r="D23" i="80"/>
  <c r="D24" i="80"/>
  <c r="D25" i="80"/>
  <c r="D26" i="80"/>
  <c r="D27" i="80"/>
  <c r="D28" i="80"/>
  <c r="D29" i="80"/>
  <c r="D30" i="80"/>
  <c r="D31" i="80"/>
  <c r="D32" i="80"/>
  <c r="D33" i="80"/>
  <c r="D34" i="80"/>
  <c r="D35" i="80"/>
  <c r="D36" i="80"/>
  <c r="D37" i="80"/>
  <c r="D38" i="80"/>
  <c r="D39" i="80"/>
  <c r="D40" i="80"/>
  <c r="D41" i="80"/>
  <c r="D42" i="80"/>
  <c r="D6" i="80"/>
  <c r="B20" i="80"/>
  <c r="D7" i="81"/>
  <c r="D8" i="81"/>
  <c r="D9" i="81"/>
  <c r="D10" i="81"/>
  <c r="D11" i="81"/>
  <c r="D12" i="81"/>
  <c r="D13" i="81"/>
  <c r="D14" i="81"/>
  <c r="D15" i="81"/>
  <c r="D16" i="81"/>
  <c r="D17" i="81"/>
  <c r="D18" i="81"/>
  <c r="D19" i="81"/>
  <c r="C20" i="81"/>
  <c r="D20" i="81"/>
  <c r="D21" i="81"/>
  <c r="D22" i="81"/>
  <c r="D23" i="81"/>
  <c r="D24" i="81"/>
  <c r="D25" i="81"/>
  <c r="D26" i="81"/>
  <c r="D27" i="81"/>
  <c r="D28" i="81"/>
  <c r="D29" i="81"/>
  <c r="D30" i="81"/>
  <c r="D31" i="81"/>
  <c r="D32" i="81"/>
  <c r="D33" i="81"/>
  <c r="D34" i="81"/>
  <c r="D35" i="81"/>
  <c r="D36" i="81"/>
  <c r="D37" i="81"/>
  <c r="D38" i="81"/>
  <c r="D39" i="81"/>
  <c r="D40" i="81"/>
  <c r="D41" i="81"/>
  <c r="D42" i="81"/>
  <c r="D6" i="81"/>
  <c r="B20" i="81"/>
  <c r="G20" i="82"/>
  <c r="B20" i="82"/>
  <c r="G20" i="83"/>
  <c r="D20" i="83"/>
  <c r="D7" i="82"/>
  <c r="D8" i="82"/>
  <c r="D9" i="82"/>
  <c r="D10" i="82"/>
  <c r="D11" i="82"/>
  <c r="D12" i="82"/>
  <c r="D13" i="82"/>
  <c r="D14" i="82"/>
  <c r="D15" i="82"/>
  <c r="D16" i="82"/>
  <c r="D17" i="82"/>
  <c r="D18" i="82"/>
  <c r="D19" i="82"/>
  <c r="C20" i="82"/>
  <c r="D20" i="82"/>
  <c r="D21" i="82"/>
  <c r="D22" i="82"/>
  <c r="D23" i="82"/>
  <c r="D24" i="82"/>
  <c r="D25" i="82"/>
  <c r="D26" i="82"/>
  <c r="D27" i="82"/>
  <c r="D28" i="82"/>
  <c r="D29" i="82"/>
  <c r="D30" i="82"/>
  <c r="D31" i="82"/>
  <c r="D32" i="82"/>
  <c r="D33" i="82"/>
  <c r="D34" i="82"/>
  <c r="D35" i="82"/>
  <c r="D36" i="82"/>
  <c r="D37" i="82"/>
  <c r="D38" i="82"/>
  <c r="D39" i="82"/>
  <c r="D40" i="82"/>
  <c r="D41" i="82"/>
  <c r="D42" i="82"/>
  <c r="D6" i="82"/>
  <c r="C20" i="83"/>
  <c r="B20" i="83"/>
  <c r="B20" i="84"/>
  <c r="D7" i="83"/>
  <c r="D8" i="83"/>
  <c r="D9" i="83"/>
  <c r="D10" i="83"/>
  <c r="D11" i="83"/>
  <c r="D12" i="83"/>
  <c r="D13" i="83"/>
  <c r="D14" i="83"/>
  <c r="D15" i="83"/>
  <c r="D16" i="83"/>
  <c r="D17" i="83"/>
  <c r="D18" i="83"/>
  <c r="D19" i="83"/>
  <c r="D6" i="83"/>
  <c r="B20" i="72"/>
  <c r="C20" i="84" l="1"/>
  <c r="E6" i="83"/>
  <c r="E6" i="82"/>
  <c r="E6" i="81"/>
  <c r="E6" i="80"/>
  <c r="E6" i="79"/>
  <c r="E6" i="78"/>
  <c r="E6" i="77"/>
  <c r="D41" i="83"/>
  <c r="D40" i="83"/>
  <c r="D39" i="83"/>
  <c r="D38" i="83"/>
  <c r="D37" i="83"/>
  <c r="D36" i="83"/>
  <c r="D35" i="83"/>
  <c r="D34" i="83"/>
  <c r="D33" i="83"/>
  <c r="D32" i="83"/>
  <c r="D31" i="83"/>
  <c r="D30" i="83"/>
  <c r="D29" i="83"/>
  <c r="D28" i="83"/>
  <c r="D27" i="83"/>
  <c r="D26" i="83"/>
  <c r="D25" i="83"/>
  <c r="D24" i="83"/>
  <c r="D23" i="83"/>
  <c r="D22" i="83"/>
  <c r="D21" i="83"/>
  <c r="C5" i="84" l="1"/>
  <c r="E44" i="84"/>
  <c r="G42" i="84"/>
  <c r="B42" i="84"/>
  <c r="G41" i="84"/>
  <c r="B41" i="84"/>
  <c r="G40" i="84"/>
  <c r="B40" i="84"/>
  <c r="G39" i="84"/>
  <c r="B39" i="84"/>
  <c r="G38" i="84"/>
  <c r="B38" i="84"/>
  <c r="G37" i="84"/>
  <c r="B37" i="84"/>
  <c r="G36" i="84"/>
  <c r="B36" i="84"/>
  <c r="G35" i="84"/>
  <c r="B35" i="84"/>
  <c r="G34" i="84"/>
  <c r="B34" i="84"/>
  <c r="G33" i="84"/>
  <c r="B33" i="84"/>
  <c r="G32" i="84"/>
  <c r="B32" i="84"/>
  <c r="G31" i="84"/>
  <c r="B31" i="84"/>
  <c r="G30" i="84"/>
  <c r="B30" i="84"/>
  <c r="G29" i="84"/>
  <c r="B29" i="84"/>
  <c r="G28" i="84"/>
  <c r="B28" i="84"/>
  <c r="G27" i="84"/>
  <c r="B27" i="84"/>
  <c r="G26" i="84"/>
  <c r="B26" i="84"/>
  <c r="G25" i="84"/>
  <c r="B25" i="84"/>
  <c r="G24" i="84"/>
  <c r="B24" i="84"/>
  <c r="G23" i="84"/>
  <c r="B23" i="84"/>
  <c r="G22" i="84"/>
  <c r="B22" i="84"/>
  <c r="G21" i="84"/>
  <c r="B21" i="84"/>
  <c r="G19" i="84"/>
  <c r="B19" i="84"/>
  <c r="G18" i="84"/>
  <c r="B18" i="84"/>
  <c r="G17" i="84"/>
  <c r="B17" i="84"/>
  <c r="G16" i="84"/>
  <c r="B16" i="84"/>
  <c r="G15" i="84"/>
  <c r="B15" i="84"/>
  <c r="G14" i="84"/>
  <c r="B14" i="84"/>
  <c r="G13" i="84"/>
  <c r="B13" i="84"/>
  <c r="G12" i="84"/>
  <c r="B12" i="84"/>
  <c r="G11" i="84"/>
  <c r="B11" i="84"/>
  <c r="G10" i="84"/>
  <c r="G44" i="84" s="1"/>
  <c r="B10" i="84"/>
  <c r="G9" i="84"/>
  <c r="B9" i="84"/>
  <c r="G8" i="84"/>
  <c r="B8" i="84"/>
  <c r="G7" i="84"/>
  <c r="B7" i="84"/>
  <c r="B6" i="84"/>
  <c r="E44" i="83"/>
  <c r="G42" i="83"/>
  <c r="B42" i="83"/>
  <c r="G41" i="83"/>
  <c r="B41" i="83"/>
  <c r="G40" i="83"/>
  <c r="B40" i="83"/>
  <c r="G39" i="83"/>
  <c r="B39" i="83"/>
  <c r="G38" i="83"/>
  <c r="B38" i="83"/>
  <c r="G37" i="83"/>
  <c r="B37" i="83"/>
  <c r="G36" i="83"/>
  <c r="B36" i="83"/>
  <c r="G35" i="83"/>
  <c r="B35" i="83"/>
  <c r="G34" i="83"/>
  <c r="B34" i="83"/>
  <c r="G33" i="83"/>
  <c r="B33" i="83"/>
  <c r="G32" i="83"/>
  <c r="B32" i="83"/>
  <c r="G31" i="83"/>
  <c r="B31" i="83"/>
  <c r="G30" i="83"/>
  <c r="B30" i="83"/>
  <c r="G29" i="83"/>
  <c r="B29" i="83"/>
  <c r="G28" i="83"/>
  <c r="B28" i="83"/>
  <c r="G27" i="83"/>
  <c r="B27" i="83"/>
  <c r="G26" i="83"/>
  <c r="B26" i="83"/>
  <c r="G25" i="83"/>
  <c r="B25" i="83"/>
  <c r="G24" i="83"/>
  <c r="B24" i="83"/>
  <c r="G23" i="83"/>
  <c r="B23" i="83"/>
  <c r="G22" i="83"/>
  <c r="B22" i="83"/>
  <c r="G21" i="83"/>
  <c r="B21" i="83"/>
  <c r="G19" i="83"/>
  <c r="B19" i="83"/>
  <c r="G18" i="83"/>
  <c r="B18" i="83"/>
  <c r="G17" i="83"/>
  <c r="B17" i="83"/>
  <c r="G16" i="83"/>
  <c r="B16" i="83"/>
  <c r="G15" i="83"/>
  <c r="B15" i="83"/>
  <c r="G14" i="83"/>
  <c r="B14" i="83"/>
  <c r="G13" i="83"/>
  <c r="B13" i="83"/>
  <c r="G12" i="83"/>
  <c r="B12" i="83"/>
  <c r="G11" i="83"/>
  <c r="B11" i="83"/>
  <c r="G10" i="83"/>
  <c r="B10" i="83"/>
  <c r="G9" i="83"/>
  <c r="B9" i="83"/>
  <c r="G8" i="83"/>
  <c r="B8" i="83"/>
  <c r="G7" i="83"/>
  <c r="B7" i="83"/>
  <c r="G6" i="83"/>
  <c r="B6" i="83"/>
  <c r="E44" i="82"/>
  <c r="G42" i="82"/>
  <c r="B42" i="82"/>
  <c r="G41" i="82"/>
  <c r="B41" i="82"/>
  <c r="G40" i="82"/>
  <c r="B40" i="82"/>
  <c r="G39" i="82"/>
  <c r="B39" i="82"/>
  <c r="G38" i="82"/>
  <c r="B38" i="82"/>
  <c r="G37" i="82"/>
  <c r="B37" i="82"/>
  <c r="G36" i="82"/>
  <c r="B36" i="82"/>
  <c r="G35" i="82"/>
  <c r="B35" i="82"/>
  <c r="G34" i="82"/>
  <c r="B34" i="82"/>
  <c r="G33" i="82"/>
  <c r="B33" i="82"/>
  <c r="G32" i="82"/>
  <c r="B32" i="82"/>
  <c r="G31" i="82"/>
  <c r="B31" i="82"/>
  <c r="G30" i="82"/>
  <c r="B30" i="82"/>
  <c r="G29" i="82"/>
  <c r="B29" i="82"/>
  <c r="G28" i="82"/>
  <c r="B28" i="82"/>
  <c r="G27" i="82"/>
  <c r="B27" i="82"/>
  <c r="G26" i="82"/>
  <c r="B26" i="82"/>
  <c r="G25" i="82"/>
  <c r="B25" i="82"/>
  <c r="G24" i="82"/>
  <c r="B24" i="82"/>
  <c r="G23" i="82"/>
  <c r="B23" i="82"/>
  <c r="G22" i="82"/>
  <c r="B22" i="82"/>
  <c r="G21" i="82"/>
  <c r="B21" i="82"/>
  <c r="G19" i="82"/>
  <c r="B19" i="82"/>
  <c r="G18" i="82"/>
  <c r="B18" i="82"/>
  <c r="G17" i="82"/>
  <c r="B17" i="82"/>
  <c r="G16" i="82"/>
  <c r="B16" i="82"/>
  <c r="G15" i="82"/>
  <c r="B15" i="82"/>
  <c r="G14" i="82"/>
  <c r="B14" i="82"/>
  <c r="G13" i="82"/>
  <c r="B13" i="82"/>
  <c r="G12" i="82"/>
  <c r="B12" i="82"/>
  <c r="G11" i="82"/>
  <c r="B11" i="82"/>
  <c r="G10" i="82"/>
  <c r="B10" i="82"/>
  <c r="G9" i="82"/>
  <c r="B9" i="82"/>
  <c r="G8" i="82"/>
  <c r="B8" i="82"/>
  <c r="G7" i="82"/>
  <c r="B7" i="82"/>
  <c r="G6" i="82"/>
  <c r="B6" i="82"/>
  <c r="E44" i="81"/>
  <c r="G42" i="81"/>
  <c r="B42" i="81"/>
  <c r="G41" i="81"/>
  <c r="B41" i="81"/>
  <c r="G40" i="81"/>
  <c r="B40" i="81"/>
  <c r="G39" i="81"/>
  <c r="B39" i="81"/>
  <c r="G38" i="81"/>
  <c r="B38" i="81"/>
  <c r="G37" i="81"/>
  <c r="B37" i="81"/>
  <c r="G36" i="81"/>
  <c r="B36" i="81"/>
  <c r="G35" i="81"/>
  <c r="B35" i="81"/>
  <c r="G34" i="81"/>
  <c r="B34" i="81"/>
  <c r="G33" i="81"/>
  <c r="B33" i="81"/>
  <c r="G32" i="81"/>
  <c r="B32" i="81"/>
  <c r="G31" i="81"/>
  <c r="B31" i="81"/>
  <c r="G30" i="81"/>
  <c r="B30" i="81"/>
  <c r="G29" i="81"/>
  <c r="B29" i="81"/>
  <c r="G28" i="81"/>
  <c r="B28" i="81"/>
  <c r="G27" i="81"/>
  <c r="B27" i="81"/>
  <c r="G26" i="81"/>
  <c r="B26" i="81"/>
  <c r="G25" i="81"/>
  <c r="B25" i="81"/>
  <c r="G24" i="81"/>
  <c r="B24" i="81"/>
  <c r="G23" i="81"/>
  <c r="B23" i="81"/>
  <c r="G22" i="81"/>
  <c r="B22" i="81"/>
  <c r="G21" i="81"/>
  <c r="B21" i="81"/>
  <c r="G19" i="81"/>
  <c r="B19" i="81"/>
  <c r="G18" i="81"/>
  <c r="B18" i="81"/>
  <c r="G17" i="81"/>
  <c r="B17" i="81"/>
  <c r="G16" i="81"/>
  <c r="B16" i="81"/>
  <c r="G15" i="81"/>
  <c r="B15" i="81"/>
  <c r="G14" i="81"/>
  <c r="B14" i="81"/>
  <c r="G13" i="81"/>
  <c r="B13" i="81"/>
  <c r="G12" i="81"/>
  <c r="B12" i="81"/>
  <c r="G11" i="81"/>
  <c r="B11" i="81"/>
  <c r="G10" i="81"/>
  <c r="B10" i="81"/>
  <c r="G9" i="81"/>
  <c r="B9" i="81"/>
  <c r="G8" i="81"/>
  <c r="B8" i="81"/>
  <c r="G7" i="81"/>
  <c r="G44" i="81" s="1"/>
  <c r="B7" i="81"/>
  <c r="G6" i="81"/>
  <c r="B6" i="81"/>
  <c r="E44" i="80"/>
  <c r="G42" i="80"/>
  <c r="B42" i="80"/>
  <c r="G41" i="80"/>
  <c r="B41" i="80"/>
  <c r="G40" i="80"/>
  <c r="B40" i="80"/>
  <c r="G39" i="80"/>
  <c r="B39" i="80"/>
  <c r="G38" i="80"/>
  <c r="B38" i="80"/>
  <c r="G37" i="80"/>
  <c r="B37" i="80"/>
  <c r="G36" i="80"/>
  <c r="B36" i="80"/>
  <c r="G35" i="80"/>
  <c r="B35" i="80"/>
  <c r="G34" i="80"/>
  <c r="B34" i="80"/>
  <c r="G33" i="80"/>
  <c r="B33" i="80"/>
  <c r="G32" i="80"/>
  <c r="B32" i="80"/>
  <c r="G31" i="80"/>
  <c r="B31" i="80"/>
  <c r="G30" i="80"/>
  <c r="B30" i="80"/>
  <c r="G29" i="80"/>
  <c r="B29" i="80"/>
  <c r="G28" i="80"/>
  <c r="B28" i="80"/>
  <c r="G27" i="80"/>
  <c r="B27" i="80"/>
  <c r="G26" i="80"/>
  <c r="B26" i="80"/>
  <c r="G25" i="80"/>
  <c r="B25" i="80"/>
  <c r="G24" i="80"/>
  <c r="B24" i="80"/>
  <c r="G23" i="80"/>
  <c r="B23" i="80"/>
  <c r="G22" i="80"/>
  <c r="B22" i="80"/>
  <c r="G21" i="80"/>
  <c r="B21" i="80"/>
  <c r="G19" i="80"/>
  <c r="B19" i="80"/>
  <c r="G18" i="80"/>
  <c r="B18" i="80"/>
  <c r="G17" i="80"/>
  <c r="B17" i="80"/>
  <c r="G16" i="80"/>
  <c r="B16" i="80"/>
  <c r="G15" i="80"/>
  <c r="B15" i="80"/>
  <c r="G14" i="80"/>
  <c r="B14" i="80"/>
  <c r="G13" i="80"/>
  <c r="B13" i="80"/>
  <c r="G12" i="80"/>
  <c r="B12" i="80"/>
  <c r="G11" i="80"/>
  <c r="B11" i="80"/>
  <c r="G10" i="80"/>
  <c r="B10" i="80"/>
  <c r="G9" i="80"/>
  <c r="B9" i="80"/>
  <c r="G8" i="80"/>
  <c r="B8" i="80"/>
  <c r="G7" i="80"/>
  <c r="B7" i="80"/>
  <c r="G6" i="80"/>
  <c r="B6" i="80"/>
  <c r="E44" i="79"/>
  <c r="G42" i="79"/>
  <c r="B42" i="79"/>
  <c r="G41" i="79"/>
  <c r="B41" i="79"/>
  <c r="G40" i="79"/>
  <c r="B40" i="79"/>
  <c r="G39" i="79"/>
  <c r="B39" i="79"/>
  <c r="G38" i="79"/>
  <c r="B38" i="79"/>
  <c r="G37" i="79"/>
  <c r="B37" i="79"/>
  <c r="G36" i="79"/>
  <c r="B36" i="79"/>
  <c r="G35" i="79"/>
  <c r="B35" i="79"/>
  <c r="G34" i="79"/>
  <c r="B34" i="79"/>
  <c r="G33" i="79"/>
  <c r="B33" i="79"/>
  <c r="G32" i="79"/>
  <c r="B32" i="79"/>
  <c r="G31" i="79"/>
  <c r="B31" i="79"/>
  <c r="G30" i="79"/>
  <c r="B30" i="79"/>
  <c r="G29" i="79"/>
  <c r="B29" i="79"/>
  <c r="G28" i="79"/>
  <c r="B28" i="79"/>
  <c r="G27" i="79"/>
  <c r="B27" i="79"/>
  <c r="G26" i="79"/>
  <c r="B26" i="79"/>
  <c r="G25" i="79"/>
  <c r="B25" i="79"/>
  <c r="G24" i="79"/>
  <c r="B24" i="79"/>
  <c r="G23" i="79"/>
  <c r="B23" i="79"/>
  <c r="G22" i="79"/>
  <c r="B22" i="79"/>
  <c r="G21" i="79"/>
  <c r="B21" i="79"/>
  <c r="G19" i="79"/>
  <c r="B19" i="79"/>
  <c r="G18" i="79"/>
  <c r="B18" i="79"/>
  <c r="G17" i="79"/>
  <c r="B17" i="79"/>
  <c r="G16" i="79"/>
  <c r="B16" i="79"/>
  <c r="G15" i="79"/>
  <c r="B15" i="79"/>
  <c r="G14" i="79"/>
  <c r="B14" i="79"/>
  <c r="G13" i="79"/>
  <c r="B13" i="79"/>
  <c r="G12" i="79"/>
  <c r="B12" i="79"/>
  <c r="G11" i="79"/>
  <c r="B11" i="79"/>
  <c r="G10" i="79"/>
  <c r="B10" i="79"/>
  <c r="G9" i="79"/>
  <c r="B9" i="79"/>
  <c r="G8" i="79"/>
  <c r="B8" i="79"/>
  <c r="G7" i="79"/>
  <c r="B7" i="79"/>
  <c r="G6" i="79"/>
  <c r="B6" i="79"/>
  <c r="E44" i="78"/>
  <c r="G42" i="78"/>
  <c r="B42" i="78"/>
  <c r="G41" i="78"/>
  <c r="B41" i="78"/>
  <c r="G40" i="78"/>
  <c r="B40" i="78"/>
  <c r="G39" i="78"/>
  <c r="B39" i="78"/>
  <c r="G38" i="78"/>
  <c r="B38" i="78"/>
  <c r="G37" i="78"/>
  <c r="B37" i="78"/>
  <c r="G36" i="78"/>
  <c r="B36" i="78"/>
  <c r="G35" i="78"/>
  <c r="B35" i="78"/>
  <c r="G34" i="78"/>
  <c r="B34" i="78"/>
  <c r="G33" i="78"/>
  <c r="B33" i="78"/>
  <c r="G32" i="78"/>
  <c r="B32" i="78"/>
  <c r="G31" i="78"/>
  <c r="B31" i="78"/>
  <c r="G30" i="78"/>
  <c r="B30" i="78"/>
  <c r="G29" i="78"/>
  <c r="B29" i="78"/>
  <c r="G28" i="78"/>
  <c r="B28" i="78"/>
  <c r="G27" i="78"/>
  <c r="B27" i="78"/>
  <c r="G26" i="78"/>
  <c r="B26" i="78"/>
  <c r="G25" i="78"/>
  <c r="B25" i="78"/>
  <c r="G24" i="78"/>
  <c r="B24" i="78"/>
  <c r="G23" i="78"/>
  <c r="B23" i="78"/>
  <c r="G22" i="78"/>
  <c r="B22" i="78"/>
  <c r="G21" i="78"/>
  <c r="B21" i="78"/>
  <c r="G19" i="78"/>
  <c r="B19" i="78"/>
  <c r="G18" i="78"/>
  <c r="B18" i="78"/>
  <c r="G17" i="78"/>
  <c r="B17" i="78"/>
  <c r="G16" i="78"/>
  <c r="B16" i="78"/>
  <c r="G15" i="78"/>
  <c r="B15" i="78"/>
  <c r="G14" i="78"/>
  <c r="B14" i="78"/>
  <c r="G13" i="78"/>
  <c r="B13" i="78"/>
  <c r="G12" i="78"/>
  <c r="B12" i="78"/>
  <c r="G11" i="78"/>
  <c r="B11" i="78"/>
  <c r="G10" i="78"/>
  <c r="B10" i="78"/>
  <c r="G9" i="78"/>
  <c r="B9" i="78"/>
  <c r="G8" i="78"/>
  <c r="B8" i="78"/>
  <c r="G7" i="78"/>
  <c r="B7" i="78"/>
  <c r="G6" i="78"/>
  <c r="B6" i="78"/>
  <c r="E44" i="77"/>
  <c r="G42" i="77"/>
  <c r="B42" i="77"/>
  <c r="G41" i="77"/>
  <c r="B41" i="77"/>
  <c r="G40" i="77"/>
  <c r="B40" i="77"/>
  <c r="G39" i="77"/>
  <c r="B39" i="77"/>
  <c r="G38" i="77"/>
  <c r="B38" i="77"/>
  <c r="G37" i="77"/>
  <c r="B37" i="77"/>
  <c r="G36" i="77"/>
  <c r="B36" i="77"/>
  <c r="G35" i="77"/>
  <c r="B35" i="77"/>
  <c r="G34" i="77"/>
  <c r="B34" i="77"/>
  <c r="G33" i="77"/>
  <c r="B33" i="77"/>
  <c r="G32" i="77"/>
  <c r="B32" i="77"/>
  <c r="G31" i="77"/>
  <c r="B31" i="77"/>
  <c r="G30" i="77"/>
  <c r="B30" i="77"/>
  <c r="G29" i="77"/>
  <c r="B29" i="77"/>
  <c r="G28" i="77"/>
  <c r="B28" i="77"/>
  <c r="G27" i="77"/>
  <c r="B27" i="77"/>
  <c r="G26" i="77"/>
  <c r="B26" i="77"/>
  <c r="G25" i="77"/>
  <c r="B25" i="77"/>
  <c r="G24" i="77"/>
  <c r="B24" i="77"/>
  <c r="G23" i="77"/>
  <c r="B23" i="77"/>
  <c r="G22" i="77"/>
  <c r="B22" i="77"/>
  <c r="G21" i="77"/>
  <c r="B21" i="77"/>
  <c r="G19" i="77"/>
  <c r="B19" i="77"/>
  <c r="G18" i="77"/>
  <c r="B18" i="77"/>
  <c r="G17" i="77"/>
  <c r="B17" i="77"/>
  <c r="G16" i="77"/>
  <c r="B16" i="77"/>
  <c r="G15" i="77"/>
  <c r="B15" i="77"/>
  <c r="G14" i="77"/>
  <c r="B14" i="77"/>
  <c r="G13" i="77"/>
  <c r="B13" i="77"/>
  <c r="G12" i="77"/>
  <c r="B12" i="77"/>
  <c r="G11" i="77"/>
  <c r="B11" i="77"/>
  <c r="G10" i="77"/>
  <c r="B10" i="77"/>
  <c r="G9" i="77"/>
  <c r="B9" i="77"/>
  <c r="G8" i="77"/>
  <c r="B8" i="77"/>
  <c r="G7" i="77"/>
  <c r="B7" i="77"/>
  <c r="G6" i="77"/>
  <c r="B6" i="77"/>
  <c r="G44" i="78" l="1"/>
  <c r="G44" i="77"/>
  <c r="G44" i="79"/>
  <c r="G44" i="83"/>
  <c r="G44" i="82"/>
  <c r="G44" i="80"/>
  <c r="E6" i="76"/>
  <c r="E6" i="75"/>
  <c r="E44" i="76" l="1"/>
  <c r="G42" i="76"/>
  <c r="B42" i="76"/>
  <c r="G41" i="76"/>
  <c r="B41" i="76"/>
  <c r="G40" i="76"/>
  <c r="B40" i="76"/>
  <c r="G39" i="76"/>
  <c r="B39" i="76"/>
  <c r="G38" i="76"/>
  <c r="B38" i="76"/>
  <c r="G37" i="76"/>
  <c r="B37" i="76"/>
  <c r="G36" i="76"/>
  <c r="B36" i="76"/>
  <c r="G35" i="76"/>
  <c r="B35" i="76"/>
  <c r="G34" i="76"/>
  <c r="B34" i="76"/>
  <c r="G33" i="76"/>
  <c r="B33" i="76"/>
  <c r="G32" i="76"/>
  <c r="B32" i="76"/>
  <c r="G31" i="76"/>
  <c r="B31" i="76"/>
  <c r="G30" i="76"/>
  <c r="B30" i="76"/>
  <c r="G29" i="76"/>
  <c r="B29" i="76"/>
  <c r="G28" i="76"/>
  <c r="B28" i="76"/>
  <c r="G27" i="76"/>
  <c r="B27" i="76"/>
  <c r="G26" i="76"/>
  <c r="B26" i="76"/>
  <c r="G25" i="76"/>
  <c r="B25" i="76"/>
  <c r="G24" i="76"/>
  <c r="B24" i="76"/>
  <c r="G23" i="76"/>
  <c r="B23" i="76"/>
  <c r="G22" i="76"/>
  <c r="B22" i="76"/>
  <c r="G21" i="76"/>
  <c r="B21" i="76"/>
  <c r="G19" i="76"/>
  <c r="B19" i="76"/>
  <c r="G18" i="76"/>
  <c r="B18" i="76"/>
  <c r="G17" i="76"/>
  <c r="B17" i="76"/>
  <c r="G16" i="76"/>
  <c r="B16" i="76"/>
  <c r="G15" i="76"/>
  <c r="B15" i="76"/>
  <c r="G14" i="76"/>
  <c r="B14" i="76"/>
  <c r="G13" i="76"/>
  <c r="B13" i="76"/>
  <c r="G12" i="76"/>
  <c r="B12" i="76"/>
  <c r="G11" i="76"/>
  <c r="B11" i="76"/>
  <c r="G10" i="76"/>
  <c r="B10" i="76"/>
  <c r="G9" i="76"/>
  <c r="B9" i="76"/>
  <c r="G8" i="76"/>
  <c r="B8" i="76"/>
  <c r="G7" i="76"/>
  <c r="B7" i="76"/>
  <c r="G6" i="76"/>
  <c r="B6" i="76"/>
  <c r="E44" i="75"/>
  <c r="G42" i="75"/>
  <c r="B42" i="75"/>
  <c r="G41" i="75"/>
  <c r="B41" i="75"/>
  <c r="G40" i="75"/>
  <c r="B40" i="75"/>
  <c r="G39" i="75"/>
  <c r="B39" i="75"/>
  <c r="G38" i="75"/>
  <c r="B38" i="75"/>
  <c r="G37" i="75"/>
  <c r="B37" i="75"/>
  <c r="G36" i="75"/>
  <c r="B36" i="75"/>
  <c r="G35" i="75"/>
  <c r="B35" i="75"/>
  <c r="G34" i="75"/>
  <c r="B34" i="75"/>
  <c r="G33" i="75"/>
  <c r="B33" i="75"/>
  <c r="G32" i="75"/>
  <c r="B32" i="75"/>
  <c r="G31" i="75"/>
  <c r="B31" i="75"/>
  <c r="G30" i="75"/>
  <c r="B30" i="75"/>
  <c r="G29" i="75"/>
  <c r="B29" i="75"/>
  <c r="G28" i="75"/>
  <c r="B28" i="75"/>
  <c r="G27" i="75"/>
  <c r="B27" i="75"/>
  <c r="G26" i="75"/>
  <c r="B26" i="75"/>
  <c r="G25" i="75"/>
  <c r="B25" i="75"/>
  <c r="G24" i="75"/>
  <c r="B24" i="75"/>
  <c r="G23" i="75"/>
  <c r="B23" i="75"/>
  <c r="G22" i="75"/>
  <c r="B22" i="75"/>
  <c r="G21" i="75"/>
  <c r="B21" i="75"/>
  <c r="G19" i="75"/>
  <c r="B19" i="75"/>
  <c r="G18" i="75"/>
  <c r="B18" i="75"/>
  <c r="G17" i="75"/>
  <c r="B17" i="75"/>
  <c r="G16" i="75"/>
  <c r="B16" i="75"/>
  <c r="G15" i="75"/>
  <c r="B15" i="75"/>
  <c r="G14" i="75"/>
  <c r="B14" i="75"/>
  <c r="G13" i="75"/>
  <c r="B13" i="75"/>
  <c r="G12" i="75"/>
  <c r="B12" i="75"/>
  <c r="G11" i="75"/>
  <c r="B11" i="75"/>
  <c r="G10" i="75"/>
  <c r="B10" i="75"/>
  <c r="G9" i="75"/>
  <c r="B9" i="75"/>
  <c r="G8" i="75"/>
  <c r="B8" i="75"/>
  <c r="G7" i="75"/>
  <c r="B7" i="75"/>
  <c r="G6" i="75"/>
  <c r="B6" i="75"/>
  <c r="G44" i="76" l="1"/>
  <c r="G44" i="75"/>
  <c r="E6" i="74"/>
  <c r="E44" i="74"/>
  <c r="G42" i="74"/>
  <c r="B42" i="74"/>
  <c r="G41" i="74"/>
  <c r="B41" i="74"/>
  <c r="G40" i="74"/>
  <c r="B40" i="74"/>
  <c r="G39" i="74"/>
  <c r="B39" i="74"/>
  <c r="G38" i="74"/>
  <c r="B38" i="74"/>
  <c r="G37" i="74"/>
  <c r="B37" i="74"/>
  <c r="G36" i="74"/>
  <c r="B36" i="74"/>
  <c r="G35" i="74"/>
  <c r="B35" i="74"/>
  <c r="G34" i="74"/>
  <c r="B34" i="74"/>
  <c r="G33" i="74"/>
  <c r="B33" i="74"/>
  <c r="G32" i="74"/>
  <c r="B32" i="74"/>
  <c r="G31" i="74"/>
  <c r="B31" i="74"/>
  <c r="G30" i="74"/>
  <c r="B30" i="74"/>
  <c r="G29" i="74"/>
  <c r="B29" i="74"/>
  <c r="G28" i="74"/>
  <c r="B28" i="74"/>
  <c r="G27" i="74"/>
  <c r="B27" i="74"/>
  <c r="G26" i="74"/>
  <c r="B26" i="74"/>
  <c r="G25" i="74"/>
  <c r="B25" i="74"/>
  <c r="G24" i="74"/>
  <c r="B24" i="74"/>
  <c r="G23" i="74"/>
  <c r="B23" i="74"/>
  <c r="G22" i="74"/>
  <c r="B22" i="74"/>
  <c r="G21" i="74"/>
  <c r="B21" i="74"/>
  <c r="G19" i="74"/>
  <c r="B19" i="74"/>
  <c r="G18" i="74"/>
  <c r="B18" i="74"/>
  <c r="G17" i="74"/>
  <c r="B17" i="74"/>
  <c r="G16" i="74"/>
  <c r="B16" i="74"/>
  <c r="G15" i="74"/>
  <c r="B15" i="74"/>
  <c r="G14" i="74"/>
  <c r="B14" i="74"/>
  <c r="G13" i="74"/>
  <c r="B13" i="74"/>
  <c r="G12" i="74"/>
  <c r="B12" i="74"/>
  <c r="G11" i="74"/>
  <c r="B11" i="74"/>
  <c r="G10" i="74"/>
  <c r="B10" i="74"/>
  <c r="G9" i="74"/>
  <c r="B9" i="74"/>
  <c r="G8" i="74"/>
  <c r="B8" i="74"/>
  <c r="G7" i="74"/>
  <c r="B7" i="74"/>
  <c r="B6" i="74"/>
  <c r="G15" i="72"/>
  <c r="B15" i="72"/>
  <c r="G15" i="73"/>
  <c r="B15" i="73"/>
  <c r="G6" i="74" l="1"/>
  <c r="G44" i="74"/>
  <c r="E6" i="72"/>
  <c r="E44" i="73"/>
  <c r="G42" i="73"/>
  <c r="B42" i="73"/>
  <c r="G41" i="73"/>
  <c r="B41" i="73"/>
  <c r="G40" i="73"/>
  <c r="B40" i="73"/>
  <c r="G39" i="73"/>
  <c r="B39" i="73"/>
  <c r="G38" i="73"/>
  <c r="B38" i="73"/>
  <c r="G37" i="73"/>
  <c r="B37" i="73"/>
  <c r="G36" i="73"/>
  <c r="B36" i="73"/>
  <c r="G35" i="73"/>
  <c r="B35" i="73"/>
  <c r="G34" i="73"/>
  <c r="B34" i="73"/>
  <c r="G33" i="73"/>
  <c r="B33" i="73"/>
  <c r="G32" i="73"/>
  <c r="B32" i="73"/>
  <c r="G31" i="73"/>
  <c r="B31" i="73"/>
  <c r="G30" i="73"/>
  <c r="B30" i="73"/>
  <c r="G29" i="73"/>
  <c r="B29" i="73"/>
  <c r="G28" i="73"/>
  <c r="B28" i="73"/>
  <c r="G27" i="73"/>
  <c r="B27" i="73"/>
  <c r="G26" i="73"/>
  <c r="B26" i="73"/>
  <c r="G25" i="73"/>
  <c r="B25" i="73"/>
  <c r="G24" i="73"/>
  <c r="B24" i="73"/>
  <c r="G23" i="73"/>
  <c r="B23" i="73"/>
  <c r="G22" i="73"/>
  <c r="B22" i="73"/>
  <c r="G21" i="73"/>
  <c r="B21" i="73"/>
  <c r="G19" i="73"/>
  <c r="B19" i="73"/>
  <c r="G18" i="73"/>
  <c r="B18" i="73"/>
  <c r="G17" i="73"/>
  <c r="B17" i="73"/>
  <c r="G16" i="73"/>
  <c r="B16" i="73"/>
  <c r="G14" i="73"/>
  <c r="B14" i="73"/>
  <c r="G13" i="73"/>
  <c r="B13" i="73"/>
  <c r="G12" i="73"/>
  <c r="B12" i="73"/>
  <c r="G11" i="73"/>
  <c r="B11" i="73"/>
  <c r="G10" i="73"/>
  <c r="B10" i="73"/>
  <c r="G9" i="73"/>
  <c r="B9" i="73"/>
  <c r="G8" i="73"/>
  <c r="B8" i="73"/>
  <c r="G7" i="73"/>
  <c r="B7" i="73"/>
  <c r="E6" i="73"/>
  <c r="B6" i="73"/>
  <c r="G6" i="73" l="1"/>
  <c r="G44" i="73"/>
  <c r="E6" i="84"/>
  <c r="G6" i="84" s="1"/>
  <c r="B7" i="72"/>
  <c r="B8" i="72"/>
  <c r="B9" i="72"/>
  <c r="B10" i="72"/>
  <c r="B11" i="72"/>
  <c r="B12" i="72"/>
  <c r="B13" i="72"/>
  <c r="B14" i="72"/>
  <c r="B16" i="72"/>
  <c r="B17" i="72"/>
  <c r="B18" i="72"/>
  <c r="B19" i="72"/>
  <c r="B21" i="72"/>
  <c r="B22" i="72"/>
  <c r="B23" i="72"/>
  <c r="B24" i="72"/>
  <c r="B25" i="72"/>
  <c r="B26" i="72"/>
  <c r="B27" i="72"/>
  <c r="B28" i="72"/>
  <c r="B29" i="72"/>
  <c r="B30" i="72"/>
  <c r="B31" i="72"/>
  <c r="B32" i="72"/>
  <c r="B33" i="72"/>
  <c r="B34" i="72"/>
  <c r="B35" i="72"/>
  <c r="B36" i="72"/>
  <c r="B37" i="72"/>
  <c r="B38" i="72"/>
  <c r="B39" i="72"/>
  <c r="B40" i="72"/>
  <c r="B41" i="72"/>
  <c r="B42" i="72"/>
  <c r="B6" i="72"/>
  <c r="G38" i="72"/>
  <c r="G33" i="72"/>
  <c r="G6" i="72"/>
  <c r="E44" i="72"/>
  <c r="G42" i="72"/>
  <c r="G41" i="72"/>
  <c r="G40" i="72"/>
  <c r="G39" i="72"/>
  <c r="G37" i="72"/>
  <c r="G36" i="72"/>
  <c r="G35" i="72"/>
  <c r="G34" i="72"/>
  <c r="G32" i="72"/>
  <c r="G31" i="72"/>
  <c r="G30" i="72"/>
  <c r="G29" i="72"/>
  <c r="G28" i="72"/>
  <c r="G27" i="72"/>
  <c r="G26" i="72"/>
  <c r="G25" i="72"/>
  <c r="G24" i="72"/>
  <c r="G23" i="72"/>
  <c r="G22" i="72"/>
  <c r="G21" i="72"/>
  <c r="G19" i="72"/>
  <c r="G18" i="72"/>
  <c r="G17" i="72"/>
  <c r="G16" i="72"/>
  <c r="G14" i="72"/>
  <c r="G13" i="72"/>
  <c r="G12" i="72"/>
  <c r="G11" i="72"/>
  <c r="G10" i="72"/>
  <c r="G9" i="72"/>
  <c r="G8" i="72"/>
  <c r="G7" i="72"/>
  <c r="G44" i="72" l="1"/>
  <c r="D40" i="70"/>
  <c r="D39" i="70"/>
  <c r="D38" i="70"/>
  <c r="D37" i="70"/>
  <c r="D36" i="70"/>
  <c r="D35" i="70"/>
  <c r="D34" i="70"/>
  <c r="D33" i="70"/>
  <c r="D32" i="70"/>
  <c r="D31" i="70"/>
  <c r="D30" i="70"/>
  <c r="D29" i="70"/>
  <c r="D28" i="70"/>
  <c r="D27" i="70"/>
  <c r="D26" i="70"/>
  <c r="D25" i="70"/>
  <c r="D24" i="70"/>
  <c r="D23" i="70"/>
  <c r="D22" i="70"/>
  <c r="D21" i="70"/>
  <c r="D20" i="70"/>
  <c r="D19" i="70"/>
  <c r="D18" i="70"/>
  <c r="D17" i="70"/>
  <c r="D16" i="70"/>
  <c r="D15" i="70"/>
  <c r="D14" i="70"/>
  <c r="D13" i="70"/>
  <c r="D12" i="70"/>
  <c r="D11" i="70"/>
  <c r="D10" i="70"/>
  <c r="D9" i="70"/>
  <c r="E8" i="70"/>
  <c r="D8" i="70"/>
  <c r="D40" i="69"/>
  <c r="D39" i="69"/>
  <c r="D38" i="69"/>
  <c r="D37" i="69"/>
  <c r="D36" i="69"/>
  <c r="D35" i="69"/>
  <c r="D34" i="69"/>
  <c r="D33" i="69"/>
  <c r="D32" i="69"/>
  <c r="D31" i="69"/>
  <c r="D30" i="69"/>
  <c r="D29" i="69"/>
  <c r="D28" i="69"/>
  <c r="D27" i="69"/>
  <c r="D26" i="69"/>
  <c r="D25" i="69"/>
  <c r="D24" i="69"/>
  <c r="D23" i="69"/>
  <c r="D22" i="69"/>
  <c r="D21" i="69"/>
  <c r="D20" i="69"/>
  <c r="D19" i="69"/>
  <c r="D18" i="69"/>
  <c r="D17" i="69"/>
  <c r="D16" i="69"/>
  <c r="D15" i="69"/>
  <c r="D14" i="69"/>
  <c r="D13" i="69"/>
  <c r="D12" i="69"/>
  <c r="D11" i="69"/>
  <c r="D10" i="69"/>
  <c r="D9" i="69"/>
  <c r="E8" i="69"/>
  <c r="D8" i="69"/>
  <c r="D40" i="68"/>
  <c r="D39" i="68"/>
  <c r="D38" i="68"/>
  <c r="D37" i="68"/>
  <c r="D36" i="68"/>
  <c r="D35" i="68"/>
  <c r="D34" i="68"/>
  <c r="D33" i="68"/>
  <c r="D32" i="68"/>
  <c r="D31" i="68"/>
  <c r="D30" i="68"/>
  <c r="D29" i="68"/>
  <c r="D28" i="68"/>
  <c r="D27" i="68"/>
  <c r="D26" i="68"/>
  <c r="D25" i="68"/>
  <c r="D24" i="68"/>
  <c r="D23" i="68"/>
  <c r="D22" i="68"/>
  <c r="D21" i="68"/>
  <c r="D20" i="68"/>
  <c r="D19" i="68"/>
  <c r="D18" i="68"/>
  <c r="D17" i="68"/>
  <c r="D16" i="68"/>
  <c r="D15" i="68"/>
  <c r="D14" i="68"/>
  <c r="D13" i="68"/>
  <c r="D12" i="68"/>
  <c r="D11" i="68"/>
  <c r="D10" i="68"/>
  <c r="D9" i="68"/>
  <c r="E8" i="68"/>
  <c r="D8" i="68"/>
  <c r="D40" i="67"/>
  <c r="D39" i="67"/>
  <c r="D38" i="67"/>
  <c r="D37" i="67"/>
  <c r="D36" i="67"/>
  <c r="D35" i="67"/>
  <c r="D34" i="67"/>
  <c r="D33" i="67"/>
  <c r="D32" i="67"/>
  <c r="D31" i="67"/>
  <c r="D30" i="67"/>
  <c r="D29" i="67"/>
  <c r="D28" i="67"/>
  <c r="D27" i="67"/>
  <c r="D26" i="67"/>
  <c r="D25" i="67"/>
  <c r="D24" i="67"/>
  <c r="D23" i="67"/>
  <c r="D22" i="67"/>
  <c r="D21" i="67"/>
  <c r="D20" i="67"/>
  <c r="D19" i="67"/>
  <c r="D18" i="67"/>
  <c r="D17" i="67"/>
  <c r="D16" i="67"/>
  <c r="D15" i="67"/>
  <c r="D14" i="67"/>
  <c r="D13" i="67"/>
  <c r="D12" i="67"/>
  <c r="D11" i="67"/>
  <c r="D10" i="67"/>
  <c r="D9" i="67"/>
  <c r="E8" i="67"/>
  <c r="D8" i="67"/>
  <c r="D40" i="66"/>
  <c r="D39" i="66"/>
  <c r="D38" i="66"/>
  <c r="D37" i="66"/>
  <c r="D36" i="66"/>
  <c r="D35" i="66"/>
  <c r="D34" i="66"/>
  <c r="D33" i="66"/>
  <c r="D32" i="66"/>
  <c r="D31" i="66"/>
  <c r="D30" i="66"/>
  <c r="D29" i="66"/>
  <c r="D28" i="66"/>
  <c r="D27" i="66"/>
  <c r="D26" i="66"/>
  <c r="D25" i="66"/>
  <c r="D24" i="66"/>
  <c r="D23" i="66"/>
  <c r="D22" i="66"/>
  <c r="D21" i="66"/>
  <c r="D20" i="66"/>
  <c r="D19" i="66"/>
  <c r="D18" i="66"/>
  <c r="D17" i="66"/>
  <c r="D16" i="66"/>
  <c r="D15" i="66"/>
  <c r="D14" i="66"/>
  <c r="D13" i="66"/>
  <c r="D12" i="66"/>
  <c r="D11" i="66"/>
  <c r="D10" i="66"/>
  <c r="D9" i="66"/>
  <c r="E8" i="66"/>
  <c r="D8" i="66"/>
  <c r="D40" i="65"/>
  <c r="D39" i="65"/>
  <c r="D38" i="65"/>
  <c r="D37" i="65"/>
  <c r="D36" i="65"/>
  <c r="D35" i="65"/>
  <c r="D34" i="65"/>
  <c r="D33" i="65"/>
  <c r="D32" i="65"/>
  <c r="D31" i="65"/>
  <c r="D30" i="65"/>
  <c r="D29" i="65"/>
  <c r="D28" i="65"/>
  <c r="D27" i="65"/>
  <c r="D26" i="65"/>
  <c r="D25" i="65"/>
  <c r="D24" i="65"/>
  <c r="D23" i="65"/>
  <c r="D22" i="65"/>
  <c r="D21" i="65"/>
  <c r="D20" i="65"/>
  <c r="D19" i="65"/>
  <c r="D18" i="65"/>
  <c r="D17" i="65"/>
  <c r="D16" i="65"/>
  <c r="D15" i="65"/>
  <c r="D14" i="65"/>
  <c r="D13" i="65"/>
  <c r="D12" i="65"/>
  <c r="D11" i="65"/>
  <c r="D10" i="65"/>
  <c r="D9" i="65"/>
  <c r="E8" i="65"/>
  <c r="D8" i="65"/>
  <c r="D40" i="64"/>
  <c r="D39" i="64"/>
  <c r="D38" i="64"/>
  <c r="D37" i="64"/>
  <c r="D36" i="64"/>
  <c r="D35" i="64"/>
  <c r="D34" i="64"/>
  <c r="D33" i="64"/>
  <c r="D32" i="64"/>
  <c r="D31" i="64"/>
  <c r="D30" i="64"/>
  <c r="D29" i="64"/>
  <c r="D28" i="64"/>
  <c r="D27" i="64"/>
  <c r="D26" i="64"/>
  <c r="D25" i="64"/>
  <c r="D24" i="64"/>
  <c r="D23" i="64"/>
  <c r="D22" i="64"/>
  <c r="D21" i="64"/>
  <c r="D20" i="64"/>
  <c r="D19" i="64"/>
  <c r="D18" i="64"/>
  <c r="D17" i="64"/>
  <c r="D16" i="64"/>
  <c r="D15" i="64"/>
  <c r="D14" i="64"/>
  <c r="D13" i="64"/>
  <c r="D12" i="64"/>
  <c r="D11" i="64"/>
  <c r="D10" i="64"/>
  <c r="D9" i="64"/>
  <c r="E8" i="64"/>
  <c r="D8" i="64"/>
  <c r="D40" i="63"/>
  <c r="D39" i="63"/>
  <c r="D38" i="63"/>
  <c r="D37" i="63"/>
  <c r="D36" i="63"/>
  <c r="D35" i="63"/>
  <c r="D34" i="63"/>
  <c r="D33" i="63"/>
  <c r="D32" i="63"/>
  <c r="D31" i="63"/>
  <c r="D30" i="63"/>
  <c r="D29" i="63"/>
  <c r="D28" i="63"/>
  <c r="D27" i="63"/>
  <c r="D26" i="63"/>
  <c r="D25" i="63"/>
  <c r="D24" i="63"/>
  <c r="D23" i="63"/>
  <c r="D22" i="63"/>
  <c r="D21" i="63"/>
  <c r="D20" i="63"/>
  <c r="D19" i="63"/>
  <c r="D18" i="63"/>
  <c r="D17" i="63"/>
  <c r="D16" i="63"/>
  <c r="D15" i="63"/>
  <c r="D14" i="63"/>
  <c r="D13" i="63"/>
  <c r="D12" i="63"/>
  <c r="D11" i="63"/>
  <c r="D10" i="63"/>
  <c r="D9" i="63"/>
  <c r="E8" i="63"/>
  <c r="D8" i="63"/>
  <c r="D40" i="62"/>
  <c r="D39" i="62"/>
  <c r="D38" i="62"/>
  <c r="D37" i="62"/>
  <c r="D36" i="62"/>
  <c r="D35" i="62"/>
  <c r="D34" i="62"/>
  <c r="D33" i="62"/>
  <c r="D32" i="62"/>
  <c r="D31" i="62"/>
  <c r="D30" i="62"/>
  <c r="D29" i="62"/>
  <c r="D28" i="62"/>
  <c r="D27" i="62"/>
  <c r="D26" i="62"/>
  <c r="D25" i="62"/>
  <c r="D24" i="62"/>
  <c r="D23" i="62"/>
  <c r="D22" i="62"/>
  <c r="D21" i="62"/>
  <c r="D20" i="62"/>
  <c r="D19" i="62"/>
  <c r="D18" i="62"/>
  <c r="D17" i="62"/>
  <c r="D16" i="62"/>
  <c r="D15" i="62"/>
  <c r="D14" i="62"/>
  <c r="D13" i="62"/>
  <c r="D12" i="62"/>
  <c r="D11" i="62"/>
  <c r="D10" i="62"/>
  <c r="D9" i="62"/>
  <c r="E8" i="62"/>
  <c r="D8" i="62"/>
  <c r="D40" i="61"/>
  <c r="D39" i="61"/>
  <c r="D38" i="61"/>
  <c r="D37" i="61"/>
  <c r="D36" i="61"/>
  <c r="D35" i="61"/>
  <c r="D34" i="61"/>
  <c r="D33" i="61"/>
  <c r="D32" i="61"/>
  <c r="D31" i="61"/>
  <c r="D30" i="61"/>
  <c r="D29" i="61"/>
  <c r="D28" i="61"/>
  <c r="D27" i="61"/>
  <c r="D26" i="61"/>
  <c r="D25" i="61"/>
  <c r="D24" i="61"/>
  <c r="D23" i="61"/>
  <c r="D22" i="61"/>
  <c r="D21" i="61"/>
  <c r="D20" i="61"/>
  <c r="D19" i="61"/>
  <c r="D18" i="61"/>
  <c r="D17" i="61"/>
  <c r="D16" i="61"/>
  <c r="D15" i="61"/>
  <c r="D14" i="61"/>
  <c r="D13" i="61"/>
  <c r="D12" i="61"/>
  <c r="D11" i="61"/>
  <c r="D10" i="61"/>
  <c r="D9" i="61"/>
  <c r="E8" i="61"/>
  <c r="D8" i="61"/>
  <c r="D40" i="60"/>
  <c r="D39" i="60"/>
  <c r="D38" i="60"/>
  <c r="D37" i="60"/>
  <c r="D36" i="60"/>
  <c r="D35" i="60"/>
  <c r="D34" i="60"/>
  <c r="D33" i="60"/>
  <c r="D32" i="60"/>
  <c r="D31" i="60"/>
  <c r="D30" i="60"/>
  <c r="D29" i="60"/>
  <c r="D28" i="60"/>
  <c r="D27" i="60"/>
  <c r="D26" i="60"/>
  <c r="D25" i="60"/>
  <c r="D24" i="60"/>
  <c r="D23" i="60"/>
  <c r="D22" i="60"/>
  <c r="D21" i="60"/>
  <c r="D20" i="60"/>
  <c r="D19" i="60"/>
  <c r="D18" i="60"/>
  <c r="D17" i="60"/>
  <c r="D16" i="60"/>
  <c r="D15" i="60"/>
  <c r="D14" i="60"/>
  <c r="D13" i="60"/>
  <c r="D12" i="60"/>
  <c r="D11" i="60"/>
  <c r="D10" i="60"/>
  <c r="D9" i="60"/>
  <c r="E8" i="60"/>
  <c r="D8" i="60"/>
  <c r="E42" i="71"/>
  <c r="G40" i="71"/>
  <c r="B40" i="71"/>
  <c r="G39" i="71"/>
  <c r="B39" i="71"/>
  <c r="G38" i="71"/>
  <c r="B38" i="71"/>
  <c r="G37" i="71"/>
  <c r="B37" i="71"/>
  <c r="G36" i="71"/>
  <c r="B36" i="71"/>
  <c r="G35" i="71"/>
  <c r="B35" i="71"/>
  <c r="G34" i="71"/>
  <c r="B34" i="71"/>
  <c r="G33" i="71"/>
  <c r="B33" i="71"/>
  <c r="G32" i="71"/>
  <c r="B32" i="71"/>
  <c r="G31" i="71"/>
  <c r="B31" i="71"/>
  <c r="G30" i="71"/>
  <c r="B30" i="71"/>
  <c r="G29" i="71"/>
  <c r="B29" i="71"/>
  <c r="G28" i="71"/>
  <c r="B28" i="71"/>
  <c r="G27" i="71"/>
  <c r="B27" i="71"/>
  <c r="G26" i="71"/>
  <c r="B26" i="71"/>
  <c r="G25" i="71"/>
  <c r="B25" i="71"/>
  <c r="G24" i="71"/>
  <c r="B24" i="71"/>
  <c r="G23" i="71"/>
  <c r="B23" i="71"/>
  <c r="G22" i="71"/>
  <c r="B22" i="71"/>
  <c r="G21" i="71"/>
  <c r="B21" i="71"/>
  <c r="G20" i="71"/>
  <c r="B20" i="71"/>
  <c r="G19" i="71"/>
  <c r="B19" i="71"/>
  <c r="G18" i="71"/>
  <c r="B18" i="71"/>
  <c r="G17" i="71"/>
  <c r="B17" i="71"/>
  <c r="G16" i="71"/>
  <c r="B16" i="71"/>
  <c r="G15" i="71"/>
  <c r="B15" i="71"/>
  <c r="G14" i="71"/>
  <c r="B14" i="71"/>
  <c r="G13" i="71"/>
  <c r="B13" i="71"/>
  <c r="G12" i="71"/>
  <c r="B12" i="71"/>
  <c r="G11" i="71"/>
  <c r="B11" i="71"/>
  <c r="G10" i="71"/>
  <c r="B10" i="71"/>
  <c r="G9" i="71"/>
  <c r="B9" i="71"/>
  <c r="B8" i="71"/>
  <c r="E42" i="70"/>
  <c r="G40" i="70"/>
  <c r="B40" i="70"/>
  <c r="G39" i="70"/>
  <c r="B39" i="70"/>
  <c r="G38" i="70"/>
  <c r="B38" i="70"/>
  <c r="G37" i="70"/>
  <c r="B37" i="70"/>
  <c r="G36" i="70"/>
  <c r="B36" i="70"/>
  <c r="G35" i="70"/>
  <c r="B35" i="70"/>
  <c r="G34" i="70"/>
  <c r="B34" i="70"/>
  <c r="G33" i="70"/>
  <c r="B33" i="70"/>
  <c r="G32" i="70"/>
  <c r="B32" i="70"/>
  <c r="G31" i="70"/>
  <c r="B31" i="70"/>
  <c r="G30" i="70"/>
  <c r="B30" i="70"/>
  <c r="G29" i="70"/>
  <c r="B29" i="70"/>
  <c r="G28" i="70"/>
  <c r="B28" i="70"/>
  <c r="G27" i="70"/>
  <c r="B27" i="70"/>
  <c r="G26" i="70"/>
  <c r="B26" i="70"/>
  <c r="G25" i="70"/>
  <c r="B25" i="70"/>
  <c r="G24" i="70"/>
  <c r="B24" i="70"/>
  <c r="G23" i="70"/>
  <c r="B23" i="70"/>
  <c r="G22" i="70"/>
  <c r="B22" i="70"/>
  <c r="G21" i="70"/>
  <c r="B21" i="70"/>
  <c r="G20" i="70"/>
  <c r="B20" i="70"/>
  <c r="G19" i="70"/>
  <c r="B19" i="70"/>
  <c r="G18" i="70"/>
  <c r="B18" i="70"/>
  <c r="G17" i="70"/>
  <c r="B17" i="70"/>
  <c r="G16" i="70"/>
  <c r="B16" i="70"/>
  <c r="G15" i="70"/>
  <c r="B15" i="70"/>
  <c r="G14" i="70"/>
  <c r="B14" i="70"/>
  <c r="G13" i="70"/>
  <c r="B13" i="70"/>
  <c r="G12" i="70"/>
  <c r="B12" i="70"/>
  <c r="G11" i="70"/>
  <c r="B11" i="70"/>
  <c r="G10" i="70"/>
  <c r="B10" i="70"/>
  <c r="G9" i="70"/>
  <c r="B9" i="70"/>
  <c r="B8" i="70"/>
  <c r="E42" i="69"/>
  <c r="G40" i="69"/>
  <c r="B40" i="69"/>
  <c r="G39" i="69"/>
  <c r="B39" i="69"/>
  <c r="G38" i="69"/>
  <c r="B38" i="69"/>
  <c r="G37" i="69"/>
  <c r="B37" i="69"/>
  <c r="G36" i="69"/>
  <c r="B36" i="69"/>
  <c r="G35" i="69"/>
  <c r="B35" i="69"/>
  <c r="G34" i="69"/>
  <c r="B34" i="69"/>
  <c r="G33" i="69"/>
  <c r="B33" i="69"/>
  <c r="G32" i="69"/>
  <c r="B32" i="69"/>
  <c r="G31" i="69"/>
  <c r="B31" i="69"/>
  <c r="G30" i="69"/>
  <c r="B30" i="69"/>
  <c r="G29" i="69"/>
  <c r="B29" i="69"/>
  <c r="G28" i="69"/>
  <c r="B28" i="69"/>
  <c r="G27" i="69"/>
  <c r="B27" i="69"/>
  <c r="G26" i="69"/>
  <c r="B26" i="69"/>
  <c r="G25" i="69"/>
  <c r="B25" i="69"/>
  <c r="G24" i="69"/>
  <c r="B24" i="69"/>
  <c r="G23" i="69"/>
  <c r="B23" i="69"/>
  <c r="G22" i="69"/>
  <c r="B22" i="69"/>
  <c r="G21" i="69"/>
  <c r="B21" i="69"/>
  <c r="G20" i="69"/>
  <c r="B20" i="69"/>
  <c r="G19" i="69"/>
  <c r="B19" i="69"/>
  <c r="G18" i="69"/>
  <c r="B18" i="69"/>
  <c r="G17" i="69"/>
  <c r="B17" i="69"/>
  <c r="G16" i="69"/>
  <c r="B16" i="69"/>
  <c r="G15" i="69"/>
  <c r="B15" i="69"/>
  <c r="G14" i="69"/>
  <c r="B14" i="69"/>
  <c r="G13" i="69"/>
  <c r="B13" i="69"/>
  <c r="G12" i="69"/>
  <c r="B12" i="69"/>
  <c r="G11" i="69"/>
  <c r="B11" i="69"/>
  <c r="G10" i="69"/>
  <c r="B10" i="69"/>
  <c r="G9" i="69"/>
  <c r="B9" i="69"/>
  <c r="B8" i="69"/>
  <c r="E42" i="68"/>
  <c r="G40" i="68"/>
  <c r="B40" i="68"/>
  <c r="G39" i="68"/>
  <c r="B39" i="68"/>
  <c r="G38" i="68"/>
  <c r="B38" i="68"/>
  <c r="G37" i="68"/>
  <c r="B37" i="68"/>
  <c r="G36" i="68"/>
  <c r="B36" i="68"/>
  <c r="G35" i="68"/>
  <c r="B35" i="68"/>
  <c r="G34" i="68"/>
  <c r="B34" i="68"/>
  <c r="G33" i="68"/>
  <c r="B33" i="68"/>
  <c r="G32" i="68"/>
  <c r="B32" i="68"/>
  <c r="G31" i="68"/>
  <c r="B31" i="68"/>
  <c r="G30" i="68"/>
  <c r="B30" i="68"/>
  <c r="G29" i="68"/>
  <c r="B29" i="68"/>
  <c r="G28" i="68"/>
  <c r="B28" i="68"/>
  <c r="G27" i="68"/>
  <c r="B27" i="68"/>
  <c r="G26" i="68"/>
  <c r="B26" i="68"/>
  <c r="G25" i="68"/>
  <c r="B25" i="68"/>
  <c r="G24" i="68"/>
  <c r="B24" i="68"/>
  <c r="G23" i="68"/>
  <c r="B23" i="68"/>
  <c r="G22" i="68"/>
  <c r="B22" i="68"/>
  <c r="G21" i="68"/>
  <c r="B21" i="68"/>
  <c r="G20" i="68"/>
  <c r="B20" i="68"/>
  <c r="G19" i="68"/>
  <c r="B19" i="68"/>
  <c r="G18" i="68"/>
  <c r="B18" i="68"/>
  <c r="G17" i="68"/>
  <c r="B17" i="68"/>
  <c r="G16" i="68"/>
  <c r="B16" i="68"/>
  <c r="G15" i="68"/>
  <c r="B15" i="68"/>
  <c r="G14" i="68"/>
  <c r="B14" i="68"/>
  <c r="G13" i="68"/>
  <c r="B13" i="68"/>
  <c r="G12" i="68"/>
  <c r="B12" i="68"/>
  <c r="G11" i="68"/>
  <c r="B11" i="68"/>
  <c r="G10" i="68"/>
  <c r="B10" i="68"/>
  <c r="G9" i="68"/>
  <c r="B9" i="68"/>
  <c r="B8" i="68"/>
  <c r="C7" i="71"/>
  <c r="E42" i="67"/>
  <c r="G40" i="67"/>
  <c r="B40" i="67"/>
  <c r="G39" i="67"/>
  <c r="B39" i="67"/>
  <c r="G38" i="67"/>
  <c r="B38" i="67"/>
  <c r="G37" i="67"/>
  <c r="B37" i="67"/>
  <c r="G36" i="67"/>
  <c r="B36" i="67"/>
  <c r="G35" i="67"/>
  <c r="B35" i="67"/>
  <c r="G34" i="67"/>
  <c r="B34" i="67"/>
  <c r="G33" i="67"/>
  <c r="B33" i="67"/>
  <c r="G32" i="67"/>
  <c r="B32" i="67"/>
  <c r="G31" i="67"/>
  <c r="B31" i="67"/>
  <c r="G30" i="67"/>
  <c r="B30" i="67"/>
  <c r="G29" i="67"/>
  <c r="B29" i="67"/>
  <c r="G28" i="67"/>
  <c r="B28" i="67"/>
  <c r="G27" i="67"/>
  <c r="B27" i="67"/>
  <c r="G26" i="67"/>
  <c r="B26" i="67"/>
  <c r="G25" i="67"/>
  <c r="B25" i="67"/>
  <c r="G24" i="67"/>
  <c r="B24" i="67"/>
  <c r="G23" i="67"/>
  <c r="B23" i="67"/>
  <c r="G22" i="67"/>
  <c r="B22" i="67"/>
  <c r="G21" i="67"/>
  <c r="B21" i="67"/>
  <c r="G20" i="67"/>
  <c r="B20" i="67"/>
  <c r="G19" i="67"/>
  <c r="B19" i="67"/>
  <c r="G18" i="67"/>
  <c r="B18" i="67"/>
  <c r="G17" i="67"/>
  <c r="B17" i="67"/>
  <c r="G16" i="67"/>
  <c r="B16" i="67"/>
  <c r="G15" i="67"/>
  <c r="B15" i="67"/>
  <c r="G14" i="67"/>
  <c r="B14" i="67"/>
  <c r="G13" i="67"/>
  <c r="B13" i="67"/>
  <c r="G12" i="67"/>
  <c r="B12" i="67"/>
  <c r="G11" i="67"/>
  <c r="B11" i="67"/>
  <c r="G10" i="67"/>
  <c r="B10" i="67"/>
  <c r="G9" i="67"/>
  <c r="B9" i="67"/>
  <c r="B8" i="67"/>
  <c r="E42" i="66"/>
  <c r="G40" i="66"/>
  <c r="B40" i="66"/>
  <c r="G39" i="66"/>
  <c r="B39" i="66"/>
  <c r="G38" i="66"/>
  <c r="B38" i="66"/>
  <c r="G37" i="66"/>
  <c r="B37" i="66"/>
  <c r="G36" i="66"/>
  <c r="B36" i="66"/>
  <c r="G35" i="66"/>
  <c r="B35" i="66"/>
  <c r="G34" i="66"/>
  <c r="B34" i="66"/>
  <c r="G33" i="66"/>
  <c r="B33" i="66"/>
  <c r="G32" i="66"/>
  <c r="B32" i="66"/>
  <c r="G31" i="66"/>
  <c r="B31" i="66"/>
  <c r="G30" i="66"/>
  <c r="B30" i="66"/>
  <c r="G29" i="66"/>
  <c r="B29" i="66"/>
  <c r="G28" i="66"/>
  <c r="B28" i="66"/>
  <c r="G27" i="66"/>
  <c r="B27" i="66"/>
  <c r="G26" i="66"/>
  <c r="B26" i="66"/>
  <c r="G25" i="66"/>
  <c r="B25" i="66"/>
  <c r="G24" i="66"/>
  <c r="B24" i="66"/>
  <c r="G23" i="66"/>
  <c r="B23" i="66"/>
  <c r="G22" i="66"/>
  <c r="B22" i="66"/>
  <c r="G21" i="66"/>
  <c r="B21" i="66"/>
  <c r="G20" i="66"/>
  <c r="B20" i="66"/>
  <c r="G19" i="66"/>
  <c r="B19" i="66"/>
  <c r="G18" i="66"/>
  <c r="B18" i="66"/>
  <c r="G17" i="66"/>
  <c r="B17" i="66"/>
  <c r="G16" i="66"/>
  <c r="B16" i="66"/>
  <c r="G15" i="66"/>
  <c r="B15" i="66"/>
  <c r="G14" i="66"/>
  <c r="B14" i="66"/>
  <c r="G13" i="66"/>
  <c r="B13" i="66"/>
  <c r="G12" i="66"/>
  <c r="B12" i="66"/>
  <c r="G11" i="66"/>
  <c r="B11" i="66"/>
  <c r="G10" i="66"/>
  <c r="B10" i="66"/>
  <c r="G9" i="66"/>
  <c r="B9" i="66"/>
  <c r="B8" i="66"/>
  <c r="E42" i="65"/>
  <c r="G40" i="65"/>
  <c r="B40" i="65"/>
  <c r="G39" i="65"/>
  <c r="B39" i="65"/>
  <c r="G38" i="65"/>
  <c r="B38" i="65"/>
  <c r="G37" i="65"/>
  <c r="B37" i="65"/>
  <c r="G36" i="65"/>
  <c r="B36" i="65"/>
  <c r="G35" i="65"/>
  <c r="B35" i="65"/>
  <c r="G34" i="65"/>
  <c r="B34" i="65"/>
  <c r="G33" i="65"/>
  <c r="B33" i="65"/>
  <c r="G32" i="65"/>
  <c r="B32" i="65"/>
  <c r="G31" i="65"/>
  <c r="B31" i="65"/>
  <c r="G30" i="65"/>
  <c r="B30" i="65"/>
  <c r="G29" i="65"/>
  <c r="B29" i="65"/>
  <c r="G28" i="65"/>
  <c r="B28" i="65"/>
  <c r="G27" i="65"/>
  <c r="B27" i="65"/>
  <c r="G26" i="65"/>
  <c r="B26" i="65"/>
  <c r="G25" i="65"/>
  <c r="B25" i="65"/>
  <c r="G24" i="65"/>
  <c r="B24" i="65"/>
  <c r="G23" i="65"/>
  <c r="B23" i="65"/>
  <c r="G22" i="65"/>
  <c r="B22" i="65"/>
  <c r="G21" i="65"/>
  <c r="B21" i="65"/>
  <c r="G20" i="65"/>
  <c r="B20" i="65"/>
  <c r="G19" i="65"/>
  <c r="B19" i="65"/>
  <c r="G18" i="65"/>
  <c r="B18" i="65"/>
  <c r="G17" i="65"/>
  <c r="B17" i="65"/>
  <c r="G16" i="65"/>
  <c r="B16" i="65"/>
  <c r="G15" i="65"/>
  <c r="B15" i="65"/>
  <c r="G14" i="65"/>
  <c r="B14" i="65"/>
  <c r="G13" i="65"/>
  <c r="B13" i="65"/>
  <c r="G12" i="65"/>
  <c r="B12" i="65"/>
  <c r="G11" i="65"/>
  <c r="B11" i="65"/>
  <c r="G10" i="65"/>
  <c r="B10" i="65"/>
  <c r="G9" i="65"/>
  <c r="B9" i="65"/>
  <c r="G8" i="65"/>
  <c r="B8" i="65"/>
  <c r="E42" i="64"/>
  <c r="G40" i="64"/>
  <c r="B40" i="64"/>
  <c r="G39" i="64"/>
  <c r="B39" i="64"/>
  <c r="G38" i="64"/>
  <c r="B38" i="64"/>
  <c r="G37" i="64"/>
  <c r="B37" i="64"/>
  <c r="G36" i="64"/>
  <c r="B36" i="64"/>
  <c r="G35" i="64"/>
  <c r="B35" i="64"/>
  <c r="G34" i="64"/>
  <c r="B34" i="64"/>
  <c r="G33" i="64"/>
  <c r="B33" i="64"/>
  <c r="G32" i="64"/>
  <c r="B32" i="64"/>
  <c r="G31" i="64"/>
  <c r="B31" i="64"/>
  <c r="G30" i="64"/>
  <c r="B30" i="64"/>
  <c r="G29" i="64"/>
  <c r="B29" i="64"/>
  <c r="G28" i="64"/>
  <c r="B28" i="64"/>
  <c r="G27" i="64"/>
  <c r="B27" i="64"/>
  <c r="G26" i="64"/>
  <c r="B26" i="64"/>
  <c r="G25" i="64"/>
  <c r="B25" i="64"/>
  <c r="G24" i="64"/>
  <c r="B24" i="64"/>
  <c r="G23" i="64"/>
  <c r="B23" i="64"/>
  <c r="G22" i="64"/>
  <c r="B22" i="64"/>
  <c r="G21" i="64"/>
  <c r="B21" i="64"/>
  <c r="G20" i="64"/>
  <c r="B20" i="64"/>
  <c r="G19" i="64"/>
  <c r="B19" i="64"/>
  <c r="G18" i="64"/>
  <c r="B18" i="64"/>
  <c r="G17" i="64"/>
  <c r="B17" i="64"/>
  <c r="G16" i="64"/>
  <c r="B16" i="64"/>
  <c r="G15" i="64"/>
  <c r="B15" i="64"/>
  <c r="G14" i="64"/>
  <c r="B14" i="64"/>
  <c r="G13" i="64"/>
  <c r="B13" i="64"/>
  <c r="G12" i="64"/>
  <c r="B12" i="64"/>
  <c r="G11" i="64"/>
  <c r="B11" i="64"/>
  <c r="G10" i="64"/>
  <c r="B10" i="64"/>
  <c r="G9" i="64"/>
  <c r="B9" i="64"/>
  <c r="B8" i="64"/>
  <c r="E42" i="63"/>
  <c r="G40" i="63"/>
  <c r="B40" i="63"/>
  <c r="G39" i="63"/>
  <c r="B39" i="63"/>
  <c r="G38" i="63"/>
  <c r="B38" i="63"/>
  <c r="G37" i="63"/>
  <c r="B37" i="63"/>
  <c r="G36" i="63"/>
  <c r="B36" i="63"/>
  <c r="G35" i="63"/>
  <c r="B35" i="63"/>
  <c r="G34" i="63"/>
  <c r="B34" i="63"/>
  <c r="G33" i="63"/>
  <c r="B33" i="63"/>
  <c r="G32" i="63"/>
  <c r="B32" i="63"/>
  <c r="G31" i="63"/>
  <c r="B31" i="63"/>
  <c r="G30" i="63"/>
  <c r="B30" i="63"/>
  <c r="G29" i="63"/>
  <c r="B29" i="63"/>
  <c r="G28" i="63"/>
  <c r="B28" i="63"/>
  <c r="G27" i="63"/>
  <c r="B27" i="63"/>
  <c r="G26" i="63"/>
  <c r="B26" i="63"/>
  <c r="G25" i="63"/>
  <c r="B25" i="63"/>
  <c r="G24" i="63"/>
  <c r="B24" i="63"/>
  <c r="G23" i="63"/>
  <c r="B23" i="63"/>
  <c r="G22" i="63"/>
  <c r="B22" i="63"/>
  <c r="G21" i="63"/>
  <c r="B21" i="63"/>
  <c r="G20" i="63"/>
  <c r="B20" i="63"/>
  <c r="G19" i="63"/>
  <c r="B19" i="63"/>
  <c r="G18" i="63"/>
  <c r="B18" i="63"/>
  <c r="G17" i="63"/>
  <c r="B17" i="63"/>
  <c r="G16" i="63"/>
  <c r="B16" i="63"/>
  <c r="G15" i="63"/>
  <c r="B15" i="63"/>
  <c r="G14" i="63"/>
  <c r="B14" i="63"/>
  <c r="G13" i="63"/>
  <c r="B13" i="63"/>
  <c r="G12" i="63"/>
  <c r="B12" i="63"/>
  <c r="G11" i="63"/>
  <c r="B11" i="63"/>
  <c r="G10" i="63"/>
  <c r="B10" i="63"/>
  <c r="G9" i="63"/>
  <c r="B9" i="63"/>
  <c r="B8" i="63"/>
  <c r="E42" i="62"/>
  <c r="G40" i="62"/>
  <c r="B40" i="62"/>
  <c r="G39" i="62"/>
  <c r="B39" i="62"/>
  <c r="G38" i="62"/>
  <c r="B38" i="62"/>
  <c r="G37" i="62"/>
  <c r="B37" i="62"/>
  <c r="G36" i="62"/>
  <c r="B36" i="62"/>
  <c r="G35" i="62"/>
  <c r="B35" i="62"/>
  <c r="G34" i="62"/>
  <c r="B34" i="62"/>
  <c r="G33" i="62"/>
  <c r="B33" i="62"/>
  <c r="G32" i="62"/>
  <c r="B32" i="62"/>
  <c r="G31" i="62"/>
  <c r="B31" i="62"/>
  <c r="G30" i="62"/>
  <c r="B30" i="62"/>
  <c r="G29" i="62"/>
  <c r="B29" i="62"/>
  <c r="G28" i="62"/>
  <c r="B28" i="62"/>
  <c r="G27" i="62"/>
  <c r="B27" i="62"/>
  <c r="G26" i="62"/>
  <c r="B26" i="62"/>
  <c r="G25" i="62"/>
  <c r="B25" i="62"/>
  <c r="G24" i="62"/>
  <c r="B24" i="62"/>
  <c r="G23" i="62"/>
  <c r="B23" i="62"/>
  <c r="G22" i="62"/>
  <c r="B22" i="62"/>
  <c r="G21" i="62"/>
  <c r="B21" i="62"/>
  <c r="G20" i="62"/>
  <c r="B20" i="62"/>
  <c r="G19" i="62"/>
  <c r="B19" i="62"/>
  <c r="G18" i="62"/>
  <c r="B18" i="62"/>
  <c r="G17" i="62"/>
  <c r="B17" i="62"/>
  <c r="G16" i="62"/>
  <c r="B16" i="62"/>
  <c r="G15" i="62"/>
  <c r="B15" i="62"/>
  <c r="G14" i="62"/>
  <c r="B14" i="62"/>
  <c r="G13" i="62"/>
  <c r="B13" i="62"/>
  <c r="G12" i="62"/>
  <c r="B12" i="62"/>
  <c r="G11" i="62"/>
  <c r="B11" i="62"/>
  <c r="G10" i="62"/>
  <c r="B10" i="62"/>
  <c r="G9" i="62"/>
  <c r="B9" i="62"/>
  <c r="B8" i="62"/>
  <c r="E42" i="61"/>
  <c r="G40" i="61"/>
  <c r="B40" i="61"/>
  <c r="G39" i="61"/>
  <c r="B39" i="61"/>
  <c r="G38" i="61"/>
  <c r="B38" i="61"/>
  <c r="G37" i="61"/>
  <c r="B37" i="61"/>
  <c r="G36" i="61"/>
  <c r="B36" i="61"/>
  <c r="G35" i="61"/>
  <c r="B35" i="61"/>
  <c r="G34" i="61"/>
  <c r="B34" i="61"/>
  <c r="G33" i="61"/>
  <c r="B33" i="61"/>
  <c r="G32" i="61"/>
  <c r="B32" i="61"/>
  <c r="G31" i="61"/>
  <c r="B31" i="61"/>
  <c r="G30" i="61"/>
  <c r="B30" i="61"/>
  <c r="G29" i="61"/>
  <c r="B29" i="61"/>
  <c r="G28" i="61"/>
  <c r="B28" i="61"/>
  <c r="G27" i="61"/>
  <c r="B27" i="61"/>
  <c r="G26" i="61"/>
  <c r="B26" i="61"/>
  <c r="G25" i="61"/>
  <c r="B25" i="61"/>
  <c r="G24" i="61"/>
  <c r="B24" i="61"/>
  <c r="G23" i="61"/>
  <c r="B23" i="61"/>
  <c r="G22" i="61"/>
  <c r="B22" i="61"/>
  <c r="G21" i="61"/>
  <c r="B21" i="61"/>
  <c r="G20" i="61"/>
  <c r="B20" i="61"/>
  <c r="G19" i="61"/>
  <c r="B19" i="61"/>
  <c r="G18" i="61"/>
  <c r="B18" i="61"/>
  <c r="G17" i="61"/>
  <c r="B17" i="61"/>
  <c r="G16" i="61"/>
  <c r="B16" i="61"/>
  <c r="G15" i="61"/>
  <c r="B15" i="61"/>
  <c r="G14" i="61"/>
  <c r="B14" i="61"/>
  <c r="G13" i="61"/>
  <c r="B13" i="61"/>
  <c r="G12" i="61"/>
  <c r="B12" i="61"/>
  <c r="G11" i="61"/>
  <c r="B11" i="61"/>
  <c r="G10" i="61"/>
  <c r="B10" i="61"/>
  <c r="G9" i="61"/>
  <c r="B9" i="61"/>
  <c r="G8" i="61"/>
  <c r="B8" i="61"/>
  <c r="E42" i="60"/>
  <c r="G40" i="60"/>
  <c r="B40" i="60"/>
  <c r="G39" i="60"/>
  <c r="B39" i="60"/>
  <c r="G38" i="60"/>
  <c r="B38" i="60"/>
  <c r="G37" i="60"/>
  <c r="B37" i="60"/>
  <c r="G36" i="60"/>
  <c r="B36" i="60"/>
  <c r="G35" i="60"/>
  <c r="B35" i="60"/>
  <c r="G34" i="60"/>
  <c r="B34" i="60"/>
  <c r="G33" i="60"/>
  <c r="B33" i="60"/>
  <c r="G32" i="60"/>
  <c r="B32" i="60"/>
  <c r="G31" i="60"/>
  <c r="B31" i="60"/>
  <c r="G30" i="60"/>
  <c r="B30" i="60"/>
  <c r="G29" i="60"/>
  <c r="B29" i="60"/>
  <c r="G28" i="60"/>
  <c r="B28" i="60"/>
  <c r="G27" i="60"/>
  <c r="B27" i="60"/>
  <c r="G26" i="60"/>
  <c r="B26" i="60"/>
  <c r="G25" i="60"/>
  <c r="B25" i="60"/>
  <c r="G24" i="60"/>
  <c r="B24" i="60"/>
  <c r="G23" i="60"/>
  <c r="B23" i="60"/>
  <c r="G22" i="60"/>
  <c r="B22" i="60"/>
  <c r="G21" i="60"/>
  <c r="B21" i="60"/>
  <c r="G20" i="60"/>
  <c r="B20" i="60"/>
  <c r="G19" i="60"/>
  <c r="B19" i="60"/>
  <c r="G18" i="60"/>
  <c r="B18" i="60"/>
  <c r="G17" i="60"/>
  <c r="B17" i="60"/>
  <c r="G16" i="60"/>
  <c r="B16" i="60"/>
  <c r="G15" i="60"/>
  <c r="B15" i="60"/>
  <c r="G14" i="60"/>
  <c r="B14" i="60"/>
  <c r="G13" i="60"/>
  <c r="B13" i="60"/>
  <c r="G12" i="60"/>
  <c r="B12" i="60"/>
  <c r="G11" i="60"/>
  <c r="B11" i="60"/>
  <c r="G10" i="60"/>
  <c r="B10" i="60"/>
  <c r="G9" i="60"/>
  <c r="B9" i="60"/>
  <c r="B8" i="60"/>
  <c r="G42" i="70" l="1"/>
  <c r="G42" i="67"/>
  <c r="G42" i="71"/>
  <c r="G42" i="61"/>
  <c r="G42" i="62"/>
  <c r="G42" i="65"/>
  <c r="G42" i="68"/>
  <c r="G42" i="66"/>
  <c r="G42" i="60"/>
  <c r="G42" i="63"/>
  <c r="G42" i="69"/>
  <c r="G42" i="64"/>
  <c r="G8" i="70"/>
  <c r="G8" i="69"/>
  <c r="G8" i="68"/>
  <c r="G8" i="67"/>
  <c r="G8" i="64"/>
  <c r="G8" i="63"/>
  <c r="G8" i="62"/>
  <c r="G8" i="66"/>
  <c r="G8" i="60"/>
  <c r="E8" i="59" l="1"/>
  <c r="E8" i="71" l="1"/>
  <c r="G8" i="71" s="1"/>
  <c r="D9" i="59"/>
  <c r="D10" i="59"/>
  <c r="D11" i="59"/>
  <c r="D12" i="59"/>
  <c r="D13" i="59"/>
  <c r="D14" i="59"/>
  <c r="D15" i="59"/>
  <c r="D16" i="59"/>
  <c r="D17" i="59"/>
  <c r="D18" i="59"/>
  <c r="D19" i="59"/>
  <c r="D20" i="59"/>
  <c r="D21" i="59"/>
  <c r="D22" i="59"/>
  <c r="D23" i="59"/>
  <c r="D24" i="59"/>
  <c r="D25" i="59"/>
  <c r="D26" i="59"/>
  <c r="D27" i="59"/>
  <c r="D28" i="59"/>
  <c r="D29" i="59"/>
  <c r="D30" i="59"/>
  <c r="D31" i="59"/>
  <c r="D32" i="59"/>
  <c r="D33" i="59"/>
  <c r="D34" i="59"/>
  <c r="D35" i="59"/>
  <c r="D36" i="59"/>
  <c r="D37" i="59"/>
  <c r="D38" i="59"/>
  <c r="D39" i="59"/>
  <c r="D40" i="59"/>
  <c r="D8" i="59"/>
  <c r="B40" i="59"/>
  <c r="B39" i="59"/>
  <c r="B38" i="59"/>
  <c r="B37" i="59"/>
  <c r="B36" i="59"/>
  <c r="B35" i="59"/>
  <c r="B34" i="59"/>
  <c r="B33" i="59"/>
  <c r="B32" i="59"/>
  <c r="B31" i="59"/>
  <c r="B30" i="59"/>
  <c r="B29" i="59"/>
  <c r="B28" i="59"/>
  <c r="B27" i="59"/>
  <c r="B26" i="59"/>
  <c r="B25" i="59"/>
  <c r="B24" i="59"/>
  <c r="B23" i="59"/>
  <c r="B22" i="59"/>
  <c r="B21" i="59"/>
  <c r="B20" i="59"/>
  <c r="B19" i="59"/>
  <c r="B18" i="59"/>
  <c r="B17" i="59"/>
  <c r="B16" i="59"/>
  <c r="B15" i="59"/>
  <c r="B14" i="59"/>
  <c r="B13" i="59"/>
  <c r="B12" i="59"/>
  <c r="B11" i="59"/>
  <c r="B10" i="59"/>
  <c r="B9" i="59"/>
  <c r="B8" i="59"/>
  <c r="E42" i="59"/>
  <c r="G40" i="59"/>
  <c r="G39" i="59"/>
  <c r="G38" i="59"/>
  <c r="G37" i="59"/>
  <c r="G36" i="59"/>
  <c r="G35" i="59"/>
  <c r="G34" i="59"/>
  <c r="G33" i="59"/>
  <c r="G32" i="59"/>
  <c r="G31" i="59"/>
  <c r="G30" i="59"/>
  <c r="G29" i="59"/>
  <c r="G28" i="59"/>
  <c r="G27" i="59"/>
  <c r="G26" i="59"/>
  <c r="G25" i="59"/>
  <c r="G24" i="59"/>
  <c r="G23" i="59"/>
  <c r="G22" i="59"/>
  <c r="G21" i="59"/>
  <c r="G20" i="59"/>
  <c r="G19" i="59"/>
  <c r="G18" i="59"/>
  <c r="G17" i="59"/>
  <c r="G16" i="59"/>
  <c r="G15" i="59"/>
  <c r="G14" i="59"/>
  <c r="G13" i="59"/>
  <c r="G12" i="59"/>
  <c r="G11" i="59"/>
  <c r="G10" i="59"/>
  <c r="G9" i="59"/>
  <c r="G8" i="59"/>
  <c r="G42" i="59" l="1"/>
  <c r="C34" i="70" l="1"/>
  <c r="C33" i="70"/>
  <c r="C31" i="70"/>
  <c r="C30" i="70"/>
  <c r="C28" i="70"/>
  <c r="C24" i="70"/>
  <c r="C23" i="70"/>
  <c r="C22" i="70"/>
  <c r="C21" i="70"/>
  <c r="C20" i="70"/>
  <c r="C19" i="70"/>
  <c r="C18" i="70"/>
  <c r="C16" i="70"/>
  <c r="C15" i="70"/>
  <c r="C13" i="70"/>
  <c r="C12" i="70"/>
  <c r="C10" i="70"/>
  <c r="C39" i="69"/>
  <c r="C34" i="69"/>
  <c r="C30" i="69"/>
  <c r="C29" i="69"/>
  <c r="C28" i="69"/>
  <c r="C27" i="69"/>
  <c r="C25" i="69"/>
  <c r="C24" i="69"/>
  <c r="C23" i="69"/>
  <c r="C17" i="69"/>
  <c r="C15" i="69"/>
  <c r="C13" i="69"/>
  <c r="C11" i="69"/>
  <c r="C10" i="69"/>
  <c r="C39" i="68"/>
  <c r="C30" i="68"/>
  <c r="C28" i="68"/>
  <c r="C26" i="68"/>
  <c r="C20" i="68"/>
  <c r="C11" i="68"/>
  <c r="C38" i="67"/>
  <c r="C36" i="67"/>
  <c r="C29" i="67"/>
  <c r="C24" i="67"/>
  <c r="C22" i="67"/>
  <c r="C21" i="67"/>
  <c r="C17" i="67"/>
  <c r="C15" i="67"/>
  <c r="C14" i="67"/>
  <c r="C39" i="66"/>
  <c r="C37" i="66"/>
  <c r="C36" i="66"/>
  <c r="C34" i="66"/>
  <c r="C33" i="66"/>
  <c r="C27" i="66"/>
  <c r="C24" i="66"/>
  <c r="C16" i="66"/>
  <c r="C13" i="66"/>
  <c r="C10" i="66"/>
  <c r="C39" i="65"/>
  <c r="C38" i="65"/>
  <c r="C36" i="65"/>
  <c r="C34" i="65"/>
  <c r="C33" i="65"/>
  <c r="C32" i="65"/>
  <c r="C28" i="65"/>
  <c r="C24" i="65"/>
  <c r="C21" i="65"/>
  <c r="C18" i="65"/>
  <c r="C16" i="65"/>
  <c r="C15" i="65"/>
  <c r="C9" i="65"/>
  <c r="C29" i="64"/>
  <c r="C24" i="64"/>
  <c r="C9" i="64"/>
  <c r="C40" i="63"/>
  <c r="C38" i="63"/>
  <c r="C36" i="63"/>
  <c r="C35" i="63"/>
  <c r="C31" i="63"/>
  <c r="C30" i="63"/>
  <c r="C28" i="63"/>
  <c r="C24" i="63"/>
  <c r="C21" i="63"/>
  <c r="C17" i="63"/>
  <c r="C15" i="63"/>
  <c r="C12" i="63"/>
  <c r="C11" i="63"/>
  <c r="C9" i="63"/>
  <c r="C40" i="66" l="1"/>
  <c r="C30" i="67"/>
  <c r="C16" i="68"/>
  <c r="C21" i="69"/>
  <c r="C36" i="69"/>
  <c r="C38" i="69"/>
  <c r="C9" i="70"/>
  <c r="C22" i="63"/>
  <c r="C11" i="65"/>
  <c r="C17" i="65"/>
  <c r="C37" i="65"/>
  <c r="C35" i="66"/>
  <c r="C23" i="67"/>
  <c r="C37" i="68"/>
  <c r="C16" i="69"/>
  <c r="C40" i="69"/>
  <c r="C11" i="70"/>
  <c r="C39" i="62"/>
  <c r="C31" i="62"/>
  <c r="C23" i="62"/>
  <c r="C15" i="62"/>
  <c r="C38" i="62"/>
  <c r="C14" i="62"/>
  <c r="C10" i="63"/>
  <c r="C36" i="64"/>
  <c r="C23" i="65"/>
  <c r="C30" i="65"/>
  <c r="C10" i="67"/>
  <c r="C16" i="67"/>
  <c r="C19" i="67"/>
  <c r="C18" i="69"/>
  <c r="C20" i="69"/>
  <c r="C31" i="69"/>
  <c r="C33" i="69"/>
  <c r="C35" i="69"/>
  <c r="C17" i="70"/>
  <c r="C26" i="70"/>
  <c r="C35" i="70"/>
  <c r="C37" i="70"/>
  <c r="C39" i="70"/>
  <c r="C29" i="62"/>
  <c r="C37" i="63"/>
  <c r="C10" i="65"/>
  <c r="C12" i="65"/>
  <c r="C9" i="66"/>
  <c r="C30" i="66"/>
  <c r="C40" i="67"/>
  <c r="C16" i="63"/>
  <c r="C25" i="63"/>
  <c r="C32" i="63"/>
  <c r="C39" i="63"/>
  <c r="C35" i="64"/>
  <c r="C40" i="65"/>
  <c r="C15" i="66"/>
  <c r="C17" i="66"/>
  <c r="C26" i="66"/>
  <c r="C32" i="66"/>
  <c r="C36" i="68"/>
  <c r="C9" i="69"/>
  <c r="C32" i="70"/>
  <c r="C35" i="62"/>
  <c r="C10" i="62"/>
  <c r="C18" i="63"/>
  <c r="C29" i="63"/>
  <c r="C29" i="65"/>
  <c r="C21" i="66"/>
  <c r="C20" i="63"/>
  <c r="C18" i="64"/>
  <c r="C37" i="64"/>
  <c r="C35" i="65"/>
  <c r="C23" i="66"/>
  <c r="C25" i="66"/>
  <c r="C38" i="66"/>
  <c r="C9" i="67"/>
  <c r="C13" i="67"/>
  <c r="C26" i="67"/>
  <c r="C37" i="67"/>
  <c r="C25" i="68"/>
  <c r="C33" i="68"/>
  <c r="C14" i="70"/>
  <c r="C25" i="70"/>
  <c r="C27" i="70"/>
  <c r="C29" i="70"/>
  <c r="C36" i="70"/>
  <c r="C38" i="70"/>
  <c r="C40" i="70"/>
  <c r="C32" i="69"/>
  <c r="C26" i="69"/>
  <c r="C12" i="69"/>
  <c r="C22" i="69"/>
  <c r="C14" i="69"/>
  <c r="C19" i="69"/>
  <c r="C37" i="69"/>
  <c r="C38" i="68"/>
  <c r="C30" i="62"/>
  <c r="C23" i="63"/>
  <c r="C10" i="64"/>
  <c r="C14" i="64"/>
  <c r="C31" i="64"/>
  <c r="C33" i="64"/>
  <c r="C22" i="65"/>
  <c r="C18" i="66"/>
  <c r="C11" i="67"/>
  <c r="C39" i="67"/>
  <c r="C21" i="68"/>
  <c r="C29" i="68"/>
  <c r="C36" i="62"/>
  <c r="C28" i="62"/>
  <c r="C11" i="62"/>
  <c r="C31" i="65"/>
  <c r="C11" i="66"/>
  <c r="C20" i="66"/>
  <c r="C22" i="66"/>
  <c r="C18" i="67"/>
  <c r="C27" i="67"/>
  <c r="C32" i="67"/>
  <c r="C24" i="68"/>
  <c r="C35" i="68"/>
  <c r="C20" i="64"/>
  <c r="C20" i="67"/>
  <c r="C25" i="67"/>
  <c r="C18" i="68"/>
  <c r="C25" i="65"/>
  <c r="C18" i="62"/>
  <c r="C9" i="62"/>
  <c r="C27" i="63"/>
  <c r="C39" i="64"/>
  <c r="C29" i="66"/>
  <c r="C31" i="66"/>
  <c r="C31" i="67"/>
  <c r="C33" i="67"/>
  <c r="C35" i="67"/>
  <c r="C21" i="62"/>
  <c r="C26" i="63"/>
  <c r="C19" i="62"/>
  <c r="C25" i="62"/>
  <c r="C17" i="62"/>
  <c r="C21" i="64"/>
  <c r="C19" i="65"/>
  <c r="C28" i="67"/>
  <c r="C15" i="68"/>
  <c r="C32" i="68"/>
  <c r="C37" i="62"/>
  <c r="C40" i="62"/>
  <c r="C32" i="62"/>
  <c r="C24" i="62"/>
  <c r="C16" i="62"/>
  <c r="C19" i="63"/>
  <c r="C34" i="63"/>
  <c r="C23" i="64"/>
  <c r="C19" i="66"/>
  <c r="C28" i="66"/>
  <c r="C9" i="68"/>
  <c r="C17" i="68"/>
  <c r="C23" i="68"/>
  <c r="C34" i="68"/>
  <c r="C22" i="68"/>
  <c r="C12" i="68"/>
  <c r="C31" i="68"/>
  <c r="C13" i="68"/>
  <c r="C40" i="68"/>
  <c r="C27" i="68"/>
  <c r="C14" i="68"/>
  <c r="C19" i="68"/>
  <c r="C10" i="68"/>
  <c r="C34" i="67"/>
  <c r="C12" i="67"/>
  <c r="C14" i="66"/>
  <c r="C12" i="66"/>
  <c r="C13" i="65"/>
  <c r="C14" i="65"/>
  <c r="C27" i="65"/>
  <c r="C16" i="64"/>
  <c r="C30" i="64"/>
  <c r="C38" i="64"/>
  <c r="C11" i="64"/>
  <c r="C40" i="64"/>
  <c r="C15" i="64"/>
  <c r="C27" i="64"/>
  <c r="C32" i="64"/>
  <c r="C34" i="64"/>
  <c r="C12" i="64"/>
  <c r="C17" i="64"/>
  <c r="C28" i="64"/>
  <c r="C13" i="64"/>
  <c r="C26" i="64"/>
  <c r="C22" i="64"/>
  <c r="C19" i="64"/>
  <c r="C25" i="64"/>
  <c r="C13" i="63"/>
  <c r="C33" i="63"/>
  <c r="C14" i="63"/>
  <c r="C20" i="62"/>
  <c r="C26" i="62"/>
  <c r="C33" i="62"/>
  <c r="C27" i="62"/>
  <c r="C34" i="62"/>
  <c r="C12" i="62"/>
  <c r="C22" i="62"/>
  <c r="C13" i="62"/>
  <c r="C8" i="68"/>
  <c r="C42" i="68" l="1"/>
  <c r="C44" i="68" s="1"/>
  <c r="C8" i="69"/>
  <c r="C42" i="69" s="1"/>
  <c r="C44" i="69" s="1"/>
  <c r="C8" i="67"/>
  <c r="C42" i="67" s="1"/>
  <c r="C44" i="67" s="1"/>
  <c r="C8" i="66"/>
  <c r="C42" i="66" s="1"/>
  <c r="C44" i="66" s="1"/>
  <c r="C8" i="64"/>
  <c r="C42" i="64" s="1"/>
  <c r="C44" i="64" s="1"/>
  <c r="C8" i="62"/>
  <c r="C42" i="62" s="1"/>
  <c r="C44" i="62" s="1"/>
  <c r="C8" i="70" l="1"/>
  <c r="C42" i="70" s="1"/>
  <c r="C44" i="70" s="1"/>
  <c r="C8" i="63"/>
  <c r="C42" i="63" s="1"/>
  <c r="C44" i="63" s="1"/>
  <c r="C34" i="61" l="1"/>
  <c r="C32" i="61"/>
  <c r="C29" i="61"/>
  <c r="C18" i="61"/>
  <c r="C36" i="61" l="1"/>
  <c r="C38" i="61"/>
  <c r="C40" i="61"/>
  <c r="C28" i="61"/>
  <c r="C30" i="61"/>
  <c r="C20" i="61"/>
  <c r="C9" i="61"/>
  <c r="C15" i="61"/>
  <c r="C17" i="61"/>
  <c r="C21" i="61"/>
  <c r="C19" i="61"/>
  <c r="C23" i="61"/>
  <c r="C31" i="61"/>
  <c r="C33" i="61"/>
  <c r="C35" i="61"/>
  <c r="C10" i="61"/>
  <c r="C14" i="61"/>
  <c r="C16" i="61"/>
  <c r="C37" i="61"/>
  <c r="C39" i="61"/>
  <c r="C25" i="61"/>
  <c r="C27" i="61"/>
  <c r="C12" i="61"/>
  <c r="C24" i="61"/>
  <c r="C26" i="61"/>
  <c r="C11" i="61"/>
  <c r="C22" i="61"/>
  <c r="C13" i="61"/>
  <c r="C8" i="61" l="1"/>
  <c r="C42" i="61" s="1"/>
  <c r="C44" i="61" s="1"/>
  <c r="C9" i="60" l="1"/>
  <c r="C16" i="60"/>
  <c r="C18" i="60"/>
  <c r="C20" i="60"/>
  <c r="C21" i="60"/>
  <c r="C23" i="60"/>
  <c r="C25" i="60"/>
  <c r="C27" i="60"/>
  <c r="C29" i="60"/>
  <c r="C31" i="60"/>
  <c r="C33" i="60"/>
  <c r="C35" i="60"/>
  <c r="C37" i="60"/>
  <c r="C39" i="60"/>
  <c r="C13" i="60"/>
  <c r="C17" i="60"/>
  <c r="C19" i="60"/>
  <c r="C22" i="60"/>
  <c r="C24" i="60"/>
  <c r="C26" i="60"/>
  <c r="C28" i="60"/>
  <c r="C30" i="60"/>
  <c r="C32" i="60"/>
  <c r="C34" i="60"/>
  <c r="C36" i="60"/>
  <c r="C38" i="60"/>
  <c r="C40" i="60"/>
  <c r="C11" i="60"/>
  <c r="C14" i="60"/>
  <c r="C12" i="60"/>
  <c r="C8" i="60"/>
  <c r="C15" i="60"/>
  <c r="C10" i="60"/>
  <c r="C42" i="60" l="1"/>
  <c r="C44" i="60" s="1"/>
  <c r="C21" i="59" l="1"/>
  <c r="C21" i="71" s="1"/>
  <c r="C39" i="59" l="1"/>
  <c r="C39" i="71" s="1"/>
  <c r="C36" i="59"/>
  <c r="C36" i="71" s="1"/>
  <c r="C9" i="59" l="1"/>
  <c r="C9" i="71" s="1"/>
  <c r="C8" i="59"/>
  <c r="C26" i="59" l="1"/>
  <c r="C25" i="59"/>
  <c r="C25" i="71" s="1"/>
  <c r="C18" i="59"/>
  <c r="C18" i="71" s="1"/>
  <c r="C17" i="59"/>
  <c r="C17" i="71" s="1"/>
  <c r="C23" i="59"/>
  <c r="C23" i="71" s="1"/>
  <c r="C29" i="59"/>
  <c r="C29" i="71" s="1"/>
  <c r="C35" i="59"/>
  <c r="C35" i="71" s="1"/>
  <c r="C38" i="59"/>
  <c r="C38" i="71" s="1"/>
  <c r="C40" i="59"/>
  <c r="C40" i="71" s="1"/>
  <c r="C32" i="59"/>
  <c r="C32" i="71" s="1"/>
  <c r="C22" i="59"/>
  <c r="C22" i="71" s="1"/>
  <c r="C27" i="59"/>
  <c r="C27" i="71" s="1"/>
  <c r="C30" i="59"/>
  <c r="C30" i="71" s="1"/>
  <c r="C37" i="59"/>
  <c r="C37" i="71" s="1"/>
  <c r="C31" i="59"/>
  <c r="C31" i="71" s="1"/>
  <c r="C34" i="59"/>
  <c r="C34" i="71" s="1"/>
  <c r="C10" i="59"/>
  <c r="C10" i="71" s="1"/>
  <c r="C13" i="59"/>
  <c r="C13" i="71" s="1"/>
  <c r="C24" i="59"/>
  <c r="C24" i="71" s="1"/>
  <c r="C19" i="59"/>
  <c r="C19" i="71" s="1"/>
  <c r="C28" i="59"/>
  <c r="C28" i="71" s="1"/>
  <c r="C15" i="59"/>
  <c r="C15" i="71" s="1"/>
  <c r="C20" i="59"/>
  <c r="C14" i="59"/>
  <c r="C14" i="71" s="1"/>
  <c r="C33" i="59"/>
  <c r="C33" i="71" s="1"/>
  <c r="C12" i="59"/>
  <c r="C12" i="71" s="1"/>
  <c r="C16" i="59"/>
  <c r="C16" i="71" s="1"/>
  <c r="C11" i="59"/>
  <c r="C11" i="71" s="1"/>
  <c r="C42" i="59" l="1"/>
  <c r="C44" i="59" s="1"/>
  <c r="C8" i="65" l="1"/>
  <c r="C8" i="71" l="1"/>
  <c r="C26" i="65" l="1"/>
  <c r="C26" i="71" s="1"/>
  <c r="C20" i="65" l="1"/>
  <c r="C20" i="71" l="1"/>
  <c r="C42" i="71" s="1"/>
  <c r="C44" i="71" s="1"/>
  <c r="C42" i="65"/>
  <c r="C44" i="65" s="1"/>
  <c r="C15" i="73" l="1"/>
  <c r="C15" i="72" l="1"/>
  <c r="C21" i="73" l="1"/>
  <c r="C26" i="73"/>
  <c r="C25" i="73"/>
  <c r="C34" i="73"/>
  <c r="C9" i="73"/>
  <c r="C13" i="73"/>
  <c r="C42" i="73"/>
  <c r="C40" i="73"/>
  <c r="C12" i="73"/>
  <c r="C23" i="73"/>
  <c r="C41" i="73"/>
  <c r="C7" i="73"/>
  <c r="C11" i="73"/>
  <c r="C16" i="73"/>
  <c r="C22" i="73"/>
  <c r="C31" i="73"/>
  <c r="C29" i="73"/>
  <c r="C27" i="73"/>
  <c r="C28" i="73"/>
  <c r="C35" i="73"/>
  <c r="C17" i="73"/>
  <c r="C37" i="73"/>
  <c r="C32" i="73"/>
  <c r="C36" i="73"/>
  <c r="C38" i="73"/>
  <c r="C18" i="73"/>
  <c r="C30" i="73"/>
  <c r="C10" i="73"/>
  <c r="C33" i="73"/>
  <c r="C14" i="73"/>
  <c r="C19" i="73"/>
  <c r="C39" i="73"/>
  <c r="C8" i="73"/>
  <c r="C6" i="73" l="1"/>
  <c r="C44" i="73" s="1"/>
  <c r="C46" i="73" s="1"/>
  <c r="C33" i="72" l="1"/>
  <c r="C39" i="72"/>
  <c r="C36" i="72"/>
  <c r="C41" i="72" l="1"/>
  <c r="C38" i="72"/>
  <c r="C42" i="72"/>
  <c r="C37" i="72"/>
  <c r="C35" i="72"/>
  <c r="C34" i="72"/>
  <c r="C40" i="72"/>
  <c r="C16" i="72" l="1"/>
  <c r="C9" i="72"/>
  <c r="C7" i="72"/>
  <c r="C14" i="72"/>
  <c r="C28" i="72"/>
  <c r="C24" i="72"/>
  <c r="C8" i="72"/>
  <c r="C11" i="72"/>
  <c r="C22" i="72"/>
  <c r="C10" i="72"/>
  <c r="C29" i="72"/>
  <c r="C12" i="72"/>
  <c r="C23" i="72"/>
  <c r="C26" i="72"/>
  <c r="C30" i="72"/>
  <c r="C27" i="72"/>
  <c r="C21" i="72"/>
  <c r="C17" i="72"/>
  <c r="C25" i="72"/>
  <c r="C19" i="72"/>
  <c r="C18" i="72"/>
  <c r="C32" i="72"/>
  <c r="C31" i="72"/>
  <c r="C13" i="72"/>
  <c r="C6" i="72" l="1"/>
  <c r="C44" i="72" l="1"/>
  <c r="C46" i="72" s="1"/>
  <c r="C24" i="73" l="1"/>
  <c r="C22" i="83" l="1"/>
  <c r="C12" i="83"/>
  <c r="C23" i="83"/>
  <c r="C34" i="83"/>
  <c r="C38" i="82"/>
  <c r="C26" i="82"/>
  <c r="C12" i="81"/>
  <c r="C8" i="78"/>
  <c r="C33" i="77"/>
  <c r="C25" i="81"/>
  <c r="C39" i="82"/>
  <c r="C36" i="82"/>
  <c r="C12" i="82"/>
  <c r="C19" i="82"/>
  <c r="C36" i="79"/>
  <c r="C18" i="81"/>
  <c r="C12" i="79"/>
  <c r="C26" i="79"/>
  <c r="C39" i="79"/>
  <c r="C35" i="79"/>
  <c r="C25" i="78"/>
  <c r="C13" i="79"/>
  <c r="C24" i="80"/>
  <c r="C18" i="83"/>
  <c r="C26" i="83"/>
  <c r="C31" i="83"/>
  <c r="C38" i="83"/>
  <c r="C26" i="77"/>
  <c r="C36" i="77"/>
  <c r="C29" i="77"/>
  <c r="C22" i="78"/>
  <c r="C29" i="78"/>
  <c r="C34" i="79"/>
  <c r="C40" i="79"/>
  <c r="C9" i="81"/>
  <c r="C36" i="81"/>
  <c r="C37" i="81"/>
  <c r="C28" i="78"/>
  <c r="C29" i="80"/>
  <c r="C31" i="82"/>
  <c r="C37" i="82"/>
  <c r="C22" i="80"/>
  <c r="C28" i="80"/>
  <c r="C21" i="81"/>
  <c r="C22" i="82"/>
  <c r="C15" i="83"/>
  <c r="C21" i="83"/>
  <c r="C36" i="83"/>
  <c r="C37" i="83"/>
  <c r="C27" i="77"/>
  <c r="C42" i="77"/>
  <c r="C31" i="79"/>
  <c r="C21" i="80"/>
  <c r="C27" i="80"/>
  <c r="C14" i="81"/>
  <c r="C18" i="82"/>
  <c r="C17" i="83"/>
  <c r="C28" i="83"/>
  <c r="C39" i="83"/>
  <c r="C41" i="83"/>
  <c r="C13" i="80"/>
  <c r="C22" i="81"/>
  <c r="C7" i="83"/>
  <c r="C19" i="83"/>
  <c r="C33" i="83"/>
  <c r="C19" i="77"/>
  <c r="C27" i="78"/>
  <c r="C18" i="77"/>
  <c r="C31" i="77"/>
  <c r="C15" i="78"/>
  <c r="C16" i="78"/>
  <c r="C42" i="78"/>
  <c r="C38" i="80"/>
  <c r="C15" i="81"/>
  <c r="C35" i="81"/>
  <c r="C32" i="82"/>
  <c r="C27" i="83"/>
  <c r="C42" i="79"/>
  <c r="C27" i="81"/>
  <c r="C14" i="79"/>
  <c r="C13" i="78"/>
  <c r="C13" i="81"/>
  <c r="C28" i="79"/>
  <c r="C40" i="78"/>
  <c r="C15" i="77"/>
  <c r="C38" i="78"/>
  <c r="C37" i="77"/>
  <c r="C22" i="77"/>
  <c r="C12" i="80"/>
  <c r="C23" i="82"/>
  <c r="C23" i="80"/>
  <c r="C28" i="77"/>
  <c r="C14" i="78"/>
  <c r="C9" i="79"/>
  <c r="C33" i="79"/>
  <c r="C37" i="80"/>
  <c r="C28" i="81"/>
  <c r="C21" i="77"/>
  <c r="C30" i="79"/>
  <c r="C12" i="77"/>
  <c r="C17" i="78"/>
  <c r="C41" i="79"/>
  <c r="C9" i="82"/>
  <c r="C14" i="77"/>
  <c r="C37" i="78"/>
  <c r="C24" i="79"/>
  <c r="C38" i="79"/>
  <c r="C24" i="77"/>
  <c r="C41" i="77"/>
  <c r="C18" i="79"/>
  <c r="C23" i="81"/>
  <c r="C35" i="77"/>
  <c r="C10" i="78"/>
  <c r="C36" i="78"/>
  <c r="C32" i="79"/>
  <c r="C10" i="80"/>
  <c r="C14" i="80"/>
  <c r="C11" i="81"/>
  <c r="C34" i="82"/>
  <c r="C25" i="83"/>
  <c r="C40" i="83"/>
  <c r="C11" i="79"/>
  <c r="C21" i="79"/>
  <c r="C29" i="81"/>
  <c r="C42" i="81"/>
  <c r="C24" i="82"/>
  <c r="C9" i="83"/>
  <c r="C13" i="83"/>
  <c r="C29" i="83"/>
  <c r="C7" i="81"/>
  <c r="C38" i="81"/>
  <c r="C14" i="83"/>
  <c r="C30" i="83"/>
  <c r="C10" i="83"/>
  <c r="C24" i="83"/>
  <c r="C42" i="83"/>
  <c r="C32" i="83"/>
  <c r="C16" i="83"/>
  <c r="C41" i="82"/>
  <c r="C15" i="82"/>
  <c r="C30" i="82"/>
  <c r="C35" i="82"/>
  <c r="C25" i="82"/>
  <c r="C40" i="82"/>
  <c r="C7" i="82"/>
  <c r="C8" i="81"/>
  <c r="C40" i="81"/>
  <c r="C17" i="81"/>
  <c r="C10" i="81"/>
  <c r="C39" i="81"/>
  <c r="C16" i="81"/>
  <c r="C16" i="80"/>
  <c r="C18" i="80"/>
  <c r="C39" i="80"/>
  <c r="C42" i="80"/>
  <c r="C33" i="80"/>
  <c r="C34" i="80"/>
  <c r="C9" i="80"/>
  <c r="C41" i="80"/>
  <c r="C17" i="80"/>
  <c r="C7" i="80"/>
  <c r="C16" i="79"/>
  <c r="C17" i="79"/>
  <c r="C15" i="79"/>
  <c r="C19" i="79"/>
  <c r="C7" i="79"/>
  <c r="C24" i="78"/>
  <c r="C9" i="78"/>
  <c r="C32" i="78"/>
  <c r="C30" i="78"/>
  <c r="C24" i="81"/>
  <c r="C32" i="81"/>
  <c r="C17" i="82"/>
  <c r="C19" i="81"/>
  <c r="C26" i="81"/>
  <c r="C33" i="81"/>
  <c r="C41" i="81"/>
  <c r="C30" i="81"/>
  <c r="C31" i="81"/>
  <c r="C34" i="81"/>
  <c r="C11" i="82"/>
  <c r="C13" i="82"/>
  <c r="C27" i="82"/>
  <c r="C33" i="82"/>
  <c r="C14" i="82"/>
  <c r="C10" i="82"/>
  <c r="C28" i="82"/>
  <c r="C29" i="82"/>
  <c r="C21" i="82"/>
  <c r="C8" i="82"/>
  <c r="C16" i="82"/>
  <c r="C8" i="83"/>
  <c r="C35" i="83"/>
  <c r="C11" i="83"/>
  <c r="C42" i="82"/>
  <c r="C8" i="79"/>
  <c r="C27" i="79"/>
  <c r="C29" i="79"/>
  <c r="C10" i="79"/>
  <c r="C37" i="79"/>
  <c r="C25" i="79"/>
  <c r="C8" i="80"/>
  <c r="C23" i="79"/>
  <c r="C26" i="80"/>
  <c r="C22" i="79"/>
  <c r="C30" i="80"/>
  <c r="C36" i="80"/>
  <c r="C31" i="80"/>
  <c r="C19" i="80"/>
  <c r="C32" i="80"/>
  <c r="C11" i="80"/>
  <c r="C25" i="80"/>
  <c r="C35" i="80"/>
  <c r="C40" i="80"/>
  <c r="C23" i="78"/>
  <c r="C34" i="78"/>
  <c r="C35" i="78"/>
  <c r="C7" i="78"/>
  <c r="C31" i="78"/>
  <c r="C26" i="78"/>
  <c r="C18" i="78"/>
  <c r="C33" i="78"/>
  <c r="C41" i="78"/>
  <c r="C19" i="78"/>
  <c r="C21" i="78"/>
  <c r="C11" i="78"/>
  <c r="C12" i="78"/>
  <c r="C39" i="78"/>
  <c r="C8" i="77"/>
  <c r="C34" i="77"/>
  <c r="C9" i="77"/>
  <c r="C16" i="77"/>
  <c r="C32" i="77"/>
  <c r="C39" i="77"/>
  <c r="C23" i="77"/>
  <c r="C7" i="77"/>
  <c r="C17" i="77"/>
  <c r="C30" i="77"/>
  <c r="C38" i="77"/>
  <c r="C10" i="77"/>
  <c r="C13" i="77"/>
  <c r="C25" i="77"/>
  <c r="C40" i="77"/>
  <c r="C11" i="77"/>
  <c r="C6" i="78" l="1"/>
  <c r="C44" i="78" s="1"/>
  <c r="C46" i="78" s="1"/>
  <c r="C6" i="81"/>
  <c r="C44" i="81" s="1"/>
  <c r="C46" i="81" s="1"/>
  <c r="C6" i="83"/>
  <c r="C44" i="83" s="1"/>
  <c r="C46" i="83" s="1"/>
  <c r="C6" i="82"/>
  <c r="C44" i="82" s="1"/>
  <c r="C46" i="82" s="1"/>
  <c r="C6" i="80"/>
  <c r="C44" i="80" s="1"/>
  <c r="C46" i="80" s="1"/>
  <c r="C6" i="79"/>
  <c r="C44" i="79" s="1"/>
  <c r="C46" i="79" s="1"/>
  <c r="C6" i="77"/>
  <c r="C44" i="77" s="1"/>
  <c r="C46" i="77" s="1"/>
  <c r="C7" i="76" l="1"/>
  <c r="C13" i="76"/>
  <c r="C32" i="76"/>
  <c r="C17" i="76"/>
  <c r="C24" i="76"/>
  <c r="C28" i="76"/>
  <c r="C36" i="76"/>
  <c r="C18" i="76"/>
  <c r="C23" i="76"/>
  <c r="C27" i="76"/>
  <c r="C40" i="76"/>
  <c r="C42" i="75"/>
  <c r="C16" i="76"/>
  <c r="C21" i="75"/>
  <c r="C19" i="75"/>
  <c r="C15" i="76"/>
  <c r="C37" i="76"/>
  <c r="C8" i="76"/>
  <c r="C12" i="76"/>
  <c r="C29" i="76"/>
  <c r="C21" i="76"/>
  <c r="C22" i="76"/>
  <c r="C42" i="76"/>
  <c r="C14" i="76"/>
  <c r="C31" i="76"/>
  <c r="C38" i="76"/>
  <c r="C39" i="75"/>
  <c r="C30" i="75"/>
  <c r="C41" i="75"/>
  <c r="C15" i="75"/>
  <c r="C27" i="75"/>
  <c r="C9" i="75"/>
  <c r="C9" i="76"/>
  <c r="C29" i="75"/>
  <c r="C38" i="75"/>
  <c r="C37" i="75"/>
  <c r="C40" i="75"/>
  <c r="C10" i="76"/>
  <c r="C41" i="76"/>
  <c r="C33" i="76"/>
  <c r="C39" i="76"/>
  <c r="C16" i="75"/>
  <c r="C32" i="75"/>
  <c r="C33" i="75"/>
  <c r="C35" i="75"/>
  <c r="C8" i="75"/>
  <c r="C12" i="75"/>
  <c r="C36" i="75"/>
  <c r="C24" i="75"/>
  <c r="C25" i="75"/>
  <c r="C34" i="75"/>
  <c r="C13" i="75"/>
  <c r="C28" i="75"/>
  <c r="C11" i="75"/>
  <c r="C14" i="75"/>
  <c r="C22" i="75"/>
  <c r="C26" i="75"/>
  <c r="C19" i="76" l="1"/>
  <c r="C11" i="76"/>
  <c r="C25" i="76"/>
  <c r="C34" i="76"/>
  <c r="C26" i="76"/>
  <c r="C35" i="76"/>
  <c r="C30" i="76"/>
  <c r="C10" i="75"/>
  <c r="C18" i="75"/>
  <c r="C23" i="75"/>
  <c r="C31" i="75"/>
  <c r="C17" i="75"/>
  <c r="C7" i="75"/>
  <c r="C6" i="75"/>
  <c r="C44" i="75" l="1"/>
  <c r="C46" i="75" s="1"/>
  <c r="C6" i="76"/>
  <c r="C44" i="76" s="1"/>
  <c r="C46" i="76" s="1"/>
  <c r="C8" i="74" l="1"/>
  <c r="C8" i="84" s="1"/>
  <c r="C36" i="74"/>
  <c r="C36" i="84" s="1"/>
  <c r="C10" i="74"/>
  <c r="C10" i="84" s="1"/>
  <c r="C28" i="74"/>
  <c r="C28" i="84" s="1"/>
  <c r="C37" i="74"/>
  <c r="C37" i="84" s="1"/>
  <c r="C16" i="74"/>
  <c r="C16" i="84" s="1"/>
  <c r="C27" i="74"/>
  <c r="C27" i="84" s="1"/>
  <c r="C33" i="74"/>
  <c r="C33" i="84" s="1"/>
  <c r="C22" i="74"/>
  <c r="C22" i="84" s="1"/>
  <c r="C29" i="74"/>
  <c r="C29" i="84" s="1"/>
  <c r="C39" i="74"/>
  <c r="C39" i="84" s="1"/>
  <c r="C40" i="74"/>
  <c r="C40" i="84" s="1"/>
  <c r="C41" i="74"/>
  <c r="C41" i="84" s="1"/>
  <c r="C17" i="74"/>
  <c r="C17" i="84" s="1"/>
  <c r="C9" i="74"/>
  <c r="C9" i="84" s="1"/>
  <c r="C15" i="74"/>
  <c r="C15" i="84" s="1"/>
  <c r="C18" i="74"/>
  <c r="C18" i="84" s="1"/>
  <c r="C30" i="74"/>
  <c r="C30" i="84" s="1"/>
  <c r="C34" i="74"/>
  <c r="C34" i="84" s="1"/>
  <c r="C19" i="74"/>
  <c r="C19" i="84" s="1"/>
  <c r="C25" i="74"/>
  <c r="C25" i="84" s="1"/>
  <c r="C31" i="74"/>
  <c r="C31" i="84" s="1"/>
  <c r="C21" i="74"/>
  <c r="C21" i="84" s="1"/>
  <c r="C14" i="74"/>
  <c r="C14" i="84" s="1"/>
  <c r="C32" i="74"/>
  <c r="C32" i="84" s="1"/>
  <c r="C24" i="74"/>
  <c r="C24" i="84" s="1"/>
  <c r="C26" i="74"/>
  <c r="C26" i="84" s="1"/>
  <c r="C38" i="74"/>
  <c r="C38" i="84" s="1"/>
  <c r="C35" i="74"/>
  <c r="C35" i="84" s="1"/>
  <c r="C42" i="74"/>
  <c r="C42" i="84" s="1"/>
  <c r="C12" i="74"/>
  <c r="C12" i="84" s="1"/>
  <c r="C7" i="74"/>
  <c r="C7" i="84" s="1"/>
  <c r="C11" i="74" l="1"/>
  <c r="C11" i="84" s="1"/>
  <c r="C23" i="74"/>
  <c r="C23" i="84" s="1"/>
  <c r="C13" i="74"/>
  <c r="C13" i="84" s="1"/>
  <c r="C6" i="74"/>
  <c r="C44" i="74" l="1"/>
  <c r="C46" i="74" s="1"/>
  <c r="C6" i="84"/>
  <c r="C44" i="84" s="1"/>
  <c r="C46" i="8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5" authorId="0" shapeId="0" xr:uid="{5FECC32D-B9B0-4166-BC53-8A3F00BFB116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CHQ 1577896   7 134 000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5" authorId="0" shapeId="0" xr:uid="{C69631F3-9EC0-48B5-908B-63083BE774FB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CHQ 9774890   7 134 000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5" authorId="0" shapeId="0" xr:uid="{C85EDEF2-71B8-4DDF-887E-0A341359C44A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CHQ 9774890   7 134 000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5" authorId="0" shapeId="0" xr:uid="{9C226FA8-39A9-4CC4-9785-DFC4B2FD2923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CHQ 9774890   7 134 000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5" authorId="0" shapeId="0" xr:uid="{4BBA9987-2E67-48AE-8254-72771D1DAD27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CHQ 9774890   7 134 000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5" authorId="0" shapeId="0" xr:uid="{9A3C94F2-10E3-4394-ADC3-3E181501647E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CHQ 9774890   7 134 000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5" authorId="0" shapeId="0" xr:uid="{AD3E00B0-8104-440F-BDD2-B9D3C0DAE33A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CHQ 9774890   7 134 000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5" authorId="0" shapeId="0" xr:uid="{2188228A-5E2C-48BE-B014-1D7814E813EF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CHQ 9774890   7 134 000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5" authorId="0" shapeId="0" xr:uid="{1C4D0E4C-B2F7-4C9A-B62B-D41F4D98F11C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CHQ 9774890   7 134 000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5" authorId="0" shapeId="0" xr:uid="{D3235339-0270-4069-BC1D-6B8DB8615D23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CHQ 9774890   7 134 000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5" authorId="0" shapeId="0" xr:uid="{90BA1486-3133-4739-816B-51A5A831AFEF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CHQ 9774890   7 134 000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5" authorId="0" shapeId="0" xr:uid="{353047FF-69D3-4393-9345-D28655F6B634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CHQ 9774890   7 134 000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5" authorId="0" shapeId="0" xr:uid="{AB820546-71A2-4FFF-9B16-F44AF0DA10EA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CHQ 9774890   7 134 000
</t>
        </r>
      </text>
    </comment>
    <comment ref="E6" authorId="0" shapeId="0" xr:uid="{16FF66ED-3021-4819-B077-BC953D12C278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CHQ 9774890   7 134 000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7" authorId="0" shapeId="0" xr:uid="{D7B033D9-97EC-4A4B-ABA6-A82736D79772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CHQ 9774890   1 860 000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7" authorId="0" shapeId="0" xr:uid="{1181B47B-A000-4CD2-BFD7-51B71E054B2A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CHQ 312451  4 817 300 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7" authorId="0" shapeId="0" xr:uid="{FE16CF46-BD62-4771-B45F-B98CC607CB68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CHQ 419 499  1 370 000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7" authorId="0" shapeId="0" xr:uid="{E08D1264-885E-438F-8719-00250FC18A95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CHQ 265863   4 899 000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7" authorId="0" shapeId="0" xr:uid="{9D46317A-FA7A-44C5-8E8D-926C396C0CEF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CHQ 717012  3 262 000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7" authorId="0" shapeId="0" xr:uid="{8082DBB4-9174-4B4F-B84F-FB2F1FEFF997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CHQ 665520  7 633 000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7" authorId="0" shapeId="0" xr:uid="{B408F94D-CAB6-4A2E-BAEE-E6A680B89F59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CHQ 633930  5 208 500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7" authorId="0" shapeId="0" xr:uid="{5A41FF82-791D-4020-99E4-457EDBADC4CA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CHQ 1053279  3 692 500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7" authorId="0" shapeId="0" xr:uid="{606F5521-B45C-43A2-B737-28898F7057B3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CHQ 1172722   7 270 000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7" authorId="0" shapeId="0" xr:uid="{B70D83EF-4859-4C43-B3EB-DBBB7DBECB9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CHQ 1277857   6 170 500 0K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7" authorId="0" shapeId="0" xr:uid="{980C50CD-B390-4C41-A73B-4C707B139039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CHQ 9774890   925 000 0K
CHQ 9774891   928 500 OK
CHQ 9774892   960 000 OK
CHQ 9774885   547 500 DEC 2022
CHQ 9774893   800 000 OK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7" authorId="0" shapeId="0" xr:uid="{615FA967-4E20-4A87-B26F-5D059D41E2DF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CHQ 1384777   4 933 090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7" authorId="0" shapeId="0" xr:uid="{AFDFA3D2-F79B-4BFA-BB50-E7695D46E783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CHQ 9774890   925 000 0K
CHQ 9774891   928 500 OK
CHQ 9774892   960 000 OK
CHQ 9774885   547 500 DEC 2022
CHQ 9774893   800 000 OK</t>
        </r>
      </text>
    </comment>
  </commentList>
</comments>
</file>

<file path=xl/sharedStrings.xml><?xml version="1.0" encoding="utf-8"?>
<sst xmlns="http://schemas.openxmlformats.org/spreadsheetml/2006/main" count="1371" uniqueCount="56">
  <si>
    <t>MATRICULE</t>
  </si>
  <si>
    <t>NOM ET PRENOM</t>
  </si>
  <si>
    <t>ASSOCIATION</t>
  </si>
  <si>
    <t>ANNEE</t>
  </si>
  <si>
    <t>TOTAUX</t>
  </si>
  <si>
    <t>NUM CHEQUE</t>
  </si>
  <si>
    <t>COMPTE BANQUE</t>
  </si>
  <si>
    <t>MONTANT CHEQUE</t>
  </si>
  <si>
    <t>LIBELLE</t>
  </si>
  <si>
    <t>REPORT</t>
  </si>
  <si>
    <t>TONTINE</t>
  </si>
  <si>
    <t>DIFFERENCE A CHERCHER</t>
  </si>
  <si>
    <t>AGIOS</t>
  </si>
  <si>
    <t>Extrait de compte</t>
  </si>
  <si>
    <t>CHEQUE ETABLI</t>
  </si>
  <si>
    <t>AS201648</t>
  </si>
  <si>
    <t>AS201601</t>
  </si>
  <si>
    <t>AS201602</t>
  </si>
  <si>
    <t>AS201604</t>
  </si>
  <si>
    <t>AS201654</t>
  </si>
  <si>
    <t>AS201605</t>
  </si>
  <si>
    <t>AS201608</t>
  </si>
  <si>
    <t>AS201651</t>
  </si>
  <si>
    <t>AS201609</t>
  </si>
  <si>
    <t>AS201611</t>
  </si>
  <si>
    <t>AS201613</t>
  </si>
  <si>
    <t>AS201617</t>
  </si>
  <si>
    <t>AS201619</t>
  </si>
  <si>
    <t>AS201661</t>
  </si>
  <si>
    <t>AS201649</t>
  </si>
  <si>
    <t>AS201639</t>
  </si>
  <si>
    <t>AS201621</t>
  </si>
  <si>
    <t>AS201622</t>
  </si>
  <si>
    <t>AS201624</t>
  </si>
  <si>
    <t>AS201626</t>
  </si>
  <si>
    <t>AS201628</t>
  </si>
  <si>
    <t>AS201656</t>
  </si>
  <si>
    <t>AS201633</t>
  </si>
  <si>
    <t>AS201657</t>
  </si>
  <si>
    <t>AS201653</t>
  </si>
  <si>
    <t>AS201638</t>
  </si>
  <si>
    <t>AS201641</t>
  </si>
  <si>
    <t>AS201660</t>
  </si>
  <si>
    <t>AS201643</t>
  </si>
  <si>
    <t>AS201658</t>
  </si>
  <si>
    <t>AS201646</t>
  </si>
  <si>
    <t>AS201659</t>
  </si>
  <si>
    <t>AS201647</t>
  </si>
  <si>
    <t>ASELBY</t>
  </si>
  <si>
    <t>SOLDE AFRIQUE BANQUE</t>
  </si>
  <si>
    <t>INT CREDITEUR</t>
  </si>
  <si>
    <t>AS201629</t>
  </si>
  <si>
    <t>AS201662</t>
  </si>
  <si>
    <t>SOLDE BANQUE</t>
  </si>
  <si>
    <t>AS201663</t>
  </si>
  <si>
    <t>AS201620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</si>
</sst>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4"/>
      <color theme="1"/>
      <name val="Britannic Bold"/>
      <family val="2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Britannic Bold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double">
        <color auto="1"/>
      </left>
      <right style="dotted">
        <color auto="1"/>
      </right>
      <top style="double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uble">
        <color auto="1"/>
      </top>
      <bottom style="dotted">
        <color auto="1"/>
      </bottom>
      <diagonal/>
    </border>
    <border>
      <left style="dotted">
        <color auto="1"/>
      </left>
      <right style="double">
        <color auto="1"/>
      </right>
      <top style="double">
        <color auto="1"/>
      </top>
      <bottom style="dotted">
        <color auto="1"/>
      </bottom>
      <diagonal/>
    </border>
    <border>
      <left style="double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uble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dotted">
        <color auto="1"/>
      </right>
      <top style="dotted">
        <color auto="1"/>
      </top>
      <bottom style="double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uble">
        <color auto="1"/>
      </bottom>
      <diagonal/>
    </border>
    <border>
      <left style="dotted">
        <color auto="1"/>
      </left>
      <right style="double">
        <color auto="1"/>
      </right>
      <top style="dotted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3" fillId="0" borderId="0" xfId="0" applyFont="1"/>
    <xf numFmtId="164" fontId="4" fillId="0" borderId="0" xfId="0" applyNumberFormat="1" applyFont="1"/>
    <xf numFmtId="0" fontId="9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Fill="1" applyBorder="1" applyAlignment="1">
      <alignment horizontal="center" wrapText="1"/>
    </xf>
    <xf numFmtId="0" fontId="0" fillId="0" borderId="6" xfId="0" applyBorder="1"/>
    <xf numFmtId="3" fontId="1" fillId="0" borderId="5" xfId="0" applyNumberFormat="1" applyFont="1" applyBorder="1"/>
    <xf numFmtId="3" fontId="2" fillId="0" borderId="6" xfId="0" applyNumberFormat="1" applyFont="1" applyBorder="1"/>
    <xf numFmtId="0" fontId="5" fillId="0" borderId="7" xfId="0" applyFont="1" applyBorder="1"/>
    <xf numFmtId="0" fontId="6" fillId="0" borderId="8" xfId="0" applyFont="1" applyBorder="1"/>
    <xf numFmtId="3" fontId="2" fillId="0" borderId="8" xfId="0" applyNumberFormat="1" applyFont="1" applyBorder="1"/>
    <xf numFmtId="3" fontId="2" fillId="0" borderId="9" xfId="0" applyNumberFormat="1" applyFont="1" applyBorder="1"/>
    <xf numFmtId="0" fontId="1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25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10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LISTEADHEREN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TABBOR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TABBHISTOBQU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4/ASELBY2024LISTEADHEREN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ABBOR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4/ASELBY2024TABBHISTOBQU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reception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F5">
            <v>655592631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F6">
            <v>699984782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F7">
            <v>677986676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F8">
            <v>675250451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F10">
            <v>699908065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F11">
            <v>694468080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F12">
            <v>699956355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F13">
            <v>675836725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F14">
            <v>677735778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F16">
            <v>693055118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F17">
            <v>677553702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F18">
            <v>675249207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F19">
            <v>677068360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F20">
            <v>676659191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F21">
            <v>699995086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F22">
            <v>677546060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F23">
            <v>677648306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F24">
            <v>699778906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F25">
            <v>677775940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F26">
            <v>699663416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F27">
            <v>677547311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F29">
            <v>694452000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F30">
            <v>677911165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F34">
            <v>696585118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F35">
            <v>696585018</v>
          </cell>
        </row>
        <row r="36">
          <cell r="A36" t="str">
            <v>AS201629</v>
          </cell>
          <cell r="B36">
            <v>32</v>
          </cell>
          <cell r="C36" t="str">
            <v>SIMO FONGANG ERIC</v>
          </cell>
        </row>
        <row r="37">
          <cell r="A37" t="str">
            <v>AS201659</v>
          </cell>
          <cell r="B37">
            <v>33</v>
          </cell>
          <cell r="C37" t="str">
            <v>YIALA ALAIN OSCAR</v>
          </cell>
        </row>
        <row r="38">
          <cell r="A38" t="str">
            <v>AS201660</v>
          </cell>
          <cell r="B38">
            <v>34</v>
          </cell>
          <cell r="C38" t="str">
            <v>TCHOUATEU AUGUSTIN</v>
          </cell>
        </row>
        <row r="39">
          <cell r="A39" t="str">
            <v>AS201661</v>
          </cell>
          <cell r="B39">
            <v>35</v>
          </cell>
          <cell r="C39" t="str">
            <v>MASSEUNGOUE DAGOBERT</v>
          </cell>
        </row>
        <row r="40">
          <cell r="A40" t="str">
            <v>AS201662</v>
          </cell>
          <cell r="B40">
            <v>36</v>
          </cell>
          <cell r="C40" t="str">
            <v>TIEYAM ERNEST</v>
          </cell>
          <cell r="D40" t="str">
            <v>INGENIEUR ELECTRONICIEN</v>
          </cell>
          <cell r="F40">
            <v>677508603</v>
          </cell>
          <cell r="H40" t="str">
            <v>BASTOS</v>
          </cell>
        </row>
        <row r="41">
          <cell r="A41" t="str">
            <v>AS201663</v>
          </cell>
          <cell r="B41">
            <v>37</v>
          </cell>
          <cell r="C41" t="str">
            <v>FAMPOU PAUL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TABORD"/>
      <sheetName val="HISTOMVTDEPENSE"/>
      <sheetName val="COMPTE BANQUE"/>
      <sheetName val="HISTODEC22"/>
      <sheetName val="HISTODEC24"/>
      <sheetName val="HISTOJANV25"/>
      <sheetName val="HISTOFEV25"/>
      <sheetName val="HISTOMARS25"/>
      <sheetName val="HISTOAVRIL25"/>
      <sheetName val="HISTOMAI25"/>
      <sheetName val="HISTOJUIN25"/>
      <sheetName val="HISTOJUIL25"/>
      <sheetName val="HISTOAOUT25"/>
      <sheetName val="HISTOSEPT25"/>
      <sheetName val="HISTOOCT25"/>
      <sheetName val="HISTONOV25"/>
      <sheetName val="HISTODEC25"/>
      <sheetName val="HISTORESUME25"/>
      <sheetName val="HISTODEC25 (2)"/>
      <sheetName val="HISTOJANV24"/>
      <sheetName val="HISTOFEV24"/>
      <sheetName val="HISTOMARS24"/>
      <sheetName val="HISTOAVRIL24"/>
      <sheetName val="HISTOMAI24"/>
      <sheetName val="HISTOJUIN24"/>
      <sheetName val="HISTOJUIL24"/>
      <sheetName val="HISTOAOUT24"/>
      <sheetName val="HISTOSEPT24"/>
      <sheetName val="HISTOOCT24"/>
      <sheetName val="HISTONOV24"/>
      <sheetName val="HISTODEC244"/>
      <sheetName val="HISTORESUME24"/>
      <sheetName val="HISTODEC24BB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673000</v>
          </cell>
          <cell r="BA6">
            <v>102000</v>
          </cell>
          <cell r="BC6">
            <v>0</v>
          </cell>
          <cell r="BD6">
            <v>571000</v>
          </cell>
          <cell r="BF6">
            <v>0</v>
          </cell>
          <cell r="BG6">
            <v>11</v>
          </cell>
          <cell r="BH6">
            <v>72000</v>
          </cell>
          <cell r="BI6">
            <v>200000</v>
          </cell>
          <cell r="BJ6">
            <v>0</v>
          </cell>
          <cell r="BN6">
            <v>401000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U7">
            <v>50000</v>
          </cell>
          <cell r="Y7">
            <v>50000</v>
          </cell>
          <cell r="Z7">
            <v>1000000</v>
          </cell>
          <cell r="AA7" t="str">
            <v>BANQUE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890000</v>
          </cell>
          <cell r="BC7">
            <v>0</v>
          </cell>
          <cell r="BD7">
            <v>890000</v>
          </cell>
          <cell r="BE7" t="str">
            <v>OK</v>
          </cell>
          <cell r="BF7">
            <v>110000</v>
          </cell>
          <cell r="BG7">
            <v>11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U8">
            <v>125000</v>
          </cell>
          <cell r="Y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C8">
            <v>0</v>
          </cell>
          <cell r="BD8">
            <v>0</v>
          </cell>
          <cell r="BF8">
            <v>0</v>
          </cell>
          <cell r="BG8">
            <v>11</v>
          </cell>
          <cell r="BO8" t="str">
            <v>COMMISSION</v>
          </cell>
          <cell r="BP8" t="str">
            <v>FONDS DE ROULEMENT</v>
          </cell>
          <cell r="BQ8">
            <v>66000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H9">
            <v>0</v>
          </cell>
          <cell r="I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U9">
            <v>250000</v>
          </cell>
          <cell r="Y9">
            <v>250000</v>
          </cell>
          <cell r="AC9">
            <v>31000</v>
          </cell>
          <cell r="AF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269000</v>
          </cell>
          <cell r="AX9">
            <v>0</v>
          </cell>
          <cell r="AY9">
            <v>0</v>
          </cell>
          <cell r="AZ9">
            <v>269000</v>
          </cell>
          <cell r="BC9">
            <v>0</v>
          </cell>
          <cell r="BD9">
            <v>269000</v>
          </cell>
          <cell r="BE9" t="str">
            <v>OK</v>
          </cell>
          <cell r="BF9">
            <v>0</v>
          </cell>
          <cell r="BG9">
            <v>11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50000</v>
          </cell>
          <cell r="F10">
            <v>0</v>
          </cell>
          <cell r="H10">
            <v>0</v>
          </cell>
          <cell r="I10" t="str">
            <v>ESPECES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U10">
            <v>50000</v>
          </cell>
          <cell r="Y10">
            <v>50000</v>
          </cell>
          <cell r="AC10">
            <v>30000</v>
          </cell>
          <cell r="AF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270000</v>
          </cell>
          <cell r="AX10">
            <v>0</v>
          </cell>
          <cell r="AY10">
            <v>0</v>
          </cell>
          <cell r="AZ10">
            <v>270000</v>
          </cell>
          <cell r="BC10">
            <v>0</v>
          </cell>
          <cell r="BD10">
            <v>270000</v>
          </cell>
          <cell r="BE10" t="str">
            <v>OK</v>
          </cell>
          <cell r="BF10">
            <v>0</v>
          </cell>
          <cell r="BG10">
            <v>11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150000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U11">
            <v>150000</v>
          </cell>
          <cell r="Y11">
            <v>150000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C11">
            <v>0</v>
          </cell>
          <cell r="BD11">
            <v>0</v>
          </cell>
          <cell r="BF11">
            <v>0</v>
          </cell>
          <cell r="BG11">
            <v>11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260000</v>
          </cell>
          <cell r="E12">
            <v>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U12">
            <v>260000</v>
          </cell>
          <cell r="Y12">
            <v>250000</v>
          </cell>
          <cell r="AQ12">
            <v>0</v>
          </cell>
          <cell r="AR12">
            <v>0</v>
          </cell>
          <cell r="AS12">
            <v>35000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C12">
            <v>0</v>
          </cell>
          <cell r="BD12">
            <v>0</v>
          </cell>
          <cell r="BF12">
            <v>0</v>
          </cell>
          <cell r="BG12">
            <v>11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11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11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0</v>
          </cell>
          <cell r="I15" t="str">
            <v>ECHEC</v>
          </cell>
          <cell r="J15">
            <v>1</v>
          </cell>
          <cell r="K15">
            <v>0</v>
          </cell>
          <cell r="M15">
            <v>0</v>
          </cell>
          <cell r="N15">
            <v>1</v>
          </cell>
          <cell r="O15">
            <v>0</v>
          </cell>
          <cell r="U15">
            <v>0</v>
          </cell>
          <cell r="Y15">
            <v>0</v>
          </cell>
          <cell r="AQ15">
            <v>0</v>
          </cell>
          <cell r="AR15">
            <v>0</v>
          </cell>
          <cell r="AS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11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11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250000</v>
          </cell>
          <cell r="E17">
            <v>25000</v>
          </cell>
          <cell r="F17">
            <v>0</v>
          </cell>
          <cell r="G17">
            <v>50000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U17">
            <v>275000</v>
          </cell>
          <cell r="Y17">
            <v>225000</v>
          </cell>
          <cell r="AQ17">
            <v>0</v>
          </cell>
          <cell r="AR17">
            <v>0</v>
          </cell>
          <cell r="AS17">
            <v>75000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C17">
            <v>0</v>
          </cell>
          <cell r="BD17">
            <v>0</v>
          </cell>
          <cell r="BF17">
            <v>0</v>
          </cell>
          <cell r="BG17">
            <v>11</v>
          </cell>
          <cell r="BO17" t="str">
            <v>S/TOTAL</v>
          </cell>
          <cell r="BQ17">
            <v>72000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346500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S18">
            <v>346500</v>
          </cell>
          <cell r="T18" t="str">
            <v>BANQUE</v>
          </cell>
          <cell r="U18">
            <v>496500</v>
          </cell>
          <cell r="Y18">
            <v>150000</v>
          </cell>
          <cell r="AE18">
            <v>115000</v>
          </cell>
          <cell r="AF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1085000</v>
          </cell>
          <cell r="AZ18">
            <v>1085000</v>
          </cell>
          <cell r="BC18">
            <v>346500</v>
          </cell>
          <cell r="BD18">
            <v>738500</v>
          </cell>
          <cell r="BE18" t="str">
            <v>OK</v>
          </cell>
          <cell r="BF18">
            <v>0</v>
          </cell>
          <cell r="BG18">
            <v>11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235000</v>
          </cell>
          <cell r="E19">
            <v>0</v>
          </cell>
          <cell r="F19">
            <v>0</v>
          </cell>
          <cell r="G19">
            <v>10000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U19">
            <v>235000</v>
          </cell>
          <cell r="Y19">
            <v>225000</v>
          </cell>
          <cell r="AE19">
            <v>105000</v>
          </cell>
          <cell r="AF19" t="str">
            <v>BANQUE</v>
          </cell>
          <cell r="AQ19">
            <v>0</v>
          </cell>
          <cell r="AR19">
            <v>0</v>
          </cell>
          <cell r="AS19">
            <v>35000</v>
          </cell>
          <cell r="AW19">
            <v>0</v>
          </cell>
          <cell r="AX19">
            <v>0</v>
          </cell>
          <cell r="AY19">
            <v>1095000</v>
          </cell>
          <cell r="AZ19">
            <v>1095000</v>
          </cell>
          <cell r="BC19">
            <v>0</v>
          </cell>
          <cell r="BD19">
            <v>1095000</v>
          </cell>
          <cell r="BE19" t="str">
            <v>OK</v>
          </cell>
          <cell r="BF19">
            <v>0</v>
          </cell>
          <cell r="BG19">
            <v>11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650000</v>
          </cell>
          <cell r="E21">
            <v>0</v>
          </cell>
          <cell r="F21">
            <v>0</v>
          </cell>
          <cell r="G21">
            <v>600000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U21">
            <v>650000</v>
          </cell>
          <cell r="Y21">
            <v>50000</v>
          </cell>
          <cell r="AQ21">
            <v>0</v>
          </cell>
          <cell r="AR21">
            <v>0</v>
          </cell>
          <cell r="AS21">
            <v>625000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11</v>
          </cell>
          <cell r="BO21" t="str">
            <v>RETRAIT COMPTE FOYER</v>
          </cell>
          <cell r="BQ21">
            <v>371000</v>
          </cell>
        </row>
        <row r="22">
          <cell r="A22" t="str">
            <v>AS201649</v>
          </cell>
          <cell r="B22" t="str">
            <v>MBOGNING TUGMA GUY</v>
          </cell>
          <cell r="C22">
            <v>0</v>
          </cell>
          <cell r="D22">
            <v>325000</v>
          </cell>
          <cell r="E22">
            <v>0</v>
          </cell>
          <cell r="F22">
            <v>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U22">
            <v>325000</v>
          </cell>
          <cell r="Y22">
            <v>325000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C22">
            <v>0</v>
          </cell>
          <cell r="BD22">
            <v>0</v>
          </cell>
          <cell r="BF22">
            <v>0</v>
          </cell>
          <cell r="BG22">
            <v>11</v>
          </cell>
          <cell r="BO22" t="str">
            <v>RETRAIT AIDE</v>
          </cell>
          <cell r="BQ22">
            <v>30000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11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U24">
            <v>125000</v>
          </cell>
          <cell r="Y24">
            <v>125000</v>
          </cell>
          <cell r="AD24">
            <v>7500</v>
          </cell>
          <cell r="AF24" t="str">
            <v>BANQUE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892500</v>
          </cell>
          <cell r="AY24">
            <v>0</v>
          </cell>
          <cell r="AZ24">
            <v>892500</v>
          </cell>
          <cell r="BA24">
            <v>32000</v>
          </cell>
          <cell r="BC24">
            <v>0</v>
          </cell>
          <cell r="BD24">
            <v>860500</v>
          </cell>
          <cell r="BE24" t="str">
            <v>OK</v>
          </cell>
          <cell r="BF24">
            <v>0</v>
          </cell>
          <cell r="BG24">
            <v>11</v>
          </cell>
          <cell r="BO24" t="str">
            <v>S/TOTAL</v>
          </cell>
          <cell r="BQ24">
            <v>401000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260000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U25">
            <v>260000</v>
          </cell>
          <cell r="Y25">
            <v>250000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C25">
            <v>0</v>
          </cell>
          <cell r="BD25">
            <v>0</v>
          </cell>
          <cell r="BF25">
            <v>0</v>
          </cell>
          <cell r="BG25">
            <v>11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U26">
            <v>240000</v>
          </cell>
          <cell r="Y26">
            <v>225000</v>
          </cell>
          <cell r="Z26">
            <v>1000000</v>
          </cell>
          <cell r="AA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0</v>
          </cell>
          <cell r="AY26">
            <v>0</v>
          </cell>
          <cell r="AZ26">
            <v>890000</v>
          </cell>
          <cell r="BC26">
            <v>0</v>
          </cell>
          <cell r="BD26">
            <v>890000</v>
          </cell>
          <cell r="BE26" t="str">
            <v>OK</v>
          </cell>
          <cell r="BF26">
            <v>110000</v>
          </cell>
          <cell r="BG26">
            <v>11</v>
          </cell>
          <cell r="BO26" t="str">
            <v>GRATIFICATION BUREAU 2023</v>
          </cell>
          <cell r="BP26" t="str">
            <v>FRAIS EXEPTIONNEL</v>
          </cell>
          <cell r="BQ26">
            <v>200000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225000</v>
          </cell>
          <cell r="E27">
            <v>25000</v>
          </cell>
          <cell r="F27">
            <v>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U27">
            <v>250000</v>
          </cell>
          <cell r="Y27">
            <v>250000</v>
          </cell>
          <cell r="AE27">
            <v>120000</v>
          </cell>
          <cell r="AF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1080000</v>
          </cell>
          <cell r="AZ27">
            <v>1080000</v>
          </cell>
          <cell r="BC27">
            <v>0</v>
          </cell>
          <cell r="BD27">
            <v>1080000</v>
          </cell>
          <cell r="BE27" t="str">
            <v>OK</v>
          </cell>
          <cell r="BF27">
            <v>0</v>
          </cell>
          <cell r="BG27">
            <v>11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50000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U28">
            <v>50000</v>
          </cell>
          <cell r="Y28">
            <v>50000</v>
          </cell>
          <cell r="AI28">
            <v>41000</v>
          </cell>
          <cell r="AL28">
            <v>1000</v>
          </cell>
          <cell r="AP28" t="str">
            <v>BANQUE</v>
          </cell>
          <cell r="AQ28">
            <v>0</v>
          </cell>
          <cell r="AR28">
            <v>0</v>
          </cell>
          <cell r="AS28">
            <v>25000</v>
          </cell>
          <cell r="AW28">
            <v>41000</v>
          </cell>
          <cell r="AX28">
            <v>0</v>
          </cell>
          <cell r="AY28">
            <v>0</v>
          </cell>
          <cell r="AZ28">
            <v>41000</v>
          </cell>
          <cell r="BA28">
            <v>41000</v>
          </cell>
          <cell r="BC28">
            <v>0</v>
          </cell>
          <cell r="BD28">
            <v>0</v>
          </cell>
          <cell r="BF28">
            <v>0</v>
          </cell>
          <cell r="BG28">
            <v>11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11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100000</v>
          </cell>
          <cell r="BA30">
            <v>100000</v>
          </cell>
          <cell r="BC30">
            <v>0</v>
          </cell>
          <cell r="BD30">
            <v>0</v>
          </cell>
          <cell r="BF30">
            <v>0</v>
          </cell>
          <cell r="BG30">
            <v>11</v>
          </cell>
          <cell r="BO30" t="str">
            <v>S/TOTAL</v>
          </cell>
          <cell r="BQ30">
            <v>200000</v>
          </cell>
        </row>
        <row r="31">
          <cell r="A31" t="str">
            <v>AS201657</v>
          </cell>
          <cell r="B31" t="str">
            <v>SEUMO POLYCARPE</v>
          </cell>
          <cell r="C31">
            <v>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U31">
            <v>50000</v>
          </cell>
          <cell r="Y31">
            <v>50000</v>
          </cell>
          <cell r="AC31">
            <v>30000</v>
          </cell>
          <cell r="AF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270000</v>
          </cell>
          <cell r="AX31">
            <v>0</v>
          </cell>
          <cell r="AY31">
            <v>0</v>
          </cell>
          <cell r="AZ31">
            <v>270000</v>
          </cell>
          <cell r="BC31">
            <v>0</v>
          </cell>
          <cell r="BD31">
            <v>270000</v>
          </cell>
          <cell r="BE31" t="str">
            <v>OK</v>
          </cell>
          <cell r="BF31">
            <v>0</v>
          </cell>
          <cell r="BG31">
            <v>11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U32">
            <v>250000</v>
          </cell>
          <cell r="Y32">
            <v>250000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C32">
            <v>0</v>
          </cell>
          <cell r="BD32">
            <v>0</v>
          </cell>
          <cell r="BF32">
            <v>0</v>
          </cell>
          <cell r="BG32">
            <v>11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50000</v>
          </cell>
          <cell r="E33">
            <v>0</v>
          </cell>
          <cell r="F33">
            <v>0</v>
          </cell>
          <cell r="H33">
            <v>0</v>
          </cell>
          <cell r="I33" t="str">
            <v>BANQUE</v>
          </cell>
          <cell r="J33">
            <v>1</v>
          </cell>
          <cell r="K33">
            <v>50000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11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150000</v>
          </cell>
          <cell r="E34">
            <v>0</v>
          </cell>
          <cell r="F34">
            <v>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U34">
            <v>150000</v>
          </cell>
          <cell r="Y34">
            <v>150000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100000</v>
          </cell>
          <cell r="BC34">
            <v>0</v>
          </cell>
          <cell r="BD34">
            <v>100000</v>
          </cell>
          <cell r="BE34" t="str">
            <v>OK</v>
          </cell>
          <cell r="BF34">
            <v>0</v>
          </cell>
          <cell r="BG34">
            <v>11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U35">
            <v>125000</v>
          </cell>
          <cell r="Y35">
            <v>125000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C35">
            <v>0</v>
          </cell>
          <cell r="BD35">
            <v>0</v>
          </cell>
          <cell r="BF35">
            <v>0</v>
          </cell>
          <cell r="BG35">
            <v>11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U36">
            <v>150000</v>
          </cell>
          <cell r="Y36">
            <v>150000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C36">
            <v>0</v>
          </cell>
          <cell r="BD36">
            <v>0</v>
          </cell>
          <cell r="BF36">
            <v>0</v>
          </cell>
          <cell r="BG36">
            <v>11</v>
          </cell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11</v>
          </cell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H38">
            <v>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11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100000</v>
          </cell>
          <cell r="E39">
            <v>25000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U39">
            <v>125000</v>
          </cell>
          <cell r="Y39">
            <v>125000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C39">
            <v>0</v>
          </cell>
          <cell r="BD39">
            <v>0</v>
          </cell>
          <cell r="BF39">
            <v>0</v>
          </cell>
          <cell r="BG39">
            <v>11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0</v>
          </cell>
          <cell r="E40">
            <v>50000</v>
          </cell>
          <cell r="F40">
            <v>0</v>
          </cell>
          <cell r="H40">
            <v>0</v>
          </cell>
          <cell r="I40" t="str">
            <v>ESPECES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11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250000</v>
          </cell>
          <cell r="E41">
            <v>0</v>
          </cell>
          <cell r="F41">
            <v>0</v>
          </cell>
          <cell r="H41">
            <v>0</v>
          </cell>
          <cell r="I41" t="str">
            <v>BANQUE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U41">
            <v>250000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100000</v>
          </cell>
          <cell r="BC41">
            <v>0</v>
          </cell>
          <cell r="BD41">
            <v>100000</v>
          </cell>
          <cell r="BE41" t="str">
            <v>OK</v>
          </cell>
          <cell r="BF41">
            <v>0</v>
          </cell>
          <cell r="BG41">
            <v>11</v>
          </cell>
          <cell r="BK41">
            <v>100000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11</v>
          </cell>
        </row>
        <row r="44">
          <cell r="B44" t="str">
            <v>TOTAUX</v>
          </cell>
          <cell r="C44">
            <v>0</v>
          </cell>
          <cell r="D44">
            <v>5395000</v>
          </cell>
          <cell r="E44">
            <v>275000</v>
          </cell>
          <cell r="F44">
            <v>346500</v>
          </cell>
          <cell r="G44">
            <v>695000</v>
          </cell>
          <cell r="H44">
            <v>0</v>
          </cell>
          <cell r="I44">
            <v>0</v>
          </cell>
          <cell r="J44">
            <v>35</v>
          </cell>
          <cell r="K44">
            <v>1700000</v>
          </cell>
          <cell r="L44">
            <v>13</v>
          </cell>
          <cell r="M44">
            <v>975000</v>
          </cell>
          <cell r="N44">
            <v>24</v>
          </cell>
          <cell r="O44">
            <v>2300000</v>
          </cell>
          <cell r="P44">
            <v>0</v>
          </cell>
          <cell r="Q44">
            <v>0</v>
          </cell>
          <cell r="R44">
            <v>0</v>
          </cell>
          <cell r="S44">
            <v>346500</v>
          </cell>
          <cell r="U44">
            <v>6016500</v>
          </cell>
          <cell r="V44">
            <v>0</v>
          </cell>
          <cell r="W44">
            <v>0</v>
          </cell>
          <cell r="X44">
            <v>0</v>
          </cell>
          <cell r="Y44">
            <v>4975000</v>
          </cell>
          <cell r="Z44">
            <v>2000000</v>
          </cell>
          <cell r="AA44">
            <v>0</v>
          </cell>
          <cell r="AC44">
            <v>91000</v>
          </cell>
          <cell r="AD44">
            <v>7500</v>
          </cell>
          <cell r="AE44">
            <v>340000</v>
          </cell>
          <cell r="AG44">
            <v>0</v>
          </cell>
          <cell r="AI44">
            <v>41000</v>
          </cell>
          <cell r="AJ44">
            <v>0</v>
          </cell>
          <cell r="AK44">
            <v>0</v>
          </cell>
          <cell r="AL44">
            <v>1000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1545000</v>
          </cell>
          <cell r="AT44">
            <v>0</v>
          </cell>
          <cell r="AU44">
            <v>0</v>
          </cell>
          <cell r="AV44">
            <v>0</v>
          </cell>
          <cell r="AW44">
            <v>850000</v>
          </cell>
          <cell r="AX44">
            <v>892500</v>
          </cell>
          <cell r="AY44">
            <v>3260000</v>
          </cell>
          <cell r="AZ44">
            <v>7755500</v>
          </cell>
          <cell r="BA44">
            <v>275000</v>
          </cell>
          <cell r="BB44">
            <v>0</v>
          </cell>
          <cell r="BC44">
            <v>346500</v>
          </cell>
          <cell r="BD44">
            <v>7134000</v>
          </cell>
          <cell r="BE44">
            <v>0</v>
          </cell>
          <cell r="BF44">
            <v>220000</v>
          </cell>
          <cell r="BH44">
            <v>72000</v>
          </cell>
          <cell r="BI44">
            <v>200000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P6" t="str">
            <v>BANQUE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36000</v>
          </cell>
          <cell r="BA6">
            <v>30000</v>
          </cell>
          <cell r="BC6">
            <v>0</v>
          </cell>
          <cell r="BD6">
            <v>6000</v>
          </cell>
          <cell r="BE6" t="str">
            <v>OK</v>
          </cell>
          <cell r="BF6">
            <v>0</v>
          </cell>
          <cell r="BG6">
            <v>10</v>
          </cell>
          <cell r="BH6">
            <v>36000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M7">
            <v>2000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10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Y8">
            <v>125000</v>
          </cell>
          <cell r="AJ8">
            <v>100000</v>
          </cell>
          <cell r="AM8">
            <v>3000</v>
          </cell>
          <cell r="AP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100000</v>
          </cell>
          <cell r="AY8">
            <v>0</v>
          </cell>
          <cell r="AZ8">
            <v>100000</v>
          </cell>
          <cell r="BC8">
            <v>0</v>
          </cell>
          <cell r="BD8">
            <v>100000</v>
          </cell>
          <cell r="BE8" t="str">
            <v>OK</v>
          </cell>
          <cell r="BF8">
            <v>0</v>
          </cell>
          <cell r="BG8">
            <v>10</v>
          </cell>
          <cell r="BO8" t="str">
            <v>COMMISSION</v>
          </cell>
          <cell r="BP8" t="str">
            <v>FONDS DE ROULEMENT</v>
          </cell>
          <cell r="BQ8">
            <v>30000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H9">
            <v>0</v>
          </cell>
          <cell r="I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Y9">
            <v>250000</v>
          </cell>
          <cell r="AE9">
            <v>80000</v>
          </cell>
          <cell r="AF9" t="str">
            <v>BANQUE</v>
          </cell>
          <cell r="AK9">
            <v>200000</v>
          </cell>
          <cell r="AN9">
            <v>7500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1320000</v>
          </cell>
          <cell r="AZ9">
            <v>1320000</v>
          </cell>
          <cell r="BC9">
            <v>0</v>
          </cell>
          <cell r="BD9">
            <v>1320000</v>
          </cell>
          <cell r="BE9" t="str">
            <v>OK</v>
          </cell>
          <cell r="BF9">
            <v>0</v>
          </cell>
          <cell r="BG9">
            <v>10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50000</v>
          </cell>
          <cell r="E10">
            <v>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50000</v>
          </cell>
          <cell r="Y10">
            <v>50000</v>
          </cell>
          <cell r="AI10">
            <v>40000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40000</v>
          </cell>
          <cell r="AX10">
            <v>0</v>
          </cell>
          <cell r="AY10">
            <v>0</v>
          </cell>
          <cell r="AZ10">
            <v>40000</v>
          </cell>
          <cell r="BA10">
            <v>40000</v>
          </cell>
          <cell r="BC10">
            <v>0</v>
          </cell>
          <cell r="BD10">
            <v>0</v>
          </cell>
          <cell r="BF10">
            <v>0</v>
          </cell>
          <cell r="BG10">
            <v>10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150375</v>
          </cell>
          <cell r="E11">
            <v>0</v>
          </cell>
          <cell r="F11">
            <v>0</v>
          </cell>
          <cell r="G11">
            <v>375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150375</v>
          </cell>
          <cell r="Y11">
            <v>150000</v>
          </cell>
          <cell r="AK11">
            <v>200000</v>
          </cell>
          <cell r="AN11">
            <v>4500</v>
          </cell>
          <cell r="AP11" t="str">
            <v>BANQUE</v>
          </cell>
          <cell r="AQ11">
            <v>0</v>
          </cell>
          <cell r="AR11">
            <v>0</v>
          </cell>
          <cell r="AS11">
            <v>25375</v>
          </cell>
          <cell r="AW11">
            <v>0</v>
          </cell>
          <cell r="AX11">
            <v>0</v>
          </cell>
          <cell r="AY11">
            <v>200000</v>
          </cell>
          <cell r="AZ11">
            <v>200000</v>
          </cell>
          <cell r="BA11">
            <v>149000</v>
          </cell>
          <cell r="BC11">
            <v>0</v>
          </cell>
          <cell r="BD11">
            <v>51000</v>
          </cell>
          <cell r="BE11" t="str">
            <v>OK</v>
          </cell>
          <cell r="BF11">
            <v>0</v>
          </cell>
          <cell r="BG11">
            <v>10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910000</v>
          </cell>
          <cell r="E12">
            <v>0</v>
          </cell>
          <cell r="F12">
            <v>0</v>
          </cell>
          <cell r="G12">
            <v>660000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910000</v>
          </cell>
          <cell r="Y12">
            <v>250000</v>
          </cell>
          <cell r="AQ12">
            <v>0</v>
          </cell>
          <cell r="AR12">
            <v>0</v>
          </cell>
          <cell r="AS12">
            <v>685000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C12">
            <v>0</v>
          </cell>
          <cell r="BD12">
            <v>0</v>
          </cell>
          <cell r="BF12">
            <v>0</v>
          </cell>
          <cell r="BG12">
            <v>10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10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10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-50000</v>
          </cell>
          <cell r="D15">
            <v>0</v>
          </cell>
          <cell r="E15">
            <v>125000</v>
          </cell>
          <cell r="F15">
            <v>0</v>
          </cell>
          <cell r="H15">
            <v>0</v>
          </cell>
          <cell r="I15" t="str">
            <v>ESPECES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175000</v>
          </cell>
          <cell r="W15">
            <v>25000</v>
          </cell>
          <cell r="Y15">
            <v>150000</v>
          </cell>
          <cell r="AQ15">
            <v>0</v>
          </cell>
          <cell r="AR15">
            <v>0</v>
          </cell>
          <cell r="AS15">
            <v>50000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10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10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260000</v>
          </cell>
          <cell r="E17">
            <v>0</v>
          </cell>
          <cell r="F17">
            <v>0</v>
          </cell>
          <cell r="G17">
            <v>35000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0</v>
          </cell>
          <cell r="U17">
            <v>260000</v>
          </cell>
          <cell r="Y17">
            <v>225000</v>
          </cell>
          <cell r="AQ17">
            <v>0</v>
          </cell>
          <cell r="AR17">
            <v>0</v>
          </cell>
          <cell r="AS17">
            <v>60000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C17">
            <v>0</v>
          </cell>
          <cell r="BD17">
            <v>0</v>
          </cell>
          <cell r="BF17">
            <v>0</v>
          </cell>
          <cell r="BG17">
            <v>10</v>
          </cell>
          <cell r="BO17" t="str">
            <v>S/TOTAL</v>
          </cell>
          <cell r="BQ17">
            <v>36000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Z18">
            <v>500000</v>
          </cell>
          <cell r="AA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470000</v>
          </cell>
          <cell r="BC18">
            <v>0</v>
          </cell>
          <cell r="BD18">
            <v>470000</v>
          </cell>
          <cell r="BE18" t="str">
            <v>OK</v>
          </cell>
          <cell r="BF18">
            <v>30000</v>
          </cell>
          <cell r="BG18">
            <v>6</v>
          </cell>
        </row>
        <row r="19">
          <cell r="A19" t="str">
            <v>AS201619</v>
          </cell>
          <cell r="B19" t="str">
            <v>KOUATCHO MESSACK</v>
          </cell>
          <cell r="C19">
            <v>75000</v>
          </cell>
          <cell r="D19">
            <v>310000</v>
          </cell>
          <cell r="E19">
            <v>0</v>
          </cell>
          <cell r="F19">
            <v>0</v>
          </cell>
          <cell r="G19">
            <v>10000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0</v>
          </cell>
          <cell r="U19">
            <v>235000</v>
          </cell>
          <cell r="Y19">
            <v>225000</v>
          </cell>
          <cell r="AC19">
            <v>26000</v>
          </cell>
          <cell r="AF19" t="str">
            <v>BANQUE</v>
          </cell>
          <cell r="AJ19">
            <v>53000</v>
          </cell>
          <cell r="AM19">
            <v>1500</v>
          </cell>
          <cell r="AP19" t="str">
            <v>BANQUE</v>
          </cell>
          <cell r="AQ19">
            <v>0</v>
          </cell>
          <cell r="AR19">
            <v>0</v>
          </cell>
          <cell r="AS19">
            <v>35000</v>
          </cell>
          <cell r="AW19">
            <v>274000</v>
          </cell>
          <cell r="AX19">
            <v>53000</v>
          </cell>
          <cell r="AY19">
            <v>0</v>
          </cell>
          <cell r="AZ19">
            <v>327000</v>
          </cell>
          <cell r="BC19">
            <v>0</v>
          </cell>
          <cell r="BD19">
            <v>327000</v>
          </cell>
          <cell r="BE19" t="str">
            <v>OK</v>
          </cell>
          <cell r="BF19">
            <v>0</v>
          </cell>
          <cell r="BG19">
            <v>10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10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0</v>
          </cell>
          <cell r="D22">
            <v>325000</v>
          </cell>
          <cell r="E22">
            <v>0</v>
          </cell>
          <cell r="F22">
            <v>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0</v>
          </cell>
          <cell r="R22">
            <v>0</v>
          </cell>
          <cell r="U22">
            <v>325000</v>
          </cell>
          <cell r="Y22">
            <v>325000</v>
          </cell>
          <cell r="AD22">
            <v>45000</v>
          </cell>
          <cell r="AE22">
            <v>85000</v>
          </cell>
          <cell r="AF22" t="str">
            <v>BANQUE</v>
          </cell>
          <cell r="AJ22">
            <v>50000</v>
          </cell>
          <cell r="AM22">
            <v>1000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905000</v>
          </cell>
          <cell r="AY22">
            <v>1115000</v>
          </cell>
          <cell r="AZ22">
            <v>2020000</v>
          </cell>
          <cell r="BC22">
            <v>0</v>
          </cell>
          <cell r="BD22">
            <v>1127500</v>
          </cell>
          <cell r="BE22" t="str">
            <v>OK</v>
          </cell>
          <cell r="BF22">
            <v>0</v>
          </cell>
          <cell r="BG22">
            <v>10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10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892500</v>
          </cell>
          <cell r="G24">
            <v>892500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1017500</v>
          </cell>
          <cell r="Y24">
            <v>125000</v>
          </cell>
          <cell r="AQ24">
            <v>0</v>
          </cell>
          <cell r="AR24">
            <v>0</v>
          </cell>
          <cell r="AS24">
            <v>917500</v>
          </cell>
          <cell r="AV24">
            <v>600000</v>
          </cell>
          <cell r="AW24">
            <v>0</v>
          </cell>
          <cell r="AX24">
            <v>0</v>
          </cell>
          <cell r="AY24">
            <v>0</v>
          </cell>
          <cell r="AZ24">
            <v>600000</v>
          </cell>
          <cell r="BC24">
            <v>892500</v>
          </cell>
          <cell r="BD24">
            <v>600000</v>
          </cell>
          <cell r="BE24" t="str">
            <v>OK</v>
          </cell>
          <cell r="BF24">
            <v>0</v>
          </cell>
          <cell r="BG24">
            <v>10</v>
          </cell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260000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0</v>
          </cell>
          <cell r="U25">
            <v>260000</v>
          </cell>
          <cell r="Y25">
            <v>250000</v>
          </cell>
          <cell r="AK25">
            <v>100000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C25">
            <v>0</v>
          </cell>
          <cell r="BD25">
            <v>100000</v>
          </cell>
          <cell r="BE25" t="str">
            <v>OK</v>
          </cell>
          <cell r="BF25">
            <v>0</v>
          </cell>
          <cell r="BG25">
            <v>10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0</v>
          </cell>
          <cell r="R26">
            <v>0</v>
          </cell>
          <cell r="U26">
            <v>240000</v>
          </cell>
          <cell r="Y26">
            <v>225000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C26">
            <v>0</v>
          </cell>
          <cell r="BD26">
            <v>0</v>
          </cell>
          <cell r="BF26">
            <v>0</v>
          </cell>
          <cell r="BG26">
            <v>10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225000</v>
          </cell>
          <cell r="E27">
            <v>25000</v>
          </cell>
          <cell r="F27">
            <v>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0</v>
          </cell>
          <cell r="U27">
            <v>250000</v>
          </cell>
          <cell r="Y27">
            <v>250000</v>
          </cell>
          <cell r="AC27">
            <v>26000</v>
          </cell>
          <cell r="AF27" t="str">
            <v>BANQUE</v>
          </cell>
          <cell r="AK27">
            <v>200000</v>
          </cell>
          <cell r="AN27">
            <v>6500</v>
          </cell>
          <cell r="AP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274000</v>
          </cell>
          <cell r="AX27">
            <v>0</v>
          </cell>
          <cell r="AY27">
            <v>200000</v>
          </cell>
          <cell r="AZ27">
            <v>474000</v>
          </cell>
          <cell r="BC27">
            <v>0</v>
          </cell>
          <cell r="BD27">
            <v>474000</v>
          </cell>
          <cell r="BE27" t="str">
            <v>OK</v>
          </cell>
          <cell r="BF27">
            <v>0</v>
          </cell>
          <cell r="BG27">
            <v>10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100000</v>
          </cell>
          <cell r="E28">
            <v>0</v>
          </cell>
          <cell r="F28">
            <v>0</v>
          </cell>
          <cell r="G28">
            <v>8000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42000</v>
          </cell>
          <cell r="Q28">
            <v>0</v>
          </cell>
          <cell r="R28">
            <v>0</v>
          </cell>
          <cell r="U28">
            <v>100000</v>
          </cell>
          <cell r="Y28">
            <v>50000</v>
          </cell>
          <cell r="AC28">
            <v>27000</v>
          </cell>
          <cell r="AF28" t="str">
            <v>BANQUE</v>
          </cell>
          <cell r="AI28">
            <v>41000</v>
          </cell>
          <cell r="AL28">
            <v>1000</v>
          </cell>
          <cell r="AP28" t="str">
            <v>BANQUE</v>
          </cell>
          <cell r="AQ28">
            <v>0</v>
          </cell>
          <cell r="AR28">
            <v>0</v>
          </cell>
          <cell r="AS28">
            <v>33000</v>
          </cell>
          <cell r="AW28">
            <v>314000</v>
          </cell>
          <cell r="AX28">
            <v>0</v>
          </cell>
          <cell r="AY28">
            <v>0</v>
          </cell>
          <cell r="AZ28">
            <v>314000</v>
          </cell>
          <cell r="BA28">
            <v>41000</v>
          </cell>
          <cell r="BC28">
            <v>0</v>
          </cell>
          <cell r="BD28">
            <v>273000</v>
          </cell>
          <cell r="BE28" t="str">
            <v>OK</v>
          </cell>
          <cell r="BF28">
            <v>0</v>
          </cell>
          <cell r="BG28">
            <v>10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10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10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U31">
            <v>50000</v>
          </cell>
          <cell r="Y31">
            <v>50000</v>
          </cell>
          <cell r="AI31">
            <v>40000</v>
          </cell>
          <cell r="AL31">
            <v>1000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40000</v>
          </cell>
          <cell r="AX31">
            <v>0</v>
          </cell>
          <cell r="AY31">
            <v>0</v>
          </cell>
          <cell r="AZ31">
            <v>40000</v>
          </cell>
          <cell r="BA31">
            <v>40000</v>
          </cell>
          <cell r="BC31">
            <v>0</v>
          </cell>
          <cell r="BD31">
            <v>0</v>
          </cell>
          <cell r="BF31">
            <v>0</v>
          </cell>
          <cell r="BG31">
            <v>10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U32">
            <v>250000</v>
          </cell>
          <cell r="Y32">
            <v>250000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C32">
            <v>0</v>
          </cell>
          <cell r="BD32">
            <v>0</v>
          </cell>
          <cell r="BF32">
            <v>0</v>
          </cell>
          <cell r="BG32">
            <v>10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50000</v>
          </cell>
          <cell r="E33">
            <v>0</v>
          </cell>
          <cell r="F33">
            <v>0</v>
          </cell>
          <cell r="H33">
            <v>0</v>
          </cell>
          <cell r="I33" t="str">
            <v>BANQUE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10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150000</v>
          </cell>
          <cell r="E34">
            <v>0</v>
          </cell>
          <cell r="F34">
            <v>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U34">
            <v>150000</v>
          </cell>
          <cell r="Y34">
            <v>150000</v>
          </cell>
          <cell r="AE34">
            <v>70000</v>
          </cell>
          <cell r="AF34" t="str">
            <v>BANQUE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1130000</v>
          </cell>
          <cell r="AZ34">
            <v>1130000</v>
          </cell>
          <cell r="BC34">
            <v>0</v>
          </cell>
          <cell r="BD34">
            <v>1130000</v>
          </cell>
          <cell r="BE34" t="str">
            <v>OK</v>
          </cell>
          <cell r="BF34">
            <v>0</v>
          </cell>
          <cell r="BG34">
            <v>10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125000</v>
          </cell>
          <cell r="Y35">
            <v>125000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C35">
            <v>0</v>
          </cell>
          <cell r="BD35">
            <v>0</v>
          </cell>
          <cell r="BF35">
            <v>0</v>
          </cell>
          <cell r="BG35">
            <v>10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C36">
            <v>0</v>
          </cell>
          <cell r="BD36">
            <v>0</v>
          </cell>
          <cell r="BF36">
            <v>0</v>
          </cell>
          <cell r="BG36">
            <v>10</v>
          </cell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100000</v>
          </cell>
          <cell r="BC37">
            <v>0</v>
          </cell>
          <cell r="BD37">
            <v>100000</v>
          </cell>
          <cell r="BE37" t="str">
            <v>OK</v>
          </cell>
          <cell r="BF37">
            <v>0</v>
          </cell>
          <cell r="BG37">
            <v>10</v>
          </cell>
          <cell r="BK37">
            <v>100000</v>
          </cell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H38">
            <v>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10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125000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U39">
            <v>125000</v>
          </cell>
          <cell r="Y39">
            <v>125000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C39">
            <v>0</v>
          </cell>
          <cell r="BD39">
            <v>0</v>
          </cell>
          <cell r="BF39">
            <v>0</v>
          </cell>
          <cell r="BG39">
            <v>10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0</v>
          </cell>
          <cell r="E40">
            <v>50000</v>
          </cell>
          <cell r="F40">
            <v>0</v>
          </cell>
          <cell r="G40">
            <v>-3000</v>
          </cell>
          <cell r="H40">
            <v>3000</v>
          </cell>
          <cell r="I40" t="str">
            <v>ESPECES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22000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10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250000</v>
          </cell>
          <cell r="E41">
            <v>0</v>
          </cell>
          <cell r="F41">
            <v>0</v>
          </cell>
          <cell r="H41">
            <v>0</v>
          </cell>
          <cell r="I41" t="str">
            <v>BANQUE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250000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10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V42">
            <v>100000</v>
          </cell>
          <cell r="AW42">
            <v>0</v>
          </cell>
          <cell r="AX42">
            <v>0</v>
          </cell>
          <cell r="AY42">
            <v>0</v>
          </cell>
          <cell r="AZ42">
            <v>100000</v>
          </cell>
          <cell r="BC42">
            <v>0</v>
          </cell>
          <cell r="BD42">
            <v>100000</v>
          </cell>
          <cell r="BE42" t="str">
            <v>OK</v>
          </cell>
          <cell r="BF42">
            <v>0</v>
          </cell>
          <cell r="BG42">
            <v>10</v>
          </cell>
        </row>
        <row r="44">
          <cell r="B44" t="str">
            <v>TOTAUX</v>
          </cell>
          <cell r="C44">
            <v>25000</v>
          </cell>
          <cell r="D44">
            <v>5655375</v>
          </cell>
          <cell r="E44">
            <v>300000</v>
          </cell>
          <cell r="F44">
            <v>892500</v>
          </cell>
          <cell r="G44">
            <v>1627875</v>
          </cell>
          <cell r="H44">
            <v>3000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42000</v>
          </cell>
          <cell r="Q44">
            <v>0</v>
          </cell>
          <cell r="R44">
            <v>0</v>
          </cell>
          <cell r="S44">
            <v>0</v>
          </cell>
          <cell r="U44">
            <v>6822875</v>
          </cell>
          <cell r="V44">
            <v>0</v>
          </cell>
          <cell r="W44">
            <v>25000</v>
          </cell>
          <cell r="X44">
            <v>0</v>
          </cell>
          <cell r="Y44">
            <v>5125000</v>
          </cell>
          <cell r="Z44">
            <v>500000</v>
          </cell>
          <cell r="AA44">
            <v>0</v>
          </cell>
          <cell r="AC44">
            <v>79000</v>
          </cell>
          <cell r="AD44">
            <v>45000</v>
          </cell>
          <cell r="AE44">
            <v>235000</v>
          </cell>
          <cell r="AF44">
            <v>0</v>
          </cell>
          <cell r="AG44">
            <v>0</v>
          </cell>
          <cell r="AI44">
            <v>121000</v>
          </cell>
          <cell r="AJ44">
            <v>203000</v>
          </cell>
          <cell r="AK44">
            <v>700000</v>
          </cell>
          <cell r="AL44">
            <v>3000</v>
          </cell>
          <cell r="AM44">
            <v>7500</v>
          </cell>
          <cell r="AN44">
            <v>19500</v>
          </cell>
          <cell r="AO44">
            <v>0</v>
          </cell>
          <cell r="AQ44">
            <v>0</v>
          </cell>
          <cell r="AR44">
            <v>0</v>
          </cell>
          <cell r="AS44">
            <v>2527875</v>
          </cell>
          <cell r="AT44">
            <v>0</v>
          </cell>
          <cell r="AU44">
            <v>0</v>
          </cell>
          <cell r="AV44">
            <v>700000</v>
          </cell>
          <cell r="AW44">
            <v>942000</v>
          </cell>
          <cell r="AX44">
            <v>1058000</v>
          </cell>
          <cell r="AY44">
            <v>4065000</v>
          </cell>
          <cell r="AZ44">
            <v>7371000</v>
          </cell>
          <cell r="BA44">
            <v>300000</v>
          </cell>
          <cell r="BB44">
            <v>0</v>
          </cell>
          <cell r="BC44">
            <v>892500</v>
          </cell>
          <cell r="BD44">
            <v>6178500</v>
          </cell>
          <cell r="BE44">
            <v>0</v>
          </cell>
          <cell r="BF44">
            <v>30000</v>
          </cell>
          <cell r="BH44">
            <v>36000</v>
          </cell>
          <cell r="BI44">
            <v>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352000</v>
          </cell>
          <cell r="BC6">
            <v>0</v>
          </cell>
          <cell r="BD6">
            <v>352000</v>
          </cell>
          <cell r="BF6">
            <v>0</v>
          </cell>
          <cell r="BG6">
            <v>9</v>
          </cell>
          <cell r="BH6">
            <v>52000</v>
          </cell>
          <cell r="BI6">
            <v>0</v>
          </cell>
          <cell r="BJ6">
            <v>300000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9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-500000</v>
          </cell>
          <cell r="D8">
            <v>228000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103000</v>
          </cell>
          <cell r="R8">
            <v>0</v>
          </cell>
          <cell r="S8">
            <v>500000</v>
          </cell>
          <cell r="T8" t="str">
            <v>AUTRES</v>
          </cell>
          <cell r="U8">
            <v>728000</v>
          </cell>
          <cell r="Y8">
            <v>125000</v>
          </cell>
          <cell r="Z8">
            <v>500000</v>
          </cell>
          <cell r="AP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485000</v>
          </cell>
          <cell r="BC8">
            <v>0</v>
          </cell>
          <cell r="BD8">
            <v>0</v>
          </cell>
          <cell r="BF8">
            <v>15000</v>
          </cell>
          <cell r="BG8">
            <v>3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457500</v>
          </cell>
          <cell r="E9">
            <v>0</v>
          </cell>
          <cell r="F9">
            <v>0</v>
          </cell>
          <cell r="H9">
            <v>0</v>
          </cell>
          <cell r="I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207500</v>
          </cell>
          <cell r="U9">
            <v>457500</v>
          </cell>
          <cell r="Y9">
            <v>250000</v>
          </cell>
          <cell r="AK9">
            <v>200000</v>
          </cell>
          <cell r="AN9">
            <v>3500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A9">
            <v>200000</v>
          </cell>
          <cell r="BC9">
            <v>0</v>
          </cell>
          <cell r="BD9">
            <v>0</v>
          </cell>
          <cell r="BF9">
            <v>0</v>
          </cell>
          <cell r="BG9">
            <v>9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100500</v>
          </cell>
          <cell r="E10">
            <v>0</v>
          </cell>
          <cell r="F10">
            <v>0</v>
          </cell>
          <cell r="G10">
            <v>9500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41000</v>
          </cell>
          <cell r="Q10">
            <v>0</v>
          </cell>
          <cell r="R10">
            <v>0</v>
          </cell>
          <cell r="U10">
            <v>100500</v>
          </cell>
          <cell r="Y10">
            <v>50000</v>
          </cell>
          <cell r="AI10">
            <v>40000</v>
          </cell>
          <cell r="AL10">
            <v>2000</v>
          </cell>
          <cell r="AP10" t="str">
            <v>BANQUE</v>
          </cell>
          <cell r="AQ10">
            <v>0</v>
          </cell>
          <cell r="AR10">
            <v>0</v>
          </cell>
          <cell r="AS10">
            <v>34500</v>
          </cell>
          <cell r="AW10">
            <v>40000</v>
          </cell>
          <cell r="AX10">
            <v>0</v>
          </cell>
          <cell r="AY10">
            <v>0</v>
          </cell>
          <cell r="AZ10">
            <v>40000</v>
          </cell>
          <cell r="BA10">
            <v>40000</v>
          </cell>
          <cell r="BC10">
            <v>0</v>
          </cell>
          <cell r="BD10">
            <v>0</v>
          </cell>
          <cell r="BF10">
            <v>0</v>
          </cell>
          <cell r="BG10">
            <v>9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-1339500</v>
          </cell>
          <cell r="D11">
            <v>150000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204500</v>
          </cell>
          <cell r="S11">
            <v>1135000</v>
          </cell>
          <cell r="T11" t="str">
            <v>EN COMPTE</v>
          </cell>
          <cell r="U11">
            <v>1489500</v>
          </cell>
          <cell r="Y11">
            <v>150000</v>
          </cell>
          <cell r="Z11">
            <v>1000000</v>
          </cell>
          <cell r="AA11" t="str">
            <v>BANQUE</v>
          </cell>
          <cell r="AC11">
            <v>6500</v>
          </cell>
          <cell r="AE11">
            <v>35000</v>
          </cell>
          <cell r="AF11" t="str">
            <v>BANQUE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293500</v>
          </cell>
          <cell r="AX11">
            <v>0</v>
          </cell>
          <cell r="AY11">
            <v>1165000</v>
          </cell>
          <cell r="AZ11">
            <v>2233500</v>
          </cell>
          <cell r="BC11">
            <v>0</v>
          </cell>
          <cell r="BD11">
            <v>894000</v>
          </cell>
          <cell r="BE11" t="str">
            <v>OK</v>
          </cell>
          <cell r="BF11">
            <v>225000</v>
          </cell>
          <cell r="BG11">
            <v>9</v>
          </cell>
          <cell r="BO11" t="str">
            <v>PRODUCTION RAPPORT</v>
          </cell>
          <cell r="BP11" t="str">
            <v>FONDS DE ROULEMENT</v>
          </cell>
          <cell r="BQ11">
            <v>40000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260000</v>
          </cell>
          <cell r="E12">
            <v>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260000</v>
          </cell>
          <cell r="Y12">
            <v>250000</v>
          </cell>
          <cell r="AC12">
            <v>7000</v>
          </cell>
          <cell r="AE12">
            <v>30000</v>
          </cell>
          <cell r="AF12" t="str">
            <v>BANQUE</v>
          </cell>
          <cell r="AQ12">
            <v>0</v>
          </cell>
          <cell r="AR12">
            <v>0</v>
          </cell>
          <cell r="AS12">
            <v>35000</v>
          </cell>
          <cell r="AW12">
            <v>293000</v>
          </cell>
          <cell r="AX12">
            <v>0</v>
          </cell>
          <cell r="AY12">
            <v>1170000</v>
          </cell>
          <cell r="AZ12">
            <v>1463000</v>
          </cell>
          <cell r="BC12">
            <v>0</v>
          </cell>
          <cell r="BD12">
            <v>1463000</v>
          </cell>
          <cell r="BE12" t="str">
            <v>OK</v>
          </cell>
          <cell r="BF12">
            <v>0</v>
          </cell>
          <cell r="BG12">
            <v>9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9</v>
          </cell>
          <cell r="BO13" t="str">
            <v>TAXI BANQUE</v>
          </cell>
          <cell r="BP13" t="str">
            <v>FONDS DE ROULEMENT</v>
          </cell>
          <cell r="BQ13">
            <v>12000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9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226000</v>
          </cell>
          <cell r="D15">
            <v>376000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150000</v>
          </cell>
          <cell r="Y15">
            <v>150000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9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100000</v>
          </cell>
          <cell r="D16">
            <v>1275000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1050000</v>
          </cell>
          <cell r="U16">
            <v>1175000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-55000</v>
          </cell>
          <cell r="BC16">
            <v>0</v>
          </cell>
          <cell r="BD16">
            <v>-55000</v>
          </cell>
          <cell r="BE16" t="str">
            <v>OK</v>
          </cell>
          <cell r="BF16">
            <v>155000</v>
          </cell>
          <cell r="BG16">
            <v>9</v>
          </cell>
          <cell r="BK16">
            <v>100000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250000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0</v>
          </cell>
          <cell r="U17">
            <v>250000</v>
          </cell>
          <cell r="Y17">
            <v>225000</v>
          </cell>
          <cell r="AD17">
            <v>7500</v>
          </cell>
          <cell r="AF17" t="str">
            <v>BANQUE</v>
          </cell>
          <cell r="AJ17">
            <v>91125</v>
          </cell>
          <cell r="AM17">
            <v>2000</v>
          </cell>
          <cell r="AQ17">
            <v>0</v>
          </cell>
          <cell r="AR17">
            <v>0</v>
          </cell>
          <cell r="AS17">
            <v>50000</v>
          </cell>
          <cell r="AW17">
            <v>0</v>
          </cell>
          <cell r="AX17">
            <v>983625</v>
          </cell>
          <cell r="AY17">
            <v>0</v>
          </cell>
          <cell r="AZ17">
            <v>983625</v>
          </cell>
          <cell r="BA17">
            <v>50000</v>
          </cell>
          <cell r="BC17">
            <v>0</v>
          </cell>
          <cell r="BD17">
            <v>933625</v>
          </cell>
          <cell r="BE17" t="str">
            <v>OK</v>
          </cell>
          <cell r="BF17">
            <v>0</v>
          </cell>
          <cell r="BG17">
            <v>9</v>
          </cell>
          <cell r="BO17" t="str">
            <v>S/TOTAL</v>
          </cell>
          <cell r="BQ17">
            <v>52000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C18">
            <v>0</v>
          </cell>
          <cell r="BD18">
            <v>0</v>
          </cell>
          <cell r="BE18" t="str">
            <v>OK</v>
          </cell>
          <cell r="BF18">
            <v>0</v>
          </cell>
          <cell r="BG18">
            <v>9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291000</v>
          </cell>
          <cell r="E19">
            <v>0</v>
          </cell>
          <cell r="F19">
            <v>0</v>
          </cell>
          <cell r="G19">
            <v>11500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54500</v>
          </cell>
          <cell r="R19">
            <v>0</v>
          </cell>
          <cell r="U19">
            <v>291000</v>
          </cell>
          <cell r="Y19">
            <v>225000</v>
          </cell>
          <cell r="AK19">
            <v>205500</v>
          </cell>
          <cell r="AN19">
            <v>2000</v>
          </cell>
          <cell r="AP19" t="str">
            <v>BANQUE</v>
          </cell>
          <cell r="AQ19">
            <v>0</v>
          </cell>
          <cell r="AR19">
            <v>0</v>
          </cell>
          <cell r="AS19">
            <v>36500</v>
          </cell>
          <cell r="AW19">
            <v>0</v>
          </cell>
          <cell r="AX19">
            <v>0</v>
          </cell>
          <cell r="AY19">
            <v>205500</v>
          </cell>
          <cell r="AZ19">
            <v>205500</v>
          </cell>
          <cell r="BC19">
            <v>0</v>
          </cell>
          <cell r="BD19">
            <v>205500</v>
          </cell>
          <cell r="BE19" t="str">
            <v>OK</v>
          </cell>
          <cell r="BF19">
            <v>0</v>
          </cell>
          <cell r="BG19">
            <v>9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9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-1000000</v>
          </cell>
          <cell r="D22">
            <v>376000</v>
          </cell>
          <cell r="E22">
            <v>0</v>
          </cell>
          <cell r="F22">
            <v>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51000</v>
          </cell>
          <cell r="R22">
            <v>0</v>
          </cell>
          <cell r="S22">
            <v>1000000</v>
          </cell>
          <cell r="T22" t="str">
            <v>AUTRES</v>
          </cell>
          <cell r="U22">
            <v>1376000</v>
          </cell>
          <cell r="Y22">
            <v>325000</v>
          </cell>
          <cell r="Z22">
            <v>1000000</v>
          </cell>
          <cell r="AC22">
            <v>7500</v>
          </cell>
          <cell r="AF22" t="str">
            <v>BANQUE</v>
          </cell>
          <cell r="AJ22">
            <v>100000</v>
          </cell>
          <cell r="AK22">
            <v>200000</v>
          </cell>
          <cell r="AM22">
            <v>2000</v>
          </cell>
          <cell r="AN22">
            <v>2000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292500</v>
          </cell>
          <cell r="AX22">
            <v>100000</v>
          </cell>
          <cell r="AY22">
            <v>200000</v>
          </cell>
          <cell r="AZ22">
            <v>1562500</v>
          </cell>
          <cell r="BA22">
            <v>166000</v>
          </cell>
          <cell r="BC22">
            <v>0</v>
          </cell>
          <cell r="BD22">
            <v>426500</v>
          </cell>
          <cell r="BE22" t="str">
            <v>OK</v>
          </cell>
          <cell r="BF22">
            <v>30000</v>
          </cell>
          <cell r="BG22">
            <v>3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9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V24">
            <v>600000</v>
          </cell>
          <cell r="AW24">
            <v>0</v>
          </cell>
          <cell r="AX24">
            <v>0</v>
          </cell>
          <cell r="AY24">
            <v>0</v>
          </cell>
          <cell r="AZ24">
            <v>600000</v>
          </cell>
          <cell r="BC24">
            <v>0</v>
          </cell>
          <cell r="BD24">
            <v>600000</v>
          </cell>
          <cell r="BE24" t="str">
            <v>OK</v>
          </cell>
          <cell r="BF24">
            <v>0</v>
          </cell>
          <cell r="BG24">
            <v>9</v>
          </cell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361000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101000</v>
          </cell>
          <cell r="U25">
            <v>361000</v>
          </cell>
          <cell r="Y25">
            <v>250000</v>
          </cell>
          <cell r="AK25">
            <v>100000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C25">
            <v>0</v>
          </cell>
          <cell r="BD25">
            <v>27000</v>
          </cell>
          <cell r="BE25" t="str">
            <v>OK</v>
          </cell>
          <cell r="BF25">
            <v>0</v>
          </cell>
          <cell r="BG25">
            <v>9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0</v>
          </cell>
          <cell r="R26">
            <v>0</v>
          </cell>
          <cell r="U26">
            <v>240000</v>
          </cell>
          <cell r="Y26">
            <v>225000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C26">
            <v>0</v>
          </cell>
          <cell r="BD26">
            <v>0</v>
          </cell>
          <cell r="BF26">
            <v>0</v>
          </cell>
          <cell r="BG26">
            <v>9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450000</v>
          </cell>
          <cell r="E27">
            <v>0</v>
          </cell>
          <cell r="F27">
            <v>0</v>
          </cell>
          <cell r="G27">
            <v>-6500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206500</v>
          </cell>
          <cell r="U27">
            <v>450000</v>
          </cell>
          <cell r="Y27">
            <v>250000</v>
          </cell>
          <cell r="AK27">
            <v>200000</v>
          </cell>
          <cell r="AN27">
            <v>2500</v>
          </cell>
          <cell r="AP27" t="str">
            <v>BANQUE</v>
          </cell>
          <cell r="AQ27">
            <v>0</v>
          </cell>
          <cell r="AR27">
            <v>0</v>
          </cell>
          <cell r="AS27">
            <v>18500</v>
          </cell>
          <cell r="AW27">
            <v>0</v>
          </cell>
          <cell r="AX27">
            <v>0</v>
          </cell>
          <cell r="AY27">
            <v>200000</v>
          </cell>
          <cell r="AZ27">
            <v>200000</v>
          </cell>
          <cell r="BA27">
            <v>100000</v>
          </cell>
          <cell r="BC27">
            <v>0</v>
          </cell>
          <cell r="BD27">
            <v>100000</v>
          </cell>
          <cell r="BE27" t="str">
            <v>OK</v>
          </cell>
          <cell r="BF27">
            <v>0</v>
          </cell>
          <cell r="BG27">
            <v>9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-970000</v>
          </cell>
          <cell r="D28">
            <v>122000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42000</v>
          </cell>
          <cell r="Q28">
            <v>0</v>
          </cell>
          <cell r="R28">
            <v>0</v>
          </cell>
          <cell r="S28">
            <v>1000000</v>
          </cell>
          <cell r="U28">
            <v>1092000</v>
          </cell>
          <cell r="Y28">
            <v>50000</v>
          </cell>
          <cell r="Z28">
            <v>1000000</v>
          </cell>
          <cell r="AA28" t="str">
            <v>AUTRES</v>
          </cell>
          <cell r="AP28" t="str">
            <v>BANQUE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1000000</v>
          </cell>
          <cell r="BC28">
            <v>0</v>
          </cell>
          <cell r="BD28">
            <v>0</v>
          </cell>
          <cell r="BF28">
            <v>30000</v>
          </cell>
          <cell r="BG28">
            <v>3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Z29">
            <v>150000</v>
          </cell>
          <cell r="AA29" t="str">
            <v>BANQUE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136500</v>
          </cell>
          <cell r="BC29">
            <v>0</v>
          </cell>
          <cell r="BD29">
            <v>136500</v>
          </cell>
          <cell r="BE29" t="str">
            <v>OK</v>
          </cell>
          <cell r="BF29">
            <v>13500</v>
          </cell>
          <cell r="BG29">
            <v>9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9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0</v>
          </cell>
          <cell r="D31">
            <v>91000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41000</v>
          </cell>
          <cell r="Q31">
            <v>0</v>
          </cell>
          <cell r="R31">
            <v>0</v>
          </cell>
          <cell r="U31">
            <v>91000</v>
          </cell>
          <cell r="Y31">
            <v>50000</v>
          </cell>
          <cell r="AI31">
            <v>80000</v>
          </cell>
          <cell r="AL31">
            <v>3000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80000</v>
          </cell>
          <cell r="AX31">
            <v>0</v>
          </cell>
          <cell r="AY31">
            <v>0</v>
          </cell>
          <cell r="AZ31">
            <v>80000</v>
          </cell>
          <cell r="BA31">
            <v>80000</v>
          </cell>
          <cell r="BC31">
            <v>0</v>
          </cell>
          <cell r="BD31">
            <v>0</v>
          </cell>
          <cell r="BF31">
            <v>0</v>
          </cell>
          <cell r="BG31">
            <v>9</v>
          </cell>
        </row>
        <row r="32">
          <cell r="A32" t="str">
            <v>AS201653</v>
          </cell>
          <cell r="B32" t="str">
            <v>SIME BRICE</v>
          </cell>
          <cell r="C32">
            <v>-1000000</v>
          </cell>
          <cell r="D32">
            <v>0</v>
          </cell>
          <cell r="E32">
            <v>253000</v>
          </cell>
          <cell r="F32">
            <v>0</v>
          </cell>
          <cell r="H32">
            <v>3000</v>
          </cell>
          <cell r="I32" t="str">
            <v>ESPECES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S32">
            <v>1000000</v>
          </cell>
          <cell r="T32" t="str">
            <v>AUTRES</v>
          </cell>
          <cell r="U32">
            <v>1253000</v>
          </cell>
          <cell r="Y32">
            <v>250000</v>
          </cell>
          <cell r="Z32">
            <v>1000000</v>
          </cell>
          <cell r="AA32" t="str">
            <v>AUTRES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970000</v>
          </cell>
          <cell r="BC32">
            <v>0</v>
          </cell>
          <cell r="BD32">
            <v>0</v>
          </cell>
          <cell r="BF32">
            <v>30000</v>
          </cell>
          <cell r="BG32">
            <v>3</v>
          </cell>
          <cell r="BO32" t="str">
            <v>DECES ELLE MERE DJOUKWE</v>
          </cell>
          <cell r="BP32" t="str">
            <v>MUTUELLE</v>
          </cell>
          <cell r="BQ32">
            <v>100000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50000</v>
          </cell>
          <cell r="E33">
            <v>0</v>
          </cell>
          <cell r="F33">
            <v>0</v>
          </cell>
          <cell r="H33">
            <v>0</v>
          </cell>
          <cell r="I33" t="str">
            <v>BANQUE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9</v>
          </cell>
          <cell r="BO33" t="str">
            <v>DECES ELLE MERE MASSEUGO</v>
          </cell>
          <cell r="BQ33">
            <v>100000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150000</v>
          </cell>
          <cell r="E34">
            <v>0</v>
          </cell>
          <cell r="F34">
            <v>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U34">
            <v>150000</v>
          </cell>
          <cell r="Y34">
            <v>150000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C34">
            <v>0</v>
          </cell>
          <cell r="BD34">
            <v>0</v>
          </cell>
          <cell r="BF34">
            <v>0</v>
          </cell>
          <cell r="BG34">
            <v>9</v>
          </cell>
          <cell r="BO34" t="str">
            <v>DECES ELLE MERE MBONING</v>
          </cell>
          <cell r="BQ34">
            <v>100000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125000</v>
          </cell>
          <cell r="Y35">
            <v>125000</v>
          </cell>
          <cell r="AJ35">
            <v>100000</v>
          </cell>
          <cell r="AM35">
            <v>2000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100000</v>
          </cell>
          <cell r="AY35">
            <v>0</v>
          </cell>
          <cell r="AZ35">
            <v>100000</v>
          </cell>
          <cell r="BC35">
            <v>0</v>
          </cell>
          <cell r="BD35">
            <v>100000</v>
          </cell>
          <cell r="BE35" t="str">
            <v>OK</v>
          </cell>
          <cell r="BF35">
            <v>0</v>
          </cell>
          <cell r="BG35">
            <v>9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C36">
            <v>0</v>
          </cell>
          <cell r="BD36">
            <v>0</v>
          </cell>
          <cell r="BF36">
            <v>0</v>
          </cell>
          <cell r="BG36">
            <v>9</v>
          </cell>
          <cell r="BO36" t="str">
            <v>S/TOTAL</v>
          </cell>
          <cell r="BQ36">
            <v>300000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9</v>
          </cell>
          <cell r="BO37" t="str">
            <v>S/TOTAL</v>
          </cell>
          <cell r="BQ37">
            <v>400000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22000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9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130000</v>
          </cell>
          <cell r="E39">
            <v>0</v>
          </cell>
          <cell r="F39">
            <v>0</v>
          </cell>
          <cell r="G39">
            <v>5000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U39">
            <v>130000</v>
          </cell>
          <cell r="Y39">
            <v>125000</v>
          </cell>
          <cell r="AQ39">
            <v>0</v>
          </cell>
          <cell r="AR39">
            <v>0</v>
          </cell>
          <cell r="AS39">
            <v>30000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C39">
            <v>0</v>
          </cell>
          <cell r="BD39">
            <v>0</v>
          </cell>
          <cell r="BF39">
            <v>0</v>
          </cell>
          <cell r="BG39">
            <v>9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9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253000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9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725000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S42">
            <v>500000</v>
          </cell>
          <cell r="T42" t="str">
            <v>BANQUE</v>
          </cell>
          <cell r="U42">
            <v>725000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9</v>
          </cell>
        </row>
        <row r="44">
          <cell r="B44" t="str">
            <v>TOTAUX</v>
          </cell>
          <cell r="C44">
            <v>-4483500</v>
          </cell>
          <cell r="D44">
            <v>7358000</v>
          </cell>
          <cell r="E44">
            <v>636000</v>
          </cell>
          <cell r="F44">
            <v>0</v>
          </cell>
          <cell r="G44">
            <v>76500</v>
          </cell>
          <cell r="H44">
            <v>9000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124000</v>
          </cell>
          <cell r="Q44">
            <v>208500</v>
          </cell>
          <cell r="R44">
            <v>719500</v>
          </cell>
          <cell r="S44">
            <v>6185000</v>
          </cell>
          <cell r="U44">
            <v>12447500</v>
          </cell>
          <cell r="V44">
            <v>0</v>
          </cell>
          <cell r="W44">
            <v>0</v>
          </cell>
          <cell r="X44">
            <v>0</v>
          </cell>
          <cell r="Y44">
            <v>5125000</v>
          </cell>
          <cell r="Z44">
            <v>4650000</v>
          </cell>
          <cell r="AA44">
            <v>0</v>
          </cell>
          <cell r="AC44">
            <v>21000</v>
          </cell>
          <cell r="AD44">
            <v>7500</v>
          </cell>
          <cell r="AE44">
            <v>65000</v>
          </cell>
          <cell r="AF44">
            <v>0</v>
          </cell>
          <cell r="AG44">
            <v>0</v>
          </cell>
          <cell r="AI44">
            <v>120000</v>
          </cell>
          <cell r="AJ44">
            <v>291125</v>
          </cell>
          <cell r="AK44">
            <v>905500</v>
          </cell>
          <cell r="AL44">
            <v>5000</v>
          </cell>
          <cell r="AM44">
            <v>6000</v>
          </cell>
          <cell r="AN44">
            <v>11000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951500</v>
          </cell>
          <cell r="AT44">
            <v>0</v>
          </cell>
          <cell r="AU44">
            <v>0</v>
          </cell>
          <cell r="AV44">
            <v>600000</v>
          </cell>
          <cell r="AW44">
            <v>999000</v>
          </cell>
          <cell r="AX44">
            <v>1183625</v>
          </cell>
          <cell r="AY44">
            <v>3240500</v>
          </cell>
          <cell r="AZ44">
            <v>10656625</v>
          </cell>
          <cell r="BA44">
            <v>636000</v>
          </cell>
          <cell r="BB44">
            <v>0</v>
          </cell>
          <cell r="BC44">
            <v>0</v>
          </cell>
          <cell r="BD44">
            <v>5183125</v>
          </cell>
          <cell r="BE44">
            <v>0</v>
          </cell>
          <cell r="BF44">
            <v>498500</v>
          </cell>
          <cell r="BH44">
            <v>52000</v>
          </cell>
          <cell r="BI44">
            <v>0</v>
          </cell>
          <cell r="BJ44">
            <v>300000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406000</v>
          </cell>
          <cell r="BC6">
            <v>0</v>
          </cell>
          <cell r="BD6">
            <v>406000</v>
          </cell>
          <cell r="BE6" t="str">
            <v>0K</v>
          </cell>
          <cell r="BF6">
            <v>0</v>
          </cell>
          <cell r="BG6">
            <v>8</v>
          </cell>
          <cell r="BH6">
            <v>6000</v>
          </cell>
          <cell r="BI6">
            <v>0</v>
          </cell>
          <cell r="BJ6">
            <v>0</v>
          </cell>
          <cell r="BN6">
            <v>400000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H7">
            <v>0</v>
          </cell>
          <cell r="I7" t="str">
            <v>ECHEC</v>
          </cell>
          <cell r="J7">
            <v>1</v>
          </cell>
          <cell r="K7">
            <v>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0</v>
          </cell>
          <cell r="Y7">
            <v>0</v>
          </cell>
          <cell r="AQ7">
            <v>0</v>
          </cell>
          <cell r="AR7">
            <v>0</v>
          </cell>
          <cell r="AS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8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Y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C8">
            <v>0</v>
          </cell>
          <cell r="BD8">
            <v>0</v>
          </cell>
          <cell r="BF8">
            <v>0</v>
          </cell>
          <cell r="BG8">
            <v>8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-205000</v>
          </cell>
          <cell r="D9">
            <v>0</v>
          </cell>
          <cell r="E9">
            <v>253500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203500</v>
          </cell>
          <cell r="U9">
            <v>458500</v>
          </cell>
          <cell r="V9">
            <v>5000</v>
          </cell>
          <cell r="Y9">
            <v>250000</v>
          </cell>
          <cell r="AK9">
            <v>200000</v>
          </cell>
          <cell r="AN9">
            <v>2000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C9">
            <v>0</v>
          </cell>
          <cell r="BD9">
            <v>200000</v>
          </cell>
          <cell r="BF9">
            <v>0</v>
          </cell>
          <cell r="BG9">
            <v>8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-42000</v>
          </cell>
          <cell r="D10">
            <v>50000</v>
          </cell>
          <cell r="E10">
            <v>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42000</v>
          </cell>
          <cell r="Q10">
            <v>0</v>
          </cell>
          <cell r="R10">
            <v>0</v>
          </cell>
          <cell r="U10">
            <v>92000</v>
          </cell>
          <cell r="Y10">
            <v>50000</v>
          </cell>
          <cell r="AI10">
            <v>30000</v>
          </cell>
          <cell r="AL10">
            <v>2500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30000</v>
          </cell>
          <cell r="AX10">
            <v>0</v>
          </cell>
          <cell r="AY10">
            <v>0</v>
          </cell>
          <cell r="AZ10">
            <v>30000</v>
          </cell>
          <cell r="BC10">
            <v>0</v>
          </cell>
          <cell r="BD10">
            <v>30000</v>
          </cell>
          <cell r="BF10">
            <v>0</v>
          </cell>
          <cell r="BG10">
            <v>8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50000</v>
          </cell>
          <cell r="E11">
            <v>100000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150000</v>
          </cell>
          <cell r="Y11">
            <v>150000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C11">
            <v>0</v>
          </cell>
          <cell r="BD11">
            <v>0</v>
          </cell>
          <cell r="BF11">
            <v>0</v>
          </cell>
          <cell r="BG11">
            <v>8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260000</v>
          </cell>
          <cell r="E12">
            <v>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260000</v>
          </cell>
          <cell r="Y12">
            <v>250000</v>
          </cell>
          <cell r="AQ12">
            <v>0</v>
          </cell>
          <cell r="AR12">
            <v>0</v>
          </cell>
          <cell r="AS12">
            <v>35000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C12">
            <v>0</v>
          </cell>
          <cell r="BD12">
            <v>0</v>
          </cell>
          <cell r="BF12">
            <v>0</v>
          </cell>
          <cell r="BG12">
            <v>8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8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8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-26000</v>
          </cell>
          <cell r="D15">
            <v>150000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26000</v>
          </cell>
          <cell r="U15">
            <v>176000</v>
          </cell>
          <cell r="Y15">
            <v>150000</v>
          </cell>
          <cell r="AP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8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5000</v>
          </cell>
          <cell r="D16">
            <v>125000</v>
          </cell>
          <cell r="E16">
            <v>0</v>
          </cell>
          <cell r="F16">
            <v>0</v>
          </cell>
          <cell r="G16">
            <v>-5000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120000</v>
          </cell>
          <cell r="Y16">
            <v>125000</v>
          </cell>
          <cell r="AQ16">
            <v>0</v>
          </cell>
          <cell r="AR16">
            <v>0</v>
          </cell>
          <cell r="AS16">
            <v>20000</v>
          </cell>
          <cell r="AW16">
            <v>0</v>
          </cell>
          <cell r="AX16">
            <v>0</v>
          </cell>
          <cell r="AY16">
            <v>0</v>
          </cell>
          <cell r="AZ16">
            <v>150000</v>
          </cell>
          <cell r="BC16">
            <v>0</v>
          </cell>
          <cell r="BD16">
            <v>0</v>
          </cell>
          <cell r="BF16">
            <v>0</v>
          </cell>
          <cell r="BG16">
            <v>8</v>
          </cell>
          <cell r="BL16">
            <v>150000</v>
          </cell>
        </row>
        <row r="17">
          <cell r="A17" t="str">
            <v>AS201613</v>
          </cell>
          <cell r="B17" t="str">
            <v>HOTCHO BENJAMIN</v>
          </cell>
          <cell r="C17">
            <v>-93125</v>
          </cell>
          <cell r="D17">
            <v>220000</v>
          </cell>
          <cell r="E17">
            <v>0</v>
          </cell>
          <cell r="F17">
            <v>0</v>
          </cell>
          <cell r="G17">
            <v>-5000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93125</v>
          </cell>
          <cell r="R17">
            <v>0</v>
          </cell>
          <cell r="U17">
            <v>313125</v>
          </cell>
          <cell r="Y17">
            <v>225000</v>
          </cell>
          <cell r="AE17">
            <v>30000</v>
          </cell>
          <cell r="AF17" t="str">
            <v>BANQUE</v>
          </cell>
          <cell r="AJ17">
            <v>50000</v>
          </cell>
          <cell r="AK17">
            <v>100000</v>
          </cell>
          <cell r="AM17">
            <v>1000</v>
          </cell>
          <cell r="AN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20000</v>
          </cell>
          <cell r="AW17">
            <v>0</v>
          </cell>
          <cell r="AX17">
            <v>50000</v>
          </cell>
          <cell r="AY17">
            <v>1270000</v>
          </cell>
          <cell r="AZ17">
            <v>1320000</v>
          </cell>
          <cell r="BC17">
            <v>0</v>
          </cell>
          <cell r="BD17">
            <v>1320000</v>
          </cell>
          <cell r="BE17" t="str">
            <v>OK</v>
          </cell>
          <cell r="BF17">
            <v>0</v>
          </cell>
          <cell r="BG17">
            <v>8</v>
          </cell>
          <cell r="BO17" t="str">
            <v>S/TOTAL</v>
          </cell>
          <cell r="BQ17">
            <v>6000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AC18">
            <v>20000</v>
          </cell>
          <cell r="AQ18">
            <v>0</v>
          </cell>
          <cell r="AR18">
            <v>0</v>
          </cell>
          <cell r="AS18">
            <v>25000</v>
          </cell>
          <cell r="AW18">
            <v>280000</v>
          </cell>
          <cell r="AX18">
            <v>0</v>
          </cell>
          <cell r="AY18">
            <v>0</v>
          </cell>
          <cell r="AZ18">
            <v>280000</v>
          </cell>
          <cell r="BC18">
            <v>0</v>
          </cell>
          <cell r="BD18">
            <v>280000</v>
          </cell>
          <cell r="BF18">
            <v>0</v>
          </cell>
          <cell r="BG18">
            <v>8</v>
          </cell>
        </row>
        <row r="19">
          <cell r="A19" t="str">
            <v>AS201619</v>
          </cell>
          <cell r="B19" t="str">
            <v>KOUATCHO MESSACK</v>
          </cell>
          <cell r="C19">
            <v>-290500</v>
          </cell>
          <cell r="D19">
            <v>150000</v>
          </cell>
          <cell r="E19">
            <v>0</v>
          </cell>
          <cell r="F19">
            <v>0</v>
          </cell>
          <cell r="G19">
            <v>8000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207500</v>
          </cell>
          <cell r="U19">
            <v>440500</v>
          </cell>
          <cell r="Y19">
            <v>225000</v>
          </cell>
          <cell r="AD19">
            <v>7500</v>
          </cell>
          <cell r="AF19" t="str">
            <v>BANQUE</v>
          </cell>
          <cell r="AK19">
            <v>100000</v>
          </cell>
          <cell r="AN19">
            <v>1000</v>
          </cell>
          <cell r="AP19" t="str">
            <v>BANQUE</v>
          </cell>
          <cell r="AQ19">
            <v>0</v>
          </cell>
          <cell r="AR19">
            <v>0</v>
          </cell>
          <cell r="AS19">
            <v>33000</v>
          </cell>
          <cell r="AW19">
            <v>0</v>
          </cell>
          <cell r="AX19">
            <v>892500</v>
          </cell>
          <cell r="AY19">
            <v>100000</v>
          </cell>
          <cell r="AZ19">
            <v>992500</v>
          </cell>
          <cell r="BC19">
            <v>0</v>
          </cell>
          <cell r="BD19">
            <v>992500</v>
          </cell>
          <cell r="BE19" t="str">
            <v>OK</v>
          </cell>
          <cell r="BF19">
            <v>0</v>
          </cell>
          <cell r="BG19">
            <v>8</v>
          </cell>
          <cell r="BO19" t="str">
            <v>TERRAIN NYOM</v>
          </cell>
          <cell r="BP19" t="str">
            <v>AUTRES DEPENSES</v>
          </cell>
          <cell r="BQ19">
            <v>50000</v>
          </cell>
        </row>
        <row r="20">
          <cell r="A20" t="str">
            <v>AS201620</v>
          </cell>
          <cell r="B20" t="str">
            <v>LOWE JEAN</v>
          </cell>
          <cell r="G20">
            <v>200000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Z21">
            <v>300000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291000</v>
          </cell>
          <cell r="BC21">
            <v>0</v>
          </cell>
          <cell r="BD21">
            <v>291000</v>
          </cell>
          <cell r="BE21" t="str">
            <v>OK</v>
          </cell>
          <cell r="BF21">
            <v>9000</v>
          </cell>
          <cell r="BG21">
            <v>3</v>
          </cell>
          <cell r="BO21" t="str">
            <v>SOLDE TERRAIN</v>
          </cell>
          <cell r="BQ21">
            <v>350000</v>
          </cell>
        </row>
        <row r="22">
          <cell r="A22" t="str">
            <v>AS201649</v>
          </cell>
          <cell r="B22" t="str">
            <v>MBOGNING TUGMA GUY</v>
          </cell>
          <cell r="C22">
            <v>-102000</v>
          </cell>
          <cell r="D22">
            <v>325000</v>
          </cell>
          <cell r="E22">
            <v>202000</v>
          </cell>
          <cell r="F22">
            <v>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102000</v>
          </cell>
          <cell r="R22">
            <v>202000</v>
          </cell>
          <cell r="U22">
            <v>629000</v>
          </cell>
          <cell r="Y22">
            <v>325000</v>
          </cell>
          <cell r="AJ22">
            <v>100000</v>
          </cell>
          <cell r="AK22">
            <v>200000</v>
          </cell>
          <cell r="AM22">
            <v>2000</v>
          </cell>
          <cell r="AN22">
            <v>2000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100000</v>
          </cell>
          <cell r="AY22">
            <v>200000</v>
          </cell>
          <cell r="AZ22">
            <v>300000</v>
          </cell>
          <cell r="BC22">
            <v>0</v>
          </cell>
          <cell r="BD22">
            <v>300000</v>
          </cell>
          <cell r="BE22" t="str">
            <v>OK</v>
          </cell>
          <cell r="BF22">
            <v>0</v>
          </cell>
          <cell r="BG22">
            <v>8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C23">
            <v>10000</v>
          </cell>
          <cell r="AQ23">
            <v>0</v>
          </cell>
          <cell r="AR23">
            <v>0</v>
          </cell>
          <cell r="AS23">
            <v>25000</v>
          </cell>
          <cell r="AW23">
            <v>290000</v>
          </cell>
          <cell r="AX23">
            <v>0</v>
          </cell>
          <cell r="AY23">
            <v>0</v>
          </cell>
          <cell r="AZ23">
            <v>290000</v>
          </cell>
          <cell r="BC23">
            <v>0</v>
          </cell>
          <cell r="BD23">
            <v>290000</v>
          </cell>
          <cell r="BF23">
            <v>0</v>
          </cell>
          <cell r="BG23">
            <v>8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F24">
            <v>0</v>
          </cell>
          <cell r="BG24">
            <v>8</v>
          </cell>
          <cell r="BO24" t="str">
            <v>S/TOTAL</v>
          </cell>
          <cell r="BQ24">
            <v>400000</v>
          </cell>
        </row>
        <row r="25">
          <cell r="A25" t="str">
            <v>AS201622</v>
          </cell>
          <cell r="B25" t="str">
            <v>NDJOMO ETIENNE</v>
          </cell>
          <cell r="C25">
            <v>-101000</v>
          </cell>
          <cell r="D25">
            <v>260000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101000</v>
          </cell>
          <cell r="U25">
            <v>361000</v>
          </cell>
          <cell r="Y25">
            <v>250000</v>
          </cell>
          <cell r="AK25">
            <v>193000</v>
          </cell>
          <cell r="AN25">
            <v>2500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193000</v>
          </cell>
          <cell r="AZ25">
            <v>193000</v>
          </cell>
          <cell r="BC25">
            <v>0</v>
          </cell>
          <cell r="BD25">
            <v>193000</v>
          </cell>
          <cell r="BE25" t="str">
            <v>OK</v>
          </cell>
          <cell r="BF25">
            <v>0</v>
          </cell>
          <cell r="BG25">
            <v>8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0</v>
          </cell>
          <cell r="R26">
            <v>0</v>
          </cell>
          <cell r="U26">
            <v>240000</v>
          </cell>
          <cell r="Y26">
            <v>225000</v>
          </cell>
          <cell r="AE26">
            <v>40000</v>
          </cell>
          <cell r="AF26" t="str">
            <v>BANQUE</v>
          </cell>
          <cell r="AJ26">
            <v>79625</v>
          </cell>
          <cell r="AK26">
            <v>200000</v>
          </cell>
          <cell r="AM26">
            <v>1000</v>
          </cell>
          <cell r="AN26">
            <v>3000</v>
          </cell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79625</v>
          </cell>
          <cell r="AY26">
            <v>1360000</v>
          </cell>
          <cell r="AZ26">
            <v>1439625</v>
          </cell>
          <cell r="BC26">
            <v>0</v>
          </cell>
          <cell r="BD26">
            <v>1439625</v>
          </cell>
          <cell r="BE26" t="str">
            <v>OK</v>
          </cell>
          <cell r="BF26">
            <v>0</v>
          </cell>
          <cell r="BG26">
            <v>8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-118000</v>
          </cell>
          <cell r="D27">
            <v>300000</v>
          </cell>
          <cell r="E27">
            <v>35000</v>
          </cell>
          <cell r="F27">
            <v>0</v>
          </cell>
          <cell r="G27">
            <v>500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202500</v>
          </cell>
          <cell r="U27">
            <v>453000</v>
          </cell>
          <cell r="Y27">
            <v>250000</v>
          </cell>
          <cell r="AI27">
            <v>32000</v>
          </cell>
          <cell r="AL27">
            <v>3000</v>
          </cell>
          <cell r="AP27" t="str">
            <v>BANQUE</v>
          </cell>
          <cell r="AQ27">
            <v>0</v>
          </cell>
          <cell r="AR27">
            <v>0</v>
          </cell>
          <cell r="AS27">
            <v>25500</v>
          </cell>
          <cell r="AW27">
            <v>32000</v>
          </cell>
          <cell r="AX27">
            <v>0</v>
          </cell>
          <cell r="AY27">
            <v>0</v>
          </cell>
          <cell r="AZ27">
            <v>32000</v>
          </cell>
          <cell r="BC27">
            <v>0</v>
          </cell>
          <cell r="BD27">
            <v>32000</v>
          </cell>
          <cell r="BF27">
            <v>0</v>
          </cell>
          <cell r="BG27">
            <v>8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50000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50000</v>
          </cell>
          <cell r="Y28">
            <v>50000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C28">
            <v>0</v>
          </cell>
          <cell r="BD28">
            <v>0</v>
          </cell>
          <cell r="BF28">
            <v>0</v>
          </cell>
          <cell r="BG28">
            <v>8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8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8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-83000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83000</v>
          </cell>
          <cell r="Q31">
            <v>0</v>
          </cell>
          <cell r="R31">
            <v>0</v>
          </cell>
          <cell r="U31">
            <v>133000</v>
          </cell>
          <cell r="Y31">
            <v>50000</v>
          </cell>
          <cell r="AI31">
            <v>83000</v>
          </cell>
          <cell r="AL31">
            <v>6000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83000</v>
          </cell>
          <cell r="AX31">
            <v>0</v>
          </cell>
          <cell r="AY31">
            <v>0</v>
          </cell>
          <cell r="AZ31">
            <v>83000</v>
          </cell>
          <cell r="BC31">
            <v>0</v>
          </cell>
          <cell r="BD31">
            <v>83000</v>
          </cell>
          <cell r="BF31">
            <v>0</v>
          </cell>
          <cell r="BG31">
            <v>8</v>
          </cell>
        </row>
        <row r="32">
          <cell r="A32" t="str">
            <v>AS201653</v>
          </cell>
          <cell r="B32" t="str">
            <v>SIME BRICE</v>
          </cell>
          <cell r="C32">
            <v>50000</v>
          </cell>
          <cell r="D32">
            <v>250000</v>
          </cell>
          <cell r="E32">
            <v>50000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U32">
            <v>250000</v>
          </cell>
          <cell r="Y32">
            <v>250000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100000</v>
          </cell>
          <cell r="BC32">
            <v>0</v>
          </cell>
          <cell r="BD32">
            <v>100000</v>
          </cell>
          <cell r="BE32" t="str">
            <v>0K</v>
          </cell>
          <cell r="BF32">
            <v>0</v>
          </cell>
          <cell r="BG32">
            <v>8</v>
          </cell>
          <cell r="BK32">
            <v>100000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0</v>
          </cell>
          <cell r="E33">
            <v>50000</v>
          </cell>
          <cell r="F33">
            <v>0</v>
          </cell>
          <cell r="G33">
            <v>-3000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22000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8</v>
          </cell>
        </row>
        <row r="34">
          <cell r="A34" t="str">
            <v>AS201638</v>
          </cell>
          <cell r="B34" t="str">
            <v>SIMO PIERRE</v>
          </cell>
          <cell r="C34">
            <v>-50000</v>
          </cell>
          <cell r="D34">
            <v>100000</v>
          </cell>
          <cell r="E34">
            <v>0</v>
          </cell>
          <cell r="F34">
            <v>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U34">
            <v>150000</v>
          </cell>
          <cell r="Y34">
            <v>150000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C34">
            <v>0</v>
          </cell>
          <cell r="BD34">
            <v>0</v>
          </cell>
          <cell r="BF34">
            <v>0</v>
          </cell>
          <cell r="BG34">
            <v>8</v>
          </cell>
        </row>
        <row r="35">
          <cell r="A35" t="str">
            <v>AS201641</v>
          </cell>
          <cell r="B35" t="str">
            <v>TCHOUAMOU MATHIEU</v>
          </cell>
          <cell r="C35">
            <v>-102000</v>
          </cell>
          <cell r="D35">
            <v>125000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102000</v>
          </cell>
          <cell r="R35">
            <v>0</v>
          </cell>
          <cell r="U35">
            <v>227000</v>
          </cell>
          <cell r="Y35">
            <v>125000</v>
          </cell>
          <cell r="AJ35">
            <v>50000</v>
          </cell>
          <cell r="AM35">
            <v>1000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50000</v>
          </cell>
          <cell r="AY35">
            <v>0</v>
          </cell>
          <cell r="AZ35">
            <v>50000</v>
          </cell>
          <cell r="BC35">
            <v>0</v>
          </cell>
          <cell r="BD35">
            <v>50000</v>
          </cell>
          <cell r="BE35" t="str">
            <v>OK</v>
          </cell>
          <cell r="BF35">
            <v>0</v>
          </cell>
          <cell r="BG35">
            <v>8</v>
          </cell>
        </row>
        <row r="36">
          <cell r="A36" t="str">
            <v>AS201660</v>
          </cell>
          <cell r="B36" t="str">
            <v>TCHOUATEU AUGUSTIN</v>
          </cell>
          <cell r="C36">
            <v>102000</v>
          </cell>
          <cell r="D36">
            <v>150000</v>
          </cell>
          <cell r="E36">
            <v>102000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K36">
            <v>100000</v>
          </cell>
          <cell r="AN36">
            <v>1000</v>
          </cell>
          <cell r="AP36" t="str">
            <v>BANQUE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100000</v>
          </cell>
          <cell r="AZ36">
            <v>100000</v>
          </cell>
          <cell r="BC36">
            <v>0</v>
          </cell>
          <cell r="BD36">
            <v>100000</v>
          </cell>
          <cell r="BE36" t="str">
            <v>OK</v>
          </cell>
          <cell r="BF36">
            <v>0</v>
          </cell>
          <cell r="BG36">
            <v>8</v>
          </cell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3000</v>
          </cell>
          <cell r="D37">
            <v>50000</v>
          </cell>
          <cell r="E37">
            <v>0</v>
          </cell>
          <cell r="F37">
            <v>0</v>
          </cell>
          <cell r="G37">
            <v>-3000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47000</v>
          </cell>
          <cell r="Y37">
            <v>50000</v>
          </cell>
          <cell r="AQ37">
            <v>0</v>
          </cell>
          <cell r="AR37">
            <v>0</v>
          </cell>
          <cell r="AS37">
            <v>22000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8</v>
          </cell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22000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8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125000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U39">
            <v>125000</v>
          </cell>
          <cell r="Y39">
            <v>125000</v>
          </cell>
          <cell r="AC39">
            <v>40000</v>
          </cell>
          <cell r="AJ39">
            <v>100000</v>
          </cell>
          <cell r="AM39">
            <v>2000</v>
          </cell>
          <cell r="AQ39">
            <v>0</v>
          </cell>
          <cell r="AR39">
            <v>0</v>
          </cell>
          <cell r="AS39">
            <v>25000</v>
          </cell>
          <cell r="AW39">
            <v>260000</v>
          </cell>
          <cell r="AX39">
            <v>100000</v>
          </cell>
          <cell r="AY39">
            <v>0</v>
          </cell>
          <cell r="AZ39">
            <v>360000</v>
          </cell>
          <cell r="BC39">
            <v>0</v>
          </cell>
          <cell r="BD39">
            <v>360000</v>
          </cell>
          <cell r="BE39" t="str">
            <v>OK</v>
          </cell>
          <cell r="BF39">
            <v>0</v>
          </cell>
          <cell r="BG39">
            <v>8</v>
          </cell>
        </row>
        <row r="40">
          <cell r="A40" t="str">
            <v>AS201646</v>
          </cell>
          <cell r="B40" t="str">
            <v>YEPMOU JEAN JACQUES</v>
          </cell>
          <cell r="C40">
            <v>-3000</v>
          </cell>
          <cell r="D40">
            <v>0</v>
          </cell>
          <cell r="E40">
            <v>50000</v>
          </cell>
          <cell r="F40">
            <v>0</v>
          </cell>
          <cell r="H40">
            <v>3000</v>
          </cell>
          <cell r="I40" t="str">
            <v>ESPECES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53000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8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253000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8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8</v>
          </cell>
        </row>
        <row r="44">
          <cell r="B44" t="str">
            <v>TOTAUX</v>
          </cell>
          <cell r="C44">
            <v>-1055625</v>
          </cell>
          <cell r="D44">
            <v>4280000</v>
          </cell>
          <cell r="E44">
            <v>1145500</v>
          </cell>
          <cell r="F44">
            <v>0</v>
          </cell>
          <cell r="G44">
            <v>224500</v>
          </cell>
          <cell r="H44">
            <v>12000</v>
          </cell>
          <cell r="I44">
            <v>0</v>
          </cell>
          <cell r="J44">
            <v>35</v>
          </cell>
          <cell r="K44">
            <v>1700000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125000</v>
          </cell>
          <cell r="Q44">
            <v>297125</v>
          </cell>
          <cell r="R44">
            <v>942500</v>
          </cell>
          <cell r="S44">
            <v>0</v>
          </cell>
          <cell r="U44">
            <v>6481125</v>
          </cell>
          <cell r="V44">
            <v>5000</v>
          </cell>
          <cell r="W44">
            <v>0</v>
          </cell>
          <cell r="X44">
            <v>0</v>
          </cell>
          <cell r="Y44">
            <v>5075000</v>
          </cell>
          <cell r="Z44">
            <v>300000</v>
          </cell>
          <cell r="AA44">
            <v>0</v>
          </cell>
          <cell r="AC44">
            <v>70000</v>
          </cell>
          <cell r="AD44">
            <v>7500</v>
          </cell>
          <cell r="AE44">
            <v>70000</v>
          </cell>
          <cell r="AF44">
            <v>0</v>
          </cell>
          <cell r="AG44">
            <v>0</v>
          </cell>
          <cell r="AI44">
            <v>145000</v>
          </cell>
          <cell r="AJ44">
            <v>379625</v>
          </cell>
          <cell r="AK44">
            <v>1093000</v>
          </cell>
          <cell r="AL44">
            <v>11500</v>
          </cell>
          <cell r="AM44">
            <v>7000</v>
          </cell>
          <cell r="AN44">
            <v>12500</v>
          </cell>
          <cell r="AO44">
            <v>0</v>
          </cell>
          <cell r="AQ44">
            <v>0</v>
          </cell>
          <cell r="AR44">
            <v>0</v>
          </cell>
          <cell r="AS44">
            <v>874500</v>
          </cell>
          <cell r="AT44">
            <v>0</v>
          </cell>
          <cell r="AU44">
            <v>0</v>
          </cell>
          <cell r="AV44">
            <v>0</v>
          </cell>
          <cell r="AW44">
            <v>975000</v>
          </cell>
          <cell r="AX44">
            <v>1272125</v>
          </cell>
          <cell r="AY44">
            <v>3423000</v>
          </cell>
          <cell r="AZ44">
            <v>6617125</v>
          </cell>
          <cell r="BA44">
            <v>0</v>
          </cell>
          <cell r="BB44">
            <v>0</v>
          </cell>
          <cell r="BC44">
            <v>0</v>
          </cell>
          <cell r="BD44">
            <v>6467125</v>
          </cell>
          <cell r="BE44">
            <v>0</v>
          </cell>
          <cell r="BF44">
            <v>9000</v>
          </cell>
          <cell r="BH44">
            <v>6000</v>
          </cell>
          <cell r="BI44">
            <v>0</v>
          </cell>
          <cell r="BJ44">
            <v>0</v>
          </cell>
          <cell r="BK44">
            <v>100000</v>
          </cell>
          <cell r="BL44">
            <v>150000</v>
          </cell>
          <cell r="BM44">
            <v>0</v>
          </cell>
          <cell r="BO44" t="str">
            <v>S/TOTAL</v>
          </cell>
          <cell r="BQ44">
            <v>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  <cell r="BC6">
            <v>0</v>
          </cell>
          <cell r="BD6">
            <v>6000</v>
          </cell>
          <cell r="BF6">
            <v>0</v>
          </cell>
          <cell r="BG6">
            <v>7</v>
          </cell>
          <cell r="BH6">
            <v>6000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50000</v>
          </cell>
          <cell r="D7">
            <v>100000</v>
          </cell>
          <cell r="E7">
            <v>0</v>
          </cell>
          <cell r="F7">
            <v>0</v>
          </cell>
          <cell r="G7">
            <v>-5000</v>
          </cell>
          <cell r="H7">
            <v>5000</v>
          </cell>
          <cell r="I7" t="str">
            <v>BANQUE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45000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7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Y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C8">
            <v>0</v>
          </cell>
          <cell r="BD8">
            <v>0</v>
          </cell>
          <cell r="BF8">
            <v>0</v>
          </cell>
          <cell r="BG8">
            <v>7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50000</v>
          </cell>
          <cell r="D9">
            <v>250000</v>
          </cell>
          <cell r="E9">
            <v>252000</v>
          </cell>
          <cell r="F9">
            <v>0</v>
          </cell>
          <cell r="H9">
            <v>0</v>
          </cell>
          <cell r="I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202000</v>
          </cell>
          <cell r="U9">
            <v>452000</v>
          </cell>
          <cell r="Y9">
            <v>250000</v>
          </cell>
          <cell r="AK9">
            <v>100000</v>
          </cell>
          <cell r="AN9">
            <v>1000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100000</v>
          </cell>
          <cell r="AZ9">
            <v>100000</v>
          </cell>
          <cell r="BC9">
            <v>0</v>
          </cell>
          <cell r="BD9">
            <v>100000</v>
          </cell>
          <cell r="BF9">
            <v>0</v>
          </cell>
          <cell r="BG9">
            <v>7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81000</v>
          </cell>
          <cell r="E10">
            <v>1500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32500</v>
          </cell>
          <cell r="Q10">
            <v>0</v>
          </cell>
          <cell r="R10">
            <v>0</v>
          </cell>
          <cell r="U10">
            <v>82500</v>
          </cell>
          <cell r="Y10">
            <v>50000</v>
          </cell>
          <cell r="AI10">
            <v>30000</v>
          </cell>
          <cell r="AL10">
            <v>500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30000</v>
          </cell>
          <cell r="AX10">
            <v>0</v>
          </cell>
          <cell r="AY10">
            <v>0</v>
          </cell>
          <cell r="AZ10">
            <v>30000</v>
          </cell>
          <cell r="BC10">
            <v>0</v>
          </cell>
          <cell r="BD10">
            <v>30000</v>
          </cell>
          <cell r="BF10">
            <v>0</v>
          </cell>
          <cell r="BG10">
            <v>7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150000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150000</v>
          </cell>
          <cell r="Y11">
            <v>150000</v>
          </cell>
          <cell r="AK11">
            <v>100000</v>
          </cell>
          <cell r="AN11">
            <v>1000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100000</v>
          </cell>
          <cell r="AZ11">
            <v>100000</v>
          </cell>
          <cell r="BC11">
            <v>0</v>
          </cell>
          <cell r="BD11">
            <v>100000</v>
          </cell>
          <cell r="BF11">
            <v>0</v>
          </cell>
          <cell r="BG11">
            <v>7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260000</v>
          </cell>
          <cell r="E12">
            <v>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260000</v>
          </cell>
          <cell r="Y12">
            <v>250000</v>
          </cell>
          <cell r="AI12">
            <v>53000</v>
          </cell>
          <cell r="AL12">
            <v>1000</v>
          </cell>
          <cell r="AQ12">
            <v>0</v>
          </cell>
          <cell r="AR12">
            <v>0</v>
          </cell>
          <cell r="AS12">
            <v>35000</v>
          </cell>
          <cell r="AW12">
            <v>53000</v>
          </cell>
          <cell r="AX12">
            <v>0</v>
          </cell>
          <cell r="AY12">
            <v>0</v>
          </cell>
          <cell r="AZ12">
            <v>53000</v>
          </cell>
          <cell r="BC12">
            <v>0</v>
          </cell>
          <cell r="BD12">
            <v>53000</v>
          </cell>
          <cell r="BF12">
            <v>0</v>
          </cell>
          <cell r="BG12">
            <v>7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C13">
            <v>5500</v>
          </cell>
          <cell r="AQ13">
            <v>0</v>
          </cell>
          <cell r="AR13">
            <v>0</v>
          </cell>
          <cell r="AS13">
            <v>25000</v>
          </cell>
          <cell r="AW13">
            <v>294500</v>
          </cell>
          <cell r="AX13">
            <v>0</v>
          </cell>
          <cell r="AY13">
            <v>0</v>
          </cell>
          <cell r="AZ13">
            <v>294500</v>
          </cell>
          <cell r="BC13">
            <v>0</v>
          </cell>
          <cell r="BD13">
            <v>294500</v>
          </cell>
          <cell r="BF13">
            <v>0</v>
          </cell>
          <cell r="BG13">
            <v>7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7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150000</v>
          </cell>
          <cell r="Y15">
            <v>150000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7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7</v>
          </cell>
        </row>
        <row r="17">
          <cell r="A17" t="str">
            <v>AS201613</v>
          </cell>
          <cell r="B17" t="str">
            <v>HOTCHO BENJAMIN</v>
          </cell>
          <cell r="C17">
            <v>-152000</v>
          </cell>
          <cell r="D17">
            <v>250000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51000</v>
          </cell>
          <cell r="R17">
            <v>101000</v>
          </cell>
          <cell r="U17">
            <v>402000</v>
          </cell>
          <cell r="Y17">
            <v>225000</v>
          </cell>
          <cell r="AC17">
            <v>4500</v>
          </cell>
          <cell r="AJ17">
            <v>50000</v>
          </cell>
          <cell r="AM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50000</v>
          </cell>
          <cell r="AW17">
            <v>295500</v>
          </cell>
          <cell r="AX17">
            <v>50000</v>
          </cell>
          <cell r="AY17">
            <v>0</v>
          </cell>
          <cell r="AZ17">
            <v>345500</v>
          </cell>
          <cell r="BC17">
            <v>0</v>
          </cell>
          <cell r="BD17">
            <v>345500</v>
          </cell>
          <cell r="BF17">
            <v>0</v>
          </cell>
          <cell r="BG17">
            <v>7</v>
          </cell>
          <cell r="BO17" t="str">
            <v>S/TOTAL</v>
          </cell>
          <cell r="BQ17">
            <v>6000</v>
          </cell>
        </row>
        <row r="18">
          <cell r="A18" t="str">
            <v>AS201617</v>
          </cell>
          <cell r="B18" t="str">
            <v>KOUAMOU MOISE</v>
          </cell>
          <cell r="C18">
            <v>102000</v>
          </cell>
          <cell r="D18">
            <v>150000</v>
          </cell>
          <cell r="E18">
            <v>102000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AK18">
            <v>100000</v>
          </cell>
          <cell r="AN18">
            <v>2000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100000</v>
          </cell>
          <cell r="AZ18">
            <v>100000</v>
          </cell>
          <cell r="BC18">
            <v>0</v>
          </cell>
          <cell r="BD18">
            <v>100000</v>
          </cell>
          <cell r="BF18">
            <v>0</v>
          </cell>
          <cell r="BG18">
            <v>7</v>
          </cell>
        </row>
        <row r="19">
          <cell r="A19" t="str">
            <v>AS201619</v>
          </cell>
          <cell r="B19" t="str">
            <v>KOUATCHO MESSACK</v>
          </cell>
          <cell r="C19">
            <v>-500</v>
          </cell>
          <cell r="D19">
            <v>298500</v>
          </cell>
          <cell r="E19">
            <v>27000</v>
          </cell>
          <cell r="F19">
            <v>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101000</v>
          </cell>
          <cell r="U19">
            <v>326000</v>
          </cell>
          <cell r="Y19">
            <v>225000</v>
          </cell>
          <cell r="AK19">
            <v>100000</v>
          </cell>
          <cell r="AN19">
            <v>1000</v>
          </cell>
          <cell r="AP19" t="str">
            <v>BANQUE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100000</v>
          </cell>
          <cell r="AZ19">
            <v>100000</v>
          </cell>
          <cell r="BC19">
            <v>0</v>
          </cell>
          <cell r="BD19">
            <v>100000</v>
          </cell>
          <cell r="BF19">
            <v>0</v>
          </cell>
          <cell r="BG19">
            <v>7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7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-102000</v>
          </cell>
          <cell r="D22">
            <v>325000</v>
          </cell>
          <cell r="E22">
            <v>202000</v>
          </cell>
          <cell r="F22">
            <v>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102000</v>
          </cell>
          <cell r="R22">
            <v>202000</v>
          </cell>
          <cell r="U22">
            <v>629000</v>
          </cell>
          <cell r="Y22">
            <v>325000</v>
          </cell>
          <cell r="AJ22">
            <v>100000</v>
          </cell>
          <cell r="AK22">
            <v>200000</v>
          </cell>
          <cell r="AM22">
            <v>2000</v>
          </cell>
          <cell r="AN22">
            <v>2000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100000</v>
          </cell>
          <cell r="AY22">
            <v>200000</v>
          </cell>
          <cell r="AZ22">
            <v>300000</v>
          </cell>
          <cell r="BC22">
            <v>0</v>
          </cell>
          <cell r="BD22">
            <v>300000</v>
          </cell>
          <cell r="BF22">
            <v>0</v>
          </cell>
          <cell r="BG22">
            <v>7</v>
          </cell>
        </row>
        <row r="23">
          <cell r="A23" t="str">
            <v>AS201639</v>
          </cell>
          <cell r="B23" t="str">
            <v>NANGUEN MARTIN</v>
          </cell>
          <cell r="C23">
            <v>150000</v>
          </cell>
          <cell r="D23">
            <v>0</v>
          </cell>
          <cell r="E23">
            <v>203000</v>
          </cell>
          <cell r="F23">
            <v>0</v>
          </cell>
          <cell r="H23">
            <v>3000</v>
          </cell>
          <cell r="I23" t="str">
            <v>ESPECES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53000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7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F24">
            <v>0</v>
          </cell>
          <cell r="BG24">
            <v>7</v>
          </cell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-195500</v>
          </cell>
          <cell r="D25">
            <v>260000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195500</v>
          </cell>
          <cell r="U25">
            <v>455500</v>
          </cell>
          <cell r="Y25">
            <v>250000</v>
          </cell>
          <cell r="AE25">
            <v>10000</v>
          </cell>
          <cell r="AK25">
            <v>200000</v>
          </cell>
          <cell r="AN25">
            <v>2500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1390000</v>
          </cell>
          <cell r="AZ25">
            <v>1390000</v>
          </cell>
          <cell r="BC25">
            <v>0</v>
          </cell>
          <cell r="BD25">
            <v>1390000</v>
          </cell>
          <cell r="BF25">
            <v>0</v>
          </cell>
          <cell r="BG25">
            <v>7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283625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80625</v>
          </cell>
          <cell r="R26">
            <v>203000</v>
          </cell>
          <cell r="U26">
            <v>523625</v>
          </cell>
          <cell r="Y26">
            <v>225000</v>
          </cell>
          <cell r="AJ26">
            <v>119125</v>
          </cell>
          <cell r="AK26">
            <v>130500</v>
          </cell>
          <cell r="AM26">
            <v>2000</v>
          </cell>
          <cell r="AN26">
            <v>2000</v>
          </cell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119125</v>
          </cell>
          <cell r="AY26">
            <v>130500</v>
          </cell>
          <cell r="AZ26">
            <v>249625</v>
          </cell>
          <cell r="BC26">
            <v>0</v>
          </cell>
          <cell r="BD26">
            <v>249625</v>
          </cell>
          <cell r="BF26">
            <v>0</v>
          </cell>
          <cell r="BG26">
            <v>7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-35000</v>
          </cell>
          <cell r="D27">
            <v>250000</v>
          </cell>
          <cell r="E27">
            <v>0</v>
          </cell>
          <cell r="F27">
            <v>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35000</v>
          </cell>
          <cell r="Q27">
            <v>0</v>
          </cell>
          <cell r="R27">
            <v>0</v>
          </cell>
          <cell r="U27">
            <v>285000</v>
          </cell>
          <cell r="Y27">
            <v>250000</v>
          </cell>
          <cell r="AK27">
            <v>200000</v>
          </cell>
          <cell r="AN27">
            <v>2500</v>
          </cell>
          <cell r="AP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200000</v>
          </cell>
          <cell r="AZ27">
            <v>300000</v>
          </cell>
          <cell r="BC27">
            <v>0</v>
          </cell>
          <cell r="BD27">
            <v>300000</v>
          </cell>
          <cell r="BF27">
            <v>0</v>
          </cell>
          <cell r="BG27">
            <v>7</v>
          </cell>
          <cell r="BK27">
            <v>100000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295000</v>
          </cell>
          <cell r="D28">
            <v>345000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50000</v>
          </cell>
          <cell r="Y28">
            <v>50000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C28">
            <v>0</v>
          </cell>
          <cell r="BD28">
            <v>0</v>
          </cell>
          <cell r="BF28">
            <v>0</v>
          </cell>
          <cell r="BG28">
            <v>7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7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D30">
            <v>7500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892500</v>
          </cell>
          <cell r="AY30">
            <v>0</v>
          </cell>
          <cell r="AZ30">
            <v>892500</v>
          </cell>
          <cell r="BC30">
            <v>0</v>
          </cell>
          <cell r="BD30">
            <v>892500</v>
          </cell>
          <cell r="BF30">
            <v>0</v>
          </cell>
          <cell r="BG30">
            <v>7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30000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89000</v>
          </cell>
          <cell r="Q31">
            <v>0</v>
          </cell>
          <cell r="R31">
            <v>0</v>
          </cell>
          <cell r="U31">
            <v>139000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C31">
            <v>0</v>
          </cell>
          <cell r="BD31">
            <v>59000</v>
          </cell>
          <cell r="BF31">
            <v>0</v>
          </cell>
          <cell r="BG31">
            <v>7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U32">
            <v>250000</v>
          </cell>
          <cell r="Y32">
            <v>250000</v>
          </cell>
          <cell r="AC32">
            <v>5500</v>
          </cell>
          <cell r="AE32">
            <v>15000</v>
          </cell>
          <cell r="AQ32">
            <v>0</v>
          </cell>
          <cell r="AR32">
            <v>0</v>
          </cell>
          <cell r="AS32">
            <v>25000</v>
          </cell>
          <cell r="AW32">
            <v>294500</v>
          </cell>
          <cell r="AX32">
            <v>0</v>
          </cell>
          <cell r="AY32">
            <v>1185000</v>
          </cell>
          <cell r="AZ32">
            <v>1479500</v>
          </cell>
          <cell r="BC32">
            <v>0</v>
          </cell>
          <cell r="BD32">
            <v>1479500</v>
          </cell>
          <cell r="BF32">
            <v>0</v>
          </cell>
          <cell r="BG32">
            <v>7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0</v>
          </cell>
          <cell r="E33">
            <v>53000</v>
          </cell>
          <cell r="F33">
            <v>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53000</v>
          </cell>
          <cell r="Y33">
            <v>50000</v>
          </cell>
          <cell r="AQ33">
            <v>0</v>
          </cell>
          <cell r="AR33">
            <v>0</v>
          </cell>
          <cell r="AS33">
            <v>25000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7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150000</v>
          </cell>
          <cell r="E34">
            <v>0</v>
          </cell>
          <cell r="F34">
            <v>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U34">
            <v>150000</v>
          </cell>
          <cell r="Y34">
            <v>150000</v>
          </cell>
          <cell r="AI34">
            <v>30000</v>
          </cell>
          <cell r="AL34">
            <v>500</v>
          </cell>
          <cell r="AQ34">
            <v>0</v>
          </cell>
          <cell r="AR34">
            <v>0</v>
          </cell>
          <cell r="AS34">
            <v>25000</v>
          </cell>
          <cell r="AW34">
            <v>30000</v>
          </cell>
          <cell r="AX34">
            <v>0</v>
          </cell>
          <cell r="AY34">
            <v>0</v>
          </cell>
          <cell r="AZ34">
            <v>30000</v>
          </cell>
          <cell r="BC34">
            <v>0</v>
          </cell>
          <cell r="BD34">
            <v>30000</v>
          </cell>
          <cell r="BF34">
            <v>0</v>
          </cell>
          <cell r="BG34">
            <v>7</v>
          </cell>
        </row>
        <row r="35">
          <cell r="A35" t="str">
            <v>AS201641</v>
          </cell>
          <cell r="B35" t="str">
            <v>TCHOUAMOU MATHIEU</v>
          </cell>
          <cell r="C35">
            <v>-51000</v>
          </cell>
          <cell r="D35">
            <v>125000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51000</v>
          </cell>
          <cell r="R35">
            <v>0</v>
          </cell>
          <cell r="U35">
            <v>176000</v>
          </cell>
          <cell r="Y35">
            <v>125000</v>
          </cell>
          <cell r="AJ35">
            <v>100000</v>
          </cell>
          <cell r="AM35">
            <v>2000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100000</v>
          </cell>
          <cell r="AY35">
            <v>0</v>
          </cell>
          <cell r="AZ35">
            <v>100000</v>
          </cell>
          <cell r="BC35">
            <v>0</v>
          </cell>
          <cell r="BD35">
            <v>100000</v>
          </cell>
          <cell r="BF35">
            <v>0</v>
          </cell>
          <cell r="BG35">
            <v>7</v>
          </cell>
        </row>
        <row r="36">
          <cell r="A36" t="str">
            <v>AS201660</v>
          </cell>
          <cell r="B36" t="str">
            <v>TCHOUATEU AUGUSTIN</v>
          </cell>
          <cell r="C36">
            <v>-101000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101000</v>
          </cell>
          <cell r="U36">
            <v>251000</v>
          </cell>
          <cell r="Y36">
            <v>150000</v>
          </cell>
          <cell r="AP36" t="str">
            <v>BANQUE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C36">
            <v>0</v>
          </cell>
          <cell r="BD36">
            <v>0</v>
          </cell>
          <cell r="BF36">
            <v>0</v>
          </cell>
          <cell r="BG36">
            <v>7</v>
          </cell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7</v>
          </cell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22000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7</v>
          </cell>
        </row>
        <row r="39">
          <cell r="A39" t="str">
            <v>AS201658</v>
          </cell>
          <cell r="B39" t="str">
            <v>YANTCHOU GERVAIS</v>
          </cell>
          <cell r="C39">
            <v>-102000</v>
          </cell>
          <cell r="D39">
            <v>125000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102000</v>
          </cell>
          <cell r="R39">
            <v>0</v>
          </cell>
          <cell r="U39">
            <v>227000</v>
          </cell>
          <cell r="Y39">
            <v>125000</v>
          </cell>
          <cell r="AJ39">
            <v>100000</v>
          </cell>
          <cell r="AM39">
            <v>2000</v>
          </cell>
          <cell r="AP39" t="str">
            <v>BANQUE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100000</v>
          </cell>
          <cell r="AY39">
            <v>0</v>
          </cell>
          <cell r="AZ39">
            <v>100000</v>
          </cell>
          <cell r="BC39">
            <v>0</v>
          </cell>
          <cell r="BD39">
            <v>100000</v>
          </cell>
          <cell r="BF39">
            <v>0</v>
          </cell>
          <cell r="BG39">
            <v>7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7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250000</v>
          </cell>
          <cell r="E41">
            <v>0</v>
          </cell>
          <cell r="F41">
            <v>0</v>
          </cell>
          <cell r="H41">
            <v>0</v>
          </cell>
          <cell r="I41" t="str">
            <v>BANQUE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250000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7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7</v>
          </cell>
        </row>
        <row r="44">
          <cell r="B44" t="str">
            <v>TOTAUX</v>
          </cell>
          <cell r="C44">
            <v>-151000</v>
          </cell>
          <cell r="D44">
            <v>5484500</v>
          </cell>
          <cell r="E44">
            <v>1204125</v>
          </cell>
          <cell r="F44">
            <v>0</v>
          </cell>
          <cell r="G44">
            <v>52000</v>
          </cell>
          <cell r="H44">
            <v>14000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156500</v>
          </cell>
          <cell r="Q44">
            <v>386625</v>
          </cell>
          <cell r="R44">
            <v>1105500</v>
          </cell>
          <cell r="S44">
            <v>0</v>
          </cell>
          <cell r="U44">
            <v>6839625</v>
          </cell>
          <cell r="V44">
            <v>0</v>
          </cell>
          <cell r="W44">
            <v>0</v>
          </cell>
          <cell r="X44">
            <v>0</v>
          </cell>
          <cell r="Y44">
            <v>5125000</v>
          </cell>
          <cell r="Z44">
            <v>0</v>
          </cell>
          <cell r="AA44">
            <v>0</v>
          </cell>
          <cell r="AC44">
            <v>15500</v>
          </cell>
          <cell r="AD44">
            <v>7500</v>
          </cell>
          <cell r="AE44">
            <v>25000</v>
          </cell>
          <cell r="AF44">
            <v>0</v>
          </cell>
          <cell r="AG44">
            <v>0</v>
          </cell>
          <cell r="AI44">
            <v>172000</v>
          </cell>
          <cell r="AJ44">
            <v>469125</v>
          </cell>
          <cell r="AK44">
            <v>1130500</v>
          </cell>
          <cell r="AL44">
            <v>2000</v>
          </cell>
          <cell r="AM44">
            <v>9000</v>
          </cell>
          <cell r="AN44">
            <v>14000</v>
          </cell>
          <cell r="AO44">
            <v>0</v>
          </cell>
          <cell r="AQ44">
            <v>0</v>
          </cell>
          <cell r="AR44">
            <v>0</v>
          </cell>
          <cell r="AS44">
            <v>952000</v>
          </cell>
          <cell r="AT44">
            <v>0</v>
          </cell>
          <cell r="AU44">
            <v>0</v>
          </cell>
          <cell r="AV44">
            <v>0</v>
          </cell>
          <cell r="AW44">
            <v>1056500</v>
          </cell>
          <cell r="AX44">
            <v>1361625</v>
          </cell>
          <cell r="AY44">
            <v>3505500</v>
          </cell>
          <cell r="AZ44">
            <v>6029625</v>
          </cell>
          <cell r="BA44">
            <v>0</v>
          </cell>
          <cell r="BB44">
            <v>0</v>
          </cell>
          <cell r="BC44">
            <v>0</v>
          </cell>
          <cell r="BD44">
            <v>6029625</v>
          </cell>
          <cell r="BE44">
            <v>0</v>
          </cell>
          <cell r="BF44">
            <v>0</v>
          </cell>
          <cell r="BH44">
            <v>6000</v>
          </cell>
          <cell r="BI44">
            <v>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D6">
            <v>7500</v>
          </cell>
          <cell r="AE6">
            <v>10000</v>
          </cell>
          <cell r="AQ6">
            <v>0</v>
          </cell>
          <cell r="AR6">
            <v>0</v>
          </cell>
          <cell r="AW6">
            <v>0</v>
          </cell>
          <cell r="AX6">
            <v>892500</v>
          </cell>
          <cell r="AY6">
            <v>1190000</v>
          </cell>
          <cell r="AZ6">
            <v>2088500</v>
          </cell>
          <cell r="BC6">
            <v>0</v>
          </cell>
          <cell r="BD6">
            <v>2088500</v>
          </cell>
          <cell r="BF6">
            <v>0</v>
          </cell>
          <cell r="BG6">
            <v>6</v>
          </cell>
          <cell r="BH6">
            <v>6000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6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-500000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T8" t="str">
            <v>BANQUE</v>
          </cell>
          <cell r="U8">
            <v>625000</v>
          </cell>
          <cell r="Y8">
            <v>125000</v>
          </cell>
          <cell r="Z8">
            <v>500000</v>
          </cell>
          <cell r="AA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485000</v>
          </cell>
          <cell r="BC8">
            <v>0</v>
          </cell>
          <cell r="BD8">
            <v>485000</v>
          </cell>
          <cell r="BF8">
            <v>15000</v>
          </cell>
          <cell r="BG8">
            <v>3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101000</v>
          </cell>
          <cell r="D9">
            <v>0</v>
          </cell>
          <cell r="E9">
            <v>351000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Y9">
            <v>250000</v>
          </cell>
          <cell r="AI9">
            <v>39500</v>
          </cell>
          <cell r="AL9">
            <v>2000</v>
          </cell>
          <cell r="AQ9">
            <v>0</v>
          </cell>
          <cell r="AR9">
            <v>0</v>
          </cell>
          <cell r="AS9">
            <v>25000</v>
          </cell>
          <cell r="AW9">
            <v>39500</v>
          </cell>
          <cell r="AX9">
            <v>0</v>
          </cell>
          <cell r="AY9">
            <v>0</v>
          </cell>
          <cell r="AZ9">
            <v>139500</v>
          </cell>
          <cell r="BA9">
            <v>139500</v>
          </cell>
          <cell r="BC9">
            <v>0</v>
          </cell>
          <cell r="BD9">
            <v>0</v>
          </cell>
          <cell r="BF9">
            <v>0</v>
          </cell>
          <cell r="BG9">
            <v>6</v>
          </cell>
          <cell r="BK9">
            <v>100000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81000</v>
          </cell>
          <cell r="E10">
            <v>0</v>
          </cell>
          <cell r="F10">
            <v>0</v>
          </cell>
          <cell r="G10">
            <v>500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30500</v>
          </cell>
          <cell r="Q10">
            <v>0</v>
          </cell>
          <cell r="R10">
            <v>0</v>
          </cell>
          <cell r="U10">
            <v>81000</v>
          </cell>
          <cell r="Y10">
            <v>50000</v>
          </cell>
          <cell r="AP10" t="str">
            <v>BANQUE</v>
          </cell>
          <cell r="AQ10">
            <v>0</v>
          </cell>
          <cell r="AR10">
            <v>0</v>
          </cell>
          <cell r="AS10">
            <v>25500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C10">
            <v>0</v>
          </cell>
          <cell r="BD10">
            <v>0</v>
          </cell>
          <cell r="BF10">
            <v>0</v>
          </cell>
          <cell r="BG10">
            <v>6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-106500</v>
          </cell>
          <cell r="D11">
            <v>251000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207500</v>
          </cell>
          <cell r="U11">
            <v>357500</v>
          </cell>
          <cell r="Y11">
            <v>150000</v>
          </cell>
          <cell r="AI11">
            <v>30000</v>
          </cell>
          <cell r="AK11">
            <v>200000</v>
          </cell>
          <cell r="AL11">
            <v>1000</v>
          </cell>
          <cell r="AN11">
            <v>7500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30000</v>
          </cell>
          <cell r="AX11">
            <v>0</v>
          </cell>
          <cell r="AY11">
            <v>200000</v>
          </cell>
          <cell r="AZ11">
            <v>230000</v>
          </cell>
          <cell r="BA11">
            <v>230000</v>
          </cell>
          <cell r="BC11">
            <v>0</v>
          </cell>
          <cell r="BD11">
            <v>0</v>
          </cell>
          <cell r="BF11">
            <v>0</v>
          </cell>
          <cell r="BG11">
            <v>6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-203000</v>
          </cell>
          <cell r="D12">
            <v>315000</v>
          </cell>
          <cell r="E12">
            <v>0</v>
          </cell>
          <cell r="F12">
            <v>0</v>
          </cell>
          <cell r="G12">
            <v>11000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54000</v>
          </cell>
          <cell r="Q12">
            <v>0</v>
          </cell>
          <cell r="R12">
            <v>203000</v>
          </cell>
          <cell r="U12">
            <v>518000</v>
          </cell>
          <cell r="Y12">
            <v>250000</v>
          </cell>
          <cell r="AI12">
            <v>30000</v>
          </cell>
          <cell r="AK12">
            <v>200000</v>
          </cell>
          <cell r="AL12">
            <v>1000</v>
          </cell>
          <cell r="AN12">
            <v>3000</v>
          </cell>
          <cell r="AP12" t="str">
            <v>BANQUE</v>
          </cell>
          <cell r="AQ12">
            <v>0</v>
          </cell>
          <cell r="AR12">
            <v>0</v>
          </cell>
          <cell r="AS12">
            <v>36000</v>
          </cell>
          <cell r="AW12">
            <v>30000</v>
          </cell>
          <cell r="AX12">
            <v>0</v>
          </cell>
          <cell r="AY12">
            <v>200000</v>
          </cell>
          <cell r="AZ12">
            <v>230000</v>
          </cell>
          <cell r="BA12">
            <v>130000</v>
          </cell>
          <cell r="BC12">
            <v>0</v>
          </cell>
          <cell r="BD12">
            <v>100000</v>
          </cell>
          <cell r="BF12">
            <v>0</v>
          </cell>
          <cell r="BG12">
            <v>6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6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6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150000</v>
          </cell>
          <cell r="Y15">
            <v>150000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6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6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301000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51000</v>
          </cell>
          <cell r="R17">
            <v>0</v>
          </cell>
          <cell r="U17">
            <v>301000</v>
          </cell>
          <cell r="Y17">
            <v>225000</v>
          </cell>
          <cell r="AJ17">
            <v>100000</v>
          </cell>
          <cell r="AM17">
            <v>2500</v>
          </cell>
          <cell r="AP17" t="str">
            <v>BANQUE</v>
          </cell>
          <cell r="AQ17">
            <v>0</v>
          </cell>
          <cell r="AR17">
            <v>0</v>
          </cell>
          <cell r="AS17">
            <v>50000</v>
          </cell>
          <cell r="AW17">
            <v>0</v>
          </cell>
          <cell r="AX17">
            <v>100000</v>
          </cell>
          <cell r="AY17">
            <v>0</v>
          </cell>
          <cell r="AZ17">
            <v>100000</v>
          </cell>
          <cell r="BA17">
            <v>25000</v>
          </cell>
          <cell r="BC17">
            <v>0</v>
          </cell>
          <cell r="BD17">
            <v>75000</v>
          </cell>
          <cell r="BF17">
            <v>0</v>
          </cell>
          <cell r="BG17">
            <v>6</v>
          </cell>
          <cell r="BO17" t="str">
            <v>S/TOTAL</v>
          </cell>
          <cell r="BQ17">
            <v>6000</v>
          </cell>
        </row>
        <row r="18">
          <cell r="A18" t="str">
            <v>AS201617</v>
          </cell>
          <cell r="B18" t="str">
            <v>KOUAMOU MOISE</v>
          </cell>
          <cell r="C18">
            <v>-106000</v>
          </cell>
          <cell r="D18">
            <v>150000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106000</v>
          </cell>
          <cell r="U18">
            <v>256000</v>
          </cell>
          <cell r="Y18">
            <v>150000</v>
          </cell>
          <cell r="AK18">
            <v>102000</v>
          </cell>
          <cell r="AN18">
            <v>4000</v>
          </cell>
          <cell r="AP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102000</v>
          </cell>
          <cell r="AZ18">
            <v>102000</v>
          </cell>
          <cell r="BC18">
            <v>0</v>
          </cell>
          <cell r="BD18">
            <v>102000</v>
          </cell>
          <cell r="BF18">
            <v>0</v>
          </cell>
          <cell r="BG18">
            <v>6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235000</v>
          </cell>
          <cell r="E19">
            <v>0</v>
          </cell>
          <cell r="F19">
            <v>0</v>
          </cell>
          <cell r="G19">
            <v>10000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0</v>
          </cell>
          <cell r="U19">
            <v>235000</v>
          </cell>
          <cell r="Y19">
            <v>225000</v>
          </cell>
          <cell r="AJ19">
            <v>138500</v>
          </cell>
          <cell r="AM19">
            <v>2500</v>
          </cell>
          <cell r="AQ19">
            <v>0</v>
          </cell>
          <cell r="AR19">
            <v>0</v>
          </cell>
          <cell r="AS19">
            <v>35000</v>
          </cell>
          <cell r="AW19">
            <v>0</v>
          </cell>
          <cell r="AX19">
            <v>138500</v>
          </cell>
          <cell r="AY19">
            <v>0</v>
          </cell>
          <cell r="AZ19">
            <v>138500</v>
          </cell>
          <cell r="BA19">
            <v>38500</v>
          </cell>
          <cell r="BC19">
            <v>0</v>
          </cell>
          <cell r="BD19">
            <v>-1000</v>
          </cell>
          <cell r="BF19">
            <v>0</v>
          </cell>
          <cell r="BG19">
            <v>6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  <cell r="G20">
            <v>100000</v>
          </cell>
        </row>
        <row r="21">
          <cell r="A21" t="str">
            <v>AS201661</v>
          </cell>
          <cell r="B21" t="str">
            <v>MASSEUNGOUE DAGOBERT</v>
          </cell>
          <cell r="C21">
            <v>-300000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300000</v>
          </cell>
          <cell r="T21" t="str">
            <v>BANQUE</v>
          </cell>
          <cell r="U21">
            <v>350000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6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-1002500</v>
          </cell>
          <cell r="D22">
            <v>628000</v>
          </cell>
          <cell r="E22">
            <v>0</v>
          </cell>
          <cell r="F22">
            <v>0</v>
          </cell>
          <cell r="G22">
            <v>-1000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102000</v>
          </cell>
          <cell r="R22">
            <v>204500</v>
          </cell>
          <cell r="S22">
            <v>1000000</v>
          </cell>
          <cell r="T22" t="str">
            <v>BANQUE</v>
          </cell>
          <cell r="U22">
            <v>1630500</v>
          </cell>
          <cell r="Y22">
            <v>325000</v>
          </cell>
          <cell r="Z22">
            <v>1000000</v>
          </cell>
          <cell r="AA22" t="str">
            <v>BANQUE</v>
          </cell>
          <cell r="AJ22">
            <v>100000</v>
          </cell>
          <cell r="AK22">
            <v>200000</v>
          </cell>
          <cell r="AM22">
            <v>2000</v>
          </cell>
          <cell r="AN22">
            <v>4500</v>
          </cell>
          <cell r="AP22" t="str">
            <v>BANQUE</v>
          </cell>
          <cell r="AQ22">
            <v>0</v>
          </cell>
          <cell r="AR22">
            <v>0</v>
          </cell>
          <cell r="AS22">
            <v>24000</v>
          </cell>
          <cell r="AW22">
            <v>0</v>
          </cell>
          <cell r="AX22">
            <v>100000</v>
          </cell>
          <cell r="AY22">
            <v>200000</v>
          </cell>
          <cell r="AZ22">
            <v>1270000</v>
          </cell>
          <cell r="BA22">
            <v>100000</v>
          </cell>
          <cell r="BC22">
            <v>0</v>
          </cell>
          <cell r="BD22">
            <v>1170000</v>
          </cell>
          <cell r="BF22">
            <v>30000</v>
          </cell>
          <cell r="BG22">
            <v>3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6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F24">
            <v>0</v>
          </cell>
          <cell r="BG24">
            <v>6</v>
          </cell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-4000</v>
          </cell>
          <cell r="D25">
            <v>260000</v>
          </cell>
          <cell r="E25">
            <v>202500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206500</v>
          </cell>
          <cell r="U25">
            <v>466500</v>
          </cell>
          <cell r="Y25">
            <v>250000</v>
          </cell>
          <cell r="AK25">
            <v>200000</v>
          </cell>
          <cell r="AN25">
            <v>6500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  <cell r="BC25">
            <v>0</v>
          </cell>
          <cell r="BD25">
            <v>200000</v>
          </cell>
          <cell r="BF25">
            <v>0</v>
          </cell>
          <cell r="BG25">
            <v>6</v>
          </cell>
        </row>
        <row r="26">
          <cell r="A26" t="str">
            <v>AS201624</v>
          </cell>
          <cell r="B26" t="str">
            <v>NGONDIEP CLAUDE</v>
          </cell>
          <cell r="C26">
            <v>-257625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121125</v>
          </cell>
          <cell r="R26">
            <v>136500</v>
          </cell>
          <cell r="U26">
            <v>497625</v>
          </cell>
          <cell r="Y26">
            <v>225000</v>
          </cell>
          <cell r="AJ26">
            <v>121125</v>
          </cell>
          <cell r="AK26">
            <v>132500</v>
          </cell>
          <cell r="AM26">
            <v>4000</v>
          </cell>
          <cell r="AN26">
            <v>4000</v>
          </cell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121125</v>
          </cell>
          <cell r="AY26">
            <v>132500</v>
          </cell>
          <cell r="AZ26">
            <v>253625</v>
          </cell>
          <cell r="BC26">
            <v>0</v>
          </cell>
          <cell r="BD26">
            <v>253625</v>
          </cell>
          <cell r="BF26">
            <v>0</v>
          </cell>
          <cell r="BG26">
            <v>6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99000</v>
          </cell>
          <cell r="D27">
            <v>450000</v>
          </cell>
          <cell r="E27">
            <v>0</v>
          </cell>
          <cell r="F27">
            <v>0</v>
          </cell>
          <cell r="G27">
            <v>-2000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103000</v>
          </cell>
          <cell r="U27">
            <v>351000</v>
          </cell>
          <cell r="Y27">
            <v>250000</v>
          </cell>
          <cell r="AK27">
            <v>100000</v>
          </cell>
          <cell r="AN27">
            <v>3000</v>
          </cell>
          <cell r="AP27" t="str">
            <v>BANQUE</v>
          </cell>
          <cell r="AQ27">
            <v>0</v>
          </cell>
          <cell r="AR27">
            <v>0</v>
          </cell>
          <cell r="AS27">
            <v>23000</v>
          </cell>
          <cell r="AW27">
            <v>0</v>
          </cell>
          <cell r="AX27">
            <v>0</v>
          </cell>
          <cell r="AY27">
            <v>100000</v>
          </cell>
          <cell r="AZ27">
            <v>100000</v>
          </cell>
          <cell r="BC27">
            <v>0</v>
          </cell>
          <cell r="BD27">
            <v>100000</v>
          </cell>
          <cell r="BF27">
            <v>0</v>
          </cell>
          <cell r="BG27">
            <v>6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-1000000</v>
          </cell>
          <cell r="D28">
            <v>0</v>
          </cell>
          <cell r="E28">
            <v>53000</v>
          </cell>
          <cell r="F28">
            <v>0</v>
          </cell>
          <cell r="H28">
            <v>3000</v>
          </cell>
          <cell r="I28" t="str">
            <v>ESPECES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1000000</v>
          </cell>
          <cell r="T28" t="str">
            <v>BANQUE</v>
          </cell>
          <cell r="U28">
            <v>1053000</v>
          </cell>
          <cell r="Y28">
            <v>50000</v>
          </cell>
          <cell r="Z28">
            <v>1000000</v>
          </cell>
          <cell r="AA28" t="str">
            <v>BANQUE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970000</v>
          </cell>
          <cell r="BC28">
            <v>0</v>
          </cell>
          <cell r="BD28">
            <v>970000</v>
          </cell>
          <cell r="BF28">
            <v>30000</v>
          </cell>
          <cell r="BG28">
            <v>3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6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6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U31">
            <v>109000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C31">
            <v>0</v>
          </cell>
          <cell r="BD31">
            <v>59000</v>
          </cell>
          <cell r="BF31">
            <v>0</v>
          </cell>
          <cell r="BG31">
            <v>6</v>
          </cell>
        </row>
        <row r="32">
          <cell r="A32" t="str">
            <v>AS201653</v>
          </cell>
          <cell r="B32" t="str">
            <v>SIME BRICE</v>
          </cell>
          <cell r="C32">
            <v>-1000000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S32">
            <v>1000000</v>
          </cell>
          <cell r="T32" t="str">
            <v>BANQUE</v>
          </cell>
          <cell r="U32">
            <v>1250000</v>
          </cell>
          <cell r="Y32">
            <v>250000</v>
          </cell>
          <cell r="Z32">
            <v>1000000</v>
          </cell>
          <cell r="AA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970000</v>
          </cell>
          <cell r="BC32">
            <v>0</v>
          </cell>
          <cell r="BD32">
            <v>970000</v>
          </cell>
          <cell r="BF32">
            <v>30000</v>
          </cell>
          <cell r="BG32">
            <v>3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0</v>
          </cell>
          <cell r="E33">
            <v>50000</v>
          </cell>
          <cell r="F33">
            <v>0</v>
          </cell>
          <cell r="G33">
            <v>-3000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22000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6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181000</v>
          </cell>
          <cell r="E34">
            <v>0</v>
          </cell>
          <cell r="F34">
            <v>0</v>
          </cell>
          <cell r="G34">
            <v>500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30500</v>
          </cell>
          <cell r="Q34">
            <v>0</v>
          </cell>
          <cell r="R34">
            <v>0</v>
          </cell>
          <cell r="U34">
            <v>181000</v>
          </cell>
          <cell r="Y34">
            <v>150000</v>
          </cell>
          <cell r="AC34">
            <v>3500</v>
          </cell>
          <cell r="AP34" t="str">
            <v>BANQUE</v>
          </cell>
          <cell r="AQ34">
            <v>0</v>
          </cell>
          <cell r="AR34">
            <v>0</v>
          </cell>
          <cell r="AS34">
            <v>25500</v>
          </cell>
          <cell r="AW34">
            <v>296500</v>
          </cell>
          <cell r="AX34">
            <v>0</v>
          </cell>
          <cell r="AY34">
            <v>0</v>
          </cell>
          <cell r="AZ34">
            <v>296500</v>
          </cell>
          <cell r="BC34">
            <v>0</v>
          </cell>
          <cell r="BD34">
            <v>296500</v>
          </cell>
          <cell r="BF34">
            <v>0</v>
          </cell>
          <cell r="BG34">
            <v>6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102000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102000</v>
          </cell>
          <cell r="R35">
            <v>0</v>
          </cell>
          <cell r="U35">
            <v>227000</v>
          </cell>
          <cell r="Y35">
            <v>125000</v>
          </cell>
          <cell r="AC35">
            <v>2500</v>
          </cell>
          <cell r="AJ35">
            <v>100000</v>
          </cell>
          <cell r="AM35">
            <v>2000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297500</v>
          </cell>
          <cell r="AX35">
            <v>100000</v>
          </cell>
          <cell r="AY35">
            <v>0</v>
          </cell>
          <cell r="AZ35">
            <v>397500</v>
          </cell>
          <cell r="BA35">
            <v>100000</v>
          </cell>
          <cell r="BC35">
            <v>0</v>
          </cell>
          <cell r="BD35">
            <v>297500</v>
          </cell>
          <cell r="BF35">
            <v>0</v>
          </cell>
          <cell r="BG35">
            <v>6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P36" t="str">
            <v>BANQUE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C36">
            <v>0</v>
          </cell>
          <cell r="BD36">
            <v>0</v>
          </cell>
          <cell r="BF36">
            <v>0</v>
          </cell>
          <cell r="BG36">
            <v>6</v>
          </cell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6</v>
          </cell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22000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6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227000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102000</v>
          </cell>
          <cell r="R39">
            <v>0</v>
          </cell>
          <cell r="U39">
            <v>227000</v>
          </cell>
          <cell r="Y39">
            <v>125000</v>
          </cell>
          <cell r="AP39" t="str">
            <v>BANQUE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C39">
            <v>0</v>
          </cell>
          <cell r="BD39">
            <v>0</v>
          </cell>
          <cell r="BF39">
            <v>0</v>
          </cell>
          <cell r="BG39">
            <v>6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0</v>
          </cell>
          <cell r="E40">
            <v>50000</v>
          </cell>
          <cell r="F40">
            <v>0</v>
          </cell>
          <cell r="G40">
            <v>-3000</v>
          </cell>
          <cell r="H40">
            <v>3000</v>
          </cell>
          <cell r="I40" t="str">
            <v>ESPECES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22000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6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253000</v>
          </cell>
          <cell r="Y41">
            <v>250000</v>
          </cell>
          <cell r="AC41">
            <v>3500</v>
          </cell>
          <cell r="AE41">
            <v>10000</v>
          </cell>
          <cell r="AQ41">
            <v>0</v>
          </cell>
          <cell r="AR41">
            <v>0</v>
          </cell>
          <cell r="AS41">
            <v>25000</v>
          </cell>
          <cell r="AW41">
            <v>296500</v>
          </cell>
          <cell r="AX41">
            <v>0</v>
          </cell>
          <cell r="AY41">
            <v>1190000</v>
          </cell>
          <cell r="AZ41">
            <v>1486500</v>
          </cell>
          <cell r="BC41">
            <v>0</v>
          </cell>
          <cell r="BD41">
            <v>1486500</v>
          </cell>
          <cell r="BF41">
            <v>0</v>
          </cell>
          <cell r="BG41">
            <v>6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6</v>
          </cell>
        </row>
        <row r="44">
          <cell r="B44" t="str">
            <v>TOTAUX</v>
          </cell>
          <cell r="C44">
            <v>-4338625</v>
          </cell>
          <cell r="D44">
            <v>5319000</v>
          </cell>
          <cell r="E44">
            <v>1161500</v>
          </cell>
          <cell r="F44">
            <v>0</v>
          </cell>
          <cell r="G44">
            <v>160000</v>
          </cell>
          <cell r="H44">
            <v>15000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174000</v>
          </cell>
          <cell r="Q44">
            <v>478125</v>
          </cell>
          <cell r="R44">
            <v>1167000</v>
          </cell>
          <cell r="S44">
            <v>3800000</v>
          </cell>
          <cell r="U44">
            <v>10819125</v>
          </cell>
          <cell r="V44">
            <v>0</v>
          </cell>
          <cell r="W44">
            <v>0</v>
          </cell>
          <cell r="X44">
            <v>0</v>
          </cell>
          <cell r="Y44">
            <v>5125000</v>
          </cell>
          <cell r="Z44">
            <v>3500000</v>
          </cell>
          <cell r="AA44">
            <v>0</v>
          </cell>
          <cell r="AC44">
            <v>9500</v>
          </cell>
          <cell r="AD44">
            <v>7500</v>
          </cell>
          <cell r="AE44">
            <v>20000</v>
          </cell>
          <cell r="AF44">
            <v>0</v>
          </cell>
          <cell r="AG44">
            <v>0</v>
          </cell>
          <cell r="AI44">
            <v>158500</v>
          </cell>
          <cell r="AJ44">
            <v>559625</v>
          </cell>
          <cell r="AK44">
            <v>1134500</v>
          </cell>
          <cell r="AL44">
            <v>4000</v>
          </cell>
          <cell r="AM44">
            <v>13000</v>
          </cell>
          <cell r="AN44">
            <v>32500</v>
          </cell>
          <cell r="AO44">
            <v>0</v>
          </cell>
          <cell r="AQ44">
            <v>0</v>
          </cell>
          <cell r="AR44">
            <v>0</v>
          </cell>
          <cell r="AS44">
            <v>935000</v>
          </cell>
          <cell r="AT44">
            <v>0</v>
          </cell>
          <cell r="AU44">
            <v>0</v>
          </cell>
          <cell r="AV44">
            <v>0</v>
          </cell>
          <cell r="AW44">
            <v>1049000</v>
          </cell>
          <cell r="AX44">
            <v>1452125</v>
          </cell>
          <cell r="AY44">
            <v>3514500</v>
          </cell>
          <cell r="AZ44">
            <v>9516625</v>
          </cell>
          <cell r="BA44">
            <v>763000</v>
          </cell>
          <cell r="BB44">
            <v>0</v>
          </cell>
          <cell r="BC44">
            <v>0</v>
          </cell>
          <cell r="BD44">
            <v>8652625</v>
          </cell>
          <cell r="BE44">
            <v>0</v>
          </cell>
          <cell r="BF44">
            <v>105000</v>
          </cell>
          <cell r="BH44">
            <v>6000</v>
          </cell>
          <cell r="BI44">
            <v>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76000</v>
          </cell>
          <cell r="BC6">
            <v>0</v>
          </cell>
          <cell r="BD6">
            <v>76000</v>
          </cell>
          <cell r="BF6">
            <v>0</v>
          </cell>
          <cell r="BG6">
            <v>5</v>
          </cell>
          <cell r="BH6">
            <v>6000</v>
          </cell>
          <cell r="BI6">
            <v>0</v>
          </cell>
          <cell r="BJ6">
            <v>0</v>
          </cell>
          <cell r="BK6">
            <v>70000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5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Y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C8">
            <v>0</v>
          </cell>
          <cell r="BD8">
            <v>0</v>
          </cell>
          <cell r="BF8">
            <v>0</v>
          </cell>
          <cell r="BG8">
            <v>5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291500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41500</v>
          </cell>
          <cell r="Q9">
            <v>0</v>
          </cell>
          <cell r="R9">
            <v>0</v>
          </cell>
          <cell r="U9">
            <v>291500</v>
          </cell>
          <cell r="Y9">
            <v>250000</v>
          </cell>
          <cell r="AK9">
            <v>200000</v>
          </cell>
          <cell r="AN9">
            <v>3500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A9">
            <v>200000</v>
          </cell>
          <cell r="BC9">
            <v>0</v>
          </cell>
          <cell r="BD9">
            <v>0</v>
          </cell>
          <cell r="BF9">
            <v>0</v>
          </cell>
          <cell r="BG9">
            <v>5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50000</v>
          </cell>
          <cell r="E10">
            <v>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50000</v>
          </cell>
          <cell r="Y10">
            <v>50000</v>
          </cell>
          <cell r="AI10">
            <v>26000</v>
          </cell>
          <cell r="AL10">
            <v>500</v>
          </cell>
          <cell r="AQ10">
            <v>0</v>
          </cell>
          <cell r="AR10">
            <v>0</v>
          </cell>
          <cell r="AS10">
            <v>25000</v>
          </cell>
          <cell r="AW10">
            <v>26000</v>
          </cell>
          <cell r="AX10">
            <v>0</v>
          </cell>
          <cell r="AY10">
            <v>0</v>
          </cell>
          <cell r="AZ10">
            <v>26000</v>
          </cell>
          <cell r="BC10">
            <v>0</v>
          </cell>
          <cell r="BD10">
            <v>26000</v>
          </cell>
          <cell r="BE10" t="str">
            <v>OK</v>
          </cell>
          <cell r="BF10">
            <v>0</v>
          </cell>
          <cell r="BG10">
            <v>5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-98500</v>
          </cell>
          <cell r="D11">
            <v>290000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31000</v>
          </cell>
          <cell r="Q11">
            <v>0</v>
          </cell>
          <cell r="R11">
            <v>207500</v>
          </cell>
          <cell r="U11">
            <v>388500</v>
          </cell>
          <cell r="Y11">
            <v>150000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C11">
            <v>0</v>
          </cell>
          <cell r="BD11">
            <v>0</v>
          </cell>
          <cell r="BF11">
            <v>0</v>
          </cell>
          <cell r="BG11">
            <v>5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466500</v>
          </cell>
          <cell r="E12">
            <v>31000</v>
          </cell>
          <cell r="F12">
            <v>0</v>
          </cell>
          <cell r="G12">
            <v>13500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31000</v>
          </cell>
          <cell r="Q12">
            <v>0</v>
          </cell>
          <cell r="R12">
            <v>203000</v>
          </cell>
          <cell r="U12">
            <v>497500</v>
          </cell>
          <cell r="Y12">
            <v>250000</v>
          </cell>
          <cell r="AI12">
            <v>30000</v>
          </cell>
          <cell r="AK12">
            <v>200000</v>
          </cell>
          <cell r="AL12">
            <v>500</v>
          </cell>
          <cell r="AN12">
            <v>6500</v>
          </cell>
          <cell r="AP12" t="str">
            <v>BANQUE</v>
          </cell>
          <cell r="AQ12">
            <v>0</v>
          </cell>
          <cell r="AR12">
            <v>0</v>
          </cell>
          <cell r="AS12">
            <v>38500</v>
          </cell>
          <cell r="AW12">
            <v>30000</v>
          </cell>
          <cell r="AX12">
            <v>0</v>
          </cell>
          <cell r="AY12">
            <v>200000</v>
          </cell>
          <cell r="AZ12">
            <v>230000</v>
          </cell>
          <cell r="BA12">
            <v>50000</v>
          </cell>
          <cell r="BC12">
            <v>0</v>
          </cell>
          <cell r="BD12">
            <v>180000</v>
          </cell>
          <cell r="BE12" t="str">
            <v>OK</v>
          </cell>
          <cell r="BF12">
            <v>0</v>
          </cell>
          <cell r="BG12">
            <v>5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5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100000</v>
          </cell>
          <cell r="BC14">
            <v>0</v>
          </cell>
          <cell r="BD14">
            <v>100000</v>
          </cell>
          <cell r="BE14" t="str">
            <v>OK</v>
          </cell>
          <cell r="BF14">
            <v>0</v>
          </cell>
          <cell r="BG14">
            <v>5</v>
          </cell>
          <cell r="BK14">
            <v>100000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150000</v>
          </cell>
          <cell r="Y15">
            <v>150000</v>
          </cell>
          <cell r="AC15">
            <v>2500</v>
          </cell>
          <cell r="AK15">
            <v>100000</v>
          </cell>
          <cell r="AN15">
            <v>2000</v>
          </cell>
          <cell r="AQ15">
            <v>0</v>
          </cell>
          <cell r="AR15">
            <v>0</v>
          </cell>
          <cell r="AS15">
            <v>25000</v>
          </cell>
          <cell r="AW15">
            <v>297500</v>
          </cell>
          <cell r="AX15">
            <v>0</v>
          </cell>
          <cell r="AY15">
            <v>100000</v>
          </cell>
          <cell r="AZ15">
            <v>397500</v>
          </cell>
          <cell r="BC15">
            <v>0</v>
          </cell>
          <cell r="BD15">
            <v>397500</v>
          </cell>
          <cell r="BE15" t="str">
            <v>OK</v>
          </cell>
          <cell r="BF15">
            <v>0</v>
          </cell>
          <cell r="BG15">
            <v>5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5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342000</v>
          </cell>
          <cell r="E17">
            <v>0</v>
          </cell>
          <cell r="F17">
            <v>0</v>
          </cell>
          <cell r="G17">
            <v>14500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102500</v>
          </cell>
          <cell r="R17">
            <v>0</v>
          </cell>
          <cell r="U17">
            <v>342000</v>
          </cell>
          <cell r="Y17">
            <v>225000</v>
          </cell>
          <cell r="Z17">
            <v>500000</v>
          </cell>
          <cell r="AP17" t="str">
            <v>BANQUE</v>
          </cell>
          <cell r="AQ17">
            <v>0</v>
          </cell>
          <cell r="AR17">
            <v>0</v>
          </cell>
          <cell r="AS17">
            <v>39500</v>
          </cell>
          <cell r="AW17">
            <v>0</v>
          </cell>
          <cell r="AX17">
            <v>0</v>
          </cell>
          <cell r="AY17">
            <v>0</v>
          </cell>
          <cell r="AZ17">
            <v>485000</v>
          </cell>
          <cell r="BC17">
            <v>0</v>
          </cell>
          <cell r="BD17">
            <v>485000</v>
          </cell>
          <cell r="BE17" t="str">
            <v>OK</v>
          </cell>
          <cell r="BF17">
            <v>15000</v>
          </cell>
          <cell r="BG17">
            <v>3</v>
          </cell>
          <cell r="BO17" t="str">
            <v>S/TOTAL</v>
          </cell>
          <cell r="BQ17">
            <v>6000</v>
          </cell>
        </row>
        <row r="18">
          <cell r="A18" t="str">
            <v>AS201617</v>
          </cell>
          <cell r="B18" t="str">
            <v>KOUAMOU MOISE</v>
          </cell>
          <cell r="C18">
            <v>-576000</v>
          </cell>
          <cell r="D18">
            <v>180000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106000</v>
          </cell>
          <cell r="S18">
            <v>500000</v>
          </cell>
          <cell r="U18">
            <v>756000</v>
          </cell>
          <cell r="Y18">
            <v>150000</v>
          </cell>
          <cell r="Z18">
            <v>500000</v>
          </cell>
          <cell r="AP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475000</v>
          </cell>
          <cell r="BA18">
            <v>50000</v>
          </cell>
          <cell r="BC18">
            <v>0</v>
          </cell>
          <cell r="BD18">
            <v>349000</v>
          </cell>
          <cell r="BE18" t="str">
            <v>OK</v>
          </cell>
          <cell r="BF18">
            <v>25000</v>
          </cell>
          <cell r="BG18">
            <v>5</v>
          </cell>
        </row>
        <row r="19">
          <cell r="A19" t="str">
            <v>AS201619</v>
          </cell>
          <cell r="B19" t="str">
            <v>KOUATCHO MESSACK</v>
          </cell>
          <cell r="C19">
            <v>1000</v>
          </cell>
          <cell r="D19">
            <v>376000</v>
          </cell>
          <cell r="E19">
            <v>0</v>
          </cell>
          <cell r="F19">
            <v>0</v>
          </cell>
          <cell r="G19">
            <v>9000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141000</v>
          </cell>
          <cell r="R19">
            <v>0</v>
          </cell>
          <cell r="U19">
            <v>375000</v>
          </cell>
          <cell r="Y19">
            <v>225000</v>
          </cell>
          <cell r="AJ19">
            <v>50000</v>
          </cell>
          <cell r="AK19">
            <v>79500</v>
          </cell>
          <cell r="AM19">
            <v>1000</v>
          </cell>
          <cell r="AN19">
            <v>1500</v>
          </cell>
          <cell r="AP19" t="str">
            <v>BANQUE</v>
          </cell>
          <cell r="AQ19">
            <v>0</v>
          </cell>
          <cell r="AR19">
            <v>0</v>
          </cell>
          <cell r="AS19">
            <v>34000</v>
          </cell>
          <cell r="AW19">
            <v>0</v>
          </cell>
          <cell r="AX19">
            <v>50000</v>
          </cell>
          <cell r="AY19">
            <v>79500</v>
          </cell>
          <cell r="AZ19">
            <v>129500</v>
          </cell>
          <cell r="BA19">
            <v>74500</v>
          </cell>
          <cell r="BC19">
            <v>0</v>
          </cell>
          <cell r="BD19">
            <v>55000</v>
          </cell>
          <cell r="BE19" t="str">
            <v>OK</v>
          </cell>
          <cell r="BF19">
            <v>0</v>
          </cell>
          <cell r="BG19">
            <v>5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  <cell r="G20">
            <v>50000</v>
          </cell>
        </row>
        <row r="21">
          <cell r="A21" t="str">
            <v>AS201661</v>
          </cell>
          <cell r="B21" t="str">
            <v>MASSEUNGOUE DAGOBERT</v>
          </cell>
          <cell r="C21">
            <v>25000</v>
          </cell>
          <cell r="D21">
            <v>75000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5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-101500</v>
          </cell>
          <cell r="D22">
            <v>530000</v>
          </cell>
          <cell r="E22">
            <v>0</v>
          </cell>
          <cell r="F22">
            <v>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102000</v>
          </cell>
          <cell r="R22">
            <v>204500</v>
          </cell>
          <cell r="U22">
            <v>631500</v>
          </cell>
          <cell r="Y22">
            <v>325000</v>
          </cell>
          <cell r="AE22">
            <v>60000</v>
          </cell>
          <cell r="AJ22">
            <v>100000</v>
          </cell>
          <cell r="AK22">
            <v>100000</v>
          </cell>
          <cell r="AM22">
            <v>2000</v>
          </cell>
          <cell r="AN22">
            <v>4500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100000</v>
          </cell>
          <cell r="AY22">
            <v>1240000</v>
          </cell>
          <cell r="AZ22">
            <v>1340000</v>
          </cell>
          <cell r="BA22">
            <v>100000</v>
          </cell>
          <cell r="BC22">
            <v>0</v>
          </cell>
          <cell r="BD22">
            <v>1040000</v>
          </cell>
          <cell r="BE22" t="str">
            <v>OK</v>
          </cell>
          <cell r="BF22">
            <v>0</v>
          </cell>
          <cell r="BG22">
            <v>5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5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F24">
            <v>0</v>
          </cell>
          <cell r="BG24">
            <v>5</v>
          </cell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15000</v>
          </cell>
          <cell r="D25">
            <v>481500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206500</v>
          </cell>
          <cell r="U25">
            <v>466500</v>
          </cell>
          <cell r="Y25">
            <v>250000</v>
          </cell>
          <cell r="AC25">
            <v>2500</v>
          </cell>
          <cell r="AK25">
            <v>200000</v>
          </cell>
          <cell r="AN25">
            <v>6000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297500</v>
          </cell>
          <cell r="AX25">
            <v>0</v>
          </cell>
          <cell r="AY25">
            <v>200000</v>
          </cell>
          <cell r="AZ25">
            <v>497500</v>
          </cell>
          <cell r="BC25">
            <v>0</v>
          </cell>
          <cell r="BD25">
            <v>497500</v>
          </cell>
          <cell r="BE25" t="str">
            <v>OK</v>
          </cell>
          <cell r="BF25">
            <v>15000</v>
          </cell>
          <cell r="BG25">
            <v>5</v>
          </cell>
        </row>
        <row r="26">
          <cell r="A26" t="str">
            <v>AS201624</v>
          </cell>
          <cell r="B26" t="str">
            <v>NGONDIEP CLAUDE</v>
          </cell>
          <cell r="C26">
            <v>-261625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125125</v>
          </cell>
          <cell r="R26">
            <v>136500</v>
          </cell>
          <cell r="U26">
            <v>501625</v>
          </cell>
          <cell r="Y26">
            <v>225000</v>
          </cell>
          <cell r="AJ26">
            <v>121500</v>
          </cell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121500</v>
          </cell>
          <cell r="AY26">
            <v>0</v>
          </cell>
          <cell r="AZ26">
            <v>121500</v>
          </cell>
          <cell r="BC26">
            <v>0</v>
          </cell>
          <cell r="BD26">
            <v>0</v>
          </cell>
          <cell r="BF26">
            <v>0</v>
          </cell>
          <cell r="BG26">
            <v>5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343000</v>
          </cell>
          <cell r="E27">
            <v>0</v>
          </cell>
          <cell r="F27">
            <v>0</v>
          </cell>
          <cell r="G27">
            <v>-10000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103000</v>
          </cell>
          <cell r="U27">
            <v>343000</v>
          </cell>
          <cell r="Y27">
            <v>250000</v>
          </cell>
          <cell r="AK27">
            <v>200000</v>
          </cell>
          <cell r="AN27">
            <v>3500</v>
          </cell>
          <cell r="AP27" t="str">
            <v>BANQUE</v>
          </cell>
          <cell r="AQ27">
            <v>0</v>
          </cell>
          <cell r="AR27">
            <v>0</v>
          </cell>
          <cell r="AS27">
            <v>15000</v>
          </cell>
          <cell r="AW27">
            <v>0</v>
          </cell>
          <cell r="AX27">
            <v>0</v>
          </cell>
          <cell r="AY27">
            <v>200000</v>
          </cell>
          <cell r="AZ27">
            <v>200000</v>
          </cell>
          <cell r="BC27">
            <v>0</v>
          </cell>
          <cell r="BD27">
            <v>200000</v>
          </cell>
          <cell r="BE27" t="str">
            <v>OK</v>
          </cell>
          <cell r="BF27">
            <v>0</v>
          </cell>
          <cell r="BG27">
            <v>5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50000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50000</v>
          </cell>
          <cell r="Y28">
            <v>50000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C28">
            <v>0</v>
          </cell>
          <cell r="BD28">
            <v>0</v>
          </cell>
          <cell r="BF28">
            <v>0</v>
          </cell>
          <cell r="BG28">
            <v>5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5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5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U31">
            <v>109000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C31">
            <v>0</v>
          </cell>
          <cell r="BD31">
            <v>59000</v>
          </cell>
          <cell r="BF31">
            <v>0</v>
          </cell>
          <cell r="BG31">
            <v>5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U32">
            <v>250000</v>
          </cell>
          <cell r="Y32">
            <v>250000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C32">
            <v>0</v>
          </cell>
          <cell r="BD32">
            <v>0</v>
          </cell>
          <cell r="BF32">
            <v>0</v>
          </cell>
          <cell r="BG32">
            <v>5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3000</v>
          </cell>
          <cell r="D33">
            <v>0</v>
          </cell>
          <cell r="E33">
            <v>50000</v>
          </cell>
          <cell r="F33">
            <v>0</v>
          </cell>
          <cell r="G33">
            <v>-3000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22000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5</v>
          </cell>
        </row>
        <row r="34">
          <cell r="A34" t="str">
            <v>AS201638</v>
          </cell>
          <cell r="B34" t="str">
            <v>SIMO PIERRE</v>
          </cell>
          <cell r="C34">
            <v>25000</v>
          </cell>
          <cell r="D34">
            <v>175000</v>
          </cell>
          <cell r="E34">
            <v>0</v>
          </cell>
          <cell r="F34">
            <v>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U34">
            <v>150000</v>
          </cell>
          <cell r="Y34">
            <v>150000</v>
          </cell>
          <cell r="AI34">
            <v>30000</v>
          </cell>
          <cell r="AL34">
            <v>500</v>
          </cell>
          <cell r="AQ34">
            <v>0</v>
          </cell>
          <cell r="AR34">
            <v>0</v>
          </cell>
          <cell r="AS34">
            <v>25000</v>
          </cell>
          <cell r="AW34">
            <v>30000</v>
          </cell>
          <cell r="AX34">
            <v>0</v>
          </cell>
          <cell r="AY34">
            <v>0</v>
          </cell>
          <cell r="AZ34">
            <v>30000</v>
          </cell>
          <cell r="BC34">
            <v>0</v>
          </cell>
          <cell r="BD34">
            <v>30000</v>
          </cell>
          <cell r="BE34" t="str">
            <v>OK</v>
          </cell>
          <cell r="BF34">
            <v>0</v>
          </cell>
          <cell r="BG34">
            <v>5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227000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102000</v>
          </cell>
          <cell r="R35">
            <v>0</v>
          </cell>
          <cell r="U35">
            <v>227000</v>
          </cell>
          <cell r="Y35">
            <v>125000</v>
          </cell>
          <cell r="AD35">
            <v>7500</v>
          </cell>
          <cell r="AJ35">
            <v>100000</v>
          </cell>
          <cell r="AM35">
            <v>2000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992500</v>
          </cell>
          <cell r="AY35">
            <v>0</v>
          </cell>
          <cell r="AZ35">
            <v>992500</v>
          </cell>
          <cell r="BA35">
            <v>50000</v>
          </cell>
          <cell r="BC35">
            <v>0</v>
          </cell>
          <cell r="BD35">
            <v>942500</v>
          </cell>
          <cell r="BE35" t="str">
            <v>OK</v>
          </cell>
          <cell r="BF35">
            <v>0</v>
          </cell>
          <cell r="BG35">
            <v>5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C36">
            <v>2500</v>
          </cell>
          <cell r="AE36">
            <v>65000</v>
          </cell>
          <cell r="AQ36">
            <v>0</v>
          </cell>
          <cell r="AR36">
            <v>0</v>
          </cell>
          <cell r="AS36">
            <v>25000</v>
          </cell>
          <cell r="AW36">
            <v>297500</v>
          </cell>
          <cell r="AX36">
            <v>0</v>
          </cell>
          <cell r="AY36">
            <v>1135000</v>
          </cell>
          <cell r="AZ36">
            <v>1432500</v>
          </cell>
          <cell r="BC36">
            <v>0</v>
          </cell>
          <cell r="BD36">
            <v>1432500</v>
          </cell>
          <cell r="BE36" t="str">
            <v>OK</v>
          </cell>
          <cell r="BF36">
            <v>0</v>
          </cell>
          <cell r="BG36">
            <v>5</v>
          </cell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5</v>
          </cell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53000</v>
          </cell>
          <cell r="F38">
            <v>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53000</v>
          </cell>
          <cell r="Y38">
            <v>50000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5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125000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U39">
            <v>125000</v>
          </cell>
          <cell r="Y39">
            <v>125000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C39">
            <v>0</v>
          </cell>
          <cell r="BD39">
            <v>0</v>
          </cell>
          <cell r="BF39">
            <v>0</v>
          </cell>
          <cell r="BG39">
            <v>5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5</v>
          </cell>
          <cell r="BO40" t="str">
            <v>BOISSON DALLE</v>
          </cell>
          <cell r="BP40" t="str">
            <v>COLLATION</v>
          </cell>
          <cell r="BQ40">
            <v>70000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250000</v>
          </cell>
          <cell r="E41">
            <v>0</v>
          </cell>
          <cell r="F41">
            <v>0</v>
          </cell>
          <cell r="H41">
            <v>0</v>
          </cell>
          <cell r="I41" t="str">
            <v>BANQUE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250000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5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5</v>
          </cell>
        </row>
        <row r="43">
          <cell r="B43" t="str">
            <v>LOWE</v>
          </cell>
          <cell r="E43">
            <v>50000</v>
          </cell>
        </row>
        <row r="44">
          <cell r="B44" t="str">
            <v>TOTAUX</v>
          </cell>
          <cell r="C44">
            <v>-1027625</v>
          </cell>
          <cell r="D44">
            <v>6076000</v>
          </cell>
          <cell r="E44">
            <v>525500</v>
          </cell>
          <cell r="F44">
            <v>0</v>
          </cell>
          <cell r="G44">
            <v>99000</v>
          </cell>
          <cell r="H44">
            <v>6000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162500</v>
          </cell>
          <cell r="Q44">
            <v>572625</v>
          </cell>
          <cell r="R44">
            <v>1167000</v>
          </cell>
          <cell r="S44">
            <v>500000</v>
          </cell>
          <cell r="U44">
            <v>7582125</v>
          </cell>
          <cell r="V44">
            <v>0</v>
          </cell>
          <cell r="W44">
            <v>0</v>
          </cell>
          <cell r="X44">
            <v>0</v>
          </cell>
          <cell r="Y44">
            <v>5125000</v>
          </cell>
          <cell r="Z44">
            <v>1000000</v>
          </cell>
          <cell r="AA44">
            <v>0</v>
          </cell>
          <cell r="AC44">
            <v>7500</v>
          </cell>
          <cell r="AD44">
            <v>7500</v>
          </cell>
          <cell r="AE44">
            <v>125000</v>
          </cell>
          <cell r="AF44">
            <v>0</v>
          </cell>
          <cell r="AG44">
            <v>0</v>
          </cell>
          <cell r="AI44">
            <v>145000</v>
          </cell>
          <cell r="AJ44">
            <v>371500</v>
          </cell>
          <cell r="AK44">
            <v>1079500</v>
          </cell>
          <cell r="AL44">
            <v>1500</v>
          </cell>
          <cell r="AM44">
            <v>5000</v>
          </cell>
          <cell r="AN44">
            <v>27500</v>
          </cell>
          <cell r="AO44">
            <v>0</v>
          </cell>
          <cell r="AQ44">
            <v>0</v>
          </cell>
          <cell r="AR44">
            <v>0</v>
          </cell>
          <cell r="AS44">
            <v>924000</v>
          </cell>
          <cell r="AT44">
            <v>0</v>
          </cell>
          <cell r="AU44">
            <v>0</v>
          </cell>
          <cell r="AV44">
            <v>0</v>
          </cell>
          <cell r="AW44">
            <v>1037500</v>
          </cell>
          <cell r="AX44">
            <v>1264000</v>
          </cell>
          <cell r="AY44">
            <v>3354500</v>
          </cell>
          <cell r="AZ44">
            <v>6792000</v>
          </cell>
          <cell r="BA44">
            <v>524500</v>
          </cell>
          <cell r="BB44">
            <v>0</v>
          </cell>
          <cell r="BC44">
            <v>0</v>
          </cell>
          <cell r="BD44">
            <v>5870000</v>
          </cell>
          <cell r="BE44">
            <v>0</v>
          </cell>
          <cell r="BF44">
            <v>55000</v>
          </cell>
          <cell r="BH44">
            <v>6000</v>
          </cell>
          <cell r="BI44">
            <v>0</v>
          </cell>
          <cell r="BJ44">
            <v>0</v>
          </cell>
          <cell r="BK44">
            <v>170000</v>
          </cell>
          <cell r="BL44">
            <v>0</v>
          </cell>
          <cell r="BM44">
            <v>0</v>
          </cell>
          <cell r="BO44" t="str">
            <v>S/TOTAL</v>
          </cell>
          <cell r="BQ44">
            <v>70000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666000</v>
          </cell>
          <cell r="BA6">
            <v>106000</v>
          </cell>
          <cell r="BC6">
            <v>0</v>
          </cell>
          <cell r="BD6">
            <v>560000</v>
          </cell>
          <cell r="BF6">
            <v>0</v>
          </cell>
          <cell r="BG6">
            <v>4</v>
          </cell>
          <cell r="BH6">
            <v>6000</v>
          </cell>
          <cell r="BI6">
            <v>0</v>
          </cell>
          <cell r="BJ6">
            <v>660000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C7">
            <v>2500</v>
          </cell>
          <cell r="AQ7">
            <v>0</v>
          </cell>
          <cell r="AR7">
            <v>0</v>
          </cell>
          <cell r="AS7">
            <v>25000</v>
          </cell>
          <cell r="AW7">
            <v>297500</v>
          </cell>
          <cell r="AX7">
            <v>0</v>
          </cell>
          <cell r="AY7">
            <v>0</v>
          </cell>
          <cell r="AZ7">
            <v>297500</v>
          </cell>
          <cell r="BC7">
            <v>0</v>
          </cell>
          <cell r="BD7">
            <v>297500</v>
          </cell>
          <cell r="BF7">
            <v>0</v>
          </cell>
          <cell r="BG7">
            <v>4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Y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C8">
            <v>0</v>
          </cell>
          <cell r="BD8">
            <v>0</v>
          </cell>
          <cell r="BF8">
            <v>0</v>
          </cell>
          <cell r="BG8">
            <v>4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453500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203500</v>
          </cell>
          <cell r="U9">
            <v>453500</v>
          </cell>
          <cell r="Y9">
            <v>250000</v>
          </cell>
          <cell r="AE9">
            <v>10000</v>
          </cell>
          <cell r="AI9">
            <v>30000</v>
          </cell>
          <cell r="AK9">
            <v>100000</v>
          </cell>
          <cell r="AL9">
            <v>500</v>
          </cell>
          <cell r="AN9">
            <v>1500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30000</v>
          </cell>
          <cell r="AX9">
            <v>0</v>
          </cell>
          <cell r="AY9">
            <v>1290000</v>
          </cell>
          <cell r="AZ9">
            <v>1320000</v>
          </cell>
          <cell r="BC9">
            <v>0</v>
          </cell>
          <cell r="BD9">
            <v>1320000</v>
          </cell>
          <cell r="BF9">
            <v>0</v>
          </cell>
          <cell r="BG9">
            <v>4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77000</v>
          </cell>
          <cell r="E10">
            <v>0</v>
          </cell>
          <cell r="F10">
            <v>0</v>
          </cell>
          <cell r="G10">
            <v>500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26500</v>
          </cell>
          <cell r="Q10">
            <v>0</v>
          </cell>
          <cell r="R10">
            <v>0</v>
          </cell>
          <cell r="U10">
            <v>77000</v>
          </cell>
          <cell r="Y10">
            <v>50000</v>
          </cell>
          <cell r="AI10">
            <v>60000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25500</v>
          </cell>
          <cell r="AW10">
            <v>60000</v>
          </cell>
          <cell r="AX10">
            <v>0</v>
          </cell>
          <cell r="AY10">
            <v>0</v>
          </cell>
          <cell r="AZ10">
            <v>60000</v>
          </cell>
          <cell r="BA10">
            <v>60000</v>
          </cell>
          <cell r="BC10">
            <v>0</v>
          </cell>
          <cell r="BD10">
            <v>0</v>
          </cell>
          <cell r="BF10">
            <v>0</v>
          </cell>
          <cell r="BG10">
            <v>4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400000</v>
          </cell>
          <cell r="E11">
            <v>0</v>
          </cell>
          <cell r="F11">
            <v>0</v>
          </cell>
          <cell r="G11">
            <v>250000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400000</v>
          </cell>
          <cell r="Y11">
            <v>150000</v>
          </cell>
          <cell r="AQ11">
            <v>0</v>
          </cell>
          <cell r="AR11">
            <v>0</v>
          </cell>
          <cell r="AS11">
            <v>275000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C11">
            <v>0</v>
          </cell>
          <cell r="BD11">
            <v>0</v>
          </cell>
          <cell r="BF11">
            <v>0</v>
          </cell>
          <cell r="BG11">
            <v>4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-970000</v>
          </cell>
          <cell r="D12">
            <v>529500</v>
          </cell>
          <cell r="E12">
            <v>0</v>
          </cell>
          <cell r="F12">
            <v>0</v>
          </cell>
          <cell r="G12">
            <v>12500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30500</v>
          </cell>
          <cell r="Q12">
            <v>0</v>
          </cell>
          <cell r="R12">
            <v>206500</v>
          </cell>
          <cell r="S12">
            <v>1000000</v>
          </cell>
          <cell r="U12">
            <v>1499500</v>
          </cell>
          <cell r="Y12">
            <v>250000</v>
          </cell>
          <cell r="Z12">
            <v>1000000</v>
          </cell>
          <cell r="AK12">
            <v>100000</v>
          </cell>
          <cell r="AN12">
            <v>1000</v>
          </cell>
          <cell r="AP12" t="str">
            <v>BANQUE</v>
          </cell>
          <cell r="AQ12">
            <v>0</v>
          </cell>
          <cell r="AR12">
            <v>0</v>
          </cell>
          <cell r="AS12">
            <v>37500</v>
          </cell>
          <cell r="AW12">
            <v>0</v>
          </cell>
          <cell r="AX12">
            <v>0</v>
          </cell>
          <cell r="AY12">
            <v>100000</v>
          </cell>
          <cell r="AZ12">
            <v>1100000</v>
          </cell>
          <cell r="BC12">
            <v>0</v>
          </cell>
          <cell r="BD12">
            <v>1100000</v>
          </cell>
          <cell r="BF12">
            <v>30000</v>
          </cell>
          <cell r="BG12">
            <v>3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4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4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251000</v>
          </cell>
          <cell r="E15">
            <v>0</v>
          </cell>
          <cell r="F15">
            <v>0</v>
          </cell>
          <cell r="G15">
            <v>-1000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102000</v>
          </cell>
          <cell r="U15">
            <v>251000</v>
          </cell>
          <cell r="Y15">
            <v>150000</v>
          </cell>
          <cell r="AP15" t="str">
            <v>BANQUE</v>
          </cell>
          <cell r="AQ15">
            <v>0</v>
          </cell>
          <cell r="AR15">
            <v>0</v>
          </cell>
          <cell r="AS15">
            <v>24000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4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C16">
            <v>3500</v>
          </cell>
          <cell r="AQ16">
            <v>0</v>
          </cell>
          <cell r="AR16">
            <v>0</v>
          </cell>
          <cell r="AS16">
            <v>25000</v>
          </cell>
          <cell r="AW16">
            <v>296500</v>
          </cell>
          <cell r="AX16">
            <v>0</v>
          </cell>
          <cell r="AY16">
            <v>0</v>
          </cell>
          <cell r="AZ16">
            <v>296500</v>
          </cell>
          <cell r="BC16">
            <v>0</v>
          </cell>
          <cell r="BD16">
            <v>296500</v>
          </cell>
          <cell r="BF16">
            <v>0</v>
          </cell>
          <cell r="BG16">
            <v>4</v>
          </cell>
        </row>
        <row r="17">
          <cell r="A17" t="str">
            <v>AS201613</v>
          </cell>
          <cell r="B17" t="str">
            <v>HOTCHO BENJAMIN</v>
          </cell>
          <cell r="C17">
            <v>-100000</v>
          </cell>
          <cell r="D17">
            <v>250000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0</v>
          </cell>
          <cell r="S17">
            <v>100000</v>
          </cell>
          <cell r="T17" t="str">
            <v>BANQUE</v>
          </cell>
          <cell r="U17">
            <v>350000</v>
          </cell>
          <cell r="Y17">
            <v>225000</v>
          </cell>
          <cell r="AK17">
            <v>232000</v>
          </cell>
          <cell r="AN17">
            <v>2000</v>
          </cell>
          <cell r="AQ17">
            <v>0</v>
          </cell>
          <cell r="AR17">
            <v>0</v>
          </cell>
          <cell r="AS17">
            <v>50000</v>
          </cell>
          <cell r="AW17">
            <v>0</v>
          </cell>
          <cell r="AX17">
            <v>0</v>
          </cell>
          <cell r="AY17">
            <v>232000</v>
          </cell>
          <cell r="AZ17">
            <v>232000</v>
          </cell>
          <cell r="BA17">
            <v>132000</v>
          </cell>
          <cell r="BC17">
            <v>0</v>
          </cell>
          <cell r="BD17">
            <v>100000</v>
          </cell>
          <cell r="BF17">
            <v>0</v>
          </cell>
          <cell r="BG17">
            <v>4</v>
          </cell>
          <cell r="BO17" t="str">
            <v>S/TOTAL</v>
          </cell>
          <cell r="BQ17">
            <v>6000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C18">
            <v>0</v>
          </cell>
          <cell r="BD18">
            <v>0</v>
          </cell>
          <cell r="BF18">
            <v>0</v>
          </cell>
          <cell r="BG18">
            <v>4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370000</v>
          </cell>
          <cell r="E19">
            <v>0</v>
          </cell>
          <cell r="F19">
            <v>0</v>
          </cell>
          <cell r="G19">
            <v>13000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51000</v>
          </cell>
          <cell r="R19">
            <v>81000</v>
          </cell>
          <cell r="U19">
            <v>370000</v>
          </cell>
          <cell r="Y19">
            <v>225000</v>
          </cell>
          <cell r="AI19">
            <v>30000</v>
          </cell>
          <cell r="AJ19">
            <v>200000</v>
          </cell>
          <cell r="AK19">
            <v>200000</v>
          </cell>
          <cell r="AL19">
            <v>500</v>
          </cell>
          <cell r="AM19">
            <v>3000</v>
          </cell>
          <cell r="AN19">
            <v>3000</v>
          </cell>
          <cell r="AP19" t="str">
            <v>BANQUE</v>
          </cell>
          <cell r="AQ19">
            <v>0</v>
          </cell>
          <cell r="AR19">
            <v>0</v>
          </cell>
          <cell r="AS19">
            <v>38000</v>
          </cell>
          <cell r="AW19">
            <v>30000</v>
          </cell>
          <cell r="AX19">
            <v>200000</v>
          </cell>
          <cell r="AY19">
            <v>200000</v>
          </cell>
          <cell r="AZ19">
            <v>430000</v>
          </cell>
          <cell r="BA19">
            <v>430000</v>
          </cell>
          <cell r="BC19">
            <v>0</v>
          </cell>
          <cell r="BD19">
            <v>0</v>
          </cell>
          <cell r="BF19">
            <v>0</v>
          </cell>
          <cell r="BG19">
            <v>4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  <cell r="G20">
            <v>50000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4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100000</v>
          </cell>
          <cell r="D22">
            <v>634500</v>
          </cell>
          <cell r="E22">
            <v>0</v>
          </cell>
          <cell r="F22">
            <v>0</v>
          </cell>
          <cell r="G22">
            <v>3000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102000</v>
          </cell>
          <cell r="R22">
            <v>104500</v>
          </cell>
          <cell r="U22">
            <v>534500</v>
          </cell>
          <cell r="Y22">
            <v>325000</v>
          </cell>
          <cell r="AJ22">
            <v>200000</v>
          </cell>
          <cell r="AK22">
            <v>200000</v>
          </cell>
          <cell r="AM22">
            <v>2000</v>
          </cell>
          <cell r="AN22">
            <v>2000</v>
          </cell>
          <cell r="AP22" t="str">
            <v>BANQUE</v>
          </cell>
          <cell r="AQ22">
            <v>0</v>
          </cell>
          <cell r="AR22">
            <v>0</v>
          </cell>
          <cell r="AS22">
            <v>28000</v>
          </cell>
          <cell r="AW22">
            <v>0</v>
          </cell>
          <cell r="AX22">
            <v>200000</v>
          </cell>
          <cell r="AY22">
            <v>200000</v>
          </cell>
          <cell r="AZ22">
            <v>400000</v>
          </cell>
          <cell r="BC22">
            <v>0</v>
          </cell>
          <cell r="BD22">
            <v>400000</v>
          </cell>
          <cell r="BF22">
            <v>0</v>
          </cell>
          <cell r="BG22">
            <v>4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4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F24">
            <v>0</v>
          </cell>
          <cell r="BG24">
            <v>4</v>
          </cell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466000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206000</v>
          </cell>
          <cell r="U25">
            <v>466000</v>
          </cell>
          <cell r="Y25">
            <v>250000</v>
          </cell>
          <cell r="AK25">
            <v>200000</v>
          </cell>
          <cell r="AN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  <cell r="BC25">
            <v>0</v>
          </cell>
          <cell r="BD25">
            <v>200000</v>
          </cell>
          <cell r="BF25">
            <v>0</v>
          </cell>
          <cell r="BG25">
            <v>4</v>
          </cell>
        </row>
        <row r="26">
          <cell r="A26" t="str">
            <v>AS201624</v>
          </cell>
          <cell r="B26" t="str">
            <v>NGONDIEP CLAUDE</v>
          </cell>
          <cell r="C26">
            <v>4000</v>
          </cell>
          <cell r="D26">
            <v>365000</v>
          </cell>
          <cell r="E26">
            <v>0</v>
          </cell>
          <cell r="F26">
            <v>0</v>
          </cell>
          <cell r="G26">
            <v>14500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121500</v>
          </cell>
          <cell r="R26">
            <v>0</v>
          </cell>
          <cell r="U26">
            <v>361000</v>
          </cell>
          <cell r="Y26">
            <v>225000</v>
          </cell>
          <cell r="AD26">
            <v>15000</v>
          </cell>
          <cell r="AJ26">
            <v>51500</v>
          </cell>
          <cell r="AM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39500</v>
          </cell>
          <cell r="AW26">
            <v>0</v>
          </cell>
          <cell r="AX26">
            <v>936500</v>
          </cell>
          <cell r="AY26">
            <v>0</v>
          </cell>
          <cell r="AZ26">
            <v>936500</v>
          </cell>
          <cell r="BC26">
            <v>0</v>
          </cell>
          <cell r="BD26">
            <v>936500</v>
          </cell>
          <cell r="BF26">
            <v>0</v>
          </cell>
          <cell r="BG26">
            <v>4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320000</v>
          </cell>
          <cell r="E27">
            <v>0</v>
          </cell>
          <cell r="F27">
            <v>133500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203500</v>
          </cell>
          <cell r="U27">
            <v>453500</v>
          </cell>
          <cell r="Y27">
            <v>250000</v>
          </cell>
          <cell r="AE27">
            <v>15000</v>
          </cell>
          <cell r="AK27">
            <v>100000</v>
          </cell>
          <cell r="AN27">
            <v>1000</v>
          </cell>
          <cell r="AP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1285000</v>
          </cell>
          <cell r="AZ27">
            <v>1285000</v>
          </cell>
          <cell r="BC27">
            <v>133500</v>
          </cell>
          <cell r="BD27">
            <v>1151500</v>
          </cell>
          <cell r="BF27">
            <v>0</v>
          </cell>
          <cell r="BG27">
            <v>4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50000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50000</v>
          </cell>
          <cell r="Y28">
            <v>50000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C28">
            <v>0</v>
          </cell>
          <cell r="BD28">
            <v>0</v>
          </cell>
          <cell r="BF28">
            <v>0</v>
          </cell>
          <cell r="BG28">
            <v>4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4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4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U31">
            <v>109000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C31">
            <v>0</v>
          </cell>
          <cell r="BD31">
            <v>59000</v>
          </cell>
          <cell r="BF31">
            <v>0</v>
          </cell>
          <cell r="BG31">
            <v>4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U32">
            <v>250000</v>
          </cell>
          <cell r="Y32">
            <v>250000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C32">
            <v>0</v>
          </cell>
          <cell r="BD32">
            <v>0</v>
          </cell>
          <cell r="BF32">
            <v>0</v>
          </cell>
          <cell r="BG32">
            <v>4</v>
          </cell>
          <cell r="BO32" t="str">
            <v xml:space="preserve">DECES </v>
          </cell>
          <cell r="BP32" t="str">
            <v>MUTUELLE</v>
          </cell>
          <cell r="BQ32">
            <v>100000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0</v>
          </cell>
          <cell r="E33">
            <v>50000</v>
          </cell>
          <cell r="F33">
            <v>0</v>
          </cell>
          <cell r="G33">
            <v>-3000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22000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B33">
            <v>300000</v>
          </cell>
          <cell r="BC33">
            <v>0</v>
          </cell>
          <cell r="BD33">
            <v>0</v>
          </cell>
          <cell r="BF33">
            <v>0</v>
          </cell>
          <cell r="BG33">
            <v>4</v>
          </cell>
          <cell r="BP33" t="str">
            <v>MUTUELLE</v>
          </cell>
          <cell r="BQ33">
            <v>560000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185000</v>
          </cell>
          <cell r="E34">
            <v>0</v>
          </cell>
          <cell r="F34">
            <v>0</v>
          </cell>
          <cell r="G34">
            <v>4500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30500</v>
          </cell>
          <cell r="Q34">
            <v>0</v>
          </cell>
          <cell r="R34">
            <v>0</v>
          </cell>
          <cell r="U34">
            <v>185000</v>
          </cell>
          <cell r="Y34">
            <v>150000</v>
          </cell>
          <cell r="AI34">
            <v>30000</v>
          </cell>
          <cell r="AL34">
            <v>500</v>
          </cell>
          <cell r="AP34" t="str">
            <v>BANQUE</v>
          </cell>
          <cell r="AQ34">
            <v>0</v>
          </cell>
          <cell r="AR34">
            <v>0</v>
          </cell>
          <cell r="AS34">
            <v>29500</v>
          </cell>
          <cell r="AW34">
            <v>30000</v>
          </cell>
          <cell r="AX34">
            <v>0</v>
          </cell>
          <cell r="AY34">
            <v>0</v>
          </cell>
          <cell r="AZ34">
            <v>30000</v>
          </cell>
          <cell r="BA34">
            <v>30000</v>
          </cell>
          <cell r="BC34">
            <v>0</v>
          </cell>
          <cell r="BD34">
            <v>0</v>
          </cell>
          <cell r="BF34">
            <v>0</v>
          </cell>
          <cell r="BG34">
            <v>4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227000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102000</v>
          </cell>
          <cell r="R35">
            <v>0</v>
          </cell>
          <cell r="U35">
            <v>227000</v>
          </cell>
          <cell r="Y35">
            <v>125000</v>
          </cell>
          <cell r="AJ35">
            <v>200000</v>
          </cell>
          <cell r="AM35">
            <v>2000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200000</v>
          </cell>
          <cell r="AY35">
            <v>0</v>
          </cell>
          <cell r="AZ35">
            <v>200000</v>
          </cell>
          <cell r="BC35">
            <v>0</v>
          </cell>
          <cell r="BD35">
            <v>200000</v>
          </cell>
          <cell r="BF35">
            <v>0</v>
          </cell>
          <cell r="BG35">
            <v>4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100000</v>
          </cell>
          <cell r="BA36">
            <v>48500</v>
          </cell>
          <cell r="BC36">
            <v>0</v>
          </cell>
          <cell r="BD36">
            <v>103000</v>
          </cell>
          <cell r="BF36">
            <v>0</v>
          </cell>
          <cell r="BG36">
            <v>4</v>
          </cell>
          <cell r="BK36">
            <v>100000</v>
          </cell>
          <cell r="BO36" t="str">
            <v>S/TOTAL</v>
          </cell>
          <cell r="BQ36">
            <v>660000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4</v>
          </cell>
          <cell r="BO37" t="str">
            <v>S/TOTAL</v>
          </cell>
          <cell r="BQ37">
            <v>660000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50000</v>
          </cell>
          <cell r="E38">
            <v>0</v>
          </cell>
          <cell r="F38">
            <v>0</v>
          </cell>
          <cell r="H38">
            <v>0</v>
          </cell>
          <cell r="I38" t="str">
            <v>BANQUE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4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125000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U39">
            <v>125000</v>
          </cell>
          <cell r="Y39">
            <v>125000</v>
          </cell>
          <cell r="AJ39">
            <v>100000</v>
          </cell>
          <cell r="AM39">
            <v>2000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100000</v>
          </cell>
          <cell r="AY39">
            <v>0</v>
          </cell>
          <cell r="AZ39">
            <v>100000</v>
          </cell>
          <cell r="BA39">
            <v>100000</v>
          </cell>
          <cell r="BC39">
            <v>0</v>
          </cell>
          <cell r="BD39">
            <v>0</v>
          </cell>
          <cell r="BF39">
            <v>0</v>
          </cell>
          <cell r="BG39">
            <v>4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4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253000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4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4</v>
          </cell>
        </row>
        <row r="44">
          <cell r="B44" t="str">
            <v>TOTAUX</v>
          </cell>
          <cell r="C44">
            <v>-1025000</v>
          </cell>
          <cell r="D44">
            <v>6225000</v>
          </cell>
          <cell r="E44">
            <v>906500</v>
          </cell>
          <cell r="F44">
            <v>133500</v>
          </cell>
          <cell r="G44">
            <v>379000</v>
          </cell>
          <cell r="H44">
            <v>6000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146500</v>
          </cell>
          <cell r="Q44">
            <v>376500</v>
          </cell>
          <cell r="R44">
            <v>1107000</v>
          </cell>
          <cell r="S44">
            <v>1100000</v>
          </cell>
          <cell r="U44">
            <v>8190000</v>
          </cell>
          <cell r="V44">
            <v>0</v>
          </cell>
          <cell r="W44">
            <v>0</v>
          </cell>
          <cell r="X44">
            <v>0</v>
          </cell>
          <cell r="Y44">
            <v>5125000</v>
          </cell>
          <cell r="Z44">
            <v>1000000</v>
          </cell>
          <cell r="AA44">
            <v>0</v>
          </cell>
          <cell r="AC44">
            <v>6000</v>
          </cell>
          <cell r="AD44">
            <v>15000</v>
          </cell>
          <cell r="AE44">
            <v>25000</v>
          </cell>
          <cell r="AF44">
            <v>0</v>
          </cell>
          <cell r="AG44">
            <v>0</v>
          </cell>
          <cell r="AI44">
            <v>209000</v>
          </cell>
          <cell r="AJ44">
            <v>751500</v>
          </cell>
          <cell r="AK44">
            <v>1132000</v>
          </cell>
          <cell r="AL44">
            <v>2500</v>
          </cell>
          <cell r="AM44">
            <v>10000</v>
          </cell>
          <cell r="AN44">
            <v>12500</v>
          </cell>
          <cell r="AO44">
            <v>0</v>
          </cell>
          <cell r="AQ44">
            <v>0</v>
          </cell>
          <cell r="AR44">
            <v>0</v>
          </cell>
          <cell r="AS44">
            <v>1204000</v>
          </cell>
          <cell r="AT44">
            <v>0</v>
          </cell>
          <cell r="AU44">
            <v>0</v>
          </cell>
          <cell r="AV44">
            <v>0</v>
          </cell>
          <cell r="AW44">
            <v>803000</v>
          </cell>
          <cell r="AX44">
            <v>1636500</v>
          </cell>
          <cell r="AY44">
            <v>3507000</v>
          </cell>
          <cell r="AZ44">
            <v>7712500</v>
          </cell>
          <cell r="BA44">
            <v>906500</v>
          </cell>
          <cell r="BB44">
            <v>300000</v>
          </cell>
          <cell r="BC44">
            <v>133500</v>
          </cell>
          <cell r="BD44">
            <v>6724000</v>
          </cell>
          <cell r="BE44">
            <v>0</v>
          </cell>
          <cell r="BF44">
            <v>30000</v>
          </cell>
          <cell r="BH44">
            <v>6000</v>
          </cell>
          <cell r="BI44">
            <v>0</v>
          </cell>
          <cell r="BJ44">
            <v>660000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12000</v>
          </cell>
          <cell r="BC6">
            <v>0</v>
          </cell>
          <cell r="BD6">
            <v>12000</v>
          </cell>
          <cell r="BF6">
            <v>0</v>
          </cell>
          <cell r="BG6">
            <v>3</v>
          </cell>
          <cell r="BH6">
            <v>12000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3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Y8">
            <v>125000</v>
          </cell>
          <cell r="AC8">
            <v>2500</v>
          </cell>
          <cell r="AF8" t="str">
            <v>BANQUE</v>
          </cell>
          <cell r="AJ8">
            <v>100000</v>
          </cell>
          <cell r="AM8">
            <v>1000</v>
          </cell>
          <cell r="AP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297500</v>
          </cell>
          <cell r="AX8">
            <v>100000</v>
          </cell>
          <cell r="AY8">
            <v>0</v>
          </cell>
          <cell r="AZ8">
            <v>397500</v>
          </cell>
          <cell r="BA8">
            <v>100000</v>
          </cell>
          <cell r="BC8">
            <v>0</v>
          </cell>
          <cell r="BD8">
            <v>297500</v>
          </cell>
          <cell r="BF8">
            <v>0</v>
          </cell>
          <cell r="BG8">
            <v>3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382000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30500</v>
          </cell>
          <cell r="Q9">
            <v>0</v>
          </cell>
          <cell r="R9">
            <v>101500</v>
          </cell>
          <cell r="U9">
            <v>382000</v>
          </cell>
          <cell r="Y9">
            <v>250000</v>
          </cell>
          <cell r="AK9">
            <v>174500</v>
          </cell>
          <cell r="AN9">
            <v>2000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174500</v>
          </cell>
          <cell r="AZ9">
            <v>174500</v>
          </cell>
          <cell r="BA9">
            <v>174500</v>
          </cell>
          <cell r="BC9">
            <v>0</v>
          </cell>
          <cell r="BD9">
            <v>0</v>
          </cell>
          <cell r="BF9">
            <v>0</v>
          </cell>
          <cell r="BG9">
            <v>3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50000</v>
          </cell>
          <cell r="E10">
            <v>61000</v>
          </cell>
          <cell r="F10">
            <v>0</v>
          </cell>
          <cell r="G10">
            <v>-3000</v>
          </cell>
          <cell r="H10">
            <v>3000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61000</v>
          </cell>
          <cell r="Q10">
            <v>0</v>
          </cell>
          <cell r="R10">
            <v>0</v>
          </cell>
          <cell r="U10">
            <v>111000</v>
          </cell>
          <cell r="Y10">
            <v>50000</v>
          </cell>
          <cell r="AP10" t="str">
            <v>BANQUE</v>
          </cell>
          <cell r="AQ10">
            <v>0</v>
          </cell>
          <cell r="AR10">
            <v>0</v>
          </cell>
          <cell r="AS10">
            <v>22000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C10">
            <v>0</v>
          </cell>
          <cell r="BD10">
            <v>0</v>
          </cell>
          <cell r="BF10">
            <v>0</v>
          </cell>
          <cell r="BG10">
            <v>3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150000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150000</v>
          </cell>
          <cell r="Y11">
            <v>150000</v>
          </cell>
          <cell r="AK11">
            <v>200000</v>
          </cell>
          <cell r="AN11">
            <v>3500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200000</v>
          </cell>
          <cell r="AZ11">
            <v>200000</v>
          </cell>
          <cell r="BC11">
            <v>0</v>
          </cell>
          <cell r="BD11">
            <v>200000</v>
          </cell>
          <cell r="BF11">
            <v>0</v>
          </cell>
          <cell r="BG11">
            <v>3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361000</v>
          </cell>
          <cell r="E12">
            <v>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101000</v>
          </cell>
          <cell r="U12">
            <v>361000</v>
          </cell>
          <cell r="Y12">
            <v>250000</v>
          </cell>
          <cell r="AE12">
            <v>15000</v>
          </cell>
          <cell r="AF12" t="str">
            <v>BANQUE</v>
          </cell>
          <cell r="AP12" t="str">
            <v>BANQUE</v>
          </cell>
          <cell r="AQ12">
            <v>0</v>
          </cell>
          <cell r="AR12">
            <v>0</v>
          </cell>
          <cell r="AS12">
            <v>35000</v>
          </cell>
          <cell r="AW12">
            <v>0</v>
          </cell>
          <cell r="AX12">
            <v>0</v>
          </cell>
          <cell r="AY12">
            <v>1185000</v>
          </cell>
          <cell r="AZ12">
            <v>1185000</v>
          </cell>
          <cell r="BC12">
            <v>0</v>
          </cell>
          <cell r="BD12">
            <v>1185000</v>
          </cell>
          <cell r="BF12">
            <v>0</v>
          </cell>
          <cell r="BG12">
            <v>3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3</v>
          </cell>
          <cell r="BO13" t="str">
            <v>TAXI BANQUE</v>
          </cell>
          <cell r="BP13" t="str">
            <v>FONDS DE ROULEMENT</v>
          </cell>
          <cell r="BQ13">
            <v>12000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3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800000</v>
          </cell>
          <cell r="G15">
            <v>800000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950000</v>
          </cell>
          <cell r="Y15">
            <v>150000</v>
          </cell>
          <cell r="AE15">
            <v>15000</v>
          </cell>
          <cell r="AF15" t="str">
            <v>BANQUE</v>
          </cell>
          <cell r="AQ15">
            <v>0</v>
          </cell>
          <cell r="AR15">
            <v>0</v>
          </cell>
          <cell r="AS15">
            <v>825000</v>
          </cell>
          <cell r="AT15">
            <v>120000</v>
          </cell>
          <cell r="AW15">
            <v>0</v>
          </cell>
          <cell r="AX15">
            <v>0</v>
          </cell>
          <cell r="AY15">
            <v>1185000</v>
          </cell>
          <cell r="AZ15">
            <v>90000</v>
          </cell>
          <cell r="BA15">
            <v>90000</v>
          </cell>
          <cell r="BB15">
            <v>175000</v>
          </cell>
          <cell r="BC15">
            <v>800000</v>
          </cell>
          <cell r="BF15">
            <v>0</v>
          </cell>
          <cell r="BG15">
            <v>3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D16">
            <v>8500</v>
          </cell>
          <cell r="AF16" t="str">
            <v>BANQUE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891500</v>
          </cell>
          <cell r="AY16">
            <v>0</v>
          </cell>
          <cell r="AZ16">
            <v>891500</v>
          </cell>
          <cell r="BC16">
            <v>0</v>
          </cell>
          <cell r="BD16">
            <v>891500</v>
          </cell>
          <cell r="BF16">
            <v>0</v>
          </cell>
          <cell r="BG16">
            <v>3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484000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234000</v>
          </cell>
          <cell r="U17">
            <v>484000</v>
          </cell>
          <cell r="Y17">
            <v>225000</v>
          </cell>
          <cell r="AJ17">
            <v>100000</v>
          </cell>
          <cell r="AM17">
            <v>1500</v>
          </cell>
          <cell r="AP17" t="str">
            <v>BANQUE</v>
          </cell>
          <cell r="AQ17">
            <v>0</v>
          </cell>
          <cell r="AR17">
            <v>0</v>
          </cell>
          <cell r="AS17">
            <v>50000</v>
          </cell>
          <cell r="AW17">
            <v>0</v>
          </cell>
          <cell r="AX17">
            <v>100000</v>
          </cell>
          <cell r="AY17">
            <v>0</v>
          </cell>
          <cell r="AZ17">
            <v>100000</v>
          </cell>
          <cell r="BC17">
            <v>0</v>
          </cell>
          <cell r="BD17">
            <v>100000</v>
          </cell>
          <cell r="BF17">
            <v>0</v>
          </cell>
          <cell r="BG17">
            <v>3</v>
          </cell>
          <cell r="BO17" t="str">
            <v>S/TOTAL</v>
          </cell>
          <cell r="BQ17">
            <v>12000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AP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C18">
            <v>0</v>
          </cell>
          <cell r="BD18">
            <v>0</v>
          </cell>
          <cell r="BF18">
            <v>0</v>
          </cell>
          <cell r="BG18">
            <v>3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641000</v>
          </cell>
          <cell r="E19">
            <v>30500</v>
          </cell>
          <cell r="F19">
            <v>0</v>
          </cell>
          <cell r="G19">
            <v>10000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30500</v>
          </cell>
          <cell r="Q19">
            <v>203000</v>
          </cell>
          <cell r="R19">
            <v>203000</v>
          </cell>
          <cell r="U19">
            <v>671500</v>
          </cell>
          <cell r="Y19">
            <v>225000</v>
          </cell>
          <cell r="AJ19">
            <v>100000</v>
          </cell>
          <cell r="AK19">
            <v>100000</v>
          </cell>
          <cell r="AM19">
            <v>1000</v>
          </cell>
          <cell r="AN19">
            <v>1000</v>
          </cell>
          <cell r="AP19" t="str">
            <v>BANQUE</v>
          </cell>
          <cell r="AQ19">
            <v>0</v>
          </cell>
          <cell r="AR19">
            <v>0</v>
          </cell>
          <cell r="AS19">
            <v>35000</v>
          </cell>
          <cell r="AW19">
            <v>0</v>
          </cell>
          <cell r="AX19">
            <v>100000</v>
          </cell>
          <cell r="AY19">
            <v>100000</v>
          </cell>
          <cell r="AZ19">
            <v>200000</v>
          </cell>
          <cell r="BA19">
            <v>100000</v>
          </cell>
          <cell r="BC19">
            <v>0</v>
          </cell>
          <cell r="BD19">
            <v>100000</v>
          </cell>
          <cell r="BF19">
            <v>0</v>
          </cell>
          <cell r="BG19">
            <v>3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C21">
            <v>2500</v>
          </cell>
          <cell r="AF21" t="str">
            <v>BANQUE</v>
          </cell>
          <cell r="AQ21">
            <v>0</v>
          </cell>
          <cell r="AR21">
            <v>0</v>
          </cell>
          <cell r="AS21">
            <v>25000</v>
          </cell>
          <cell r="AW21">
            <v>297500</v>
          </cell>
          <cell r="AX21">
            <v>0</v>
          </cell>
          <cell r="AY21">
            <v>0</v>
          </cell>
          <cell r="AZ21">
            <v>297500</v>
          </cell>
          <cell r="BA21">
            <v>15000</v>
          </cell>
          <cell r="BC21">
            <v>0</v>
          </cell>
          <cell r="BD21">
            <v>282500</v>
          </cell>
          <cell r="BF21">
            <v>0</v>
          </cell>
          <cell r="BG21">
            <v>3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0</v>
          </cell>
          <cell r="D22">
            <v>471000</v>
          </cell>
          <cell r="E22">
            <v>261000</v>
          </cell>
          <cell r="F22">
            <v>0</v>
          </cell>
          <cell r="H22">
            <v>3000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202000</v>
          </cell>
          <cell r="R22">
            <v>202000</v>
          </cell>
          <cell r="U22">
            <v>732000</v>
          </cell>
          <cell r="Y22">
            <v>325000</v>
          </cell>
          <cell r="AJ22">
            <v>200000</v>
          </cell>
          <cell r="AK22">
            <v>100000</v>
          </cell>
          <cell r="AM22">
            <v>2000</v>
          </cell>
          <cell r="AN22">
            <v>1000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200000</v>
          </cell>
          <cell r="AY22">
            <v>100000</v>
          </cell>
          <cell r="AZ22">
            <v>300000</v>
          </cell>
          <cell r="BA22">
            <v>200000</v>
          </cell>
          <cell r="BC22">
            <v>0</v>
          </cell>
          <cell r="BD22">
            <v>100000</v>
          </cell>
          <cell r="BF22">
            <v>0</v>
          </cell>
          <cell r="BG22">
            <v>3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100000</v>
          </cell>
          <cell r="BC23">
            <v>0</v>
          </cell>
          <cell r="BD23">
            <v>100000</v>
          </cell>
          <cell r="BF23">
            <v>0</v>
          </cell>
          <cell r="BG23">
            <v>3</v>
          </cell>
          <cell r="BK23">
            <v>100000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F24">
            <v>0</v>
          </cell>
          <cell r="BG24">
            <v>3</v>
          </cell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462000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202000</v>
          </cell>
          <cell r="U25">
            <v>462000</v>
          </cell>
          <cell r="Y25">
            <v>250000</v>
          </cell>
          <cell r="AK25">
            <v>100000</v>
          </cell>
          <cell r="AN25">
            <v>2500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C25">
            <v>0</v>
          </cell>
          <cell r="BD25">
            <v>100000</v>
          </cell>
          <cell r="BF25">
            <v>0</v>
          </cell>
          <cell r="BG25">
            <v>3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52500</v>
          </cell>
          <cell r="E26">
            <v>240000</v>
          </cell>
          <cell r="F26">
            <v>0</v>
          </cell>
          <cell r="G26">
            <v>12000</v>
          </cell>
          <cell r="H26">
            <v>3000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52500</v>
          </cell>
          <cell r="R26">
            <v>0</v>
          </cell>
          <cell r="U26">
            <v>292500</v>
          </cell>
          <cell r="Y26">
            <v>225000</v>
          </cell>
          <cell r="AJ26">
            <v>100000</v>
          </cell>
          <cell r="AM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37000</v>
          </cell>
          <cell r="AW26">
            <v>0</v>
          </cell>
          <cell r="AX26">
            <v>100000</v>
          </cell>
          <cell r="AY26">
            <v>0</v>
          </cell>
          <cell r="AZ26">
            <v>100000</v>
          </cell>
          <cell r="BA26">
            <v>100000</v>
          </cell>
          <cell r="BC26">
            <v>0</v>
          </cell>
          <cell r="BD26">
            <v>0</v>
          </cell>
          <cell r="BF26">
            <v>0</v>
          </cell>
          <cell r="BG26">
            <v>3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350000</v>
          </cell>
          <cell r="E27">
            <v>0</v>
          </cell>
          <cell r="F27">
            <v>0</v>
          </cell>
          <cell r="G27">
            <v>-1000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101000</v>
          </cell>
          <cell r="U27">
            <v>350000</v>
          </cell>
          <cell r="Y27">
            <v>250000</v>
          </cell>
          <cell r="AK27">
            <v>200000</v>
          </cell>
          <cell r="AN27">
            <v>5000</v>
          </cell>
          <cell r="AP27" t="str">
            <v>BANQUE</v>
          </cell>
          <cell r="AQ27">
            <v>0</v>
          </cell>
          <cell r="AR27">
            <v>0</v>
          </cell>
          <cell r="AS27">
            <v>24000</v>
          </cell>
          <cell r="AW27">
            <v>0</v>
          </cell>
          <cell r="AX27">
            <v>0</v>
          </cell>
          <cell r="AY27">
            <v>200000</v>
          </cell>
          <cell r="AZ27">
            <v>200000</v>
          </cell>
          <cell r="BC27">
            <v>0</v>
          </cell>
          <cell r="BD27">
            <v>200000</v>
          </cell>
          <cell r="BF27">
            <v>0</v>
          </cell>
          <cell r="BG27">
            <v>3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50000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50000</v>
          </cell>
          <cell r="Y28">
            <v>50000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C28">
            <v>0</v>
          </cell>
          <cell r="BD28">
            <v>0</v>
          </cell>
          <cell r="BF28">
            <v>0</v>
          </cell>
          <cell r="BG28">
            <v>3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C29">
            <v>2500</v>
          </cell>
          <cell r="AF29" t="str">
            <v>BANQUE</v>
          </cell>
          <cell r="AQ29">
            <v>0</v>
          </cell>
          <cell r="AR29">
            <v>0</v>
          </cell>
          <cell r="AS29">
            <v>25000</v>
          </cell>
          <cell r="AW29">
            <v>297500</v>
          </cell>
          <cell r="AX29">
            <v>0</v>
          </cell>
          <cell r="AY29">
            <v>0</v>
          </cell>
          <cell r="AZ29">
            <v>297500</v>
          </cell>
          <cell r="BA29">
            <v>297500</v>
          </cell>
          <cell r="BC29">
            <v>0</v>
          </cell>
          <cell r="BD29">
            <v>0</v>
          </cell>
          <cell r="BF29">
            <v>0</v>
          </cell>
          <cell r="BG29">
            <v>3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C30">
            <v>2500</v>
          </cell>
          <cell r="AF30" t="str">
            <v>BANQUE</v>
          </cell>
          <cell r="AQ30">
            <v>0</v>
          </cell>
          <cell r="AR30">
            <v>0</v>
          </cell>
          <cell r="AS30">
            <v>25000</v>
          </cell>
          <cell r="AW30">
            <v>297500</v>
          </cell>
          <cell r="AX30">
            <v>0</v>
          </cell>
          <cell r="AY30">
            <v>0</v>
          </cell>
          <cell r="AZ30">
            <v>297500</v>
          </cell>
          <cell r="BC30">
            <v>0</v>
          </cell>
          <cell r="BD30">
            <v>297500</v>
          </cell>
          <cell r="BF30">
            <v>0</v>
          </cell>
          <cell r="BG30">
            <v>3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U31">
            <v>109000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C31">
            <v>0</v>
          </cell>
          <cell r="BD31">
            <v>59000</v>
          </cell>
          <cell r="BF31">
            <v>0</v>
          </cell>
          <cell r="BG31">
            <v>3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U32">
            <v>250000</v>
          </cell>
          <cell r="Y32">
            <v>250000</v>
          </cell>
          <cell r="AK32">
            <v>200000</v>
          </cell>
          <cell r="AN32">
            <v>3500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200000</v>
          </cell>
          <cell r="AZ32">
            <v>200000</v>
          </cell>
          <cell r="BC32">
            <v>0</v>
          </cell>
          <cell r="BD32">
            <v>200000</v>
          </cell>
          <cell r="BF32">
            <v>0</v>
          </cell>
          <cell r="BG32">
            <v>3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50000</v>
          </cell>
          <cell r="E33">
            <v>0</v>
          </cell>
          <cell r="F33">
            <v>0</v>
          </cell>
          <cell r="H33">
            <v>0</v>
          </cell>
          <cell r="I33" t="str">
            <v>BANQUE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3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>
            <v>0</v>
          </cell>
          <cell r="I34" t="str">
            <v>ECHEC</v>
          </cell>
          <cell r="J34">
            <v>1</v>
          </cell>
          <cell r="K34">
            <v>0</v>
          </cell>
          <cell r="M34">
            <v>0</v>
          </cell>
          <cell r="N34">
            <v>1</v>
          </cell>
          <cell r="O34">
            <v>0</v>
          </cell>
          <cell r="P34">
            <v>30500</v>
          </cell>
          <cell r="Q34">
            <v>0</v>
          </cell>
          <cell r="R34">
            <v>0</v>
          </cell>
          <cell r="U34">
            <v>30500</v>
          </cell>
          <cell r="Y34">
            <v>0</v>
          </cell>
          <cell r="AI34">
            <v>30500</v>
          </cell>
          <cell r="AP34" t="str">
            <v>BANQUE</v>
          </cell>
          <cell r="AQ34">
            <v>0</v>
          </cell>
          <cell r="AR34">
            <v>0</v>
          </cell>
          <cell r="AS34">
            <v>0</v>
          </cell>
          <cell r="AW34">
            <v>30500</v>
          </cell>
          <cell r="AX34">
            <v>0</v>
          </cell>
          <cell r="AY34">
            <v>0</v>
          </cell>
          <cell r="AZ34">
            <v>30500</v>
          </cell>
          <cell r="BC34">
            <v>0</v>
          </cell>
          <cell r="BD34">
            <v>30500</v>
          </cell>
          <cell r="BF34">
            <v>0</v>
          </cell>
          <cell r="BG34">
            <v>3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327000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202000</v>
          </cell>
          <cell r="R35">
            <v>0</v>
          </cell>
          <cell r="U35">
            <v>327000</v>
          </cell>
          <cell r="Y35">
            <v>125000</v>
          </cell>
          <cell r="AJ35">
            <v>200000</v>
          </cell>
          <cell r="AM35">
            <v>2500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200000</v>
          </cell>
          <cell r="AY35">
            <v>0</v>
          </cell>
          <cell r="AZ35">
            <v>200000</v>
          </cell>
          <cell r="BC35">
            <v>0</v>
          </cell>
          <cell r="BD35">
            <v>200000</v>
          </cell>
          <cell r="BF35">
            <v>0</v>
          </cell>
          <cell r="BG35">
            <v>3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C36">
            <v>0</v>
          </cell>
          <cell r="BD36">
            <v>0</v>
          </cell>
          <cell r="BF36">
            <v>0</v>
          </cell>
          <cell r="BG36">
            <v>3</v>
          </cell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3</v>
          </cell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50000</v>
          </cell>
          <cell r="E38">
            <v>0</v>
          </cell>
          <cell r="F38">
            <v>0</v>
          </cell>
          <cell r="H38">
            <v>0</v>
          </cell>
          <cell r="I38" t="str">
            <v>BANQUE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3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232000</v>
          </cell>
          <cell r="E39">
            <v>0</v>
          </cell>
          <cell r="F39">
            <v>0</v>
          </cell>
          <cell r="G39">
            <v>5000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102000</v>
          </cell>
          <cell r="R39">
            <v>0</v>
          </cell>
          <cell r="U39">
            <v>232000</v>
          </cell>
          <cell r="Y39">
            <v>125000</v>
          </cell>
          <cell r="AP39" t="str">
            <v>BANQUE</v>
          </cell>
          <cell r="AQ39">
            <v>0</v>
          </cell>
          <cell r="AR39">
            <v>0</v>
          </cell>
          <cell r="AS39">
            <v>30000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C39">
            <v>0</v>
          </cell>
          <cell r="BD39">
            <v>0</v>
          </cell>
          <cell r="BF39">
            <v>0</v>
          </cell>
          <cell r="BG39">
            <v>3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3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250000</v>
          </cell>
          <cell r="E41">
            <v>0</v>
          </cell>
          <cell r="F41">
            <v>0</v>
          </cell>
          <cell r="H41">
            <v>0</v>
          </cell>
          <cell r="I41" t="str">
            <v>BANQUE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250000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3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3</v>
          </cell>
        </row>
        <row r="44">
          <cell r="B44" t="str">
            <v>TOTAUX</v>
          </cell>
          <cell r="C44">
            <v>-59000</v>
          </cell>
          <cell r="D44">
            <v>6055500</v>
          </cell>
          <cell r="E44">
            <v>1024500</v>
          </cell>
          <cell r="F44">
            <v>800000</v>
          </cell>
          <cell r="G44">
            <v>868000</v>
          </cell>
          <cell r="H44">
            <v>9000</v>
          </cell>
          <cell r="I44">
            <v>0</v>
          </cell>
          <cell r="J44">
            <v>35</v>
          </cell>
          <cell r="K44">
            <v>1700000</v>
          </cell>
          <cell r="L44">
            <v>13</v>
          </cell>
          <cell r="M44">
            <v>975000</v>
          </cell>
          <cell r="N44">
            <v>24</v>
          </cell>
          <cell r="O44">
            <v>2300000</v>
          </cell>
          <cell r="P44">
            <v>211500</v>
          </cell>
          <cell r="Q44">
            <v>761500</v>
          </cell>
          <cell r="R44">
            <v>1144500</v>
          </cell>
          <cell r="S44">
            <v>0</v>
          </cell>
          <cell r="U44">
            <v>7969500</v>
          </cell>
          <cell r="V44">
            <v>0</v>
          </cell>
          <cell r="W44">
            <v>0</v>
          </cell>
          <cell r="X44">
            <v>0</v>
          </cell>
          <cell r="Y44">
            <v>4975000</v>
          </cell>
          <cell r="Z44">
            <v>0</v>
          </cell>
          <cell r="AA44">
            <v>0</v>
          </cell>
          <cell r="AC44">
            <v>10000</v>
          </cell>
          <cell r="AD44">
            <v>8500</v>
          </cell>
          <cell r="AE44">
            <v>30000</v>
          </cell>
          <cell r="AF44">
            <v>0</v>
          </cell>
          <cell r="AG44">
            <v>0</v>
          </cell>
          <cell r="AI44">
            <v>89500</v>
          </cell>
          <cell r="AJ44">
            <v>800000</v>
          </cell>
          <cell r="AK44">
            <v>1074500</v>
          </cell>
          <cell r="AL44">
            <v>0</v>
          </cell>
          <cell r="AM44">
            <v>9000</v>
          </cell>
          <cell r="AN44">
            <v>18500</v>
          </cell>
          <cell r="AO44">
            <v>0</v>
          </cell>
          <cell r="AQ44">
            <v>0</v>
          </cell>
          <cell r="AR44">
            <v>0</v>
          </cell>
          <cell r="AS44">
            <v>1718000</v>
          </cell>
          <cell r="AT44">
            <v>120000</v>
          </cell>
          <cell r="AU44">
            <v>0</v>
          </cell>
          <cell r="AV44">
            <v>0</v>
          </cell>
          <cell r="AW44">
            <v>1279500</v>
          </cell>
          <cell r="AX44">
            <v>1691500</v>
          </cell>
          <cell r="AY44">
            <v>3444500</v>
          </cell>
          <cell r="AZ44">
            <v>5432500</v>
          </cell>
          <cell r="BA44">
            <v>1077000</v>
          </cell>
          <cell r="BB44">
            <v>175000</v>
          </cell>
          <cell r="BC44">
            <v>800000</v>
          </cell>
          <cell r="BD44">
            <v>4355500</v>
          </cell>
          <cell r="BE44">
            <v>0</v>
          </cell>
          <cell r="BF44">
            <v>0</v>
          </cell>
          <cell r="BH44">
            <v>12000</v>
          </cell>
          <cell r="BI44">
            <v>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</sheetData>
      <sheetData sheetId="14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  <cell r="BA6">
            <v>5500</v>
          </cell>
          <cell r="BC6">
            <v>0</v>
          </cell>
          <cell r="BD6">
            <v>500</v>
          </cell>
          <cell r="BF6">
            <v>0</v>
          </cell>
          <cell r="BG6">
            <v>2</v>
          </cell>
          <cell r="BH6">
            <v>6000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2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-500000</v>
          </cell>
          <cell r="D8">
            <v>125000</v>
          </cell>
          <cell r="E8">
            <v>101000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101000</v>
          </cell>
          <cell r="R8">
            <v>0</v>
          </cell>
          <cell r="S8">
            <v>500000</v>
          </cell>
          <cell r="T8" t="str">
            <v>BANQUE</v>
          </cell>
          <cell r="U8">
            <v>726000</v>
          </cell>
          <cell r="Y8">
            <v>125000</v>
          </cell>
          <cell r="Z8">
            <v>500000</v>
          </cell>
          <cell r="AA8" t="str">
            <v>BANQUE</v>
          </cell>
          <cell r="AD8">
            <v>7500</v>
          </cell>
          <cell r="AI8">
            <v>50000</v>
          </cell>
          <cell r="AJ8">
            <v>200000</v>
          </cell>
          <cell r="AL8">
            <v>500</v>
          </cell>
          <cell r="AM8">
            <v>2000</v>
          </cell>
          <cell r="AP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50000</v>
          </cell>
          <cell r="AX8">
            <v>1092500</v>
          </cell>
          <cell r="AY8">
            <v>0</v>
          </cell>
          <cell r="AZ8">
            <v>1727500</v>
          </cell>
          <cell r="BA8">
            <v>350000</v>
          </cell>
          <cell r="BC8">
            <v>0</v>
          </cell>
          <cell r="BD8">
            <v>1377500</v>
          </cell>
          <cell r="BF8">
            <v>15000</v>
          </cell>
          <cell r="BG8">
            <v>3</v>
          </cell>
          <cell r="BK8">
            <v>100000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426500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176500</v>
          </cell>
          <cell r="U9">
            <v>426500</v>
          </cell>
          <cell r="Y9">
            <v>250000</v>
          </cell>
          <cell r="AI9">
            <v>50000</v>
          </cell>
          <cell r="AK9">
            <v>200000</v>
          </cell>
          <cell r="AL9">
            <v>500</v>
          </cell>
          <cell r="AN9">
            <v>4000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50000</v>
          </cell>
          <cell r="AX9">
            <v>0</v>
          </cell>
          <cell r="AY9">
            <v>200000</v>
          </cell>
          <cell r="AZ9">
            <v>250000</v>
          </cell>
          <cell r="BA9">
            <v>250000</v>
          </cell>
          <cell r="BC9">
            <v>0</v>
          </cell>
          <cell r="BD9">
            <v>0</v>
          </cell>
          <cell r="BF9">
            <v>0</v>
          </cell>
          <cell r="BG9">
            <v>2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50000</v>
          </cell>
          <cell r="E10">
            <v>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50000</v>
          </cell>
          <cell r="Y10">
            <v>50000</v>
          </cell>
          <cell r="AI10">
            <v>50000</v>
          </cell>
          <cell r="AL10">
            <v>1000</v>
          </cell>
          <cell r="AQ10">
            <v>0</v>
          </cell>
          <cell r="AR10">
            <v>0</v>
          </cell>
          <cell r="AS10">
            <v>25000</v>
          </cell>
          <cell r="AW10">
            <v>50000</v>
          </cell>
          <cell r="AX10">
            <v>0</v>
          </cell>
          <cell r="AY10">
            <v>0</v>
          </cell>
          <cell r="AZ10">
            <v>50000</v>
          </cell>
          <cell r="BA10">
            <v>50000</v>
          </cell>
          <cell r="BC10">
            <v>0</v>
          </cell>
          <cell r="BD10">
            <v>0</v>
          </cell>
          <cell r="BF10">
            <v>0</v>
          </cell>
          <cell r="BG10">
            <v>2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-1000</v>
          </cell>
          <cell r="D11">
            <v>150000</v>
          </cell>
          <cell r="E11">
            <v>205500</v>
          </cell>
          <cell r="F11">
            <v>0</v>
          </cell>
          <cell r="H11">
            <v>3000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203500</v>
          </cell>
          <cell r="U11">
            <v>356500</v>
          </cell>
          <cell r="Y11">
            <v>150000</v>
          </cell>
          <cell r="AI11">
            <v>50000</v>
          </cell>
          <cell r="AK11">
            <v>159500</v>
          </cell>
          <cell r="AL11">
            <v>500</v>
          </cell>
          <cell r="AN11">
            <v>6000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50000</v>
          </cell>
          <cell r="AX11">
            <v>0</v>
          </cell>
          <cell r="AY11">
            <v>159500</v>
          </cell>
          <cell r="AZ11">
            <v>209500</v>
          </cell>
          <cell r="BA11">
            <v>209500</v>
          </cell>
          <cell r="BC11">
            <v>0</v>
          </cell>
          <cell r="BD11">
            <v>0</v>
          </cell>
          <cell r="BF11">
            <v>0</v>
          </cell>
          <cell r="BG11">
            <v>2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-148500</v>
          </cell>
          <cell r="D12">
            <v>1125000</v>
          </cell>
          <cell r="E12">
            <v>0</v>
          </cell>
          <cell r="F12">
            <v>0</v>
          </cell>
          <cell r="G12">
            <v>23500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S12">
            <v>1000000</v>
          </cell>
          <cell r="T12" t="str">
            <v>BANQUE</v>
          </cell>
          <cell r="U12">
            <v>1273500</v>
          </cell>
          <cell r="Y12">
            <v>250000</v>
          </cell>
          <cell r="Z12">
            <v>150000</v>
          </cell>
          <cell r="AQ12">
            <v>0</v>
          </cell>
          <cell r="AR12">
            <v>0</v>
          </cell>
          <cell r="AS12">
            <v>48500</v>
          </cell>
          <cell r="AW12">
            <v>0</v>
          </cell>
          <cell r="AX12">
            <v>0</v>
          </cell>
          <cell r="AY12">
            <v>0</v>
          </cell>
          <cell r="AZ12">
            <v>148500</v>
          </cell>
          <cell r="BC12">
            <v>0</v>
          </cell>
          <cell r="BD12">
            <v>148500</v>
          </cell>
          <cell r="BF12">
            <v>1500</v>
          </cell>
          <cell r="BG12">
            <v>1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2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-3000</v>
          </cell>
          <cell r="H14">
            <v>3000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22000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2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150000</v>
          </cell>
          <cell r="Y15">
            <v>150000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2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2</v>
          </cell>
        </row>
        <row r="17">
          <cell r="A17" t="str">
            <v>AS201613</v>
          </cell>
          <cell r="B17" t="str">
            <v>HOTCHO BENJAMIN</v>
          </cell>
          <cell r="C17">
            <v>-400000</v>
          </cell>
          <cell r="D17">
            <v>351500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101500</v>
          </cell>
          <cell r="R17">
            <v>0</v>
          </cell>
          <cell r="S17">
            <v>400000</v>
          </cell>
          <cell r="T17" t="str">
            <v>BANQUE</v>
          </cell>
          <cell r="U17">
            <v>751500</v>
          </cell>
          <cell r="Y17">
            <v>225000</v>
          </cell>
          <cell r="Z17">
            <v>400000</v>
          </cell>
          <cell r="AA17" t="str">
            <v>BANQUE</v>
          </cell>
          <cell r="AI17">
            <v>50000</v>
          </cell>
          <cell r="AJ17">
            <v>100000</v>
          </cell>
          <cell r="AL17">
            <v>500</v>
          </cell>
          <cell r="AM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50000</v>
          </cell>
          <cell r="AW17">
            <v>50000</v>
          </cell>
          <cell r="AX17">
            <v>100000</v>
          </cell>
          <cell r="AY17">
            <v>0</v>
          </cell>
          <cell r="AZ17">
            <v>546000</v>
          </cell>
          <cell r="BA17">
            <v>150000</v>
          </cell>
          <cell r="BC17">
            <v>0</v>
          </cell>
          <cell r="BD17">
            <v>396000</v>
          </cell>
          <cell r="BF17">
            <v>4000</v>
          </cell>
          <cell r="BG17">
            <v>1</v>
          </cell>
          <cell r="BO17" t="str">
            <v>S/TOTAL</v>
          </cell>
          <cell r="BQ17">
            <v>6000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100000</v>
          </cell>
          <cell r="E18">
            <v>50000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AI18">
            <v>50000</v>
          </cell>
          <cell r="AK18">
            <v>100000</v>
          </cell>
          <cell r="AL18">
            <v>1000</v>
          </cell>
          <cell r="AN18">
            <v>2500</v>
          </cell>
          <cell r="AQ18">
            <v>0</v>
          </cell>
          <cell r="AR18">
            <v>0</v>
          </cell>
          <cell r="AS18">
            <v>25000</v>
          </cell>
          <cell r="AW18">
            <v>50000</v>
          </cell>
          <cell r="AX18">
            <v>0</v>
          </cell>
          <cell r="AY18">
            <v>100000</v>
          </cell>
          <cell r="AZ18">
            <v>150000</v>
          </cell>
          <cell r="BA18">
            <v>90000</v>
          </cell>
          <cell r="BC18">
            <v>0</v>
          </cell>
          <cell r="BD18">
            <v>10000</v>
          </cell>
          <cell r="BF18">
            <v>0</v>
          </cell>
          <cell r="BG18">
            <v>2</v>
          </cell>
        </row>
        <row r="19">
          <cell r="A19" t="str">
            <v>AS201619</v>
          </cell>
          <cell r="B19" t="str">
            <v>KOUATCHO MESSACK</v>
          </cell>
          <cell r="C19">
            <v>-101000</v>
          </cell>
          <cell r="D19">
            <v>0</v>
          </cell>
          <cell r="E19">
            <v>336000</v>
          </cell>
          <cell r="F19">
            <v>0</v>
          </cell>
          <cell r="G19">
            <v>7000</v>
          </cell>
          <cell r="H19">
            <v>3000</v>
          </cell>
          <cell r="I19" t="str">
            <v>ESPECES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101000</v>
          </cell>
          <cell r="R19">
            <v>101000</v>
          </cell>
          <cell r="U19">
            <v>437000</v>
          </cell>
          <cell r="Y19">
            <v>225000</v>
          </cell>
          <cell r="AP19" t="str">
            <v>BANQUE</v>
          </cell>
          <cell r="AQ19">
            <v>0</v>
          </cell>
          <cell r="AR19">
            <v>0</v>
          </cell>
          <cell r="AS19">
            <v>32000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C19">
            <v>0</v>
          </cell>
          <cell r="BD19">
            <v>0</v>
          </cell>
          <cell r="BF19">
            <v>0</v>
          </cell>
          <cell r="BG19">
            <v>2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  <cell r="G20">
            <v>50000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I21">
            <v>50000</v>
          </cell>
          <cell r="AL21">
            <v>1000</v>
          </cell>
          <cell r="AQ21">
            <v>0</v>
          </cell>
          <cell r="AR21">
            <v>0</v>
          </cell>
          <cell r="AS21">
            <v>25000</v>
          </cell>
          <cell r="AW21">
            <v>50000</v>
          </cell>
          <cell r="AX21">
            <v>0</v>
          </cell>
          <cell r="AY21">
            <v>0</v>
          </cell>
          <cell r="AZ21">
            <v>50000</v>
          </cell>
          <cell r="BA21">
            <v>50000</v>
          </cell>
          <cell r="BC21">
            <v>0</v>
          </cell>
          <cell r="BD21">
            <v>0</v>
          </cell>
          <cell r="BF21">
            <v>0</v>
          </cell>
          <cell r="BG21">
            <v>2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-1000000</v>
          </cell>
          <cell r="D22">
            <v>428500</v>
          </cell>
          <cell r="E22">
            <v>205000</v>
          </cell>
          <cell r="F22">
            <v>0</v>
          </cell>
          <cell r="G22">
            <v>2500</v>
          </cell>
          <cell r="H22">
            <v>3000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202000</v>
          </cell>
          <cell r="R22">
            <v>101000</v>
          </cell>
          <cell r="S22">
            <v>1000000</v>
          </cell>
          <cell r="T22" t="str">
            <v>BANQUE</v>
          </cell>
          <cell r="U22">
            <v>1633500</v>
          </cell>
          <cell r="Y22">
            <v>325000</v>
          </cell>
          <cell r="Z22">
            <v>1000000</v>
          </cell>
          <cell r="AA22" t="str">
            <v>BANQUE</v>
          </cell>
          <cell r="AI22">
            <v>50000</v>
          </cell>
          <cell r="AJ22">
            <v>200000</v>
          </cell>
          <cell r="AK22">
            <v>200000</v>
          </cell>
          <cell r="AL22">
            <v>1000</v>
          </cell>
          <cell r="AM22">
            <v>2500</v>
          </cell>
          <cell r="AN22">
            <v>5500</v>
          </cell>
          <cell r="AP22" t="str">
            <v>BANQUE</v>
          </cell>
          <cell r="AQ22">
            <v>0</v>
          </cell>
          <cell r="AR22">
            <v>0</v>
          </cell>
          <cell r="AS22">
            <v>27500</v>
          </cell>
          <cell r="AW22">
            <v>50000</v>
          </cell>
          <cell r="AX22">
            <v>200000</v>
          </cell>
          <cell r="AY22">
            <v>200000</v>
          </cell>
          <cell r="AZ22">
            <v>1420000</v>
          </cell>
          <cell r="BA22">
            <v>371000</v>
          </cell>
          <cell r="BC22">
            <v>0</v>
          </cell>
          <cell r="BD22">
            <v>1049000</v>
          </cell>
          <cell r="BF22">
            <v>30000</v>
          </cell>
          <cell r="BG22">
            <v>3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2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F24">
            <v>0</v>
          </cell>
          <cell r="BG24">
            <v>2</v>
          </cell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-500000</v>
          </cell>
          <cell r="D25">
            <v>275000</v>
          </cell>
          <cell r="E25">
            <v>102500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102500</v>
          </cell>
          <cell r="S25">
            <v>500000</v>
          </cell>
          <cell r="T25" t="str">
            <v>BANQUE</v>
          </cell>
          <cell r="U25">
            <v>862500</v>
          </cell>
          <cell r="Y25">
            <v>250000</v>
          </cell>
          <cell r="Z25">
            <v>500000</v>
          </cell>
          <cell r="AA25" t="str">
            <v>BANQUE</v>
          </cell>
          <cell r="AK25">
            <v>100000</v>
          </cell>
          <cell r="AN25">
            <v>2500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100000</v>
          </cell>
          <cell r="AZ25">
            <v>600000</v>
          </cell>
          <cell r="BA25">
            <v>100000</v>
          </cell>
          <cell r="BC25">
            <v>0</v>
          </cell>
          <cell r="BD25">
            <v>500000</v>
          </cell>
          <cell r="BF25">
            <v>15000</v>
          </cell>
          <cell r="BG25">
            <v>3</v>
          </cell>
        </row>
        <row r="26">
          <cell r="A26" t="str">
            <v>AS201624</v>
          </cell>
          <cell r="B26" t="str">
            <v>NGONDIEP CLAUDE</v>
          </cell>
          <cell r="C26">
            <v>136500</v>
          </cell>
          <cell r="D26">
            <v>240000</v>
          </cell>
          <cell r="E26">
            <v>237500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101000</v>
          </cell>
          <cell r="R26">
            <v>0</v>
          </cell>
          <cell r="U26">
            <v>341000</v>
          </cell>
          <cell r="Y26">
            <v>225000</v>
          </cell>
          <cell r="AJ26">
            <v>100000</v>
          </cell>
          <cell r="AM26">
            <v>1500</v>
          </cell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100000</v>
          </cell>
          <cell r="AY26">
            <v>0</v>
          </cell>
          <cell r="AZ26">
            <v>100000</v>
          </cell>
          <cell r="BA26">
            <v>100000</v>
          </cell>
          <cell r="BC26">
            <v>0</v>
          </cell>
          <cell r="BD26">
            <v>0</v>
          </cell>
          <cell r="BF26">
            <v>0</v>
          </cell>
          <cell r="BG26">
            <v>2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460000</v>
          </cell>
          <cell r="E27">
            <v>0</v>
          </cell>
          <cell r="F27">
            <v>0</v>
          </cell>
          <cell r="G27">
            <v>5000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205000</v>
          </cell>
          <cell r="U27">
            <v>460000</v>
          </cell>
          <cell r="Y27">
            <v>250000</v>
          </cell>
          <cell r="AI27">
            <v>50000</v>
          </cell>
          <cell r="AK27">
            <v>100000</v>
          </cell>
          <cell r="AL27">
            <v>500</v>
          </cell>
          <cell r="AN27">
            <v>2500</v>
          </cell>
          <cell r="AP27" t="str">
            <v>BANQUE</v>
          </cell>
          <cell r="AQ27">
            <v>0</v>
          </cell>
          <cell r="AR27">
            <v>0</v>
          </cell>
          <cell r="AS27">
            <v>30000</v>
          </cell>
          <cell r="AW27">
            <v>50000</v>
          </cell>
          <cell r="AX27">
            <v>0</v>
          </cell>
          <cell r="AY27">
            <v>100000</v>
          </cell>
          <cell r="AZ27">
            <v>150000</v>
          </cell>
          <cell r="BA27">
            <v>50000</v>
          </cell>
          <cell r="BC27">
            <v>0</v>
          </cell>
          <cell r="BD27">
            <v>100000</v>
          </cell>
          <cell r="BF27">
            <v>0</v>
          </cell>
          <cell r="BG27">
            <v>2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-1000000</v>
          </cell>
          <cell r="D28">
            <v>50000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1000000</v>
          </cell>
          <cell r="T28" t="str">
            <v>BANQUE</v>
          </cell>
          <cell r="U28">
            <v>1050000</v>
          </cell>
          <cell r="Y28">
            <v>50000</v>
          </cell>
          <cell r="Z28">
            <v>1000000</v>
          </cell>
          <cell r="AA28" t="str">
            <v>BANQUE</v>
          </cell>
          <cell r="AI28">
            <v>50000</v>
          </cell>
          <cell r="AL28">
            <v>500</v>
          </cell>
          <cell r="AQ28">
            <v>0</v>
          </cell>
          <cell r="AR28">
            <v>0</v>
          </cell>
          <cell r="AS28">
            <v>25000</v>
          </cell>
          <cell r="AW28">
            <v>50000</v>
          </cell>
          <cell r="AX28">
            <v>0</v>
          </cell>
          <cell r="AY28">
            <v>0</v>
          </cell>
          <cell r="AZ28">
            <v>1020000</v>
          </cell>
          <cell r="BA28">
            <v>50000</v>
          </cell>
          <cell r="BC28">
            <v>0</v>
          </cell>
          <cell r="BD28">
            <v>970000</v>
          </cell>
          <cell r="BF28">
            <v>30000</v>
          </cell>
          <cell r="BG28">
            <v>3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2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2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U31">
            <v>109000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C31">
            <v>0</v>
          </cell>
          <cell r="BD31">
            <v>59000</v>
          </cell>
          <cell r="BF31">
            <v>0</v>
          </cell>
          <cell r="BG31">
            <v>2</v>
          </cell>
        </row>
        <row r="32">
          <cell r="A32" t="str">
            <v>AS201653</v>
          </cell>
          <cell r="B32" t="str">
            <v>SIME BRICE</v>
          </cell>
          <cell r="C32">
            <v>-1000000</v>
          </cell>
          <cell r="D32">
            <v>250000</v>
          </cell>
          <cell r="E32">
            <v>206500</v>
          </cell>
          <cell r="F32">
            <v>0</v>
          </cell>
          <cell r="H32">
            <v>3000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203500</v>
          </cell>
          <cell r="S32">
            <v>1000000</v>
          </cell>
          <cell r="T32" t="str">
            <v>BANQUE</v>
          </cell>
          <cell r="U32">
            <v>1456500</v>
          </cell>
          <cell r="Y32">
            <v>250000</v>
          </cell>
          <cell r="Z32">
            <v>1000000</v>
          </cell>
          <cell r="AA32" t="str">
            <v>BANQUE</v>
          </cell>
          <cell r="AE32">
            <v>15000</v>
          </cell>
          <cell r="AI32">
            <v>50000</v>
          </cell>
          <cell r="AK32">
            <v>200000</v>
          </cell>
          <cell r="AL32">
            <v>1000</v>
          </cell>
          <cell r="AN32">
            <v>7000</v>
          </cell>
          <cell r="AQ32">
            <v>0</v>
          </cell>
          <cell r="AR32">
            <v>0</v>
          </cell>
          <cell r="AS32">
            <v>25000</v>
          </cell>
          <cell r="AW32">
            <v>50000</v>
          </cell>
          <cell r="AX32">
            <v>0</v>
          </cell>
          <cell r="AY32">
            <v>1385000</v>
          </cell>
          <cell r="AZ32">
            <v>2405000</v>
          </cell>
          <cell r="BA32">
            <v>250000</v>
          </cell>
          <cell r="BC32">
            <v>0</v>
          </cell>
          <cell r="BD32">
            <v>2155000</v>
          </cell>
          <cell r="BF32">
            <v>30000</v>
          </cell>
          <cell r="BG32">
            <v>3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50000</v>
          </cell>
          <cell r="E33">
            <v>0</v>
          </cell>
          <cell r="F33">
            <v>0</v>
          </cell>
          <cell r="H33">
            <v>0</v>
          </cell>
          <cell r="I33" t="str">
            <v>BANQUE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2</v>
          </cell>
        </row>
        <row r="34">
          <cell r="A34" t="str">
            <v>AS201638</v>
          </cell>
          <cell r="B34" t="str">
            <v>SIMO PIERRE</v>
          </cell>
          <cell r="C34">
            <v>-30500</v>
          </cell>
          <cell r="D34">
            <v>0</v>
          </cell>
          <cell r="E34">
            <v>500000</v>
          </cell>
          <cell r="F34">
            <v>0</v>
          </cell>
          <cell r="H34">
            <v>0</v>
          </cell>
          <cell r="I34" t="str">
            <v>ESPECES</v>
          </cell>
          <cell r="O34">
            <v>0</v>
          </cell>
          <cell r="P34">
            <v>30500</v>
          </cell>
          <cell r="Q34">
            <v>0</v>
          </cell>
          <cell r="R34">
            <v>0</v>
          </cell>
          <cell r="S34">
            <v>500000</v>
          </cell>
          <cell r="T34" t="str">
            <v>BANQUE</v>
          </cell>
          <cell r="U34">
            <v>530500</v>
          </cell>
          <cell r="Y34">
            <v>0</v>
          </cell>
          <cell r="AI34">
            <v>30500</v>
          </cell>
          <cell r="AP34" t="str">
            <v>BANQUE</v>
          </cell>
          <cell r="AQ34">
            <v>0</v>
          </cell>
          <cell r="AR34">
            <v>0</v>
          </cell>
          <cell r="AS34">
            <v>-25000</v>
          </cell>
          <cell r="AW34">
            <v>30500</v>
          </cell>
          <cell r="AX34">
            <v>0</v>
          </cell>
          <cell r="AY34">
            <v>0</v>
          </cell>
          <cell r="AZ34">
            <v>30500</v>
          </cell>
          <cell r="BC34">
            <v>0</v>
          </cell>
          <cell r="BD34">
            <v>30500</v>
          </cell>
          <cell r="BF34">
            <v>0</v>
          </cell>
          <cell r="BG34">
            <v>2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202500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202500</v>
          </cell>
          <cell r="R35">
            <v>0</v>
          </cell>
          <cell r="U35">
            <v>327500</v>
          </cell>
          <cell r="Y35">
            <v>125000</v>
          </cell>
          <cell r="AI35">
            <v>50000</v>
          </cell>
          <cell r="AJ35">
            <v>100000</v>
          </cell>
          <cell r="AL35">
            <v>1000</v>
          </cell>
          <cell r="AM35">
            <v>1000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50000</v>
          </cell>
          <cell r="AX35">
            <v>100000</v>
          </cell>
          <cell r="AY35">
            <v>0</v>
          </cell>
          <cell r="AZ35">
            <v>150000</v>
          </cell>
          <cell r="BA35">
            <v>150000</v>
          </cell>
          <cell r="BC35">
            <v>0</v>
          </cell>
          <cell r="BD35">
            <v>0</v>
          </cell>
          <cell r="BF35">
            <v>0</v>
          </cell>
          <cell r="BG35">
            <v>2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K36">
            <v>100000</v>
          </cell>
          <cell r="AN36">
            <v>2500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100000</v>
          </cell>
          <cell r="AZ36">
            <v>100000</v>
          </cell>
          <cell r="BA36">
            <v>100000</v>
          </cell>
          <cell r="BC36">
            <v>0</v>
          </cell>
          <cell r="BD36">
            <v>0</v>
          </cell>
          <cell r="BF36">
            <v>0</v>
          </cell>
          <cell r="BG36">
            <v>2</v>
          </cell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2</v>
          </cell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22000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2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125000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U39">
            <v>125000</v>
          </cell>
          <cell r="Y39">
            <v>125000</v>
          </cell>
          <cell r="AI39">
            <v>50000</v>
          </cell>
          <cell r="AJ39">
            <v>100000</v>
          </cell>
          <cell r="AL39">
            <v>1000</v>
          </cell>
          <cell r="AM39">
            <v>1500</v>
          </cell>
          <cell r="AQ39">
            <v>0</v>
          </cell>
          <cell r="AR39">
            <v>0</v>
          </cell>
          <cell r="AS39">
            <v>25000</v>
          </cell>
          <cell r="AW39">
            <v>50000</v>
          </cell>
          <cell r="AX39">
            <v>100000</v>
          </cell>
          <cell r="AY39">
            <v>0</v>
          </cell>
          <cell r="AZ39">
            <v>150000</v>
          </cell>
          <cell r="BA39">
            <v>150000</v>
          </cell>
          <cell r="BC39">
            <v>0</v>
          </cell>
          <cell r="BD39">
            <v>0</v>
          </cell>
          <cell r="BF39">
            <v>0</v>
          </cell>
          <cell r="BG39">
            <v>2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2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253000</v>
          </cell>
          <cell r="Y41">
            <v>250000</v>
          </cell>
          <cell r="AE41">
            <v>15000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1185000</v>
          </cell>
          <cell r="AZ41">
            <v>1185000</v>
          </cell>
          <cell r="BA41">
            <v>500000</v>
          </cell>
          <cell r="BC41">
            <v>0</v>
          </cell>
          <cell r="BD41">
            <v>685000</v>
          </cell>
          <cell r="BF41">
            <v>0</v>
          </cell>
          <cell r="BG41">
            <v>2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2</v>
          </cell>
        </row>
        <row r="43">
          <cell r="B43" t="str">
            <v>LOWE</v>
          </cell>
          <cell r="E43">
            <v>50000</v>
          </cell>
        </row>
        <row r="44">
          <cell r="B44" t="str">
            <v>TOTAUX</v>
          </cell>
          <cell r="C44">
            <v>-4603500</v>
          </cell>
          <cell r="D44">
            <v>5455000</v>
          </cell>
          <cell r="E44">
            <v>2976000</v>
          </cell>
          <cell r="F44">
            <v>0</v>
          </cell>
          <cell r="G44">
            <v>132000</v>
          </cell>
          <cell r="H44">
            <v>21000</v>
          </cell>
          <cell r="I44">
            <v>0</v>
          </cell>
          <cell r="J44">
            <v>34</v>
          </cell>
          <cell r="K44">
            <v>1700000</v>
          </cell>
          <cell r="L44">
            <v>13</v>
          </cell>
          <cell r="M44">
            <v>975000</v>
          </cell>
          <cell r="N44">
            <v>23</v>
          </cell>
          <cell r="O44">
            <v>2300000</v>
          </cell>
          <cell r="P44">
            <v>89500</v>
          </cell>
          <cell r="Q44">
            <v>809000</v>
          </cell>
          <cell r="R44">
            <v>1093000</v>
          </cell>
          <cell r="S44">
            <v>5900000</v>
          </cell>
          <cell r="U44">
            <v>12969500</v>
          </cell>
          <cell r="V44">
            <v>0</v>
          </cell>
          <cell r="W44">
            <v>0</v>
          </cell>
          <cell r="X44">
            <v>0</v>
          </cell>
          <cell r="Y44">
            <v>4975000</v>
          </cell>
          <cell r="Z44">
            <v>4550000</v>
          </cell>
          <cell r="AA44">
            <v>0</v>
          </cell>
          <cell r="AC44">
            <v>0</v>
          </cell>
          <cell r="AD44">
            <v>7500</v>
          </cell>
          <cell r="AE44">
            <v>30000</v>
          </cell>
          <cell r="AF44">
            <v>0</v>
          </cell>
          <cell r="AG44">
            <v>0</v>
          </cell>
          <cell r="AI44">
            <v>739500</v>
          </cell>
          <cell r="AJ44">
            <v>800000</v>
          </cell>
          <cell r="AK44">
            <v>1159500</v>
          </cell>
          <cell r="AL44">
            <v>10000</v>
          </cell>
          <cell r="AM44">
            <v>9500</v>
          </cell>
          <cell r="AN44">
            <v>32500</v>
          </cell>
          <cell r="AO44">
            <v>0</v>
          </cell>
          <cell r="AQ44">
            <v>0</v>
          </cell>
          <cell r="AR44">
            <v>0</v>
          </cell>
          <cell r="AS44">
            <v>907000</v>
          </cell>
          <cell r="AT44">
            <v>0</v>
          </cell>
          <cell r="AU44">
            <v>0</v>
          </cell>
          <cell r="AV44">
            <v>0</v>
          </cell>
          <cell r="AW44">
            <v>739500</v>
          </cell>
          <cell r="AX44">
            <v>1692500</v>
          </cell>
          <cell r="AY44">
            <v>3529500</v>
          </cell>
          <cell r="AZ44">
            <v>10507000</v>
          </cell>
          <cell r="BA44">
            <v>2976000</v>
          </cell>
          <cell r="BB44">
            <v>0</v>
          </cell>
          <cell r="BC44">
            <v>0</v>
          </cell>
          <cell r="BD44">
            <v>7481000</v>
          </cell>
          <cell r="BE44">
            <v>0</v>
          </cell>
          <cell r="BF44">
            <v>125500</v>
          </cell>
          <cell r="BH44">
            <v>6000</v>
          </cell>
          <cell r="BI44">
            <v>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</sheetData>
      <sheetData sheetId="1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106000</v>
          </cell>
          <cell r="BC6">
            <v>0</v>
          </cell>
          <cell r="BD6">
            <v>106000</v>
          </cell>
          <cell r="BF6">
            <v>0</v>
          </cell>
          <cell r="BG6">
            <v>1</v>
          </cell>
          <cell r="BH6">
            <v>6000</v>
          </cell>
          <cell r="BI6">
            <v>0</v>
          </cell>
          <cell r="BJ6">
            <v>100000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1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500</v>
          </cell>
          <cell r="D8">
            <v>378000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50500</v>
          </cell>
          <cell r="Q8">
            <v>202000</v>
          </cell>
          <cell r="R8">
            <v>0</v>
          </cell>
          <cell r="U8">
            <v>377500</v>
          </cell>
          <cell r="Y8">
            <v>125000</v>
          </cell>
          <cell r="AP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C8">
            <v>0</v>
          </cell>
          <cell r="BD8">
            <v>0</v>
          </cell>
          <cell r="BF8">
            <v>0</v>
          </cell>
          <cell r="BG8">
            <v>1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100000</v>
          </cell>
          <cell r="E9">
            <v>404500</v>
          </cell>
          <cell r="F9">
            <v>0</v>
          </cell>
          <cell r="H9">
            <v>0</v>
          </cell>
          <cell r="I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50500</v>
          </cell>
          <cell r="Q9">
            <v>0</v>
          </cell>
          <cell r="R9">
            <v>204000</v>
          </cell>
          <cell r="U9">
            <v>504500</v>
          </cell>
          <cell r="Y9">
            <v>250000</v>
          </cell>
          <cell r="AK9">
            <v>200000</v>
          </cell>
          <cell r="AN9">
            <v>7000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A9">
            <v>200000</v>
          </cell>
          <cell r="BC9">
            <v>0</v>
          </cell>
          <cell r="BD9">
            <v>0</v>
          </cell>
          <cell r="BF9">
            <v>0</v>
          </cell>
          <cell r="BG9">
            <v>1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101000</v>
          </cell>
          <cell r="E10">
            <v>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51000</v>
          </cell>
          <cell r="Q10">
            <v>0</v>
          </cell>
          <cell r="R10">
            <v>0</v>
          </cell>
          <cell r="U10">
            <v>101000</v>
          </cell>
          <cell r="Y10">
            <v>50000</v>
          </cell>
          <cell r="AI10">
            <v>20000</v>
          </cell>
          <cell r="AL10">
            <v>500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20000</v>
          </cell>
          <cell r="AX10">
            <v>0</v>
          </cell>
          <cell r="AY10">
            <v>0</v>
          </cell>
          <cell r="AZ10">
            <v>20000</v>
          </cell>
          <cell r="BA10">
            <v>20000</v>
          </cell>
          <cell r="BC10">
            <v>0</v>
          </cell>
          <cell r="BD10">
            <v>0</v>
          </cell>
          <cell r="BF10">
            <v>0</v>
          </cell>
          <cell r="BG10">
            <v>1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-216000</v>
          </cell>
          <cell r="D11">
            <v>150000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50500</v>
          </cell>
          <cell r="Q11">
            <v>0</v>
          </cell>
          <cell r="R11">
            <v>165500</v>
          </cell>
          <cell r="U11">
            <v>366000</v>
          </cell>
          <cell r="Y11">
            <v>150000</v>
          </cell>
          <cell r="AI11">
            <v>50500</v>
          </cell>
          <cell r="AK11">
            <v>165500</v>
          </cell>
          <cell r="AL11">
            <v>1000</v>
          </cell>
          <cell r="AN11">
            <v>3000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50500</v>
          </cell>
          <cell r="AX11">
            <v>0</v>
          </cell>
          <cell r="AY11">
            <v>165500</v>
          </cell>
          <cell r="AZ11">
            <v>216000</v>
          </cell>
          <cell r="BC11">
            <v>0</v>
          </cell>
          <cell r="BD11">
            <v>0</v>
          </cell>
          <cell r="BF11">
            <v>0</v>
          </cell>
          <cell r="BG11">
            <v>1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600000</v>
          </cell>
          <cell r="E12">
            <v>0</v>
          </cell>
          <cell r="F12">
            <v>0</v>
          </cell>
          <cell r="G12">
            <v>200000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S12">
            <v>150000</v>
          </cell>
          <cell r="T12" t="str">
            <v>BANQUE</v>
          </cell>
          <cell r="U12">
            <v>600000</v>
          </cell>
          <cell r="Y12">
            <v>250000</v>
          </cell>
          <cell r="AK12">
            <v>100000</v>
          </cell>
          <cell r="AN12">
            <v>1500</v>
          </cell>
          <cell r="AP12" t="str">
            <v>BANQUE</v>
          </cell>
          <cell r="AQ12">
            <v>0</v>
          </cell>
          <cell r="AR12">
            <v>0</v>
          </cell>
          <cell r="AS12">
            <v>225000</v>
          </cell>
          <cell r="AW12">
            <v>0</v>
          </cell>
          <cell r="AX12">
            <v>0</v>
          </cell>
          <cell r="AY12">
            <v>100000</v>
          </cell>
          <cell r="AZ12">
            <v>101500</v>
          </cell>
          <cell r="BC12">
            <v>0</v>
          </cell>
          <cell r="BD12">
            <v>101500</v>
          </cell>
          <cell r="BF12">
            <v>0</v>
          </cell>
          <cell r="BG12">
            <v>1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1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C14">
            <v>2500</v>
          </cell>
          <cell r="AQ14">
            <v>0</v>
          </cell>
          <cell r="AR14">
            <v>0</v>
          </cell>
          <cell r="AS14">
            <v>25000</v>
          </cell>
          <cell r="AW14">
            <v>297500</v>
          </cell>
          <cell r="AX14">
            <v>0</v>
          </cell>
          <cell r="AY14">
            <v>0</v>
          </cell>
          <cell r="AZ14">
            <v>297500</v>
          </cell>
          <cell r="BA14">
            <v>197500</v>
          </cell>
          <cell r="BC14">
            <v>0</v>
          </cell>
          <cell r="BD14">
            <v>0</v>
          </cell>
          <cell r="BF14">
            <v>0</v>
          </cell>
          <cell r="BG14">
            <v>1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150000</v>
          </cell>
          <cell r="Y15">
            <v>150000</v>
          </cell>
          <cell r="AK15">
            <v>200000</v>
          </cell>
          <cell r="AN15">
            <v>3000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200000</v>
          </cell>
          <cell r="AZ15">
            <v>200000</v>
          </cell>
          <cell r="BC15">
            <v>0</v>
          </cell>
          <cell r="BD15">
            <v>200000</v>
          </cell>
          <cell r="BF15">
            <v>0</v>
          </cell>
          <cell r="BG15">
            <v>1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1</v>
          </cell>
        </row>
        <row r="17">
          <cell r="A17" t="str">
            <v>AS201613</v>
          </cell>
          <cell r="B17" t="str">
            <v>HOTCHO BENJAMIN</v>
          </cell>
          <cell r="C17">
            <v>-345500</v>
          </cell>
          <cell r="D17">
            <v>395500</v>
          </cell>
          <cell r="E17">
            <v>50500</v>
          </cell>
          <cell r="F17">
            <v>0</v>
          </cell>
          <cell r="G17">
            <v>15000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50500</v>
          </cell>
          <cell r="Q17">
            <v>101000</v>
          </cell>
          <cell r="R17">
            <v>0</v>
          </cell>
          <cell r="S17">
            <v>400000</v>
          </cell>
          <cell r="T17" t="str">
            <v>BANQUE</v>
          </cell>
          <cell r="U17">
            <v>791500</v>
          </cell>
          <cell r="Y17">
            <v>225000</v>
          </cell>
          <cell r="Z17">
            <v>400000</v>
          </cell>
          <cell r="AA17" t="str">
            <v>BANQUE</v>
          </cell>
          <cell r="AK17">
            <v>200000</v>
          </cell>
          <cell r="AN17">
            <v>3000</v>
          </cell>
          <cell r="AP17" t="str">
            <v>BANQUE</v>
          </cell>
          <cell r="AQ17">
            <v>0</v>
          </cell>
          <cell r="AR17">
            <v>0</v>
          </cell>
          <cell r="AS17">
            <v>40000</v>
          </cell>
          <cell r="AW17">
            <v>0</v>
          </cell>
          <cell r="AX17">
            <v>0</v>
          </cell>
          <cell r="AY17">
            <v>200000</v>
          </cell>
          <cell r="AZ17">
            <v>596000</v>
          </cell>
          <cell r="BC17">
            <v>0</v>
          </cell>
          <cell r="BD17">
            <v>600000</v>
          </cell>
          <cell r="BF17">
            <v>4000</v>
          </cell>
          <cell r="BG17">
            <v>1</v>
          </cell>
          <cell r="BO17" t="str">
            <v>S/TOTAL</v>
          </cell>
          <cell r="BQ17">
            <v>6000</v>
          </cell>
        </row>
        <row r="18">
          <cell r="A18" t="str">
            <v>AS201617</v>
          </cell>
          <cell r="B18" t="str">
            <v>KOUAMOU MOISE</v>
          </cell>
          <cell r="C18">
            <v>-153500</v>
          </cell>
          <cell r="D18">
            <v>0</v>
          </cell>
          <cell r="E18">
            <v>150000</v>
          </cell>
          <cell r="F18">
            <v>0</v>
          </cell>
          <cell r="G18">
            <v>-3000</v>
          </cell>
          <cell r="H18">
            <v>3000</v>
          </cell>
          <cell r="I18" t="str">
            <v>ESPECES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51000</v>
          </cell>
          <cell r="Q18">
            <v>0</v>
          </cell>
          <cell r="R18">
            <v>102500</v>
          </cell>
          <cell r="U18">
            <v>303500</v>
          </cell>
          <cell r="Y18">
            <v>150000</v>
          </cell>
          <cell r="AI18">
            <v>51000</v>
          </cell>
          <cell r="AK18">
            <v>207500</v>
          </cell>
          <cell r="AL18">
            <v>2000</v>
          </cell>
          <cell r="AN18">
            <v>3000</v>
          </cell>
          <cell r="AP18" t="str">
            <v>BANQUE</v>
          </cell>
          <cell r="AQ18">
            <v>0</v>
          </cell>
          <cell r="AR18">
            <v>0</v>
          </cell>
          <cell r="AS18">
            <v>22000</v>
          </cell>
          <cell r="AW18">
            <v>51000</v>
          </cell>
          <cell r="AX18">
            <v>0</v>
          </cell>
          <cell r="AY18">
            <v>207500</v>
          </cell>
          <cell r="AZ18">
            <v>358500</v>
          </cell>
          <cell r="BA18">
            <v>100000</v>
          </cell>
          <cell r="BC18">
            <v>0</v>
          </cell>
          <cell r="BD18">
            <v>100000</v>
          </cell>
          <cell r="BF18">
            <v>0</v>
          </cell>
          <cell r="BG18">
            <v>1</v>
          </cell>
          <cell r="BK18">
            <v>100000</v>
          </cell>
        </row>
        <row r="19">
          <cell r="A19" t="str">
            <v>AS201619</v>
          </cell>
          <cell r="B19" t="str">
            <v>KOUATCHO MESSACK</v>
          </cell>
          <cell r="C19">
            <v>103000</v>
          </cell>
          <cell r="D19">
            <v>335000</v>
          </cell>
          <cell r="E19">
            <v>0</v>
          </cell>
          <cell r="F19">
            <v>0</v>
          </cell>
          <cell r="G19">
            <v>7000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0</v>
          </cell>
          <cell r="U19">
            <v>232000</v>
          </cell>
          <cell r="Y19">
            <v>225000</v>
          </cell>
          <cell r="AK19">
            <v>200000</v>
          </cell>
          <cell r="AN19">
            <v>8000</v>
          </cell>
          <cell r="AP19" t="str">
            <v>BANQUE</v>
          </cell>
          <cell r="AQ19">
            <v>0</v>
          </cell>
          <cell r="AR19">
            <v>0</v>
          </cell>
          <cell r="AS19">
            <v>32000</v>
          </cell>
          <cell r="AW19">
            <v>0</v>
          </cell>
          <cell r="AX19">
            <v>0</v>
          </cell>
          <cell r="AY19">
            <v>200000</v>
          </cell>
          <cell r="AZ19">
            <v>200000</v>
          </cell>
          <cell r="BA19">
            <v>100000</v>
          </cell>
          <cell r="BC19">
            <v>0</v>
          </cell>
          <cell r="BD19">
            <v>100000</v>
          </cell>
          <cell r="BF19">
            <v>0</v>
          </cell>
          <cell r="BG19">
            <v>1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-51000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51000</v>
          </cell>
          <cell r="Q21">
            <v>0</v>
          </cell>
          <cell r="R21">
            <v>0</v>
          </cell>
          <cell r="U21">
            <v>101000</v>
          </cell>
          <cell r="Y21">
            <v>50000</v>
          </cell>
          <cell r="AI21">
            <v>51000</v>
          </cell>
          <cell r="AL21">
            <v>2000</v>
          </cell>
          <cell r="AP21" t="str">
            <v>BANQUE</v>
          </cell>
          <cell r="AQ21">
            <v>0</v>
          </cell>
          <cell r="AR21">
            <v>0</v>
          </cell>
          <cell r="AS21">
            <v>25000</v>
          </cell>
          <cell r="AW21">
            <v>51000</v>
          </cell>
          <cell r="AX21">
            <v>0</v>
          </cell>
          <cell r="AY21">
            <v>0</v>
          </cell>
          <cell r="AZ21">
            <v>51000</v>
          </cell>
          <cell r="BC21">
            <v>0</v>
          </cell>
          <cell r="BD21">
            <v>0</v>
          </cell>
          <cell r="BF21">
            <v>0</v>
          </cell>
          <cell r="BG21">
            <v>1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0</v>
          </cell>
          <cell r="D22">
            <v>784400</v>
          </cell>
          <cell r="E22">
            <v>0</v>
          </cell>
          <cell r="F22">
            <v>0</v>
          </cell>
          <cell r="G22">
            <v>400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51000</v>
          </cell>
          <cell r="Q22">
            <v>202500</v>
          </cell>
          <cell r="R22">
            <v>205500</v>
          </cell>
          <cell r="U22">
            <v>784400</v>
          </cell>
          <cell r="Y22">
            <v>325000</v>
          </cell>
          <cell r="AK22">
            <v>144000</v>
          </cell>
          <cell r="AN22">
            <v>2000</v>
          </cell>
          <cell r="AP22" t="str">
            <v>BANQUE</v>
          </cell>
          <cell r="AQ22">
            <v>0</v>
          </cell>
          <cell r="AR22">
            <v>0</v>
          </cell>
          <cell r="AS22">
            <v>25400</v>
          </cell>
          <cell r="AW22">
            <v>0</v>
          </cell>
          <cell r="AX22">
            <v>0</v>
          </cell>
          <cell r="AY22">
            <v>144000</v>
          </cell>
          <cell r="AZ22">
            <v>144000</v>
          </cell>
          <cell r="BA22">
            <v>44000</v>
          </cell>
          <cell r="BC22">
            <v>0</v>
          </cell>
          <cell r="BD22">
            <v>100000</v>
          </cell>
          <cell r="BF22">
            <v>0</v>
          </cell>
          <cell r="BG22">
            <v>1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1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C24">
            <v>2500</v>
          </cell>
          <cell r="AQ24">
            <v>0</v>
          </cell>
          <cell r="AR24">
            <v>0</v>
          </cell>
          <cell r="AS24">
            <v>25000</v>
          </cell>
          <cell r="AW24">
            <v>297500</v>
          </cell>
          <cell r="AX24">
            <v>0</v>
          </cell>
          <cell r="AY24">
            <v>0</v>
          </cell>
          <cell r="AZ24">
            <v>297500</v>
          </cell>
          <cell r="BA24">
            <v>297500</v>
          </cell>
          <cell r="BC24">
            <v>0</v>
          </cell>
          <cell r="BD24">
            <v>0</v>
          </cell>
          <cell r="BF24">
            <v>0</v>
          </cell>
          <cell r="BG24">
            <v>1</v>
          </cell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362500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102500</v>
          </cell>
          <cell r="U25">
            <v>362500</v>
          </cell>
          <cell r="Y25">
            <v>250000</v>
          </cell>
          <cell r="AE25">
            <v>10000</v>
          </cell>
          <cell r="AK25">
            <v>200000</v>
          </cell>
          <cell r="AN25">
            <v>3000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1390000</v>
          </cell>
          <cell r="AZ25">
            <v>1390000</v>
          </cell>
          <cell r="BC25">
            <v>0</v>
          </cell>
          <cell r="BD25">
            <v>1390000</v>
          </cell>
          <cell r="BF25">
            <v>0</v>
          </cell>
          <cell r="BG25">
            <v>1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101500</v>
          </cell>
          <cell r="R26">
            <v>0</v>
          </cell>
          <cell r="U26">
            <v>341500</v>
          </cell>
          <cell r="Y26">
            <v>225000</v>
          </cell>
          <cell r="AJ26">
            <v>101500</v>
          </cell>
          <cell r="AK26">
            <v>200000</v>
          </cell>
          <cell r="AM26">
            <v>3000</v>
          </cell>
          <cell r="AN26">
            <v>3000</v>
          </cell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101500</v>
          </cell>
          <cell r="AY26">
            <v>200000</v>
          </cell>
          <cell r="AZ26">
            <v>301500</v>
          </cell>
          <cell r="BA26">
            <v>12000</v>
          </cell>
          <cell r="BC26">
            <v>0</v>
          </cell>
          <cell r="BD26">
            <v>200000</v>
          </cell>
          <cell r="BF26">
            <v>0</v>
          </cell>
          <cell r="BG26">
            <v>1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410500</v>
          </cell>
          <cell r="E27">
            <v>0</v>
          </cell>
          <cell r="F27">
            <v>0</v>
          </cell>
          <cell r="G27">
            <v>7500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50500</v>
          </cell>
          <cell r="Q27">
            <v>0</v>
          </cell>
          <cell r="R27">
            <v>102500</v>
          </cell>
          <cell r="U27">
            <v>410500</v>
          </cell>
          <cell r="Y27">
            <v>250000</v>
          </cell>
          <cell r="AK27">
            <v>200000</v>
          </cell>
          <cell r="AN27">
            <v>6500</v>
          </cell>
          <cell r="AP27" t="str">
            <v>BANQUE</v>
          </cell>
          <cell r="AQ27">
            <v>0</v>
          </cell>
          <cell r="AR27">
            <v>0</v>
          </cell>
          <cell r="AS27">
            <v>32500</v>
          </cell>
          <cell r="AW27">
            <v>0</v>
          </cell>
          <cell r="AX27">
            <v>0</v>
          </cell>
          <cell r="AY27">
            <v>200000</v>
          </cell>
          <cell r="AZ27">
            <v>200000</v>
          </cell>
          <cell r="BC27">
            <v>0</v>
          </cell>
          <cell r="BD27">
            <v>200000</v>
          </cell>
          <cell r="BF27">
            <v>0</v>
          </cell>
          <cell r="BG27">
            <v>1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1000</v>
          </cell>
          <cell r="D28">
            <v>100500</v>
          </cell>
          <cell r="E28">
            <v>0</v>
          </cell>
          <cell r="F28">
            <v>0</v>
          </cell>
          <cell r="G28">
            <v>-1000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50500</v>
          </cell>
          <cell r="Q28">
            <v>0</v>
          </cell>
          <cell r="R28">
            <v>0</v>
          </cell>
          <cell r="U28">
            <v>99500</v>
          </cell>
          <cell r="Y28">
            <v>50000</v>
          </cell>
          <cell r="AI28">
            <v>50500</v>
          </cell>
          <cell r="AL28">
            <v>1000</v>
          </cell>
          <cell r="AP28" t="str">
            <v>BANQUE</v>
          </cell>
          <cell r="AQ28">
            <v>0</v>
          </cell>
          <cell r="AR28">
            <v>0</v>
          </cell>
          <cell r="AS28">
            <v>24000</v>
          </cell>
          <cell r="AW28">
            <v>50500</v>
          </cell>
          <cell r="AX28">
            <v>0</v>
          </cell>
          <cell r="AY28">
            <v>0</v>
          </cell>
          <cell r="AZ28">
            <v>50500</v>
          </cell>
          <cell r="BC28">
            <v>0</v>
          </cell>
          <cell r="BD28">
            <v>51000</v>
          </cell>
          <cell r="BF28">
            <v>0</v>
          </cell>
          <cell r="BG28">
            <v>1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150000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150000</v>
          </cell>
          <cell r="T29" t="str">
            <v>BANQUE</v>
          </cell>
          <cell r="U29">
            <v>200000</v>
          </cell>
          <cell r="Y29">
            <v>50000</v>
          </cell>
          <cell r="Z29">
            <v>250000</v>
          </cell>
          <cell r="AA29" t="str">
            <v>BANQUE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247500</v>
          </cell>
          <cell r="BC29">
            <v>0</v>
          </cell>
          <cell r="BD29">
            <v>347500</v>
          </cell>
          <cell r="BF29">
            <v>2500</v>
          </cell>
          <cell r="BG29">
            <v>1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1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U31">
            <v>109000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C31">
            <v>0</v>
          </cell>
          <cell r="BD31">
            <v>59000</v>
          </cell>
          <cell r="BF31">
            <v>0</v>
          </cell>
          <cell r="BG31">
            <v>1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508000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51000</v>
          </cell>
          <cell r="Q32">
            <v>0</v>
          </cell>
          <cell r="R32">
            <v>207000</v>
          </cell>
          <cell r="U32">
            <v>508000</v>
          </cell>
          <cell r="Y32">
            <v>250000</v>
          </cell>
          <cell r="AK32">
            <v>200000</v>
          </cell>
          <cell r="AN32">
            <v>3000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200000</v>
          </cell>
          <cell r="AZ32">
            <v>200000</v>
          </cell>
          <cell r="BC32">
            <v>0</v>
          </cell>
          <cell r="BD32">
            <v>200000</v>
          </cell>
          <cell r="BF32">
            <v>0</v>
          </cell>
          <cell r="BG32">
            <v>1</v>
          </cell>
          <cell r="BO32" t="str">
            <v xml:space="preserve">DECES </v>
          </cell>
          <cell r="BP32" t="str">
            <v>MUTUELLE</v>
          </cell>
          <cell r="BQ32">
            <v>100000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0</v>
          </cell>
          <cell r="E33">
            <v>50000</v>
          </cell>
          <cell r="F33">
            <v>0</v>
          </cell>
          <cell r="G33">
            <v>-3000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22000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1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>
            <v>0</v>
          </cell>
          <cell r="I34" t="str">
            <v>ECHEC</v>
          </cell>
          <cell r="J34">
            <v>1</v>
          </cell>
          <cell r="K34">
            <v>0</v>
          </cell>
          <cell r="M34">
            <v>0</v>
          </cell>
          <cell r="N34">
            <v>1</v>
          </cell>
          <cell r="O34">
            <v>0</v>
          </cell>
          <cell r="P34">
            <v>30500</v>
          </cell>
          <cell r="Q34">
            <v>0</v>
          </cell>
          <cell r="R34">
            <v>0</v>
          </cell>
          <cell r="U34">
            <v>30500</v>
          </cell>
          <cell r="Y34">
            <v>0</v>
          </cell>
          <cell r="AI34">
            <v>30500</v>
          </cell>
          <cell r="AP34" t="str">
            <v>BANQUE</v>
          </cell>
          <cell r="AQ34">
            <v>0</v>
          </cell>
          <cell r="AR34">
            <v>0</v>
          </cell>
          <cell r="AS34">
            <v>0</v>
          </cell>
          <cell r="AW34">
            <v>30500</v>
          </cell>
          <cell r="AX34">
            <v>0</v>
          </cell>
          <cell r="AY34">
            <v>0</v>
          </cell>
          <cell r="AZ34">
            <v>30500</v>
          </cell>
          <cell r="BC34">
            <v>0</v>
          </cell>
          <cell r="BD34">
            <v>30500</v>
          </cell>
          <cell r="BF34">
            <v>0</v>
          </cell>
          <cell r="BG34">
            <v>1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277000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51000</v>
          </cell>
          <cell r="Q35">
            <v>101000</v>
          </cell>
          <cell r="R35">
            <v>0</v>
          </cell>
          <cell r="U35">
            <v>277000</v>
          </cell>
          <cell r="Y35">
            <v>125000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C35">
            <v>0</v>
          </cell>
          <cell r="BD35">
            <v>-200000</v>
          </cell>
          <cell r="BF35">
            <v>0</v>
          </cell>
          <cell r="BG35">
            <v>1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102500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102500</v>
          </cell>
          <cell r="U36">
            <v>252500</v>
          </cell>
          <cell r="Y36">
            <v>150000</v>
          </cell>
          <cell r="AK36">
            <v>100000</v>
          </cell>
          <cell r="AN36">
            <v>3500</v>
          </cell>
          <cell r="AP36" t="str">
            <v>BANQUE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100000</v>
          </cell>
          <cell r="AZ36">
            <v>100000</v>
          </cell>
          <cell r="BA36">
            <v>100000</v>
          </cell>
          <cell r="BC36">
            <v>0</v>
          </cell>
          <cell r="BD36">
            <v>0</v>
          </cell>
          <cell r="BF36">
            <v>0</v>
          </cell>
          <cell r="BG36">
            <v>1</v>
          </cell>
          <cell r="BO36" t="str">
            <v>S/TOTAL</v>
          </cell>
          <cell r="BQ36">
            <v>100000</v>
          </cell>
        </row>
        <row r="37">
          <cell r="A37" t="str">
            <v>AS201643</v>
          </cell>
          <cell r="B37" t="str">
            <v>TCHOUTOU NANA CLAUDE</v>
          </cell>
          <cell r="C37">
            <v>-217500</v>
          </cell>
          <cell r="D37">
            <v>50000</v>
          </cell>
          <cell r="E37">
            <v>0</v>
          </cell>
          <cell r="F37">
            <v>0</v>
          </cell>
          <cell r="G37">
            <v>217500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267500</v>
          </cell>
          <cell r="Y37">
            <v>50000</v>
          </cell>
          <cell r="AC37">
            <v>2500</v>
          </cell>
          <cell r="AQ37">
            <v>0</v>
          </cell>
          <cell r="AR37">
            <v>0</v>
          </cell>
          <cell r="AS37">
            <v>242500</v>
          </cell>
          <cell r="AW37">
            <v>297500</v>
          </cell>
          <cell r="AX37">
            <v>0</v>
          </cell>
          <cell r="AY37">
            <v>0</v>
          </cell>
          <cell r="AZ37">
            <v>297500</v>
          </cell>
          <cell r="BA37">
            <v>80000</v>
          </cell>
          <cell r="BC37">
            <v>0</v>
          </cell>
          <cell r="BD37">
            <v>0</v>
          </cell>
          <cell r="BF37">
            <v>0</v>
          </cell>
          <cell r="BG37">
            <v>1</v>
          </cell>
          <cell r="BO37" t="str">
            <v>S/TOTAL</v>
          </cell>
          <cell r="BQ37">
            <v>100000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22000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1</v>
          </cell>
        </row>
        <row r="39">
          <cell r="A39" t="str">
            <v>AS201658</v>
          </cell>
          <cell r="B39" t="str">
            <v>YANTCHOU GERVAIS</v>
          </cell>
          <cell r="C39">
            <v>-892500</v>
          </cell>
          <cell r="D39">
            <v>125000</v>
          </cell>
          <cell r="E39">
            <v>152500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51000</v>
          </cell>
          <cell r="Q39">
            <v>101500</v>
          </cell>
          <cell r="R39">
            <v>0</v>
          </cell>
          <cell r="S39">
            <v>892500</v>
          </cell>
          <cell r="T39" t="str">
            <v>BANQUE</v>
          </cell>
          <cell r="U39">
            <v>1170000</v>
          </cell>
          <cell r="Y39">
            <v>125000</v>
          </cell>
          <cell r="AD39">
            <v>7500</v>
          </cell>
          <cell r="AP39" t="str">
            <v>BANQUE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892500</v>
          </cell>
          <cell r="AY39">
            <v>0</v>
          </cell>
          <cell r="AZ39">
            <v>892500</v>
          </cell>
          <cell r="BC39">
            <v>0</v>
          </cell>
          <cell r="BD39">
            <v>-5000</v>
          </cell>
          <cell r="BF39">
            <v>0</v>
          </cell>
          <cell r="BG39">
            <v>1</v>
          </cell>
        </row>
        <row r="40">
          <cell r="A40" t="str">
            <v>AS201646</v>
          </cell>
          <cell r="B40" t="str">
            <v>YEPMOU JEAN JACQUES</v>
          </cell>
          <cell r="C40">
            <v>3000</v>
          </cell>
          <cell r="D40">
            <v>50000</v>
          </cell>
          <cell r="E40">
            <v>0</v>
          </cell>
          <cell r="F40">
            <v>0</v>
          </cell>
          <cell r="G40">
            <v>-3000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47000</v>
          </cell>
          <cell r="Y40">
            <v>50000</v>
          </cell>
          <cell r="AC40">
            <v>2500</v>
          </cell>
          <cell r="AQ40">
            <v>0</v>
          </cell>
          <cell r="AR40">
            <v>0</v>
          </cell>
          <cell r="AS40">
            <v>22000</v>
          </cell>
          <cell r="AW40">
            <v>297500</v>
          </cell>
          <cell r="AX40">
            <v>0</v>
          </cell>
          <cell r="AY40">
            <v>0</v>
          </cell>
          <cell r="AZ40">
            <v>297500</v>
          </cell>
          <cell r="BA40">
            <v>262500</v>
          </cell>
          <cell r="BC40">
            <v>0</v>
          </cell>
          <cell r="BD40">
            <v>35000</v>
          </cell>
          <cell r="BF40">
            <v>0</v>
          </cell>
          <cell r="BG40">
            <v>1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253000</v>
          </cell>
          <cell r="Y41">
            <v>250000</v>
          </cell>
          <cell r="AK41">
            <v>200000</v>
          </cell>
          <cell r="AN41">
            <v>3000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200000</v>
          </cell>
          <cell r="AZ41">
            <v>200000</v>
          </cell>
          <cell r="BC41">
            <v>0</v>
          </cell>
          <cell r="BD41">
            <v>200000</v>
          </cell>
          <cell r="BF41">
            <v>0</v>
          </cell>
          <cell r="BG41">
            <v>1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C42">
            <v>2500</v>
          </cell>
          <cell r="AD42">
            <v>7500</v>
          </cell>
          <cell r="AE42">
            <v>10000</v>
          </cell>
          <cell r="AQ42">
            <v>0</v>
          </cell>
          <cell r="AR42">
            <v>0</v>
          </cell>
          <cell r="AS42">
            <v>25000</v>
          </cell>
          <cell r="AW42">
            <v>297500</v>
          </cell>
          <cell r="AX42">
            <v>892500</v>
          </cell>
          <cell r="AY42">
            <v>1190000</v>
          </cell>
          <cell r="AZ42">
            <v>2380000</v>
          </cell>
          <cell r="BC42">
            <v>0</v>
          </cell>
          <cell r="BD42">
            <v>2380000</v>
          </cell>
          <cell r="BF42">
            <v>0</v>
          </cell>
          <cell r="BG42">
            <v>1</v>
          </cell>
        </row>
        <row r="44">
          <cell r="B44" t="str">
            <v>TOTAUX</v>
          </cell>
          <cell r="C44">
            <v>-1827500</v>
          </cell>
          <cell r="D44">
            <v>6417400</v>
          </cell>
          <cell r="E44">
            <v>1413000</v>
          </cell>
          <cell r="F44">
            <v>0</v>
          </cell>
          <cell r="G44">
            <v>459400</v>
          </cell>
          <cell r="H44">
            <v>12000</v>
          </cell>
          <cell r="I44">
            <v>0</v>
          </cell>
          <cell r="J44">
            <v>35</v>
          </cell>
          <cell r="K44">
            <v>1700000</v>
          </cell>
          <cell r="L44">
            <v>13</v>
          </cell>
          <cell r="M44">
            <v>975000</v>
          </cell>
          <cell r="N44">
            <v>24</v>
          </cell>
          <cell r="O44">
            <v>2300000</v>
          </cell>
          <cell r="P44">
            <v>749500</v>
          </cell>
          <cell r="Q44">
            <v>809500</v>
          </cell>
          <cell r="R44">
            <v>1192000</v>
          </cell>
          <cell r="S44">
            <v>1592500</v>
          </cell>
          <cell r="U44">
            <v>9789900</v>
          </cell>
          <cell r="V44">
            <v>0</v>
          </cell>
          <cell r="W44">
            <v>0</v>
          </cell>
          <cell r="X44">
            <v>0</v>
          </cell>
          <cell r="Y44">
            <v>4975000</v>
          </cell>
          <cell r="Z44">
            <v>650000</v>
          </cell>
          <cell r="AA44">
            <v>0</v>
          </cell>
          <cell r="AC44">
            <v>12500</v>
          </cell>
          <cell r="AD44">
            <v>15000</v>
          </cell>
          <cell r="AE44">
            <v>20000</v>
          </cell>
          <cell r="AF44">
            <v>0</v>
          </cell>
          <cell r="AG44">
            <v>0</v>
          </cell>
          <cell r="AI44">
            <v>312500</v>
          </cell>
          <cell r="AJ44">
            <v>101500</v>
          </cell>
          <cell r="AK44">
            <v>2517000</v>
          </cell>
          <cell r="AL44">
            <v>6500</v>
          </cell>
          <cell r="AM44">
            <v>3000</v>
          </cell>
          <cell r="AN44">
            <v>52500</v>
          </cell>
          <cell r="AO44">
            <v>0</v>
          </cell>
          <cell r="AQ44">
            <v>0</v>
          </cell>
          <cell r="AR44">
            <v>0</v>
          </cell>
          <cell r="AS44">
            <v>1309400</v>
          </cell>
          <cell r="AT44">
            <v>0</v>
          </cell>
          <cell r="AU44">
            <v>0</v>
          </cell>
          <cell r="AV44">
            <v>0</v>
          </cell>
          <cell r="AW44">
            <v>1800000</v>
          </cell>
          <cell r="AX44">
            <v>1886500</v>
          </cell>
          <cell r="AY44">
            <v>4897000</v>
          </cell>
          <cell r="AZ44">
            <v>9434500</v>
          </cell>
          <cell r="BA44">
            <v>1413500</v>
          </cell>
          <cell r="BB44">
            <v>0</v>
          </cell>
          <cell r="BC44">
            <v>0</v>
          </cell>
          <cell r="BD44">
            <v>6195500</v>
          </cell>
          <cell r="BE44">
            <v>0</v>
          </cell>
          <cell r="BF44">
            <v>6500</v>
          </cell>
          <cell r="BH44">
            <v>6000</v>
          </cell>
          <cell r="BI44">
            <v>0</v>
          </cell>
          <cell r="BJ44">
            <v>100000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</sheetData>
      <sheetData sheetId="16">
        <row r="6">
          <cell r="A6" t="str">
            <v>AS201648</v>
          </cell>
          <cell r="B6" t="str">
            <v>ASELBY</v>
          </cell>
          <cell r="C6">
            <v>80000</v>
          </cell>
          <cell r="D6">
            <v>250000</v>
          </cell>
          <cell r="E6">
            <v>80000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D6">
            <v>7500</v>
          </cell>
          <cell r="AQ6">
            <v>0</v>
          </cell>
          <cell r="AR6">
            <v>0</v>
          </cell>
          <cell r="AW6">
            <v>0</v>
          </cell>
          <cell r="AX6">
            <v>892500</v>
          </cell>
          <cell r="AY6">
            <v>0</v>
          </cell>
          <cell r="AZ6">
            <v>944500</v>
          </cell>
          <cell r="BA6">
            <v>46000</v>
          </cell>
          <cell r="BC6">
            <v>0</v>
          </cell>
          <cell r="BD6">
            <v>898500</v>
          </cell>
          <cell r="BF6">
            <v>0</v>
          </cell>
          <cell r="BG6">
            <v>1</v>
          </cell>
          <cell r="BH6">
            <v>52000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1050000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1000000</v>
          </cell>
          <cell r="T7" t="str">
            <v>ESPECES</v>
          </cell>
          <cell r="U7">
            <v>1050000</v>
          </cell>
          <cell r="Y7">
            <v>50000</v>
          </cell>
          <cell r="Z7">
            <v>1000000</v>
          </cell>
          <cell r="AA7" t="str">
            <v>BANQUE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980000</v>
          </cell>
          <cell r="BA7">
            <v>980000</v>
          </cell>
          <cell r="BC7">
            <v>0</v>
          </cell>
          <cell r="BD7">
            <v>0</v>
          </cell>
          <cell r="BF7">
            <v>20000</v>
          </cell>
          <cell r="BG7">
            <v>2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500000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T8" t="str">
            <v>ESPECES</v>
          </cell>
          <cell r="U8">
            <v>625000</v>
          </cell>
          <cell r="Y8">
            <v>125000</v>
          </cell>
          <cell r="Z8">
            <v>500000</v>
          </cell>
          <cell r="AA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490000</v>
          </cell>
          <cell r="BA8">
            <v>490000</v>
          </cell>
          <cell r="BC8">
            <v>0</v>
          </cell>
          <cell r="BD8">
            <v>0</v>
          </cell>
          <cell r="BF8">
            <v>10000</v>
          </cell>
          <cell r="BG8">
            <v>2</v>
          </cell>
          <cell r="BO8" t="str">
            <v>COMMISSION</v>
          </cell>
          <cell r="BP8" t="str">
            <v>FONDS DE ROULEMENT</v>
          </cell>
          <cell r="BQ8">
            <v>46000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1457000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207000</v>
          </cell>
          <cell r="S9">
            <v>1000000</v>
          </cell>
          <cell r="T9" t="str">
            <v>ESPECES</v>
          </cell>
          <cell r="U9">
            <v>1457000</v>
          </cell>
          <cell r="Y9">
            <v>250000</v>
          </cell>
          <cell r="Z9">
            <v>1000000</v>
          </cell>
          <cell r="AA9" t="str">
            <v>BANQUE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880000</v>
          </cell>
          <cell r="BA9">
            <v>880000</v>
          </cell>
          <cell r="BC9">
            <v>0</v>
          </cell>
          <cell r="BD9">
            <v>0</v>
          </cell>
          <cell r="BF9">
            <v>120000</v>
          </cell>
          <cell r="BG9">
            <v>12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70000</v>
          </cell>
          <cell r="E10">
            <v>1000500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20500</v>
          </cell>
          <cell r="Q10">
            <v>0</v>
          </cell>
          <cell r="R10">
            <v>0</v>
          </cell>
          <cell r="S10">
            <v>1000000</v>
          </cell>
          <cell r="T10" t="str">
            <v>ESPECES</v>
          </cell>
          <cell r="U10">
            <v>1070500</v>
          </cell>
          <cell r="Y10">
            <v>50000</v>
          </cell>
          <cell r="Z10">
            <v>1000000</v>
          </cell>
          <cell r="AA10" t="str">
            <v>BANQUE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0</v>
          </cell>
          <cell r="AX10">
            <v>0</v>
          </cell>
          <cell r="AY10">
            <v>0</v>
          </cell>
          <cell r="AZ10">
            <v>880000</v>
          </cell>
          <cell r="BA10">
            <v>880000</v>
          </cell>
          <cell r="BC10">
            <v>0</v>
          </cell>
          <cell r="BD10">
            <v>0</v>
          </cell>
          <cell r="BF10">
            <v>120000</v>
          </cell>
          <cell r="BG10">
            <v>12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0</v>
          </cell>
          <cell r="E11">
            <v>1101500</v>
          </cell>
          <cell r="F11">
            <v>268500</v>
          </cell>
          <cell r="H11">
            <v>0</v>
          </cell>
          <cell r="I11" t="str">
            <v>ESPECES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51500</v>
          </cell>
          <cell r="Q11">
            <v>0</v>
          </cell>
          <cell r="R11">
            <v>168500</v>
          </cell>
          <cell r="S11">
            <v>1000000</v>
          </cell>
          <cell r="T11" t="str">
            <v>ESPECES</v>
          </cell>
          <cell r="U11">
            <v>1370000</v>
          </cell>
          <cell r="Y11">
            <v>150000</v>
          </cell>
          <cell r="Z11">
            <v>1000000</v>
          </cell>
          <cell r="AA11" t="str">
            <v>BANQUE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0</v>
          </cell>
          <cell r="AZ11">
            <v>980000</v>
          </cell>
          <cell r="BA11">
            <v>980000</v>
          </cell>
          <cell r="BC11">
            <v>268500</v>
          </cell>
          <cell r="BD11">
            <v>-268500</v>
          </cell>
          <cell r="BF11">
            <v>120000</v>
          </cell>
          <cell r="BG11">
            <v>12</v>
          </cell>
          <cell r="BK11">
            <v>100000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260000</v>
          </cell>
          <cell r="E12">
            <v>101500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101500</v>
          </cell>
          <cell r="U12">
            <v>361500</v>
          </cell>
          <cell r="Y12">
            <v>250000</v>
          </cell>
          <cell r="Z12">
            <v>1000000</v>
          </cell>
          <cell r="AA12" t="str">
            <v>BANQUE</v>
          </cell>
          <cell r="AP12" t="str">
            <v>BANQUE</v>
          </cell>
          <cell r="AQ12">
            <v>0</v>
          </cell>
          <cell r="AR12">
            <v>0</v>
          </cell>
          <cell r="AS12">
            <v>35000</v>
          </cell>
          <cell r="AW12">
            <v>0</v>
          </cell>
          <cell r="AX12">
            <v>0</v>
          </cell>
          <cell r="AY12">
            <v>0</v>
          </cell>
          <cell r="AZ12">
            <v>940000</v>
          </cell>
          <cell r="BC12">
            <v>0</v>
          </cell>
          <cell r="BD12">
            <v>1340000</v>
          </cell>
          <cell r="BE12" t="str">
            <v>0K</v>
          </cell>
          <cell r="BF12">
            <v>60000</v>
          </cell>
          <cell r="BG12">
            <v>6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1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0</v>
          </cell>
          <cell r="E14">
            <v>50000</v>
          </cell>
          <cell r="F14">
            <v>0</v>
          </cell>
          <cell r="H14">
            <v>0</v>
          </cell>
          <cell r="I14" t="str">
            <v>ESPECES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1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203000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203000</v>
          </cell>
          <cell r="U15">
            <v>353000</v>
          </cell>
          <cell r="Y15">
            <v>150000</v>
          </cell>
          <cell r="AP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1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26000</v>
          </cell>
          <cell r="D16">
            <v>125000</v>
          </cell>
          <cell r="E16">
            <v>26000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1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250000</v>
          </cell>
          <cell r="E17">
            <v>603000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203000</v>
          </cell>
          <cell r="S17">
            <v>400000</v>
          </cell>
          <cell r="T17" t="str">
            <v>ESPECES</v>
          </cell>
          <cell r="U17">
            <v>853000</v>
          </cell>
          <cell r="Y17">
            <v>225000</v>
          </cell>
          <cell r="Z17">
            <v>400000</v>
          </cell>
          <cell r="AA17" t="str">
            <v>BANQUE</v>
          </cell>
          <cell r="AP17" t="str">
            <v>BANQUE</v>
          </cell>
          <cell r="AQ17">
            <v>0</v>
          </cell>
          <cell r="AR17">
            <v>0</v>
          </cell>
          <cell r="AS17">
            <v>50000</v>
          </cell>
          <cell r="AW17">
            <v>0</v>
          </cell>
          <cell r="AX17">
            <v>0</v>
          </cell>
          <cell r="AY17">
            <v>0</v>
          </cell>
          <cell r="AZ17">
            <v>392000</v>
          </cell>
          <cell r="BA17">
            <v>392000</v>
          </cell>
          <cell r="BC17">
            <v>0</v>
          </cell>
          <cell r="BD17">
            <v>0</v>
          </cell>
          <cell r="BF17">
            <v>8000</v>
          </cell>
          <cell r="BG17">
            <v>2</v>
          </cell>
          <cell r="BO17" t="str">
            <v>S/TOTAL</v>
          </cell>
          <cell r="BQ17">
            <v>52000</v>
          </cell>
        </row>
        <row r="18">
          <cell r="A18" t="str">
            <v>AS201617</v>
          </cell>
          <cell r="B18" t="str">
            <v>KOUAMOU MOISE</v>
          </cell>
          <cell r="C18">
            <v>-500000</v>
          </cell>
          <cell r="D18">
            <v>250000</v>
          </cell>
          <cell r="E18">
            <v>20000</v>
          </cell>
          <cell r="F18">
            <v>143500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53000</v>
          </cell>
          <cell r="Q18">
            <v>0</v>
          </cell>
          <cell r="R18">
            <v>210500</v>
          </cell>
          <cell r="S18">
            <v>500000</v>
          </cell>
          <cell r="T18" t="str">
            <v>ESPECES</v>
          </cell>
          <cell r="U18">
            <v>913500</v>
          </cell>
          <cell r="Y18">
            <v>150000</v>
          </cell>
          <cell r="Z18">
            <v>500000</v>
          </cell>
          <cell r="AA18" t="str">
            <v>BANQUE</v>
          </cell>
          <cell r="AP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475000</v>
          </cell>
          <cell r="BC18">
            <v>143500</v>
          </cell>
          <cell r="BD18">
            <v>331500</v>
          </cell>
          <cell r="BF18">
            <v>25000</v>
          </cell>
          <cell r="BG18">
            <v>1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208000</v>
          </cell>
          <cell r="E19">
            <v>1235000</v>
          </cell>
          <cell r="F19">
            <v>0</v>
          </cell>
          <cell r="G19">
            <v>10000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208000</v>
          </cell>
          <cell r="S19">
            <v>1000000</v>
          </cell>
          <cell r="T19" t="str">
            <v>ESPECES</v>
          </cell>
          <cell r="U19">
            <v>1443000</v>
          </cell>
          <cell r="Y19">
            <v>225000</v>
          </cell>
          <cell r="Z19">
            <v>1000000</v>
          </cell>
          <cell r="AA19" t="str">
            <v>BANQUE</v>
          </cell>
          <cell r="AP19" t="str">
            <v>BANQUE</v>
          </cell>
          <cell r="AQ19">
            <v>0</v>
          </cell>
          <cell r="AR19">
            <v>0</v>
          </cell>
          <cell r="AS19">
            <v>35000</v>
          </cell>
          <cell r="AW19">
            <v>0</v>
          </cell>
          <cell r="AX19">
            <v>0</v>
          </cell>
          <cell r="AY19">
            <v>0</v>
          </cell>
          <cell r="AZ19">
            <v>880000</v>
          </cell>
          <cell r="BC19">
            <v>0</v>
          </cell>
          <cell r="BD19">
            <v>880000</v>
          </cell>
          <cell r="BE19" t="str">
            <v>OK</v>
          </cell>
          <cell r="BF19">
            <v>120000</v>
          </cell>
          <cell r="BG19">
            <v>12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  <cell r="E20">
            <v>50000</v>
          </cell>
          <cell r="G20">
            <v>50000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53000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53000</v>
          </cell>
          <cell r="Q21">
            <v>0</v>
          </cell>
          <cell r="R21">
            <v>0</v>
          </cell>
          <cell r="U21">
            <v>103000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1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0</v>
          </cell>
          <cell r="D22">
            <v>0</v>
          </cell>
          <cell r="E22">
            <v>1471000</v>
          </cell>
          <cell r="F22">
            <v>0</v>
          </cell>
          <cell r="H22">
            <v>0</v>
          </cell>
          <cell r="I22" t="str">
            <v>ESPECES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0</v>
          </cell>
          <cell r="R22">
            <v>146000</v>
          </cell>
          <cell r="S22">
            <v>1000000</v>
          </cell>
          <cell r="T22" t="str">
            <v>ESPECES</v>
          </cell>
          <cell r="U22">
            <v>1471000</v>
          </cell>
          <cell r="Y22">
            <v>325000</v>
          </cell>
          <cell r="Z22">
            <v>1000000</v>
          </cell>
          <cell r="AA22" t="str">
            <v>BANQUE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880000</v>
          </cell>
          <cell r="BA22">
            <v>970000</v>
          </cell>
          <cell r="BC22">
            <v>0</v>
          </cell>
          <cell r="BD22">
            <v>-90000</v>
          </cell>
          <cell r="BF22">
            <v>120000</v>
          </cell>
          <cell r="BG22">
            <v>12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0</v>
          </cell>
          <cell r="E23">
            <v>50000</v>
          </cell>
          <cell r="F23">
            <v>0</v>
          </cell>
          <cell r="H23">
            <v>0</v>
          </cell>
          <cell r="I23" t="str">
            <v>ESPECES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1</v>
          </cell>
        </row>
        <row r="24">
          <cell r="A24" t="str">
            <v>AS201621</v>
          </cell>
          <cell r="B24" t="str">
            <v>NANKAM APPOLINAIRE</v>
          </cell>
          <cell r="C24">
            <v>26000</v>
          </cell>
          <cell r="D24">
            <v>125000</v>
          </cell>
          <cell r="E24">
            <v>26000</v>
          </cell>
          <cell r="F24">
            <v>900000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900000</v>
          </cell>
          <cell r="T24" t="str">
            <v>EN COMPTE</v>
          </cell>
          <cell r="U24">
            <v>1025000</v>
          </cell>
          <cell r="Y24">
            <v>125000</v>
          </cell>
          <cell r="Z24">
            <v>900000</v>
          </cell>
          <cell r="AA24" t="str">
            <v>BANQUE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652000</v>
          </cell>
          <cell r="BC24">
            <v>900000</v>
          </cell>
          <cell r="BD24">
            <v>-248000</v>
          </cell>
          <cell r="BF24">
            <v>108000</v>
          </cell>
          <cell r="BG24">
            <v>12</v>
          </cell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760000</v>
          </cell>
          <cell r="E25">
            <v>203000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203000</v>
          </cell>
          <cell r="S25">
            <v>500000</v>
          </cell>
          <cell r="T25" t="str">
            <v>BANQUE</v>
          </cell>
          <cell r="U25">
            <v>963000</v>
          </cell>
          <cell r="Y25">
            <v>250000</v>
          </cell>
          <cell r="Z25">
            <v>500000</v>
          </cell>
          <cell r="AA25" t="str">
            <v>BANQUE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0</v>
          </cell>
          <cell r="AZ25">
            <v>470000</v>
          </cell>
          <cell r="BA25">
            <v>376500</v>
          </cell>
          <cell r="BC25">
            <v>0</v>
          </cell>
          <cell r="BD25">
            <v>93500</v>
          </cell>
          <cell r="BE25" t="str">
            <v>OK</v>
          </cell>
          <cell r="BF25">
            <v>30000</v>
          </cell>
          <cell r="BG25">
            <v>6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1550000</v>
          </cell>
          <cell r="E26">
            <v>0</v>
          </cell>
          <cell r="F26">
            <v>0</v>
          </cell>
          <cell r="G26">
            <v>17500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104500</v>
          </cell>
          <cell r="R26">
            <v>203000</v>
          </cell>
          <cell r="S26">
            <v>1000000</v>
          </cell>
          <cell r="T26" t="str">
            <v>BANQUE</v>
          </cell>
          <cell r="U26">
            <v>1550000</v>
          </cell>
          <cell r="Y26">
            <v>225000</v>
          </cell>
          <cell r="Z26">
            <v>1000000</v>
          </cell>
          <cell r="AA26" t="str">
            <v>BANQUE</v>
          </cell>
          <cell r="AC26">
            <v>2500</v>
          </cell>
          <cell r="AP26" t="str">
            <v>BANQUE</v>
          </cell>
          <cell r="AQ26">
            <v>0</v>
          </cell>
          <cell r="AR26">
            <v>0</v>
          </cell>
          <cell r="AS26">
            <v>42500</v>
          </cell>
          <cell r="AW26">
            <v>297500</v>
          </cell>
          <cell r="AX26">
            <v>0</v>
          </cell>
          <cell r="AY26">
            <v>0</v>
          </cell>
          <cell r="AZ26">
            <v>1177500</v>
          </cell>
          <cell r="BC26">
            <v>0</v>
          </cell>
          <cell r="BD26">
            <v>1177500</v>
          </cell>
          <cell r="BE26" t="str">
            <v>OK</v>
          </cell>
          <cell r="BF26">
            <v>120000</v>
          </cell>
          <cell r="BG26">
            <v>12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450000</v>
          </cell>
          <cell r="E27">
            <v>0</v>
          </cell>
          <cell r="F27">
            <v>0</v>
          </cell>
          <cell r="G27">
            <v>-6500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206500</v>
          </cell>
          <cell r="U27">
            <v>450000</v>
          </cell>
          <cell r="Y27">
            <v>250000</v>
          </cell>
          <cell r="Z27">
            <v>1000000</v>
          </cell>
          <cell r="AP27" t="str">
            <v>BANQUE</v>
          </cell>
          <cell r="AQ27">
            <v>0</v>
          </cell>
          <cell r="AR27">
            <v>0</v>
          </cell>
          <cell r="AS27">
            <v>18500</v>
          </cell>
          <cell r="AW27">
            <v>0</v>
          </cell>
          <cell r="AX27">
            <v>0</v>
          </cell>
          <cell r="AY27">
            <v>0</v>
          </cell>
          <cell r="AZ27">
            <v>950000</v>
          </cell>
          <cell r="BC27">
            <v>0</v>
          </cell>
          <cell r="BD27">
            <v>950000</v>
          </cell>
          <cell r="BF27">
            <v>50000</v>
          </cell>
          <cell r="BG27">
            <v>1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51500</v>
          </cell>
          <cell r="E28">
            <v>1050000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51500</v>
          </cell>
          <cell r="Q28">
            <v>0</v>
          </cell>
          <cell r="R28">
            <v>0</v>
          </cell>
          <cell r="S28">
            <v>1000000</v>
          </cell>
          <cell r="T28" t="str">
            <v>ESPECES</v>
          </cell>
          <cell r="U28">
            <v>1101500</v>
          </cell>
          <cell r="Y28">
            <v>50000</v>
          </cell>
          <cell r="Z28">
            <v>1000000</v>
          </cell>
          <cell r="AA28" t="str">
            <v>BANQUE</v>
          </cell>
          <cell r="AP28" t="str">
            <v>BANQUE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970000</v>
          </cell>
          <cell r="BA28">
            <v>479500</v>
          </cell>
          <cell r="BC28">
            <v>0</v>
          </cell>
          <cell r="BD28">
            <v>490500</v>
          </cell>
          <cell r="BE28" t="str">
            <v>OK</v>
          </cell>
          <cell r="BF28">
            <v>30000</v>
          </cell>
          <cell r="BG28">
            <v>3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300000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250000</v>
          </cell>
          <cell r="T29" t="str">
            <v>BANQUE</v>
          </cell>
          <cell r="U29">
            <v>300000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1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1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-1000000</v>
          </cell>
          <cell r="D31">
            <v>110000</v>
          </cell>
          <cell r="E31">
            <v>0</v>
          </cell>
          <cell r="F31">
            <v>0</v>
          </cell>
          <cell r="G31">
            <v>1000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S31">
            <v>1000000</v>
          </cell>
          <cell r="T31" t="str">
            <v>BANQUE</v>
          </cell>
          <cell r="U31">
            <v>1110000</v>
          </cell>
          <cell r="Y31">
            <v>50000</v>
          </cell>
          <cell r="Z31">
            <v>900000</v>
          </cell>
          <cell r="AQ31">
            <v>0</v>
          </cell>
          <cell r="AR31">
            <v>0</v>
          </cell>
          <cell r="AS31">
            <v>26000</v>
          </cell>
          <cell r="AW31">
            <v>0</v>
          </cell>
          <cell r="AX31">
            <v>0</v>
          </cell>
          <cell r="AY31">
            <v>0</v>
          </cell>
          <cell r="AZ31">
            <v>855000</v>
          </cell>
          <cell r="BC31">
            <v>0</v>
          </cell>
          <cell r="BD31">
            <v>855000</v>
          </cell>
          <cell r="BF31">
            <v>45000</v>
          </cell>
          <cell r="BG31">
            <v>1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1203000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203000</v>
          </cell>
          <cell r="S32">
            <v>1000000</v>
          </cell>
          <cell r="T32" t="str">
            <v>ESPECES</v>
          </cell>
          <cell r="U32">
            <v>1453000</v>
          </cell>
          <cell r="Y32">
            <v>250000</v>
          </cell>
          <cell r="Z32">
            <v>1000000</v>
          </cell>
          <cell r="AA32" t="str">
            <v>BANQUE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970000</v>
          </cell>
          <cell r="BA32">
            <v>970000</v>
          </cell>
          <cell r="BC32">
            <v>0</v>
          </cell>
          <cell r="BD32">
            <v>0</v>
          </cell>
          <cell r="BF32">
            <v>30000</v>
          </cell>
          <cell r="BG32">
            <v>3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-294500</v>
          </cell>
          <cell r="D33">
            <v>50000</v>
          </cell>
          <cell r="E33">
            <v>10000</v>
          </cell>
          <cell r="F33">
            <v>0</v>
          </cell>
          <cell r="G33">
            <v>307500</v>
          </cell>
          <cell r="H33">
            <v>-3000</v>
          </cell>
          <cell r="I33" t="str">
            <v>BANQUE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354500</v>
          </cell>
          <cell r="Y33">
            <v>50000</v>
          </cell>
          <cell r="AC33">
            <v>2500</v>
          </cell>
          <cell r="AQ33">
            <v>0</v>
          </cell>
          <cell r="AR33">
            <v>0</v>
          </cell>
          <cell r="AS33">
            <v>332500</v>
          </cell>
          <cell r="AW33">
            <v>297500</v>
          </cell>
          <cell r="AX33">
            <v>0</v>
          </cell>
          <cell r="AY33">
            <v>0</v>
          </cell>
          <cell r="AZ33">
            <v>297500</v>
          </cell>
          <cell r="BC33">
            <v>0</v>
          </cell>
          <cell r="BD33">
            <v>297500</v>
          </cell>
          <cell r="BF33">
            <v>0</v>
          </cell>
          <cell r="BG33">
            <v>1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0</v>
          </cell>
          <cell r="E34">
            <v>0</v>
          </cell>
          <cell r="F34">
            <v>530500</v>
          </cell>
          <cell r="H34">
            <v>0</v>
          </cell>
          <cell r="I34" t="str">
            <v>ECHEC</v>
          </cell>
          <cell r="J34">
            <v>1</v>
          </cell>
          <cell r="K34">
            <v>0</v>
          </cell>
          <cell r="M34">
            <v>0</v>
          </cell>
          <cell r="N34">
            <v>1</v>
          </cell>
          <cell r="O34">
            <v>0</v>
          </cell>
          <cell r="P34">
            <v>30500</v>
          </cell>
          <cell r="Q34">
            <v>0</v>
          </cell>
          <cell r="R34">
            <v>0</v>
          </cell>
          <cell r="S34">
            <v>500000</v>
          </cell>
          <cell r="T34" t="str">
            <v>EN COMPTE</v>
          </cell>
          <cell r="U34">
            <v>530500</v>
          </cell>
          <cell r="Y34">
            <v>0</v>
          </cell>
          <cell r="AP34" t="str">
            <v>BANQUE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C34">
            <v>530500</v>
          </cell>
          <cell r="BD34">
            <v>-530500</v>
          </cell>
          <cell r="BF34">
            <v>0</v>
          </cell>
          <cell r="BG34">
            <v>1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1000000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1000000</v>
          </cell>
          <cell r="T35" t="str">
            <v>ESPECES</v>
          </cell>
          <cell r="U35">
            <v>1125000</v>
          </cell>
          <cell r="Y35">
            <v>125000</v>
          </cell>
          <cell r="Z35">
            <v>1000000</v>
          </cell>
          <cell r="AA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0</v>
          </cell>
          <cell r="AY35">
            <v>0</v>
          </cell>
          <cell r="AZ35">
            <v>940000</v>
          </cell>
          <cell r="BA35">
            <v>1163500</v>
          </cell>
          <cell r="BC35">
            <v>0</v>
          </cell>
          <cell r="BD35">
            <v>-223500</v>
          </cell>
          <cell r="BF35">
            <v>60000</v>
          </cell>
          <cell r="BG35">
            <v>6</v>
          </cell>
        </row>
        <row r="36">
          <cell r="A36" t="str">
            <v>AS201660</v>
          </cell>
          <cell r="B36" t="str">
            <v>TCHOUATEU AUGUSTIN</v>
          </cell>
          <cell r="C36">
            <v>-100000</v>
          </cell>
          <cell r="D36">
            <v>1150000</v>
          </cell>
          <cell r="E36">
            <v>3500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103500</v>
          </cell>
          <cell r="S36">
            <v>1000000</v>
          </cell>
          <cell r="T36" t="str">
            <v>BANQUE</v>
          </cell>
          <cell r="U36">
            <v>1253500</v>
          </cell>
          <cell r="Y36">
            <v>150000</v>
          </cell>
          <cell r="Z36">
            <v>1000000</v>
          </cell>
          <cell r="AA36" t="str">
            <v>BANQUE</v>
          </cell>
          <cell r="AP36" t="str">
            <v>BANQUE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880000</v>
          </cell>
          <cell r="BC36">
            <v>0</v>
          </cell>
          <cell r="BD36">
            <v>880000</v>
          </cell>
          <cell r="BE36" t="str">
            <v>OK</v>
          </cell>
          <cell r="BF36">
            <v>120000</v>
          </cell>
          <cell r="BG36">
            <v>12</v>
          </cell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1</v>
          </cell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-284200</v>
          </cell>
          <cell r="D38">
            <v>50000</v>
          </cell>
          <cell r="E38">
            <v>13300</v>
          </cell>
          <cell r="F38">
            <v>0</v>
          </cell>
          <cell r="G38">
            <v>297500</v>
          </cell>
          <cell r="H38">
            <v>0</v>
          </cell>
          <cell r="I38" t="str">
            <v>BANQUE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347500</v>
          </cell>
          <cell r="Y38">
            <v>50000</v>
          </cell>
          <cell r="AC38">
            <v>2500</v>
          </cell>
          <cell r="AQ38">
            <v>0</v>
          </cell>
          <cell r="AR38">
            <v>0</v>
          </cell>
          <cell r="AS38">
            <v>322500</v>
          </cell>
          <cell r="AW38">
            <v>297500</v>
          </cell>
          <cell r="AX38">
            <v>0</v>
          </cell>
          <cell r="AY38">
            <v>0</v>
          </cell>
          <cell r="AZ38">
            <v>297500</v>
          </cell>
          <cell r="BC38">
            <v>0</v>
          </cell>
          <cell r="BD38">
            <v>297500</v>
          </cell>
          <cell r="BF38">
            <v>0</v>
          </cell>
          <cell r="BG38">
            <v>1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232500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107500</v>
          </cell>
          <cell r="T39" t="str">
            <v>BANQUE</v>
          </cell>
          <cell r="U39">
            <v>232500</v>
          </cell>
          <cell r="Y39">
            <v>125000</v>
          </cell>
          <cell r="Z39">
            <v>500000</v>
          </cell>
          <cell r="AA39" t="str">
            <v>BANQUE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0</v>
          </cell>
          <cell r="AY39">
            <v>0</v>
          </cell>
          <cell r="AZ39">
            <v>470000</v>
          </cell>
          <cell r="BA39">
            <v>470000</v>
          </cell>
          <cell r="BC39">
            <v>0</v>
          </cell>
          <cell r="BD39">
            <v>0</v>
          </cell>
          <cell r="BF39">
            <v>30000</v>
          </cell>
          <cell r="BG39">
            <v>6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0</v>
          </cell>
          <cell r="E40">
            <v>50000</v>
          </cell>
          <cell r="F40">
            <v>0</v>
          </cell>
          <cell r="H40">
            <v>0</v>
          </cell>
          <cell r="I40" t="str">
            <v>ESPECES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1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453000</v>
          </cell>
          <cell r="F41">
            <v>0</v>
          </cell>
          <cell r="H41">
            <v>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203000</v>
          </cell>
          <cell r="U41">
            <v>453000</v>
          </cell>
          <cell r="Y41">
            <v>250000</v>
          </cell>
          <cell r="AP41" t="str">
            <v>BANQUE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1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P42" t="str">
            <v>BANQUE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1</v>
          </cell>
        </row>
        <row r="44">
          <cell r="B44" t="str">
            <v>TOTAUX</v>
          </cell>
          <cell r="C44">
            <v>-2046700</v>
          </cell>
          <cell r="D44">
            <v>7392000</v>
          </cell>
          <cell r="E44">
            <v>13063300</v>
          </cell>
          <cell r="F44">
            <v>1842500</v>
          </cell>
          <cell r="G44">
            <v>722000</v>
          </cell>
          <cell r="H44">
            <v>-3000</v>
          </cell>
          <cell r="I44">
            <v>0</v>
          </cell>
          <cell r="J44">
            <v>35</v>
          </cell>
          <cell r="K44">
            <v>1700000</v>
          </cell>
          <cell r="L44">
            <v>13</v>
          </cell>
          <cell r="M44">
            <v>975000</v>
          </cell>
          <cell r="N44">
            <v>24</v>
          </cell>
          <cell r="O44">
            <v>2300000</v>
          </cell>
          <cell r="P44">
            <v>319000</v>
          </cell>
          <cell r="Q44">
            <v>104500</v>
          </cell>
          <cell r="R44">
            <v>2569500</v>
          </cell>
          <cell r="S44">
            <v>15657500</v>
          </cell>
          <cell r="U44">
            <v>24294500</v>
          </cell>
          <cell r="V44">
            <v>0</v>
          </cell>
          <cell r="W44">
            <v>0</v>
          </cell>
          <cell r="X44">
            <v>0</v>
          </cell>
          <cell r="Y44">
            <v>4975000</v>
          </cell>
          <cell r="Z44">
            <v>17200000</v>
          </cell>
          <cell r="AA44">
            <v>0</v>
          </cell>
          <cell r="AC44">
            <v>7500</v>
          </cell>
          <cell r="AD44">
            <v>7500</v>
          </cell>
          <cell r="AE44">
            <v>0</v>
          </cell>
          <cell r="AF44">
            <v>0</v>
          </cell>
          <cell r="AG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Q44">
            <v>0</v>
          </cell>
          <cell r="AR44">
            <v>0</v>
          </cell>
          <cell r="AS44">
            <v>1522000</v>
          </cell>
          <cell r="AT44">
            <v>0</v>
          </cell>
          <cell r="AU44">
            <v>0</v>
          </cell>
          <cell r="AV44">
            <v>0</v>
          </cell>
          <cell r="AW44">
            <v>892500</v>
          </cell>
          <cell r="AX44">
            <v>892500</v>
          </cell>
          <cell r="AY44">
            <v>0</v>
          </cell>
          <cell r="AZ44">
            <v>17651000</v>
          </cell>
          <cell r="BA44">
            <v>9077500</v>
          </cell>
          <cell r="BB44">
            <v>0</v>
          </cell>
          <cell r="BC44">
            <v>1842500</v>
          </cell>
          <cell r="BD44">
            <v>7131000</v>
          </cell>
          <cell r="BE44">
            <v>0</v>
          </cell>
          <cell r="BF44">
            <v>1346000</v>
          </cell>
          <cell r="BH44">
            <v>52000</v>
          </cell>
          <cell r="BI44">
            <v>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5"/>
      <sheetName val="HISTOBQUEFEV25"/>
      <sheetName val="HISTOBQUEMARS25"/>
      <sheetName val="HISTOBQUEAVRIL25"/>
      <sheetName val="HISTOBQUEMAI25"/>
      <sheetName val="HISTOBQUEJUIN25"/>
      <sheetName val="HISTOBQUEJUIL25"/>
      <sheetName val="HISTOBQUEAOUT25"/>
      <sheetName val="HISTOBQUESEPT25"/>
      <sheetName val="HISTOBQUEOCT25"/>
      <sheetName val="HISTOBQUENOV25"/>
      <sheetName val="HISTOBQUEDEC25"/>
      <sheetName val="HISTOBQUERESUME25"/>
      <sheetName val="HISTOBQUERESUME24"/>
      <sheetName val="HISTOBQUEJANV24"/>
      <sheetName val="HISTOBQUEFEV24"/>
      <sheetName val="HISTOBQUEMARS24"/>
      <sheetName val="HISTOBQUEAVRIL24"/>
      <sheetName val="HISTOBQUEMAI24"/>
      <sheetName val="HISTOBQUEJUIN24"/>
      <sheetName val="HISTOBQUEJUIL24"/>
      <sheetName val="HISTOBQUEAOUT24"/>
      <sheetName val="HISTOBQUESEPT24"/>
      <sheetName val="HISTOBQUEOCT24"/>
      <sheetName val="HISTOBQUENOV24"/>
      <sheetName val="HISTOBQUEDEC24"/>
    </sheetNames>
    <sheetDataSet>
      <sheetData sheetId="0"/>
      <sheetData sheetId="1"/>
      <sheetData sheetId="2">
        <row r="6">
          <cell r="H6">
            <v>4770</v>
          </cell>
        </row>
      </sheetData>
      <sheetData sheetId="3">
        <row r="6">
          <cell r="H6">
            <v>1191</v>
          </cell>
        </row>
      </sheetData>
      <sheetData sheetId="4">
        <row r="6">
          <cell r="H6">
            <v>2395</v>
          </cell>
        </row>
      </sheetData>
      <sheetData sheetId="5">
        <row r="6">
          <cell r="H6">
            <v>2385</v>
          </cell>
        </row>
      </sheetData>
      <sheetData sheetId="6">
        <row r="6">
          <cell r="H6">
            <v>2385</v>
          </cell>
        </row>
      </sheetData>
      <sheetData sheetId="7">
        <row r="6">
          <cell r="H6">
            <v>2385</v>
          </cell>
        </row>
      </sheetData>
      <sheetData sheetId="8">
        <row r="6">
          <cell r="H6">
            <v>4770</v>
          </cell>
        </row>
      </sheetData>
      <sheetData sheetId="9">
        <row r="6">
          <cell r="H6">
            <v>2385</v>
          </cell>
        </row>
      </sheetData>
      <sheetData sheetId="10">
        <row r="6">
          <cell r="H6">
            <v>1193</v>
          </cell>
        </row>
      </sheetData>
      <sheetData sheetId="11">
        <row r="6">
          <cell r="H6">
            <v>3578</v>
          </cell>
        </row>
      </sheetData>
      <sheetData sheetId="12">
        <row r="6">
          <cell r="H6">
            <v>2385</v>
          </cell>
        </row>
      </sheetData>
      <sheetData sheetId="13">
        <row r="6">
          <cell r="H6">
            <v>2385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/>
          <cell r="F5">
            <v>655592631</v>
          </cell>
          <cell r="G5"/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/>
          <cell r="F6">
            <v>699984782</v>
          </cell>
          <cell r="G6"/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/>
          <cell r="F7">
            <v>677986676</v>
          </cell>
          <cell r="G7"/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/>
          <cell r="F8">
            <v>675250451</v>
          </cell>
          <cell r="G8"/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/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/>
          <cell r="F10">
            <v>699908065</v>
          </cell>
          <cell r="G10"/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/>
          <cell r="F11">
            <v>694468080</v>
          </cell>
          <cell r="G11"/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/>
          <cell r="F12">
            <v>699956355</v>
          </cell>
          <cell r="G12"/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/>
          <cell r="F13">
            <v>675836725</v>
          </cell>
          <cell r="G13"/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/>
          <cell r="F14">
            <v>677735778</v>
          </cell>
          <cell r="G14"/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/>
          <cell r="F15"/>
          <cell r="G15"/>
          <cell r="H15"/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/>
          <cell r="F16">
            <v>693055118</v>
          </cell>
          <cell r="G16"/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/>
          <cell r="F17">
            <v>677553702</v>
          </cell>
          <cell r="G17"/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/>
          <cell r="F18">
            <v>675249207</v>
          </cell>
          <cell r="G18"/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/>
          <cell r="F19">
            <v>677068360</v>
          </cell>
          <cell r="G19"/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/>
          <cell r="F20">
            <v>676659191</v>
          </cell>
          <cell r="G20"/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/>
          <cell r="F21">
            <v>699995086</v>
          </cell>
          <cell r="G21"/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/>
          <cell r="F22">
            <v>677546060</v>
          </cell>
          <cell r="G22"/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/>
          <cell r="F23">
            <v>677648306</v>
          </cell>
          <cell r="G23"/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/>
          <cell r="F24">
            <v>699778906</v>
          </cell>
          <cell r="G24"/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/>
          <cell r="F25">
            <v>677775940</v>
          </cell>
          <cell r="G25"/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/>
          <cell r="F26">
            <v>699663416</v>
          </cell>
          <cell r="G26"/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/>
          <cell r="F27">
            <v>677547311</v>
          </cell>
          <cell r="G27"/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/>
          <cell r="F28"/>
          <cell r="G28"/>
          <cell r="H28"/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/>
          <cell r="F29">
            <v>694452000</v>
          </cell>
          <cell r="G29"/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/>
          <cell r="E30"/>
          <cell r="F30">
            <v>677911165</v>
          </cell>
          <cell r="G30"/>
          <cell r="H30"/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/>
          <cell r="E31"/>
          <cell r="F31"/>
          <cell r="G31"/>
          <cell r="H31"/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/>
          <cell r="E32"/>
          <cell r="F32"/>
          <cell r="G32"/>
          <cell r="H32"/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/>
          <cell r="E33"/>
          <cell r="F33"/>
          <cell r="G33"/>
          <cell r="H33"/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/>
          <cell r="E34"/>
          <cell r="F34">
            <v>696585118</v>
          </cell>
          <cell r="G34"/>
          <cell r="H34"/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/>
          <cell r="E35"/>
          <cell r="F35">
            <v>696585018</v>
          </cell>
          <cell r="G35"/>
          <cell r="H35"/>
        </row>
        <row r="36">
          <cell r="A36" t="str">
            <v>AS201629</v>
          </cell>
          <cell r="B36"/>
          <cell r="C36" t="str">
            <v>NKEPSEU DIEUDONNE</v>
          </cell>
          <cell r="D36"/>
          <cell r="E36"/>
          <cell r="F36"/>
          <cell r="G36"/>
          <cell r="H36"/>
        </row>
        <row r="37">
          <cell r="A37" t="str">
            <v>AS201659</v>
          </cell>
          <cell r="B37">
            <v>32</v>
          </cell>
          <cell r="C37" t="str">
            <v>YIALA ALAIN OSCAR</v>
          </cell>
          <cell r="D37"/>
          <cell r="E37"/>
          <cell r="F37"/>
          <cell r="G37"/>
          <cell r="H37"/>
        </row>
        <row r="38">
          <cell r="A38" t="str">
            <v>AS201660</v>
          </cell>
          <cell r="B38">
            <v>33</v>
          </cell>
          <cell r="C38" t="str">
            <v>TCHOUATEU AUGUSTIN</v>
          </cell>
          <cell r="D38"/>
          <cell r="E38"/>
          <cell r="F38"/>
          <cell r="G38"/>
          <cell r="H38"/>
        </row>
        <row r="39">
          <cell r="A39" t="str">
            <v>AS201661</v>
          </cell>
          <cell r="B39">
            <v>34</v>
          </cell>
          <cell r="C39" t="str">
            <v>MASSEUNGOUE DAGOBERT</v>
          </cell>
          <cell r="D39"/>
          <cell r="E39"/>
          <cell r="F39"/>
          <cell r="G39"/>
          <cell r="H39"/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2"/>
      <sheetName val="HISTOJANV25"/>
      <sheetName val="HISTOJANV24"/>
      <sheetName val="HISTOFEV24"/>
      <sheetName val="HISTOMARS24"/>
      <sheetName val="HISTOAVRIL24"/>
      <sheetName val="HISTOMAI24"/>
      <sheetName val="HISTOJUIN24"/>
      <sheetName val="HISTOJUIL24"/>
      <sheetName val="HISTOAOUT24"/>
      <sheetName val="HISTOSEPT24"/>
      <sheetName val="HISTOOCT24"/>
      <sheetName val="HISTONOV24"/>
      <sheetName val="HISTODEC24"/>
      <sheetName val="HISTORESUME24"/>
      <sheetName val="HISTODEC24BB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</sheetNames>
    <sheetDataSet>
      <sheetData sheetId="0"/>
      <sheetData sheetId="1"/>
      <sheetData sheetId="2"/>
      <sheetData sheetId="3"/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227000</v>
          </cell>
          <cell r="BA6">
            <v>27000</v>
          </cell>
          <cell r="BD6">
            <v>200000</v>
          </cell>
          <cell r="BE6" t="str">
            <v>OK</v>
          </cell>
          <cell r="BF6">
            <v>0</v>
          </cell>
          <cell r="BG6">
            <v>11</v>
          </cell>
          <cell r="BH6">
            <v>27000</v>
          </cell>
          <cell r="BI6">
            <v>200000</v>
          </cell>
          <cell r="BJ6">
            <v>0</v>
          </cell>
          <cell r="BN6">
            <v>300000</v>
          </cell>
          <cell r="BO6" t="str">
            <v>ACHAT FOURNITURE</v>
          </cell>
          <cell r="BP6" t="str">
            <v>FONDS DE ROULEMENT</v>
          </cell>
          <cell r="BQ6">
            <v>8500</v>
          </cell>
        </row>
        <row r="7">
          <cell r="A7" t="str">
            <v>AS201601</v>
          </cell>
          <cell r="B7" t="str">
            <v>BAKOP ACHILLE</v>
          </cell>
          <cell r="C7">
            <v>6000</v>
          </cell>
          <cell r="D7">
            <v>56000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600000</v>
          </cell>
          <cell r="BD7">
            <v>0</v>
          </cell>
          <cell r="BF7">
            <v>6000</v>
          </cell>
          <cell r="BG7">
            <v>11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11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AE9">
            <v>115000</v>
          </cell>
          <cell r="AF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1085000</v>
          </cell>
          <cell r="AZ9">
            <v>1085000</v>
          </cell>
          <cell r="BA9">
            <v>500000</v>
          </cell>
          <cell r="BD9">
            <v>585000</v>
          </cell>
          <cell r="BE9" t="str">
            <v>OK</v>
          </cell>
          <cell r="BF9">
            <v>0</v>
          </cell>
          <cell r="BG9">
            <v>11</v>
          </cell>
          <cell r="BO9" t="str">
            <v>OUVERTURE COMPTE</v>
          </cell>
          <cell r="BP9" t="str">
            <v>FONDS DE ROULEMENT</v>
          </cell>
          <cell r="BQ9">
            <v>18500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125000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125000</v>
          </cell>
          <cell r="AJ10">
            <v>100000</v>
          </cell>
          <cell r="AM10">
            <v>2000</v>
          </cell>
          <cell r="AQ10">
            <v>0</v>
          </cell>
          <cell r="AR10">
            <v>0</v>
          </cell>
          <cell r="AS10">
            <v>25000</v>
          </cell>
          <cell r="AW10">
            <v>0</v>
          </cell>
          <cell r="AX10">
            <v>100000</v>
          </cell>
          <cell r="AY10">
            <v>0</v>
          </cell>
          <cell r="AZ10">
            <v>100000</v>
          </cell>
          <cell r="BD10">
            <v>100000</v>
          </cell>
          <cell r="BE10" t="str">
            <v>OK</v>
          </cell>
          <cell r="BF10">
            <v>0</v>
          </cell>
          <cell r="BG10">
            <v>11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125000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U11">
            <v>125000</v>
          </cell>
          <cell r="AJ11">
            <v>100000</v>
          </cell>
          <cell r="AM11">
            <v>2000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100000</v>
          </cell>
          <cell r="AY11">
            <v>0</v>
          </cell>
          <cell r="AZ11">
            <v>100000</v>
          </cell>
          <cell r="BA11">
            <v>100000</v>
          </cell>
          <cell r="BD11">
            <v>0</v>
          </cell>
          <cell r="BF11">
            <v>0</v>
          </cell>
          <cell r="BG11">
            <v>11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330000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330000</v>
          </cell>
          <cell r="AD12">
            <v>60000</v>
          </cell>
          <cell r="AF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840000</v>
          </cell>
          <cell r="AY12">
            <v>0</v>
          </cell>
          <cell r="AZ12">
            <v>840000</v>
          </cell>
          <cell r="BD12">
            <v>840000</v>
          </cell>
          <cell r="BE12" t="str">
            <v>OK</v>
          </cell>
          <cell r="BF12">
            <v>0</v>
          </cell>
          <cell r="BG12">
            <v>11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11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0</v>
          </cell>
          <cell r="E14">
            <v>50000</v>
          </cell>
          <cell r="F14">
            <v>0</v>
          </cell>
          <cell r="G14">
            <v>0</v>
          </cell>
          <cell r="H14" t="str">
            <v>ESPECES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11</v>
          </cell>
          <cell r="BO14" t="str">
            <v>ACHAT TERRAIN</v>
          </cell>
          <cell r="BP14" t="str">
            <v>FONDS DE ROULEMENT</v>
          </cell>
          <cell r="BQ14"/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11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C16">
            <v>12000</v>
          </cell>
          <cell r="AF16" t="str">
            <v>BANQUE</v>
          </cell>
          <cell r="AQ16">
            <v>0</v>
          </cell>
          <cell r="AR16">
            <v>0</v>
          </cell>
          <cell r="AS16">
            <v>60000</v>
          </cell>
          <cell r="AW16">
            <v>288000</v>
          </cell>
          <cell r="AX16">
            <v>0</v>
          </cell>
          <cell r="AY16">
            <v>0</v>
          </cell>
          <cell r="AZ16">
            <v>288000</v>
          </cell>
          <cell r="BD16">
            <v>288000</v>
          </cell>
          <cell r="BE16" t="str">
            <v>OK</v>
          </cell>
          <cell r="BF16">
            <v>0</v>
          </cell>
          <cell r="BG16">
            <v>11</v>
          </cell>
          <cell r="BO16" t="str">
            <v>S/TOTAL</v>
          </cell>
          <cell r="BQ16">
            <v>27000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0</v>
          </cell>
          <cell r="U17">
            <v>150000</v>
          </cell>
          <cell r="Z17">
            <v>1000000</v>
          </cell>
          <cell r="AK17">
            <v>100000</v>
          </cell>
          <cell r="AN17">
            <v>1000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100000</v>
          </cell>
          <cell r="AZ17">
            <v>1150000</v>
          </cell>
          <cell r="BA17">
            <v>100000</v>
          </cell>
          <cell r="BD17">
            <v>1050000</v>
          </cell>
          <cell r="BE17" t="str">
            <v>OK</v>
          </cell>
          <cell r="BF17">
            <v>110000</v>
          </cell>
          <cell r="BG17">
            <v>11</v>
          </cell>
          <cell r="BK17">
            <v>100000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AC18">
            <v>13000</v>
          </cell>
          <cell r="AF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287000</v>
          </cell>
          <cell r="AX18">
            <v>0</v>
          </cell>
          <cell r="AY18">
            <v>0</v>
          </cell>
          <cell r="AZ18">
            <v>287000</v>
          </cell>
          <cell r="BD18">
            <v>287000</v>
          </cell>
          <cell r="BE18" t="str">
            <v>OK</v>
          </cell>
          <cell r="BF18">
            <v>0</v>
          </cell>
          <cell r="BG18">
            <v>11</v>
          </cell>
          <cell r="BO18" t="str">
            <v>TERRAIN NYOM</v>
          </cell>
          <cell r="BP18" t="str">
            <v>AUTRES DEPENSES</v>
          </cell>
          <cell r="BQ18">
            <v>300000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25000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75000</v>
          </cell>
          <cell r="W19">
            <v>25000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11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225000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0</v>
          </cell>
          <cell r="U20">
            <v>225000</v>
          </cell>
          <cell r="AE20">
            <v>115000</v>
          </cell>
          <cell r="AF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0</v>
          </cell>
          <cell r="AY20">
            <v>1085000</v>
          </cell>
          <cell r="AZ20">
            <v>1085000</v>
          </cell>
          <cell r="BD20">
            <v>1085000</v>
          </cell>
          <cell r="BE20" t="str">
            <v>OK</v>
          </cell>
          <cell r="BF20">
            <v>0</v>
          </cell>
          <cell r="BG20">
            <v>11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11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11</v>
          </cell>
          <cell r="BO22" t="str">
            <v>S/TOTAL</v>
          </cell>
          <cell r="BQ22">
            <v>300000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0</v>
          </cell>
          <cell r="U23">
            <v>260000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56000</v>
          </cell>
          <cell r="BD23">
            <v>0</v>
          </cell>
          <cell r="BF23">
            <v>0</v>
          </cell>
          <cell r="BG23">
            <v>11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225000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D24">
            <v>0</v>
          </cell>
          <cell r="BF24">
            <v>0</v>
          </cell>
          <cell r="BG24">
            <v>11</v>
          </cell>
          <cell r="BO24" t="str">
            <v>GRATIFICATION BUREAU 2023</v>
          </cell>
          <cell r="BP24" t="str">
            <v>FRAIS EXEPTIONNEL</v>
          </cell>
          <cell r="BQ24">
            <v>200000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U25">
            <v>375000</v>
          </cell>
          <cell r="AD25">
            <v>65000</v>
          </cell>
          <cell r="AE25">
            <v>125000</v>
          </cell>
          <cell r="AF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835000</v>
          </cell>
          <cell r="AY25">
            <v>1075000</v>
          </cell>
          <cell r="AZ25">
            <v>1910000</v>
          </cell>
          <cell r="BD25">
            <v>1910000</v>
          </cell>
          <cell r="BE25" t="str">
            <v>OK</v>
          </cell>
          <cell r="BF25">
            <v>0</v>
          </cell>
          <cell r="BG25">
            <v>11</v>
          </cell>
          <cell r="BO25" t="str">
            <v>DOSSIER TECHNIQUE NGIEMENI</v>
          </cell>
          <cell r="BP25" t="str">
            <v>FRAIS EXEPTIONNEL</v>
          </cell>
          <cell r="BQ25"/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D26">
            <v>50000</v>
          </cell>
          <cell r="E26">
            <v>50000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50000</v>
          </cell>
          <cell r="AC26">
            <v>13000</v>
          </cell>
          <cell r="AF26" t="str">
            <v>BANQUE</v>
          </cell>
          <cell r="AQ26">
            <v>0</v>
          </cell>
          <cell r="AR26">
            <v>0</v>
          </cell>
          <cell r="AS26">
            <v>25000</v>
          </cell>
          <cell r="AW26">
            <v>287000</v>
          </cell>
          <cell r="AX26">
            <v>0</v>
          </cell>
          <cell r="AY26">
            <v>0</v>
          </cell>
          <cell r="AZ26">
            <v>287000</v>
          </cell>
          <cell r="BA26">
            <v>7000</v>
          </cell>
          <cell r="BD26">
            <v>280000</v>
          </cell>
          <cell r="BE26" t="str">
            <v>OK</v>
          </cell>
          <cell r="BF26">
            <v>0</v>
          </cell>
          <cell r="BG26">
            <v>11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11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11</v>
          </cell>
          <cell r="BO28" t="str">
            <v>S/TOTAL</v>
          </cell>
          <cell r="BQ28">
            <v>200000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450000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500000</v>
          </cell>
          <cell r="AQ29">
            <v>0</v>
          </cell>
          <cell r="AR29">
            <v>0</v>
          </cell>
          <cell r="AS29">
            <v>475000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11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11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11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U32">
            <v>125000</v>
          </cell>
          <cell r="Z32">
            <v>1000000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940000</v>
          </cell>
          <cell r="BD32">
            <v>940000</v>
          </cell>
          <cell r="BE32" t="str">
            <v>OK</v>
          </cell>
          <cell r="BF32">
            <v>60000</v>
          </cell>
          <cell r="BG32">
            <v>6</v>
          </cell>
        </row>
        <row r="33">
          <cell r="A33" t="str">
            <v>AS201660</v>
          </cell>
          <cell r="B33" t="str">
            <v>TCHOUATEU AUGUSTIN</v>
          </cell>
          <cell r="C33">
            <v>120000</v>
          </cell>
          <cell r="D33">
            <v>540000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245000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420000</v>
          </cell>
          <cell r="W33">
            <v>25000</v>
          </cell>
          <cell r="AQ33">
            <v>0</v>
          </cell>
          <cell r="AR33">
            <v>0</v>
          </cell>
          <cell r="AS33">
            <v>270000</v>
          </cell>
          <cell r="AT33">
            <v>120000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11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11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11</v>
          </cell>
        </row>
        <row r="36">
          <cell r="A36" t="str">
            <v>AS201646</v>
          </cell>
          <cell r="B36" t="str">
            <v>YEPMOU JEAN JACQUES</v>
          </cell>
          <cell r="C36">
            <v>53000</v>
          </cell>
          <cell r="D36">
            <v>50000</v>
          </cell>
          <cell r="E36">
            <v>50000</v>
          </cell>
          <cell r="F36">
            <v>0</v>
          </cell>
          <cell r="G36">
            <v>-3000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47000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11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25000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175000</v>
          </cell>
          <cell r="W37">
            <v>25000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11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11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229000</v>
          </cell>
          <cell r="D40">
            <v>5456000</v>
          </cell>
          <cell r="E40">
            <v>200000</v>
          </cell>
          <cell r="F40">
            <v>0</v>
          </cell>
          <cell r="G40">
            <v>-3000</v>
          </cell>
          <cell r="H40">
            <v>0</v>
          </cell>
          <cell r="I40">
            <v>755000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5427000</v>
          </cell>
          <cell r="V40">
            <v>0</v>
          </cell>
          <cell r="W40">
            <v>75000</v>
          </cell>
          <cell r="X40">
            <v>0</v>
          </cell>
          <cell r="Y40">
            <v>0</v>
          </cell>
          <cell r="Z40">
            <v>2000000</v>
          </cell>
          <cell r="AA40">
            <v>0</v>
          </cell>
          <cell r="AC40">
            <v>38000</v>
          </cell>
          <cell r="AD40">
            <v>125000</v>
          </cell>
          <cell r="AE40">
            <v>355000</v>
          </cell>
          <cell r="AF40">
            <v>0</v>
          </cell>
          <cell r="AG40">
            <v>0</v>
          </cell>
          <cell r="AI40">
            <v>0</v>
          </cell>
          <cell r="AJ40">
            <v>200000</v>
          </cell>
          <cell r="AK40">
            <v>100000</v>
          </cell>
          <cell r="AL40">
            <v>0</v>
          </cell>
          <cell r="AM40">
            <v>4000</v>
          </cell>
          <cell r="AN40">
            <v>1000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1555000</v>
          </cell>
          <cell r="AT40">
            <v>120000</v>
          </cell>
          <cell r="AU40">
            <v>0</v>
          </cell>
          <cell r="AV40">
            <v>0</v>
          </cell>
          <cell r="AW40">
            <v>862000</v>
          </cell>
          <cell r="AX40">
            <v>1875000</v>
          </cell>
          <cell r="AY40">
            <v>3345000</v>
          </cell>
          <cell r="AZ40">
            <v>8899000</v>
          </cell>
          <cell r="BA40">
            <v>790000</v>
          </cell>
          <cell r="BB40">
            <v>0</v>
          </cell>
          <cell r="BC40">
            <v>0</v>
          </cell>
          <cell r="BD40">
            <v>7565000</v>
          </cell>
          <cell r="BE40">
            <v>0</v>
          </cell>
          <cell r="BF40">
            <v>176000</v>
          </cell>
          <cell r="BH40">
            <v>27000</v>
          </cell>
          <cell r="BI40">
            <v>200000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  <cell r="BQ40">
            <v>100000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127000</v>
          </cell>
          <cell r="BD6">
            <v>127000</v>
          </cell>
          <cell r="BE6" t="str">
            <v>OK</v>
          </cell>
          <cell r="BF6">
            <v>0</v>
          </cell>
          <cell r="BG6">
            <v>10</v>
          </cell>
          <cell r="BH6">
            <v>27000</v>
          </cell>
          <cell r="BI6">
            <v>0</v>
          </cell>
          <cell r="BJ6">
            <v>100000</v>
          </cell>
          <cell r="BN6">
            <v>0</v>
          </cell>
          <cell r="BO6" t="str">
            <v>ACHAT FOURNITURE</v>
          </cell>
          <cell r="BP6" t="str">
            <v>FONDS DE ROULEMENT</v>
          </cell>
          <cell r="BQ6">
            <v>3000</v>
          </cell>
        </row>
        <row r="7">
          <cell r="A7" t="str">
            <v>AS201601</v>
          </cell>
          <cell r="B7" t="str">
            <v>BAKOP ACHILLE</v>
          </cell>
          <cell r="C7">
            <v>6000</v>
          </cell>
          <cell r="D7">
            <v>56000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I7">
            <v>60000</v>
          </cell>
          <cell r="AL7">
            <v>1000</v>
          </cell>
          <cell r="AQ7">
            <v>0</v>
          </cell>
          <cell r="AR7">
            <v>0</v>
          </cell>
          <cell r="AS7">
            <v>25000</v>
          </cell>
          <cell r="AW7">
            <v>60000</v>
          </cell>
          <cell r="AX7">
            <v>0</v>
          </cell>
          <cell r="AY7">
            <v>0</v>
          </cell>
          <cell r="AZ7">
            <v>60000</v>
          </cell>
          <cell r="BD7">
            <v>60000</v>
          </cell>
          <cell r="BE7" t="str">
            <v>OK</v>
          </cell>
          <cell r="BF7">
            <v>6000</v>
          </cell>
          <cell r="BG7">
            <v>10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100000</v>
          </cell>
          <cell r="E8">
            <v>25000</v>
          </cell>
          <cell r="F8">
            <v>0</v>
          </cell>
          <cell r="G8">
            <v>3000</v>
          </cell>
          <cell r="H8" t="str">
            <v>BANQUE</v>
          </cell>
          <cell r="I8">
            <v>-3000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22000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10</v>
          </cell>
          <cell r="BO8" t="str">
            <v>COMMISSION</v>
          </cell>
          <cell r="BP8" t="str">
            <v>FONDS DE ROULEMENT</v>
          </cell>
          <cell r="BQ8">
            <v>12000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10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125000</v>
          </cell>
          <cell r="E10">
            <v>105000</v>
          </cell>
          <cell r="F10">
            <v>0</v>
          </cell>
          <cell r="G10">
            <v>3000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102000</v>
          </cell>
          <cell r="R10">
            <v>0</v>
          </cell>
          <cell r="U10">
            <v>230000</v>
          </cell>
          <cell r="AI10">
            <v>60000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60000</v>
          </cell>
          <cell r="AX10">
            <v>0</v>
          </cell>
          <cell r="AY10">
            <v>0</v>
          </cell>
          <cell r="AZ10">
            <v>60000</v>
          </cell>
          <cell r="BA10">
            <v>60000</v>
          </cell>
          <cell r="BD10">
            <v>0</v>
          </cell>
          <cell r="BF10">
            <v>0</v>
          </cell>
          <cell r="BG10">
            <v>10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227000</v>
          </cell>
          <cell r="E11">
            <v>0</v>
          </cell>
          <cell r="F11">
            <v>1000000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102000</v>
          </cell>
          <cell r="R11">
            <v>0</v>
          </cell>
          <cell r="S11">
            <v>1000000</v>
          </cell>
          <cell r="U11">
            <v>1227000</v>
          </cell>
          <cell r="Z11">
            <v>1000000</v>
          </cell>
          <cell r="AC11">
            <v>16000</v>
          </cell>
          <cell r="AD11">
            <v>16000</v>
          </cell>
          <cell r="AF11" t="str">
            <v>BANQUE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284000</v>
          </cell>
          <cell r="AX11">
            <v>884000</v>
          </cell>
          <cell r="AY11">
            <v>0</v>
          </cell>
          <cell r="AZ11">
            <v>1148000</v>
          </cell>
          <cell r="BA11">
            <v>168000</v>
          </cell>
          <cell r="BD11">
            <v>878000</v>
          </cell>
          <cell r="BE11" t="str">
            <v>OK</v>
          </cell>
          <cell r="BF11">
            <v>20000</v>
          </cell>
          <cell r="BG11">
            <v>2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330000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330000</v>
          </cell>
          <cell r="AK12">
            <v>131000</v>
          </cell>
          <cell r="AN12">
            <v>1000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131000</v>
          </cell>
          <cell r="AZ12">
            <v>131000</v>
          </cell>
          <cell r="BA12">
            <v>66700</v>
          </cell>
          <cell r="BD12">
            <v>69300</v>
          </cell>
          <cell r="BE12" t="str">
            <v>OK</v>
          </cell>
          <cell r="BF12">
            <v>0</v>
          </cell>
          <cell r="BG12">
            <v>10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10</v>
          </cell>
          <cell r="BO13" t="str">
            <v>TAXI BANQUE</v>
          </cell>
          <cell r="BP13" t="str">
            <v>FONDS DE ROULEMENT</v>
          </cell>
          <cell r="BQ13">
            <v>12000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10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10</v>
          </cell>
          <cell r="BO16" t="str">
            <v>S/TOTAL</v>
          </cell>
          <cell r="BQ16">
            <v>27000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251000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101000</v>
          </cell>
          <cell r="U17">
            <v>251000</v>
          </cell>
          <cell r="AC17">
            <v>17000</v>
          </cell>
          <cell r="AF17" t="str">
            <v>BANQUE</v>
          </cell>
          <cell r="AP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283000</v>
          </cell>
          <cell r="AX17">
            <v>0</v>
          </cell>
          <cell r="AY17">
            <v>0</v>
          </cell>
          <cell r="AZ17">
            <v>283000</v>
          </cell>
          <cell r="BD17">
            <v>283000</v>
          </cell>
          <cell r="BE17" t="str">
            <v>OK</v>
          </cell>
          <cell r="BF17">
            <v>0</v>
          </cell>
          <cell r="BG17">
            <v>10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160000</v>
          </cell>
          <cell r="AE18">
            <v>40000</v>
          </cell>
          <cell r="AF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1160000</v>
          </cell>
          <cell r="AZ18">
            <v>1160000</v>
          </cell>
          <cell r="BD18">
            <v>1160000</v>
          </cell>
          <cell r="BE18" t="str">
            <v>OK</v>
          </cell>
          <cell r="BF18">
            <v>0</v>
          </cell>
          <cell r="BG18">
            <v>10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225000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0</v>
          </cell>
          <cell r="U20">
            <v>225000</v>
          </cell>
          <cell r="AD20">
            <v>16000</v>
          </cell>
          <cell r="AF20" t="str">
            <v>BANQUE</v>
          </cell>
          <cell r="AK20">
            <v>200000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884000</v>
          </cell>
          <cell r="AY20">
            <v>200000</v>
          </cell>
          <cell r="AZ20">
            <v>1084000</v>
          </cell>
          <cell r="BA20">
            <v>140000</v>
          </cell>
          <cell r="BD20">
            <v>944000</v>
          </cell>
          <cell r="BE20" t="str">
            <v>OK</v>
          </cell>
          <cell r="BF20">
            <v>0</v>
          </cell>
          <cell r="BG20">
            <v>10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10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10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0</v>
          </cell>
          <cell r="U23">
            <v>260000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10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240000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0</v>
          </cell>
          <cell r="AZ24">
            <v>100000</v>
          </cell>
          <cell r="BD24">
            <v>100000</v>
          </cell>
          <cell r="BE24" t="str">
            <v>OK</v>
          </cell>
          <cell r="BF24">
            <v>0</v>
          </cell>
          <cell r="BG24">
            <v>10</v>
          </cell>
          <cell r="BK24">
            <v>100000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U25">
            <v>375000</v>
          </cell>
          <cell r="AK25">
            <v>100000</v>
          </cell>
          <cell r="AN25">
            <v>1500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A25">
            <v>100000</v>
          </cell>
          <cell r="BD25">
            <v>0</v>
          </cell>
          <cell r="BF25">
            <v>0</v>
          </cell>
          <cell r="BG25">
            <v>10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10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10</v>
          </cell>
          <cell r="BO28" t="str">
            <v>S/TOTAL</v>
          </cell>
          <cell r="BQ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AI29">
            <v>51000</v>
          </cell>
          <cell r="AL29">
            <v>1000</v>
          </cell>
          <cell r="AQ29">
            <v>0</v>
          </cell>
          <cell r="AR29">
            <v>0</v>
          </cell>
          <cell r="AS29">
            <v>25000</v>
          </cell>
          <cell r="AW29">
            <v>51000</v>
          </cell>
          <cell r="AX29">
            <v>0</v>
          </cell>
          <cell r="AY29">
            <v>0</v>
          </cell>
          <cell r="AZ29">
            <v>51000</v>
          </cell>
          <cell r="BD29">
            <v>51000</v>
          </cell>
          <cell r="BE29" t="str">
            <v>OK</v>
          </cell>
          <cell r="BF29">
            <v>0</v>
          </cell>
          <cell r="BG29">
            <v>10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E30">
            <v>35000</v>
          </cell>
          <cell r="AF30" t="str">
            <v>BANQUE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1165000</v>
          </cell>
          <cell r="AZ30">
            <v>1165000</v>
          </cell>
          <cell r="BD30">
            <v>1165000</v>
          </cell>
          <cell r="BE30" t="str">
            <v>OK</v>
          </cell>
          <cell r="BF30">
            <v>0</v>
          </cell>
          <cell r="BG30">
            <v>10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10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U32">
            <v>125000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10</v>
          </cell>
          <cell r="BO32" t="str">
            <v>FUNERAILLE JOSUE DJOSSE</v>
          </cell>
          <cell r="BQ32">
            <v>100000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180000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30000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180000</v>
          </cell>
          <cell r="AQ33">
            <v>0</v>
          </cell>
          <cell r="AR33">
            <v>0</v>
          </cell>
          <cell r="AS33">
            <v>55000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10</v>
          </cell>
          <cell r="BO33" t="str">
            <v>S/TOTAL</v>
          </cell>
          <cell r="BQ33">
            <v>100000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10</v>
          </cell>
          <cell r="BO34" t="str">
            <v>S/TOTAL</v>
          </cell>
          <cell r="BQ34">
            <v>200000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10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10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10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6000</v>
          </cell>
          <cell r="D40">
            <v>4749000</v>
          </cell>
          <cell r="E40">
            <v>534700</v>
          </cell>
          <cell r="F40">
            <v>1000000</v>
          </cell>
          <cell r="G40">
            <v>9000</v>
          </cell>
          <cell r="H40">
            <v>0</v>
          </cell>
          <cell r="I40">
            <v>112000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0</v>
          </cell>
          <cell r="Q40">
            <v>204000</v>
          </cell>
          <cell r="R40">
            <v>101000</v>
          </cell>
          <cell r="S40">
            <v>1000000</v>
          </cell>
          <cell r="U40">
            <v>6026000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1000000</v>
          </cell>
          <cell r="AA40">
            <v>0</v>
          </cell>
          <cell r="AC40">
            <v>33000</v>
          </cell>
          <cell r="AD40">
            <v>32000</v>
          </cell>
          <cell r="AE40">
            <v>75000</v>
          </cell>
          <cell r="AF40">
            <v>0</v>
          </cell>
          <cell r="AG40">
            <v>0</v>
          </cell>
          <cell r="AI40">
            <v>171000</v>
          </cell>
          <cell r="AJ40">
            <v>0</v>
          </cell>
          <cell r="AK40">
            <v>431000</v>
          </cell>
          <cell r="AL40">
            <v>3000</v>
          </cell>
          <cell r="AM40">
            <v>0</v>
          </cell>
          <cell r="AN40">
            <v>4500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912000</v>
          </cell>
          <cell r="AT40">
            <v>0</v>
          </cell>
          <cell r="AU40">
            <v>0</v>
          </cell>
          <cell r="AV40">
            <v>0</v>
          </cell>
          <cell r="AW40">
            <v>738000</v>
          </cell>
          <cell r="AX40">
            <v>1768000</v>
          </cell>
          <cell r="AY40">
            <v>2756000</v>
          </cell>
          <cell r="AZ40">
            <v>5469000</v>
          </cell>
          <cell r="BA40">
            <v>534700</v>
          </cell>
          <cell r="BB40">
            <v>0</v>
          </cell>
          <cell r="BC40">
            <v>0</v>
          </cell>
          <cell r="BD40">
            <v>4837300</v>
          </cell>
          <cell r="BE40">
            <v>0</v>
          </cell>
          <cell r="BF40">
            <v>26000</v>
          </cell>
          <cell r="BH40">
            <v>27000</v>
          </cell>
          <cell r="BI40">
            <v>0</v>
          </cell>
          <cell r="BJ40">
            <v>100000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  <cell r="BQ40">
            <v>100000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48000</v>
          </cell>
          <cell r="BD6">
            <v>48000</v>
          </cell>
          <cell r="BE6" t="str">
            <v>OK</v>
          </cell>
          <cell r="BF6">
            <v>0</v>
          </cell>
          <cell r="BG6">
            <v>9</v>
          </cell>
          <cell r="BH6">
            <v>48000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6000</v>
          </cell>
          <cell r="D7">
            <v>78000</v>
          </cell>
          <cell r="E7">
            <v>61000</v>
          </cell>
          <cell r="F7">
            <v>0</v>
          </cell>
          <cell r="G7">
            <v>0</v>
          </cell>
          <cell r="H7" t="str">
            <v>BANQUE</v>
          </cell>
          <cell r="I7">
            <v>22000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61000</v>
          </cell>
          <cell r="U7">
            <v>133000</v>
          </cell>
          <cell r="AC7">
            <v>10000</v>
          </cell>
          <cell r="AF7" t="str">
            <v>BANQUE</v>
          </cell>
          <cell r="AQ7">
            <v>0</v>
          </cell>
          <cell r="AR7">
            <v>0</v>
          </cell>
          <cell r="AS7">
            <v>47000</v>
          </cell>
          <cell r="AW7">
            <v>290000</v>
          </cell>
          <cell r="AX7">
            <v>0</v>
          </cell>
          <cell r="AY7">
            <v>0</v>
          </cell>
          <cell r="AZ7">
            <v>284000</v>
          </cell>
          <cell r="BD7">
            <v>290000</v>
          </cell>
          <cell r="BE7" t="str">
            <v>OK</v>
          </cell>
          <cell r="BF7">
            <v>6000</v>
          </cell>
          <cell r="BG7">
            <v>9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25000</v>
          </cell>
          <cell r="D8">
            <v>150000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25000</v>
          </cell>
          <cell r="BG8">
            <v>9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0</v>
          </cell>
          <cell r="U9">
            <v>250000</v>
          </cell>
          <cell r="AC9">
            <v>18000</v>
          </cell>
          <cell r="AF9" t="str">
            <v>BANQUE</v>
          </cell>
          <cell r="AK9">
            <v>205500</v>
          </cell>
          <cell r="AN9">
            <v>2000</v>
          </cell>
          <cell r="AQ9">
            <v>0</v>
          </cell>
          <cell r="AR9">
            <v>0</v>
          </cell>
          <cell r="AS9">
            <v>25000</v>
          </cell>
          <cell r="AW9">
            <v>282000</v>
          </cell>
          <cell r="AX9">
            <v>0</v>
          </cell>
          <cell r="AY9">
            <v>205500</v>
          </cell>
          <cell r="AZ9">
            <v>487500</v>
          </cell>
          <cell r="BA9">
            <v>282000</v>
          </cell>
          <cell r="BD9">
            <v>205500</v>
          </cell>
          <cell r="BE9" t="str">
            <v>OK</v>
          </cell>
          <cell r="BF9">
            <v>0</v>
          </cell>
          <cell r="BG9">
            <v>9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180000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-6000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0</v>
          </cell>
          <cell r="U10">
            <v>180000</v>
          </cell>
          <cell r="AD10">
            <v>28000</v>
          </cell>
          <cell r="AF10" t="str">
            <v>BANQUE</v>
          </cell>
          <cell r="AI10">
            <v>39000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19000</v>
          </cell>
          <cell r="AW10">
            <v>39000</v>
          </cell>
          <cell r="AX10">
            <v>872000</v>
          </cell>
          <cell r="AY10">
            <v>0</v>
          </cell>
          <cell r="AZ10">
            <v>911000</v>
          </cell>
          <cell r="BA10">
            <v>39000</v>
          </cell>
          <cell r="BD10">
            <v>872000</v>
          </cell>
          <cell r="BE10" t="str">
            <v>OK</v>
          </cell>
          <cell r="BF10">
            <v>0</v>
          </cell>
          <cell r="BG10">
            <v>9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125000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0</v>
          </cell>
          <cell r="U11">
            <v>125000</v>
          </cell>
          <cell r="AI11">
            <v>40000</v>
          </cell>
          <cell r="AJ11">
            <v>100000</v>
          </cell>
          <cell r="AL11">
            <v>1000</v>
          </cell>
          <cell r="AM11">
            <v>3000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40000</v>
          </cell>
          <cell r="AX11">
            <v>100000</v>
          </cell>
          <cell r="AY11">
            <v>0</v>
          </cell>
          <cell r="AZ11">
            <v>140000</v>
          </cell>
          <cell r="BA11">
            <v>100000</v>
          </cell>
          <cell r="BD11">
            <v>40000</v>
          </cell>
          <cell r="BE11" t="str">
            <v>OK</v>
          </cell>
          <cell r="BF11">
            <v>0</v>
          </cell>
          <cell r="BG11">
            <v>9</v>
          </cell>
          <cell r="BO11" t="str">
            <v>PRODUCTION RAPPORT</v>
          </cell>
          <cell r="BP11" t="str">
            <v>FONDS DE ROULEMENT</v>
          </cell>
          <cell r="BQ11">
            <v>30000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462000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132000</v>
          </cell>
          <cell r="U12">
            <v>462000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9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9</v>
          </cell>
          <cell r="BO13" t="str">
            <v>TAXI BANQUE</v>
          </cell>
          <cell r="BP13" t="str">
            <v>FONDS DE ROULEMENT</v>
          </cell>
          <cell r="BQ13">
            <v>18000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9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9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9</v>
          </cell>
          <cell r="BO16" t="str">
            <v>S/TOTAL</v>
          </cell>
          <cell r="BQ16">
            <v>48000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500000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S17">
            <v>500000</v>
          </cell>
          <cell r="T17" t="str">
            <v>BANQUE</v>
          </cell>
          <cell r="U17">
            <v>650000</v>
          </cell>
          <cell r="AE17">
            <v>70000</v>
          </cell>
          <cell r="AF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1130000</v>
          </cell>
          <cell r="AZ17">
            <v>630000</v>
          </cell>
          <cell r="BD17">
            <v>630000</v>
          </cell>
          <cell r="BE17" t="str">
            <v>OK</v>
          </cell>
          <cell r="BF17">
            <v>0</v>
          </cell>
          <cell r="BG17">
            <v>9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0</v>
          </cell>
          <cell r="U18">
            <v>160000</v>
          </cell>
          <cell r="AK18">
            <v>200000</v>
          </cell>
          <cell r="AN18">
            <v>2000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D18">
            <v>200000</v>
          </cell>
          <cell r="BE18" t="str">
            <v>OK</v>
          </cell>
          <cell r="BF18">
            <v>0</v>
          </cell>
          <cell r="BG18">
            <v>9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9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427000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202000</v>
          </cell>
          <cell r="U20">
            <v>427000</v>
          </cell>
          <cell r="AJ20">
            <v>89000</v>
          </cell>
          <cell r="AK20">
            <v>200000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89000</v>
          </cell>
          <cell r="AY20">
            <v>200000</v>
          </cell>
          <cell r="AZ20">
            <v>289000</v>
          </cell>
          <cell r="BA20">
            <v>145500</v>
          </cell>
          <cell r="BD20">
            <v>143500</v>
          </cell>
          <cell r="BE20" t="str">
            <v>OK</v>
          </cell>
          <cell r="BF20">
            <v>0</v>
          </cell>
          <cell r="BG20">
            <v>9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9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125000</v>
          </cell>
          <cell r="AC22">
            <v>17000</v>
          </cell>
          <cell r="AF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283000</v>
          </cell>
          <cell r="AX22">
            <v>0</v>
          </cell>
          <cell r="AY22">
            <v>0</v>
          </cell>
          <cell r="AZ22">
            <v>283000</v>
          </cell>
          <cell r="BD22">
            <v>283000</v>
          </cell>
          <cell r="BE22" t="str">
            <v>OK</v>
          </cell>
          <cell r="BF22">
            <v>0</v>
          </cell>
          <cell r="BG22">
            <v>9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260000</v>
          </cell>
          <cell r="AK23">
            <v>200000</v>
          </cell>
          <cell r="AN23">
            <v>2000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  <cell r="BD23">
            <v>170000</v>
          </cell>
          <cell r="BE23" t="str">
            <v>OK</v>
          </cell>
          <cell r="BF23">
            <v>0</v>
          </cell>
          <cell r="BG23">
            <v>9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240000</v>
          </cell>
          <cell r="AK24">
            <v>100000</v>
          </cell>
          <cell r="AN24">
            <v>1000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100000</v>
          </cell>
          <cell r="AZ24">
            <v>0</v>
          </cell>
          <cell r="BD24">
            <v>0</v>
          </cell>
          <cell r="BF24">
            <v>0</v>
          </cell>
          <cell r="BG24">
            <v>9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375000</v>
          </cell>
          <cell r="E25">
            <v>104500</v>
          </cell>
          <cell r="F25">
            <v>0</v>
          </cell>
          <cell r="G25">
            <v>3000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101500</v>
          </cell>
          <cell r="U25">
            <v>479500</v>
          </cell>
          <cell r="AK25">
            <v>200000</v>
          </cell>
          <cell r="AN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  <cell r="BD25">
            <v>200000</v>
          </cell>
          <cell r="BE25" t="str">
            <v>OK</v>
          </cell>
          <cell r="BF25">
            <v>0</v>
          </cell>
          <cell r="BG25">
            <v>9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30000</v>
          </cell>
          <cell r="BG26">
            <v>9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Z27">
            <v>50000</v>
          </cell>
          <cell r="AA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48500</v>
          </cell>
          <cell r="BD27">
            <v>48500</v>
          </cell>
          <cell r="BE27" t="str">
            <v>OK</v>
          </cell>
          <cell r="BF27">
            <v>1500</v>
          </cell>
          <cell r="BG27">
            <v>3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9</v>
          </cell>
          <cell r="BO28" t="str">
            <v>S/TOTAL</v>
          </cell>
          <cell r="BQ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102000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52000</v>
          </cell>
          <cell r="U29">
            <v>102000</v>
          </cell>
          <cell r="AI29">
            <v>40000</v>
          </cell>
          <cell r="AL29">
            <v>2500</v>
          </cell>
          <cell r="AQ29">
            <v>0</v>
          </cell>
          <cell r="AR29">
            <v>0</v>
          </cell>
          <cell r="AS29">
            <v>25000</v>
          </cell>
          <cell r="AW29">
            <v>40000</v>
          </cell>
          <cell r="AX29">
            <v>0</v>
          </cell>
          <cell r="AY29">
            <v>0</v>
          </cell>
          <cell r="AZ29">
            <v>40000</v>
          </cell>
          <cell r="BA29">
            <v>40000</v>
          </cell>
          <cell r="BD29">
            <v>0</v>
          </cell>
          <cell r="BE29">
            <v>2889015</v>
          </cell>
          <cell r="BF29">
            <v>0</v>
          </cell>
          <cell r="BG29">
            <v>9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9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400000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S31">
            <v>250000</v>
          </cell>
          <cell r="U31">
            <v>400000</v>
          </cell>
          <cell r="Z31">
            <v>1000000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1000000</v>
          </cell>
          <cell r="BD31">
            <v>970000</v>
          </cell>
          <cell r="BE31" t="str">
            <v>OK</v>
          </cell>
          <cell r="BF31">
            <v>30000</v>
          </cell>
          <cell r="BG31">
            <v>3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125000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9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200000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50000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200000</v>
          </cell>
          <cell r="AQ33">
            <v>0</v>
          </cell>
          <cell r="AR33">
            <v>0</v>
          </cell>
          <cell r="AS33">
            <v>75000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9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9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9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9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9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100000</v>
          </cell>
          <cell r="BD38">
            <v>100000</v>
          </cell>
          <cell r="BE38" t="str">
            <v>OK</v>
          </cell>
          <cell r="BF38">
            <v>0</v>
          </cell>
          <cell r="BG38">
            <v>9</v>
          </cell>
          <cell r="BK38">
            <v>100000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31000</v>
          </cell>
          <cell r="D40">
            <v>5329000</v>
          </cell>
          <cell r="E40">
            <v>318500</v>
          </cell>
          <cell r="F40">
            <v>500000</v>
          </cell>
          <cell r="G40">
            <v>6000</v>
          </cell>
          <cell r="H40">
            <v>0</v>
          </cell>
          <cell r="I40">
            <v>151000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174000</v>
          </cell>
          <cell r="Q40">
            <v>0</v>
          </cell>
          <cell r="R40">
            <v>435500</v>
          </cell>
          <cell r="S40">
            <v>750000</v>
          </cell>
          <cell r="U40">
            <v>6116500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1050000</v>
          </cell>
          <cell r="AA40">
            <v>0</v>
          </cell>
          <cell r="AC40">
            <v>45000</v>
          </cell>
          <cell r="AD40">
            <v>28000</v>
          </cell>
          <cell r="AE40">
            <v>70000</v>
          </cell>
          <cell r="AF40">
            <v>0</v>
          </cell>
          <cell r="AG40">
            <v>0</v>
          </cell>
          <cell r="AI40">
            <v>119000</v>
          </cell>
          <cell r="AJ40">
            <v>189000</v>
          </cell>
          <cell r="AK40">
            <v>1105500</v>
          </cell>
          <cell r="AL40">
            <v>4500</v>
          </cell>
          <cell r="AM40">
            <v>5000</v>
          </cell>
          <cell r="AN40">
            <v>11000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951000</v>
          </cell>
          <cell r="AT40">
            <v>0</v>
          </cell>
          <cell r="AU40">
            <v>0</v>
          </cell>
          <cell r="AV40">
            <v>0</v>
          </cell>
          <cell r="AW40">
            <v>974000</v>
          </cell>
          <cell r="AX40">
            <v>1061000</v>
          </cell>
          <cell r="AY40">
            <v>2235500</v>
          </cell>
          <cell r="AZ40">
            <v>4861000</v>
          </cell>
          <cell r="BA40">
            <v>606500</v>
          </cell>
          <cell r="BB40">
            <v>0</v>
          </cell>
          <cell r="BC40">
            <v>0</v>
          </cell>
          <cell r="BD40">
            <v>4200500</v>
          </cell>
          <cell r="BE40">
            <v>2889015</v>
          </cell>
          <cell r="BF40">
            <v>92500</v>
          </cell>
          <cell r="BH40">
            <v>48000</v>
          </cell>
          <cell r="BI40">
            <v>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  <cell r="BQ40">
            <v>100000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221000</v>
          </cell>
          <cell r="BD6">
            <v>221000</v>
          </cell>
          <cell r="BE6" t="str">
            <v>OK</v>
          </cell>
          <cell r="BF6">
            <v>0</v>
          </cell>
          <cell r="BG6">
            <v>8</v>
          </cell>
          <cell r="BH6">
            <v>21000</v>
          </cell>
          <cell r="BI6">
            <v>100000</v>
          </cell>
          <cell r="BJ6">
            <v>0</v>
          </cell>
          <cell r="BK6">
            <v>100000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3000</v>
          </cell>
          <cell r="H7" t="str">
            <v>ESPECES</v>
          </cell>
          <cell r="I7">
            <v>-3000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U7">
            <v>50000</v>
          </cell>
          <cell r="AQ7">
            <v>0</v>
          </cell>
          <cell r="AR7">
            <v>0</v>
          </cell>
          <cell r="AS7">
            <v>22000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8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8</v>
          </cell>
          <cell r="BO8" t="str">
            <v>COMMISSION</v>
          </cell>
          <cell r="BP8" t="str">
            <v>FONDS DE ROULEMENT</v>
          </cell>
          <cell r="BQ8">
            <v>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455000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-2500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207500</v>
          </cell>
          <cell r="U9">
            <v>455000</v>
          </cell>
          <cell r="AP9" t="str">
            <v>BANQUE</v>
          </cell>
          <cell r="AQ9">
            <v>0</v>
          </cell>
          <cell r="AR9">
            <v>0</v>
          </cell>
          <cell r="AS9">
            <v>22500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8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165000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40000</v>
          </cell>
          <cell r="Q10">
            <v>0</v>
          </cell>
          <cell r="U10">
            <v>165000</v>
          </cell>
          <cell r="AJ10">
            <v>101500</v>
          </cell>
          <cell r="AM10">
            <v>2500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0</v>
          </cell>
          <cell r="AX10">
            <v>101500</v>
          </cell>
          <cell r="AY10">
            <v>0</v>
          </cell>
          <cell r="AZ10">
            <v>101500</v>
          </cell>
          <cell r="BA10">
            <v>100000</v>
          </cell>
          <cell r="BD10">
            <v>1500</v>
          </cell>
          <cell r="BE10" t="str">
            <v>OK</v>
          </cell>
          <cell r="BF10">
            <v>0</v>
          </cell>
          <cell r="BG10">
            <v>8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-41000</v>
          </cell>
          <cell r="D11">
            <v>238000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10000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41000</v>
          </cell>
          <cell r="Q11">
            <v>103000</v>
          </cell>
          <cell r="U11">
            <v>279000</v>
          </cell>
          <cell r="AI11">
            <v>41000</v>
          </cell>
          <cell r="AJ11">
            <v>200000</v>
          </cell>
          <cell r="AL11">
            <v>2000</v>
          </cell>
          <cell r="AM11">
            <v>3000</v>
          </cell>
          <cell r="AP11" t="str">
            <v>BANQUE</v>
          </cell>
          <cell r="AQ11">
            <v>0</v>
          </cell>
          <cell r="AR11">
            <v>0</v>
          </cell>
          <cell r="AS11">
            <v>35000</v>
          </cell>
          <cell r="AW11">
            <v>41000</v>
          </cell>
          <cell r="AX11">
            <v>200000</v>
          </cell>
          <cell r="AY11">
            <v>0</v>
          </cell>
          <cell r="AZ11">
            <v>200000</v>
          </cell>
          <cell r="BA11">
            <v>200000</v>
          </cell>
          <cell r="BD11">
            <v>0</v>
          </cell>
          <cell r="BF11">
            <v>0</v>
          </cell>
          <cell r="BG11">
            <v>4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330000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330000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8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8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8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AC15">
            <v>10000</v>
          </cell>
          <cell r="AF15" t="str">
            <v>BANQUE</v>
          </cell>
          <cell r="AP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290000</v>
          </cell>
          <cell r="AX15">
            <v>0</v>
          </cell>
          <cell r="AY15">
            <v>0</v>
          </cell>
          <cell r="AZ15">
            <v>290000</v>
          </cell>
          <cell r="BD15">
            <v>290000</v>
          </cell>
          <cell r="BE15" t="str">
            <v>OK</v>
          </cell>
          <cell r="BF15">
            <v>0</v>
          </cell>
          <cell r="BG15">
            <v>8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E16">
            <v>15000</v>
          </cell>
          <cell r="AF16" t="str">
            <v>BANQUE</v>
          </cell>
          <cell r="AP16" t="str">
            <v>BANQUE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1185000</v>
          </cell>
          <cell r="AZ16">
            <v>1185000</v>
          </cell>
          <cell r="BD16">
            <v>1185000</v>
          </cell>
          <cell r="BE16" t="str">
            <v>OK</v>
          </cell>
          <cell r="BF16">
            <v>0</v>
          </cell>
          <cell r="BG16">
            <v>8</v>
          </cell>
          <cell r="BO16" t="str">
            <v>S/TOTAL</v>
          </cell>
          <cell r="BQ16">
            <v>21000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150000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8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362000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202000</v>
          </cell>
          <cell r="U18">
            <v>362000</v>
          </cell>
          <cell r="AK18">
            <v>200000</v>
          </cell>
          <cell r="AN18">
            <v>5000</v>
          </cell>
          <cell r="AP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D18">
            <v>200000</v>
          </cell>
          <cell r="BE18" t="str">
            <v>OK</v>
          </cell>
          <cell r="BF18">
            <v>0</v>
          </cell>
          <cell r="BG18">
            <v>8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8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517000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-1000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91000</v>
          </cell>
          <cell r="R20">
            <v>202000</v>
          </cell>
          <cell r="U20">
            <v>517000</v>
          </cell>
          <cell r="AJ20">
            <v>100000</v>
          </cell>
          <cell r="AK20">
            <v>70500</v>
          </cell>
          <cell r="AM20">
            <v>1500</v>
          </cell>
          <cell r="AN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24000</v>
          </cell>
          <cell r="AW20">
            <v>0</v>
          </cell>
          <cell r="AX20">
            <v>100000</v>
          </cell>
          <cell r="AY20">
            <v>70500</v>
          </cell>
          <cell r="AZ20">
            <v>170500</v>
          </cell>
          <cell r="BA20">
            <v>80000</v>
          </cell>
          <cell r="BD20">
            <v>90500</v>
          </cell>
          <cell r="BE20" t="str">
            <v>OK</v>
          </cell>
          <cell r="BF20">
            <v>0</v>
          </cell>
          <cell r="BG20">
            <v>8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8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8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202000</v>
          </cell>
          <cell r="U23">
            <v>462000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8</v>
          </cell>
        </row>
        <row r="24">
          <cell r="A24" t="str">
            <v>AS201624</v>
          </cell>
          <cell r="B24" t="str">
            <v>NGONDIEP CLAUDE</v>
          </cell>
          <cell r="C24">
            <v>-101000</v>
          </cell>
          <cell r="D24">
            <v>0</v>
          </cell>
          <cell r="E24">
            <v>250000</v>
          </cell>
          <cell r="F24">
            <v>0</v>
          </cell>
          <cell r="G24">
            <v>3000</v>
          </cell>
          <cell r="H24" t="str">
            <v>ESPECES</v>
          </cell>
          <cell r="I24">
            <v>22000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101000</v>
          </cell>
          <cell r="U24">
            <v>351000</v>
          </cell>
          <cell r="AK24">
            <v>101500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47000</v>
          </cell>
          <cell r="AW24">
            <v>0</v>
          </cell>
          <cell r="AX24">
            <v>0</v>
          </cell>
          <cell r="AY24">
            <v>101500</v>
          </cell>
          <cell r="AZ24">
            <v>101500</v>
          </cell>
          <cell r="BD24">
            <v>0</v>
          </cell>
          <cell r="BF24">
            <v>0</v>
          </cell>
          <cell r="BG24">
            <v>8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575000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-2000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202000</v>
          </cell>
          <cell r="U25">
            <v>575000</v>
          </cell>
          <cell r="AC25">
            <v>11000</v>
          </cell>
          <cell r="AF25" t="str">
            <v>BANQUE</v>
          </cell>
          <cell r="AK25">
            <v>200000</v>
          </cell>
          <cell r="AN25">
            <v>5500</v>
          </cell>
          <cell r="AP25" t="str">
            <v>BANQUE</v>
          </cell>
          <cell r="AQ25">
            <v>0</v>
          </cell>
          <cell r="AR25">
            <v>0</v>
          </cell>
          <cell r="AS25">
            <v>23000</v>
          </cell>
          <cell r="AW25">
            <v>289000</v>
          </cell>
          <cell r="AX25">
            <v>0</v>
          </cell>
          <cell r="AY25">
            <v>200000</v>
          </cell>
          <cell r="AZ25">
            <v>489000</v>
          </cell>
          <cell r="BD25">
            <v>489000</v>
          </cell>
          <cell r="BE25" t="str">
            <v>OK</v>
          </cell>
          <cell r="BF25">
            <v>0</v>
          </cell>
          <cell r="BG25">
            <v>8</v>
          </cell>
          <cell r="BO25" t="str">
            <v>INSTALLATION CHEF LA AGWE</v>
          </cell>
          <cell r="BP25" t="str">
            <v>FRAIS EXEPTIONNEL</v>
          </cell>
          <cell r="BQ25">
            <v>100000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8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8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8</v>
          </cell>
          <cell r="BO28" t="str">
            <v>S/TOTAL</v>
          </cell>
          <cell r="BQ28">
            <v>100000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92500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42500</v>
          </cell>
          <cell r="U29">
            <v>92500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8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8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150000</v>
          </cell>
          <cell r="AE31">
            <v>40000</v>
          </cell>
          <cell r="AF31" t="str">
            <v>BANQUE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1160000</v>
          </cell>
          <cell r="AZ31">
            <v>1160000</v>
          </cell>
          <cell r="BD31">
            <v>1160000</v>
          </cell>
          <cell r="BE31" t="str">
            <v>OK</v>
          </cell>
          <cell r="BF31">
            <v>0</v>
          </cell>
          <cell r="BG31">
            <v>8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125000</v>
          </cell>
          <cell r="AC32">
            <v>10500</v>
          </cell>
          <cell r="AD32">
            <v>7500</v>
          </cell>
          <cell r="AF32" t="str">
            <v>BANQUE</v>
          </cell>
          <cell r="AJ32">
            <v>100000</v>
          </cell>
          <cell r="AM32">
            <v>1000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289500</v>
          </cell>
          <cell r="AX32">
            <v>992500</v>
          </cell>
          <cell r="AY32">
            <v>0</v>
          </cell>
          <cell r="AZ32">
            <v>1282000</v>
          </cell>
          <cell r="BA32">
            <v>20000</v>
          </cell>
          <cell r="BD32">
            <v>1262000</v>
          </cell>
          <cell r="BE32" t="str">
            <v>OK</v>
          </cell>
          <cell r="BF32">
            <v>0</v>
          </cell>
          <cell r="BG32">
            <v>8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230000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80000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230000</v>
          </cell>
          <cell r="AQ33">
            <v>0</v>
          </cell>
          <cell r="AR33">
            <v>0</v>
          </cell>
          <cell r="AS33">
            <v>105000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8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0</v>
          </cell>
          <cell r="E34">
            <v>50000</v>
          </cell>
          <cell r="F34">
            <v>0</v>
          </cell>
          <cell r="G34">
            <v>3000</v>
          </cell>
          <cell r="H34" t="str">
            <v>ESPECES</v>
          </cell>
          <cell r="I34">
            <v>-3000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22000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8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8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53000</v>
          </cell>
          <cell r="F36">
            <v>0</v>
          </cell>
          <cell r="G36">
            <v>3000</v>
          </cell>
          <cell r="H36" t="str">
            <v>ESPECES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53000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8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8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8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-142000</v>
          </cell>
          <cell r="D40">
            <v>5671500</v>
          </cell>
          <cell r="E40">
            <v>403000</v>
          </cell>
          <cell r="F40">
            <v>0</v>
          </cell>
          <cell r="G40">
            <v>12000</v>
          </cell>
          <cell r="H40">
            <v>0</v>
          </cell>
          <cell r="I40">
            <v>170500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123500</v>
          </cell>
          <cell r="Q40">
            <v>194000</v>
          </cell>
          <cell r="R40">
            <v>1116500</v>
          </cell>
          <cell r="S40">
            <v>0</v>
          </cell>
          <cell r="U40">
            <v>6216500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31500</v>
          </cell>
          <cell r="AD40">
            <v>7500</v>
          </cell>
          <cell r="AE40">
            <v>55000</v>
          </cell>
          <cell r="AF40">
            <v>0</v>
          </cell>
          <cell r="AG40">
            <v>0</v>
          </cell>
          <cell r="AI40">
            <v>41000</v>
          </cell>
          <cell r="AJ40">
            <v>501500</v>
          </cell>
          <cell r="AK40">
            <v>572000</v>
          </cell>
          <cell r="AL40">
            <v>2000</v>
          </cell>
          <cell r="AM40">
            <v>8000</v>
          </cell>
          <cell r="AN40">
            <v>13500</v>
          </cell>
          <cell r="AO40">
            <v>0</v>
          </cell>
          <cell r="AQ40">
            <v>0</v>
          </cell>
          <cell r="AR40">
            <v>0</v>
          </cell>
          <cell r="AS40">
            <v>970500</v>
          </cell>
          <cell r="AT40">
            <v>0</v>
          </cell>
          <cell r="AU40">
            <v>0</v>
          </cell>
          <cell r="AV40">
            <v>0</v>
          </cell>
          <cell r="AW40">
            <v>909500</v>
          </cell>
          <cell r="AX40">
            <v>1394000</v>
          </cell>
          <cell r="AY40">
            <v>2917000</v>
          </cell>
          <cell r="AZ40">
            <v>5400500</v>
          </cell>
          <cell r="BA40">
            <v>400000</v>
          </cell>
          <cell r="BB40">
            <v>0</v>
          </cell>
          <cell r="BC40">
            <v>0</v>
          </cell>
          <cell r="BD40">
            <v>4899000</v>
          </cell>
          <cell r="BE40">
            <v>0</v>
          </cell>
          <cell r="BF40">
            <v>0</v>
          </cell>
          <cell r="BH40">
            <v>21000</v>
          </cell>
          <cell r="BI40">
            <v>100000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  <cell r="BQ40">
            <v>100000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119000</v>
          </cell>
          <cell r="BA6">
            <v>19000</v>
          </cell>
          <cell r="BD6">
            <v>100000</v>
          </cell>
          <cell r="BF6">
            <v>0</v>
          </cell>
          <cell r="BG6">
            <v>7</v>
          </cell>
          <cell r="BH6">
            <v>19000</v>
          </cell>
          <cell r="BI6">
            <v>0</v>
          </cell>
          <cell r="BJ6">
            <v>0</v>
          </cell>
          <cell r="BK6">
            <v>100000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50000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7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7</v>
          </cell>
          <cell r="BO8" t="str">
            <v>COMMISSION</v>
          </cell>
          <cell r="BP8" t="str">
            <v>FONDS DE ROULEMENT</v>
          </cell>
          <cell r="BQ8">
            <v>13000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7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227000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-2000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104000</v>
          </cell>
          <cell r="U10">
            <v>227000</v>
          </cell>
          <cell r="AP10" t="str">
            <v>BANQUE</v>
          </cell>
          <cell r="AQ10">
            <v>0</v>
          </cell>
          <cell r="AR10">
            <v>0</v>
          </cell>
          <cell r="AS10">
            <v>23000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7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376000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5000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43000</v>
          </cell>
          <cell r="Q11">
            <v>203000</v>
          </cell>
          <cell r="U11">
            <v>376000</v>
          </cell>
          <cell r="AJ11">
            <v>150000</v>
          </cell>
          <cell r="AM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30000</v>
          </cell>
          <cell r="AW11">
            <v>0</v>
          </cell>
          <cell r="AX11">
            <v>150000</v>
          </cell>
          <cell r="AY11">
            <v>0</v>
          </cell>
          <cell r="AZ11">
            <v>150000</v>
          </cell>
          <cell r="BA11">
            <v>100000</v>
          </cell>
          <cell r="BD11">
            <v>0</v>
          </cell>
          <cell r="BF11">
            <v>0</v>
          </cell>
          <cell r="BG11">
            <v>7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825000</v>
          </cell>
          <cell r="E12">
            <v>5000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S12">
            <v>500000</v>
          </cell>
          <cell r="T12" t="str">
            <v>BANQUE</v>
          </cell>
          <cell r="U12">
            <v>830000</v>
          </cell>
          <cell r="AE12">
            <v>10000</v>
          </cell>
          <cell r="AF12" t="str">
            <v>BANQUE</v>
          </cell>
          <cell r="AJ12">
            <v>100000</v>
          </cell>
          <cell r="AM12">
            <v>1000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100000</v>
          </cell>
          <cell r="AY12">
            <v>1190000</v>
          </cell>
          <cell r="AZ12">
            <v>1190000</v>
          </cell>
          <cell r="BD12">
            <v>1190000</v>
          </cell>
          <cell r="BE12" t="str">
            <v>OK</v>
          </cell>
          <cell r="BF12">
            <v>0</v>
          </cell>
          <cell r="BG12">
            <v>7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7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7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Z15">
            <v>1000000</v>
          </cell>
          <cell r="AA15" t="str">
            <v>BQNAUE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930000</v>
          </cell>
          <cell r="BD15">
            <v>930000</v>
          </cell>
          <cell r="BE15" t="str">
            <v>OK</v>
          </cell>
          <cell r="BF15">
            <v>70000</v>
          </cell>
          <cell r="BG15">
            <v>7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7</v>
          </cell>
          <cell r="BO16" t="str">
            <v>S/TOTAL</v>
          </cell>
          <cell r="BQ16">
            <v>19000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150000</v>
          </cell>
          <cell r="AI17">
            <v>50000</v>
          </cell>
          <cell r="AL17">
            <v>500</v>
          </cell>
          <cell r="AQ17">
            <v>0</v>
          </cell>
          <cell r="AR17">
            <v>0</v>
          </cell>
          <cell r="AS17">
            <v>25000</v>
          </cell>
          <cell r="AW17">
            <v>50000</v>
          </cell>
          <cell r="AX17">
            <v>0</v>
          </cell>
          <cell r="AY17">
            <v>0</v>
          </cell>
          <cell r="AZ17">
            <v>50000</v>
          </cell>
          <cell r="BA17">
            <v>50000</v>
          </cell>
          <cell r="BD17">
            <v>0</v>
          </cell>
          <cell r="BF17">
            <v>0</v>
          </cell>
          <cell r="BG17">
            <v>7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365000</v>
          </cell>
          <cell r="E18">
            <v>1003000</v>
          </cell>
          <cell r="F18">
            <v>0</v>
          </cell>
          <cell r="G18">
            <v>3000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205000</v>
          </cell>
          <cell r="S18">
            <v>1000000</v>
          </cell>
          <cell r="T18" t="str">
            <v>BANQUE</v>
          </cell>
          <cell r="U18">
            <v>1368000</v>
          </cell>
          <cell r="Z18">
            <v>350000</v>
          </cell>
          <cell r="AA18" t="str">
            <v>BANQUE</v>
          </cell>
          <cell r="AP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0</v>
          </cell>
          <cell r="AZ18">
            <v>336000</v>
          </cell>
          <cell r="BA18">
            <v>336000</v>
          </cell>
          <cell r="BD18">
            <v>0</v>
          </cell>
          <cell r="BF18">
            <v>14000</v>
          </cell>
          <cell r="BG18">
            <v>4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7</v>
          </cell>
        </row>
        <row r="20">
          <cell r="A20" t="str">
            <v>AS201649</v>
          </cell>
          <cell r="B20" t="str">
            <v>MBOGNING TUGMA GUY</v>
          </cell>
          <cell r="C20">
            <v>-500</v>
          </cell>
          <cell r="D20">
            <v>296000</v>
          </cell>
          <cell r="E20">
            <v>101000</v>
          </cell>
          <cell r="F20">
            <v>0</v>
          </cell>
          <cell r="G20">
            <v>0</v>
          </cell>
          <cell r="H20" t="str">
            <v>BANQUE</v>
          </cell>
          <cell r="I20">
            <v>-500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101500</v>
          </cell>
          <cell r="R20">
            <v>71500</v>
          </cell>
          <cell r="U20">
            <v>397500</v>
          </cell>
          <cell r="AJ20">
            <v>200000</v>
          </cell>
          <cell r="AM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24500</v>
          </cell>
          <cell r="AW20">
            <v>0</v>
          </cell>
          <cell r="AX20">
            <v>200000</v>
          </cell>
          <cell r="AY20">
            <v>0</v>
          </cell>
          <cell r="AZ20">
            <v>200000</v>
          </cell>
          <cell r="BA20">
            <v>200000</v>
          </cell>
          <cell r="BD20">
            <v>0</v>
          </cell>
          <cell r="BF20">
            <v>0</v>
          </cell>
          <cell r="BG20">
            <v>7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C21">
            <v>3000</v>
          </cell>
          <cell r="AF21" t="str">
            <v>BANQUE</v>
          </cell>
          <cell r="AQ21">
            <v>0</v>
          </cell>
          <cell r="AR21">
            <v>0</v>
          </cell>
          <cell r="AS21">
            <v>25000</v>
          </cell>
          <cell r="AW21">
            <v>297000</v>
          </cell>
          <cell r="AX21">
            <v>0</v>
          </cell>
          <cell r="AY21">
            <v>0</v>
          </cell>
          <cell r="AZ21">
            <v>297000</v>
          </cell>
          <cell r="BA21">
            <v>297000</v>
          </cell>
          <cell r="BD21">
            <v>0</v>
          </cell>
          <cell r="BF21">
            <v>0</v>
          </cell>
          <cell r="BG21">
            <v>7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7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270000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20000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270000</v>
          </cell>
          <cell r="AQ23">
            <v>0</v>
          </cell>
          <cell r="AR23">
            <v>0</v>
          </cell>
          <cell r="AS23">
            <v>45000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E23" t="str">
            <v>OK</v>
          </cell>
          <cell r="BF23">
            <v>0</v>
          </cell>
          <cell r="BG23">
            <v>7</v>
          </cell>
        </row>
        <row r="24">
          <cell r="A24" t="str">
            <v>AS201624</v>
          </cell>
          <cell r="B24" t="str">
            <v>NGONDIEP CLAUDE</v>
          </cell>
          <cell r="C24">
            <v>-500</v>
          </cell>
          <cell r="D24">
            <v>250000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25000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500</v>
          </cell>
          <cell r="U24">
            <v>250500</v>
          </cell>
          <cell r="AK24">
            <v>103000</v>
          </cell>
          <cell r="AN24">
            <v>0</v>
          </cell>
          <cell r="AP24" t="str">
            <v>BANQUE</v>
          </cell>
          <cell r="AQ24">
            <v>0</v>
          </cell>
          <cell r="AR24">
            <v>0</v>
          </cell>
          <cell r="AS24">
            <v>50000</v>
          </cell>
          <cell r="AW24">
            <v>0</v>
          </cell>
          <cell r="AX24">
            <v>0</v>
          </cell>
          <cell r="AY24">
            <v>103000</v>
          </cell>
          <cell r="AZ24">
            <v>103000</v>
          </cell>
          <cell r="BD24">
            <v>0</v>
          </cell>
          <cell r="BF24">
            <v>0</v>
          </cell>
          <cell r="BG24">
            <v>7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580000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-500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205500</v>
          </cell>
          <cell r="U25">
            <v>580000</v>
          </cell>
          <cell r="AD25">
            <v>25000</v>
          </cell>
          <cell r="AF25" t="str">
            <v>BANQUE</v>
          </cell>
          <cell r="AJ25">
            <v>34000</v>
          </cell>
          <cell r="AM25">
            <v>500</v>
          </cell>
          <cell r="AP25" t="str">
            <v>BANQUE</v>
          </cell>
          <cell r="AQ25">
            <v>0</v>
          </cell>
          <cell r="AR25">
            <v>0</v>
          </cell>
          <cell r="AS25">
            <v>24500</v>
          </cell>
          <cell r="AW25">
            <v>0</v>
          </cell>
          <cell r="AX25">
            <v>909000</v>
          </cell>
          <cell r="AY25">
            <v>0</v>
          </cell>
          <cell r="AZ25">
            <v>909000</v>
          </cell>
          <cell r="BA25">
            <v>34000</v>
          </cell>
          <cell r="BD25">
            <v>875000</v>
          </cell>
          <cell r="BE25" t="str">
            <v>OK</v>
          </cell>
          <cell r="BF25">
            <v>0</v>
          </cell>
          <cell r="BG25">
            <v>7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U26">
            <v>50000</v>
          </cell>
          <cell r="AI26">
            <v>50000</v>
          </cell>
          <cell r="AL26">
            <v>500</v>
          </cell>
          <cell r="AQ26">
            <v>0</v>
          </cell>
          <cell r="AR26">
            <v>0</v>
          </cell>
          <cell r="AS26">
            <v>25000</v>
          </cell>
          <cell r="AW26">
            <v>50000</v>
          </cell>
          <cell r="AX26">
            <v>0</v>
          </cell>
          <cell r="AY26">
            <v>0</v>
          </cell>
          <cell r="AZ26">
            <v>50000</v>
          </cell>
          <cell r="BA26">
            <v>50000</v>
          </cell>
          <cell r="BD26">
            <v>0</v>
          </cell>
          <cell r="BF26">
            <v>0</v>
          </cell>
          <cell r="BG26">
            <v>7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7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7</v>
          </cell>
          <cell r="BO28" t="str">
            <v>S/TOTAL</v>
          </cell>
          <cell r="BQ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U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7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7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150000</v>
          </cell>
          <cell r="AC31">
            <v>3500</v>
          </cell>
          <cell r="AF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296500</v>
          </cell>
          <cell r="AX31">
            <v>0</v>
          </cell>
          <cell r="AY31">
            <v>0</v>
          </cell>
          <cell r="AZ31">
            <v>296500</v>
          </cell>
          <cell r="BA31">
            <v>29500</v>
          </cell>
          <cell r="BD31">
            <v>267000</v>
          </cell>
          <cell r="BE31" t="str">
            <v>OK</v>
          </cell>
          <cell r="BF31">
            <v>0</v>
          </cell>
          <cell r="BG31">
            <v>7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226000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101000</v>
          </cell>
          <cell r="U32">
            <v>226000</v>
          </cell>
          <cell r="AJ32">
            <v>200000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200000</v>
          </cell>
          <cell r="AY32">
            <v>0</v>
          </cell>
          <cell r="AZ32">
            <v>200000</v>
          </cell>
          <cell r="BA32">
            <v>200000</v>
          </cell>
          <cell r="BD32">
            <v>0</v>
          </cell>
          <cell r="BF32">
            <v>0</v>
          </cell>
          <cell r="BG32">
            <v>7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160000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7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7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7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53000</v>
          </cell>
          <cell r="F36">
            <v>0</v>
          </cell>
          <cell r="G36">
            <v>3000</v>
          </cell>
          <cell r="H36" t="str">
            <v>ESPECES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53000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7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7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7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-1000</v>
          </cell>
          <cell r="D40">
            <v>5945000</v>
          </cell>
          <cell r="E40">
            <v>1315000</v>
          </cell>
          <cell r="F40">
            <v>0</v>
          </cell>
          <cell r="G40">
            <v>9000</v>
          </cell>
          <cell r="H40">
            <v>0</v>
          </cell>
          <cell r="I40">
            <v>117000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43000</v>
          </cell>
          <cell r="Q40">
            <v>509500</v>
          </cell>
          <cell r="R40">
            <v>482500</v>
          </cell>
          <cell r="S40">
            <v>1500000</v>
          </cell>
          <cell r="U40">
            <v>7261000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1350000</v>
          </cell>
          <cell r="AA40">
            <v>0</v>
          </cell>
          <cell r="AC40">
            <v>6500</v>
          </cell>
          <cell r="AD40">
            <v>25000</v>
          </cell>
          <cell r="AE40">
            <v>10000</v>
          </cell>
          <cell r="AF40">
            <v>0</v>
          </cell>
          <cell r="AG40">
            <v>0</v>
          </cell>
          <cell r="AI40">
            <v>100000</v>
          </cell>
          <cell r="AJ40">
            <v>684000</v>
          </cell>
          <cell r="AK40">
            <v>103000</v>
          </cell>
          <cell r="AL40">
            <v>1000</v>
          </cell>
          <cell r="AM40">
            <v>7500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917000</v>
          </cell>
          <cell r="AT40">
            <v>0</v>
          </cell>
          <cell r="AU40">
            <v>0</v>
          </cell>
          <cell r="AV40">
            <v>0</v>
          </cell>
          <cell r="AW40">
            <v>693500</v>
          </cell>
          <cell r="AX40">
            <v>1559000</v>
          </cell>
          <cell r="AY40">
            <v>1293000</v>
          </cell>
          <cell r="AZ40">
            <v>4830500</v>
          </cell>
          <cell r="BA40">
            <v>1315500</v>
          </cell>
          <cell r="BB40">
            <v>0</v>
          </cell>
          <cell r="BC40">
            <v>0</v>
          </cell>
          <cell r="BD40">
            <v>3362000</v>
          </cell>
          <cell r="BE40">
            <v>0</v>
          </cell>
          <cell r="BF40">
            <v>84000</v>
          </cell>
          <cell r="BH40">
            <v>19000</v>
          </cell>
          <cell r="BI40">
            <v>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  <cell r="BQ40">
            <v>100000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12000</v>
          </cell>
          <cell r="BA6">
            <v>6000</v>
          </cell>
          <cell r="BD6">
            <v>6000</v>
          </cell>
          <cell r="BE6" t="str">
            <v>OK</v>
          </cell>
          <cell r="BF6">
            <v>0</v>
          </cell>
          <cell r="BG6">
            <v>6</v>
          </cell>
          <cell r="BH6">
            <v>12000</v>
          </cell>
          <cell r="BI6">
            <v>0</v>
          </cell>
          <cell r="BJ6">
            <v>0</v>
          </cell>
          <cell r="BN6">
            <v>2000000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54000</v>
          </cell>
          <cell r="D7">
            <v>50000</v>
          </cell>
          <cell r="E7">
            <v>50000</v>
          </cell>
          <cell r="F7">
            <v>0</v>
          </cell>
          <cell r="G7">
            <v>0</v>
          </cell>
          <cell r="H7" t="str">
            <v>BANQUE</v>
          </cell>
          <cell r="I7">
            <v>-4000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U7">
            <v>46000</v>
          </cell>
          <cell r="AQ7">
            <v>0</v>
          </cell>
          <cell r="AR7">
            <v>0</v>
          </cell>
          <cell r="AS7">
            <v>21000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6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10000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6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6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128000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U10">
            <v>128000</v>
          </cell>
          <cell r="AI10">
            <v>30000</v>
          </cell>
          <cell r="AL10">
            <v>500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30000</v>
          </cell>
          <cell r="AX10">
            <v>0</v>
          </cell>
          <cell r="AY10">
            <v>0</v>
          </cell>
          <cell r="AZ10">
            <v>30000</v>
          </cell>
          <cell r="BA10">
            <v>30000</v>
          </cell>
          <cell r="BD10">
            <v>0</v>
          </cell>
          <cell r="BF10">
            <v>0</v>
          </cell>
          <cell r="BG10">
            <v>6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122000</v>
          </cell>
          <cell r="D11">
            <v>404000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5000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152000</v>
          </cell>
          <cell r="U11">
            <v>282000</v>
          </cell>
          <cell r="AI11">
            <v>30000</v>
          </cell>
          <cell r="AJ11">
            <v>56500</v>
          </cell>
          <cell r="AL11">
            <v>500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30000</v>
          </cell>
          <cell r="AW11">
            <v>30000</v>
          </cell>
          <cell r="AX11">
            <v>56500</v>
          </cell>
          <cell r="AY11">
            <v>0</v>
          </cell>
          <cell r="AZ11">
            <v>86500</v>
          </cell>
          <cell r="BA11">
            <v>86500</v>
          </cell>
          <cell r="BD11">
            <v>0</v>
          </cell>
          <cell r="BF11">
            <v>20000</v>
          </cell>
          <cell r="BG11">
            <v>6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795000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9000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101000</v>
          </cell>
          <cell r="R12">
            <v>0</v>
          </cell>
          <cell r="S12">
            <v>360000</v>
          </cell>
          <cell r="T12" t="str">
            <v>BANQUE</v>
          </cell>
          <cell r="U12">
            <v>795000</v>
          </cell>
          <cell r="AQ12">
            <v>0</v>
          </cell>
          <cell r="AR12">
            <v>0</v>
          </cell>
          <cell r="AS12">
            <v>34000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6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6</v>
          </cell>
          <cell r="BO13" t="str">
            <v>TAXI BANQUE</v>
          </cell>
          <cell r="BP13" t="str">
            <v>FONDS DE ROULEMENT</v>
          </cell>
          <cell r="BQ13">
            <v>12000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6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AD15">
            <v>7500</v>
          </cell>
          <cell r="AF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892500</v>
          </cell>
          <cell r="AY15">
            <v>0</v>
          </cell>
          <cell r="AZ15">
            <v>892500</v>
          </cell>
          <cell r="BD15">
            <v>892500</v>
          </cell>
          <cell r="BE15" t="str">
            <v>OK</v>
          </cell>
          <cell r="BF15">
            <v>0</v>
          </cell>
          <cell r="BG15">
            <v>6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D16">
            <v>7500</v>
          </cell>
          <cell r="AF16" t="str">
            <v>BANQUE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892500</v>
          </cell>
          <cell r="AY16">
            <v>0</v>
          </cell>
          <cell r="AZ16">
            <v>892500</v>
          </cell>
          <cell r="BD16">
            <v>892500</v>
          </cell>
          <cell r="BE16" t="str">
            <v>OK</v>
          </cell>
          <cell r="BF16">
            <v>0</v>
          </cell>
          <cell r="BG16">
            <v>6</v>
          </cell>
          <cell r="BO16" t="str">
            <v>S/TOTAL</v>
          </cell>
          <cell r="BQ16">
            <v>12000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201000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500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50500</v>
          </cell>
          <cell r="R17">
            <v>0</v>
          </cell>
          <cell r="U17">
            <v>201000</v>
          </cell>
          <cell r="AK17">
            <v>100000</v>
          </cell>
          <cell r="AN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25500</v>
          </cell>
          <cell r="AW17">
            <v>0</v>
          </cell>
          <cell r="AX17">
            <v>0</v>
          </cell>
          <cell r="AY17">
            <v>100000</v>
          </cell>
          <cell r="AZ17">
            <v>100000</v>
          </cell>
          <cell r="BD17">
            <v>100000</v>
          </cell>
          <cell r="BE17" t="str">
            <v>OK</v>
          </cell>
          <cell r="BF17">
            <v>0</v>
          </cell>
          <cell r="BG17">
            <v>6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0</v>
          </cell>
          <cell r="U18">
            <v>160000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D18">
            <v>0</v>
          </cell>
          <cell r="BF18">
            <v>0</v>
          </cell>
          <cell r="BG18">
            <v>6</v>
          </cell>
          <cell r="BO18" t="str">
            <v>TERRAIN NYOM</v>
          </cell>
          <cell r="BP18" t="str">
            <v>AUTRES DEPENSES</v>
          </cell>
          <cell r="BQ18">
            <v>2000000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6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427000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202000</v>
          </cell>
          <cell r="R20">
            <v>0</v>
          </cell>
          <cell r="U20">
            <v>427000</v>
          </cell>
          <cell r="AI20">
            <v>30000</v>
          </cell>
          <cell r="AJ20">
            <v>100000</v>
          </cell>
          <cell r="AK20">
            <v>100000</v>
          </cell>
          <cell r="AL20">
            <v>500</v>
          </cell>
          <cell r="AM20">
            <v>2000</v>
          </cell>
          <cell r="AN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30000</v>
          </cell>
          <cell r="AX20">
            <v>100000</v>
          </cell>
          <cell r="AY20">
            <v>100000</v>
          </cell>
          <cell r="AZ20">
            <v>230000</v>
          </cell>
          <cell r="BA20">
            <v>100000</v>
          </cell>
          <cell r="BD20">
            <v>100000</v>
          </cell>
          <cell r="BE20" t="str">
            <v>OK</v>
          </cell>
          <cell r="BF20">
            <v>0</v>
          </cell>
          <cell r="BG20">
            <v>6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6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0</v>
          </cell>
          <cell r="E22">
            <v>128000</v>
          </cell>
          <cell r="F22">
            <v>0</v>
          </cell>
          <cell r="G22">
            <v>3000</v>
          </cell>
          <cell r="H22" t="str">
            <v>ESPECES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128000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6</v>
          </cell>
          <cell r="BO22" t="str">
            <v>S/TOTAL</v>
          </cell>
          <cell r="BQ22">
            <v>2000000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260000</v>
          </cell>
          <cell r="AC23">
            <v>3000</v>
          </cell>
          <cell r="AF23" t="str">
            <v>BANQUE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297000</v>
          </cell>
          <cell r="AX23">
            <v>0</v>
          </cell>
          <cell r="AY23">
            <v>200000</v>
          </cell>
          <cell r="AZ23">
            <v>497000</v>
          </cell>
          <cell r="BA23">
            <v>100000</v>
          </cell>
          <cell r="BD23">
            <v>397000</v>
          </cell>
          <cell r="BE23" t="str">
            <v>OK</v>
          </cell>
          <cell r="BF23">
            <v>0</v>
          </cell>
          <cell r="BG23">
            <v>6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343000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103000</v>
          </cell>
          <cell r="U24">
            <v>343000</v>
          </cell>
          <cell r="AC24">
            <v>3000</v>
          </cell>
          <cell r="AE24">
            <v>15000</v>
          </cell>
          <cell r="AF24" t="str">
            <v>BANQUE</v>
          </cell>
          <cell r="AK24">
            <v>100000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297000</v>
          </cell>
          <cell r="AX24">
            <v>0</v>
          </cell>
          <cell r="AY24">
            <v>1285000</v>
          </cell>
          <cell r="AZ24">
            <v>1582000</v>
          </cell>
          <cell r="BD24">
            <v>1582000</v>
          </cell>
          <cell r="BE24" t="str">
            <v>OK</v>
          </cell>
          <cell r="BF24">
            <v>0</v>
          </cell>
          <cell r="BG24">
            <v>6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415000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5500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34500</v>
          </cell>
          <cell r="R25">
            <v>0</v>
          </cell>
          <cell r="U25">
            <v>415000</v>
          </cell>
          <cell r="AI25">
            <v>60000</v>
          </cell>
          <cell r="AL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30500</v>
          </cell>
          <cell r="AW25">
            <v>60000</v>
          </cell>
          <cell r="AX25">
            <v>0</v>
          </cell>
          <cell r="AY25">
            <v>0</v>
          </cell>
          <cell r="AZ25">
            <v>60000</v>
          </cell>
          <cell r="BD25">
            <v>60000</v>
          </cell>
          <cell r="BE25" t="str">
            <v>OK</v>
          </cell>
          <cell r="BF25">
            <v>0</v>
          </cell>
          <cell r="BG25">
            <v>6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101000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I26">
            <v>500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50500</v>
          </cell>
          <cell r="U26">
            <v>101000</v>
          </cell>
          <cell r="AI26">
            <v>23500</v>
          </cell>
          <cell r="AL26">
            <v>500</v>
          </cell>
          <cell r="AP26" t="str">
            <v>BANQUE</v>
          </cell>
          <cell r="AQ26">
            <v>0</v>
          </cell>
          <cell r="AR26">
            <v>0</v>
          </cell>
          <cell r="AS26">
            <v>25500</v>
          </cell>
          <cell r="AW26">
            <v>23500</v>
          </cell>
          <cell r="AX26">
            <v>0</v>
          </cell>
          <cell r="AY26">
            <v>0</v>
          </cell>
          <cell r="AZ26">
            <v>23500</v>
          </cell>
          <cell r="BA26">
            <v>2500</v>
          </cell>
          <cell r="BD26">
            <v>21000</v>
          </cell>
          <cell r="BE26" t="str">
            <v>OK</v>
          </cell>
          <cell r="BF26">
            <v>0</v>
          </cell>
          <cell r="BG26">
            <v>6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6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6</v>
          </cell>
          <cell r="BO28" t="str">
            <v>S/TOTAL</v>
          </cell>
          <cell r="BQ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U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6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C30">
            <v>3000</v>
          </cell>
          <cell r="AE30">
            <v>15000</v>
          </cell>
          <cell r="AF30" t="str">
            <v>BANQUE</v>
          </cell>
          <cell r="AK30">
            <v>125000</v>
          </cell>
          <cell r="AN30">
            <v>1000</v>
          </cell>
          <cell r="AP30" t="str">
            <v>BANQUE</v>
          </cell>
          <cell r="AQ30">
            <v>0</v>
          </cell>
          <cell r="AR30">
            <v>0</v>
          </cell>
          <cell r="AS30">
            <v>25000</v>
          </cell>
          <cell r="AW30">
            <v>297000</v>
          </cell>
          <cell r="AX30">
            <v>0</v>
          </cell>
          <cell r="AY30">
            <v>1310000</v>
          </cell>
          <cell r="AZ30">
            <v>1607000</v>
          </cell>
          <cell r="BA30">
            <v>125000</v>
          </cell>
          <cell r="BD30">
            <v>1482000</v>
          </cell>
          <cell r="BE30" t="str">
            <v>OK</v>
          </cell>
          <cell r="BF30">
            <v>30000</v>
          </cell>
          <cell r="BG30">
            <v>6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60000</v>
          </cell>
          <cell r="D31">
            <v>200000</v>
          </cell>
          <cell r="E31">
            <v>10000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100000</v>
          </cell>
          <cell r="BD31">
            <v>100000</v>
          </cell>
          <cell r="BE31" t="str">
            <v>OK</v>
          </cell>
          <cell r="BF31">
            <v>60000</v>
          </cell>
          <cell r="BG31">
            <v>6</v>
          </cell>
          <cell r="BK31">
            <v>100000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327000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202000</v>
          </cell>
          <cell r="U32">
            <v>327000</v>
          </cell>
          <cell r="AJ32">
            <v>100000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100000</v>
          </cell>
          <cell r="AY32">
            <v>0</v>
          </cell>
          <cell r="AZ32">
            <v>100000</v>
          </cell>
          <cell r="BA32">
            <v>100000</v>
          </cell>
          <cell r="BD32">
            <v>0</v>
          </cell>
          <cell r="BF32">
            <v>0</v>
          </cell>
          <cell r="BG32">
            <v>6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170000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20000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170000</v>
          </cell>
          <cell r="AQ33">
            <v>0</v>
          </cell>
          <cell r="AR33">
            <v>0</v>
          </cell>
          <cell r="AS33">
            <v>45000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6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6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6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6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6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6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236000</v>
          </cell>
          <cell r="D40">
            <v>5888000</v>
          </cell>
          <cell r="E40">
            <v>326000</v>
          </cell>
          <cell r="F40">
            <v>0</v>
          </cell>
          <cell r="G40">
            <v>6000</v>
          </cell>
          <cell r="H40">
            <v>0</v>
          </cell>
          <cell r="I40">
            <v>116500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101000</v>
          </cell>
          <cell r="Q40">
            <v>691500</v>
          </cell>
          <cell r="R40">
            <v>103000</v>
          </cell>
          <cell r="S40">
            <v>360000</v>
          </cell>
          <cell r="U40">
            <v>5978000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9000</v>
          </cell>
          <cell r="AD40">
            <v>15000</v>
          </cell>
          <cell r="AE40">
            <v>30000</v>
          </cell>
          <cell r="AF40">
            <v>0</v>
          </cell>
          <cell r="AG40">
            <v>0</v>
          </cell>
          <cell r="AI40">
            <v>173500</v>
          </cell>
          <cell r="AJ40">
            <v>256500</v>
          </cell>
          <cell r="AK40">
            <v>625000</v>
          </cell>
          <cell r="AL40">
            <v>3000</v>
          </cell>
          <cell r="AM40">
            <v>5000</v>
          </cell>
          <cell r="AN40">
            <v>7000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916500</v>
          </cell>
          <cell r="AT40">
            <v>0</v>
          </cell>
          <cell r="AU40">
            <v>0</v>
          </cell>
          <cell r="AV40">
            <v>0</v>
          </cell>
          <cell r="AW40">
            <v>1064500</v>
          </cell>
          <cell r="AX40">
            <v>2041500</v>
          </cell>
          <cell r="AY40">
            <v>2995000</v>
          </cell>
          <cell r="AZ40">
            <v>6213000</v>
          </cell>
          <cell r="BA40">
            <v>550000</v>
          </cell>
          <cell r="BB40">
            <v>0</v>
          </cell>
          <cell r="BC40">
            <v>0</v>
          </cell>
          <cell r="BD40">
            <v>5633000</v>
          </cell>
          <cell r="BE40">
            <v>0</v>
          </cell>
          <cell r="BF40">
            <v>110000</v>
          </cell>
          <cell r="BH40">
            <v>12000</v>
          </cell>
          <cell r="BI40">
            <v>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  <cell r="BQ40">
            <v>100000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651500</v>
          </cell>
          <cell r="BA6">
            <v>36000</v>
          </cell>
          <cell r="BD6">
            <v>56000</v>
          </cell>
          <cell r="BE6" t="str">
            <v>OK</v>
          </cell>
          <cell r="BF6">
            <v>0</v>
          </cell>
          <cell r="BG6">
            <v>5</v>
          </cell>
          <cell r="BH6">
            <v>42000</v>
          </cell>
          <cell r="BI6">
            <v>609500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3000</v>
          </cell>
          <cell r="H7" t="str">
            <v>ESPECES</v>
          </cell>
          <cell r="I7">
            <v>-3000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22000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5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5</v>
          </cell>
          <cell r="BO8" t="str">
            <v>COMMISSION</v>
          </cell>
          <cell r="BP8" t="str">
            <v>FONDS DE ROULEMENT</v>
          </cell>
          <cell r="BQ8">
            <v>36000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5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159000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3500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30500</v>
          </cell>
          <cell r="Q10">
            <v>0</v>
          </cell>
          <cell r="R10">
            <v>0</v>
          </cell>
          <cell r="U10">
            <v>159000</v>
          </cell>
          <cell r="AP10" t="str">
            <v>BANQUE</v>
          </cell>
          <cell r="AQ10">
            <v>0</v>
          </cell>
          <cell r="AR10">
            <v>0</v>
          </cell>
          <cell r="AS10">
            <v>28500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5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216000</v>
          </cell>
          <cell r="E11">
            <v>0</v>
          </cell>
          <cell r="F11">
            <v>0</v>
          </cell>
          <cell r="G11">
            <v>3000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30500</v>
          </cell>
          <cell r="Q11">
            <v>57500</v>
          </cell>
          <cell r="R11">
            <v>0</v>
          </cell>
          <cell r="U11">
            <v>216000</v>
          </cell>
          <cell r="AJ11">
            <v>169000</v>
          </cell>
          <cell r="AM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169000</v>
          </cell>
          <cell r="AY11">
            <v>0</v>
          </cell>
          <cell r="AZ11">
            <v>169000</v>
          </cell>
          <cell r="BD11">
            <v>109000</v>
          </cell>
          <cell r="BE11" t="str">
            <v>OK</v>
          </cell>
          <cell r="BF11">
            <v>0</v>
          </cell>
          <cell r="BG11">
            <v>5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8400</v>
          </cell>
          <cell r="D12">
            <v>340000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6600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331600</v>
          </cell>
          <cell r="AC12">
            <v>3000</v>
          </cell>
          <cell r="AE12">
            <v>10000</v>
          </cell>
          <cell r="AF12" t="str">
            <v>BANQUE</v>
          </cell>
          <cell r="AK12">
            <v>100000</v>
          </cell>
          <cell r="AN12">
            <v>1000</v>
          </cell>
          <cell r="AP12" t="str">
            <v>BANQUE</v>
          </cell>
          <cell r="AQ12">
            <v>0</v>
          </cell>
          <cell r="AR12">
            <v>0</v>
          </cell>
          <cell r="AS12">
            <v>31600</v>
          </cell>
          <cell r="AW12">
            <v>297000</v>
          </cell>
          <cell r="AX12">
            <v>0</v>
          </cell>
          <cell r="AY12">
            <v>1290000</v>
          </cell>
          <cell r="AZ12">
            <v>1578600</v>
          </cell>
          <cell r="BD12">
            <v>1587000</v>
          </cell>
          <cell r="BE12" t="str">
            <v>OK</v>
          </cell>
          <cell r="BF12">
            <v>8400</v>
          </cell>
          <cell r="BG12">
            <v>5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C13">
            <v>2500</v>
          </cell>
          <cell r="AF13" t="str">
            <v>BANQUE</v>
          </cell>
          <cell r="AQ13">
            <v>0</v>
          </cell>
          <cell r="AR13">
            <v>0</v>
          </cell>
          <cell r="AS13">
            <v>25000</v>
          </cell>
          <cell r="AW13">
            <v>297500</v>
          </cell>
          <cell r="AX13">
            <v>0</v>
          </cell>
          <cell r="AY13">
            <v>0</v>
          </cell>
          <cell r="AZ13">
            <v>297500</v>
          </cell>
          <cell r="BA13">
            <v>100000</v>
          </cell>
          <cell r="BD13">
            <v>197500</v>
          </cell>
          <cell r="BE13" t="str">
            <v>OK</v>
          </cell>
          <cell r="BF13">
            <v>0</v>
          </cell>
          <cell r="BG13">
            <v>5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5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5</v>
          </cell>
        </row>
        <row r="16">
          <cell r="A16" t="str">
            <v>AS201613</v>
          </cell>
          <cell r="B16" t="str">
            <v>HOTCHO BENJAMIN</v>
          </cell>
          <cell r="C16">
            <v>-238500</v>
          </cell>
          <cell r="D16">
            <v>240000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S16">
            <v>238500</v>
          </cell>
          <cell r="U16">
            <v>478500</v>
          </cell>
          <cell r="AK16">
            <v>100000</v>
          </cell>
          <cell r="AN16">
            <v>1000</v>
          </cell>
          <cell r="AP16" t="str">
            <v>BANQUE</v>
          </cell>
          <cell r="AQ16">
            <v>0</v>
          </cell>
          <cell r="AR16">
            <v>0</v>
          </cell>
          <cell r="AS16">
            <v>40000</v>
          </cell>
          <cell r="AW16">
            <v>0</v>
          </cell>
          <cell r="AX16">
            <v>0</v>
          </cell>
          <cell r="AY16">
            <v>100000</v>
          </cell>
          <cell r="AZ16">
            <v>100000</v>
          </cell>
          <cell r="BD16">
            <v>100000</v>
          </cell>
          <cell r="BE16" t="str">
            <v>OK</v>
          </cell>
          <cell r="BF16">
            <v>0</v>
          </cell>
          <cell r="BG16">
            <v>5</v>
          </cell>
          <cell r="BO16" t="str">
            <v>S/TOTAL</v>
          </cell>
          <cell r="BQ16">
            <v>42000</v>
          </cell>
        </row>
        <row r="17">
          <cell r="A17" t="str">
            <v>AS201617</v>
          </cell>
          <cell r="B17" t="str">
            <v>KOUAMOU MOISE</v>
          </cell>
          <cell r="C17">
            <v>-4000</v>
          </cell>
          <cell r="D17">
            <v>150000</v>
          </cell>
          <cell r="E17">
            <v>100000</v>
          </cell>
          <cell r="F17">
            <v>0</v>
          </cell>
          <cell r="G17">
            <v>3000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101000</v>
          </cell>
          <cell r="U17">
            <v>254000</v>
          </cell>
          <cell r="AK17">
            <v>54000</v>
          </cell>
          <cell r="AN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54000</v>
          </cell>
          <cell r="AZ17">
            <v>54000</v>
          </cell>
          <cell r="BD17">
            <v>0</v>
          </cell>
          <cell r="BF17">
            <v>0</v>
          </cell>
          <cell r="BG17">
            <v>5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160000</v>
          </cell>
          <cell r="AK18">
            <v>200000</v>
          </cell>
          <cell r="AN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D18">
            <v>200000</v>
          </cell>
          <cell r="BE18" t="str">
            <v>OK</v>
          </cell>
          <cell r="BF18">
            <v>0</v>
          </cell>
          <cell r="BG18">
            <v>5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5</v>
          </cell>
        </row>
        <row r="20">
          <cell r="A20" t="str">
            <v>AS201649</v>
          </cell>
          <cell r="B20" t="str">
            <v>MBOGNING TUGMA GUY</v>
          </cell>
          <cell r="C20">
            <v>57500</v>
          </cell>
          <cell r="D20">
            <v>516000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30500</v>
          </cell>
          <cell r="Q20">
            <v>102000</v>
          </cell>
          <cell r="R20">
            <v>101000</v>
          </cell>
          <cell r="U20">
            <v>458500</v>
          </cell>
          <cell r="AC20">
            <v>2500</v>
          </cell>
          <cell r="AF20" t="str">
            <v>BANQUE</v>
          </cell>
          <cell r="AJ20">
            <v>200000</v>
          </cell>
          <cell r="AK20">
            <v>200000</v>
          </cell>
          <cell r="AM20">
            <v>2500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297500</v>
          </cell>
          <cell r="AX20">
            <v>200000</v>
          </cell>
          <cell r="AY20">
            <v>200000</v>
          </cell>
          <cell r="AZ20">
            <v>695000</v>
          </cell>
          <cell r="BA20">
            <v>23500</v>
          </cell>
          <cell r="BD20">
            <v>671500</v>
          </cell>
          <cell r="BF20">
            <v>60000</v>
          </cell>
          <cell r="BG20">
            <v>5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5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5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30000</v>
          </cell>
          <cell r="D23">
            <v>502000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20000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202000</v>
          </cell>
          <cell r="U23">
            <v>472000</v>
          </cell>
          <cell r="AE23">
            <v>10000</v>
          </cell>
          <cell r="AF23" t="str">
            <v>BANQUE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45000</v>
          </cell>
          <cell r="AW23">
            <v>0</v>
          </cell>
          <cell r="AX23">
            <v>0</v>
          </cell>
          <cell r="AY23">
            <v>1390000</v>
          </cell>
          <cell r="AZ23">
            <v>1360000</v>
          </cell>
          <cell r="BD23">
            <v>1390000</v>
          </cell>
          <cell r="BE23" t="str">
            <v>OK</v>
          </cell>
          <cell r="BF23">
            <v>30000</v>
          </cell>
          <cell r="BG23">
            <v>5</v>
          </cell>
        </row>
        <row r="24">
          <cell r="A24" t="str">
            <v>AS201624</v>
          </cell>
          <cell r="B24" t="str">
            <v>NGONDIEP CLAUDE</v>
          </cell>
          <cell r="C24">
            <v>-102000</v>
          </cell>
          <cell r="D24">
            <v>240000</v>
          </cell>
          <cell r="E24">
            <v>0</v>
          </cell>
          <cell r="F24">
            <v>500000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102000</v>
          </cell>
          <cell r="S24">
            <v>500000</v>
          </cell>
          <cell r="T24" t="str">
            <v>BANQUE</v>
          </cell>
          <cell r="U24">
            <v>842000</v>
          </cell>
          <cell r="AD24">
            <v>7500</v>
          </cell>
          <cell r="AF24" t="str">
            <v>BANQUE</v>
          </cell>
          <cell r="AK24">
            <v>200000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892500</v>
          </cell>
          <cell r="AY24">
            <v>200000</v>
          </cell>
          <cell r="AZ24">
            <v>490500</v>
          </cell>
          <cell r="BD24">
            <v>490500</v>
          </cell>
          <cell r="BE24" t="str">
            <v>OK</v>
          </cell>
          <cell r="BF24">
            <v>0</v>
          </cell>
          <cell r="BG24">
            <v>5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436000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61000</v>
          </cell>
          <cell r="Q25">
            <v>0</v>
          </cell>
          <cell r="R25">
            <v>0</v>
          </cell>
          <cell r="U25">
            <v>436000</v>
          </cell>
          <cell r="AI25">
            <v>30000</v>
          </cell>
          <cell r="AJ25">
            <v>100000</v>
          </cell>
          <cell r="AK25">
            <v>100000</v>
          </cell>
          <cell r="AL25">
            <v>1000</v>
          </cell>
          <cell r="AM25">
            <v>1500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30000</v>
          </cell>
          <cell r="AX25">
            <v>100000</v>
          </cell>
          <cell r="AY25">
            <v>100000</v>
          </cell>
          <cell r="AZ25">
            <v>230000</v>
          </cell>
          <cell r="BA25">
            <v>4000</v>
          </cell>
          <cell r="BD25">
            <v>200000</v>
          </cell>
          <cell r="BE25" t="str">
            <v>OK</v>
          </cell>
          <cell r="BF25">
            <v>0</v>
          </cell>
          <cell r="BG25">
            <v>5</v>
          </cell>
          <cell r="BO25" t="str">
            <v>DEVELOPPEMENT LAGWEU</v>
          </cell>
          <cell r="BP25" t="str">
            <v>FRAIS EXEPTIONNEL</v>
          </cell>
          <cell r="BQ25">
            <v>50000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74000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24000</v>
          </cell>
          <cell r="Q26">
            <v>0</v>
          </cell>
          <cell r="R26">
            <v>0</v>
          </cell>
          <cell r="U26">
            <v>74000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-30000</v>
          </cell>
          <cell r="BD26">
            <v>0</v>
          </cell>
          <cell r="BF26">
            <v>30000</v>
          </cell>
          <cell r="BG26">
            <v>5</v>
          </cell>
          <cell r="BO26" t="str">
            <v>REMB DETTE NGONDIEP PLAQUETTE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5</v>
          </cell>
          <cell r="BO27" t="str">
            <v>REMBOURSEMENT DETTE HOTCHO</v>
          </cell>
          <cell r="BP27" t="str">
            <v>FRAIS EXEPTIONNEL</v>
          </cell>
          <cell r="BQ27">
            <v>238500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5</v>
          </cell>
          <cell r="BO28" t="str">
            <v>S/TOTAL</v>
          </cell>
          <cell r="BQ28">
            <v>288500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AI29">
            <v>54500</v>
          </cell>
          <cell r="AL29">
            <v>1500</v>
          </cell>
          <cell r="AQ29">
            <v>0</v>
          </cell>
          <cell r="AR29">
            <v>0</v>
          </cell>
          <cell r="AS29">
            <v>25000</v>
          </cell>
          <cell r="AW29">
            <v>54500</v>
          </cell>
          <cell r="AX29">
            <v>0</v>
          </cell>
          <cell r="AY29">
            <v>0</v>
          </cell>
          <cell r="AZ29">
            <v>54500</v>
          </cell>
          <cell r="BD29">
            <v>54500</v>
          </cell>
          <cell r="BE29" t="str">
            <v>OK</v>
          </cell>
          <cell r="BF29">
            <v>0</v>
          </cell>
          <cell r="BG29">
            <v>5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379000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3000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126000</v>
          </cell>
          <cell r="U30">
            <v>379000</v>
          </cell>
          <cell r="AP30" t="str">
            <v>BANQUE</v>
          </cell>
          <cell r="AQ30">
            <v>0</v>
          </cell>
          <cell r="AR30">
            <v>0</v>
          </cell>
          <cell r="AS30">
            <v>28000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5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5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2227000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1000000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102000</v>
          </cell>
          <cell r="R32">
            <v>0</v>
          </cell>
          <cell r="S32">
            <v>1000000</v>
          </cell>
          <cell r="T32" t="str">
            <v>BANQUE</v>
          </cell>
          <cell r="U32">
            <v>2227000</v>
          </cell>
          <cell r="AJ32">
            <v>100000</v>
          </cell>
          <cell r="AM32">
            <v>1000</v>
          </cell>
          <cell r="AQ32">
            <v>0</v>
          </cell>
          <cell r="AR32">
            <v>0</v>
          </cell>
          <cell r="AS32">
            <v>1025000</v>
          </cell>
          <cell r="AW32">
            <v>0</v>
          </cell>
          <cell r="AX32">
            <v>100000</v>
          </cell>
          <cell r="AY32">
            <v>0</v>
          </cell>
          <cell r="AZ32">
            <v>100000</v>
          </cell>
          <cell r="BA32">
            <v>20000</v>
          </cell>
          <cell r="BD32">
            <v>50000</v>
          </cell>
          <cell r="BE32" t="str">
            <v>OK</v>
          </cell>
          <cell r="BF32">
            <v>0</v>
          </cell>
          <cell r="BG32">
            <v>5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160000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5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5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5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100000</v>
          </cell>
          <cell r="BD36">
            <v>100000</v>
          </cell>
          <cell r="BE36" t="str">
            <v>OK</v>
          </cell>
          <cell r="BF36">
            <v>0</v>
          </cell>
          <cell r="BG36">
            <v>5</v>
          </cell>
          <cell r="BK36">
            <v>100000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5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5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-248600</v>
          </cell>
          <cell r="D40">
            <v>7609000</v>
          </cell>
          <cell r="E40">
            <v>150000</v>
          </cell>
          <cell r="F40">
            <v>500000</v>
          </cell>
          <cell r="G40">
            <v>9000</v>
          </cell>
          <cell r="H40">
            <v>0</v>
          </cell>
          <cell r="I40">
            <v>1090100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176500</v>
          </cell>
          <cell r="Q40">
            <v>261500</v>
          </cell>
          <cell r="R40">
            <v>632000</v>
          </cell>
          <cell r="S40">
            <v>1738500</v>
          </cell>
          <cell r="U40">
            <v>8507600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8000</v>
          </cell>
          <cell r="AD40">
            <v>7500</v>
          </cell>
          <cell r="AE40">
            <v>20000</v>
          </cell>
          <cell r="AF40">
            <v>0</v>
          </cell>
          <cell r="AG40">
            <v>0</v>
          </cell>
          <cell r="AI40">
            <v>84500</v>
          </cell>
          <cell r="AJ40">
            <v>569000</v>
          </cell>
          <cell r="AK40">
            <v>1154000</v>
          </cell>
          <cell r="AL40">
            <v>2500</v>
          </cell>
          <cell r="AM40">
            <v>7000</v>
          </cell>
          <cell r="AN40">
            <v>12000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1890100</v>
          </cell>
          <cell r="AT40">
            <v>0</v>
          </cell>
          <cell r="AU40">
            <v>0</v>
          </cell>
          <cell r="AV40">
            <v>0</v>
          </cell>
          <cell r="AW40">
            <v>976500</v>
          </cell>
          <cell r="AX40">
            <v>1461500</v>
          </cell>
          <cell r="AY40">
            <v>3534000</v>
          </cell>
          <cell r="AZ40">
            <v>6050600</v>
          </cell>
          <cell r="BA40">
            <v>183500</v>
          </cell>
          <cell r="BB40">
            <v>0</v>
          </cell>
          <cell r="BC40">
            <v>0</v>
          </cell>
          <cell r="BD40">
            <v>5206000</v>
          </cell>
          <cell r="BE40">
            <v>0</v>
          </cell>
          <cell r="BF40">
            <v>128400</v>
          </cell>
          <cell r="BH40">
            <v>42000</v>
          </cell>
          <cell r="BI40">
            <v>609500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  <cell r="BQ40">
            <v>0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  <cell r="BD6">
            <v>6000</v>
          </cell>
          <cell r="BF6">
            <v>0</v>
          </cell>
          <cell r="BG6">
            <v>4</v>
          </cell>
          <cell r="BH6">
            <v>6000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50000</v>
          </cell>
          <cell r="E7">
            <v>0</v>
          </cell>
          <cell r="F7">
            <v>0</v>
          </cell>
          <cell r="G7">
            <v>3000</v>
          </cell>
          <cell r="H7" t="str">
            <v>BANQUE</v>
          </cell>
          <cell r="I7">
            <v>-3000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I7">
            <v>57000</v>
          </cell>
          <cell r="AL7">
            <v>1000</v>
          </cell>
          <cell r="AQ7">
            <v>0</v>
          </cell>
          <cell r="AR7">
            <v>0</v>
          </cell>
          <cell r="AS7">
            <v>22000</v>
          </cell>
          <cell r="AW7">
            <v>57000</v>
          </cell>
          <cell r="AX7">
            <v>0</v>
          </cell>
          <cell r="AY7">
            <v>0</v>
          </cell>
          <cell r="AZ7">
            <v>57000</v>
          </cell>
          <cell r="BA7">
            <v>10000</v>
          </cell>
          <cell r="BD7">
            <v>47000</v>
          </cell>
          <cell r="BE7" t="str">
            <v>OK</v>
          </cell>
          <cell r="BF7">
            <v>0</v>
          </cell>
          <cell r="BG7">
            <v>4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-12250</v>
          </cell>
          <cell r="BD8">
            <v>-12250</v>
          </cell>
          <cell r="BF8">
            <v>20000</v>
          </cell>
          <cell r="BG8">
            <v>4</v>
          </cell>
          <cell r="BL8">
            <v>7750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10000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-10000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240000</v>
          </cell>
          <cell r="AK9">
            <v>100000</v>
          </cell>
          <cell r="AN9">
            <v>1000</v>
          </cell>
          <cell r="AQ9">
            <v>0</v>
          </cell>
          <cell r="AR9">
            <v>0</v>
          </cell>
          <cell r="AS9">
            <v>15000</v>
          </cell>
          <cell r="AW9">
            <v>0</v>
          </cell>
          <cell r="AX9">
            <v>0</v>
          </cell>
          <cell r="AY9">
            <v>100000</v>
          </cell>
          <cell r="AZ9">
            <v>100000</v>
          </cell>
          <cell r="BD9">
            <v>100000</v>
          </cell>
          <cell r="BE9" t="str">
            <v>OK</v>
          </cell>
          <cell r="BF9">
            <v>0</v>
          </cell>
          <cell r="BG9">
            <v>4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125000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125000</v>
          </cell>
          <cell r="AC10">
            <v>2500</v>
          </cell>
          <cell r="AI10">
            <v>60000</v>
          </cell>
          <cell r="AJ10">
            <v>100000</v>
          </cell>
          <cell r="AL10">
            <v>1000</v>
          </cell>
          <cell r="AM10">
            <v>1000</v>
          </cell>
          <cell r="AQ10">
            <v>0</v>
          </cell>
          <cell r="AR10">
            <v>0</v>
          </cell>
          <cell r="AS10">
            <v>25000</v>
          </cell>
          <cell r="AW10">
            <v>357500</v>
          </cell>
          <cell r="AX10">
            <v>100000</v>
          </cell>
          <cell r="AY10">
            <v>0</v>
          </cell>
          <cell r="AZ10">
            <v>457500</v>
          </cell>
          <cell r="BA10">
            <v>40000</v>
          </cell>
          <cell r="BD10">
            <v>417500</v>
          </cell>
          <cell r="BE10" t="str">
            <v>OK</v>
          </cell>
          <cell r="BF10">
            <v>0</v>
          </cell>
          <cell r="BG10">
            <v>4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-2000</v>
          </cell>
          <cell r="D11">
            <v>294000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171000</v>
          </cell>
          <cell r="R11">
            <v>0</v>
          </cell>
          <cell r="U11">
            <v>296000</v>
          </cell>
          <cell r="AJ11">
            <v>101500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101500</v>
          </cell>
          <cell r="AY11">
            <v>0</v>
          </cell>
          <cell r="AZ11">
            <v>101500</v>
          </cell>
          <cell r="BD11">
            <v>0</v>
          </cell>
          <cell r="BF11">
            <v>0</v>
          </cell>
          <cell r="BG11">
            <v>4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431000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101000</v>
          </cell>
          <cell r="U12">
            <v>431000</v>
          </cell>
          <cell r="AK12">
            <v>200000</v>
          </cell>
          <cell r="AN12">
            <v>2000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200000</v>
          </cell>
          <cell r="AZ12">
            <v>200000</v>
          </cell>
          <cell r="BD12">
            <v>200000</v>
          </cell>
          <cell r="BE12" t="str">
            <v>OK</v>
          </cell>
          <cell r="BF12">
            <v>0</v>
          </cell>
          <cell r="BG12">
            <v>4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4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4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4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360000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34000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101000</v>
          </cell>
          <cell r="U16">
            <v>360000</v>
          </cell>
          <cell r="AJ16">
            <v>200000</v>
          </cell>
          <cell r="AM16">
            <v>2000</v>
          </cell>
          <cell r="AP16" t="str">
            <v>BANQUE</v>
          </cell>
          <cell r="AQ16">
            <v>0</v>
          </cell>
          <cell r="AR16">
            <v>0</v>
          </cell>
          <cell r="AS16">
            <v>59000</v>
          </cell>
          <cell r="AW16">
            <v>0</v>
          </cell>
          <cell r="AX16">
            <v>200000</v>
          </cell>
          <cell r="AY16">
            <v>0</v>
          </cell>
          <cell r="AZ16">
            <v>200000</v>
          </cell>
          <cell r="BD16">
            <v>200000</v>
          </cell>
          <cell r="BE16" t="str">
            <v>OK</v>
          </cell>
          <cell r="BF16">
            <v>0</v>
          </cell>
          <cell r="BG16">
            <v>4</v>
          </cell>
          <cell r="BO16" t="str">
            <v>S/TOTAL</v>
          </cell>
          <cell r="BQ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200000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-5000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55000</v>
          </cell>
          <cell r="U17">
            <v>200000</v>
          </cell>
          <cell r="AI17">
            <v>30000</v>
          </cell>
          <cell r="AK17">
            <v>200000</v>
          </cell>
          <cell r="AL17">
            <v>500</v>
          </cell>
          <cell r="AN17">
            <v>2000</v>
          </cell>
          <cell r="AP17" t="str">
            <v>BANQUE</v>
          </cell>
          <cell r="AQ17">
            <v>0</v>
          </cell>
          <cell r="AR17">
            <v>0</v>
          </cell>
          <cell r="AS17">
            <v>20000</v>
          </cell>
          <cell r="AW17">
            <v>30000</v>
          </cell>
          <cell r="AX17">
            <v>0</v>
          </cell>
          <cell r="AY17">
            <v>200000</v>
          </cell>
          <cell r="AZ17">
            <v>230000</v>
          </cell>
          <cell r="BD17">
            <v>230000</v>
          </cell>
          <cell r="BE17" t="str">
            <v>OK</v>
          </cell>
          <cell r="BF17">
            <v>0</v>
          </cell>
          <cell r="BG17">
            <v>4</v>
          </cell>
        </row>
        <row r="18">
          <cell r="A18" t="str">
            <v>AS201619</v>
          </cell>
          <cell r="B18" t="str">
            <v>KOUATCHO MESSACK</v>
          </cell>
          <cell r="C18">
            <v>-10000</v>
          </cell>
          <cell r="D18">
            <v>350000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8000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202000</v>
          </cell>
          <cell r="U18">
            <v>360000</v>
          </cell>
          <cell r="AK18">
            <v>200000</v>
          </cell>
          <cell r="AN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33000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D18">
            <v>200000</v>
          </cell>
          <cell r="BE18" t="str">
            <v>OK</v>
          </cell>
          <cell r="BF18">
            <v>0</v>
          </cell>
          <cell r="BG18">
            <v>4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4</v>
          </cell>
        </row>
        <row r="20">
          <cell r="A20" t="str">
            <v>AS201649</v>
          </cell>
          <cell r="B20" t="str">
            <v>MBOGNING TUGMA GUY</v>
          </cell>
          <cell r="C20">
            <v>-101500</v>
          </cell>
          <cell r="D20">
            <v>528000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202500</v>
          </cell>
          <cell r="R20">
            <v>202000</v>
          </cell>
          <cell r="U20">
            <v>629500</v>
          </cell>
          <cell r="AJ20">
            <v>200000</v>
          </cell>
          <cell r="AK20">
            <v>200000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200000</v>
          </cell>
          <cell r="AY20">
            <v>200000</v>
          </cell>
          <cell r="AZ20">
            <v>400000</v>
          </cell>
          <cell r="BD20">
            <v>400000</v>
          </cell>
          <cell r="BE20" t="str">
            <v>OK</v>
          </cell>
          <cell r="BF20">
            <v>0</v>
          </cell>
          <cell r="BG20">
            <v>4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4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4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202000</v>
          </cell>
          <cell r="U23">
            <v>462000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  <cell r="BD23">
            <v>200000</v>
          </cell>
          <cell r="BE23" t="str">
            <v>OK</v>
          </cell>
          <cell r="BF23">
            <v>0</v>
          </cell>
          <cell r="BG23">
            <v>4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442000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U24">
            <v>442000</v>
          </cell>
          <cell r="AK24">
            <v>202000</v>
          </cell>
          <cell r="AN24">
            <v>4000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202000</v>
          </cell>
          <cell r="AZ24">
            <v>202000</v>
          </cell>
          <cell r="BD24">
            <v>0</v>
          </cell>
          <cell r="BF24">
            <v>0</v>
          </cell>
          <cell r="BG24">
            <v>4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605000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-3500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31000</v>
          </cell>
          <cell r="Q25">
            <v>101500</v>
          </cell>
          <cell r="R25">
            <v>101000</v>
          </cell>
          <cell r="U25">
            <v>605000</v>
          </cell>
          <cell r="AJ25">
            <v>82000</v>
          </cell>
          <cell r="AM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21500</v>
          </cell>
          <cell r="AW25">
            <v>0</v>
          </cell>
          <cell r="AX25">
            <v>82000</v>
          </cell>
          <cell r="AY25">
            <v>0</v>
          </cell>
          <cell r="AZ25">
            <v>82000</v>
          </cell>
          <cell r="BD25">
            <v>82000</v>
          </cell>
          <cell r="BE25" t="str">
            <v>OK</v>
          </cell>
          <cell r="BF25">
            <v>0</v>
          </cell>
          <cell r="BG25">
            <v>4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50000</v>
          </cell>
          <cell r="AI26">
            <v>60000</v>
          </cell>
          <cell r="AL26">
            <v>1000</v>
          </cell>
          <cell r="AQ26">
            <v>0</v>
          </cell>
          <cell r="AR26">
            <v>0</v>
          </cell>
          <cell r="AS26">
            <v>25000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D26">
            <v>60000</v>
          </cell>
          <cell r="BE26" t="str">
            <v>OK</v>
          </cell>
          <cell r="BF26">
            <v>0</v>
          </cell>
          <cell r="BG26">
            <v>4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100000</v>
          </cell>
          <cell r="BD27">
            <v>100000</v>
          </cell>
          <cell r="BE27" t="str">
            <v>OK</v>
          </cell>
          <cell r="BF27">
            <v>0</v>
          </cell>
          <cell r="BG27">
            <v>4</v>
          </cell>
          <cell r="BK27">
            <v>100000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C28">
            <v>2500</v>
          </cell>
          <cell r="AD28">
            <v>7500</v>
          </cell>
          <cell r="AQ28">
            <v>0</v>
          </cell>
          <cell r="AR28">
            <v>0</v>
          </cell>
          <cell r="AS28">
            <v>25000</v>
          </cell>
          <cell r="AW28">
            <v>297500</v>
          </cell>
          <cell r="AX28">
            <v>892500</v>
          </cell>
          <cell r="AY28">
            <v>0</v>
          </cell>
          <cell r="AZ28">
            <v>1190000</v>
          </cell>
          <cell r="BD28">
            <v>1190000</v>
          </cell>
          <cell r="BE28" t="str">
            <v>OK</v>
          </cell>
          <cell r="BF28">
            <v>0</v>
          </cell>
          <cell r="BG28">
            <v>4</v>
          </cell>
          <cell r="BO28" t="str">
            <v>S/TOTAL</v>
          </cell>
          <cell r="BQ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-1000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56000</v>
          </cell>
          <cell r="Q29">
            <v>0</v>
          </cell>
          <cell r="R29">
            <v>0</v>
          </cell>
          <cell r="U29">
            <v>105000</v>
          </cell>
          <cell r="AI29">
            <v>60000</v>
          </cell>
          <cell r="AL29">
            <v>1000</v>
          </cell>
          <cell r="AP29" t="str">
            <v>BANQUE</v>
          </cell>
          <cell r="AQ29">
            <v>0</v>
          </cell>
          <cell r="AR29">
            <v>0</v>
          </cell>
          <cell r="AS29">
            <v>24000</v>
          </cell>
          <cell r="AW29">
            <v>60000</v>
          </cell>
          <cell r="AX29">
            <v>0</v>
          </cell>
          <cell r="AY29">
            <v>0</v>
          </cell>
          <cell r="AZ29">
            <v>60000</v>
          </cell>
          <cell r="BD29">
            <v>60000</v>
          </cell>
          <cell r="BE29" t="str">
            <v>OK</v>
          </cell>
          <cell r="BF29">
            <v>0</v>
          </cell>
          <cell r="BG29">
            <v>4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4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4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226000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101000</v>
          </cell>
          <cell r="R32">
            <v>0</v>
          </cell>
          <cell r="U32">
            <v>226000</v>
          </cell>
          <cell r="AJ32">
            <v>200000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200000</v>
          </cell>
          <cell r="AY32">
            <v>0</v>
          </cell>
          <cell r="AZ32">
            <v>200000</v>
          </cell>
          <cell r="BD32">
            <v>200000</v>
          </cell>
          <cell r="BE32" t="str">
            <v>OK</v>
          </cell>
          <cell r="BF32">
            <v>0</v>
          </cell>
          <cell r="BG32">
            <v>4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160000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4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J34">
            <v>1</v>
          </cell>
          <cell r="K34">
            <v>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4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4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4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4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4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-103500</v>
          </cell>
          <cell r="D40">
            <v>6348000</v>
          </cell>
          <cell r="E40">
            <v>0</v>
          </cell>
          <cell r="F40">
            <v>0</v>
          </cell>
          <cell r="G40">
            <v>3000</v>
          </cell>
          <cell r="H40">
            <v>0</v>
          </cell>
          <cell r="I40">
            <v>69500</v>
          </cell>
          <cell r="J40">
            <v>32</v>
          </cell>
          <cell r="K40">
            <v>1550000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87000</v>
          </cell>
          <cell r="Q40">
            <v>576000</v>
          </cell>
          <cell r="R40">
            <v>1166000</v>
          </cell>
          <cell r="S40">
            <v>0</v>
          </cell>
          <cell r="U40">
            <v>6451500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5000</v>
          </cell>
          <cell r="AD40">
            <v>7500</v>
          </cell>
          <cell r="AE40">
            <v>0</v>
          </cell>
          <cell r="AF40">
            <v>0</v>
          </cell>
          <cell r="AG40">
            <v>0</v>
          </cell>
          <cell r="AI40">
            <v>267000</v>
          </cell>
          <cell r="AJ40">
            <v>883500</v>
          </cell>
          <cell r="AK40">
            <v>1302000</v>
          </cell>
          <cell r="AL40">
            <v>4500</v>
          </cell>
          <cell r="AM40">
            <v>9000</v>
          </cell>
          <cell r="AN40">
            <v>15000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844500</v>
          </cell>
          <cell r="AT40">
            <v>0</v>
          </cell>
          <cell r="AU40">
            <v>0</v>
          </cell>
          <cell r="AV40">
            <v>0</v>
          </cell>
          <cell r="AW40">
            <v>862000</v>
          </cell>
          <cell r="AX40">
            <v>1776000</v>
          </cell>
          <cell r="AY40">
            <v>1302000</v>
          </cell>
          <cell r="AZ40">
            <v>4033750</v>
          </cell>
          <cell r="BA40">
            <v>50000</v>
          </cell>
          <cell r="BB40">
            <v>0</v>
          </cell>
          <cell r="BC40">
            <v>0</v>
          </cell>
          <cell r="BD40">
            <v>3680250</v>
          </cell>
          <cell r="BE40">
            <v>0</v>
          </cell>
          <cell r="BF40">
            <v>20000</v>
          </cell>
          <cell r="BH40">
            <v>6000</v>
          </cell>
          <cell r="BI40">
            <v>0</v>
          </cell>
          <cell r="BJ40">
            <v>0</v>
          </cell>
          <cell r="BK40">
            <v>100000</v>
          </cell>
          <cell r="BL40">
            <v>7750</v>
          </cell>
          <cell r="BM40">
            <v>0</v>
          </cell>
          <cell r="BO40" t="str">
            <v>S/TOTAL</v>
          </cell>
          <cell r="BQ40">
            <v>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  <cell r="BD6">
            <v>6000</v>
          </cell>
          <cell r="BE6" t="str">
            <v>OK</v>
          </cell>
          <cell r="BF6">
            <v>0</v>
          </cell>
          <cell r="BG6">
            <v>3</v>
          </cell>
          <cell r="BH6">
            <v>6000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110000</v>
          </cell>
          <cell r="F7">
            <v>0</v>
          </cell>
          <cell r="G7">
            <v>3000</v>
          </cell>
          <cell r="H7" t="str">
            <v>ESPECES</v>
          </cell>
          <cell r="I7">
            <v>-1000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58000</v>
          </cell>
          <cell r="Q7">
            <v>0</v>
          </cell>
          <cell r="R7">
            <v>0</v>
          </cell>
          <cell r="U7">
            <v>110000</v>
          </cell>
          <cell r="AQ7">
            <v>0</v>
          </cell>
          <cell r="AR7">
            <v>0</v>
          </cell>
          <cell r="AS7">
            <v>24000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3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0</v>
          </cell>
          <cell r="E8">
            <v>128000</v>
          </cell>
          <cell r="F8">
            <v>0</v>
          </cell>
          <cell r="G8">
            <v>3000</v>
          </cell>
          <cell r="H8" t="str">
            <v>ESPECES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128000</v>
          </cell>
          <cell r="AD8">
            <v>7500</v>
          </cell>
          <cell r="AF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892500</v>
          </cell>
          <cell r="AY8">
            <v>0</v>
          </cell>
          <cell r="AZ8">
            <v>892500</v>
          </cell>
          <cell r="BD8">
            <v>892500</v>
          </cell>
          <cell r="BF8">
            <v>0</v>
          </cell>
          <cell r="BG8">
            <v>3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356000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5000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101000</v>
          </cell>
          <cell r="U9">
            <v>356000</v>
          </cell>
          <cell r="AK9">
            <v>200000</v>
          </cell>
          <cell r="AN9">
            <v>3000</v>
          </cell>
          <cell r="AP9" t="str">
            <v>BANQUE</v>
          </cell>
          <cell r="AQ9">
            <v>0</v>
          </cell>
          <cell r="AR9">
            <v>0</v>
          </cell>
          <cell r="AS9">
            <v>30000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D9">
            <v>200000</v>
          </cell>
          <cell r="BE9" t="str">
            <v>OK</v>
          </cell>
          <cell r="BF9">
            <v>0</v>
          </cell>
          <cell r="BG9">
            <v>3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290000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101000</v>
          </cell>
          <cell r="R10">
            <v>0</v>
          </cell>
          <cell r="U10">
            <v>290000</v>
          </cell>
          <cell r="AI10">
            <v>60000</v>
          </cell>
          <cell r="AJ10">
            <v>50000</v>
          </cell>
          <cell r="AL10">
            <v>1000</v>
          </cell>
          <cell r="AM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60000</v>
          </cell>
          <cell r="AX10">
            <v>50000</v>
          </cell>
          <cell r="AY10">
            <v>0</v>
          </cell>
          <cell r="AZ10">
            <v>110000</v>
          </cell>
          <cell r="BA10">
            <v>110000</v>
          </cell>
          <cell r="BD10">
            <v>0</v>
          </cell>
          <cell r="BF10">
            <v>0</v>
          </cell>
          <cell r="BG10">
            <v>3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230000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2500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102500</v>
          </cell>
          <cell r="R11">
            <v>0</v>
          </cell>
          <cell r="U11">
            <v>230000</v>
          </cell>
          <cell r="AJ11">
            <v>50000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27500</v>
          </cell>
          <cell r="AW11">
            <v>0</v>
          </cell>
          <cell r="AX11">
            <v>50000</v>
          </cell>
          <cell r="AY11">
            <v>0</v>
          </cell>
          <cell r="AZ11">
            <v>50000</v>
          </cell>
          <cell r="BA11">
            <v>50000</v>
          </cell>
          <cell r="BD11">
            <v>0</v>
          </cell>
          <cell r="BF11">
            <v>0</v>
          </cell>
          <cell r="BG11">
            <v>3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532000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202000</v>
          </cell>
          <cell r="U12">
            <v>532000</v>
          </cell>
          <cell r="AK12">
            <v>200000</v>
          </cell>
          <cell r="AN12">
            <v>3000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200000</v>
          </cell>
          <cell r="AZ12">
            <v>200000</v>
          </cell>
          <cell r="BD12">
            <v>200000</v>
          </cell>
          <cell r="BE12" t="str">
            <v>OK</v>
          </cell>
          <cell r="BF12">
            <v>0</v>
          </cell>
          <cell r="BG12">
            <v>3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3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3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3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452000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25000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202000</v>
          </cell>
          <cell r="R16">
            <v>0</v>
          </cell>
          <cell r="U16">
            <v>452000</v>
          </cell>
          <cell r="Z16">
            <v>1000000</v>
          </cell>
          <cell r="AA16" t="str">
            <v>BANQUE</v>
          </cell>
          <cell r="AK16">
            <v>200000</v>
          </cell>
          <cell r="AN16">
            <v>3500</v>
          </cell>
          <cell r="AP16" t="str">
            <v>BANQUE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200000</v>
          </cell>
          <cell r="AZ16">
            <v>1180000</v>
          </cell>
          <cell r="BD16">
            <v>1180000</v>
          </cell>
          <cell r="BE16" t="str">
            <v>OK</v>
          </cell>
          <cell r="BF16">
            <v>20000</v>
          </cell>
          <cell r="BG16">
            <v>2</v>
          </cell>
          <cell r="BO16" t="str">
            <v>S/TOTAL</v>
          </cell>
          <cell r="BQ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170000</v>
          </cell>
          <cell r="E17">
            <v>210000</v>
          </cell>
          <cell r="F17">
            <v>0</v>
          </cell>
          <cell r="G17">
            <v>3000</v>
          </cell>
          <cell r="H17" t="str">
            <v>BANQUE</v>
          </cell>
          <cell r="I17">
            <v>-5500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30500</v>
          </cell>
          <cell r="Q17">
            <v>0</v>
          </cell>
          <cell r="R17">
            <v>202000</v>
          </cell>
          <cell r="U17">
            <v>380000</v>
          </cell>
          <cell r="AK17">
            <v>200000</v>
          </cell>
          <cell r="AN17">
            <v>2500</v>
          </cell>
          <cell r="AP17" t="str">
            <v>BANQUE</v>
          </cell>
          <cell r="AQ17">
            <v>0</v>
          </cell>
          <cell r="AR17">
            <v>0</v>
          </cell>
          <cell r="AS17">
            <v>19500</v>
          </cell>
          <cell r="AW17">
            <v>0</v>
          </cell>
          <cell r="AX17">
            <v>0</v>
          </cell>
          <cell r="AY17">
            <v>200000</v>
          </cell>
          <cell r="AZ17">
            <v>200000</v>
          </cell>
          <cell r="BA17">
            <v>200000</v>
          </cell>
          <cell r="BD17">
            <v>0</v>
          </cell>
          <cell r="BF17">
            <v>0</v>
          </cell>
          <cell r="BG17">
            <v>3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362000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202000</v>
          </cell>
          <cell r="U18">
            <v>362000</v>
          </cell>
          <cell r="AK18">
            <v>100000</v>
          </cell>
          <cell r="AN18">
            <v>1000</v>
          </cell>
          <cell r="AP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100000</v>
          </cell>
          <cell r="AZ18">
            <v>100000</v>
          </cell>
          <cell r="BA18">
            <v>100000</v>
          </cell>
          <cell r="BD18">
            <v>0</v>
          </cell>
          <cell r="BF18">
            <v>0</v>
          </cell>
          <cell r="BG18">
            <v>3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3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629000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202000</v>
          </cell>
          <cell r="R20">
            <v>202000</v>
          </cell>
          <cell r="U20">
            <v>629000</v>
          </cell>
          <cell r="AI20">
            <v>60000</v>
          </cell>
          <cell r="AJ20">
            <v>50000</v>
          </cell>
          <cell r="AK20">
            <v>200000</v>
          </cell>
          <cell r="AL20">
            <v>1000</v>
          </cell>
          <cell r="AM20">
            <v>1000</v>
          </cell>
          <cell r="AN20">
            <v>2500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60000</v>
          </cell>
          <cell r="AX20">
            <v>50000</v>
          </cell>
          <cell r="AY20">
            <v>200000</v>
          </cell>
          <cell r="AZ20">
            <v>310000</v>
          </cell>
          <cell r="BA20">
            <v>150000</v>
          </cell>
          <cell r="BD20">
            <v>160000</v>
          </cell>
          <cell r="BE20" t="str">
            <v>OK</v>
          </cell>
          <cell r="BF20">
            <v>0</v>
          </cell>
          <cell r="BG20">
            <v>3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3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3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202000</v>
          </cell>
          <cell r="U23">
            <v>462000</v>
          </cell>
          <cell r="AE23">
            <v>10000</v>
          </cell>
          <cell r="AF23" t="str">
            <v>BANQUE</v>
          </cell>
          <cell r="AK23">
            <v>200000</v>
          </cell>
          <cell r="AN23">
            <v>2500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1390000</v>
          </cell>
          <cell r="AZ23">
            <v>1390000</v>
          </cell>
          <cell r="BD23">
            <v>1390000</v>
          </cell>
          <cell r="BE23" t="str">
            <v>OK</v>
          </cell>
          <cell r="BF23">
            <v>0</v>
          </cell>
          <cell r="BG23">
            <v>3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209000</v>
          </cell>
          <cell r="F24">
            <v>0</v>
          </cell>
          <cell r="G24">
            <v>3000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206000</v>
          </cell>
          <cell r="U24">
            <v>449000</v>
          </cell>
          <cell r="AK24">
            <v>200000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200000</v>
          </cell>
          <cell r="AZ24">
            <v>200000</v>
          </cell>
          <cell r="BD24">
            <v>0</v>
          </cell>
          <cell r="BE24" t="str">
            <v>OK</v>
          </cell>
          <cell r="BF24">
            <v>0</v>
          </cell>
          <cell r="BG24">
            <v>3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458000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83000</v>
          </cell>
          <cell r="R25">
            <v>0</v>
          </cell>
          <cell r="U25">
            <v>458000</v>
          </cell>
          <cell r="AD25">
            <v>7500</v>
          </cell>
          <cell r="AF25" t="str">
            <v>BANQUE</v>
          </cell>
          <cell r="AJ25">
            <v>50000</v>
          </cell>
          <cell r="AK25">
            <v>200000</v>
          </cell>
          <cell r="AM25">
            <v>1000</v>
          </cell>
          <cell r="AN25">
            <v>3000</v>
          </cell>
          <cell r="AP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942500</v>
          </cell>
          <cell r="AY25">
            <v>200000</v>
          </cell>
          <cell r="AZ25">
            <v>1142500</v>
          </cell>
          <cell r="BA25">
            <v>150000</v>
          </cell>
          <cell r="BD25">
            <v>992500</v>
          </cell>
          <cell r="BE25" t="str">
            <v>OK</v>
          </cell>
          <cell r="BF25">
            <v>0</v>
          </cell>
          <cell r="BG25">
            <v>3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112000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I26">
            <v>1000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61000</v>
          </cell>
          <cell r="Q26">
            <v>0</v>
          </cell>
          <cell r="R26">
            <v>0</v>
          </cell>
          <cell r="U26">
            <v>112000</v>
          </cell>
          <cell r="AI26">
            <v>60000</v>
          </cell>
          <cell r="AL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26000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A26">
            <v>60000</v>
          </cell>
          <cell r="BD26">
            <v>0</v>
          </cell>
          <cell r="BF26">
            <v>0</v>
          </cell>
          <cell r="BG26">
            <v>3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3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3</v>
          </cell>
          <cell r="BO28" t="str">
            <v>S/TOTAL</v>
          </cell>
          <cell r="BQ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112000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61000</v>
          </cell>
          <cell r="Q29">
            <v>0</v>
          </cell>
          <cell r="R29">
            <v>0</v>
          </cell>
          <cell r="U29">
            <v>112000</v>
          </cell>
          <cell r="AC29">
            <v>3000</v>
          </cell>
          <cell r="AP29" t="str">
            <v>BANQUE</v>
          </cell>
          <cell r="AQ29">
            <v>0</v>
          </cell>
          <cell r="AR29">
            <v>0</v>
          </cell>
          <cell r="AS29">
            <v>26000</v>
          </cell>
          <cell r="AW29">
            <v>297000</v>
          </cell>
          <cell r="AX29">
            <v>0</v>
          </cell>
          <cell r="AY29">
            <v>0</v>
          </cell>
          <cell r="AZ29">
            <v>297000</v>
          </cell>
          <cell r="BD29">
            <v>297000</v>
          </cell>
          <cell r="BE29" t="str">
            <v>OK</v>
          </cell>
          <cell r="BF29">
            <v>0</v>
          </cell>
          <cell r="BG29">
            <v>3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K30">
            <v>200000</v>
          </cell>
          <cell r="AN30">
            <v>2000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200000</v>
          </cell>
          <cell r="AZ30">
            <v>200000</v>
          </cell>
          <cell r="BD30">
            <v>200000</v>
          </cell>
          <cell r="BE30" t="str">
            <v>OK</v>
          </cell>
          <cell r="BF30">
            <v>0</v>
          </cell>
          <cell r="BG30">
            <v>3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I31">
            <v>29500</v>
          </cell>
          <cell r="AL31">
            <v>500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29500</v>
          </cell>
          <cell r="AX31">
            <v>0</v>
          </cell>
          <cell r="AY31">
            <v>0</v>
          </cell>
          <cell r="AZ31">
            <v>29500</v>
          </cell>
          <cell r="BA31">
            <v>29500</v>
          </cell>
          <cell r="BD31">
            <v>0</v>
          </cell>
          <cell r="BE31" t="str">
            <v>OK</v>
          </cell>
          <cell r="BF31">
            <v>0</v>
          </cell>
          <cell r="BG31">
            <v>3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327000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202000</v>
          </cell>
          <cell r="R32">
            <v>0</v>
          </cell>
          <cell r="U32">
            <v>327000</v>
          </cell>
          <cell r="AI32">
            <v>0</v>
          </cell>
          <cell r="AJ32">
            <v>107500</v>
          </cell>
          <cell r="AL32">
            <v>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107500</v>
          </cell>
          <cell r="AY32">
            <v>0</v>
          </cell>
          <cell r="AZ32">
            <v>107500</v>
          </cell>
          <cell r="BA32">
            <v>60500</v>
          </cell>
          <cell r="BD32">
            <v>47000</v>
          </cell>
          <cell r="BE32" t="str">
            <v>OK</v>
          </cell>
          <cell r="BF32">
            <v>0</v>
          </cell>
          <cell r="BG32">
            <v>3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-304000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174000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324000</v>
          </cell>
          <cell r="AC33">
            <v>6000</v>
          </cell>
          <cell r="AE33">
            <v>10000</v>
          </cell>
          <cell r="AF33" t="str">
            <v>BANQUE</v>
          </cell>
          <cell r="AQ33">
            <v>0</v>
          </cell>
          <cell r="AR33">
            <v>0</v>
          </cell>
          <cell r="AS33">
            <v>199000</v>
          </cell>
          <cell r="AW33">
            <v>294000</v>
          </cell>
          <cell r="AX33">
            <v>0</v>
          </cell>
          <cell r="AY33">
            <v>1190000</v>
          </cell>
          <cell r="AZ33">
            <v>1484000</v>
          </cell>
          <cell r="BB33">
            <v>140000</v>
          </cell>
          <cell r="BD33">
            <v>1180000</v>
          </cell>
          <cell r="BE33" t="str">
            <v>OK</v>
          </cell>
          <cell r="BF33">
            <v>0</v>
          </cell>
          <cell r="BG33">
            <v>3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3750</v>
          </cell>
          <cell r="D34">
            <v>110000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6250</v>
          </cell>
          <cell r="J34">
            <v>1</v>
          </cell>
          <cell r="K34">
            <v>100000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106250</v>
          </cell>
          <cell r="AQ34">
            <v>0</v>
          </cell>
          <cell r="AR34">
            <v>3750</v>
          </cell>
          <cell r="AS34">
            <v>56250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3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100000</v>
          </cell>
          <cell r="BD35">
            <v>100000</v>
          </cell>
          <cell r="BE35" t="str">
            <v>OK</v>
          </cell>
          <cell r="BF35">
            <v>0</v>
          </cell>
          <cell r="BG35">
            <v>3</v>
          </cell>
          <cell r="BK35">
            <v>100000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3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-940000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I37">
            <v>700000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853000</v>
          </cell>
          <cell r="AC37">
            <v>4000</v>
          </cell>
          <cell r="AE37">
            <v>10000</v>
          </cell>
          <cell r="AF37" t="str">
            <v>BANQUE</v>
          </cell>
          <cell r="AQ37">
            <v>0</v>
          </cell>
          <cell r="AR37">
            <v>0</v>
          </cell>
          <cell r="AS37">
            <v>725000</v>
          </cell>
          <cell r="AT37">
            <v>120000</v>
          </cell>
          <cell r="AW37">
            <v>296000</v>
          </cell>
          <cell r="AX37">
            <v>0</v>
          </cell>
          <cell r="AY37">
            <v>1190000</v>
          </cell>
          <cell r="AZ37">
            <v>1486000</v>
          </cell>
          <cell r="BB37">
            <v>240000</v>
          </cell>
          <cell r="BD37">
            <v>426000</v>
          </cell>
          <cell r="BE37" t="str">
            <v>OK</v>
          </cell>
          <cell r="BF37">
            <v>0</v>
          </cell>
          <cell r="BG37">
            <v>3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3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-1240250</v>
          </cell>
          <cell r="D40">
            <v>6147000</v>
          </cell>
          <cell r="E40">
            <v>1100000</v>
          </cell>
          <cell r="F40">
            <v>0</v>
          </cell>
          <cell r="G40">
            <v>18000</v>
          </cell>
          <cell r="H40">
            <v>0</v>
          </cell>
          <cell r="I40">
            <v>958250</v>
          </cell>
          <cell r="J40">
            <v>32</v>
          </cell>
          <cell r="K40">
            <v>1650000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271500</v>
          </cell>
          <cell r="Q40">
            <v>892500</v>
          </cell>
          <cell r="R40">
            <v>1317000</v>
          </cell>
          <cell r="S40">
            <v>0</v>
          </cell>
          <cell r="U40">
            <v>8107250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1000000</v>
          </cell>
          <cell r="AA40">
            <v>0</v>
          </cell>
          <cell r="AC40">
            <v>13000</v>
          </cell>
          <cell r="AD40">
            <v>15000</v>
          </cell>
          <cell r="AE40">
            <v>30000</v>
          </cell>
          <cell r="AF40">
            <v>0</v>
          </cell>
          <cell r="AG40">
            <v>0</v>
          </cell>
          <cell r="AI40">
            <v>209500</v>
          </cell>
          <cell r="AJ40">
            <v>307500</v>
          </cell>
          <cell r="AK40">
            <v>1900000</v>
          </cell>
          <cell r="AL40">
            <v>3500</v>
          </cell>
          <cell r="AM40">
            <v>6000</v>
          </cell>
          <cell r="AN40">
            <v>25000</v>
          </cell>
          <cell r="AO40">
            <v>0</v>
          </cell>
          <cell r="AP40">
            <v>0</v>
          </cell>
          <cell r="AQ40">
            <v>0</v>
          </cell>
          <cell r="AR40">
            <v>3750</v>
          </cell>
          <cell r="AS40">
            <v>1783250</v>
          </cell>
          <cell r="AT40">
            <v>120000</v>
          </cell>
          <cell r="AU40">
            <v>0</v>
          </cell>
          <cell r="AV40">
            <v>0</v>
          </cell>
          <cell r="AW40">
            <v>1096500</v>
          </cell>
          <cell r="AX40">
            <v>2092500</v>
          </cell>
          <cell r="AY40">
            <v>5470000</v>
          </cell>
          <cell r="AZ40">
            <v>9745000</v>
          </cell>
          <cell r="BA40">
            <v>910000</v>
          </cell>
          <cell r="BB40">
            <v>380000</v>
          </cell>
          <cell r="BC40">
            <v>0</v>
          </cell>
          <cell r="BD40">
            <v>7271000</v>
          </cell>
          <cell r="BE40">
            <v>0</v>
          </cell>
          <cell r="BF40">
            <v>20000</v>
          </cell>
          <cell r="BH40">
            <v>6000</v>
          </cell>
          <cell r="BI40">
            <v>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  <cell r="BQ40">
            <v>0</v>
          </cell>
        </row>
      </sheetData>
      <sheetData sheetId="14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106000</v>
          </cell>
          <cell r="BD6">
            <v>1257000</v>
          </cell>
          <cell r="BF6">
            <v>0</v>
          </cell>
          <cell r="BG6">
            <v>2</v>
          </cell>
          <cell r="BH6">
            <v>6000</v>
          </cell>
          <cell r="BI6">
            <v>0</v>
          </cell>
          <cell r="BJ6">
            <v>0</v>
          </cell>
          <cell r="BK6">
            <v>100000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2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C8">
            <v>2500</v>
          </cell>
          <cell r="AF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297500</v>
          </cell>
          <cell r="AX8">
            <v>0</v>
          </cell>
          <cell r="AY8">
            <v>0</v>
          </cell>
          <cell r="AZ8">
            <v>297500</v>
          </cell>
          <cell r="BD8">
            <v>297500</v>
          </cell>
          <cell r="BE8" t="str">
            <v>OK</v>
          </cell>
          <cell r="BF8">
            <v>0</v>
          </cell>
          <cell r="BG8">
            <v>2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-1000</v>
          </cell>
          <cell r="D9">
            <v>452000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203000</v>
          </cell>
          <cell r="U9">
            <v>453000</v>
          </cell>
          <cell r="AE9">
            <v>10000</v>
          </cell>
          <cell r="AF9" t="str">
            <v>BANQUE</v>
          </cell>
          <cell r="AK9">
            <v>150000</v>
          </cell>
          <cell r="AN9">
            <v>1500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1340000</v>
          </cell>
          <cell r="AZ9">
            <v>1340000</v>
          </cell>
          <cell r="BA9">
            <v>150000</v>
          </cell>
          <cell r="BD9">
            <v>1190000</v>
          </cell>
          <cell r="BE9" t="str">
            <v>OK</v>
          </cell>
          <cell r="BF9">
            <v>0</v>
          </cell>
          <cell r="BG9">
            <v>2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238000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51000</v>
          </cell>
          <cell r="R10">
            <v>0</v>
          </cell>
          <cell r="U10">
            <v>238000</v>
          </cell>
          <cell r="AI10">
            <v>60500</v>
          </cell>
          <cell r="AJ10">
            <v>100000</v>
          </cell>
          <cell r="AL10">
            <v>1500</v>
          </cell>
          <cell r="AM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26000</v>
          </cell>
          <cell r="AW10">
            <v>60500</v>
          </cell>
          <cell r="AX10">
            <v>100000</v>
          </cell>
          <cell r="AY10">
            <v>0</v>
          </cell>
          <cell r="AZ10">
            <v>160500</v>
          </cell>
          <cell r="BA10">
            <v>60500</v>
          </cell>
          <cell r="BD10">
            <v>100000</v>
          </cell>
          <cell r="BE10" t="str">
            <v>OK</v>
          </cell>
          <cell r="BF10">
            <v>0</v>
          </cell>
          <cell r="BG10">
            <v>2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176500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500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51000</v>
          </cell>
          <cell r="R11">
            <v>0</v>
          </cell>
          <cell r="U11">
            <v>176500</v>
          </cell>
          <cell r="AJ11">
            <v>100000</v>
          </cell>
          <cell r="AM11">
            <v>1000</v>
          </cell>
          <cell r="AN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25500</v>
          </cell>
          <cell r="AW11">
            <v>0</v>
          </cell>
          <cell r="AX11">
            <v>100000</v>
          </cell>
          <cell r="AY11">
            <v>0</v>
          </cell>
          <cell r="AZ11">
            <v>100000</v>
          </cell>
          <cell r="BA11">
            <v>100000</v>
          </cell>
          <cell r="BD11">
            <v>0</v>
          </cell>
          <cell r="BF11">
            <v>0</v>
          </cell>
          <cell r="BG11">
            <v>2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-1000</v>
          </cell>
          <cell r="D12">
            <v>632000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203000</v>
          </cell>
          <cell r="S12">
            <v>100000</v>
          </cell>
          <cell r="T12" t="str">
            <v>BANQUE</v>
          </cell>
          <cell r="U12">
            <v>633000</v>
          </cell>
          <cell r="AK12">
            <v>400000</v>
          </cell>
          <cell r="AN12">
            <v>4000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400000</v>
          </cell>
          <cell r="AZ12">
            <v>400000</v>
          </cell>
          <cell r="BD12">
            <v>400000</v>
          </cell>
          <cell r="BE12" t="str">
            <v>OK</v>
          </cell>
          <cell r="BF12">
            <v>0</v>
          </cell>
          <cell r="BG12">
            <v>2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2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2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2</v>
          </cell>
        </row>
        <row r="16">
          <cell r="A16" t="str">
            <v>AS201613</v>
          </cell>
          <cell r="B16" t="str">
            <v>HOTCHO BENJAMIN</v>
          </cell>
          <cell r="C16">
            <v>-1500</v>
          </cell>
          <cell r="D16">
            <v>442000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203500</v>
          </cell>
          <cell r="U16">
            <v>443500</v>
          </cell>
          <cell r="AK16">
            <v>300000</v>
          </cell>
          <cell r="AN16">
            <v>3000</v>
          </cell>
          <cell r="AP16" t="str">
            <v>BANQUE</v>
          </cell>
          <cell r="AQ16">
            <v>0</v>
          </cell>
          <cell r="AR16">
            <v>0</v>
          </cell>
          <cell r="AS16">
            <v>40000</v>
          </cell>
          <cell r="AW16">
            <v>0</v>
          </cell>
          <cell r="AX16">
            <v>0</v>
          </cell>
          <cell r="AY16">
            <v>300000</v>
          </cell>
          <cell r="AZ16">
            <v>300000</v>
          </cell>
          <cell r="BD16">
            <v>300000</v>
          </cell>
          <cell r="BE16" t="str">
            <v>OK</v>
          </cell>
          <cell r="BF16">
            <v>0</v>
          </cell>
          <cell r="BG16">
            <v>2</v>
          </cell>
          <cell r="BO16" t="str">
            <v>S/TOTAL</v>
          </cell>
          <cell r="BQ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353000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500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202500</v>
          </cell>
          <cell r="U17">
            <v>353000</v>
          </cell>
          <cell r="AK17">
            <v>150000</v>
          </cell>
          <cell r="AN17">
            <v>1500</v>
          </cell>
          <cell r="AP17" t="str">
            <v>BANQUE</v>
          </cell>
          <cell r="AQ17">
            <v>0</v>
          </cell>
          <cell r="AR17">
            <v>0</v>
          </cell>
          <cell r="AS17">
            <v>25500</v>
          </cell>
          <cell r="AW17">
            <v>0</v>
          </cell>
          <cell r="AX17">
            <v>0</v>
          </cell>
          <cell r="AY17">
            <v>150000</v>
          </cell>
          <cell r="AZ17">
            <v>150000</v>
          </cell>
          <cell r="BA17">
            <v>100000</v>
          </cell>
          <cell r="BD17">
            <v>50000</v>
          </cell>
          <cell r="BE17" t="str">
            <v>OK</v>
          </cell>
          <cell r="BF17">
            <v>0</v>
          </cell>
          <cell r="BG17">
            <v>2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251000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101000</v>
          </cell>
          <cell r="U18">
            <v>251000</v>
          </cell>
          <cell r="AP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D18">
            <v>0</v>
          </cell>
          <cell r="BF18">
            <v>0</v>
          </cell>
          <cell r="BG18">
            <v>2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2</v>
          </cell>
        </row>
        <row r="20">
          <cell r="A20" t="str">
            <v>AS201649</v>
          </cell>
          <cell r="B20" t="str">
            <v>MBOGNING TUGMA GUY</v>
          </cell>
          <cell r="C20">
            <v>-500</v>
          </cell>
          <cell r="D20">
            <v>539000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61000</v>
          </cell>
          <cell r="Q20">
            <v>51000</v>
          </cell>
          <cell r="R20">
            <v>202500</v>
          </cell>
          <cell r="U20">
            <v>539500</v>
          </cell>
          <cell r="AJ20">
            <v>50000</v>
          </cell>
          <cell r="AK20">
            <v>400000</v>
          </cell>
          <cell r="AM20">
            <v>1000</v>
          </cell>
          <cell r="AN20">
            <v>4000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50000</v>
          </cell>
          <cell r="AY20">
            <v>400000</v>
          </cell>
          <cell r="AZ20">
            <v>450000</v>
          </cell>
          <cell r="BA20">
            <v>62500</v>
          </cell>
          <cell r="BD20">
            <v>387500</v>
          </cell>
          <cell r="BE20" t="str">
            <v>OK</v>
          </cell>
          <cell r="BF20">
            <v>0</v>
          </cell>
          <cell r="BG20">
            <v>2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2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2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-500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202500</v>
          </cell>
          <cell r="U23">
            <v>462500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  <cell r="BA23">
            <v>100000</v>
          </cell>
          <cell r="BD23">
            <v>100000</v>
          </cell>
          <cell r="BE23" t="str">
            <v>OK</v>
          </cell>
          <cell r="BF23">
            <v>0</v>
          </cell>
          <cell r="BG23">
            <v>2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0</v>
          </cell>
          <cell r="E24">
            <v>430000</v>
          </cell>
          <cell r="F24">
            <v>0</v>
          </cell>
          <cell r="G24">
            <v>3000</v>
          </cell>
          <cell r="H24" t="str">
            <v>ESPECES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U24">
            <v>430000</v>
          </cell>
          <cell r="AK24">
            <v>200000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200000</v>
          </cell>
          <cell r="AZ24">
            <v>200000</v>
          </cell>
          <cell r="BD24">
            <v>521000</v>
          </cell>
          <cell r="BE24" t="str">
            <v>OK</v>
          </cell>
          <cell r="BF24">
            <v>0</v>
          </cell>
          <cell r="BG24">
            <v>2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618000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-11000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51000</v>
          </cell>
          <cell r="R25">
            <v>203000</v>
          </cell>
          <cell r="U25">
            <v>618000</v>
          </cell>
          <cell r="AK25">
            <v>100000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14000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D25">
            <v>100000</v>
          </cell>
          <cell r="BE25" t="str">
            <v>OK</v>
          </cell>
          <cell r="BF25">
            <v>0</v>
          </cell>
          <cell r="BG25">
            <v>2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111000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61000</v>
          </cell>
          <cell r="Q26">
            <v>0</v>
          </cell>
          <cell r="R26">
            <v>0</v>
          </cell>
          <cell r="U26">
            <v>111000</v>
          </cell>
          <cell r="AP26" t="str">
            <v>BANQUE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2</v>
          </cell>
          <cell r="BO26" t="str">
            <v>DEUIL TCHEMNOU EMMANUEL</v>
          </cell>
          <cell r="BP26" t="str">
            <v>FRAIS EXEPTIONNEL</v>
          </cell>
          <cell r="BQ26">
            <v>321500</v>
          </cell>
        </row>
        <row r="27">
          <cell r="A27" t="str">
            <v>AS201656</v>
          </cell>
          <cell r="B27" t="str">
            <v>NOUBE ETIENNE</v>
          </cell>
          <cell r="C27">
            <v>-20000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C27">
            <v>2500</v>
          </cell>
          <cell r="AF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297500</v>
          </cell>
          <cell r="AX27">
            <v>0</v>
          </cell>
          <cell r="AY27">
            <v>0</v>
          </cell>
          <cell r="AZ27">
            <v>297500</v>
          </cell>
          <cell r="BB27">
            <v>20000</v>
          </cell>
          <cell r="BD27">
            <v>277500</v>
          </cell>
          <cell r="BE27" t="str">
            <v>OK</v>
          </cell>
          <cell r="BF27">
            <v>0</v>
          </cell>
          <cell r="BG27">
            <v>2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2</v>
          </cell>
          <cell r="BO28" t="str">
            <v>S/TOTAL</v>
          </cell>
          <cell r="BQ28">
            <v>321500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AI29">
            <v>60000</v>
          </cell>
          <cell r="AL29">
            <v>1500</v>
          </cell>
          <cell r="AQ29">
            <v>0</v>
          </cell>
          <cell r="AR29">
            <v>0</v>
          </cell>
          <cell r="AS29">
            <v>25000</v>
          </cell>
          <cell r="AW29">
            <v>60000</v>
          </cell>
          <cell r="AX29">
            <v>0</v>
          </cell>
          <cell r="AY29">
            <v>0</v>
          </cell>
          <cell r="AZ29">
            <v>60000</v>
          </cell>
          <cell r="BA29">
            <v>60000</v>
          </cell>
          <cell r="BD29">
            <v>0</v>
          </cell>
          <cell r="BF29">
            <v>0</v>
          </cell>
          <cell r="BG29">
            <v>2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452000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202000</v>
          </cell>
          <cell r="U30">
            <v>452000</v>
          </cell>
          <cell r="AP30" t="str">
            <v>BANQUE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2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180000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30000</v>
          </cell>
          <cell r="Q31">
            <v>0</v>
          </cell>
          <cell r="R31">
            <v>0</v>
          </cell>
          <cell r="U31">
            <v>180000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2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234500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109500</v>
          </cell>
          <cell r="R32">
            <v>0</v>
          </cell>
          <cell r="U32">
            <v>234500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2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-85000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95000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245000</v>
          </cell>
          <cell r="AQ33">
            <v>0</v>
          </cell>
          <cell r="AR33">
            <v>0</v>
          </cell>
          <cell r="AS33">
            <v>120000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2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2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2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2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2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C38">
            <v>2500</v>
          </cell>
          <cell r="AD38">
            <v>7500</v>
          </cell>
          <cell r="AF38" t="str">
            <v>BANQUE</v>
          </cell>
          <cell r="AQ38">
            <v>0</v>
          </cell>
          <cell r="AR38">
            <v>0</v>
          </cell>
          <cell r="AS38">
            <v>25000</v>
          </cell>
          <cell r="AW38">
            <v>297500</v>
          </cell>
          <cell r="AX38">
            <v>892500</v>
          </cell>
          <cell r="AY38">
            <v>0</v>
          </cell>
          <cell r="AZ38">
            <v>1190000</v>
          </cell>
          <cell r="BD38">
            <v>1190000</v>
          </cell>
          <cell r="BE38" t="str">
            <v>OK</v>
          </cell>
          <cell r="BF38">
            <v>0</v>
          </cell>
          <cell r="BG38">
            <v>2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-109500</v>
          </cell>
          <cell r="D40">
            <v>6561000</v>
          </cell>
          <cell r="E40">
            <v>633000</v>
          </cell>
          <cell r="F40">
            <v>0</v>
          </cell>
          <cell r="G40">
            <v>6000</v>
          </cell>
          <cell r="H40">
            <v>0</v>
          </cell>
          <cell r="I40">
            <v>126000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213000</v>
          </cell>
          <cell r="Q40">
            <v>313500</v>
          </cell>
          <cell r="R40">
            <v>1925000</v>
          </cell>
          <cell r="S40">
            <v>100000</v>
          </cell>
          <cell r="U40">
            <v>7283500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7500</v>
          </cell>
          <cell r="AD40">
            <v>7500</v>
          </cell>
          <cell r="AE40">
            <v>10000</v>
          </cell>
          <cell r="AF40">
            <v>0</v>
          </cell>
          <cell r="AG40">
            <v>0</v>
          </cell>
          <cell r="AI40">
            <v>120500</v>
          </cell>
          <cell r="AJ40">
            <v>250000</v>
          </cell>
          <cell r="AK40">
            <v>1900000</v>
          </cell>
          <cell r="AL40">
            <v>3000</v>
          </cell>
          <cell r="AM40">
            <v>3000</v>
          </cell>
          <cell r="AN40">
            <v>21000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926000</v>
          </cell>
          <cell r="AT40">
            <v>0</v>
          </cell>
          <cell r="AU40">
            <v>0</v>
          </cell>
          <cell r="AV40">
            <v>0</v>
          </cell>
          <cell r="AW40">
            <v>1013000</v>
          </cell>
          <cell r="AX40">
            <v>1142500</v>
          </cell>
          <cell r="AY40">
            <v>3090000</v>
          </cell>
          <cell r="AZ40">
            <v>5351500</v>
          </cell>
          <cell r="BA40">
            <v>633000</v>
          </cell>
          <cell r="BB40">
            <v>20000</v>
          </cell>
          <cell r="BC40">
            <v>0</v>
          </cell>
          <cell r="BD40">
            <v>6170500</v>
          </cell>
          <cell r="BE40">
            <v>0</v>
          </cell>
          <cell r="BF40">
            <v>0</v>
          </cell>
          <cell r="BH40">
            <v>6000</v>
          </cell>
          <cell r="BI40">
            <v>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  <cell r="BQ40">
            <v>100000</v>
          </cell>
        </row>
      </sheetData>
      <sheetData sheetId="1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156000</v>
          </cell>
          <cell r="BD6">
            <v>156000</v>
          </cell>
          <cell r="BF6">
            <v>0</v>
          </cell>
          <cell r="BG6">
            <v>1</v>
          </cell>
          <cell r="BH6">
            <v>56000</v>
          </cell>
          <cell r="BI6">
            <v>0</v>
          </cell>
          <cell r="BJ6">
            <v>100000</v>
          </cell>
          <cell r="BN6">
            <v>2000000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1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1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401500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151500</v>
          </cell>
          <cell r="U9">
            <v>401500</v>
          </cell>
          <cell r="AK9">
            <v>100000</v>
          </cell>
          <cell r="AN9">
            <v>1000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100000</v>
          </cell>
          <cell r="AZ9">
            <v>100000</v>
          </cell>
          <cell r="BA9">
            <v>100000</v>
          </cell>
          <cell r="BD9">
            <v>0</v>
          </cell>
          <cell r="BF9">
            <v>0</v>
          </cell>
          <cell r="BG9">
            <v>1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285000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-3000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62000</v>
          </cell>
          <cell r="Q10">
            <v>101000</v>
          </cell>
          <cell r="R10">
            <v>0</v>
          </cell>
          <cell r="U10">
            <v>285000</v>
          </cell>
          <cell r="AI10">
            <v>60000</v>
          </cell>
          <cell r="AJ10">
            <v>130000</v>
          </cell>
          <cell r="AL10">
            <v>1000</v>
          </cell>
          <cell r="AM10">
            <v>2000</v>
          </cell>
          <cell r="AP10" t="str">
            <v>BANQUE</v>
          </cell>
          <cell r="AQ10">
            <v>0</v>
          </cell>
          <cell r="AR10">
            <v>0</v>
          </cell>
          <cell r="AS10">
            <v>22000</v>
          </cell>
          <cell r="AW10">
            <v>60000</v>
          </cell>
          <cell r="AX10">
            <v>130000</v>
          </cell>
          <cell r="AY10">
            <v>0</v>
          </cell>
          <cell r="AZ10">
            <v>190000</v>
          </cell>
          <cell r="BD10">
            <v>190000</v>
          </cell>
          <cell r="BE10" t="str">
            <v>OK</v>
          </cell>
          <cell r="BF10">
            <v>0</v>
          </cell>
          <cell r="BG10">
            <v>1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-101000</v>
          </cell>
          <cell r="D11">
            <v>125000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101000</v>
          </cell>
          <cell r="R11">
            <v>0</v>
          </cell>
          <cell r="U11">
            <v>226000</v>
          </cell>
          <cell r="AJ11">
            <v>101000</v>
          </cell>
          <cell r="AM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101000</v>
          </cell>
          <cell r="AY11">
            <v>0</v>
          </cell>
          <cell r="AZ11">
            <v>101000</v>
          </cell>
          <cell r="BD11">
            <v>0</v>
          </cell>
          <cell r="BF11">
            <v>0</v>
          </cell>
          <cell r="BG11">
            <v>1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736000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7000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404000</v>
          </cell>
          <cell r="U12">
            <v>736000</v>
          </cell>
          <cell r="AI12">
            <v>60000</v>
          </cell>
          <cell r="AJ12">
            <v>100500</v>
          </cell>
          <cell r="AK12">
            <v>500000</v>
          </cell>
          <cell r="AL12">
            <v>1000</v>
          </cell>
          <cell r="AM12">
            <v>1000</v>
          </cell>
          <cell r="AN12">
            <v>5000</v>
          </cell>
          <cell r="AP12" t="str">
            <v>BANQUE</v>
          </cell>
          <cell r="AQ12">
            <v>0</v>
          </cell>
          <cell r="AR12">
            <v>0</v>
          </cell>
          <cell r="AS12">
            <v>32000</v>
          </cell>
          <cell r="AW12">
            <v>60000</v>
          </cell>
          <cell r="AX12">
            <v>100500</v>
          </cell>
          <cell r="AY12">
            <v>500000</v>
          </cell>
          <cell r="AZ12">
            <v>660500</v>
          </cell>
          <cell r="BA12">
            <v>60000</v>
          </cell>
          <cell r="BD12">
            <v>600500</v>
          </cell>
          <cell r="BE12" t="str">
            <v>OK</v>
          </cell>
          <cell r="BF12">
            <v>0</v>
          </cell>
          <cell r="BG12">
            <v>1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P13" t="str">
            <v>BANQUE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-3000</v>
          </cell>
          <cell r="D14">
            <v>0</v>
          </cell>
          <cell r="E14">
            <v>50000</v>
          </cell>
          <cell r="F14">
            <v>0</v>
          </cell>
          <cell r="G14">
            <v>3000</v>
          </cell>
          <cell r="H14" t="str">
            <v>ESPECES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53000</v>
          </cell>
          <cell r="AC14">
            <v>2500</v>
          </cell>
          <cell r="AP14" t="str">
            <v>BANQUE</v>
          </cell>
          <cell r="AQ14">
            <v>0</v>
          </cell>
          <cell r="AR14">
            <v>0</v>
          </cell>
          <cell r="AS14">
            <v>25000</v>
          </cell>
          <cell r="AW14">
            <v>297500</v>
          </cell>
          <cell r="AX14">
            <v>0</v>
          </cell>
          <cell r="AY14">
            <v>0</v>
          </cell>
          <cell r="AZ14">
            <v>297500</v>
          </cell>
          <cell r="BD14">
            <v>297500</v>
          </cell>
          <cell r="BE14" t="str">
            <v>OK</v>
          </cell>
          <cell r="BF14">
            <v>0</v>
          </cell>
          <cell r="BG14">
            <v>1</v>
          </cell>
          <cell r="BO14" t="str">
            <v>AGENCE ASSOCIATION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P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</v>
          </cell>
        </row>
        <row r="16">
          <cell r="A16" t="str">
            <v>AS201613</v>
          </cell>
          <cell r="B16" t="str">
            <v>HOTCHO BENJAMIN</v>
          </cell>
          <cell r="C16">
            <v>10000</v>
          </cell>
          <cell r="D16">
            <v>543000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303000</v>
          </cell>
          <cell r="U16">
            <v>533000</v>
          </cell>
          <cell r="AJ16">
            <v>200000</v>
          </cell>
          <cell r="AK16">
            <v>200000</v>
          </cell>
          <cell r="AM16">
            <v>2000</v>
          </cell>
          <cell r="AN16">
            <v>2000</v>
          </cell>
          <cell r="AP16" t="str">
            <v>BANQUE</v>
          </cell>
          <cell r="AQ16">
            <v>0</v>
          </cell>
          <cell r="AR16">
            <v>0</v>
          </cell>
          <cell r="AS16">
            <v>30000</v>
          </cell>
          <cell r="AW16">
            <v>0</v>
          </cell>
          <cell r="AX16">
            <v>200000</v>
          </cell>
          <cell r="AY16">
            <v>200000</v>
          </cell>
          <cell r="AZ16">
            <v>400000</v>
          </cell>
          <cell r="BD16">
            <v>400000</v>
          </cell>
          <cell r="BE16" t="str">
            <v>OK</v>
          </cell>
          <cell r="BF16">
            <v>0</v>
          </cell>
          <cell r="BG16">
            <v>1</v>
          </cell>
          <cell r="BO16" t="str">
            <v>S/TOTAL</v>
          </cell>
          <cell r="BQ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-101500</v>
          </cell>
          <cell r="D17">
            <v>200000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151500</v>
          </cell>
          <cell r="U17">
            <v>301500</v>
          </cell>
          <cell r="AK17">
            <v>101500</v>
          </cell>
          <cell r="AN17">
            <v>3000</v>
          </cell>
          <cell r="AP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101500</v>
          </cell>
          <cell r="AZ17">
            <v>101500</v>
          </cell>
          <cell r="BD17">
            <v>0</v>
          </cell>
          <cell r="BF17">
            <v>0</v>
          </cell>
          <cell r="BG17">
            <v>1</v>
          </cell>
        </row>
        <row r="18">
          <cell r="A18" t="str">
            <v>AS201619</v>
          </cell>
          <cell r="B18" t="str">
            <v>KOUATCHO MESSACK</v>
          </cell>
          <cell r="C18">
            <v>3000</v>
          </cell>
          <cell r="D18">
            <v>0</v>
          </cell>
          <cell r="E18">
            <v>160000</v>
          </cell>
          <cell r="F18">
            <v>0</v>
          </cell>
          <cell r="G18">
            <v>3000</v>
          </cell>
          <cell r="H18" t="str">
            <v>ESPECES</v>
          </cell>
          <cell r="I18">
            <v>4000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157000</v>
          </cell>
          <cell r="AK18">
            <v>100000</v>
          </cell>
          <cell r="AN18">
            <v>1000</v>
          </cell>
          <cell r="AQ18">
            <v>0</v>
          </cell>
          <cell r="AR18">
            <v>0</v>
          </cell>
          <cell r="AS18">
            <v>29000</v>
          </cell>
          <cell r="AW18">
            <v>0</v>
          </cell>
          <cell r="AX18">
            <v>0</v>
          </cell>
          <cell r="AY18">
            <v>100000</v>
          </cell>
          <cell r="AZ18">
            <v>100000</v>
          </cell>
          <cell r="BA18">
            <v>100000</v>
          </cell>
          <cell r="BD18">
            <v>0</v>
          </cell>
          <cell r="BF18">
            <v>0</v>
          </cell>
          <cell r="BG18">
            <v>1</v>
          </cell>
          <cell r="BO18" t="str">
            <v>TERRAIN NYOM</v>
          </cell>
          <cell r="BP18" t="str">
            <v>AUTRES DEPENSES</v>
          </cell>
          <cell r="BQ18">
            <v>2000000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629000</v>
          </cell>
          <cell r="E20">
            <v>51000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51000</v>
          </cell>
          <cell r="R20">
            <v>404000</v>
          </cell>
          <cell r="U20">
            <v>680000</v>
          </cell>
          <cell r="AI20">
            <v>130000</v>
          </cell>
          <cell r="AJ20">
            <v>200000</v>
          </cell>
          <cell r="AK20">
            <v>200000</v>
          </cell>
          <cell r="AL20">
            <v>2000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130000</v>
          </cell>
          <cell r="AX20">
            <v>200000</v>
          </cell>
          <cell r="AY20">
            <v>200000</v>
          </cell>
          <cell r="AZ20">
            <v>536000</v>
          </cell>
          <cell r="BA20">
            <v>147000</v>
          </cell>
          <cell r="BD20">
            <v>389000</v>
          </cell>
          <cell r="BE20" t="str">
            <v>OK</v>
          </cell>
          <cell r="BF20">
            <v>0</v>
          </cell>
          <cell r="BG20">
            <v>1</v>
          </cell>
          <cell r="BK20">
            <v>6000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1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892500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892500</v>
          </cell>
          <cell r="T22" t="str">
            <v>BANQUE</v>
          </cell>
          <cell r="U22">
            <v>1017500</v>
          </cell>
          <cell r="AD22">
            <v>7500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892500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</v>
          </cell>
          <cell r="BO22" t="str">
            <v>S/TOTAL</v>
          </cell>
          <cell r="BQ22">
            <v>2000000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202000</v>
          </cell>
          <cell r="U23">
            <v>462000</v>
          </cell>
          <cell r="AK23">
            <v>400000</v>
          </cell>
          <cell r="AN23">
            <v>4000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400000</v>
          </cell>
          <cell r="AZ23">
            <v>400000</v>
          </cell>
          <cell r="BD23">
            <v>400000</v>
          </cell>
          <cell r="BE23" t="str">
            <v>OK</v>
          </cell>
          <cell r="BF23">
            <v>0</v>
          </cell>
          <cell r="BG23">
            <v>1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205000</v>
          </cell>
          <cell r="F24">
            <v>0</v>
          </cell>
          <cell r="G24">
            <v>3000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U24">
            <v>445000</v>
          </cell>
          <cell r="AK24">
            <v>202000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202000</v>
          </cell>
          <cell r="AZ24">
            <v>202000</v>
          </cell>
          <cell r="BA24">
            <v>202000</v>
          </cell>
          <cell r="BD24">
            <v>0</v>
          </cell>
          <cell r="BF24">
            <v>0</v>
          </cell>
          <cell r="BG24">
            <v>1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4000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101000</v>
          </cell>
          <cell r="U25">
            <v>480000</v>
          </cell>
          <cell r="AP25" t="str">
            <v>BANQUE</v>
          </cell>
          <cell r="AQ25">
            <v>0</v>
          </cell>
          <cell r="AR25">
            <v>0</v>
          </cell>
          <cell r="AS25">
            <v>29000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D25">
            <v>2000000</v>
          </cell>
          <cell r="BE25" t="str">
            <v>OK</v>
          </cell>
          <cell r="BF25">
            <v>0</v>
          </cell>
          <cell r="BG25">
            <v>1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1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</v>
          </cell>
          <cell r="BO27" t="str">
            <v>ASCOBA</v>
          </cell>
          <cell r="BQ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</v>
          </cell>
          <cell r="BO28" t="str">
            <v>S/TOTAL</v>
          </cell>
          <cell r="BQ28">
            <v>50000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120000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8500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61500</v>
          </cell>
          <cell r="Q29">
            <v>0</v>
          </cell>
          <cell r="R29">
            <v>0</v>
          </cell>
          <cell r="U29">
            <v>120000</v>
          </cell>
          <cell r="AI29">
            <v>60000</v>
          </cell>
          <cell r="AL29">
            <v>1000</v>
          </cell>
          <cell r="AP29" t="str">
            <v>BANQUE</v>
          </cell>
          <cell r="AQ29">
            <v>0</v>
          </cell>
          <cell r="AR29">
            <v>0</v>
          </cell>
          <cell r="AS29">
            <v>33500</v>
          </cell>
          <cell r="AW29">
            <v>60000</v>
          </cell>
          <cell r="AX29">
            <v>0</v>
          </cell>
          <cell r="AY29">
            <v>0</v>
          </cell>
          <cell r="AZ29">
            <v>160000</v>
          </cell>
          <cell r="BA29">
            <v>60000</v>
          </cell>
          <cell r="BD29">
            <v>100000</v>
          </cell>
          <cell r="BE29" t="str">
            <v>OK</v>
          </cell>
          <cell r="BF29">
            <v>0</v>
          </cell>
          <cell r="BG29">
            <v>1</v>
          </cell>
          <cell r="BK29">
            <v>100000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K30">
            <v>200000</v>
          </cell>
          <cell r="AN30">
            <v>2000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200000</v>
          </cell>
          <cell r="AZ30">
            <v>200000</v>
          </cell>
          <cell r="BD30">
            <v>200000</v>
          </cell>
          <cell r="BE30" t="str">
            <v>OK</v>
          </cell>
          <cell r="BF30">
            <v>0</v>
          </cell>
          <cell r="BG30">
            <v>1</v>
          </cell>
          <cell r="BO30" t="str">
            <v xml:space="preserve">DECES </v>
          </cell>
          <cell r="BP30" t="str">
            <v>MUTUELLE</v>
          </cell>
          <cell r="BQ30">
            <v>100000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1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U32">
            <v>125000</v>
          </cell>
          <cell r="AJ32">
            <v>200000</v>
          </cell>
          <cell r="AM32">
            <v>2000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200000</v>
          </cell>
          <cell r="AY32">
            <v>0</v>
          </cell>
          <cell r="AZ32">
            <v>200000</v>
          </cell>
          <cell r="BD32">
            <v>200000</v>
          </cell>
          <cell r="BE32" t="str">
            <v>OK</v>
          </cell>
          <cell r="BF32">
            <v>0</v>
          </cell>
          <cell r="BG32">
            <v>1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160000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</v>
          </cell>
          <cell r="BO33" t="str">
            <v>S/TOTAL</v>
          </cell>
          <cell r="BQ33">
            <v>100000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</v>
          </cell>
          <cell r="BO34" t="str">
            <v>S/TOTAL</v>
          </cell>
          <cell r="BQ34">
            <v>100000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297500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297500</v>
          </cell>
          <cell r="T35" t="str">
            <v>BANQUE</v>
          </cell>
          <cell r="U35">
            <v>357500</v>
          </cell>
          <cell r="AC35">
            <v>2500</v>
          </cell>
          <cell r="AQ35">
            <v>0</v>
          </cell>
          <cell r="AR35">
            <v>0</v>
          </cell>
          <cell r="AS35">
            <v>35000</v>
          </cell>
          <cell r="AW35">
            <v>297500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1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1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-192500</v>
          </cell>
          <cell r="D40">
            <v>6116500</v>
          </cell>
          <cell r="E40">
            <v>669000</v>
          </cell>
          <cell r="F40">
            <v>1190000</v>
          </cell>
          <cell r="G40">
            <v>12000</v>
          </cell>
          <cell r="H40">
            <v>0</v>
          </cell>
          <cell r="I40">
            <v>70500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123500</v>
          </cell>
          <cell r="Q40">
            <v>253000</v>
          </cell>
          <cell r="R40">
            <v>1919000</v>
          </cell>
          <cell r="S40">
            <v>1190000</v>
          </cell>
          <cell r="U40">
            <v>8168000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5000</v>
          </cell>
          <cell r="AD40">
            <v>7500</v>
          </cell>
          <cell r="AE40">
            <v>0</v>
          </cell>
          <cell r="AF40">
            <v>0</v>
          </cell>
          <cell r="AG40">
            <v>0</v>
          </cell>
          <cell r="AI40">
            <v>310000</v>
          </cell>
          <cell r="AJ40">
            <v>931500</v>
          </cell>
          <cell r="AK40">
            <v>2003500</v>
          </cell>
          <cell r="AL40">
            <v>5000</v>
          </cell>
          <cell r="AM40">
            <v>11000</v>
          </cell>
          <cell r="AN40">
            <v>22000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870500</v>
          </cell>
          <cell r="AT40">
            <v>0</v>
          </cell>
          <cell r="AU40">
            <v>0</v>
          </cell>
          <cell r="AV40">
            <v>0</v>
          </cell>
          <cell r="AW40">
            <v>905000</v>
          </cell>
          <cell r="AX40">
            <v>1824000</v>
          </cell>
          <cell r="AY40">
            <v>2003500</v>
          </cell>
          <cell r="AZ40">
            <v>3804500</v>
          </cell>
          <cell r="BA40">
            <v>669000</v>
          </cell>
          <cell r="BB40">
            <v>0</v>
          </cell>
          <cell r="BC40">
            <v>0</v>
          </cell>
          <cell r="BD40">
            <v>4933000</v>
          </cell>
          <cell r="BE40">
            <v>0</v>
          </cell>
          <cell r="BF40">
            <v>0</v>
          </cell>
          <cell r="BH40">
            <v>56000</v>
          </cell>
          <cell r="BI40">
            <v>0</v>
          </cell>
          <cell r="BJ40">
            <v>100000</v>
          </cell>
          <cell r="BK40">
            <v>106000</v>
          </cell>
          <cell r="BL40">
            <v>0</v>
          </cell>
          <cell r="BM40">
            <v>0</v>
          </cell>
          <cell r="BO40" t="str">
            <v>S/TOTAL</v>
          </cell>
          <cell r="BQ40">
            <v>0</v>
          </cell>
        </row>
      </sheetData>
      <sheetData sheetId="16">
        <row r="6">
          <cell r="A6" t="str">
            <v>AS201648</v>
          </cell>
          <cell r="B6" t="str">
            <v>ASELBY</v>
          </cell>
          <cell r="C6">
            <v>-61000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I6">
            <v>61000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236000</v>
          </cell>
          <cell r="AD6">
            <v>7500</v>
          </cell>
          <cell r="AE6">
            <v>10000</v>
          </cell>
          <cell r="AQ6">
            <v>0</v>
          </cell>
          <cell r="AR6">
            <v>0</v>
          </cell>
          <cell r="AW6">
            <v>0</v>
          </cell>
          <cell r="AX6">
            <v>892500</v>
          </cell>
          <cell r="AY6">
            <v>1190000</v>
          </cell>
          <cell r="AZ6">
            <v>4031000</v>
          </cell>
          <cell r="BA6">
            <v>31000</v>
          </cell>
          <cell r="BD6">
            <v>5026618</v>
          </cell>
          <cell r="BF6">
            <v>0</v>
          </cell>
          <cell r="BG6">
            <v>12</v>
          </cell>
          <cell r="BH6">
            <v>4031000</v>
          </cell>
          <cell r="BI6">
            <v>0</v>
          </cell>
          <cell r="BJ6">
            <v>0</v>
          </cell>
          <cell r="BN6">
            <v>1026618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93000</v>
          </cell>
          <cell r="BG7">
            <v>12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500000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U8">
            <v>625000</v>
          </cell>
          <cell r="Z8">
            <v>500000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440000</v>
          </cell>
          <cell r="BA8">
            <v>440000</v>
          </cell>
          <cell r="BD8">
            <v>0</v>
          </cell>
          <cell r="BF8">
            <v>60000</v>
          </cell>
          <cell r="BG8">
            <v>12</v>
          </cell>
          <cell r="BO8" t="str">
            <v>COMMISSION</v>
          </cell>
          <cell r="BP8" t="str">
            <v>FONDS DE ROULEMENT</v>
          </cell>
          <cell r="BQ8">
            <v>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500000</v>
          </cell>
          <cell r="D9">
            <v>250000</v>
          </cell>
          <cell r="E9">
            <v>1600000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101000</v>
          </cell>
          <cell r="S9">
            <v>1000000</v>
          </cell>
          <cell r="U9">
            <v>1351000</v>
          </cell>
          <cell r="Z9">
            <v>1000000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880000</v>
          </cell>
          <cell r="BA9">
            <v>880000</v>
          </cell>
          <cell r="BD9">
            <v>0</v>
          </cell>
          <cell r="BF9">
            <v>120000</v>
          </cell>
          <cell r="BG9">
            <v>12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-11000</v>
          </cell>
          <cell r="D10">
            <v>0</v>
          </cell>
          <cell r="E10">
            <v>1307000</v>
          </cell>
          <cell r="F10">
            <v>0</v>
          </cell>
          <cell r="G10">
            <v>0</v>
          </cell>
          <cell r="H10" t="str">
            <v>ESPECES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132000</v>
          </cell>
          <cell r="R10">
            <v>0</v>
          </cell>
          <cell r="S10">
            <v>1000000</v>
          </cell>
          <cell r="U10">
            <v>1318000</v>
          </cell>
          <cell r="Z10">
            <v>1000000</v>
          </cell>
          <cell r="AQ10">
            <v>0</v>
          </cell>
          <cell r="AR10">
            <v>0</v>
          </cell>
          <cell r="AS10">
            <v>25000</v>
          </cell>
          <cell r="AW10">
            <v>0</v>
          </cell>
          <cell r="AX10">
            <v>0</v>
          </cell>
          <cell r="AY10">
            <v>0</v>
          </cell>
          <cell r="AZ10">
            <v>880000</v>
          </cell>
          <cell r="BD10">
            <v>880000</v>
          </cell>
          <cell r="BE10" t="str">
            <v>OK</v>
          </cell>
          <cell r="BF10">
            <v>120000</v>
          </cell>
          <cell r="BG10">
            <v>12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0</v>
          </cell>
          <cell r="E11">
            <v>228000</v>
          </cell>
          <cell r="F11">
            <v>0</v>
          </cell>
          <cell r="G11">
            <v>0</v>
          </cell>
          <cell r="H11" t="str">
            <v>ESPECES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103000</v>
          </cell>
          <cell r="R11">
            <v>0</v>
          </cell>
          <cell r="U11">
            <v>228000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D11">
            <v>0</v>
          </cell>
          <cell r="BF11">
            <v>0</v>
          </cell>
          <cell r="BG11">
            <v>12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400000</v>
          </cell>
          <cell r="E12">
            <v>637500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61000</v>
          </cell>
          <cell r="Q12">
            <v>101500</v>
          </cell>
          <cell r="R12">
            <v>505000</v>
          </cell>
          <cell r="S12">
            <v>40000</v>
          </cell>
          <cell r="U12">
            <v>1037500</v>
          </cell>
          <cell r="Z12">
            <v>1000000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0</v>
          </cell>
          <cell r="AZ12">
            <v>940000</v>
          </cell>
          <cell r="BA12">
            <v>940000</v>
          </cell>
          <cell r="BD12">
            <v>0</v>
          </cell>
          <cell r="BF12">
            <v>60000</v>
          </cell>
          <cell r="BG12">
            <v>6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1050000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1000000</v>
          </cell>
          <cell r="U13">
            <v>1050000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12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12</v>
          </cell>
          <cell r="BO14" t="str">
            <v>ACHAT TERRAIN</v>
          </cell>
          <cell r="BP14" t="str">
            <v>FONDS DE ROULEMENT</v>
          </cell>
          <cell r="BQ14">
            <v>4000000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0</v>
          </cell>
          <cell r="E15">
            <v>125000</v>
          </cell>
          <cell r="F15">
            <v>0</v>
          </cell>
          <cell r="G15">
            <v>0</v>
          </cell>
          <cell r="H15" t="str">
            <v>ESPECES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12</v>
          </cell>
        </row>
        <row r="16">
          <cell r="A16" t="str">
            <v>AS201613</v>
          </cell>
          <cell r="B16" t="str">
            <v>HOTCHO BENJAMIN</v>
          </cell>
          <cell r="C16">
            <v>-530000</v>
          </cell>
          <cell r="D16">
            <v>952000</v>
          </cell>
          <cell r="E16">
            <v>202000</v>
          </cell>
          <cell r="F16">
            <v>0</v>
          </cell>
          <cell r="G16">
            <v>0</v>
          </cell>
          <cell r="H16" t="str">
            <v>BANQUE</v>
          </cell>
          <cell r="I16">
            <v>55000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202000</v>
          </cell>
          <cell r="R16">
            <v>202000</v>
          </cell>
          <cell r="S16">
            <v>1000000</v>
          </cell>
          <cell r="U16">
            <v>1684000</v>
          </cell>
          <cell r="AQ16">
            <v>0</v>
          </cell>
          <cell r="AR16">
            <v>0</v>
          </cell>
          <cell r="AS16">
            <v>80000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12</v>
          </cell>
          <cell r="BO16" t="str">
            <v>S/TOTAL</v>
          </cell>
          <cell r="BQ16">
            <v>4031000</v>
          </cell>
        </row>
        <row r="17">
          <cell r="A17" t="str">
            <v>AS201617</v>
          </cell>
          <cell r="B17" t="str">
            <v>KOUAMOU MOISE</v>
          </cell>
          <cell r="C17">
            <v>-170000</v>
          </cell>
          <cell r="D17">
            <v>260000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5500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104500</v>
          </cell>
          <cell r="S17">
            <v>170000</v>
          </cell>
          <cell r="U17">
            <v>430000</v>
          </cell>
          <cell r="AQ17">
            <v>0</v>
          </cell>
          <cell r="AR17">
            <v>0</v>
          </cell>
          <cell r="AS17">
            <v>30500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12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611000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101000</v>
          </cell>
          <cell r="S18">
            <v>350000</v>
          </cell>
          <cell r="U18">
            <v>611000</v>
          </cell>
          <cell r="Z18">
            <v>1000000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0</v>
          </cell>
          <cell r="AZ18">
            <v>880000</v>
          </cell>
          <cell r="BD18">
            <v>880000</v>
          </cell>
          <cell r="BE18" t="str">
            <v>OK</v>
          </cell>
          <cell r="BF18">
            <v>120000</v>
          </cell>
          <cell r="BG18">
            <v>12</v>
          </cell>
          <cell r="BO18" t="str">
            <v>TERRAIN NYOM</v>
          </cell>
          <cell r="BP18" t="str">
            <v>AUTRES DEPENSES</v>
          </cell>
          <cell r="BQ18">
            <v>1026618</v>
          </cell>
        </row>
        <row r="19">
          <cell r="A19" t="str">
            <v>AS201661</v>
          </cell>
          <cell r="B19" t="str">
            <v>MASSEUNGOUE DAGOBERT</v>
          </cell>
          <cell r="C19">
            <v>-297500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297500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347500</v>
          </cell>
          <cell r="AC19">
            <v>2500</v>
          </cell>
          <cell r="AQ19">
            <v>0</v>
          </cell>
          <cell r="AR19">
            <v>0</v>
          </cell>
          <cell r="AS19">
            <v>322500</v>
          </cell>
          <cell r="AW19">
            <v>297500</v>
          </cell>
          <cell r="AX19">
            <v>0</v>
          </cell>
          <cell r="AY19">
            <v>0</v>
          </cell>
          <cell r="AZ19">
            <v>297500</v>
          </cell>
          <cell r="BA19">
            <v>297500</v>
          </cell>
          <cell r="BB19">
            <v>190000</v>
          </cell>
          <cell r="BD19">
            <v>0</v>
          </cell>
          <cell r="BF19">
            <v>0</v>
          </cell>
          <cell r="BG19">
            <v>12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225000</v>
          </cell>
          <cell r="E20">
            <v>1536000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132000</v>
          </cell>
          <cell r="Q20">
            <v>202000</v>
          </cell>
          <cell r="R20">
            <v>202000</v>
          </cell>
          <cell r="S20">
            <v>1000000</v>
          </cell>
          <cell r="U20">
            <v>1761000</v>
          </cell>
          <cell r="Z20">
            <v>1000000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0</v>
          </cell>
          <cell r="AY20">
            <v>0</v>
          </cell>
          <cell r="AZ20">
            <v>970000</v>
          </cell>
          <cell r="BA20">
            <v>970000</v>
          </cell>
          <cell r="BB20">
            <v>66700</v>
          </cell>
          <cell r="BD20">
            <v>0</v>
          </cell>
          <cell r="BF20">
            <v>30000</v>
          </cell>
          <cell r="BG20">
            <v>3</v>
          </cell>
        </row>
        <row r="21">
          <cell r="A21" t="str">
            <v>AS201639</v>
          </cell>
          <cell r="B21" t="str">
            <v>NANGUEN MARTIN</v>
          </cell>
          <cell r="C21">
            <v>-283500</v>
          </cell>
          <cell r="D21">
            <v>0</v>
          </cell>
          <cell r="E21">
            <v>66500</v>
          </cell>
          <cell r="F21">
            <v>0</v>
          </cell>
          <cell r="G21">
            <v>0</v>
          </cell>
          <cell r="H21" t="str">
            <v>ESPECES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300000</v>
          </cell>
          <cell r="U21">
            <v>350000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46500</v>
          </cell>
          <cell r="BG21">
            <v>12</v>
          </cell>
        </row>
        <row r="22">
          <cell r="A22" t="str">
            <v>AS201621</v>
          </cell>
          <cell r="B22" t="str">
            <v>NANKAM APPOLINAIRE</v>
          </cell>
          <cell r="C22">
            <v>-107500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107500</v>
          </cell>
          <cell r="U22">
            <v>232500</v>
          </cell>
          <cell r="Z22">
            <v>900000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792000</v>
          </cell>
          <cell r="BD22">
            <v>792000</v>
          </cell>
          <cell r="BE22" t="str">
            <v>OK</v>
          </cell>
          <cell r="BF22">
            <v>108000</v>
          </cell>
          <cell r="BG22">
            <v>12</v>
          </cell>
          <cell r="BO22" t="str">
            <v>S/TOTAL</v>
          </cell>
          <cell r="BQ22">
            <v>1026618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1164000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404000</v>
          </cell>
          <cell r="S23">
            <v>500000</v>
          </cell>
          <cell r="U23">
            <v>1164000</v>
          </cell>
          <cell r="Z23">
            <v>500000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470000</v>
          </cell>
          <cell r="BD23">
            <v>470000</v>
          </cell>
          <cell r="BE23" t="str">
            <v>OK</v>
          </cell>
          <cell r="BF23">
            <v>30000</v>
          </cell>
          <cell r="BG23">
            <v>6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442000</v>
          </cell>
          <cell r="E24">
            <v>500000</v>
          </cell>
          <cell r="F24">
            <v>0</v>
          </cell>
          <cell r="G24">
            <v>0</v>
          </cell>
          <cell r="H24" t="str">
            <v>BANQUE</v>
          </cell>
          <cell r="I24">
            <v>13000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204000</v>
          </cell>
          <cell r="S24">
            <v>500000</v>
          </cell>
          <cell r="U24">
            <v>942000</v>
          </cell>
          <cell r="AQ24">
            <v>0</v>
          </cell>
          <cell r="AR24">
            <v>0</v>
          </cell>
          <cell r="AS24">
            <v>38000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D24">
            <v>0</v>
          </cell>
          <cell r="BF24">
            <v>0</v>
          </cell>
          <cell r="BG24">
            <v>12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-1000000</v>
          </cell>
          <cell r="D25">
            <v>375000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S25">
            <v>1000000</v>
          </cell>
          <cell r="U25">
            <v>1375000</v>
          </cell>
          <cell r="Z25">
            <v>1000000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0</v>
          </cell>
          <cell r="AY25">
            <v>0</v>
          </cell>
          <cell r="AZ25">
            <v>880000</v>
          </cell>
          <cell r="BD25">
            <v>880000</v>
          </cell>
          <cell r="BE25" t="str">
            <v>OK</v>
          </cell>
          <cell r="BF25">
            <v>120000</v>
          </cell>
          <cell r="BG25">
            <v>12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1050000</v>
          </cell>
          <cell r="F26">
            <v>0</v>
          </cell>
          <cell r="G26">
            <v>0</v>
          </cell>
          <cell r="H26" t="str">
            <v>ESPECES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1000000</v>
          </cell>
          <cell r="U26">
            <v>1050000</v>
          </cell>
          <cell r="Z26">
            <v>1000000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970000</v>
          </cell>
          <cell r="BA26">
            <v>144500</v>
          </cell>
          <cell r="BD26">
            <v>825500</v>
          </cell>
          <cell r="BE26" t="str">
            <v>OK</v>
          </cell>
          <cell r="BF26">
            <v>30000</v>
          </cell>
          <cell r="BG26">
            <v>3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-50000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50000</v>
          </cell>
          <cell r="U27">
            <v>100000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7750</v>
          </cell>
          <cell r="BG27">
            <v>3</v>
          </cell>
        </row>
        <row r="28">
          <cell r="A28" t="str">
            <v>AS201633</v>
          </cell>
          <cell r="B28" t="str">
            <v>PATEGO NJOSSU GUSTAVE</v>
          </cell>
          <cell r="C28">
            <v>-27000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27000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152000</v>
          </cell>
          <cell r="AQ28">
            <v>0</v>
          </cell>
          <cell r="AR28">
            <v>0</v>
          </cell>
          <cell r="AS28">
            <v>52000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12</v>
          </cell>
          <cell r="BO28" t="str">
            <v>S/TOTAL</v>
          </cell>
          <cell r="BQ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110000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-1000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61000</v>
          </cell>
          <cell r="Q29">
            <v>0</v>
          </cell>
          <cell r="R29">
            <v>0</v>
          </cell>
          <cell r="U29">
            <v>110000</v>
          </cell>
          <cell r="Z29">
            <v>1000000</v>
          </cell>
          <cell r="AQ29">
            <v>0</v>
          </cell>
          <cell r="AR29">
            <v>0</v>
          </cell>
          <cell r="AS29">
            <v>24000</v>
          </cell>
          <cell r="AW29">
            <v>0</v>
          </cell>
          <cell r="AX29">
            <v>0</v>
          </cell>
          <cell r="AY29">
            <v>0</v>
          </cell>
          <cell r="AZ29">
            <v>980000</v>
          </cell>
          <cell r="BA29">
            <v>980000</v>
          </cell>
          <cell r="BB29">
            <v>115000</v>
          </cell>
          <cell r="BD29">
            <v>0</v>
          </cell>
          <cell r="BF29">
            <v>120000</v>
          </cell>
          <cell r="BG29">
            <v>12</v>
          </cell>
          <cell r="BK29">
            <v>100000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452000</v>
          </cell>
          <cell r="E30">
            <v>1000000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202000</v>
          </cell>
          <cell r="S30">
            <v>1000000</v>
          </cell>
          <cell r="U30">
            <v>1452000</v>
          </cell>
          <cell r="Z30">
            <v>1000000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880000</v>
          </cell>
          <cell r="BA30">
            <v>880000</v>
          </cell>
          <cell r="BD30">
            <v>0</v>
          </cell>
          <cell r="BF30">
            <v>120000</v>
          </cell>
          <cell r="BG30">
            <v>12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S31">
            <v>1000000</v>
          </cell>
          <cell r="U31">
            <v>1150000</v>
          </cell>
          <cell r="Z31">
            <v>1000000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880000</v>
          </cell>
          <cell r="BD31">
            <v>880000</v>
          </cell>
          <cell r="BE31" t="str">
            <v>OK</v>
          </cell>
          <cell r="BF31">
            <v>120000</v>
          </cell>
          <cell r="BG31">
            <v>12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327000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202000</v>
          </cell>
          <cell r="R32">
            <v>0</v>
          </cell>
          <cell r="U32">
            <v>327000</v>
          </cell>
          <cell r="Z32">
            <v>1000000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880000</v>
          </cell>
          <cell r="BD32">
            <v>880000</v>
          </cell>
          <cell r="BE32" t="str">
            <v>OK</v>
          </cell>
          <cell r="BF32">
            <v>120000</v>
          </cell>
          <cell r="BG32">
            <v>12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160000</v>
          </cell>
          <cell r="Z33">
            <v>1000000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880000</v>
          </cell>
          <cell r="BA33">
            <v>880000</v>
          </cell>
          <cell r="BD33">
            <v>0</v>
          </cell>
          <cell r="BF33">
            <v>120000</v>
          </cell>
          <cell r="BG33">
            <v>12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-297500</v>
          </cell>
          <cell r="D34">
            <v>0</v>
          </cell>
          <cell r="E34">
            <v>50000</v>
          </cell>
          <cell r="F34">
            <v>0</v>
          </cell>
          <cell r="G34">
            <v>0</v>
          </cell>
          <cell r="H34" t="str">
            <v>ESPECES</v>
          </cell>
          <cell r="I34">
            <v>297500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347500</v>
          </cell>
          <cell r="AC34">
            <v>2500</v>
          </cell>
          <cell r="AQ34">
            <v>0</v>
          </cell>
          <cell r="AR34">
            <v>0</v>
          </cell>
          <cell r="AS34">
            <v>322500</v>
          </cell>
          <cell r="AW34">
            <v>297500</v>
          </cell>
          <cell r="AX34">
            <v>0</v>
          </cell>
          <cell r="AY34">
            <v>0</v>
          </cell>
          <cell r="AZ34">
            <v>297500</v>
          </cell>
          <cell r="BA34">
            <v>297500</v>
          </cell>
          <cell r="BD34">
            <v>0</v>
          </cell>
          <cell r="BF34">
            <v>0</v>
          </cell>
          <cell r="BG34">
            <v>12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350000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300000</v>
          </cell>
          <cell r="U35">
            <v>350000</v>
          </cell>
          <cell r="Z35">
            <v>1000000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0</v>
          </cell>
          <cell r="AY35">
            <v>0</v>
          </cell>
          <cell r="AZ35">
            <v>880000</v>
          </cell>
          <cell r="BD35">
            <v>880000</v>
          </cell>
          <cell r="BE35" t="str">
            <v>OK</v>
          </cell>
          <cell r="BF35">
            <v>120000</v>
          </cell>
          <cell r="BG35">
            <v>12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50000</v>
          </cell>
          <cell r="F36">
            <v>0</v>
          </cell>
          <cell r="G36">
            <v>0</v>
          </cell>
          <cell r="H36" t="str">
            <v>ESPECES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C36">
            <v>2500</v>
          </cell>
          <cell r="AQ36">
            <v>0</v>
          </cell>
          <cell r="AR36">
            <v>0</v>
          </cell>
          <cell r="AS36">
            <v>25000</v>
          </cell>
          <cell r="AW36">
            <v>297500</v>
          </cell>
          <cell r="AX36">
            <v>0</v>
          </cell>
          <cell r="AY36">
            <v>0</v>
          </cell>
          <cell r="AZ36">
            <v>297500</v>
          </cell>
          <cell r="BA36">
            <v>297500</v>
          </cell>
          <cell r="BD36">
            <v>0</v>
          </cell>
          <cell r="BF36">
            <v>0</v>
          </cell>
          <cell r="BG36">
            <v>12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150000</v>
          </cell>
          <cell r="F37">
            <v>0</v>
          </cell>
          <cell r="G37">
            <v>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12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Z38">
            <v>500000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485000</v>
          </cell>
          <cell r="BA38">
            <v>485000</v>
          </cell>
          <cell r="BD38">
            <v>0</v>
          </cell>
          <cell r="BF38">
            <v>15000</v>
          </cell>
          <cell r="BG38">
            <v>3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-2335000</v>
          </cell>
          <cell r="D40">
            <v>9103000</v>
          </cell>
          <cell r="E40">
            <v>9052000</v>
          </cell>
          <cell r="F40">
            <v>0</v>
          </cell>
          <cell r="G40">
            <v>0</v>
          </cell>
          <cell r="H40">
            <v>0</v>
          </cell>
          <cell r="I40">
            <v>790500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315000</v>
          </cell>
          <cell r="Q40">
            <v>942500</v>
          </cell>
          <cell r="R40">
            <v>2025500</v>
          </cell>
          <cell r="S40">
            <v>11817500</v>
          </cell>
          <cell r="U40">
            <v>20491000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15400000</v>
          </cell>
          <cell r="AA40">
            <v>0</v>
          </cell>
          <cell r="AC40">
            <v>7500</v>
          </cell>
          <cell r="AD40">
            <v>7500</v>
          </cell>
          <cell r="AE40">
            <v>10000</v>
          </cell>
          <cell r="AF40">
            <v>0</v>
          </cell>
          <cell r="AG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1529500</v>
          </cell>
          <cell r="AT40">
            <v>0</v>
          </cell>
          <cell r="AU40">
            <v>0</v>
          </cell>
          <cell r="AV40">
            <v>0</v>
          </cell>
          <cell r="AW40">
            <v>892500</v>
          </cell>
          <cell r="AX40">
            <v>892500</v>
          </cell>
          <cell r="AY40">
            <v>1190000</v>
          </cell>
          <cell r="AZ40">
            <v>18890500</v>
          </cell>
          <cell r="BA40">
            <v>7523000</v>
          </cell>
          <cell r="BB40">
            <v>0</v>
          </cell>
          <cell r="BC40">
            <v>0</v>
          </cell>
          <cell r="BD40">
            <v>12394118</v>
          </cell>
          <cell r="BE40">
            <v>0</v>
          </cell>
          <cell r="BF40">
            <v>1680250</v>
          </cell>
          <cell r="BH40">
            <v>4031000</v>
          </cell>
          <cell r="BI40">
            <v>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  <cell r="BQ40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4"/>
      <sheetName val="HISTOBQUEFEV24"/>
      <sheetName val="HISTOBQUEMARS24"/>
      <sheetName val="HISTOBQUEAVRIL24"/>
      <sheetName val="HISTOBQUEMAI24"/>
      <sheetName val="HISTOBQUEJUIN24"/>
      <sheetName val="HISTOBQUEJUIL24"/>
      <sheetName val="HISTOBQUEAOUT24"/>
      <sheetName val="HISTOBQUESEPT24"/>
      <sheetName val="HISTOBQUEOCT24"/>
      <sheetName val="HISTOBQUENOV24"/>
      <sheetName val="HISTOBQUEDEC24"/>
      <sheetName val="HISTOBQUERESUME24"/>
      <sheetName val="HISTOBQUEJANV25"/>
    </sheetNames>
    <sheetDataSet>
      <sheetData sheetId="0"/>
      <sheetData sheetId="1"/>
      <sheetData sheetId="2">
        <row r="6">
          <cell r="A6" t="str">
            <v>AS201648</v>
          </cell>
          <cell r="H6">
            <v>1193</v>
          </cell>
        </row>
      </sheetData>
      <sheetData sheetId="3">
        <row r="6">
          <cell r="A6" t="str">
            <v>AS201648</v>
          </cell>
          <cell r="H6">
            <v>1193</v>
          </cell>
        </row>
      </sheetData>
      <sheetData sheetId="4">
        <row r="6">
          <cell r="A6" t="str">
            <v>AS201648</v>
          </cell>
          <cell r="H6">
            <v>1193</v>
          </cell>
        </row>
      </sheetData>
      <sheetData sheetId="5">
        <row r="6">
          <cell r="A6" t="str">
            <v>AS201648</v>
          </cell>
          <cell r="H6">
            <v>2385</v>
          </cell>
        </row>
      </sheetData>
      <sheetData sheetId="6">
        <row r="6">
          <cell r="A6" t="str">
            <v>AS201648</v>
          </cell>
          <cell r="H6">
            <v>2385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  <cell r="H6">
            <v>4770</v>
          </cell>
        </row>
      </sheetData>
      <sheetData sheetId="9">
        <row r="6">
          <cell r="A6" t="str">
            <v>AS201648</v>
          </cell>
          <cell r="H6">
            <v>2385</v>
          </cell>
        </row>
      </sheetData>
      <sheetData sheetId="10">
        <row r="6">
          <cell r="A6" t="str">
            <v>AS201648</v>
          </cell>
          <cell r="H6">
            <v>2385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  <cell r="H6">
            <v>2385</v>
          </cell>
        </row>
      </sheetData>
      <sheetData sheetId="13">
        <row r="6">
          <cell r="A6" t="str">
            <v>AS201648</v>
          </cell>
          <cell r="H6">
            <v>2385</v>
          </cell>
        </row>
      </sheetData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F8B9D-6E01-45A7-8F9F-FE53B321C9EA}">
  <dimension ref="A1:G52"/>
  <sheetViews>
    <sheetView zoomScale="96" zoomScaleNormal="96" workbookViewId="0">
      <pane xSplit="2" ySplit="4" topLeftCell="C5" activePane="bottomRight" state="frozen"/>
      <selection pane="topRight" activeCell="C1" sqref="C1"/>
      <selection pane="bottomLeft" activeCell="A7" sqref="A7"/>
      <selection pane="bottomRight" activeCell="E6" sqref="E6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4" width="21.1796875" customWidth="1"/>
    <col min="5" max="5" width="17" bestFit="1" customWidth="1"/>
    <col min="6" max="6" width="17" customWidth="1"/>
    <col min="7" max="7" width="12.453125" bestFit="1" customWidth="1"/>
  </cols>
  <sheetData>
    <row r="1" spans="1:7" x14ac:dyDescent="0.35">
      <c r="A1" s="1" t="s">
        <v>2</v>
      </c>
      <c r="B1" s="1" t="s">
        <v>48</v>
      </c>
      <c r="C1" s="1"/>
      <c r="D1" s="1"/>
      <c r="E1" s="1"/>
      <c r="F1" s="1"/>
    </row>
    <row r="2" spans="1:7" ht="15" thickBot="1" x14ac:dyDescent="0.4">
      <c r="A2" s="1" t="s">
        <v>3</v>
      </c>
      <c r="B2" s="1">
        <v>2025</v>
      </c>
      <c r="C2" s="1"/>
      <c r="D2" s="1"/>
      <c r="E2" s="1"/>
      <c r="F2" s="1"/>
    </row>
    <row r="3" spans="1:7" ht="68.25" customHeight="1" thickTop="1" x14ac:dyDescent="0.35">
      <c r="A3" s="6" t="s">
        <v>0</v>
      </c>
      <c r="B3" s="7" t="s">
        <v>1</v>
      </c>
      <c r="C3" s="7"/>
      <c r="D3" s="7"/>
      <c r="E3" s="7"/>
      <c r="F3" s="7"/>
      <c r="G3" s="8" t="s">
        <v>4</v>
      </c>
    </row>
    <row r="4" spans="1:7" ht="30" customHeight="1" x14ac:dyDescent="0.35">
      <c r="A4" s="9"/>
      <c r="B4" s="10"/>
      <c r="C4" s="10" t="s">
        <v>7</v>
      </c>
      <c r="D4" s="10" t="s">
        <v>5</v>
      </c>
      <c r="E4" s="11" t="s">
        <v>12</v>
      </c>
      <c r="F4" s="11" t="s">
        <v>13</v>
      </c>
      <c r="G4" s="12"/>
    </row>
    <row r="5" spans="1:7" ht="30" customHeight="1" x14ac:dyDescent="0.35">
      <c r="A5" s="9"/>
      <c r="B5" s="10" t="s">
        <v>14</v>
      </c>
      <c r="C5" s="13">
        <v>7134000</v>
      </c>
      <c r="D5" s="10"/>
      <c r="E5" s="13"/>
      <c r="F5" s="13"/>
      <c r="G5" s="12"/>
    </row>
    <row r="6" spans="1:7" ht="17.5" x14ac:dyDescent="0.35">
      <c r="A6" s="9" t="s">
        <v>15</v>
      </c>
      <c r="B6" s="10" t="str">
        <f>VLOOKUP(A6,[4]LISTADHERENT!A$5:H$50,3,0)</f>
        <v>ASELBY</v>
      </c>
      <c r="C6" s="13">
        <f>VLOOKUP(A6,[5]HISTOJANV25!$A$6:$BQ$45,56,0)</f>
        <v>571000</v>
      </c>
      <c r="D6" s="13">
        <f>VLOOKUP(A6,[5]HISTOJANV25!$A$6:$BQ$45,57,0)</f>
        <v>0</v>
      </c>
      <c r="E6" s="13">
        <f>+[6]HISTOBQUEJANV25!$H$6</f>
        <v>4770</v>
      </c>
      <c r="F6" s="13"/>
      <c r="G6" s="14">
        <f t="shared" ref="G6:G42" si="0">SUM(E6:F6)</f>
        <v>4770</v>
      </c>
    </row>
    <row r="7" spans="1:7" ht="17.5" x14ac:dyDescent="0.35">
      <c r="A7" s="9" t="s">
        <v>16</v>
      </c>
      <c r="B7" s="10" t="str">
        <f>VLOOKUP(A7,[4]LISTADHERENT!A$5:H$50,3,0)</f>
        <v>BAKOP ACHILLE</v>
      </c>
      <c r="C7" s="13">
        <f>VLOOKUP(A7,[5]HISTOJANV25!$A$6:$BQ$45,56,0)</f>
        <v>890000</v>
      </c>
      <c r="D7" s="13" t="str">
        <f>VLOOKUP(A7,[5]HISTOJANV25!$A$6:$BQ$45,57,0)</f>
        <v>OK</v>
      </c>
      <c r="E7" s="13"/>
      <c r="F7" s="13"/>
      <c r="G7" s="14">
        <f t="shared" si="0"/>
        <v>0</v>
      </c>
    </row>
    <row r="8" spans="1:7" s="3" customFormat="1" ht="17.5" x14ac:dyDescent="0.35">
      <c r="A8" s="9" t="s">
        <v>17</v>
      </c>
      <c r="B8" s="10" t="str">
        <f>VLOOKUP(A8,[4]LISTADHERENT!A$5:H$50,3,0)</f>
        <v>BOUTCHOUANG WILLIAM</v>
      </c>
      <c r="C8" s="13">
        <f>VLOOKUP(A8,[5]HISTOJANV25!$A$6:$BQ$45,56,0)</f>
        <v>0</v>
      </c>
      <c r="D8" s="13">
        <f>VLOOKUP(A8,[5]HISTOJANV25!$A$6:$BQ$45,57,0)</f>
        <v>0</v>
      </c>
      <c r="E8" s="13"/>
      <c r="F8" s="13"/>
      <c r="G8" s="14">
        <f t="shared" si="0"/>
        <v>0</v>
      </c>
    </row>
    <row r="9" spans="1:7" s="3" customFormat="1" ht="17.5" x14ac:dyDescent="0.35">
      <c r="A9" s="9" t="s">
        <v>18</v>
      </c>
      <c r="B9" s="10" t="str">
        <f>VLOOKUP(A9,[4]LISTADHERENT!A$5:H$50,3,0)</f>
        <v xml:space="preserve">DJOMO JEAN PAUL </v>
      </c>
      <c r="C9" s="13">
        <f>VLOOKUP(A9,[5]HISTOJANV25!$A$6:$BQ$45,56,0)</f>
        <v>269000</v>
      </c>
      <c r="D9" s="13" t="str">
        <f>VLOOKUP(A9,[5]HISTOJANV25!$A$6:$BQ$45,57,0)</f>
        <v>OK</v>
      </c>
      <c r="E9" s="13"/>
      <c r="F9" s="13"/>
      <c r="G9" s="14">
        <f t="shared" si="0"/>
        <v>0</v>
      </c>
    </row>
    <row r="10" spans="1:7" ht="17.5" x14ac:dyDescent="0.35">
      <c r="A10" s="9" t="s">
        <v>19</v>
      </c>
      <c r="B10" s="10" t="str">
        <f>VLOOKUP(A10,[4]LISTADHERENT!A$5:H$50,3,0)</f>
        <v>DJOMOU TCHAPDA</v>
      </c>
      <c r="C10" s="13">
        <f>VLOOKUP(A10,[5]HISTOJANV25!$A$6:$BQ$45,56,0)</f>
        <v>270000</v>
      </c>
      <c r="D10" s="13" t="str">
        <f>VLOOKUP(A10,[5]HISTOJANV25!$A$6:$BQ$45,57,0)</f>
        <v>OK</v>
      </c>
      <c r="E10" s="13"/>
      <c r="F10" s="13"/>
      <c r="G10" s="14">
        <f t="shared" si="0"/>
        <v>0</v>
      </c>
    </row>
    <row r="11" spans="1:7" ht="17.5" x14ac:dyDescent="0.35">
      <c r="A11" s="9" t="s">
        <v>20</v>
      </c>
      <c r="B11" s="10" t="str">
        <f>VLOOKUP(A11,[4]LISTADHERENT!A$5:H$50,3,0)</f>
        <v>DJOUKWE NANGUEN GUY BLAISE</v>
      </c>
      <c r="C11" s="13">
        <f>VLOOKUP(A11,[5]HISTOJANV25!$A$6:$BQ$45,56,0)</f>
        <v>0</v>
      </c>
      <c r="D11" s="13">
        <f>VLOOKUP(A11,[5]HISTOJANV25!$A$6:$BQ$45,57,0)</f>
        <v>0</v>
      </c>
      <c r="E11" s="13"/>
      <c r="F11" s="13"/>
      <c r="G11" s="14">
        <f t="shared" si="0"/>
        <v>0</v>
      </c>
    </row>
    <row r="12" spans="1:7" ht="17.5" x14ac:dyDescent="0.35">
      <c r="A12" s="9" t="s">
        <v>21</v>
      </c>
      <c r="B12" s="10" t="str">
        <f>VLOOKUP(A12,[4]LISTADHERENT!A$5:H$50,3,0)</f>
        <v>DJUOMBESSY ANTOINE</v>
      </c>
      <c r="C12" s="13">
        <f>VLOOKUP(A12,[5]HISTOJANV25!$A$6:$BQ$45,56,0)</f>
        <v>0</v>
      </c>
      <c r="D12" s="13">
        <f>VLOOKUP(A12,[5]HISTOJANV25!$A$6:$BQ$45,57,0)</f>
        <v>0</v>
      </c>
      <c r="E12" s="13"/>
      <c r="F12" s="13"/>
      <c r="G12" s="14">
        <f t="shared" si="0"/>
        <v>0</v>
      </c>
    </row>
    <row r="13" spans="1:7" s="3" customFormat="1" ht="17.5" x14ac:dyDescent="0.35">
      <c r="A13" s="9" t="s">
        <v>22</v>
      </c>
      <c r="B13" s="10" t="str">
        <f>VLOOKUP(A13,[4]LISTADHERENT!A$5:H$50,3,0)</f>
        <v>DOMOU FABIEN</v>
      </c>
      <c r="C13" s="13">
        <f>VLOOKUP(A13,[5]HISTOJANV25!$A$6:$BQ$45,56,0)</f>
        <v>0</v>
      </c>
      <c r="D13" s="13">
        <f>VLOOKUP(A13,[5]HISTOJANV25!$A$6:$BQ$45,57,0)</f>
        <v>0</v>
      </c>
      <c r="E13" s="13"/>
      <c r="F13" s="13"/>
      <c r="G13" s="14">
        <f t="shared" si="0"/>
        <v>0</v>
      </c>
    </row>
    <row r="14" spans="1:7" ht="17.5" x14ac:dyDescent="0.35">
      <c r="A14" s="9" t="s">
        <v>23</v>
      </c>
      <c r="B14" s="10" t="str">
        <f>VLOOKUP(A14,[4]LISTADHERENT!A$5:H$50,3,0)</f>
        <v>DONHOU DAVID</v>
      </c>
      <c r="C14" s="13">
        <f>VLOOKUP(A14,[5]HISTOJANV25!$A$6:$BQ$45,56,0)</f>
        <v>0</v>
      </c>
      <c r="D14" s="13">
        <f>VLOOKUP(A14,[5]HISTOJANV25!$A$6:$BQ$45,57,0)</f>
        <v>0</v>
      </c>
      <c r="E14" s="13"/>
      <c r="F14" s="13"/>
      <c r="G14" s="14">
        <f t="shared" si="0"/>
        <v>0</v>
      </c>
    </row>
    <row r="15" spans="1:7" ht="17.5" x14ac:dyDescent="0.35">
      <c r="A15" s="9" t="s">
        <v>54</v>
      </c>
      <c r="B15" s="10" t="str">
        <f>VLOOKUP(A15,[4]LISTADHERENT!A$5:H$50,3,0)</f>
        <v>FAMPOU PAUL</v>
      </c>
      <c r="C15" s="13">
        <f>VLOOKUP(A15,[5]HISTOJANV25!$A$6:$BQ$45,56,0)</f>
        <v>0</v>
      </c>
      <c r="D15" s="13">
        <f>VLOOKUP(A15,[5]HISTOJANV25!$A$6:$BQ$45,57,0)</f>
        <v>0</v>
      </c>
      <c r="E15" s="13"/>
      <c r="F15" s="13"/>
      <c r="G15" s="14">
        <f t="shared" ref="G15" si="1">SUM(E15:F15)</f>
        <v>0</v>
      </c>
    </row>
    <row r="16" spans="1:7" ht="17.5" x14ac:dyDescent="0.35">
      <c r="A16" s="9" t="s">
        <v>24</v>
      </c>
      <c r="B16" s="10" t="str">
        <f>VLOOKUP(A16,[4]LISTADHERENT!A$5:H$50,3,0)</f>
        <v>HENGUE PAUL OMER</v>
      </c>
      <c r="C16" s="13">
        <f>VLOOKUP(A16,[5]HISTOJANV25!$A$6:$BQ$45,56,0)</f>
        <v>0</v>
      </c>
      <c r="D16" s="13">
        <f>VLOOKUP(A16,[5]HISTOJANV25!$A$6:$BQ$45,57,0)</f>
        <v>0</v>
      </c>
      <c r="E16" s="13"/>
      <c r="F16" s="13"/>
      <c r="G16" s="14">
        <f t="shared" si="0"/>
        <v>0</v>
      </c>
    </row>
    <row r="17" spans="1:7" ht="17.5" x14ac:dyDescent="0.35">
      <c r="A17" s="9" t="s">
        <v>25</v>
      </c>
      <c r="B17" s="10" t="str">
        <f>VLOOKUP(A17,[4]LISTADHERENT!A$5:H$50,3,0)</f>
        <v>HOTCHO BENJAMIN</v>
      </c>
      <c r="C17" s="13">
        <f>VLOOKUP(A17,[5]HISTOJANV25!$A$6:$BQ$45,56,0)</f>
        <v>0</v>
      </c>
      <c r="D17" s="13">
        <f>VLOOKUP(A17,[5]HISTOJANV25!$A$6:$BQ$45,57,0)</f>
        <v>0</v>
      </c>
      <c r="E17" s="13"/>
      <c r="F17" s="13"/>
      <c r="G17" s="14">
        <f t="shared" si="0"/>
        <v>0</v>
      </c>
    </row>
    <row r="18" spans="1:7" ht="17.5" x14ac:dyDescent="0.35">
      <c r="A18" s="9" t="s">
        <v>26</v>
      </c>
      <c r="B18" s="10" t="str">
        <f>VLOOKUP(A18,[4]LISTADHERENT!A$5:H$50,3,0)</f>
        <v>KOUAMOU MOISE</v>
      </c>
      <c r="C18" s="13">
        <f>VLOOKUP(A18,[5]HISTOJANV25!$A$6:$BQ$45,56,0)</f>
        <v>738500</v>
      </c>
      <c r="D18" s="13" t="str">
        <f>VLOOKUP(A18,[5]HISTOJANV25!$A$6:$BQ$45,57,0)</f>
        <v>OK</v>
      </c>
      <c r="E18" s="13"/>
      <c r="F18" s="13"/>
      <c r="G18" s="14">
        <f t="shared" si="0"/>
        <v>0</v>
      </c>
    </row>
    <row r="19" spans="1:7" ht="17.5" x14ac:dyDescent="0.35">
      <c r="A19" s="9" t="s">
        <v>27</v>
      </c>
      <c r="B19" s="10" t="str">
        <f>VLOOKUP(A19,[4]LISTADHERENT!A$5:H$50,3,0)</f>
        <v>KOUATCHO MESSACK</v>
      </c>
      <c r="C19" s="13">
        <f>VLOOKUP(A19,[5]HISTOJANV25!$A$6:$BQ$45,56,0)</f>
        <v>1095000</v>
      </c>
      <c r="D19" s="13" t="str">
        <f>VLOOKUP(A19,[5]HISTOJANV25!$A$6:$BQ$45,57,0)</f>
        <v>OK</v>
      </c>
      <c r="E19" s="13"/>
      <c r="F19" s="13"/>
      <c r="G19" s="14">
        <f t="shared" si="0"/>
        <v>0</v>
      </c>
    </row>
    <row r="20" spans="1:7" ht="17.5" x14ac:dyDescent="0.35">
      <c r="A20" s="9" t="s">
        <v>55</v>
      </c>
      <c r="B20" s="10" t="str">
        <f>VLOOKUP(A20,[4]LISTADHERENT!A$5:H$50,3,0)</f>
        <v>LOWE JEAN</v>
      </c>
      <c r="C20" s="13">
        <f>VLOOKUP(A20,[5]HISTOJANV25!$A$6:$BQ$45,56,0)</f>
        <v>0</v>
      </c>
      <c r="D20" s="13">
        <f>VLOOKUP(A20,[5]HISTOJANV25!$A$6:$BQ$45,57,0)</f>
        <v>0</v>
      </c>
      <c r="E20" s="13"/>
      <c r="F20" s="13"/>
      <c r="G20" s="14"/>
    </row>
    <row r="21" spans="1:7" ht="17.5" x14ac:dyDescent="0.35">
      <c r="A21" s="9" t="s">
        <v>28</v>
      </c>
      <c r="B21" s="10" t="str">
        <f>VLOOKUP(A21,[4]LISTADHERENT!A$5:H$50,3,0)</f>
        <v>MASSEUNGOUE DAGOBERT</v>
      </c>
      <c r="C21" s="13">
        <f>VLOOKUP(A21,[5]HISTOJANV25!$A$6:$BQ$45,56,0)</f>
        <v>0</v>
      </c>
      <c r="D21" s="13">
        <f>VLOOKUP(A21,[5]HISTOJANV25!$A$6:$BQ$45,57,0)</f>
        <v>0</v>
      </c>
      <c r="E21" s="13"/>
      <c r="F21" s="13"/>
      <c r="G21" s="14">
        <f t="shared" si="0"/>
        <v>0</v>
      </c>
    </row>
    <row r="22" spans="1:7" ht="17.5" x14ac:dyDescent="0.35">
      <c r="A22" s="9" t="s">
        <v>29</v>
      </c>
      <c r="B22" s="10" t="str">
        <f>VLOOKUP(A22,[4]LISTADHERENT!A$5:H$50,3,0)</f>
        <v>MBOGNING TUGMA GUY</v>
      </c>
      <c r="C22" s="13">
        <f>VLOOKUP(A22,[5]HISTOJANV25!$A$6:$BQ$45,56,0)</f>
        <v>0</v>
      </c>
      <c r="D22" s="13">
        <f>VLOOKUP(A22,[5]HISTOJANV25!$A$6:$BQ$45,57,0)</f>
        <v>0</v>
      </c>
      <c r="E22" s="13"/>
      <c r="F22" s="13"/>
      <c r="G22" s="14">
        <f t="shared" si="0"/>
        <v>0</v>
      </c>
    </row>
    <row r="23" spans="1:7" ht="17.5" x14ac:dyDescent="0.35">
      <c r="A23" s="9" t="s">
        <v>30</v>
      </c>
      <c r="B23" s="10" t="str">
        <f>VLOOKUP(A23,[4]LISTADHERENT!A$5:H$50,3,0)</f>
        <v>NANGUEN MARTIN</v>
      </c>
      <c r="C23" s="13">
        <f>VLOOKUP(A23,[5]HISTOJANV25!$A$6:$BQ$45,56,0)</f>
        <v>0</v>
      </c>
      <c r="D23" s="13">
        <f>VLOOKUP(A23,[5]HISTOJANV25!$A$6:$BQ$45,57,0)</f>
        <v>0</v>
      </c>
      <c r="E23" s="13"/>
      <c r="F23" s="13"/>
      <c r="G23" s="14">
        <f t="shared" si="0"/>
        <v>0</v>
      </c>
    </row>
    <row r="24" spans="1:7" ht="17.5" x14ac:dyDescent="0.35">
      <c r="A24" s="9" t="s">
        <v>31</v>
      </c>
      <c r="B24" s="10" t="str">
        <f>VLOOKUP(A24,[4]LISTADHERENT!A$5:H$50,3,0)</f>
        <v>NANKAM APPOLINAIRE</v>
      </c>
      <c r="C24" s="13">
        <f>VLOOKUP(A24,[5]HISTOJANV25!$A$6:$BQ$45,56,0)</f>
        <v>860500</v>
      </c>
      <c r="D24" s="13" t="str">
        <f>VLOOKUP(A24,[5]HISTOJANV25!$A$6:$BQ$45,57,0)</f>
        <v>OK</v>
      </c>
      <c r="E24" s="13"/>
      <c r="F24" s="13"/>
      <c r="G24" s="14">
        <f t="shared" si="0"/>
        <v>0</v>
      </c>
    </row>
    <row r="25" spans="1:7" ht="17.5" x14ac:dyDescent="0.35">
      <c r="A25" s="9" t="s">
        <v>32</v>
      </c>
      <c r="B25" s="10" t="str">
        <f>VLOOKUP(A25,[4]LISTADHERENT!A$5:H$50,3,0)</f>
        <v>NDJOMO ETIENNE</v>
      </c>
      <c r="C25" s="13">
        <f>VLOOKUP(A25,[5]HISTOJANV25!$A$6:$BQ$45,56,0)</f>
        <v>0</v>
      </c>
      <c r="D25" s="13">
        <f>VLOOKUP(A25,[5]HISTOJANV25!$A$6:$BQ$45,57,0)</f>
        <v>0</v>
      </c>
      <c r="E25" s="13"/>
      <c r="F25" s="13"/>
      <c r="G25" s="14">
        <f t="shared" si="0"/>
        <v>0</v>
      </c>
    </row>
    <row r="26" spans="1:7" ht="17.5" x14ac:dyDescent="0.35">
      <c r="A26" s="9" t="s">
        <v>33</v>
      </c>
      <c r="B26" s="10" t="str">
        <f>VLOOKUP(A26,[4]LISTADHERENT!A$5:H$50,3,0)</f>
        <v>NGONDIEP CLAUDE</v>
      </c>
      <c r="C26" s="13">
        <f>VLOOKUP(A26,[5]HISTOJANV25!$A$6:$BQ$45,56,0)</f>
        <v>890000</v>
      </c>
      <c r="D26" s="13" t="str">
        <f>VLOOKUP(A26,[5]HISTOJANV25!$A$6:$BQ$45,57,0)</f>
        <v>OK</v>
      </c>
      <c r="E26" s="13"/>
      <c r="F26" s="13"/>
      <c r="G26" s="14">
        <f t="shared" si="0"/>
        <v>0</v>
      </c>
    </row>
    <row r="27" spans="1:7" ht="17.5" x14ac:dyDescent="0.35">
      <c r="A27" s="9" t="s">
        <v>34</v>
      </c>
      <c r="B27" s="10" t="str">
        <f>VLOOKUP(A27,[4]LISTADHERENT!A$5:H$50,3,0)</f>
        <v>NGUIEMEGNI MATHIEU BLAISE</v>
      </c>
      <c r="C27" s="13">
        <f>VLOOKUP(A27,[5]HISTOJANV25!$A$6:$BQ$45,56,0)</f>
        <v>1080000</v>
      </c>
      <c r="D27" s="13" t="str">
        <f>VLOOKUP(A27,[5]HISTOJANV25!$A$6:$BQ$45,57,0)</f>
        <v>OK</v>
      </c>
      <c r="E27" s="13"/>
      <c r="F27" s="13"/>
      <c r="G27" s="14">
        <f t="shared" si="0"/>
        <v>0</v>
      </c>
    </row>
    <row r="28" spans="1:7" ht="17.5" x14ac:dyDescent="0.35">
      <c r="A28" s="9" t="s">
        <v>35</v>
      </c>
      <c r="B28" s="10" t="str">
        <f>VLOOKUP(A28,[4]LISTADHERENT!A$5:H$50,3,0)</f>
        <v>NKAMGANG JUSTIN DEJOLIE</v>
      </c>
      <c r="C28" s="13">
        <f>VLOOKUP(A28,[5]HISTOJANV25!$A$6:$BQ$45,56,0)</f>
        <v>0</v>
      </c>
      <c r="D28" s="13">
        <f>VLOOKUP(A28,[5]HISTOJANV25!$A$6:$BQ$45,57,0)</f>
        <v>0</v>
      </c>
      <c r="E28" s="13"/>
      <c r="F28" s="13"/>
      <c r="G28" s="14">
        <f t="shared" si="0"/>
        <v>0</v>
      </c>
    </row>
    <row r="29" spans="1:7" ht="17.5" x14ac:dyDescent="0.35">
      <c r="A29" s="9" t="s">
        <v>36</v>
      </c>
      <c r="B29" s="10" t="str">
        <f>VLOOKUP(A29,[4]LISTADHERENT!A$5:H$50,3,0)</f>
        <v>NOUBE ETIENNE</v>
      </c>
      <c r="C29" s="13">
        <f>VLOOKUP(A29,[5]HISTOJANV25!$A$6:$BQ$45,56,0)</f>
        <v>0</v>
      </c>
      <c r="D29" s="13">
        <f>VLOOKUP(A29,[5]HISTOJANV25!$A$6:$BQ$45,57,0)</f>
        <v>0</v>
      </c>
      <c r="E29" s="13"/>
      <c r="F29" s="13"/>
      <c r="G29" s="14">
        <f t="shared" si="0"/>
        <v>0</v>
      </c>
    </row>
    <row r="30" spans="1:7" ht="17.5" x14ac:dyDescent="0.35">
      <c r="A30" s="9" t="s">
        <v>37</v>
      </c>
      <c r="B30" s="10" t="str">
        <f>VLOOKUP(A30,[4]LISTADHERENT!A$5:H$50,3,0)</f>
        <v>PATEGO NJOSSU GUSTAVE</v>
      </c>
      <c r="C30" s="13">
        <f>VLOOKUP(A30,[5]HISTOJANV25!$A$6:$BQ$45,56,0)</f>
        <v>0</v>
      </c>
      <c r="D30" s="13">
        <f>VLOOKUP(A30,[5]HISTOJANV25!$A$6:$BQ$45,57,0)</f>
        <v>0</v>
      </c>
      <c r="E30" s="13"/>
      <c r="F30" s="13"/>
      <c r="G30" s="14">
        <f t="shared" si="0"/>
        <v>0</v>
      </c>
    </row>
    <row r="31" spans="1:7" ht="17.5" x14ac:dyDescent="0.35">
      <c r="A31" s="9" t="s">
        <v>38</v>
      </c>
      <c r="B31" s="10" t="str">
        <f>VLOOKUP(A31,[4]LISTADHERENT!A$5:H$50,3,0)</f>
        <v>SEUMO POLYCARPE</v>
      </c>
      <c r="C31" s="13">
        <f>VLOOKUP(A31,[5]HISTOJANV25!$A$6:$BQ$45,56,0)</f>
        <v>270000</v>
      </c>
      <c r="D31" s="13" t="str">
        <f>VLOOKUP(A31,[5]HISTOJANV25!$A$6:$BQ$45,57,0)</f>
        <v>OK</v>
      </c>
      <c r="E31" s="13"/>
      <c r="F31" s="13"/>
      <c r="G31" s="14">
        <f t="shared" si="0"/>
        <v>0</v>
      </c>
    </row>
    <row r="32" spans="1:7" ht="17.5" x14ac:dyDescent="0.35">
      <c r="A32" s="9" t="s">
        <v>39</v>
      </c>
      <c r="B32" s="10" t="str">
        <f>VLOOKUP(A32,[4]LISTADHERENT!A$5:H$50,3,0)</f>
        <v>SIME BRICE</v>
      </c>
      <c r="C32" s="13">
        <f>VLOOKUP(A32,[5]HISTOJANV25!$A$6:$BQ$45,56,0)</f>
        <v>0</v>
      </c>
      <c r="D32" s="13">
        <f>VLOOKUP(A32,[5]HISTOJANV25!$A$6:$BQ$45,57,0)</f>
        <v>0</v>
      </c>
      <c r="E32" s="13"/>
      <c r="F32" s="13"/>
      <c r="G32" s="14">
        <f t="shared" si="0"/>
        <v>0</v>
      </c>
    </row>
    <row r="33" spans="1:7" ht="17.5" x14ac:dyDescent="0.35">
      <c r="A33" s="19" t="s">
        <v>51</v>
      </c>
      <c r="B33" s="10" t="str">
        <f>VLOOKUP(A33,[4]LISTADHERENT!A$5:H$50,3,0)</f>
        <v>SIMO FONGANG ERIC</v>
      </c>
      <c r="C33" s="13">
        <f>VLOOKUP(A33,[5]HISTOJANV25!$A$6:$BQ$45,56,0)</f>
        <v>0</v>
      </c>
      <c r="D33" s="13">
        <f>VLOOKUP(A33,[5]HISTOJANV25!$A$6:$BQ$45,57,0)</f>
        <v>0</v>
      </c>
      <c r="E33" s="13"/>
      <c r="F33" s="13"/>
      <c r="G33" s="14">
        <f t="shared" ref="G33" si="2">SUM(E33:F33)</f>
        <v>0</v>
      </c>
    </row>
    <row r="34" spans="1:7" ht="17.5" x14ac:dyDescent="0.35">
      <c r="A34" s="9" t="s">
        <v>40</v>
      </c>
      <c r="B34" s="10" t="str">
        <f>VLOOKUP(A34,[4]LISTADHERENT!A$5:H$50,3,0)</f>
        <v>SIMO PIERRE</v>
      </c>
      <c r="C34" s="13">
        <f>VLOOKUP(A34,[5]HISTOJANV25!$A$6:$BQ$45,56,0)</f>
        <v>100000</v>
      </c>
      <c r="D34" s="13" t="str">
        <f>VLOOKUP(A34,[5]HISTOJANV25!$A$6:$BQ$45,57,0)</f>
        <v>OK</v>
      </c>
      <c r="E34" s="13"/>
      <c r="F34" s="13"/>
      <c r="G34" s="14">
        <f t="shared" si="0"/>
        <v>0</v>
      </c>
    </row>
    <row r="35" spans="1:7" ht="17.5" x14ac:dyDescent="0.35">
      <c r="A35" s="9" t="s">
        <v>41</v>
      </c>
      <c r="B35" s="10" t="str">
        <f>VLOOKUP(A35,[4]LISTADHERENT!A$5:H$50,3,0)</f>
        <v>TCHOUAMOU MATHIEU</v>
      </c>
      <c r="C35" s="13">
        <f>VLOOKUP(A35,[5]HISTOJANV25!$A$6:$BQ$45,56,0)</f>
        <v>0</v>
      </c>
      <c r="D35" s="13">
        <f>VLOOKUP(A35,[5]HISTOJANV25!$A$6:$BQ$45,57,0)</f>
        <v>0</v>
      </c>
      <c r="E35" s="13"/>
      <c r="F35" s="13"/>
      <c r="G35" s="14">
        <f t="shared" si="0"/>
        <v>0</v>
      </c>
    </row>
    <row r="36" spans="1:7" ht="17.5" x14ac:dyDescent="0.35">
      <c r="A36" s="9" t="s">
        <v>42</v>
      </c>
      <c r="B36" s="10" t="str">
        <f>VLOOKUP(A36,[4]LISTADHERENT!A$5:H$50,3,0)</f>
        <v>TCHOUATEU AUGUSTIN</v>
      </c>
      <c r="C36" s="13">
        <f>VLOOKUP(A36,[5]HISTOJANV25!$A$6:$BQ$45,56,0)</f>
        <v>0</v>
      </c>
      <c r="D36" s="13">
        <f>VLOOKUP(A36,[5]HISTOJANV25!$A$6:$BQ$45,57,0)</f>
        <v>0</v>
      </c>
      <c r="E36" s="13"/>
      <c r="F36" s="13"/>
      <c r="G36" s="14">
        <f t="shared" si="0"/>
        <v>0</v>
      </c>
    </row>
    <row r="37" spans="1:7" s="3" customFormat="1" ht="17.5" x14ac:dyDescent="0.35">
      <c r="A37" s="9" t="s">
        <v>43</v>
      </c>
      <c r="B37" s="10" t="str">
        <f>VLOOKUP(A37,[4]LISTADHERENT!A$5:H$50,3,0)</f>
        <v>TCHOUTOU NANA CLAUDE</v>
      </c>
      <c r="C37" s="13">
        <f>VLOOKUP(A37,[5]HISTOJANV25!$A$6:$BQ$45,56,0)</f>
        <v>0</v>
      </c>
      <c r="D37" s="13">
        <f>VLOOKUP(A37,[5]HISTOJANV25!$A$6:$BQ$45,57,0)</f>
        <v>0</v>
      </c>
      <c r="E37" s="13"/>
      <c r="F37" s="13"/>
      <c r="G37" s="14">
        <f t="shared" si="0"/>
        <v>0</v>
      </c>
    </row>
    <row r="38" spans="1:7" ht="17.5" x14ac:dyDescent="0.35">
      <c r="A38" s="1" t="s">
        <v>52</v>
      </c>
      <c r="B38" s="10" t="str">
        <f>VLOOKUP(A38,[4]LISTADHERENT!A$5:H$50,3,0)</f>
        <v>TIEYAM ERNEST</v>
      </c>
      <c r="C38" s="13">
        <f>VLOOKUP(A38,[5]HISTOJANV25!$A$6:$BQ$45,56,0)</f>
        <v>0</v>
      </c>
      <c r="D38" s="13">
        <f>VLOOKUP(A38,[5]HISTOJANV25!$A$6:$BQ$45,57,0)</f>
        <v>0</v>
      </c>
      <c r="E38" s="13"/>
      <c r="F38" s="13"/>
      <c r="G38" s="14">
        <f t="shared" ref="G38" si="3">SUM(E38:F38)</f>
        <v>0</v>
      </c>
    </row>
    <row r="39" spans="1:7" ht="17.5" x14ac:dyDescent="0.35">
      <c r="A39" s="9" t="s">
        <v>44</v>
      </c>
      <c r="B39" s="10" t="str">
        <f>VLOOKUP(A39,[4]LISTADHERENT!A$5:H$50,3,0)</f>
        <v>YANTCHOU GERVAIS</v>
      </c>
      <c r="C39" s="13">
        <f>VLOOKUP(A39,[5]HISTOJANV25!$A$6:$BQ$45,56,0)</f>
        <v>0</v>
      </c>
      <c r="D39" s="13">
        <f>VLOOKUP(A39,[5]HISTOJANV25!$A$6:$BQ$45,57,0)</f>
        <v>0</v>
      </c>
      <c r="E39" s="13"/>
      <c r="F39" s="13"/>
      <c r="G39" s="14">
        <f t="shared" si="0"/>
        <v>0</v>
      </c>
    </row>
    <row r="40" spans="1:7" ht="17.5" x14ac:dyDescent="0.35">
      <c r="A40" s="9" t="s">
        <v>45</v>
      </c>
      <c r="B40" s="10" t="str">
        <f>VLOOKUP(A40,[4]LISTADHERENT!A$5:H$50,3,0)</f>
        <v>YEPMOU JEAN JACQUES</v>
      </c>
      <c r="C40" s="13">
        <f>VLOOKUP(A40,[5]HISTOJANV25!$A$6:$BQ$45,56,0)</f>
        <v>0</v>
      </c>
      <c r="D40" s="13">
        <f>VLOOKUP(A40,[5]HISTOJANV25!$A$6:$BQ$45,57,0)</f>
        <v>0</v>
      </c>
      <c r="E40" s="13"/>
      <c r="F40" s="13"/>
      <c r="G40" s="14">
        <f t="shared" si="0"/>
        <v>0</v>
      </c>
    </row>
    <row r="41" spans="1:7" ht="17.5" x14ac:dyDescent="0.35">
      <c r="A41" s="9" t="s">
        <v>46</v>
      </c>
      <c r="B41" s="10" t="str">
        <f>VLOOKUP(A41,[4]LISTADHERENT!A$5:H$50,3,0)</f>
        <v>YIALA ALAIN OSCAR</v>
      </c>
      <c r="C41" s="13">
        <f>VLOOKUP(A41,[5]HISTOJANV25!$A$6:$BQ$45,56,0)</f>
        <v>100000</v>
      </c>
      <c r="D41" s="13" t="str">
        <f>VLOOKUP(A41,[5]HISTOJANV25!$A$6:$BQ$45,57,0)</f>
        <v>OK</v>
      </c>
      <c r="E41" s="13"/>
      <c r="F41" s="13"/>
      <c r="G41" s="14">
        <f t="shared" si="0"/>
        <v>0</v>
      </c>
    </row>
    <row r="42" spans="1:7" ht="17.5" x14ac:dyDescent="0.35">
      <c r="A42" s="9" t="s">
        <v>47</v>
      </c>
      <c r="B42" s="10" t="str">
        <f>VLOOKUP(A42,[4]LISTADHERENT!A$5:H$50,3,0)</f>
        <v>YOUMBI EMMANUEL</v>
      </c>
      <c r="C42" s="13">
        <f>VLOOKUP(A42,[5]HISTOJANV25!$A$6:$BQ$45,56,0)</f>
        <v>0</v>
      </c>
      <c r="D42" s="13">
        <f>VLOOKUP(A42,[5]HISTOJANV25!$A$6:$BQ$45,57,0)</f>
        <v>0</v>
      </c>
      <c r="E42" s="13"/>
      <c r="F42" s="13"/>
      <c r="G42" s="14">
        <f t="shared" si="0"/>
        <v>0</v>
      </c>
    </row>
    <row r="43" spans="1:7" ht="17.5" x14ac:dyDescent="0.35">
      <c r="A43" s="9"/>
      <c r="B43" s="10" t="s">
        <v>53</v>
      </c>
      <c r="C43" s="10"/>
      <c r="D43" s="10"/>
      <c r="E43" s="13"/>
      <c r="F43" s="13">
        <v>9304408</v>
      </c>
      <c r="G43" s="14"/>
    </row>
    <row r="44" spans="1:7" ht="24" thickBot="1" x14ac:dyDescent="0.6">
      <c r="A44" s="15"/>
      <c r="B44" s="16" t="s">
        <v>4</v>
      </c>
      <c r="C44" s="17">
        <f>SUM(C6:C43)</f>
        <v>7134000</v>
      </c>
      <c r="D44" s="17"/>
      <c r="E44" s="17">
        <f>SUM(E7:E43)</f>
        <v>0</v>
      </c>
      <c r="F44" s="17"/>
      <c r="G44" s="18">
        <f>SUM(G7:G43)</f>
        <v>0</v>
      </c>
    </row>
    <row r="45" spans="1:7" ht="15" thickTop="1" x14ac:dyDescent="0.35"/>
    <row r="46" spans="1:7" ht="26" x14ac:dyDescent="0.6">
      <c r="B46" s="5" t="s">
        <v>11</v>
      </c>
      <c r="C46" s="4">
        <f>C44-C5</f>
        <v>0</v>
      </c>
    </row>
    <row r="48" spans="1:7" x14ac:dyDescent="0.35">
      <c r="B48" s="1" t="s">
        <v>6</v>
      </c>
      <c r="C48" s="1"/>
      <c r="D48" s="1"/>
      <c r="E48" s="1"/>
      <c r="F48" s="1"/>
    </row>
    <row r="50" spans="2:2" x14ac:dyDescent="0.35">
      <c r="B50" t="s">
        <v>8</v>
      </c>
    </row>
    <row r="51" spans="2:2" x14ac:dyDescent="0.35">
      <c r="B51" t="s">
        <v>9</v>
      </c>
    </row>
    <row r="52" spans="2:2" x14ac:dyDescent="0.35">
      <c r="B52" t="s">
        <v>10</v>
      </c>
    </row>
  </sheetData>
  <autoFilter ref="A4:F42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E6EBE-EB9E-42DE-BEDC-2189F9D5A522}">
  <dimension ref="A1:G52"/>
  <sheetViews>
    <sheetView zoomScale="96" zoomScaleNormal="96" workbookViewId="0">
      <pane xSplit="2" ySplit="4" topLeftCell="C37" activePane="bottomRight" state="frozen"/>
      <selection pane="topRight" activeCell="C1" sqref="C1"/>
      <selection pane="bottomLeft" activeCell="A7" sqref="A7"/>
      <selection pane="bottomRight" activeCell="C6" sqref="C6:D42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4" width="21.1796875" customWidth="1"/>
    <col min="5" max="5" width="17" bestFit="1" customWidth="1"/>
    <col min="6" max="6" width="17" customWidth="1"/>
    <col min="7" max="7" width="12.453125" bestFit="1" customWidth="1"/>
  </cols>
  <sheetData>
    <row r="1" spans="1:7" x14ac:dyDescent="0.35">
      <c r="A1" s="1" t="s">
        <v>2</v>
      </c>
      <c r="B1" s="1" t="s">
        <v>48</v>
      </c>
      <c r="C1" s="1"/>
      <c r="D1" s="1"/>
      <c r="E1" s="1"/>
      <c r="F1" s="1"/>
    </row>
    <row r="2" spans="1:7" ht="15" thickBot="1" x14ac:dyDescent="0.4">
      <c r="A2" s="1" t="s">
        <v>3</v>
      </c>
      <c r="B2" s="1">
        <v>2025</v>
      </c>
      <c r="C2" s="1"/>
      <c r="D2" s="1"/>
      <c r="E2" s="1"/>
      <c r="F2" s="1"/>
    </row>
    <row r="3" spans="1:7" ht="68.25" customHeight="1" thickTop="1" x14ac:dyDescent="0.35">
      <c r="A3" s="6" t="s">
        <v>0</v>
      </c>
      <c r="B3" s="7" t="s">
        <v>1</v>
      </c>
      <c r="C3" s="7"/>
      <c r="D3" s="7"/>
      <c r="E3" s="7"/>
      <c r="F3" s="7"/>
      <c r="G3" s="8" t="s">
        <v>4</v>
      </c>
    </row>
    <row r="4" spans="1:7" ht="30" customHeight="1" x14ac:dyDescent="0.35">
      <c r="A4" s="9"/>
      <c r="B4" s="10"/>
      <c r="C4" s="10" t="s">
        <v>7</v>
      </c>
      <c r="D4" s="10" t="s">
        <v>5</v>
      </c>
      <c r="E4" s="11" t="s">
        <v>12</v>
      </c>
      <c r="F4" s="11" t="s">
        <v>13</v>
      </c>
      <c r="G4" s="12"/>
    </row>
    <row r="5" spans="1:7" ht="30" customHeight="1" x14ac:dyDescent="0.35">
      <c r="A5" s="9"/>
      <c r="B5" s="10" t="s">
        <v>14</v>
      </c>
      <c r="C5" s="13"/>
      <c r="D5" s="10"/>
      <c r="E5" s="13"/>
      <c r="F5" s="13"/>
      <c r="G5" s="12"/>
    </row>
    <row r="6" spans="1:7" ht="17.5" x14ac:dyDescent="0.35">
      <c r="A6" s="9" t="s">
        <v>15</v>
      </c>
      <c r="B6" s="10" t="str">
        <f>VLOOKUP(A6,[4]LISTADHERENT!A$5:H$50,3,0)</f>
        <v>ASELBY</v>
      </c>
      <c r="C6" s="13">
        <f>VLOOKUP(A6,[5]HISTOFEV25!$A$6:$BQ$45,56,0)</f>
        <v>6000</v>
      </c>
      <c r="D6" s="13" t="str">
        <f>VLOOKUP(A6,[5]HISTOFEV25!$A$6:$BQ$45,57,0)</f>
        <v>OK</v>
      </c>
      <c r="E6" s="13">
        <f>+[6]HISTOBQUEFEV25!$H$6</f>
        <v>1191</v>
      </c>
      <c r="F6" s="13"/>
      <c r="G6" s="14">
        <f t="shared" ref="G6:G42" si="0">SUM(E6:F6)</f>
        <v>1191</v>
      </c>
    </row>
    <row r="7" spans="1:7" ht="17.5" x14ac:dyDescent="0.35">
      <c r="A7" s="9" t="s">
        <v>16</v>
      </c>
      <c r="B7" s="10" t="str">
        <f>VLOOKUP(A7,[4]LISTADHERENT!A$5:H$50,3,0)</f>
        <v>BAKOP ACHILLE</v>
      </c>
      <c r="C7" s="13">
        <f>VLOOKUP(A7,[5]HISTOFEV25!$A$6:$BQ$45,56,0)</f>
        <v>0</v>
      </c>
      <c r="D7" s="13">
        <f>VLOOKUP(A7,[5]HISTOFEV25!$A$6:$BQ$45,57,0)</f>
        <v>0</v>
      </c>
      <c r="E7" s="13"/>
      <c r="F7" s="13"/>
      <c r="G7" s="14">
        <f t="shared" si="0"/>
        <v>0</v>
      </c>
    </row>
    <row r="8" spans="1:7" s="3" customFormat="1" ht="17.5" x14ac:dyDescent="0.35">
      <c r="A8" s="9" t="s">
        <v>17</v>
      </c>
      <c r="B8" s="10" t="str">
        <f>VLOOKUP(A8,[4]LISTADHERENT!A$5:H$50,3,0)</f>
        <v>BOUTCHOUANG WILLIAM</v>
      </c>
      <c r="C8" s="13">
        <f>VLOOKUP(A8,[5]HISTOFEV25!$A$6:$BQ$45,56,0)</f>
        <v>100000</v>
      </c>
      <c r="D8" s="13" t="str">
        <f>VLOOKUP(A8,[5]HISTOFEV25!$A$6:$BQ$45,57,0)</f>
        <v>OK</v>
      </c>
      <c r="E8" s="13"/>
      <c r="F8" s="13"/>
      <c r="G8" s="14">
        <f t="shared" si="0"/>
        <v>0</v>
      </c>
    </row>
    <row r="9" spans="1:7" s="3" customFormat="1" ht="17.5" x14ac:dyDescent="0.35">
      <c r="A9" s="9" t="s">
        <v>18</v>
      </c>
      <c r="B9" s="10" t="str">
        <f>VLOOKUP(A9,[4]LISTADHERENT!A$5:H$50,3,0)</f>
        <v xml:space="preserve">DJOMO JEAN PAUL </v>
      </c>
      <c r="C9" s="13">
        <f>VLOOKUP(A9,[5]HISTOFEV25!$A$6:$BQ$45,56,0)</f>
        <v>1320000</v>
      </c>
      <c r="D9" s="13" t="str">
        <f>VLOOKUP(A9,[5]HISTOFEV25!$A$6:$BQ$45,57,0)</f>
        <v>OK</v>
      </c>
      <c r="E9" s="13"/>
      <c r="F9" s="13"/>
      <c r="G9" s="14">
        <f t="shared" si="0"/>
        <v>0</v>
      </c>
    </row>
    <row r="10" spans="1:7" ht="17.5" x14ac:dyDescent="0.35">
      <c r="A10" s="9" t="s">
        <v>19</v>
      </c>
      <c r="B10" s="10" t="str">
        <f>VLOOKUP(A10,[4]LISTADHERENT!A$5:H$50,3,0)</f>
        <v>DJOMOU TCHAPDA</v>
      </c>
      <c r="C10" s="13">
        <f>VLOOKUP(A10,[5]HISTOFEV25!$A$6:$BQ$45,56,0)</f>
        <v>0</v>
      </c>
      <c r="D10" s="13">
        <f>VLOOKUP(A10,[5]HISTOFEV25!$A$6:$BQ$45,57,0)</f>
        <v>0</v>
      </c>
      <c r="E10" s="13"/>
      <c r="F10" s="13"/>
      <c r="G10" s="14">
        <f t="shared" si="0"/>
        <v>0</v>
      </c>
    </row>
    <row r="11" spans="1:7" ht="17.5" x14ac:dyDescent="0.35">
      <c r="A11" s="9" t="s">
        <v>20</v>
      </c>
      <c r="B11" s="10" t="str">
        <f>VLOOKUP(A11,[4]LISTADHERENT!A$5:H$50,3,0)</f>
        <v>DJOUKWE NANGUEN GUY BLAISE</v>
      </c>
      <c r="C11" s="13">
        <f>VLOOKUP(A11,[5]HISTOFEV25!$A$6:$BQ$45,56,0)</f>
        <v>51000</v>
      </c>
      <c r="D11" s="13" t="str">
        <f>VLOOKUP(A11,[5]HISTOFEV25!$A$6:$BQ$45,57,0)</f>
        <v>OK</v>
      </c>
      <c r="E11" s="13"/>
      <c r="F11" s="13"/>
      <c r="G11" s="14">
        <f t="shared" si="0"/>
        <v>0</v>
      </c>
    </row>
    <row r="12" spans="1:7" ht="17.5" x14ac:dyDescent="0.35">
      <c r="A12" s="9" t="s">
        <v>21</v>
      </c>
      <c r="B12" s="10" t="str">
        <f>VLOOKUP(A12,[4]LISTADHERENT!A$5:H$50,3,0)</f>
        <v>DJUOMBESSY ANTOINE</v>
      </c>
      <c r="C12" s="13">
        <f>VLOOKUP(A12,[5]HISTOFEV25!$A$6:$BQ$45,56,0)</f>
        <v>0</v>
      </c>
      <c r="D12" s="13">
        <f>VLOOKUP(A12,[5]HISTOFEV25!$A$6:$BQ$45,57,0)</f>
        <v>0</v>
      </c>
      <c r="E12" s="13"/>
      <c r="F12" s="13"/>
      <c r="G12" s="14">
        <f t="shared" si="0"/>
        <v>0</v>
      </c>
    </row>
    <row r="13" spans="1:7" s="3" customFormat="1" ht="17.5" x14ac:dyDescent="0.35">
      <c r="A13" s="9" t="s">
        <v>22</v>
      </c>
      <c r="B13" s="10" t="str">
        <f>VLOOKUP(A13,[4]LISTADHERENT!A$5:H$50,3,0)</f>
        <v>DOMOU FABIEN</v>
      </c>
      <c r="C13" s="13">
        <f>VLOOKUP(A13,[5]HISTOFEV25!$A$6:$BQ$45,56,0)</f>
        <v>0</v>
      </c>
      <c r="D13" s="13">
        <f>VLOOKUP(A13,[5]HISTOFEV25!$A$6:$BQ$45,57,0)</f>
        <v>0</v>
      </c>
      <c r="E13" s="13"/>
      <c r="F13" s="13"/>
      <c r="G13" s="14">
        <f t="shared" si="0"/>
        <v>0</v>
      </c>
    </row>
    <row r="14" spans="1:7" ht="17.5" x14ac:dyDescent="0.35">
      <c r="A14" s="9" t="s">
        <v>23</v>
      </c>
      <c r="B14" s="10" t="str">
        <f>VLOOKUP(A14,[4]LISTADHERENT!A$5:H$50,3,0)</f>
        <v>DONHOU DAVID</v>
      </c>
      <c r="C14" s="13">
        <f>VLOOKUP(A14,[5]HISTOFEV25!$A$6:$BQ$45,56,0)</f>
        <v>0</v>
      </c>
      <c r="D14" s="13">
        <f>VLOOKUP(A14,[5]HISTOFEV25!$A$6:$BQ$45,57,0)</f>
        <v>0</v>
      </c>
      <c r="E14" s="13"/>
      <c r="F14" s="13"/>
      <c r="G14" s="14">
        <f t="shared" si="0"/>
        <v>0</v>
      </c>
    </row>
    <row r="15" spans="1:7" ht="17.5" x14ac:dyDescent="0.35">
      <c r="A15" s="9" t="s">
        <v>54</v>
      </c>
      <c r="B15" s="10" t="str">
        <f>VLOOKUP(A15,[4]LISTADHERENT!A$5:H$50,3,0)</f>
        <v>FAMPOU PAUL</v>
      </c>
      <c r="C15" s="13">
        <f>VLOOKUP(A15,[5]HISTOFEV25!$A$6:$BQ$45,56,0)</f>
        <v>0</v>
      </c>
      <c r="D15" s="13">
        <f>VLOOKUP(A15,[5]HISTOFEV25!$A$6:$BQ$45,57,0)</f>
        <v>0</v>
      </c>
      <c r="E15" s="13"/>
      <c r="F15" s="13"/>
      <c r="G15" s="14">
        <f t="shared" ref="G15" si="1">SUM(E15:F15)</f>
        <v>0</v>
      </c>
    </row>
    <row r="16" spans="1:7" ht="17.5" x14ac:dyDescent="0.35">
      <c r="A16" s="9" t="s">
        <v>24</v>
      </c>
      <c r="B16" s="10" t="str">
        <f>VLOOKUP(A16,[4]LISTADHERENT!A$5:H$50,3,0)</f>
        <v>HENGUE PAUL OMER</v>
      </c>
      <c r="C16" s="13">
        <f>VLOOKUP(A16,[5]HISTOFEV25!$A$6:$BQ$45,56,0)</f>
        <v>0</v>
      </c>
      <c r="D16" s="13">
        <f>VLOOKUP(A16,[5]HISTOFEV25!$A$6:$BQ$45,57,0)</f>
        <v>0</v>
      </c>
      <c r="E16" s="13"/>
      <c r="F16" s="13"/>
      <c r="G16" s="14">
        <f t="shared" si="0"/>
        <v>0</v>
      </c>
    </row>
    <row r="17" spans="1:7" ht="17.5" x14ac:dyDescent="0.35">
      <c r="A17" s="9" t="s">
        <v>25</v>
      </c>
      <c r="B17" s="10" t="str">
        <f>VLOOKUP(A17,[4]LISTADHERENT!A$5:H$50,3,0)</f>
        <v>HOTCHO BENJAMIN</v>
      </c>
      <c r="C17" s="13">
        <f>VLOOKUP(A17,[5]HISTOFEV25!$A$6:$BQ$45,56,0)</f>
        <v>0</v>
      </c>
      <c r="D17" s="13">
        <f>VLOOKUP(A17,[5]HISTOFEV25!$A$6:$BQ$45,57,0)</f>
        <v>0</v>
      </c>
      <c r="E17" s="13"/>
      <c r="F17" s="13"/>
      <c r="G17" s="14">
        <f t="shared" si="0"/>
        <v>0</v>
      </c>
    </row>
    <row r="18" spans="1:7" ht="17.5" x14ac:dyDescent="0.35">
      <c r="A18" s="9" t="s">
        <v>26</v>
      </c>
      <c r="B18" s="10" t="str">
        <f>VLOOKUP(A18,[4]LISTADHERENT!A$5:H$50,3,0)</f>
        <v>KOUAMOU MOISE</v>
      </c>
      <c r="C18" s="13">
        <f>VLOOKUP(A18,[5]HISTOFEV25!$A$6:$BQ$45,56,0)</f>
        <v>470000</v>
      </c>
      <c r="D18" s="13" t="str">
        <f>VLOOKUP(A18,[5]HISTOFEV25!$A$6:$BQ$45,57,0)</f>
        <v>OK</v>
      </c>
      <c r="E18" s="13"/>
      <c r="F18" s="13"/>
      <c r="G18" s="14">
        <f t="shared" si="0"/>
        <v>0</v>
      </c>
    </row>
    <row r="19" spans="1:7" ht="17.5" x14ac:dyDescent="0.35">
      <c r="A19" s="9" t="s">
        <v>27</v>
      </c>
      <c r="B19" s="10" t="str">
        <f>VLOOKUP(A19,[4]LISTADHERENT!A$5:H$50,3,0)</f>
        <v>KOUATCHO MESSACK</v>
      </c>
      <c r="C19" s="13">
        <f>VLOOKUP(A19,[5]HISTOFEV25!$A$6:$BQ$45,56,0)</f>
        <v>327000</v>
      </c>
      <c r="D19" s="13" t="str">
        <f>VLOOKUP(A19,[5]HISTOFEV25!$A$6:$BQ$45,57,0)</f>
        <v>OK</v>
      </c>
      <c r="E19" s="13"/>
      <c r="F19" s="13"/>
      <c r="G19" s="14">
        <f t="shared" si="0"/>
        <v>0</v>
      </c>
    </row>
    <row r="20" spans="1:7" ht="17.5" x14ac:dyDescent="0.35">
      <c r="A20" s="9"/>
      <c r="B20" s="10"/>
      <c r="C20" s="13" t="e">
        <f>VLOOKUP(A20,[5]HISTOFEV25!$A$6:$BQ$45,56,0)</f>
        <v>#N/A</v>
      </c>
      <c r="D20" s="13" t="e">
        <f>VLOOKUP(A20,[5]HISTOFEV25!$A$6:$BQ$45,57,0)</f>
        <v>#N/A</v>
      </c>
      <c r="E20" s="13"/>
      <c r="F20" s="13"/>
      <c r="G20" s="14"/>
    </row>
    <row r="21" spans="1:7" ht="17.5" x14ac:dyDescent="0.35">
      <c r="A21" s="9" t="s">
        <v>28</v>
      </c>
      <c r="B21" s="10" t="str">
        <f>VLOOKUP(A21,[4]LISTADHERENT!A$5:H$50,3,0)</f>
        <v>MASSEUNGOUE DAGOBERT</v>
      </c>
      <c r="C21" s="13">
        <f>VLOOKUP(A21,[5]HISTOFEV25!$A$6:$BQ$45,56,0)</f>
        <v>0</v>
      </c>
      <c r="D21" s="13">
        <f>VLOOKUP(A21,[5]HISTOFEV25!$A$6:$BQ$45,57,0)</f>
        <v>0</v>
      </c>
      <c r="E21" s="13"/>
      <c r="F21" s="13"/>
      <c r="G21" s="14">
        <f t="shared" si="0"/>
        <v>0</v>
      </c>
    </row>
    <row r="22" spans="1:7" ht="17.5" x14ac:dyDescent="0.35">
      <c r="A22" s="9" t="s">
        <v>29</v>
      </c>
      <c r="B22" s="10" t="str">
        <f>VLOOKUP(A22,[4]LISTADHERENT!A$5:H$50,3,0)</f>
        <v>MBOGNING TUGMA GUY</v>
      </c>
      <c r="C22" s="13">
        <f>VLOOKUP(A22,[5]HISTOFEV25!$A$6:$BQ$45,56,0)</f>
        <v>1127500</v>
      </c>
      <c r="D22" s="13" t="str">
        <f>VLOOKUP(A22,[5]HISTOFEV25!$A$6:$BQ$45,57,0)</f>
        <v>OK</v>
      </c>
      <c r="E22" s="13"/>
      <c r="F22" s="13"/>
      <c r="G22" s="14">
        <f t="shared" si="0"/>
        <v>0</v>
      </c>
    </row>
    <row r="23" spans="1:7" ht="17.5" x14ac:dyDescent="0.35">
      <c r="A23" s="9" t="s">
        <v>30</v>
      </c>
      <c r="B23" s="10" t="str">
        <f>VLOOKUP(A23,[4]LISTADHERENT!A$5:H$50,3,0)</f>
        <v>NANGUEN MARTIN</v>
      </c>
      <c r="C23" s="13">
        <f>VLOOKUP(A23,[5]HISTOFEV25!$A$6:$BQ$45,56,0)</f>
        <v>0</v>
      </c>
      <c r="D23" s="13">
        <f>VLOOKUP(A23,[5]HISTOFEV25!$A$6:$BQ$45,57,0)</f>
        <v>0</v>
      </c>
      <c r="E23" s="13"/>
      <c r="F23" s="13"/>
      <c r="G23" s="14">
        <f t="shared" si="0"/>
        <v>0</v>
      </c>
    </row>
    <row r="24" spans="1:7" ht="17.5" x14ac:dyDescent="0.35">
      <c r="A24" s="9" t="s">
        <v>31</v>
      </c>
      <c r="B24" s="10" t="str">
        <f>VLOOKUP(A24,[4]LISTADHERENT!A$5:H$50,3,0)</f>
        <v>NANKAM APPOLINAIRE</v>
      </c>
      <c r="C24" s="13">
        <f>VLOOKUP(A24,[5]HISTOFEV25!$A$6:$BQ$45,56,0)</f>
        <v>600000</v>
      </c>
      <c r="D24" s="13" t="str">
        <f>VLOOKUP(A24,[5]HISTOFEV25!$A$6:$BQ$45,57,0)</f>
        <v>OK</v>
      </c>
      <c r="E24" s="13"/>
      <c r="F24" s="13"/>
      <c r="G24" s="14">
        <f t="shared" si="0"/>
        <v>0</v>
      </c>
    </row>
    <row r="25" spans="1:7" ht="17.5" x14ac:dyDescent="0.35">
      <c r="A25" s="9" t="s">
        <v>32</v>
      </c>
      <c r="B25" s="10" t="str">
        <f>VLOOKUP(A25,[4]LISTADHERENT!A$5:H$50,3,0)</f>
        <v>NDJOMO ETIENNE</v>
      </c>
      <c r="C25" s="13">
        <f>VLOOKUP(A25,[5]HISTOFEV25!$A$6:$BQ$45,56,0)</f>
        <v>100000</v>
      </c>
      <c r="D25" s="13" t="str">
        <f>VLOOKUP(A25,[5]HISTOFEV25!$A$6:$BQ$45,57,0)</f>
        <v>OK</v>
      </c>
      <c r="E25" s="13"/>
      <c r="F25" s="13"/>
      <c r="G25" s="14">
        <f t="shared" si="0"/>
        <v>0</v>
      </c>
    </row>
    <row r="26" spans="1:7" ht="17.5" x14ac:dyDescent="0.35">
      <c r="A26" s="9" t="s">
        <v>33</v>
      </c>
      <c r="B26" s="10" t="str">
        <f>VLOOKUP(A26,[4]LISTADHERENT!A$5:H$50,3,0)</f>
        <v>NGONDIEP CLAUDE</v>
      </c>
      <c r="C26" s="13">
        <f>VLOOKUP(A26,[5]HISTOFEV25!$A$6:$BQ$45,56,0)</f>
        <v>0</v>
      </c>
      <c r="D26" s="13">
        <f>VLOOKUP(A26,[5]HISTOFEV25!$A$6:$BQ$45,57,0)</f>
        <v>0</v>
      </c>
      <c r="E26" s="13"/>
      <c r="F26" s="13"/>
      <c r="G26" s="14">
        <f t="shared" si="0"/>
        <v>0</v>
      </c>
    </row>
    <row r="27" spans="1:7" ht="17.5" x14ac:dyDescent="0.35">
      <c r="A27" s="9" t="s">
        <v>34</v>
      </c>
      <c r="B27" s="10" t="str">
        <f>VLOOKUP(A27,[4]LISTADHERENT!A$5:H$50,3,0)</f>
        <v>NGUIEMEGNI MATHIEU BLAISE</v>
      </c>
      <c r="C27" s="13">
        <f>VLOOKUP(A27,[5]HISTOFEV25!$A$6:$BQ$45,56,0)</f>
        <v>474000</v>
      </c>
      <c r="D27" s="13" t="str">
        <f>VLOOKUP(A27,[5]HISTOFEV25!$A$6:$BQ$45,57,0)</f>
        <v>OK</v>
      </c>
      <c r="E27" s="13"/>
      <c r="F27" s="13"/>
      <c r="G27" s="14">
        <f t="shared" si="0"/>
        <v>0</v>
      </c>
    </row>
    <row r="28" spans="1:7" ht="17.5" x14ac:dyDescent="0.35">
      <c r="A28" s="9" t="s">
        <v>35</v>
      </c>
      <c r="B28" s="10" t="str">
        <f>VLOOKUP(A28,[4]LISTADHERENT!A$5:H$50,3,0)</f>
        <v>NKAMGANG JUSTIN DEJOLIE</v>
      </c>
      <c r="C28" s="13">
        <f>VLOOKUP(A28,[5]HISTOFEV25!$A$6:$BQ$45,56,0)</f>
        <v>273000</v>
      </c>
      <c r="D28" s="13" t="str">
        <f>VLOOKUP(A28,[5]HISTOFEV25!$A$6:$BQ$45,57,0)</f>
        <v>OK</v>
      </c>
      <c r="E28" s="13"/>
      <c r="F28" s="13"/>
      <c r="G28" s="14">
        <f t="shared" si="0"/>
        <v>0</v>
      </c>
    </row>
    <row r="29" spans="1:7" ht="17.5" x14ac:dyDescent="0.35">
      <c r="A29" s="9" t="s">
        <v>36</v>
      </c>
      <c r="B29" s="10" t="str">
        <f>VLOOKUP(A29,[4]LISTADHERENT!A$5:H$50,3,0)</f>
        <v>NOUBE ETIENNE</v>
      </c>
      <c r="C29" s="13">
        <f>VLOOKUP(A29,[5]HISTOFEV25!$A$6:$BQ$45,56,0)</f>
        <v>0</v>
      </c>
      <c r="D29" s="13">
        <f>VLOOKUP(A29,[5]HISTOFEV25!$A$6:$BQ$45,57,0)</f>
        <v>0</v>
      </c>
      <c r="E29" s="13"/>
      <c r="F29" s="13"/>
      <c r="G29" s="14">
        <f t="shared" si="0"/>
        <v>0</v>
      </c>
    </row>
    <row r="30" spans="1:7" ht="17.5" x14ac:dyDescent="0.35">
      <c r="A30" s="9" t="s">
        <v>37</v>
      </c>
      <c r="B30" s="10" t="str">
        <f>VLOOKUP(A30,[4]LISTADHERENT!A$5:H$50,3,0)</f>
        <v>PATEGO NJOSSU GUSTAVE</v>
      </c>
      <c r="C30" s="13">
        <f>VLOOKUP(A30,[5]HISTOFEV25!$A$6:$BQ$45,56,0)</f>
        <v>0</v>
      </c>
      <c r="D30" s="13">
        <f>VLOOKUP(A30,[5]HISTOFEV25!$A$6:$BQ$45,57,0)</f>
        <v>0</v>
      </c>
      <c r="E30" s="13"/>
      <c r="F30" s="13"/>
      <c r="G30" s="14">
        <f t="shared" si="0"/>
        <v>0</v>
      </c>
    </row>
    <row r="31" spans="1:7" ht="17.5" x14ac:dyDescent="0.35">
      <c r="A31" s="9" t="s">
        <v>38</v>
      </c>
      <c r="B31" s="10" t="str">
        <f>VLOOKUP(A31,[4]LISTADHERENT!A$5:H$50,3,0)</f>
        <v>SEUMO POLYCARPE</v>
      </c>
      <c r="C31" s="13">
        <f>VLOOKUP(A31,[5]HISTOFEV25!$A$6:$BQ$45,56,0)</f>
        <v>0</v>
      </c>
      <c r="D31" s="13">
        <f>VLOOKUP(A31,[5]HISTOFEV25!$A$6:$BQ$45,57,0)</f>
        <v>0</v>
      </c>
      <c r="E31" s="13"/>
      <c r="F31" s="13"/>
      <c r="G31" s="14">
        <f t="shared" si="0"/>
        <v>0</v>
      </c>
    </row>
    <row r="32" spans="1:7" ht="17.5" x14ac:dyDescent="0.35">
      <c r="A32" s="9" t="s">
        <v>39</v>
      </c>
      <c r="B32" s="10" t="str">
        <f>VLOOKUP(A32,[4]LISTADHERENT!A$5:H$50,3,0)</f>
        <v>SIME BRICE</v>
      </c>
      <c r="C32" s="13">
        <f>VLOOKUP(A32,[5]HISTOFEV25!$A$6:$BQ$45,56,0)</f>
        <v>0</v>
      </c>
      <c r="D32" s="13">
        <f>VLOOKUP(A32,[5]HISTOFEV25!$A$6:$BQ$45,57,0)</f>
        <v>0</v>
      </c>
      <c r="E32" s="13"/>
      <c r="F32" s="13"/>
      <c r="G32" s="14">
        <f t="shared" si="0"/>
        <v>0</v>
      </c>
    </row>
    <row r="33" spans="1:7" ht="17.5" x14ac:dyDescent="0.35">
      <c r="A33" s="19" t="s">
        <v>51</v>
      </c>
      <c r="B33" s="10" t="str">
        <f>VLOOKUP(A33,[4]LISTADHERENT!A$5:H$50,3,0)</f>
        <v>SIMO FONGANG ERIC</v>
      </c>
      <c r="C33" s="13">
        <f>VLOOKUP(A33,[5]HISTOFEV25!$A$6:$BQ$45,56,0)</f>
        <v>0</v>
      </c>
      <c r="D33" s="13">
        <f>VLOOKUP(A33,[5]HISTOFEV25!$A$6:$BQ$45,57,0)</f>
        <v>0</v>
      </c>
      <c r="E33" s="13"/>
      <c r="F33" s="13"/>
      <c r="G33" s="14">
        <f t="shared" si="0"/>
        <v>0</v>
      </c>
    </row>
    <row r="34" spans="1:7" ht="17.5" x14ac:dyDescent="0.35">
      <c r="A34" s="9" t="s">
        <v>40</v>
      </c>
      <c r="B34" s="10" t="str">
        <f>VLOOKUP(A34,[4]LISTADHERENT!A$5:H$50,3,0)</f>
        <v>SIMO PIERRE</v>
      </c>
      <c r="C34" s="13">
        <f>VLOOKUP(A34,[5]HISTOFEV25!$A$6:$BQ$45,56,0)</f>
        <v>1130000</v>
      </c>
      <c r="D34" s="13" t="str">
        <f>VLOOKUP(A34,[5]HISTOFEV25!$A$6:$BQ$45,57,0)</f>
        <v>OK</v>
      </c>
      <c r="E34" s="13"/>
      <c r="F34" s="13"/>
      <c r="G34" s="14">
        <f t="shared" si="0"/>
        <v>0</v>
      </c>
    </row>
    <row r="35" spans="1:7" ht="17.5" x14ac:dyDescent="0.35">
      <c r="A35" s="9" t="s">
        <v>41</v>
      </c>
      <c r="B35" s="10" t="str">
        <f>VLOOKUP(A35,[4]LISTADHERENT!A$5:H$50,3,0)</f>
        <v>TCHOUAMOU MATHIEU</v>
      </c>
      <c r="C35" s="13">
        <f>VLOOKUP(A35,[5]HISTOFEV25!$A$6:$BQ$45,56,0)</f>
        <v>0</v>
      </c>
      <c r="D35" s="13">
        <f>VLOOKUP(A35,[5]HISTOFEV25!$A$6:$BQ$45,57,0)</f>
        <v>0</v>
      </c>
      <c r="E35" s="13"/>
      <c r="F35" s="13"/>
      <c r="G35" s="14">
        <f t="shared" si="0"/>
        <v>0</v>
      </c>
    </row>
    <row r="36" spans="1:7" ht="17.5" x14ac:dyDescent="0.35">
      <c r="A36" s="9" t="s">
        <v>42</v>
      </c>
      <c r="B36" s="10" t="str">
        <f>VLOOKUP(A36,[4]LISTADHERENT!A$5:H$50,3,0)</f>
        <v>TCHOUATEU AUGUSTIN</v>
      </c>
      <c r="C36" s="13">
        <f>VLOOKUP(A36,[5]HISTOFEV25!$A$6:$BQ$45,56,0)</f>
        <v>0</v>
      </c>
      <c r="D36" s="13">
        <f>VLOOKUP(A36,[5]HISTOFEV25!$A$6:$BQ$45,57,0)</f>
        <v>0</v>
      </c>
      <c r="E36" s="13"/>
      <c r="F36" s="13"/>
      <c r="G36" s="14">
        <f t="shared" si="0"/>
        <v>0</v>
      </c>
    </row>
    <row r="37" spans="1:7" s="3" customFormat="1" ht="17.5" x14ac:dyDescent="0.35">
      <c r="A37" s="9" t="s">
        <v>43</v>
      </c>
      <c r="B37" s="10" t="str">
        <f>VLOOKUP(A37,[4]LISTADHERENT!A$5:H$50,3,0)</f>
        <v>TCHOUTOU NANA CLAUDE</v>
      </c>
      <c r="C37" s="13">
        <f>VLOOKUP(A37,[5]HISTOFEV25!$A$6:$BQ$45,56,0)</f>
        <v>100000</v>
      </c>
      <c r="D37" s="13" t="str">
        <f>VLOOKUP(A37,[5]HISTOFEV25!$A$6:$BQ$45,57,0)</f>
        <v>OK</v>
      </c>
      <c r="E37" s="13"/>
      <c r="F37" s="13"/>
      <c r="G37" s="14">
        <f t="shared" si="0"/>
        <v>0</v>
      </c>
    </row>
    <row r="38" spans="1:7" ht="17.5" x14ac:dyDescent="0.35">
      <c r="A38" s="1" t="s">
        <v>52</v>
      </c>
      <c r="B38" s="10" t="str">
        <f>VLOOKUP(A38,[4]LISTADHERENT!A$5:H$50,3,0)</f>
        <v>TIEYAM ERNEST</v>
      </c>
      <c r="C38" s="13">
        <f>VLOOKUP(A38,[5]HISTOFEV25!$A$6:$BQ$45,56,0)</f>
        <v>0</v>
      </c>
      <c r="D38" s="13">
        <f>VLOOKUP(A38,[5]HISTOFEV25!$A$6:$BQ$45,57,0)</f>
        <v>0</v>
      </c>
      <c r="E38" s="13"/>
      <c r="F38" s="13"/>
      <c r="G38" s="14">
        <f t="shared" si="0"/>
        <v>0</v>
      </c>
    </row>
    <row r="39" spans="1:7" ht="17.5" x14ac:dyDescent="0.35">
      <c r="A39" s="9" t="s">
        <v>44</v>
      </c>
      <c r="B39" s="10" t="str">
        <f>VLOOKUP(A39,[4]LISTADHERENT!A$5:H$50,3,0)</f>
        <v>YANTCHOU GERVAIS</v>
      </c>
      <c r="C39" s="13">
        <f>VLOOKUP(A39,[5]HISTOFEV25!$A$6:$BQ$45,56,0)</f>
        <v>0</v>
      </c>
      <c r="D39" s="13">
        <f>VLOOKUP(A39,[5]HISTOFEV25!$A$6:$BQ$45,57,0)</f>
        <v>0</v>
      </c>
      <c r="E39" s="13"/>
      <c r="F39" s="13"/>
      <c r="G39" s="14">
        <f t="shared" si="0"/>
        <v>0</v>
      </c>
    </row>
    <row r="40" spans="1:7" ht="17.5" x14ac:dyDescent="0.35">
      <c r="A40" s="9" t="s">
        <v>45</v>
      </c>
      <c r="B40" s="10" t="str">
        <f>VLOOKUP(A40,[4]LISTADHERENT!A$5:H$50,3,0)</f>
        <v>YEPMOU JEAN JACQUES</v>
      </c>
      <c r="C40" s="13">
        <f>VLOOKUP(A40,[5]HISTOFEV25!$A$6:$BQ$45,56,0)</f>
        <v>0</v>
      </c>
      <c r="D40" s="13">
        <f>VLOOKUP(A40,[5]HISTOFEV25!$A$6:$BQ$45,57,0)</f>
        <v>0</v>
      </c>
      <c r="E40" s="13"/>
      <c r="F40" s="13"/>
      <c r="G40" s="14">
        <f t="shared" si="0"/>
        <v>0</v>
      </c>
    </row>
    <row r="41" spans="1:7" ht="17.5" x14ac:dyDescent="0.35">
      <c r="A41" s="9" t="s">
        <v>46</v>
      </c>
      <c r="B41" s="10" t="str">
        <f>VLOOKUP(A41,[4]LISTADHERENT!A$5:H$50,3,0)</f>
        <v>YIALA ALAIN OSCAR</v>
      </c>
      <c r="C41" s="13">
        <f>VLOOKUP(A41,[5]HISTOFEV25!$A$6:$BQ$45,56,0)</f>
        <v>0</v>
      </c>
      <c r="D41" s="13">
        <f>VLOOKUP(A41,[5]HISTOFEV25!$A$6:$BQ$45,57,0)</f>
        <v>0</v>
      </c>
      <c r="E41" s="13"/>
      <c r="F41" s="13"/>
      <c r="G41" s="14">
        <f t="shared" si="0"/>
        <v>0</v>
      </c>
    </row>
    <row r="42" spans="1:7" ht="17.5" x14ac:dyDescent="0.35">
      <c r="A42" s="9" t="s">
        <v>47</v>
      </c>
      <c r="B42" s="10" t="str">
        <f>VLOOKUP(A42,[4]LISTADHERENT!A$5:H$50,3,0)</f>
        <v>YOUMBI EMMANUEL</v>
      </c>
      <c r="C42" s="13">
        <f>VLOOKUP(A42,[5]HISTOFEV25!$A$6:$BQ$45,56,0)</f>
        <v>100000</v>
      </c>
      <c r="D42" s="13" t="str">
        <f>VLOOKUP(A42,[5]HISTOFEV25!$A$6:$BQ$45,57,0)</f>
        <v>OK</v>
      </c>
      <c r="E42" s="13"/>
      <c r="F42" s="13"/>
      <c r="G42" s="14">
        <f t="shared" si="0"/>
        <v>0</v>
      </c>
    </row>
    <row r="43" spans="1:7" ht="17.5" x14ac:dyDescent="0.35">
      <c r="A43" s="9"/>
      <c r="B43" s="10" t="s">
        <v>53</v>
      </c>
      <c r="C43" s="10"/>
      <c r="D43" s="10"/>
      <c r="E43" s="13"/>
      <c r="F43" s="13">
        <v>7089215</v>
      </c>
      <c r="G43" s="14"/>
    </row>
    <row r="44" spans="1:7" ht="24" thickBot="1" x14ac:dyDescent="0.6">
      <c r="A44" s="15"/>
      <c r="B44" s="16" t="s">
        <v>4</v>
      </c>
      <c r="C44" s="17" t="e">
        <f>SUM(C6:C43)</f>
        <v>#N/A</v>
      </c>
      <c r="D44" s="17"/>
      <c r="E44" s="17">
        <f>SUM(E7:E43)</f>
        <v>0</v>
      </c>
      <c r="F44" s="17"/>
      <c r="G44" s="18">
        <f>SUM(G7:G43)</f>
        <v>0</v>
      </c>
    </row>
    <row r="45" spans="1:7" ht="15" thickTop="1" x14ac:dyDescent="0.35"/>
    <row r="46" spans="1:7" ht="26" x14ac:dyDescent="0.6">
      <c r="B46" s="5" t="s">
        <v>11</v>
      </c>
      <c r="C46" s="4" t="e">
        <f>C44-C5</f>
        <v>#N/A</v>
      </c>
    </row>
    <row r="48" spans="1:7" x14ac:dyDescent="0.35">
      <c r="B48" s="1" t="s">
        <v>6</v>
      </c>
      <c r="C48" s="1"/>
      <c r="D48" s="1"/>
      <c r="E48" s="1"/>
      <c r="F48" s="1"/>
    </row>
    <row r="50" spans="2:2" x14ac:dyDescent="0.35">
      <c r="B50" t="s">
        <v>8</v>
      </c>
    </row>
    <row r="51" spans="2:2" x14ac:dyDescent="0.35">
      <c r="B51" t="s">
        <v>9</v>
      </c>
    </row>
    <row r="52" spans="2:2" x14ac:dyDescent="0.35">
      <c r="B52" t="s">
        <v>10</v>
      </c>
    </row>
  </sheetData>
  <autoFilter ref="A4:F42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7626A-EE24-4691-A390-2BECAF3D4DFB}">
  <dimension ref="A1:G52"/>
  <sheetViews>
    <sheetView zoomScale="96" zoomScaleNormal="96" workbookViewId="0">
      <pane xSplit="2" ySplit="4" topLeftCell="C37" activePane="bottomRight" state="frozen"/>
      <selection pane="topRight" activeCell="C1" sqref="C1"/>
      <selection pane="bottomLeft" activeCell="A7" sqref="A7"/>
      <selection pane="bottomRight" activeCell="C6" sqref="C6:D42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4" width="21.1796875" customWidth="1"/>
    <col min="5" max="5" width="17" bestFit="1" customWidth="1"/>
    <col min="6" max="6" width="17" customWidth="1"/>
    <col min="7" max="7" width="12.453125" bestFit="1" customWidth="1"/>
  </cols>
  <sheetData>
    <row r="1" spans="1:7" x14ac:dyDescent="0.35">
      <c r="A1" s="1" t="s">
        <v>2</v>
      </c>
      <c r="B1" s="1" t="s">
        <v>48</v>
      </c>
      <c r="C1" s="1"/>
      <c r="D1" s="1"/>
      <c r="E1" s="1"/>
      <c r="F1" s="1"/>
    </row>
    <row r="2" spans="1:7" ht="15" thickBot="1" x14ac:dyDescent="0.4">
      <c r="A2" s="1" t="s">
        <v>3</v>
      </c>
      <c r="B2" s="1">
        <v>2025</v>
      </c>
      <c r="C2" s="1"/>
      <c r="D2" s="1"/>
      <c r="E2" s="1"/>
      <c r="F2" s="1"/>
    </row>
    <row r="3" spans="1:7" ht="68.25" customHeight="1" thickTop="1" x14ac:dyDescent="0.35">
      <c r="A3" s="6" t="s">
        <v>0</v>
      </c>
      <c r="B3" s="7" t="s">
        <v>1</v>
      </c>
      <c r="C3" s="7"/>
      <c r="D3" s="7"/>
      <c r="E3" s="7"/>
      <c r="F3" s="7"/>
      <c r="G3" s="8" t="s">
        <v>4</v>
      </c>
    </row>
    <row r="4" spans="1:7" ht="30" customHeight="1" x14ac:dyDescent="0.35">
      <c r="A4" s="9"/>
      <c r="B4" s="10"/>
      <c r="C4" s="10" t="s">
        <v>7</v>
      </c>
      <c r="D4" s="10" t="s">
        <v>5</v>
      </c>
      <c r="E4" s="11" t="s">
        <v>12</v>
      </c>
      <c r="F4" s="11" t="s">
        <v>13</v>
      </c>
      <c r="G4" s="12"/>
    </row>
    <row r="5" spans="1:7" ht="30" customHeight="1" x14ac:dyDescent="0.35">
      <c r="A5" s="9"/>
      <c r="B5" s="10" t="s">
        <v>14</v>
      </c>
      <c r="C5" s="13"/>
      <c r="D5" s="10"/>
      <c r="E5" s="13"/>
      <c r="F5" s="13"/>
      <c r="G5" s="12"/>
    </row>
    <row r="6" spans="1:7" ht="17.5" x14ac:dyDescent="0.35">
      <c r="A6" s="9" t="s">
        <v>15</v>
      </c>
      <c r="B6" s="10" t="str">
        <f>VLOOKUP(A6,[4]LISTADHERENT!A$5:H$50,3,0)</f>
        <v>ASELBY</v>
      </c>
      <c r="C6" s="13">
        <f>VLOOKUP(A6,[5]HISTOMARS25!$A$6:$BQ$45,56,0)</f>
        <v>352000</v>
      </c>
      <c r="D6" s="13">
        <f>VLOOKUP(A6,[5]HISTOMARS25!$A$6:$BQ$45,57,0)</f>
        <v>0</v>
      </c>
      <c r="E6" s="13">
        <f>+[6]HISTOBQUEMARS25!$H$6</f>
        <v>2395</v>
      </c>
      <c r="F6" s="13"/>
      <c r="G6" s="14">
        <f t="shared" ref="G6:G42" si="0">SUM(E6:F6)</f>
        <v>2395</v>
      </c>
    </row>
    <row r="7" spans="1:7" ht="17.5" x14ac:dyDescent="0.35">
      <c r="A7" s="9" t="s">
        <v>16</v>
      </c>
      <c r="B7" s="10" t="str">
        <f>VLOOKUP(A7,[4]LISTADHERENT!A$5:H$50,3,0)</f>
        <v>BAKOP ACHILLE</v>
      </c>
      <c r="C7" s="13">
        <f>VLOOKUP(A7,[5]HISTOMARS25!$A$6:$BQ$45,56,0)</f>
        <v>0</v>
      </c>
      <c r="D7" s="13">
        <f>VLOOKUP(A7,[5]HISTOMARS25!$A$6:$BQ$45,57,0)</f>
        <v>0</v>
      </c>
      <c r="E7" s="13"/>
      <c r="F7" s="13"/>
      <c r="G7" s="14">
        <f t="shared" si="0"/>
        <v>0</v>
      </c>
    </row>
    <row r="8" spans="1:7" s="3" customFormat="1" ht="17.5" x14ac:dyDescent="0.35">
      <c r="A8" s="9" t="s">
        <v>17</v>
      </c>
      <c r="B8" s="10" t="str">
        <f>VLOOKUP(A8,[4]LISTADHERENT!A$5:H$50,3,0)</f>
        <v>BOUTCHOUANG WILLIAM</v>
      </c>
      <c r="C8" s="13">
        <f>VLOOKUP(A8,[5]HISTOMARS25!$A$6:$BQ$45,56,0)</f>
        <v>0</v>
      </c>
      <c r="D8" s="13">
        <f>VLOOKUP(A8,[5]HISTOMARS25!$A$6:$BQ$45,57,0)</f>
        <v>0</v>
      </c>
      <c r="E8" s="13"/>
      <c r="F8" s="13"/>
      <c r="G8" s="14">
        <f t="shared" si="0"/>
        <v>0</v>
      </c>
    </row>
    <row r="9" spans="1:7" s="3" customFormat="1" ht="17.5" x14ac:dyDescent="0.35">
      <c r="A9" s="9" t="s">
        <v>18</v>
      </c>
      <c r="B9" s="10" t="str">
        <f>VLOOKUP(A9,[4]LISTADHERENT!A$5:H$50,3,0)</f>
        <v xml:space="preserve">DJOMO JEAN PAUL </v>
      </c>
      <c r="C9" s="13">
        <f>VLOOKUP(A9,[5]HISTOMARS25!$A$6:$BQ$45,56,0)</f>
        <v>0</v>
      </c>
      <c r="D9" s="13">
        <f>VLOOKUP(A9,[5]HISTOMARS25!$A$6:$BQ$45,57,0)</f>
        <v>0</v>
      </c>
      <c r="E9" s="13"/>
      <c r="F9" s="13"/>
      <c r="G9" s="14">
        <f t="shared" si="0"/>
        <v>0</v>
      </c>
    </row>
    <row r="10" spans="1:7" ht="17.5" x14ac:dyDescent="0.35">
      <c r="A10" s="9" t="s">
        <v>19</v>
      </c>
      <c r="B10" s="10" t="str">
        <f>VLOOKUP(A10,[4]LISTADHERENT!A$5:H$50,3,0)</f>
        <v>DJOMOU TCHAPDA</v>
      </c>
      <c r="C10" s="13">
        <f>VLOOKUP(A10,[5]HISTOMARS25!$A$6:$BQ$45,56,0)</f>
        <v>0</v>
      </c>
      <c r="D10" s="13">
        <f>VLOOKUP(A10,[5]HISTOMARS25!$A$6:$BQ$45,57,0)</f>
        <v>0</v>
      </c>
      <c r="E10" s="13"/>
      <c r="F10" s="13"/>
      <c r="G10" s="14">
        <f t="shared" si="0"/>
        <v>0</v>
      </c>
    </row>
    <row r="11" spans="1:7" ht="17.5" x14ac:dyDescent="0.35">
      <c r="A11" s="9" t="s">
        <v>20</v>
      </c>
      <c r="B11" s="10" t="str">
        <f>VLOOKUP(A11,[4]LISTADHERENT!A$5:H$50,3,0)</f>
        <v>DJOUKWE NANGUEN GUY BLAISE</v>
      </c>
      <c r="C11" s="13">
        <f>VLOOKUP(A11,[5]HISTOMARS25!$A$6:$BQ$45,56,0)</f>
        <v>894000</v>
      </c>
      <c r="D11" s="13" t="str">
        <f>VLOOKUP(A11,[5]HISTOMARS25!$A$6:$BQ$45,57,0)</f>
        <v>OK</v>
      </c>
      <c r="E11" s="13"/>
      <c r="F11" s="13"/>
      <c r="G11" s="14">
        <f t="shared" si="0"/>
        <v>0</v>
      </c>
    </row>
    <row r="12" spans="1:7" ht="17.5" x14ac:dyDescent="0.35">
      <c r="A12" s="9" t="s">
        <v>21</v>
      </c>
      <c r="B12" s="10" t="str">
        <f>VLOOKUP(A12,[4]LISTADHERENT!A$5:H$50,3,0)</f>
        <v>DJUOMBESSY ANTOINE</v>
      </c>
      <c r="C12" s="13">
        <f>VLOOKUP(A12,[5]HISTOMARS25!$A$6:$BQ$45,56,0)</f>
        <v>1463000</v>
      </c>
      <c r="D12" s="13" t="str">
        <f>VLOOKUP(A12,[5]HISTOMARS25!$A$6:$BQ$45,57,0)</f>
        <v>OK</v>
      </c>
      <c r="E12" s="13"/>
      <c r="F12" s="13"/>
      <c r="G12" s="14">
        <f t="shared" si="0"/>
        <v>0</v>
      </c>
    </row>
    <row r="13" spans="1:7" s="3" customFormat="1" ht="17.5" x14ac:dyDescent="0.35">
      <c r="A13" s="9" t="s">
        <v>22</v>
      </c>
      <c r="B13" s="10" t="str">
        <f>VLOOKUP(A13,[4]LISTADHERENT!A$5:H$50,3,0)</f>
        <v>DOMOU FABIEN</v>
      </c>
      <c r="C13" s="13">
        <f>VLOOKUP(A13,[5]HISTOMARS25!$A$6:$BQ$45,56,0)</f>
        <v>0</v>
      </c>
      <c r="D13" s="13">
        <f>VLOOKUP(A13,[5]HISTOMARS25!$A$6:$BQ$45,57,0)</f>
        <v>0</v>
      </c>
      <c r="E13" s="13"/>
      <c r="F13" s="13"/>
      <c r="G13" s="14">
        <f t="shared" si="0"/>
        <v>0</v>
      </c>
    </row>
    <row r="14" spans="1:7" ht="17.5" x14ac:dyDescent="0.35">
      <c r="A14" s="9" t="s">
        <v>23</v>
      </c>
      <c r="B14" s="10" t="str">
        <f>VLOOKUP(A14,[4]LISTADHERENT!A$5:H$50,3,0)</f>
        <v>DONHOU DAVID</v>
      </c>
      <c r="C14" s="13">
        <f>VLOOKUP(A14,[5]HISTOMARS25!$A$6:$BQ$45,56,0)</f>
        <v>0</v>
      </c>
      <c r="D14" s="13">
        <f>VLOOKUP(A14,[5]HISTOMARS25!$A$6:$BQ$45,57,0)</f>
        <v>0</v>
      </c>
      <c r="E14" s="13"/>
      <c r="F14" s="13"/>
      <c r="G14" s="14">
        <f t="shared" si="0"/>
        <v>0</v>
      </c>
    </row>
    <row r="15" spans="1:7" ht="17.5" x14ac:dyDescent="0.35">
      <c r="A15" s="9" t="s">
        <v>54</v>
      </c>
      <c r="B15" s="10" t="str">
        <f>VLOOKUP(A15,[4]LISTADHERENT!A$5:H$50,3,0)</f>
        <v>FAMPOU PAUL</v>
      </c>
      <c r="C15" s="13">
        <f>VLOOKUP(A15,[5]HISTOMARS25!$A$6:$BQ$45,56,0)</f>
        <v>0</v>
      </c>
      <c r="D15" s="13">
        <f>VLOOKUP(A15,[5]HISTOMARS25!$A$6:$BQ$45,57,0)</f>
        <v>0</v>
      </c>
      <c r="E15" s="13"/>
      <c r="F15" s="13"/>
      <c r="G15" s="14">
        <f t="shared" si="0"/>
        <v>0</v>
      </c>
    </row>
    <row r="16" spans="1:7" ht="17.5" x14ac:dyDescent="0.35">
      <c r="A16" s="9" t="s">
        <v>24</v>
      </c>
      <c r="B16" s="10" t="str">
        <f>VLOOKUP(A16,[4]LISTADHERENT!A$5:H$50,3,0)</f>
        <v>HENGUE PAUL OMER</v>
      </c>
      <c r="C16" s="13">
        <f>VLOOKUP(A16,[5]HISTOMARS25!$A$6:$BQ$45,56,0)</f>
        <v>-55000</v>
      </c>
      <c r="D16" s="13" t="str">
        <f>VLOOKUP(A16,[5]HISTOMARS25!$A$6:$BQ$45,57,0)</f>
        <v>OK</v>
      </c>
      <c r="E16" s="13"/>
      <c r="F16" s="13"/>
      <c r="G16" s="14">
        <f t="shared" si="0"/>
        <v>0</v>
      </c>
    </row>
    <row r="17" spans="1:7" ht="17.5" x14ac:dyDescent="0.35">
      <c r="A17" s="9" t="s">
        <v>25</v>
      </c>
      <c r="B17" s="10" t="str">
        <f>VLOOKUP(A17,[4]LISTADHERENT!A$5:H$50,3,0)</f>
        <v>HOTCHO BENJAMIN</v>
      </c>
      <c r="C17" s="13">
        <f>VLOOKUP(A17,[5]HISTOMARS25!$A$6:$BQ$45,56,0)</f>
        <v>933625</v>
      </c>
      <c r="D17" s="13" t="str">
        <f>VLOOKUP(A17,[5]HISTOMARS25!$A$6:$BQ$45,57,0)</f>
        <v>OK</v>
      </c>
      <c r="E17" s="13"/>
      <c r="F17" s="13"/>
      <c r="G17" s="14">
        <f t="shared" si="0"/>
        <v>0</v>
      </c>
    </row>
    <row r="18" spans="1:7" ht="17.5" x14ac:dyDescent="0.35">
      <c r="A18" s="9" t="s">
        <v>26</v>
      </c>
      <c r="B18" s="10" t="str">
        <f>VLOOKUP(A18,[4]LISTADHERENT!A$5:H$50,3,0)</f>
        <v>KOUAMOU MOISE</v>
      </c>
      <c r="C18" s="13">
        <f>VLOOKUP(A18,[5]HISTOMARS25!$A$6:$BQ$45,56,0)</f>
        <v>0</v>
      </c>
      <c r="D18" s="13" t="str">
        <f>VLOOKUP(A18,[5]HISTOMARS25!$A$6:$BQ$45,57,0)</f>
        <v>OK</v>
      </c>
      <c r="E18" s="13"/>
      <c r="F18" s="13"/>
      <c r="G18" s="14">
        <f t="shared" si="0"/>
        <v>0</v>
      </c>
    </row>
    <row r="19" spans="1:7" ht="17.5" x14ac:dyDescent="0.35">
      <c r="A19" s="9" t="s">
        <v>27</v>
      </c>
      <c r="B19" s="10" t="str">
        <f>VLOOKUP(A19,[4]LISTADHERENT!A$5:H$50,3,0)</f>
        <v>KOUATCHO MESSACK</v>
      </c>
      <c r="C19" s="13">
        <f>VLOOKUP(A19,[5]HISTOMARS25!$A$6:$BQ$45,56,0)</f>
        <v>205500</v>
      </c>
      <c r="D19" s="13" t="str">
        <f>VLOOKUP(A19,[5]HISTOMARS25!$A$6:$BQ$45,57,0)</f>
        <v>OK</v>
      </c>
      <c r="E19" s="13"/>
      <c r="F19" s="13"/>
      <c r="G19" s="14">
        <f t="shared" si="0"/>
        <v>0</v>
      </c>
    </row>
    <row r="20" spans="1:7" ht="17.5" x14ac:dyDescent="0.35">
      <c r="A20" s="9" t="s">
        <v>55</v>
      </c>
      <c r="B20" s="10" t="str">
        <f>VLOOKUP(A20,[4]LISTADHERENT!A$5:H$50,3,0)</f>
        <v>LOWE JEAN</v>
      </c>
      <c r="C20" s="13">
        <f>VLOOKUP(A20,[5]HISTOMARS25!$A$6:$BQ$45,56,0)</f>
        <v>0</v>
      </c>
      <c r="D20" s="13">
        <f>VLOOKUP(A20,[5]HISTOMARS25!$A$6:$BQ$45,57,0)</f>
        <v>0</v>
      </c>
      <c r="E20" s="13"/>
      <c r="F20" s="13"/>
      <c r="G20" s="14"/>
    </row>
    <row r="21" spans="1:7" ht="17.5" x14ac:dyDescent="0.35">
      <c r="A21" s="9" t="s">
        <v>28</v>
      </c>
      <c r="B21" s="10" t="str">
        <f>VLOOKUP(A21,[4]LISTADHERENT!A$5:H$50,3,0)</f>
        <v>MASSEUNGOUE DAGOBERT</v>
      </c>
      <c r="C21" s="13">
        <f>VLOOKUP(A21,[5]HISTOMARS25!$A$6:$BQ$45,56,0)</f>
        <v>0</v>
      </c>
      <c r="D21" s="13">
        <f>VLOOKUP(A21,[5]HISTOMARS25!$A$6:$BQ$45,57,0)</f>
        <v>0</v>
      </c>
      <c r="E21" s="13"/>
      <c r="F21" s="13"/>
      <c r="G21" s="14">
        <f t="shared" si="0"/>
        <v>0</v>
      </c>
    </row>
    <row r="22" spans="1:7" ht="17.5" x14ac:dyDescent="0.35">
      <c r="A22" s="9" t="s">
        <v>29</v>
      </c>
      <c r="B22" s="10" t="str">
        <f>VLOOKUP(A22,[4]LISTADHERENT!A$5:H$50,3,0)</f>
        <v>MBOGNING TUGMA GUY</v>
      </c>
      <c r="C22" s="13">
        <f>VLOOKUP(A22,[5]HISTOMARS25!$A$6:$BQ$45,56,0)</f>
        <v>426500</v>
      </c>
      <c r="D22" s="13" t="str">
        <f>VLOOKUP(A22,[5]HISTOMARS25!$A$6:$BQ$45,57,0)</f>
        <v>OK</v>
      </c>
      <c r="E22" s="13"/>
      <c r="F22" s="13"/>
      <c r="G22" s="14">
        <f t="shared" si="0"/>
        <v>0</v>
      </c>
    </row>
    <row r="23" spans="1:7" ht="17.5" x14ac:dyDescent="0.35">
      <c r="A23" s="9" t="s">
        <v>30</v>
      </c>
      <c r="B23" s="10" t="str">
        <f>VLOOKUP(A23,[4]LISTADHERENT!A$5:H$50,3,0)</f>
        <v>NANGUEN MARTIN</v>
      </c>
      <c r="C23" s="13">
        <f>VLOOKUP(A23,[5]HISTOMARS25!$A$6:$BQ$45,56,0)</f>
        <v>0</v>
      </c>
      <c r="D23" s="13">
        <f>VLOOKUP(A23,[5]HISTOMARS25!$A$6:$BQ$45,57,0)</f>
        <v>0</v>
      </c>
      <c r="E23" s="13"/>
      <c r="F23" s="13"/>
      <c r="G23" s="14">
        <f t="shared" si="0"/>
        <v>0</v>
      </c>
    </row>
    <row r="24" spans="1:7" ht="17.5" x14ac:dyDescent="0.35">
      <c r="A24" s="9" t="s">
        <v>31</v>
      </c>
      <c r="B24" s="10" t="str">
        <f>VLOOKUP(A24,[4]LISTADHERENT!A$5:H$50,3,0)</f>
        <v>NANKAM APPOLINAIRE</v>
      </c>
      <c r="C24" s="13">
        <f>VLOOKUP(A24,[5]HISTOMARS25!$A$6:$BQ$45,56,0)</f>
        <v>600000</v>
      </c>
      <c r="D24" s="13" t="str">
        <f>VLOOKUP(A24,[5]HISTOMARS25!$A$6:$BQ$45,57,0)</f>
        <v>OK</v>
      </c>
      <c r="E24" s="13"/>
      <c r="F24" s="13"/>
      <c r="G24" s="14">
        <f t="shared" si="0"/>
        <v>0</v>
      </c>
    </row>
    <row r="25" spans="1:7" ht="17.5" x14ac:dyDescent="0.35">
      <c r="A25" s="9" t="s">
        <v>32</v>
      </c>
      <c r="B25" s="10" t="str">
        <f>VLOOKUP(A25,[4]LISTADHERENT!A$5:H$50,3,0)</f>
        <v>NDJOMO ETIENNE</v>
      </c>
      <c r="C25" s="13">
        <f>VLOOKUP(A25,[5]HISTOMARS25!$A$6:$BQ$45,56,0)</f>
        <v>27000</v>
      </c>
      <c r="D25" s="13" t="str">
        <f>VLOOKUP(A25,[5]HISTOMARS25!$A$6:$BQ$45,57,0)</f>
        <v>OK</v>
      </c>
      <c r="E25" s="13"/>
      <c r="F25" s="13"/>
      <c r="G25" s="14">
        <f t="shared" si="0"/>
        <v>0</v>
      </c>
    </row>
    <row r="26" spans="1:7" ht="17.5" x14ac:dyDescent="0.35">
      <c r="A26" s="9" t="s">
        <v>33</v>
      </c>
      <c r="B26" s="10" t="str">
        <f>VLOOKUP(A26,[4]LISTADHERENT!A$5:H$50,3,0)</f>
        <v>NGONDIEP CLAUDE</v>
      </c>
      <c r="C26" s="13">
        <f>VLOOKUP(A26,[5]HISTOMARS25!$A$6:$BQ$45,56,0)</f>
        <v>0</v>
      </c>
      <c r="D26" s="13">
        <f>VLOOKUP(A26,[5]HISTOMARS25!$A$6:$BQ$45,57,0)</f>
        <v>0</v>
      </c>
      <c r="E26" s="13"/>
      <c r="F26" s="13"/>
      <c r="G26" s="14">
        <f t="shared" si="0"/>
        <v>0</v>
      </c>
    </row>
    <row r="27" spans="1:7" ht="17.5" x14ac:dyDescent="0.35">
      <c r="A27" s="9" t="s">
        <v>34</v>
      </c>
      <c r="B27" s="10" t="str">
        <f>VLOOKUP(A27,[4]LISTADHERENT!A$5:H$50,3,0)</f>
        <v>NGUIEMEGNI MATHIEU BLAISE</v>
      </c>
      <c r="C27" s="13">
        <f>VLOOKUP(A27,[5]HISTOMARS25!$A$6:$BQ$45,56,0)</f>
        <v>100000</v>
      </c>
      <c r="D27" s="13" t="str">
        <f>VLOOKUP(A27,[5]HISTOMARS25!$A$6:$BQ$45,57,0)</f>
        <v>OK</v>
      </c>
      <c r="E27" s="13"/>
      <c r="F27" s="13"/>
      <c r="G27" s="14">
        <f t="shared" si="0"/>
        <v>0</v>
      </c>
    </row>
    <row r="28" spans="1:7" ht="17.5" x14ac:dyDescent="0.35">
      <c r="A28" s="9" t="s">
        <v>35</v>
      </c>
      <c r="B28" s="10" t="str">
        <f>VLOOKUP(A28,[4]LISTADHERENT!A$5:H$50,3,0)</f>
        <v>NKAMGANG JUSTIN DEJOLIE</v>
      </c>
      <c r="C28" s="13">
        <f>VLOOKUP(A28,[5]HISTOMARS25!$A$6:$BQ$45,56,0)</f>
        <v>0</v>
      </c>
      <c r="D28" s="13">
        <f>VLOOKUP(A28,[5]HISTOMARS25!$A$6:$BQ$45,57,0)</f>
        <v>0</v>
      </c>
      <c r="E28" s="13"/>
      <c r="F28" s="13"/>
      <c r="G28" s="14">
        <f t="shared" si="0"/>
        <v>0</v>
      </c>
    </row>
    <row r="29" spans="1:7" ht="17.5" x14ac:dyDescent="0.35">
      <c r="A29" s="9" t="s">
        <v>36</v>
      </c>
      <c r="B29" s="10" t="str">
        <f>VLOOKUP(A29,[4]LISTADHERENT!A$5:H$50,3,0)</f>
        <v>NOUBE ETIENNE</v>
      </c>
      <c r="C29" s="13">
        <f>VLOOKUP(A29,[5]HISTOMARS25!$A$6:$BQ$45,56,0)</f>
        <v>136500</v>
      </c>
      <c r="D29" s="13" t="str">
        <f>VLOOKUP(A29,[5]HISTOMARS25!$A$6:$BQ$45,57,0)</f>
        <v>OK</v>
      </c>
      <c r="E29" s="13"/>
      <c r="F29" s="13"/>
      <c r="G29" s="14">
        <f t="shared" si="0"/>
        <v>0</v>
      </c>
    </row>
    <row r="30" spans="1:7" ht="17.5" x14ac:dyDescent="0.35">
      <c r="A30" s="9" t="s">
        <v>37</v>
      </c>
      <c r="B30" s="10" t="str">
        <f>VLOOKUP(A30,[4]LISTADHERENT!A$5:H$50,3,0)</f>
        <v>PATEGO NJOSSU GUSTAVE</v>
      </c>
      <c r="C30" s="13">
        <f>VLOOKUP(A30,[5]HISTOMARS25!$A$6:$BQ$45,56,0)</f>
        <v>0</v>
      </c>
      <c r="D30" s="13">
        <f>VLOOKUP(A30,[5]HISTOMARS25!$A$6:$BQ$45,57,0)</f>
        <v>0</v>
      </c>
      <c r="E30" s="13"/>
      <c r="F30" s="13"/>
      <c r="G30" s="14">
        <f t="shared" si="0"/>
        <v>0</v>
      </c>
    </row>
    <row r="31" spans="1:7" ht="17.5" x14ac:dyDescent="0.35">
      <c r="A31" s="9" t="s">
        <v>38</v>
      </c>
      <c r="B31" s="10" t="str">
        <f>VLOOKUP(A31,[4]LISTADHERENT!A$5:H$50,3,0)</f>
        <v>SEUMO POLYCARPE</v>
      </c>
      <c r="C31" s="13">
        <f>VLOOKUP(A31,[5]HISTOMARS25!$A$6:$BQ$45,56,0)</f>
        <v>0</v>
      </c>
      <c r="D31" s="13">
        <f>VLOOKUP(A31,[5]HISTOMARS25!$A$6:$BQ$45,57,0)</f>
        <v>0</v>
      </c>
      <c r="E31" s="13"/>
      <c r="F31" s="13"/>
      <c r="G31" s="14">
        <f t="shared" si="0"/>
        <v>0</v>
      </c>
    </row>
    <row r="32" spans="1:7" ht="17.5" x14ac:dyDescent="0.35">
      <c r="A32" s="9" t="s">
        <v>39</v>
      </c>
      <c r="B32" s="10" t="str">
        <f>VLOOKUP(A32,[4]LISTADHERENT!A$5:H$50,3,0)</f>
        <v>SIME BRICE</v>
      </c>
      <c r="C32" s="13">
        <f>VLOOKUP(A32,[5]HISTOMARS25!$A$6:$BQ$45,56,0)</f>
        <v>0</v>
      </c>
      <c r="D32" s="13">
        <f>VLOOKUP(A32,[5]HISTOMARS25!$A$6:$BQ$45,57,0)</f>
        <v>0</v>
      </c>
      <c r="E32" s="13"/>
      <c r="F32" s="13"/>
      <c r="G32" s="14">
        <f t="shared" si="0"/>
        <v>0</v>
      </c>
    </row>
    <row r="33" spans="1:7" ht="17.5" x14ac:dyDescent="0.35">
      <c r="A33" s="19" t="s">
        <v>51</v>
      </c>
      <c r="B33" s="10" t="str">
        <f>VLOOKUP(A33,[4]LISTADHERENT!A$5:H$50,3,0)</f>
        <v>SIMO FONGANG ERIC</v>
      </c>
      <c r="C33" s="13">
        <f>VLOOKUP(A33,[5]HISTOMARS25!$A$6:$BQ$45,56,0)</f>
        <v>0</v>
      </c>
      <c r="D33" s="13">
        <f>VLOOKUP(A33,[5]HISTOMARS25!$A$6:$BQ$45,57,0)</f>
        <v>0</v>
      </c>
      <c r="E33" s="13"/>
      <c r="F33" s="13"/>
      <c r="G33" s="14">
        <f t="shared" si="0"/>
        <v>0</v>
      </c>
    </row>
    <row r="34" spans="1:7" ht="17.5" x14ac:dyDescent="0.35">
      <c r="A34" s="9" t="s">
        <v>40</v>
      </c>
      <c r="B34" s="10" t="str">
        <f>VLOOKUP(A34,[4]LISTADHERENT!A$5:H$50,3,0)</f>
        <v>SIMO PIERRE</v>
      </c>
      <c r="C34" s="13">
        <f>VLOOKUP(A34,[5]HISTOMARS25!$A$6:$BQ$45,56,0)</f>
        <v>0</v>
      </c>
      <c r="D34" s="13">
        <f>VLOOKUP(A34,[5]HISTOMARS25!$A$6:$BQ$45,57,0)</f>
        <v>0</v>
      </c>
      <c r="E34" s="13"/>
      <c r="F34" s="13"/>
      <c r="G34" s="14">
        <f t="shared" si="0"/>
        <v>0</v>
      </c>
    </row>
    <row r="35" spans="1:7" ht="17.5" x14ac:dyDescent="0.35">
      <c r="A35" s="9" t="s">
        <v>41</v>
      </c>
      <c r="B35" s="10" t="str">
        <f>VLOOKUP(A35,[4]LISTADHERENT!A$5:H$50,3,0)</f>
        <v>TCHOUAMOU MATHIEU</v>
      </c>
      <c r="C35" s="13">
        <f>VLOOKUP(A35,[5]HISTOMARS25!$A$6:$BQ$45,56,0)</f>
        <v>100000</v>
      </c>
      <c r="D35" s="13" t="str">
        <f>VLOOKUP(A35,[5]HISTOMARS25!$A$6:$BQ$45,57,0)</f>
        <v>OK</v>
      </c>
      <c r="E35" s="13"/>
      <c r="F35" s="13"/>
      <c r="G35" s="14">
        <f t="shared" si="0"/>
        <v>0</v>
      </c>
    </row>
    <row r="36" spans="1:7" ht="17.5" x14ac:dyDescent="0.35">
      <c r="A36" s="9" t="s">
        <v>42</v>
      </c>
      <c r="B36" s="10" t="str">
        <f>VLOOKUP(A36,[4]LISTADHERENT!A$5:H$50,3,0)</f>
        <v>TCHOUATEU AUGUSTIN</v>
      </c>
      <c r="C36" s="13">
        <f>VLOOKUP(A36,[5]HISTOMARS25!$A$6:$BQ$45,56,0)</f>
        <v>0</v>
      </c>
      <c r="D36" s="13">
        <f>VLOOKUP(A36,[5]HISTOMARS25!$A$6:$BQ$45,57,0)</f>
        <v>0</v>
      </c>
      <c r="E36" s="13"/>
      <c r="F36" s="13"/>
      <c r="G36" s="14">
        <f t="shared" si="0"/>
        <v>0</v>
      </c>
    </row>
    <row r="37" spans="1:7" s="3" customFormat="1" ht="17.5" x14ac:dyDescent="0.35">
      <c r="A37" s="9" t="s">
        <v>43</v>
      </c>
      <c r="B37" s="10" t="str">
        <f>VLOOKUP(A37,[4]LISTADHERENT!A$5:H$50,3,0)</f>
        <v>TCHOUTOU NANA CLAUDE</v>
      </c>
      <c r="C37" s="13">
        <f>VLOOKUP(A37,[5]HISTOMARS25!$A$6:$BQ$45,56,0)</f>
        <v>0</v>
      </c>
      <c r="D37" s="13">
        <f>VLOOKUP(A37,[5]HISTOMARS25!$A$6:$BQ$45,57,0)</f>
        <v>0</v>
      </c>
      <c r="E37" s="13"/>
      <c r="F37" s="13"/>
      <c r="G37" s="14">
        <f t="shared" si="0"/>
        <v>0</v>
      </c>
    </row>
    <row r="38" spans="1:7" ht="17.5" x14ac:dyDescent="0.35">
      <c r="A38" s="1" t="s">
        <v>52</v>
      </c>
      <c r="B38" s="10" t="str">
        <f>VLOOKUP(A38,[4]LISTADHERENT!A$5:H$50,3,0)</f>
        <v>TIEYAM ERNEST</v>
      </c>
      <c r="C38" s="13">
        <f>VLOOKUP(A38,[5]HISTOMARS25!$A$6:$BQ$45,56,0)</f>
        <v>0</v>
      </c>
      <c r="D38" s="13">
        <f>VLOOKUP(A38,[5]HISTOMARS25!$A$6:$BQ$45,57,0)</f>
        <v>0</v>
      </c>
      <c r="E38" s="13"/>
      <c r="F38" s="13"/>
      <c r="G38" s="14">
        <f t="shared" si="0"/>
        <v>0</v>
      </c>
    </row>
    <row r="39" spans="1:7" ht="17.5" x14ac:dyDescent="0.35">
      <c r="A39" s="9" t="s">
        <v>44</v>
      </c>
      <c r="B39" s="10" t="str">
        <f>VLOOKUP(A39,[4]LISTADHERENT!A$5:H$50,3,0)</f>
        <v>YANTCHOU GERVAIS</v>
      </c>
      <c r="C39" s="13">
        <f>VLOOKUP(A39,[5]HISTOMARS25!$A$6:$BQ$45,56,0)</f>
        <v>0</v>
      </c>
      <c r="D39" s="13">
        <f>VLOOKUP(A39,[5]HISTOMARS25!$A$6:$BQ$45,57,0)</f>
        <v>0</v>
      </c>
      <c r="E39" s="13"/>
      <c r="F39" s="13"/>
      <c r="G39" s="14">
        <f t="shared" si="0"/>
        <v>0</v>
      </c>
    </row>
    <row r="40" spans="1:7" ht="17.5" x14ac:dyDescent="0.35">
      <c r="A40" s="9" t="s">
        <v>45</v>
      </c>
      <c r="B40" s="10" t="str">
        <f>VLOOKUP(A40,[4]LISTADHERENT!A$5:H$50,3,0)</f>
        <v>YEPMOU JEAN JACQUES</v>
      </c>
      <c r="C40" s="13">
        <f>VLOOKUP(A40,[5]HISTOMARS25!$A$6:$BQ$45,56,0)</f>
        <v>0</v>
      </c>
      <c r="D40" s="13">
        <f>VLOOKUP(A40,[5]HISTOMARS25!$A$6:$BQ$45,57,0)</f>
        <v>0</v>
      </c>
      <c r="E40" s="13"/>
      <c r="F40" s="13"/>
      <c r="G40" s="14">
        <f t="shared" si="0"/>
        <v>0</v>
      </c>
    </row>
    <row r="41" spans="1:7" ht="17.5" x14ac:dyDescent="0.35">
      <c r="A41" s="9" t="s">
        <v>46</v>
      </c>
      <c r="B41" s="10" t="str">
        <f>VLOOKUP(A41,[4]LISTADHERENT!A$5:H$50,3,0)</f>
        <v>YIALA ALAIN OSCAR</v>
      </c>
      <c r="C41" s="13">
        <f>VLOOKUP(A41,[5]HISTOMARS25!$A$6:$BQ$45,56,0)</f>
        <v>0</v>
      </c>
      <c r="D41" s="13">
        <f>VLOOKUP(A41,[5]HISTOMARS25!$A$6:$BQ$45,57,0)</f>
        <v>0</v>
      </c>
      <c r="E41" s="13"/>
      <c r="F41" s="13"/>
      <c r="G41" s="14">
        <f t="shared" si="0"/>
        <v>0</v>
      </c>
    </row>
    <row r="42" spans="1:7" ht="17.5" x14ac:dyDescent="0.35">
      <c r="A42" s="9" t="s">
        <v>47</v>
      </c>
      <c r="B42" s="10" t="str">
        <f>VLOOKUP(A42,[4]LISTADHERENT!A$5:H$50,3,0)</f>
        <v>YOUMBI EMMANUEL</v>
      </c>
      <c r="C42" s="13">
        <f>VLOOKUP(A42,[5]HISTOMARS25!$A$6:$BQ$45,56,0)</f>
        <v>0</v>
      </c>
      <c r="D42" s="13">
        <f>VLOOKUP(A42,[5]HISTOMARS25!$A$6:$BQ$45,57,0)</f>
        <v>0</v>
      </c>
      <c r="E42" s="13"/>
      <c r="F42" s="13"/>
      <c r="G42" s="14">
        <f t="shared" si="0"/>
        <v>0</v>
      </c>
    </row>
    <row r="43" spans="1:7" ht="17.5" x14ac:dyDescent="0.35">
      <c r="A43" s="9"/>
      <c r="B43" s="10" t="s">
        <v>53</v>
      </c>
      <c r="C43" s="10"/>
      <c r="D43" s="10"/>
      <c r="E43" s="13"/>
      <c r="F43" s="13">
        <v>6776330</v>
      </c>
      <c r="G43" s="14"/>
    </row>
    <row r="44" spans="1:7" ht="24" thickBot="1" x14ac:dyDescent="0.6">
      <c r="A44" s="15"/>
      <c r="B44" s="16" t="s">
        <v>4</v>
      </c>
      <c r="C44" s="17">
        <f>SUM(C6:C43)</f>
        <v>5183125</v>
      </c>
      <c r="D44" s="17"/>
      <c r="E44" s="17">
        <f>SUM(E7:E43)</f>
        <v>0</v>
      </c>
      <c r="F44" s="17"/>
      <c r="G44" s="18">
        <f>SUM(G7:G43)</f>
        <v>0</v>
      </c>
    </row>
    <row r="45" spans="1:7" ht="15" thickTop="1" x14ac:dyDescent="0.35"/>
    <row r="46" spans="1:7" ht="26" x14ac:dyDescent="0.6">
      <c r="B46" s="5" t="s">
        <v>11</v>
      </c>
      <c r="C46" s="4">
        <f>C44-C5</f>
        <v>5183125</v>
      </c>
    </row>
    <row r="48" spans="1:7" x14ac:dyDescent="0.35">
      <c r="B48" s="1" t="s">
        <v>6</v>
      </c>
      <c r="C48" s="1"/>
      <c r="D48" s="1"/>
      <c r="E48" s="1"/>
      <c r="F48" s="1"/>
    </row>
    <row r="50" spans="2:2" x14ac:dyDescent="0.35">
      <c r="B50" t="s">
        <v>8</v>
      </c>
    </row>
    <row r="51" spans="2:2" x14ac:dyDescent="0.35">
      <c r="B51" t="s">
        <v>9</v>
      </c>
    </row>
    <row r="52" spans="2:2" x14ac:dyDescent="0.35">
      <c r="B52" t="s">
        <v>10</v>
      </c>
    </row>
  </sheetData>
  <autoFilter ref="A4:F42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83C46-6E2A-4E1B-AEA3-B4367939CF27}">
  <dimension ref="A1:G52"/>
  <sheetViews>
    <sheetView zoomScale="96" zoomScaleNormal="96" workbookViewId="0">
      <pane xSplit="2" ySplit="4" topLeftCell="C37" activePane="bottomRight" state="frozen"/>
      <selection pane="topRight" activeCell="C1" sqref="C1"/>
      <selection pane="bottomLeft" activeCell="A7" sqref="A7"/>
      <selection pane="bottomRight" activeCell="C6" sqref="C6:D42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4" width="21.1796875" customWidth="1"/>
    <col min="5" max="5" width="17" bestFit="1" customWidth="1"/>
    <col min="6" max="6" width="17" customWidth="1"/>
    <col min="7" max="7" width="12.453125" bestFit="1" customWidth="1"/>
  </cols>
  <sheetData>
    <row r="1" spans="1:7" x14ac:dyDescent="0.35">
      <c r="A1" s="1" t="s">
        <v>2</v>
      </c>
      <c r="B1" s="1" t="s">
        <v>48</v>
      </c>
      <c r="C1" s="1"/>
      <c r="D1" s="1"/>
      <c r="E1" s="1"/>
      <c r="F1" s="1"/>
    </row>
    <row r="2" spans="1:7" ht="15" thickBot="1" x14ac:dyDescent="0.4">
      <c r="A2" s="1" t="s">
        <v>3</v>
      </c>
      <c r="B2" s="1">
        <v>2025</v>
      </c>
      <c r="C2" s="1"/>
      <c r="D2" s="1"/>
      <c r="E2" s="1"/>
      <c r="F2" s="1"/>
    </row>
    <row r="3" spans="1:7" ht="68.25" customHeight="1" thickTop="1" x14ac:dyDescent="0.35">
      <c r="A3" s="6" t="s">
        <v>0</v>
      </c>
      <c r="B3" s="7" t="s">
        <v>1</v>
      </c>
      <c r="C3" s="7"/>
      <c r="D3" s="7"/>
      <c r="E3" s="7"/>
      <c r="F3" s="7"/>
      <c r="G3" s="8" t="s">
        <v>4</v>
      </c>
    </row>
    <row r="4" spans="1:7" ht="30" customHeight="1" x14ac:dyDescent="0.35">
      <c r="A4" s="9"/>
      <c r="B4" s="10"/>
      <c r="C4" s="10" t="s">
        <v>7</v>
      </c>
      <c r="D4" s="10" t="s">
        <v>5</v>
      </c>
      <c r="E4" s="11" t="s">
        <v>12</v>
      </c>
      <c r="F4" s="11" t="s">
        <v>13</v>
      </c>
      <c r="G4" s="12"/>
    </row>
    <row r="5" spans="1:7" ht="30" customHeight="1" x14ac:dyDescent="0.35">
      <c r="A5" s="9"/>
      <c r="B5" s="10" t="s">
        <v>14</v>
      </c>
      <c r="C5" s="13"/>
      <c r="D5" s="10"/>
      <c r="E5" s="13"/>
      <c r="F5" s="13"/>
      <c r="G5" s="12"/>
    </row>
    <row r="6" spans="1:7" ht="17.5" x14ac:dyDescent="0.35">
      <c r="A6" s="9" t="s">
        <v>15</v>
      </c>
      <c r="B6" s="10" t="str">
        <f>VLOOKUP(A6,[4]LISTADHERENT!A$5:H$50,3,0)</f>
        <v>ASELBY</v>
      </c>
      <c r="C6" s="13">
        <f>VLOOKUP(A6,[5]HISTOAVRIL25!$A$6:$BQ$45,56,0)</f>
        <v>406000</v>
      </c>
      <c r="D6" s="13" t="str">
        <f>VLOOKUP(A6,[5]HISTOAVRIL25!$A$6:$BQ$45,57,0)</f>
        <v>0K</v>
      </c>
      <c r="E6" s="13">
        <f>+[6]HISTOBQUEAVRIL25!$H$6</f>
        <v>2385</v>
      </c>
      <c r="F6" s="13"/>
      <c r="G6" s="14">
        <f t="shared" ref="G6:G42" si="0">SUM(E6:F6)</f>
        <v>2385</v>
      </c>
    </row>
    <row r="7" spans="1:7" ht="17.5" x14ac:dyDescent="0.35">
      <c r="A7" s="9" t="s">
        <v>16</v>
      </c>
      <c r="B7" s="10" t="str">
        <f>VLOOKUP(A7,[4]LISTADHERENT!A$5:H$50,3,0)</f>
        <v>BAKOP ACHILLE</v>
      </c>
      <c r="C7" s="13">
        <f>VLOOKUP(A7,[5]HISTOAVRIL25!$A$6:$BQ$45,56,0)</f>
        <v>0</v>
      </c>
      <c r="D7" s="13">
        <f>VLOOKUP(A7,[5]HISTOAVRIL25!$A$6:$BQ$45,57,0)</f>
        <v>0</v>
      </c>
      <c r="E7" s="13"/>
      <c r="F7" s="13"/>
      <c r="G7" s="14">
        <f t="shared" si="0"/>
        <v>0</v>
      </c>
    </row>
    <row r="8" spans="1:7" s="3" customFormat="1" ht="17.5" x14ac:dyDescent="0.35">
      <c r="A8" s="9" t="s">
        <v>17</v>
      </c>
      <c r="B8" s="10" t="str">
        <f>VLOOKUP(A8,[4]LISTADHERENT!A$5:H$50,3,0)</f>
        <v>BOUTCHOUANG WILLIAM</v>
      </c>
      <c r="C8" s="13">
        <f>VLOOKUP(A8,[5]HISTOAVRIL25!$A$6:$BQ$45,56,0)</f>
        <v>0</v>
      </c>
      <c r="D8" s="13">
        <f>VLOOKUP(A8,[5]HISTOAVRIL25!$A$6:$BQ$45,57,0)</f>
        <v>0</v>
      </c>
      <c r="E8" s="13"/>
      <c r="F8" s="13"/>
      <c r="G8" s="14">
        <f t="shared" si="0"/>
        <v>0</v>
      </c>
    </row>
    <row r="9" spans="1:7" s="3" customFormat="1" ht="17.5" x14ac:dyDescent="0.35">
      <c r="A9" s="9" t="s">
        <v>18</v>
      </c>
      <c r="B9" s="10" t="str">
        <f>VLOOKUP(A9,[4]LISTADHERENT!A$5:H$50,3,0)</f>
        <v xml:space="preserve">DJOMO JEAN PAUL </v>
      </c>
      <c r="C9" s="13">
        <f>VLOOKUP(A9,[5]HISTOAVRIL25!$A$6:$BQ$45,56,0)</f>
        <v>200000</v>
      </c>
      <c r="D9" s="13">
        <f>VLOOKUP(A9,[5]HISTOAVRIL25!$A$6:$BQ$45,57,0)</f>
        <v>0</v>
      </c>
      <c r="E9" s="13"/>
      <c r="F9" s="13"/>
      <c r="G9" s="14">
        <f t="shared" si="0"/>
        <v>0</v>
      </c>
    </row>
    <row r="10" spans="1:7" ht="17.5" x14ac:dyDescent="0.35">
      <c r="A10" s="9" t="s">
        <v>19</v>
      </c>
      <c r="B10" s="10" t="str">
        <f>VLOOKUP(A10,[4]LISTADHERENT!A$5:H$50,3,0)</f>
        <v>DJOMOU TCHAPDA</v>
      </c>
      <c r="C10" s="13">
        <f>VLOOKUP(A10,[5]HISTOAVRIL25!$A$6:$BQ$45,56,0)</f>
        <v>30000</v>
      </c>
      <c r="D10" s="13">
        <f>VLOOKUP(A10,[5]HISTOAVRIL25!$A$6:$BQ$45,57,0)</f>
        <v>0</v>
      </c>
      <c r="E10" s="13"/>
      <c r="F10" s="13"/>
      <c r="G10" s="14">
        <f t="shared" si="0"/>
        <v>0</v>
      </c>
    </row>
    <row r="11" spans="1:7" ht="17.5" x14ac:dyDescent="0.35">
      <c r="A11" s="9" t="s">
        <v>20</v>
      </c>
      <c r="B11" s="10" t="str">
        <f>VLOOKUP(A11,[4]LISTADHERENT!A$5:H$50,3,0)</f>
        <v>DJOUKWE NANGUEN GUY BLAISE</v>
      </c>
      <c r="C11" s="13">
        <f>VLOOKUP(A11,[5]HISTOAVRIL25!$A$6:$BQ$45,56,0)</f>
        <v>0</v>
      </c>
      <c r="D11" s="13">
        <f>VLOOKUP(A11,[5]HISTOAVRIL25!$A$6:$BQ$45,57,0)</f>
        <v>0</v>
      </c>
      <c r="E11" s="13"/>
      <c r="F11" s="13"/>
      <c r="G11" s="14">
        <f t="shared" si="0"/>
        <v>0</v>
      </c>
    </row>
    <row r="12" spans="1:7" ht="17.5" x14ac:dyDescent="0.35">
      <c r="A12" s="9" t="s">
        <v>21</v>
      </c>
      <c r="B12" s="10" t="str">
        <f>VLOOKUP(A12,[4]LISTADHERENT!A$5:H$50,3,0)</f>
        <v>DJUOMBESSY ANTOINE</v>
      </c>
      <c r="C12" s="13">
        <f>VLOOKUP(A12,[5]HISTOAVRIL25!$A$6:$BQ$45,56,0)</f>
        <v>0</v>
      </c>
      <c r="D12" s="13">
        <f>VLOOKUP(A12,[5]HISTOAVRIL25!$A$6:$BQ$45,57,0)</f>
        <v>0</v>
      </c>
      <c r="E12" s="13"/>
      <c r="F12" s="13"/>
      <c r="G12" s="14">
        <f t="shared" si="0"/>
        <v>0</v>
      </c>
    </row>
    <row r="13" spans="1:7" s="3" customFormat="1" ht="17.5" x14ac:dyDescent="0.35">
      <c r="A13" s="9" t="s">
        <v>22</v>
      </c>
      <c r="B13" s="10" t="str">
        <f>VLOOKUP(A13,[4]LISTADHERENT!A$5:H$50,3,0)</f>
        <v>DOMOU FABIEN</v>
      </c>
      <c r="C13" s="13">
        <f>VLOOKUP(A13,[5]HISTOAVRIL25!$A$6:$BQ$45,56,0)</f>
        <v>0</v>
      </c>
      <c r="D13" s="13">
        <f>VLOOKUP(A13,[5]HISTOAVRIL25!$A$6:$BQ$45,57,0)</f>
        <v>0</v>
      </c>
      <c r="E13" s="13"/>
      <c r="F13" s="13"/>
      <c r="G13" s="14">
        <f t="shared" si="0"/>
        <v>0</v>
      </c>
    </row>
    <row r="14" spans="1:7" ht="17.5" x14ac:dyDescent="0.35">
      <c r="A14" s="9" t="s">
        <v>23</v>
      </c>
      <c r="B14" s="10" t="str">
        <f>VLOOKUP(A14,[4]LISTADHERENT!A$5:H$50,3,0)</f>
        <v>DONHOU DAVID</v>
      </c>
      <c r="C14" s="13">
        <f>VLOOKUP(A14,[5]HISTOAVRIL25!$A$6:$BQ$45,56,0)</f>
        <v>0</v>
      </c>
      <c r="D14" s="13">
        <f>VLOOKUP(A14,[5]HISTOAVRIL25!$A$6:$BQ$45,57,0)</f>
        <v>0</v>
      </c>
      <c r="E14" s="13"/>
      <c r="F14" s="13"/>
      <c r="G14" s="14">
        <f t="shared" si="0"/>
        <v>0</v>
      </c>
    </row>
    <row r="15" spans="1:7" ht="17.5" x14ac:dyDescent="0.35">
      <c r="A15" s="9" t="s">
        <v>54</v>
      </c>
      <c r="B15" s="10" t="str">
        <f>VLOOKUP(A15,[4]LISTADHERENT!A$5:H$50,3,0)</f>
        <v>FAMPOU PAUL</v>
      </c>
      <c r="C15" s="13">
        <f>VLOOKUP(A15,[5]HISTOAVRIL25!$A$6:$BQ$45,56,0)</f>
        <v>0</v>
      </c>
      <c r="D15" s="13">
        <f>VLOOKUP(A15,[5]HISTOAVRIL25!$A$6:$BQ$45,57,0)</f>
        <v>0</v>
      </c>
      <c r="E15" s="13"/>
      <c r="F15" s="13"/>
      <c r="G15" s="14">
        <f t="shared" si="0"/>
        <v>0</v>
      </c>
    </row>
    <row r="16" spans="1:7" ht="17.5" x14ac:dyDescent="0.35">
      <c r="A16" s="9" t="s">
        <v>24</v>
      </c>
      <c r="B16" s="10" t="str">
        <f>VLOOKUP(A16,[4]LISTADHERENT!A$5:H$50,3,0)</f>
        <v>HENGUE PAUL OMER</v>
      </c>
      <c r="C16" s="13">
        <f>VLOOKUP(A16,[5]HISTOAVRIL25!$A$6:$BQ$45,56,0)</f>
        <v>0</v>
      </c>
      <c r="D16" s="13">
        <f>VLOOKUP(A16,[5]HISTOAVRIL25!$A$6:$BQ$45,57,0)</f>
        <v>0</v>
      </c>
      <c r="E16" s="13"/>
      <c r="F16" s="13"/>
      <c r="G16" s="14">
        <f t="shared" si="0"/>
        <v>0</v>
      </c>
    </row>
    <row r="17" spans="1:7" ht="17.5" x14ac:dyDescent="0.35">
      <c r="A17" s="9" t="s">
        <v>25</v>
      </c>
      <c r="B17" s="10" t="str">
        <f>VLOOKUP(A17,[4]LISTADHERENT!A$5:H$50,3,0)</f>
        <v>HOTCHO BENJAMIN</v>
      </c>
      <c r="C17" s="13">
        <f>VLOOKUP(A17,[5]HISTOAVRIL25!$A$6:$BQ$45,56,0)</f>
        <v>1320000</v>
      </c>
      <c r="D17" s="13" t="str">
        <f>VLOOKUP(A17,[5]HISTOAVRIL25!$A$6:$BQ$45,57,0)</f>
        <v>OK</v>
      </c>
      <c r="E17" s="13"/>
      <c r="F17" s="13"/>
      <c r="G17" s="14">
        <f t="shared" si="0"/>
        <v>0</v>
      </c>
    </row>
    <row r="18" spans="1:7" ht="17.5" x14ac:dyDescent="0.35">
      <c r="A18" s="9" t="s">
        <v>26</v>
      </c>
      <c r="B18" s="10" t="str">
        <f>VLOOKUP(A18,[4]LISTADHERENT!A$5:H$50,3,0)</f>
        <v>KOUAMOU MOISE</v>
      </c>
      <c r="C18" s="13">
        <f>VLOOKUP(A18,[5]HISTOAVRIL25!$A$6:$BQ$45,56,0)</f>
        <v>280000</v>
      </c>
      <c r="D18" s="13">
        <f>VLOOKUP(A18,[5]HISTOAVRIL25!$A$6:$BQ$45,57,0)</f>
        <v>0</v>
      </c>
      <c r="E18" s="13"/>
      <c r="F18" s="13"/>
      <c r="G18" s="14">
        <f t="shared" si="0"/>
        <v>0</v>
      </c>
    </row>
    <row r="19" spans="1:7" ht="17.5" x14ac:dyDescent="0.35">
      <c r="A19" s="9" t="s">
        <v>27</v>
      </c>
      <c r="B19" s="10" t="str">
        <f>VLOOKUP(A19,[4]LISTADHERENT!A$5:H$50,3,0)</f>
        <v>KOUATCHO MESSACK</v>
      </c>
      <c r="C19" s="13">
        <f>VLOOKUP(A19,[5]HISTOAVRIL25!$A$6:$BQ$45,56,0)</f>
        <v>992500</v>
      </c>
      <c r="D19" s="13" t="str">
        <f>VLOOKUP(A19,[5]HISTOAVRIL25!$A$6:$BQ$45,57,0)</f>
        <v>OK</v>
      </c>
      <c r="E19" s="13"/>
      <c r="F19" s="13"/>
      <c r="G19" s="14">
        <f t="shared" si="0"/>
        <v>0</v>
      </c>
    </row>
    <row r="20" spans="1:7" ht="17.5" x14ac:dyDescent="0.35">
      <c r="A20" s="9" t="s">
        <v>55</v>
      </c>
      <c r="B20" s="10" t="str">
        <f>VLOOKUP(A20,[4]LISTADHERENT!A$5:H$50,3,0)</f>
        <v>LOWE JEAN</v>
      </c>
      <c r="C20" s="13">
        <f>VLOOKUP(A20,[5]HISTOAVRIL25!$A$6:$BQ$45,56,0)</f>
        <v>0</v>
      </c>
      <c r="D20" s="13">
        <f>VLOOKUP(A20,[5]HISTOAVRIL25!$A$6:$BQ$45,57,0)</f>
        <v>0</v>
      </c>
      <c r="E20" s="13"/>
      <c r="F20" s="13"/>
      <c r="G20" s="14"/>
    </row>
    <row r="21" spans="1:7" ht="17.5" x14ac:dyDescent="0.35">
      <c r="A21" s="9" t="s">
        <v>28</v>
      </c>
      <c r="B21" s="10" t="str">
        <f>VLOOKUP(A21,[4]LISTADHERENT!A$5:H$50,3,0)</f>
        <v>MASSEUNGOUE DAGOBERT</v>
      </c>
      <c r="C21" s="13">
        <f>VLOOKUP(A21,[5]HISTOAVRIL25!$A$6:$BQ$45,56,0)</f>
        <v>291000</v>
      </c>
      <c r="D21" s="13" t="str">
        <f>VLOOKUP(A21,[5]HISTOAVRIL25!$A$6:$BQ$45,57,0)</f>
        <v>OK</v>
      </c>
      <c r="E21" s="13"/>
      <c r="F21" s="13"/>
      <c r="G21" s="14">
        <f t="shared" si="0"/>
        <v>0</v>
      </c>
    </row>
    <row r="22" spans="1:7" ht="17.5" x14ac:dyDescent="0.35">
      <c r="A22" s="9" t="s">
        <v>29</v>
      </c>
      <c r="B22" s="10" t="str">
        <f>VLOOKUP(A22,[4]LISTADHERENT!A$5:H$50,3,0)</f>
        <v>MBOGNING TUGMA GUY</v>
      </c>
      <c r="C22" s="13">
        <f>VLOOKUP(A22,[5]HISTOAVRIL25!$A$6:$BQ$45,56,0)</f>
        <v>300000</v>
      </c>
      <c r="D22" s="13" t="str">
        <f>VLOOKUP(A22,[5]HISTOAVRIL25!$A$6:$BQ$45,57,0)</f>
        <v>OK</v>
      </c>
      <c r="E22" s="13"/>
      <c r="F22" s="13"/>
      <c r="G22" s="14">
        <f t="shared" si="0"/>
        <v>0</v>
      </c>
    </row>
    <row r="23" spans="1:7" ht="17.5" x14ac:dyDescent="0.35">
      <c r="A23" s="9" t="s">
        <v>30</v>
      </c>
      <c r="B23" s="10" t="str">
        <f>VLOOKUP(A23,[4]LISTADHERENT!A$5:H$50,3,0)</f>
        <v>NANGUEN MARTIN</v>
      </c>
      <c r="C23" s="13">
        <f>VLOOKUP(A23,[5]HISTOAVRIL25!$A$6:$BQ$45,56,0)</f>
        <v>290000</v>
      </c>
      <c r="D23" s="13">
        <f>VLOOKUP(A23,[5]HISTOAVRIL25!$A$6:$BQ$45,57,0)</f>
        <v>0</v>
      </c>
      <c r="E23" s="13"/>
      <c r="F23" s="13"/>
      <c r="G23" s="14">
        <f t="shared" si="0"/>
        <v>0</v>
      </c>
    </row>
    <row r="24" spans="1:7" ht="17.5" x14ac:dyDescent="0.35">
      <c r="A24" s="9" t="s">
        <v>31</v>
      </c>
      <c r="B24" s="10" t="str">
        <f>VLOOKUP(A24,[4]LISTADHERENT!A$5:H$50,3,0)</f>
        <v>NANKAM APPOLINAIRE</v>
      </c>
      <c r="C24" s="13">
        <f>VLOOKUP(A24,[5]HISTOAVRIL25!$A$6:$BQ$45,56,0)</f>
        <v>0</v>
      </c>
      <c r="D24" s="13">
        <f>VLOOKUP(A24,[5]HISTOAVRIL25!$A$6:$BQ$45,57,0)</f>
        <v>0</v>
      </c>
      <c r="E24" s="13"/>
      <c r="F24" s="13"/>
      <c r="G24" s="14">
        <f t="shared" si="0"/>
        <v>0</v>
      </c>
    </row>
    <row r="25" spans="1:7" ht="17.5" x14ac:dyDescent="0.35">
      <c r="A25" s="9" t="s">
        <v>32</v>
      </c>
      <c r="B25" s="10" t="str">
        <f>VLOOKUP(A25,[4]LISTADHERENT!A$5:H$50,3,0)</f>
        <v>NDJOMO ETIENNE</v>
      </c>
      <c r="C25" s="13">
        <f>VLOOKUP(A25,[5]HISTOAVRIL25!$A$6:$BQ$45,56,0)</f>
        <v>193000</v>
      </c>
      <c r="D25" s="13" t="str">
        <f>VLOOKUP(A25,[5]HISTOAVRIL25!$A$6:$BQ$45,57,0)</f>
        <v>OK</v>
      </c>
      <c r="E25" s="13"/>
      <c r="F25" s="13"/>
      <c r="G25" s="14">
        <f t="shared" si="0"/>
        <v>0</v>
      </c>
    </row>
    <row r="26" spans="1:7" ht="17.5" x14ac:dyDescent="0.35">
      <c r="A26" s="9" t="s">
        <v>33</v>
      </c>
      <c r="B26" s="10" t="str">
        <f>VLOOKUP(A26,[4]LISTADHERENT!A$5:H$50,3,0)</f>
        <v>NGONDIEP CLAUDE</v>
      </c>
      <c r="C26" s="13">
        <f>VLOOKUP(A26,[5]HISTOAVRIL25!$A$6:$BQ$45,56,0)</f>
        <v>1439625</v>
      </c>
      <c r="D26" s="13" t="str">
        <f>VLOOKUP(A26,[5]HISTOAVRIL25!$A$6:$BQ$45,57,0)</f>
        <v>OK</v>
      </c>
      <c r="E26" s="13"/>
      <c r="F26" s="13"/>
      <c r="G26" s="14">
        <f t="shared" si="0"/>
        <v>0</v>
      </c>
    </row>
    <row r="27" spans="1:7" ht="17.5" x14ac:dyDescent="0.35">
      <c r="A27" s="9" t="s">
        <v>34</v>
      </c>
      <c r="B27" s="10" t="str">
        <f>VLOOKUP(A27,[4]LISTADHERENT!A$5:H$50,3,0)</f>
        <v>NGUIEMEGNI MATHIEU BLAISE</v>
      </c>
      <c r="C27" s="13">
        <f>VLOOKUP(A27,[5]HISTOAVRIL25!$A$6:$BQ$45,56,0)</f>
        <v>32000</v>
      </c>
      <c r="D27" s="13">
        <f>VLOOKUP(A27,[5]HISTOAVRIL25!$A$6:$BQ$45,57,0)</f>
        <v>0</v>
      </c>
      <c r="E27" s="13"/>
      <c r="F27" s="13"/>
      <c r="G27" s="14">
        <f t="shared" si="0"/>
        <v>0</v>
      </c>
    </row>
    <row r="28" spans="1:7" ht="17.5" x14ac:dyDescent="0.35">
      <c r="A28" s="9" t="s">
        <v>35</v>
      </c>
      <c r="B28" s="10" t="str">
        <f>VLOOKUP(A28,[4]LISTADHERENT!A$5:H$50,3,0)</f>
        <v>NKAMGANG JUSTIN DEJOLIE</v>
      </c>
      <c r="C28" s="13">
        <f>VLOOKUP(A28,[5]HISTOAVRIL25!$A$6:$BQ$45,56,0)</f>
        <v>0</v>
      </c>
      <c r="D28" s="13">
        <f>VLOOKUP(A28,[5]HISTOAVRIL25!$A$6:$BQ$45,57,0)</f>
        <v>0</v>
      </c>
      <c r="E28" s="13"/>
      <c r="F28" s="13"/>
      <c r="G28" s="14">
        <f t="shared" si="0"/>
        <v>0</v>
      </c>
    </row>
    <row r="29" spans="1:7" ht="17.5" x14ac:dyDescent="0.35">
      <c r="A29" s="9" t="s">
        <v>36</v>
      </c>
      <c r="B29" s="10" t="str">
        <f>VLOOKUP(A29,[4]LISTADHERENT!A$5:H$50,3,0)</f>
        <v>NOUBE ETIENNE</v>
      </c>
      <c r="C29" s="13">
        <f>VLOOKUP(A29,[5]HISTOAVRIL25!$A$6:$BQ$45,56,0)</f>
        <v>0</v>
      </c>
      <c r="D29" s="13">
        <f>VLOOKUP(A29,[5]HISTOAVRIL25!$A$6:$BQ$45,57,0)</f>
        <v>0</v>
      </c>
      <c r="E29" s="13"/>
      <c r="F29" s="13"/>
      <c r="G29" s="14">
        <f t="shared" si="0"/>
        <v>0</v>
      </c>
    </row>
    <row r="30" spans="1:7" ht="17.5" x14ac:dyDescent="0.35">
      <c r="A30" s="9" t="s">
        <v>37</v>
      </c>
      <c r="B30" s="10" t="str">
        <f>VLOOKUP(A30,[4]LISTADHERENT!A$5:H$50,3,0)</f>
        <v>PATEGO NJOSSU GUSTAVE</v>
      </c>
      <c r="C30" s="13">
        <f>VLOOKUP(A30,[5]HISTOAVRIL25!$A$6:$BQ$45,56,0)</f>
        <v>0</v>
      </c>
      <c r="D30" s="13">
        <f>VLOOKUP(A30,[5]HISTOAVRIL25!$A$6:$BQ$45,57,0)</f>
        <v>0</v>
      </c>
      <c r="E30" s="13"/>
      <c r="F30" s="13"/>
      <c r="G30" s="14">
        <f t="shared" si="0"/>
        <v>0</v>
      </c>
    </row>
    <row r="31" spans="1:7" ht="17.5" x14ac:dyDescent="0.35">
      <c r="A31" s="9" t="s">
        <v>38</v>
      </c>
      <c r="B31" s="10" t="str">
        <f>VLOOKUP(A31,[4]LISTADHERENT!A$5:H$50,3,0)</f>
        <v>SEUMO POLYCARPE</v>
      </c>
      <c r="C31" s="13">
        <f>VLOOKUP(A31,[5]HISTOAVRIL25!$A$6:$BQ$45,56,0)</f>
        <v>83000</v>
      </c>
      <c r="D31" s="13">
        <f>VLOOKUP(A31,[5]HISTOAVRIL25!$A$6:$BQ$45,57,0)</f>
        <v>0</v>
      </c>
      <c r="E31" s="13"/>
      <c r="F31" s="13"/>
      <c r="G31" s="14">
        <f t="shared" si="0"/>
        <v>0</v>
      </c>
    </row>
    <row r="32" spans="1:7" ht="17.5" x14ac:dyDescent="0.35">
      <c r="A32" s="9" t="s">
        <v>39</v>
      </c>
      <c r="B32" s="10" t="str">
        <f>VLOOKUP(A32,[4]LISTADHERENT!A$5:H$50,3,0)</f>
        <v>SIME BRICE</v>
      </c>
      <c r="C32" s="13">
        <f>VLOOKUP(A32,[5]HISTOAVRIL25!$A$6:$BQ$45,56,0)</f>
        <v>100000</v>
      </c>
      <c r="D32" s="13" t="str">
        <f>VLOOKUP(A32,[5]HISTOAVRIL25!$A$6:$BQ$45,57,0)</f>
        <v>0K</v>
      </c>
      <c r="E32" s="13"/>
      <c r="F32" s="13"/>
      <c r="G32" s="14">
        <f t="shared" si="0"/>
        <v>0</v>
      </c>
    </row>
    <row r="33" spans="1:7" ht="17.5" x14ac:dyDescent="0.35">
      <c r="A33" s="19" t="s">
        <v>51</v>
      </c>
      <c r="B33" s="10" t="str">
        <f>VLOOKUP(A33,[4]LISTADHERENT!A$5:H$50,3,0)</f>
        <v>SIMO FONGANG ERIC</v>
      </c>
      <c r="C33" s="13">
        <f>VLOOKUP(A33,[5]HISTOAVRIL25!$A$6:$BQ$45,56,0)</f>
        <v>0</v>
      </c>
      <c r="D33" s="13">
        <f>VLOOKUP(A33,[5]HISTOAVRIL25!$A$6:$BQ$45,57,0)</f>
        <v>0</v>
      </c>
      <c r="E33" s="13"/>
      <c r="F33" s="13"/>
      <c r="G33" s="14">
        <f t="shared" si="0"/>
        <v>0</v>
      </c>
    </row>
    <row r="34" spans="1:7" ht="17.5" x14ac:dyDescent="0.35">
      <c r="A34" s="9" t="s">
        <v>40</v>
      </c>
      <c r="B34" s="10" t="str">
        <f>VLOOKUP(A34,[4]LISTADHERENT!A$5:H$50,3,0)</f>
        <v>SIMO PIERRE</v>
      </c>
      <c r="C34" s="13">
        <f>VLOOKUP(A34,[5]HISTOAVRIL25!$A$6:$BQ$45,56,0)</f>
        <v>0</v>
      </c>
      <c r="D34" s="13">
        <f>VLOOKUP(A34,[5]HISTOAVRIL25!$A$6:$BQ$45,57,0)</f>
        <v>0</v>
      </c>
      <c r="E34" s="13"/>
      <c r="F34" s="13"/>
      <c r="G34" s="14">
        <f t="shared" si="0"/>
        <v>0</v>
      </c>
    </row>
    <row r="35" spans="1:7" ht="17.5" x14ac:dyDescent="0.35">
      <c r="A35" s="9" t="s">
        <v>41</v>
      </c>
      <c r="B35" s="10" t="str">
        <f>VLOOKUP(A35,[4]LISTADHERENT!A$5:H$50,3,0)</f>
        <v>TCHOUAMOU MATHIEU</v>
      </c>
      <c r="C35" s="13">
        <f>VLOOKUP(A35,[5]HISTOAVRIL25!$A$6:$BQ$45,56,0)</f>
        <v>50000</v>
      </c>
      <c r="D35" s="13" t="str">
        <f>VLOOKUP(A35,[5]HISTOAVRIL25!$A$6:$BQ$45,57,0)</f>
        <v>OK</v>
      </c>
      <c r="E35" s="13"/>
      <c r="F35" s="13"/>
      <c r="G35" s="14">
        <f t="shared" si="0"/>
        <v>0</v>
      </c>
    </row>
    <row r="36" spans="1:7" ht="17.5" x14ac:dyDescent="0.35">
      <c r="A36" s="9" t="s">
        <v>42</v>
      </c>
      <c r="B36" s="10" t="str">
        <f>VLOOKUP(A36,[4]LISTADHERENT!A$5:H$50,3,0)</f>
        <v>TCHOUATEU AUGUSTIN</v>
      </c>
      <c r="C36" s="13">
        <f>VLOOKUP(A36,[5]HISTOAVRIL25!$A$6:$BQ$45,56,0)</f>
        <v>100000</v>
      </c>
      <c r="D36" s="13" t="str">
        <f>VLOOKUP(A36,[5]HISTOAVRIL25!$A$6:$BQ$45,57,0)</f>
        <v>OK</v>
      </c>
      <c r="E36" s="13"/>
      <c r="F36" s="13"/>
      <c r="G36" s="14">
        <f t="shared" si="0"/>
        <v>0</v>
      </c>
    </row>
    <row r="37" spans="1:7" s="3" customFormat="1" ht="17.5" x14ac:dyDescent="0.35">
      <c r="A37" s="9" t="s">
        <v>43</v>
      </c>
      <c r="B37" s="10" t="str">
        <f>VLOOKUP(A37,[4]LISTADHERENT!A$5:H$50,3,0)</f>
        <v>TCHOUTOU NANA CLAUDE</v>
      </c>
      <c r="C37" s="13">
        <f>VLOOKUP(A37,[5]HISTOAVRIL25!$A$6:$BQ$45,56,0)</f>
        <v>0</v>
      </c>
      <c r="D37" s="13">
        <f>VLOOKUP(A37,[5]HISTOAVRIL25!$A$6:$BQ$45,57,0)</f>
        <v>0</v>
      </c>
      <c r="E37" s="13"/>
      <c r="F37" s="13"/>
      <c r="G37" s="14">
        <f t="shared" si="0"/>
        <v>0</v>
      </c>
    </row>
    <row r="38" spans="1:7" ht="17.5" x14ac:dyDescent="0.35">
      <c r="A38" s="1" t="s">
        <v>52</v>
      </c>
      <c r="B38" s="10" t="str">
        <f>VLOOKUP(A38,[4]LISTADHERENT!A$5:H$50,3,0)</f>
        <v>TIEYAM ERNEST</v>
      </c>
      <c r="C38" s="13">
        <f>VLOOKUP(A38,[5]HISTOAVRIL25!$A$6:$BQ$45,56,0)</f>
        <v>0</v>
      </c>
      <c r="D38" s="13">
        <f>VLOOKUP(A38,[5]HISTOAVRIL25!$A$6:$BQ$45,57,0)</f>
        <v>0</v>
      </c>
      <c r="E38" s="13"/>
      <c r="F38" s="13"/>
      <c r="G38" s="14">
        <f t="shared" si="0"/>
        <v>0</v>
      </c>
    </row>
    <row r="39" spans="1:7" ht="17.5" x14ac:dyDescent="0.35">
      <c r="A39" s="9" t="s">
        <v>44</v>
      </c>
      <c r="B39" s="10" t="str">
        <f>VLOOKUP(A39,[4]LISTADHERENT!A$5:H$50,3,0)</f>
        <v>YANTCHOU GERVAIS</v>
      </c>
      <c r="C39" s="13">
        <f>VLOOKUP(A39,[5]HISTOAVRIL25!$A$6:$BQ$45,56,0)</f>
        <v>360000</v>
      </c>
      <c r="D39" s="13" t="str">
        <f>VLOOKUP(A39,[5]HISTOAVRIL25!$A$6:$BQ$45,57,0)</f>
        <v>OK</v>
      </c>
      <c r="E39" s="13"/>
      <c r="F39" s="13"/>
      <c r="G39" s="14">
        <f t="shared" si="0"/>
        <v>0</v>
      </c>
    </row>
    <row r="40" spans="1:7" ht="17.5" x14ac:dyDescent="0.35">
      <c r="A40" s="9" t="s">
        <v>45</v>
      </c>
      <c r="B40" s="10" t="str">
        <f>VLOOKUP(A40,[4]LISTADHERENT!A$5:H$50,3,0)</f>
        <v>YEPMOU JEAN JACQUES</v>
      </c>
      <c r="C40" s="13">
        <f>VLOOKUP(A40,[5]HISTOAVRIL25!$A$6:$BQ$45,56,0)</f>
        <v>0</v>
      </c>
      <c r="D40" s="13">
        <f>VLOOKUP(A40,[5]HISTOAVRIL25!$A$6:$BQ$45,57,0)</f>
        <v>0</v>
      </c>
      <c r="E40" s="13"/>
      <c r="F40" s="13"/>
      <c r="G40" s="14">
        <f t="shared" si="0"/>
        <v>0</v>
      </c>
    </row>
    <row r="41" spans="1:7" ht="17.5" x14ac:dyDescent="0.35">
      <c r="A41" s="9" t="s">
        <v>46</v>
      </c>
      <c r="B41" s="10" t="str">
        <f>VLOOKUP(A41,[4]LISTADHERENT!A$5:H$50,3,0)</f>
        <v>YIALA ALAIN OSCAR</v>
      </c>
      <c r="C41" s="13">
        <f>VLOOKUP(A41,[5]HISTOAVRIL25!$A$6:$BQ$45,56,0)</f>
        <v>0</v>
      </c>
      <c r="D41" s="13">
        <f>VLOOKUP(A41,[5]HISTOAVRIL25!$A$6:$BQ$45,57,0)</f>
        <v>0</v>
      </c>
      <c r="E41" s="13"/>
      <c r="F41" s="13"/>
      <c r="G41" s="14">
        <f t="shared" si="0"/>
        <v>0</v>
      </c>
    </row>
    <row r="42" spans="1:7" ht="17.5" x14ac:dyDescent="0.35">
      <c r="A42" s="9" t="s">
        <v>47</v>
      </c>
      <c r="B42" s="10" t="str">
        <f>VLOOKUP(A42,[4]LISTADHERENT!A$5:H$50,3,0)</f>
        <v>YOUMBI EMMANUEL</v>
      </c>
      <c r="C42" s="13">
        <f>VLOOKUP(A42,[5]HISTOAVRIL25!$A$6:$BQ$45,56,0)</f>
        <v>0</v>
      </c>
      <c r="D42" s="13">
        <f>VLOOKUP(A42,[5]HISTOAVRIL25!$A$6:$BQ$45,57,0)</f>
        <v>0</v>
      </c>
      <c r="E42" s="13"/>
      <c r="F42" s="13"/>
      <c r="G42" s="14">
        <f t="shared" si="0"/>
        <v>0</v>
      </c>
    </row>
    <row r="43" spans="1:7" ht="17.5" x14ac:dyDescent="0.35">
      <c r="A43" s="9"/>
      <c r="B43" s="10" t="s">
        <v>53</v>
      </c>
      <c r="C43" s="10"/>
      <c r="D43" s="10"/>
      <c r="E43" s="13"/>
      <c r="F43" s="13"/>
      <c r="G43" s="14"/>
    </row>
    <row r="44" spans="1:7" ht="24" thickBot="1" x14ac:dyDescent="0.6">
      <c r="A44" s="15"/>
      <c r="B44" s="16" t="s">
        <v>4</v>
      </c>
      <c r="C44" s="17">
        <f>SUM(C6:C43)</f>
        <v>6467125</v>
      </c>
      <c r="D44" s="17"/>
      <c r="E44" s="17">
        <f>SUM(E7:E43)</f>
        <v>0</v>
      </c>
      <c r="F44" s="17"/>
      <c r="G44" s="18">
        <f>SUM(G7:G43)</f>
        <v>0</v>
      </c>
    </row>
    <row r="45" spans="1:7" ht="15" thickTop="1" x14ac:dyDescent="0.35"/>
    <row r="46" spans="1:7" ht="26" x14ac:dyDescent="0.6">
      <c r="B46" s="5" t="s">
        <v>11</v>
      </c>
      <c r="C46" s="4">
        <f>C44-C5</f>
        <v>6467125</v>
      </c>
    </row>
    <row r="48" spans="1:7" x14ac:dyDescent="0.35">
      <c r="B48" s="1" t="s">
        <v>6</v>
      </c>
      <c r="C48" s="1"/>
      <c r="D48" s="1"/>
      <c r="E48" s="1"/>
      <c r="F48" s="1"/>
    </row>
    <row r="50" spans="2:2" x14ac:dyDescent="0.35">
      <c r="B50" t="s">
        <v>8</v>
      </c>
    </row>
    <row r="51" spans="2:2" x14ac:dyDescent="0.35">
      <c r="B51" t="s">
        <v>9</v>
      </c>
    </row>
    <row r="52" spans="2:2" x14ac:dyDescent="0.35">
      <c r="B52" t="s">
        <v>10</v>
      </c>
    </row>
  </sheetData>
  <autoFilter ref="A4:F42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A796-6661-4A6A-8A30-0227854E9711}">
  <dimension ref="A1:G52"/>
  <sheetViews>
    <sheetView zoomScale="96" zoomScaleNormal="96" workbookViewId="0">
      <pane xSplit="2" ySplit="4" topLeftCell="C40" activePane="bottomRight" state="frozen"/>
      <selection activeCell="F44" sqref="F44"/>
      <selection pane="topRight" activeCell="F44" sqref="F44"/>
      <selection pane="bottomLeft" activeCell="F44" sqref="F44"/>
      <selection pane="bottomRight" activeCell="C6" sqref="C6:D42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4" width="21.1796875" customWidth="1"/>
    <col min="5" max="5" width="17" bestFit="1" customWidth="1"/>
    <col min="6" max="6" width="17" customWidth="1"/>
    <col min="7" max="7" width="12.453125" bestFit="1" customWidth="1"/>
  </cols>
  <sheetData>
    <row r="1" spans="1:7" x14ac:dyDescent="0.35">
      <c r="A1" s="1" t="s">
        <v>2</v>
      </c>
      <c r="B1" s="1" t="s">
        <v>48</v>
      </c>
      <c r="C1" s="1"/>
      <c r="D1" s="1"/>
      <c r="E1" s="1"/>
      <c r="F1" s="1"/>
    </row>
    <row r="2" spans="1:7" ht="15" thickBot="1" x14ac:dyDescent="0.4">
      <c r="A2" s="1" t="s">
        <v>3</v>
      </c>
      <c r="B2" s="1">
        <v>2025</v>
      </c>
      <c r="C2" s="1"/>
      <c r="D2" s="1"/>
      <c r="E2" s="1"/>
      <c r="F2" s="1"/>
    </row>
    <row r="3" spans="1:7" ht="68.25" customHeight="1" thickTop="1" x14ac:dyDescent="0.35">
      <c r="A3" s="6" t="s">
        <v>0</v>
      </c>
      <c r="B3" s="7" t="s">
        <v>1</v>
      </c>
      <c r="C3" s="7"/>
      <c r="D3" s="7"/>
      <c r="E3" s="7"/>
      <c r="F3" s="7"/>
      <c r="G3" s="8" t="s">
        <v>4</v>
      </c>
    </row>
    <row r="4" spans="1:7" ht="30" customHeight="1" x14ac:dyDescent="0.35">
      <c r="A4" s="9"/>
      <c r="B4" s="10"/>
      <c r="C4" s="10" t="s">
        <v>7</v>
      </c>
      <c r="D4" s="10" t="s">
        <v>5</v>
      </c>
      <c r="E4" s="11" t="s">
        <v>12</v>
      </c>
      <c r="F4" s="11" t="s">
        <v>13</v>
      </c>
      <c r="G4" s="12"/>
    </row>
    <row r="5" spans="1:7" ht="30" customHeight="1" x14ac:dyDescent="0.35">
      <c r="A5" s="9"/>
      <c r="B5" s="10" t="s">
        <v>14</v>
      </c>
      <c r="C5" s="13"/>
      <c r="D5" s="10"/>
      <c r="E5" s="13"/>
      <c r="F5" s="13"/>
      <c r="G5" s="12"/>
    </row>
    <row r="6" spans="1:7" ht="17.5" x14ac:dyDescent="0.35">
      <c r="A6" s="9" t="s">
        <v>15</v>
      </c>
      <c r="B6" s="10" t="str">
        <f>VLOOKUP(A6,[4]LISTADHERENT!A$5:H$50,3,0)</f>
        <v>ASELBY</v>
      </c>
      <c r="C6" s="13">
        <f>VLOOKUP(A6,[5]HISTOMAI25!$A$6:$BQ$45,56,0)</f>
        <v>6000</v>
      </c>
      <c r="D6" s="13">
        <f>VLOOKUP(A6,[5]HISTOMAI25!$A$6:$BQ$45,57,0)</f>
        <v>0</v>
      </c>
      <c r="E6" s="13">
        <f>+[6]HISTOBQUEMAI25!$H$6</f>
        <v>2385</v>
      </c>
      <c r="F6" s="13"/>
      <c r="G6" s="14">
        <f t="shared" ref="G6:G42" si="0">SUM(E6:F6)</f>
        <v>2385</v>
      </c>
    </row>
    <row r="7" spans="1:7" ht="17.5" x14ac:dyDescent="0.35">
      <c r="A7" s="9" t="s">
        <v>16</v>
      </c>
      <c r="B7" s="10" t="str">
        <f>VLOOKUP(A7,[4]LISTADHERENT!A$5:H$50,3,0)</f>
        <v>BAKOP ACHILLE</v>
      </c>
      <c r="C7" s="13">
        <f>VLOOKUP(A7,[5]HISTOMAI25!$A$6:$BQ$45,56,0)</f>
        <v>0</v>
      </c>
      <c r="D7" s="13">
        <f>VLOOKUP(A7,[5]HISTOMAI25!$A$6:$BQ$45,57,0)</f>
        <v>0</v>
      </c>
      <c r="E7" s="13"/>
      <c r="F7" s="13"/>
      <c r="G7" s="14">
        <f t="shared" si="0"/>
        <v>0</v>
      </c>
    </row>
    <row r="8" spans="1:7" s="3" customFormat="1" ht="17.5" x14ac:dyDescent="0.35">
      <c r="A8" s="9" t="s">
        <v>17</v>
      </c>
      <c r="B8" s="10" t="str">
        <f>VLOOKUP(A8,[4]LISTADHERENT!A$5:H$50,3,0)</f>
        <v>BOUTCHOUANG WILLIAM</v>
      </c>
      <c r="C8" s="13">
        <f>VLOOKUP(A8,[5]HISTOMAI25!$A$6:$BQ$45,56,0)</f>
        <v>0</v>
      </c>
      <c r="D8" s="13">
        <f>VLOOKUP(A8,[5]HISTOMAI25!$A$6:$BQ$45,57,0)</f>
        <v>0</v>
      </c>
      <c r="E8" s="13"/>
      <c r="F8" s="13"/>
      <c r="G8" s="14">
        <f t="shared" si="0"/>
        <v>0</v>
      </c>
    </row>
    <row r="9" spans="1:7" s="3" customFormat="1" ht="17.5" x14ac:dyDescent="0.35">
      <c r="A9" s="9" t="s">
        <v>18</v>
      </c>
      <c r="B9" s="10" t="str">
        <f>VLOOKUP(A9,[4]LISTADHERENT!A$5:H$50,3,0)</f>
        <v xml:space="preserve">DJOMO JEAN PAUL </v>
      </c>
      <c r="C9" s="13">
        <f>VLOOKUP(A9,[5]HISTOMAI25!$A$6:$BQ$45,56,0)</f>
        <v>100000</v>
      </c>
      <c r="D9" s="13">
        <f>VLOOKUP(A9,[5]HISTOMAI25!$A$6:$BQ$45,57,0)</f>
        <v>0</v>
      </c>
      <c r="E9" s="13"/>
      <c r="F9" s="13"/>
      <c r="G9" s="14">
        <f t="shared" si="0"/>
        <v>0</v>
      </c>
    </row>
    <row r="10" spans="1:7" ht="17.5" x14ac:dyDescent="0.35">
      <c r="A10" s="9" t="s">
        <v>19</v>
      </c>
      <c r="B10" s="10" t="str">
        <f>VLOOKUP(A10,[4]LISTADHERENT!A$5:H$50,3,0)</f>
        <v>DJOMOU TCHAPDA</v>
      </c>
      <c r="C10" s="13">
        <f>VLOOKUP(A10,[5]HISTOMAI25!$A$6:$BQ$45,56,0)</f>
        <v>30000</v>
      </c>
      <c r="D10" s="13">
        <f>VLOOKUP(A10,[5]HISTOMAI25!$A$6:$BQ$45,57,0)</f>
        <v>0</v>
      </c>
      <c r="E10" s="13"/>
      <c r="F10" s="13"/>
      <c r="G10" s="14">
        <f t="shared" si="0"/>
        <v>0</v>
      </c>
    </row>
    <row r="11" spans="1:7" ht="17.5" x14ac:dyDescent="0.35">
      <c r="A11" s="9" t="s">
        <v>20</v>
      </c>
      <c r="B11" s="10" t="str">
        <f>VLOOKUP(A11,[4]LISTADHERENT!A$5:H$50,3,0)</f>
        <v>DJOUKWE NANGUEN GUY BLAISE</v>
      </c>
      <c r="C11" s="13">
        <f>VLOOKUP(A11,[5]HISTOMAI25!$A$6:$BQ$45,56,0)</f>
        <v>100000</v>
      </c>
      <c r="D11" s="13">
        <f>VLOOKUP(A11,[5]HISTOMAI25!$A$6:$BQ$45,57,0)</f>
        <v>0</v>
      </c>
      <c r="E11" s="13"/>
      <c r="F11" s="13"/>
      <c r="G11" s="14">
        <f t="shared" si="0"/>
        <v>0</v>
      </c>
    </row>
    <row r="12" spans="1:7" ht="17.5" x14ac:dyDescent="0.35">
      <c r="A12" s="9" t="s">
        <v>21</v>
      </c>
      <c r="B12" s="10" t="str">
        <f>VLOOKUP(A12,[4]LISTADHERENT!A$5:H$50,3,0)</f>
        <v>DJUOMBESSY ANTOINE</v>
      </c>
      <c r="C12" s="13">
        <f>VLOOKUP(A12,[5]HISTOMAI25!$A$6:$BQ$45,56,0)</f>
        <v>53000</v>
      </c>
      <c r="D12" s="13">
        <f>VLOOKUP(A12,[5]HISTOMAI25!$A$6:$BQ$45,57,0)</f>
        <v>0</v>
      </c>
      <c r="E12" s="13"/>
      <c r="F12" s="13"/>
      <c r="G12" s="14">
        <f t="shared" si="0"/>
        <v>0</v>
      </c>
    </row>
    <row r="13" spans="1:7" s="3" customFormat="1" ht="17.5" x14ac:dyDescent="0.35">
      <c r="A13" s="9" t="s">
        <v>22</v>
      </c>
      <c r="B13" s="10" t="str">
        <f>VLOOKUP(A13,[4]LISTADHERENT!A$5:H$50,3,0)</f>
        <v>DOMOU FABIEN</v>
      </c>
      <c r="C13" s="13">
        <f>VLOOKUP(A13,[5]HISTOMAI25!$A$6:$BQ$45,56,0)</f>
        <v>294500</v>
      </c>
      <c r="D13" s="13">
        <f>VLOOKUP(A13,[5]HISTOMAI25!$A$6:$BQ$45,57,0)</f>
        <v>0</v>
      </c>
      <c r="E13" s="13"/>
      <c r="F13" s="13"/>
      <c r="G13" s="14">
        <f t="shared" si="0"/>
        <v>0</v>
      </c>
    </row>
    <row r="14" spans="1:7" ht="17.5" x14ac:dyDescent="0.35">
      <c r="A14" s="9" t="s">
        <v>23</v>
      </c>
      <c r="B14" s="10" t="str">
        <f>VLOOKUP(A14,[4]LISTADHERENT!A$5:H$50,3,0)</f>
        <v>DONHOU DAVID</v>
      </c>
      <c r="C14" s="13">
        <f>VLOOKUP(A14,[5]HISTOMAI25!$A$6:$BQ$45,56,0)</f>
        <v>0</v>
      </c>
      <c r="D14" s="13">
        <f>VLOOKUP(A14,[5]HISTOMAI25!$A$6:$BQ$45,57,0)</f>
        <v>0</v>
      </c>
      <c r="E14" s="13"/>
      <c r="F14" s="13"/>
      <c r="G14" s="14">
        <f t="shared" si="0"/>
        <v>0</v>
      </c>
    </row>
    <row r="15" spans="1:7" ht="17.5" x14ac:dyDescent="0.35">
      <c r="A15" s="9" t="s">
        <v>54</v>
      </c>
      <c r="B15" s="10" t="str">
        <f>VLOOKUP(A15,[4]LISTADHERENT!A$5:H$50,3,0)</f>
        <v>FAMPOU PAUL</v>
      </c>
      <c r="C15" s="13">
        <f>VLOOKUP(A15,[5]HISTOMAI25!$A$6:$BQ$45,56,0)</f>
        <v>0</v>
      </c>
      <c r="D15" s="13">
        <f>VLOOKUP(A15,[5]HISTOMAI25!$A$6:$BQ$45,57,0)</f>
        <v>0</v>
      </c>
      <c r="E15" s="13"/>
      <c r="F15" s="13"/>
      <c r="G15" s="14">
        <f t="shared" si="0"/>
        <v>0</v>
      </c>
    </row>
    <row r="16" spans="1:7" ht="17.5" x14ac:dyDescent="0.35">
      <c r="A16" s="9" t="s">
        <v>24</v>
      </c>
      <c r="B16" s="10" t="str">
        <f>VLOOKUP(A16,[4]LISTADHERENT!A$5:H$50,3,0)</f>
        <v>HENGUE PAUL OMER</v>
      </c>
      <c r="C16" s="13">
        <f>VLOOKUP(A16,[5]HISTOMAI25!$A$6:$BQ$45,56,0)</f>
        <v>0</v>
      </c>
      <c r="D16" s="13">
        <f>VLOOKUP(A16,[5]HISTOMAI25!$A$6:$BQ$45,57,0)</f>
        <v>0</v>
      </c>
      <c r="E16" s="13"/>
      <c r="F16" s="13"/>
      <c r="G16" s="14">
        <f t="shared" si="0"/>
        <v>0</v>
      </c>
    </row>
    <row r="17" spans="1:7" ht="17.5" x14ac:dyDescent="0.35">
      <c r="A17" s="9" t="s">
        <v>25</v>
      </c>
      <c r="B17" s="10" t="str">
        <f>VLOOKUP(A17,[4]LISTADHERENT!A$5:H$50,3,0)</f>
        <v>HOTCHO BENJAMIN</v>
      </c>
      <c r="C17" s="13">
        <f>VLOOKUP(A17,[5]HISTOMAI25!$A$6:$BQ$45,56,0)</f>
        <v>345500</v>
      </c>
      <c r="D17" s="13">
        <f>VLOOKUP(A17,[5]HISTOMAI25!$A$6:$BQ$45,57,0)</f>
        <v>0</v>
      </c>
      <c r="E17" s="13"/>
      <c r="F17" s="13"/>
      <c r="G17" s="14">
        <f t="shared" si="0"/>
        <v>0</v>
      </c>
    </row>
    <row r="18" spans="1:7" ht="17.5" x14ac:dyDescent="0.35">
      <c r="A18" s="9" t="s">
        <v>26</v>
      </c>
      <c r="B18" s="10" t="str">
        <f>VLOOKUP(A18,[4]LISTADHERENT!A$5:H$50,3,0)</f>
        <v>KOUAMOU MOISE</v>
      </c>
      <c r="C18" s="13">
        <f>VLOOKUP(A18,[5]HISTOMAI25!$A$6:$BQ$45,56,0)</f>
        <v>100000</v>
      </c>
      <c r="D18" s="13">
        <f>VLOOKUP(A18,[5]HISTOMAI25!$A$6:$BQ$45,57,0)</f>
        <v>0</v>
      </c>
      <c r="E18" s="13"/>
      <c r="F18" s="13"/>
      <c r="G18" s="14">
        <f t="shared" si="0"/>
        <v>0</v>
      </c>
    </row>
    <row r="19" spans="1:7" ht="17.5" x14ac:dyDescent="0.35">
      <c r="A19" s="9" t="s">
        <v>27</v>
      </c>
      <c r="B19" s="10" t="str">
        <f>VLOOKUP(A19,[4]LISTADHERENT!A$5:H$50,3,0)</f>
        <v>KOUATCHO MESSACK</v>
      </c>
      <c r="C19" s="13">
        <f>VLOOKUP(A19,[5]HISTOMAI25!$A$6:$BQ$45,56,0)</f>
        <v>100000</v>
      </c>
      <c r="D19" s="13">
        <f>VLOOKUP(A19,[5]HISTOMAI25!$A$6:$BQ$45,57,0)</f>
        <v>0</v>
      </c>
      <c r="E19" s="13"/>
      <c r="F19" s="13"/>
      <c r="G19" s="14">
        <f t="shared" si="0"/>
        <v>0</v>
      </c>
    </row>
    <row r="20" spans="1:7" ht="17.5" x14ac:dyDescent="0.35">
      <c r="A20" s="9" t="s">
        <v>55</v>
      </c>
      <c r="B20" s="10" t="str">
        <f>VLOOKUP(A20,[4]LISTADHERENT!A$5:H$50,3,0)</f>
        <v>LOWE JEAN</v>
      </c>
      <c r="C20" s="13">
        <f>VLOOKUP(A20,[5]HISTOMAI25!$A$6:$BQ$45,56,0)</f>
        <v>0</v>
      </c>
      <c r="D20" s="13">
        <f>VLOOKUP(A20,[5]HISTOMAI25!$A$6:$BQ$45,57,0)</f>
        <v>0</v>
      </c>
      <c r="E20" s="13"/>
      <c r="F20" s="13"/>
      <c r="G20" s="14"/>
    </row>
    <row r="21" spans="1:7" ht="17.5" x14ac:dyDescent="0.35">
      <c r="A21" s="9" t="s">
        <v>28</v>
      </c>
      <c r="B21" s="10" t="str">
        <f>VLOOKUP(A21,[4]LISTADHERENT!A$5:H$50,3,0)</f>
        <v>MASSEUNGOUE DAGOBERT</v>
      </c>
      <c r="C21" s="13">
        <f>VLOOKUP(A21,[5]HISTOMAI25!$A$6:$BQ$45,56,0)</f>
        <v>0</v>
      </c>
      <c r="D21" s="13">
        <f>VLOOKUP(A21,[5]HISTOMAI25!$A$6:$BQ$45,57,0)</f>
        <v>0</v>
      </c>
      <c r="E21" s="13"/>
      <c r="F21" s="13"/>
      <c r="G21" s="14">
        <f t="shared" si="0"/>
        <v>0</v>
      </c>
    </row>
    <row r="22" spans="1:7" ht="17.5" x14ac:dyDescent="0.35">
      <c r="A22" s="9" t="s">
        <v>29</v>
      </c>
      <c r="B22" s="10" t="str">
        <f>VLOOKUP(A22,[4]LISTADHERENT!A$5:H$50,3,0)</f>
        <v>MBOGNING TUGMA GUY</v>
      </c>
      <c r="C22" s="13">
        <f>VLOOKUP(A22,[5]HISTOMAI25!$A$6:$BQ$45,56,0)</f>
        <v>300000</v>
      </c>
      <c r="D22" s="13">
        <f>VLOOKUP(A22,[5]HISTOMAI25!$A$6:$BQ$45,57,0)</f>
        <v>0</v>
      </c>
      <c r="E22" s="13"/>
      <c r="F22" s="13"/>
      <c r="G22" s="14">
        <f t="shared" si="0"/>
        <v>0</v>
      </c>
    </row>
    <row r="23" spans="1:7" ht="17.5" x14ac:dyDescent="0.35">
      <c r="A23" s="9" t="s">
        <v>30</v>
      </c>
      <c r="B23" s="10" t="str">
        <f>VLOOKUP(A23,[4]LISTADHERENT!A$5:H$50,3,0)</f>
        <v>NANGUEN MARTIN</v>
      </c>
      <c r="C23" s="13">
        <f>VLOOKUP(A23,[5]HISTOMAI25!$A$6:$BQ$45,56,0)</f>
        <v>0</v>
      </c>
      <c r="D23" s="13">
        <f>VLOOKUP(A23,[5]HISTOMAI25!$A$6:$BQ$45,57,0)</f>
        <v>0</v>
      </c>
      <c r="E23" s="13"/>
      <c r="F23" s="13"/>
      <c r="G23" s="14">
        <f t="shared" si="0"/>
        <v>0</v>
      </c>
    </row>
    <row r="24" spans="1:7" ht="17.5" x14ac:dyDescent="0.35">
      <c r="A24" s="9" t="s">
        <v>31</v>
      </c>
      <c r="B24" s="10" t="str">
        <f>VLOOKUP(A24,[4]LISTADHERENT!A$5:H$50,3,0)</f>
        <v>NANKAM APPOLINAIRE</v>
      </c>
      <c r="C24" s="13">
        <f>VLOOKUP(A24,[5]HISTOMAI25!$A$6:$BQ$45,56,0)</f>
        <v>0</v>
      </c>
      <c r="D24" s="13">
        <f>VLOOKUP(A24,[5]HISTOMAI25!$A$6:$BQ$45,57,0)</f>
        <v>0</v>
      </c>
      <c r="E24" s="13"/>
      <c r="F24" s="13"/>
      <c r="G24" s="14">
        <f t="shared" si="0"/>
        <v>0</v>
      </c>
    </row>
    <row r="25" spans="1:7" ht="17.5" x14ac:dyDescent="0.35">
      <c r="A25" s="9" t="s">
        <v>32</v>
      </c>
      <c r="B25" s="10" t="str">
        <f>VLOOKUP(A25,[4]LISTADHERENT!A$5:H$50,3,0)</f>
        <v>NDJOMO ETIENNE</v>
      </c>
      <c r="C25" s="13">
        <f>VLOOKUP(A25,[5]HISTOMAI25!$A$6:$BQ$45,56,0)</f>
        <v>1390000</v>
      </c>
      <c r="D25" s="13">
        <f>VLOOKUP(A25,[5]HISTOMAI25!$A$6:$BQ$45,57,0)</f>
        <v>0</v>
      </c>
      <c r="E25" s="13"/>
      <c r="F25" s="13"/>
      <c r="G25" s="14">
        <f t="shared" si="0"/>
        <v>0</v>
      </c>
    </row>
    <row r="26" spans="1:7" ht="17.5" x14ac:dyDescent="0.35">
      <c r="A26" s="9" t="s">
        <v>33</v>
      </c>
      <c r="B26" s="10" t="str">
        <f>VLOOKUP(A26,[4]LISTADHERENT!A$5:H$50,3,0)</f>
        <v>NGONDIEP CLAUDE</v>
      </c>
      <c r="C26" s="13">
        <f>VLOOKUP(A26,[5]HISTOMAI25!$A$6:$BQ$45,56,0)</f>
        <v>249625</v>
      </c>
      <c r="D26" s="13">
        <f>VLOOKUP(A26,[5]HISTOMAI25!$A$6:$BQ$45,57,0)</f>
        <v>0</v>
      </c>
      <c r="E26" s="13"/>
      <c r="F26" s="13"/>
      <c r="G26" s="14">
        <f t="shared" si="0"/>
        <v>0</v>
      </c>
    </row>
    <row r="27" spans="1:7" ht="17.5" x14ac:dyDescent="0.35">
      <c r="A27" s="9" t="s">
        <v>34</v>
      </c>
      <c r="B27" s="10" t="str">
        <f>VLOOKUP(A27,[4]LISTADHERENT!A$5:H$50,3,0)</f>
        <v>NGUIEMEGNI MATHIEU BLAISE</v>
      </c>
      <c r="C27" s="13">
        <f>VLOOKUP(A27,[5]HISTOMAI25!$A$6:$BQ$45,56,0)</f>
        <v>300000</v>
      </c>
      <c r="D27" s="13">
        <f>VLOOKUP(A27,[5]HISTOMAI25!$A$6:$BQ$45,57,0)</f>
        <v>0</v>
      </c>
      <c r="E27" s="13"/>
      <c r="F27" s="13"/>
      <c r="G27" s="14">
        <f t="shared" si="0"/>
        <v>0</v>
      </c>
    </row>
    <row r="28" spans="1:7" ht="17.5" x14ac:dyDescent="0.35">
      <c r="A28" s="9" t="s">
        <v>35</v>
      </c>
      <c r="B28" s="10" t="str">
        <f>VLOOKUP(A28,[4]LISTADHERENT!A$5:H$50,3,0)</f>
        <v>NKAMGANG JUSTIN DEJOLIE</v>
      </c>
      <c r="C28" s="13">
        <f>VLOOKUP(A28,[5]HISTOMAI25!$A$6:$BQ$45,56,0)</f>
        <v>0</v>
      </c>
      <c r="D28" s="13">
        <f>VLOOKUP(A28,[5]HISTOMAI25!$A$6:$BQ$45,57,0)</f>
        <v>0</v>
      </c>
      <c r="E28" s="13"/>
      <c r="F28" s="13"/>
      <c r="G28" s="14">
        <f t="shared" si="0"/>
        <v>0</v>
      </c>
    </row>
    <row r="29" spans="1:7" ht="17.5" x14ac:dyDescent="0.35">
      <c r="A29" s="9" t="s">
        <v>36</v>
      </c>
      <c r="B29" s="10" t="str">
        <f>VLOOKUP(A29,[4]LISTADHERENT!A$5:H$50,3,0)</f>
        <v>NOUBE ETIENNE</v>
      </c>
      <c r="C29" s="13">
        <f>VLOOKUP(A29,[5]HISTOMAI25!$A$6:$BQ$45,56,0)</f>
        <v>0</v>
      </c>
      <c r="D29" s="13">
        <f>VLOOKUP(A29,[5]HISTOMAI25!$A$6:$BQ$45,57,0)</f>
        <v>0</v>
      </c>
      <c r="E29" s="13"/>
      <c r="F29" s="13"/>
      <c r="G29" s="14">
        <f t="shared" si="0"/>
        <v>0</v>
      </c>
    </row>
    <row r="30" spans="1:7" ht="17.5" x14ac:dyDescent="0.35">
      <c r="A30" s="9" t="s">
        <v>37</v>
      </c>
      <c r="B30" s="10" t="str">
        <f>VLOOKUP(A30,[4]LISTADHERENT!A$5:H$50,3,0)</f>
        <v>PATEGO NJOSSU GUSTAVE</v>
      </c>
      <c r="C30" s="13">
        <f>VLOOKUP(A30,[5]HISTOMAI25!$A$6:$BQ$45,56,0)</f>
        <v>892500</v>
      </c>
      <c r="D30" s="13">
        <f>VLOOKUP(A30,[5]HISTOMAI25!$A$6:$BQ$45,57,0)</f>
        <v>0</v>
      </c>
      <c r="E30" s="13"/>
      <c r="F30" s="13"/>
      <c r="G30" s="14">
        <f t="shared" si="0"/>
        <v>0</v>
      </c>
    </row>
    <row r="31" spans="1:7" ht="17.5" x14ac:dyDescent="0.35">
      <c r="A31" s="9" t="s">
        <v>38</v>
      </c>
      <c r="B31" s="10" t="str">
        <f>VLOOKUP(A31,[4]LISTADHERENT!A$5:H$50,3,0)</f>
        <v>SEUMO POLYCARPE</v>
      </c>
      <c r="C31" s="13">
        <f>VLOOKUP(A31,[5]HISTOMAI25!$A$6:$BQ$45,56,0)</f>
        <v>59000</v>
      </c>
      <c r="D31" s="13">
        <f>VLOOKUP(A31,[5]HISTOMAI25!$A$6:$BQ$45,57,0)</f>
        <v>0</v>
      </c>
      <c r="E31" s="13"/>
      <c r="F31" s="13"/>
      <c r="G31" s="14">
        <f t="shared" si="0"/>
        <v>0</v>
      </c>
    </row>
    <row r="32" spans="1:7" ht="17.5" x14ac:dyDescent="0.35">
      <c r="A32" s="9" t="s">
        <v>39</v>
      </c>
      <c r="B32" s="10" t="str">
        <f>VLOOKUP(A32,[4]LISTADHERENT!A$5:H$50,3,0)</f>
        <v>SIME BRICE</v>
      </c>
      <c r="C32" s="13">
        <f>VLOOKUP(A32,[5]HISTOMAI25!$A$6:$BQ$45,56,0)</f>
        <v>1479500</v>
      </c>
      <c r="D32" s="13">
        <f>VLOOKUP(A32,[5]HISTOMAI25!$A$6:$BQ$45,57,0)</f>
        <v>0</v>
      </c>
      <c r="E32" s="13"/>
      <c r="F32" s="13"/>
      <c r="G32" s="14">
        <f t="shared" si="0"/>
        <v>0</v>
      </c>
    </row>
    <row r="33" spans="1:7" ht="17.5" x14ac:dyDescent="0.35">
      <c r="A33" s="19" t="s">
        <v>51</v>
      </c>
      <c r="B33" s="10" t="str">
        <f>VLOOKUP(A33,[4]LISTADHERENT!A$5:H$50,3,0)</f>
        <v>SIMO FONGANG ERIC</v>
      </c>
      <c r="C33" s="13">
        <f>VLOOKUP(A33,[5]HISTOMAI25!$A$6:$BQ$45,56,0)</f>
        <v>0</v>
      </c>
      <c r="D33" s="13">
        <f>VLOOKUP(A33,[5]HISTOMAI25!$A$6:$BQ$45,57,0)</f>
        <v>0</v>
      </c>
      <c r="E33" s="13"/>
      <c r="F33" s="13"/>
      <c r="G33" s="14">
        <f t="shared" si="0"/>
        <v>0</v>
      </c>
    </row>
    <row r="34" spans="1:7" ht="17.5" x14ac:dyDescent="0.35">
      <c r="A34" s="9" t="s">
        <v>40</v>
      </c>
      <c r="B34" s="10" t="str">
        <f>VLOOKUP(A34,[4]LISTADHERENT!A$5:H$50,3,0)</f>
        <v>SIMO PIERRE</v>
      </c>
      <c r="C34" s="13">
        <f>VLOOKUP(A34,[5]HISTOMAI25!$A$6:$BQ$45,56,0)</f>
        <v>30000</v>
      </c>
      <c r="D34" s="13">
        <f>VLOOKUP(A34,[5]HISTOMAI25!$A$6:$BQ$45,57,0)</f>
        <v>0</v>
      </c>
      <c r="E34" s="13"/>
      <c r="F34" s="13"/>
      <c r="G34" s="14">
        <f t="shared" si="0"/>
        <v>0</v>
      </c>
    </row>
    <row r="35" spans="1:7" ht="17.5" x14ac:dyDescent="0.35">
      <c r="A35" s="9" t="s">
        <v>41</v>
      </c>
      <c r="B35" s="10" t="str">
        <f>VLOOKUP(A35,[4]LISTADHERENT!A$5:H$50,3,0)</f>
        <v>TCHOUAMOU MATHIEU</v>
      </c>
      <c r="C35" s="13">
        <f>VLOOKUP(A35,[5]HISTOMAI25!$A$6:$BQ$45,56,0)</f>
        <v>100000</v>
      </c>
      <c r="D35" s="13">
        <f>VLOOKUP(A35,[5]HISTOMAI25!$A$6:$BQ$45,57,0)</f>
        <v>0</v>
      </c>
      <c r="E35" s="13"/>
      <c r="F35" s="13"/>
      <c r="G35" s="14">
        <f t="shared" si="0"/>
        <v>0</v>
      </c>
    </row>
    <row r="36" spans="1:7" ht="17.5" x14ac:dyDescent="0.35">
      <c r="A36" s="9" t="s">
        <v>42</v>
      </c>
      <c r="B36" s="10" t="str">
        <f>VLOOKUP(A36,[4]LISTADHERENT!A$5:H$50,3,0)</f>
        <v>TCHOUATEU AUGUSTIN</v>
      </c>
      <c r="C36" s="13">
        <f>VLOOKUP(A36,[5]HISTOMAI25!$A$6:$BQ$45,56,0)</f>
        <v>0</v>
      </c>
      <c r="D36" s="13">
        <f>VLOOKUP(A36,[5]HISTOMAI25!$A$6:$BQ$45,57,0)</f>
        <v>0</v>
      </c>
      <c r="E36" s="13"/>
      <c r="F36" s="13"/>
      <c r="G36" s="14">
        <f t="shared" si="0"/>
        <v>0</v>
      </c>
    </row>
    <row r="37" spans="1:7" s="3" customFormat="1" ht="17.5" x14ac:dyDescent="0.35">
      <c r="A37" s="9" t="s">
        <v>43</v>
      </c>
      <c r="B37" s="10" t="str">
        <f>VLOOKUP(A37,[4]LISTADHERENT!A$5:H$50,3,0)</f>
        <v>TCHOUTOU NANA CLAUDE</v>
      </c>
      <c r="C37" s="13">
        <f>VLOOKUP(A37,[5]HISTOMAI25!$A$6:$BQ$45,56,0)</f>
        <v>0</v>
      </c>
      <c r="D37" s="13">
        <f>VLOOKUP(A37,[5]HISTOMAI25!$A$6:$BQ$45,57,0)</f>
        <v>0</v>
      </c>
      <c r="E37" s="13"/>
      <c r="F37" s="13"/>
      <c r="G37" s="14">
        <f t="shared" si="0"/>
        <v>0</v>
      </c>
    </row>
    <row r="38" spans="1:7" ht="17.5" x14ac:dyDescent="0.35">
      <c r="A38" s="1" t="s">
        <v>52</v>
      </c>
      <c r="B38" s="10" t="str">
        <f>VLOOKUP(A38,[4]LISTADHERENT!A$5:H$50,3,0)</f>
        <v>TIEYAM ERNEST</v>
      </c>
      <c r="C38" s="13">
        <f>VLOOKUP(A38,[5]HISTOMAI25!$A$6:$BQ$45,56,0)</f>
        <v>0</v>
      </c>
      <c r="D38" s="13">
        <f>VLOOKUP(A38,[5]HISTOMAI25!$A$6:$BQ$45,57,0)</f>
        <v>0</v>
      </c>
      <c r="E38" s="13"/>
      <c r="F38" s="13"/>
      <c r="G38" s="14">
        <f t="shared" si="0"/>
        <v>0</v>
      </c>
    </row>
    <row r="39" spans="1:7" ht="17.5" x14ac:dyDescent="0.35">
      <c r="A39" s="9" t="s">
        <v>44</v>
      </c>
      <c r="B39" s="10" t="str">
        <f>VLOOKUP(A39,[4]LISTADHERENT!A$5:H$50,3,0)</f>
        <v>YANTCHOU GERVAIS</v>
      </c>
      <c r="C39" s="13">
        <f>VLOOKUP(A39,[5]HISTOMAI25!$A$6:$BQ$45,56,0)</f>
        <v>100000</v>
      </c>
      <c r="D39" s="13">
        <f>VLOOKUP(A39,[5]HISTOMAI25!$A$6:$BQ$45,57,0)</f>
        <v>0</v>
      </c>
      <c r="E39" s="13"/>
      <c r="F39" s="13"/>
      <c r="G39" s="14">
        <f t="shared" si="0"/>
        <v>0</v>
      </c>
    </row>
    <row r="40" spans="1:7" ht="17.5" x14ac:dyDescent="0.35">
      <c r="A40" s="9" t="s">
        <v>45</v>
      </c>
      <c r="B40" s="10" t="str">
        <f>VLOOKUP(A40,[4]LISTADHERENT!A$5:H$50,3,0)</f>
        <v>YEPMOU JEAN JACQUES</v>
      </c>
      <c r="C40" s="13">
        <f>VLOOKUP(A40,[5]HISTOMAI25!$A$6:$BQ$45,56,0)</f>
        <v>0</v>
      </c>
      <c r="D40" s="13">
        <f>VLOOKUP(A40,[5]HISTOMAI25!$A$6:$BQ$45,57,0)</f>
        <v>0</v>
      </c>
      <c r="E40" s="13"/>
      <c r="F40" s="13"/>
      <c r="G40" s="14">
        <f t="shared" si="0"/>
        <v>0</v>
      </c>
    </row>
    <row r="41" spans="1:7" ht="17.5" x14ac:dyDescent="0.35">
      <c r="A41" s="9" t="s">
        <v>46</v>
      </c>
      <c r="B41" s="10" t="str">
        <f>VLOOKUP(A41,[4]LISTADHERENT!A$5:H$50,3,0)</f>
        <v>YIALA ALAIN OSCAR</v>
      </c>
      <c r="C41" s="13">
        <f>VLOOKUP(A41,[5]HISTOMAI25!$A$6:$BQ$45,56,0)</f>
        <v>0</v>
      </c>
      <c r="D41" s="13">
        <f>VLOOKUP(A41,[5]HISTOMAI25!$A$6:$BQ$45,57,0)</f>
        <v>0</v>
      </c>
      <c r="E41" s="13"/>
      <c r="F41" s="13"/>
      <c r="G41" s="14">
        <f t="shared" si="0"/>
        <v>0</v>
      </c>
    </row>
    <row r="42" spans="1:7" ht="17.5" x14ac:dyDescent="0.35">
      <c r="A42" s="9" t="s">
        <v>47</v>
      </c>
      <c r="B42" s="10" t="str">
        <f>VLOOKUP(A42,[4]LISTADHERENT!A$5:H$50,3,0)</f>
        <v>YOUMBI EMMANUEL</v>
      </c>
      <c r="C42" s="13">
        <f>VLOOKUP(A42,[5]HISTOMAI25!$A$6:$BQ$45,56,0)</f>
        <v>0</v>
      </c>
      <c r="D42" s="13">
        <f>VLOOKUP(A42,[5]HISTOMAI25!$A$6:$BQ$45,57,0)</f>
        <v>0</v>
      </c>
      <c r="E42" s="13"/>
      <c r="F42" s="13"/>
      <c r="G42" s="14">
        <f t="shared" si="0"/>
        <v>0</v>
      </c>
    </row>
    <row r="43" spans="1:7" ht="17.5" x14ac:dyDescent="0.35">
      <c r="A43" s="9"/>
      <c r="B43" s="10" t="s">
        <v>53</v>
      </c>
      <c r="C43" s="10"/>
      <c r="D43" s="10"/>
      <c r="E43" s="13"/>
      <c r="F43" s="13">
        <v>6401935</v>
      </c>
      <c r="G43" s="14"/>
    </row>
    <row r="44" spans="1:7" ht="24" thickBot="1" x14ac:dyDescent="0.6">
      <c r="A44" s="15"/>
      <c r="B44" s="16" t="s">
        <v>4</v>
      </c>
      <c r="C44" s="17">
        <f>SUM(C6:C43)</f>
        <v>6029625</v>
      </c>
      <c r="D44" s="17"/>
      <c r="E44" s="17">
        <f>SUM(E7:E43)</f>
        <v>0</v>
      </c>
      <c r="F44" s="17"/>
      <c r="G44" s="18">
        <f>SUM(G7:G43)</f>
        <v>0</v>
      </c>
    </row>
    <row r="45" spans="1:7" ht="15" thickTop="1" x14ac:dyDescent="0.35"/>
    <row r="46" spans="1:7" ht="26" x14ac:dyDescent="0.6">
      <c r="B46" s="5" t="s">
        <v>11</v>
      </c>
      <c r="C46" s="4">
        <f>C44-C5</f>
        <v>6029625</v>
      </c>
    </row>
    <row r="48" spans="1:7" x14ac:dyDescent="0.35">
      <c r="B48" s="1" t="s">
        <v>6</v>
      </c>
      <c r="C48" s="1"/>
      <c r="D48" s="1"/>
      <c r="E48" s="1"/>
      <c r="F48" s="1"/>
    </row>
    <row r="50" spans="2:2" x14ac:dyDescent="0.35">
      <c r="B50" t="s">
        <v>8</v>
      </c>
    </row>
    <row r="51" spans="2:2" x14ac:dyDescent="0.35">
      <c r="B51" t="s">
        <v>9</v>
      </c>
    </row>
    <row r="52" spans="2:2" x14ac:dyDescent="0.35">
      <c r="B52" t="s">
        <v>10</v>
      </c>
    </row>
  </sheetData>
  <autoFilter ref="A4:F42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ABBB8-1E00-4DEF-B3B5-4897F5517C24}">
  <dimension ref="A1:G52"/>
  <sheetViews>
    <sheetView zoomScale="96" zoomScaleNormal="96" workbookViewId="0">
      <pane xSplit="2" ySplit="4" topLeftCell="C37" activePane="bottomRight" state="frozen"/>
      <selection activeCell="F44" sqref="F44"/>
      <selection pane="topRight" activeCell="F44" sqref="F44"/>
      <selection pane="bottomLeft" activeCell="F44" sqref="F44"/>
      <selection pane="bottomRight" activeCell="C6" sqref="C6:D42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4" width="21.1796875" customWidth="1"/>
    <col min="5" max="5" width="17" bestFit="1" customWidth="1"/>
    <col min="6" max="6" width="17" customWidth="1"/>
    <col min="7" max="7" width="12.453125" bestFit="1" customWidth="1"/>
  </cols>
  <sheetData>
    <row r="1" spans="1:7" x14ac:dyDescent="0.35">
      <c r="A1" s="1" t="s">
        <v>2</v>
      </c>
      <c r="B1" s="1" t="s">
        <v>48</v>
      </c>
      <c r="C1" s="1"/>
      <c r="D1" s="1"/>
      <c r="E1" s="1"/>
      <c r="F1" s="1"/>
    </row>
    <row r="2" spans="1:7" ht="15" thickBot="1" x14ac:dyDescent="0.4">
      <c r="A2" s="1" t="s">
        <v>3</v>
      </c>
      <c r="B2" s="1">
        <v>2025</v>
      </c>
      <c r="C2" s="1"/>
      <c r="D2" s="1"/>
      <c r="E2" s="1"/>
      <c r="F2" s="1"/>
    </row>
    <row r="3" spans="1:7" ht="68.25" customHeight="1" thickTop="1" x14ac:dyDescent="0.35">
      <c r="A3" s="6" t="s">
        <v>0</v>
      </c>
      <c r="B3" s="7" t="s">
        <v>1</v>
      </c>
      <c r="C3" s="7"/>
      <c r="D3" s="7"/>
      <c r="E3" s="7"/>
      <c r="F3" s="7"/>
      <c r="G3" s="8" t="s">
        <v>4</v>
      </c>
    </row>
    <row r="4" spans="1:7" ht="30" customHeight="1" x14ac:dyDescent="0.35">
      <c r="A4" s="9"/>
      <c r="B4" s="10"/>
      <c r="C4" s="10" t="s">
        <v>7</v>
      </c>
      <c r="D4" s="10" t="s">
        <v>5</v>
      </c>
      <c r="E4" s="11" t="s">
        <v>12</v>
      </c>
      <c r="F4" s="11" t="s">
        <v>13</v>
      </c>
      <c r="G4" s="12"/>
    </row>
    <row r="5" spans="1:7" ht="30" customHeight="1" x14ac:dyDescent="0.35">
      <c r="A5" s="9"/>
      <c r="B5" s="10" t="s">
        <v>14</v>
      </c>
      <c r="C5" s="13"/>
      <c r="D5" s="10"/>
      <c r="E5" s="13"/>
      <c r="F5" s="13"/>
      <c r="G5" s="12"/>
    </row>
    <row r="6" spans="1:7" ht="17.5" x14ac:dyDescent="0.35">
      <c r="A6" s="9" t="s">
        <v>15</v>
      </c>
      <c r="B6" s="10" t="str">
        <f>VLOOKUP(A6,[4]LISTADHERENT!A$5:H$50,3,0)</f>
        <v>ASELBY</v>
      </c>
      <c r="C6" s="13">
        <f>VLOOKUP(A6,[5]HISTOJUIN25!$A$6:$BQ$45,56,0)</f>
        <v>2088500</v>
      </c>
      <c r="D6" s="13">
        <f>VLOOKUP(A6,[5]HISTOJUIN25!$A$6:$BQ$45,57,0)</f>
        <v>0</v>
      </c>
      <c r="E6" s="13">
        <f>+[6]HISTOBQUEJUIN25!$H$6</f>
        <v>2385</v>
      </c>
      <c r="F6" s="13"/>
      <c r="G6" s="14">
        <f t="shared" ref="G6:G42" si="0">SUM(E6:F6)</f>
        <v>2385</v>
      </c>
    </row>
    <row r="7" spans="1:7" ht="17.5" x14ac:dyDescent="0.35">
      <c r="A7" s="9" t="s">
        <v>16</v>
      </c>
      <c r="B7" s="10" t="str">
        <f>VLOOKUP(A7,[4]LISTADHERENT!A$5:H$50,3,0)</f>
        <v>BAKOP ACHILLE</v>
      </c>
      <c r="C7" s="13">
        <f>VLOOKUP(A7,[5]HISTOJUIN25!$A$6:$BQ$45,56,0)</f>
        <v>0</v>
      </c>
      <c r="D7" s="13">
        <f>VLOOKUP(A7,[5]HISTOJUIN25!$A$6:$BQ$45,57,0)</f>
        <v>0</v>
      </c>
      <c r="E7" s="13"/>
      <c r="F7" s="13"/>
      <c r="G7" s="14">
        <f t="shared" si="0"/>
        <v>0</v>
      </c>
    </row>
    <row r="8" spans="1:7" s="3" customFormat="1" ht="17.5" x14ac:dyDescent="0.35">
      <c r="A8" s="9" t="s">
        <v>17</v>
      </c>
      <c r="B8" s="10" t="str">
        <f>VLOOKUP(A8,[4]LISTADHERENT!A$5:H$50,3,0)</f>
        <v>BOUTCHOUANG WILLIAM</v>
      </c>
      <c r="C8" s="13">
        <f>VLOOKUP(A8,[5]HISTOJUIN25!$A$6:$BQ$45,56,0)</f>
        <v>485000</v>
      </c>
      <c r="D8" s="13">
        <f>VLOOKUP(A8,[5]HISTOJUIN25!$A$6:$BQ$45,57,0)</f>
        <v>0</v>
      </c>
      <c r="E8" s="13"/>
      <c r="F8" s="13"/>
      <c r="G8" s="14">
        <f t="shared" si="0"/>
        <v>0</v>
      </c>
    </row>
    <row r="9" spans="1:7" s="3" customFormat="1" ht="17.5" x14ac:dyDescent="0.35">
      <c r="A9" s="9" t="s">
        <v>18</v>
      </c>
      <c r="B9" s="10" t="str">
        <f>VLOOKUP(A9,[4]LISTADHERENT!A$5:H$50,3,0)</f>
        <v xml:space="preserve">DJOMO JEAN PAUL </v>
      </c>
      <c r="C9" s="13">
        <f>VLOOKUP(A9,[5]HISTOJUIN25!$A$6:$BQ$45,56,0)</f>
        <v>0</v>
      </c>
      <c r="D9" s="13">
        <f>VLOOKUP(A9,[5]HISTOJUIN25!$A$6:$BQ$45,57,0)</f>
        <v>0</v>
      </c>
      <c r="E9" s="13"/>
      <c r="F9" s="13"/>
      <c r="G9" s="14">
        <f t="shared" si="0"/>
        <v>0</v>
      </c>
    </row>
    <row r="10" spans="1:7" ht="17.5" x14ac:dyDescent="0.35">
      <c r="A10" s="9" t="s">
        <v>19</v>
      </c>
      <c r="B10" s="10" t="str">
        <f>VLOOKUP(A10,[4]LISTADHERENT!A$5:H$50,3,0)</f>
        <v>DJOMOU TCHAPDA</v>
      </c>
      <c r="C10" s="13">
        <f>VLOOKUP(A10,[5]HISTOJUIN25!$A$6:$BQ$45,56,0)</f>
        <v>0</v>
      </c>
      <c r="D10" s="13">
        <f>VLOOKUP(A10,[5]HISTOJUIN25!$A$6:$BQ$45,57,0)</f>
        <v>0</v>
      </c>
      <c r="E10" s="13"/>
      <c r="F10" s="13"/>
      <c r="G10" s="14">
        <f t="shared" si="0"/>
        <v>0</v>
      </c>
    </row>
    <row r="11" spans="1:7" ht="17.5" x14ac:dyDescent="0.35">
      <c r="A11" s="9" t="s">
        <v>20</v>
      </c>
      <c r="B11" s="10" t="str">
        <f>VLOOKUP(A11,[4]LISTADHERENT!A$5:H$50,3,0)</f>
        <v>DJOUKWE NANGUEN GUY BLAISE</v>
      </c>
      <c r="C11" s="13">
        <f>VLOOKUP(A11,[5]HISTOJUIN25!$A$6:$BQ$45,56,0)</f>
        <v>0</v>
      </c>
      <c r="D11" s="13">
        <f>VLOOKUP(A11,[5]HISTOJUIN25!$A$6:$BQ$45,57,0)</f>
        <v>0</v>
      </c>
      <c r="E11" s="13"/>
      <c r="F11" s="13"/>
      <c r="G11" s="14">
        <f t="shared" si="0"/>
        <v>0</v>
      </c>
    </row>
    <row r="12" spans="1:7" ht="17.5" x14ac:dyDescent="0.35">
      <c r="A12" s="9" t="s">
        <v>21</v>
      </c>
      <c r="B12" s="10" t="str">
        <f>VLOOKUP(A12,[4]LISTADHERENT!A$5:H$50,3,0)</f>
        <v>DJUOMBESSY ANTOINE</v>
      </c>
      <c r="C12" s="13">
        <f>VLOOKUP(A12,[5]HISTOJUIN25!$A$6:$BQ$45,56,0)</f>
        <v>100000</v>
      </c>
      <c r="D12" s="13">
        <f>VLOOKUP(A12,[5]HISTOJUIN25!$A$6:$BQ$45,57,0)</f>
        <v>0</v>
      </c>
      <c r="E12" s="13"/>
      <c r="F12" s="13"/>
      <c r="G12" s="14">
        <f t="shared" si="0"/>
        <v>0</v>
      </c>
    </row>
    <row r="13" spans="1:7" s="3" customFormat="1" ht="17.5" x14ac:dyDescent="0.35">
      <c r="A13" s="9" t="s">
        <v>22</v>
      </c>
      <c r="B13" s="10" t="str">
        <f>VLOOKUP(A13,[4]LISTADHERENT!A$5:H$50,3,0)</f>
        <v>DOMOU FABIEN</v>
      </c>
      <c r="C13" s="13">
        <f>VLOOKUP(A13,[5]HISTOJUIN25!$A$6:$BQ$45,56,0)</f>
        <v>0</v>
      </c>
      <c r="D13" s="13">
        <f>VLOOKUP(A13,[5]HISTOJUIN25!$A$6:$BQ$45,57,0)</f>
        <v>0</v>
      </c>
      <c r="E13" s="13"/>
      <c r="F13" s="13"/>
      <c r="G13" s="14">
        <f t="shared" si="0"/>
        <v>0</v>
      </c>
    </row>
    <row r="14" spans="1:7" ht="17.5" x14ac:dyDescent="0.35">
      <c r="A14" s="9" t="s">
        <v>23</v>
      </c>
      <c r="B14" s="10" t="str">
        <f>VLOOKUP(A14,[4]LISTADHERENT!A$5:H$50,3,0)</f>
        <v>DONHOU DAVID</v>
      </c>
      <c r="C14" s="13">
        <f>VLOOKUP(A14,[5]HISTOJUIN25!$A$6:$BQ$45,56,0)</f>
        <v>0</v>
      </c>
      <c r="D14" s="13">
        <f>VLOOKUP(A14,[5]HISTOJUIN25!$A$6:$BQ$45,57,0)</f>
        <v>0</v>
      </c>
      <c r="E14" s="13"/>
      <c r="F14" s="13"/>
      <c r="G14" s="14">
        <f t="shared" si="0"/>
        <v>0</v>
      </c>
    </row>
    <row r="15" spans="1:7" ht="17.5" x14ac:dyDescent="0.35">
      <c r="A15" s="9" t="s">
        <v>54</v>
      </c>
      <c r="B15" s="10" t="str">
        <f>VLOOKUP(A15,[4]LISTADHERENT!A$5:H$50,3,0)</f>
        <v>FAMPOU PAUL</v>
      </c>
      <c r="C15" s="13">
        <f>VLOOKUP(A15,[5]HISTOJUIN25!$A$6:$BQ$45,56,0)</f>
        <v>0</v>
      </c>
      <c r="D15" s="13">
        <f>VLOOKUP(A15,[5]HISTOJUIN25!$A$6:$BQ$45,57,0)</f>
        <v>0</v>
      </c>
      <c r="E15" s="13"/>
      <c r="F15" s="13"/>
      <c r="G15" s="14">
        <f t="shared" si="0"/>
        <v>0</v>
      </c>
    </row>
    <row r="16" spans="1:7" ht="17.5" x14ac:dyDescent="0.35">
      <c r="A16" s="9" t="s">
        <v>24</v>
      </c>
      <c r="B16" s="10" t="str">
        <f>VLOOKUP(A16,[4]LISTADHERENT!A$5:H$50,3,0)</f>
        <v>HENGUE PAUL OMER</v>
      </c>
      <c r="C16" s="13">
        <f>VLOOKUP(A16,[5]HISTOJUIN25!$A$6:$BQ$45,56,0)</f>
        <v>0</v>
      </c>
      <c r="D16" s="13">
        <f>VLOOKUP(A16,[5]HISTOJUIN25!$A$6:$BQ$45,57,0)</f>
        <v>0</v>
      </c>
      <c r="E16" s="13"/>
      <c r="F16" s="13"/>
      <c r="G16" s="14">
        <f t="shared" si="0"/>
        <v>0</v>
      </c>
    </row>
    <row r="17" spans="1:7" ht="17.5" x14ac:dyDescent="0.35">
      <c r="A17" s="9" t="s">
        <v>25</v>
      </c>
      <c r="B17" s="10" t="str">
        <f>VLOOKUP(A17,[4]LISTADHERENT!A$5:H$50,3,0)</f>
        <v>HOTCHO BENJAMIN</v>
      </c>
      <c r="C17" s="13">
        <f>VLOOKUP(A17,[5]HISTOJUIN25!$A$6:$BQ$45,56,0)</f>
        <v>75000</v>
      </c>
      <c r="D17" s="13">
        <f>VLOOKUP(A17,[5]HISTOJUIN25!$A$6:$BQ$45,57,0)</f>
        <v>0</v>
      </c>
      <c r="E17" s="13"/>
      <c r="F17" s="13"/>
      <c r="G17" s="14">
        <f t="shared" si="0"/>
        <v>0</v>
      </c>
    </row>
    <row r="18" spans="1:7" ht="17.5" x14ac:dyDescent="0.35">
      <c r="A18" s="9" t="s">
        <v>26</v>
      </c>
      <c r="B18" s="10" t="str">
        <f>VLOOKUP(A18,[4]LISTADHERENT!A$5:H$50,3,0)</f>
        <v>KOUAMOU MOISE</v>
      </c>
      <c r="C18" s="13">
        <f>VLOOKUP(A18,[5]HISTOJUIN25!$A$6:$BQ$45,56,0)</f>
        <v>102000</v>
      </c>
      <c r="D18" s="13">
        <f>VLOOKUP(A18,[5]HISTOJUIN25!$A$6:$BQ$45,57,0)</f>
        <v>0</v>
      </c>
      <c r="E18" s="13"/>
      <c r="F18" s="13"/>
      <c r="G18" s="14">
        <f t="shared" si="0"/>
        <v>0</v>
      </c>
    </row>
    <row r="19" spans="1:7" ht="17.5" x14ac:dyDescent="0.35">
      <c r="A19" s="9" t="s">
        <v>27</v>
      </c>
      <c r="B19" s="10" t="str">
        <f>VLOOKUP(A19,[4]LISTADHERENT!A$5:H$50,3,0)</f>
        <v>KOUATCHO MESSACK</v>
      </c>
      <c r="C19" s="13">
        <f>VLOOKUP(A19,[5]HISTOJUIN25!$A$6:$BQ$45,56,0)</f>
        <v>-1000</v>
      </c>
      <c r="D19" s="13">
        <f>VLOOKUP(A19,[5]HISTOJUIN25!$A$6:$BQ$45,57,0)</f>
        <v>0</v>
      </c>
      <c r="E19" s="13"/>
      <c r="F19" s="13"/>
      <c r="G19" s="14">
        <f t="shared" si="0"/>
        <v>0</v>
      </c>
    </row>
    <row r="20" spans="1:7" ht="17.5" x14ac:dyDescent="0.35">
      <c r="A20" s="9" t="s">
        <v>55</v>
      </c>
      <c r="B20" s="10" t="str">
        <f>VLOOKUP(A20,[4]LISTADHERENT!A$5:H$50,3,0)</f>
        <v>LOWE JEAN</v>
      </c>
      <c r="C20" s="13">
        <f>VLOOKUP(A20,[5]HISTOJUIN25!$A$6:$BQ$45,56,0)</f>
        <v>0</v>
      </c>
      <c r="D20" s="13">
        <f>VLOOKUP(A20,[5]HISTOJUIN25!$A$6:$BQ$45,57,0)</f>
        <v>0</v>
      </c>
      <c r="E20" s="13"/>
      <c r="F20" s="13"/>
      <c r="G20" s="14"/>
    </row>
    <row r="21" spans="1:7" ht="17.5" x14ac:dyDescent="0.35">
      <c r="A21" s="9" t="s">
        <v>28</v>
      </c>
      <c r="B21" s="10" t="str">
        <f>VLOOKUP(A21,[4]LISTADHERENT!A$5:H$50,3,0)</f>
        <v>MASSEUNGOUE DAGOBERT</v>
      </c>
      <c r="C21" s="13">
        <f>VLOOKUP(A21,[5]HISTOJUIN25!$A$6:$BQ$45,56,0)</f>
        <v>0</v>
      </c>
      <c r="D21" s="13">
        <f>VLOOKUP(A21,[5]HISTOJUIN25!$A$6:$BQ$45,57,0)</f>
        <v>0</v>
      </c>
      <c r="E21" s="13"/>
      <c r="F21" s="13"/>
      <c r="G21" s="14">
        <f t="shared" si="0"/>
        <v>0</v>
      </c>
    </row>
    <row r="22" spans="1:7" ht="17.5" x14ac:dyDescent="0.35">
      <c r="A22" s="9" t="s">
        <v>29</v>
      </c>
      <c r="B22" s="10" t="str">
        <f>VLOOKUP(A22,[4]LISTADHERENT!A$5:H$50,3,0)</f>
        <v>MBOGNING TUGMA GUY</v>
      </c>
      <c r="C22" s="13">
        <f>VLOOKUP(A22,[5]HISTOJUIN25!$A$6:$BQ$45,56,0)</f>
        <v>1170000</v>
      </c>
      <c r="D22" s="13">
        <f>VLOOKUP(A22,[5]HISTOJUIN25!$A$6:$BQ$45,57,0)</f>
        <v>0</v>
      </c>
      <c r="E22" s="13"/>
      <c r="F22" s="13"/>
      <c r="G22" s="14">
        <f t="shared" si="0"/>
        <v>0</v>
      </c>
    </row>
    <row r="23" spans="1:7" ht="17.5" x14ac:dyDescent="0.35">
      <c r="A23" s="9" t="s">
        <v>30</v>
      </c>
      <c r="B23" s="10" t="str">
        <f>VLOOKUP(A23,[4]LISTADHERENT!A$5:H$50,3,0)</f>
        <v>NANGUEN MARTIN</v>
      </c>
      <c r="C23" s="13">
        <f>VLOOKUP(A23,[5]HISTOJUIN25!$A$6:$BQ$45,56,0)</f>
        <v>0</v>
      </c>
      <c r="D23" s="13">
        <f>VLOOKUP(A23,[5]HISTOJUIN25!$A$6:$BQ$45,57,0)</f>
        <v>0</v>
      </c>
      <c r="E23" s="13"/>
      <c r="F23" s="13"/>
      <c r="G23" s="14">
        <f t="shared" si="0"/>
        <v>0</v>
      </c>
    </row>
    <row r="24" spans="1:7" ht="17.5" x14ac:dyDescent="0.35">
      <c r="A24" s="9" t="s">
        <v>31</v>
      </c>
      <c r="B24" s="10" t="str">
        <f>VLOOKUP(A24,[4]LISTADHERENT!A$5:H$50,3,0)</f>
        <v>NANKAM APPOLINAIRE</v>
      </c>
      <c r="C24" s="13">
        <f>VLOOKUP(A24,[5]HISTOJUIN25!$A$6:$BQ$45,56,0)</f>
        <v>0</v>
      </c>
      <c r="D24" s="13">
        <f>VLOOKUP(A24,[5]HISTOJUIN25!$A$6:$BQ$45,57,0)</f>
        <v>0</v>
      </c>
      <c r="E24" s="13"/>
      <c r="F24" s="13"/>
      <c r="G24" s="14">
        <f t="shared" si="0"/>
        <v>0</v>
      </c>
    </row>
    <row r="25" spans="1:7" ht="17.5" x14ac:dyDescent="0.35">
      <c r="A25" s="9" t="s">
        <v>32</v>
      </c>
      <c r="B25" s="10" t="str">
        <f>VLOOKUP(A25,[4]LISTADHERENT!A$5:H$50,3,0)</f>
        <v>NDJOMO ETIENNE</v>
      </c>
      <c r="C25" s="13">
        <f>VLOOKUP(A25,[5]HISTOJUIN25!$A$6:$BQ$45,56,0)</f>
        <v>200000</v>
      </c>
      <c r="D25" s="13">
        <f>VLOOKUP(A25,[5]HISTOJUIN25!$A$6:$BQ$45,57,0)</f>
        <v>0</v>
      </c>
      <c r="E25" s="13"/>
      <c r="F25" s="13"/>
      <c r="G25" s="14">
        <f t="shared" si="0"/>
        <v>0</v>
      </c>
    </row>
    <row r="26" spans="1:7" ht="17.5" x14ac:dyDescent="0.35">
      <c r="A26" s="9" t="s">
        <v>33</v>
      </c>
      <c r="B26" s="10" t="str">
        <f>VLOOKUP(A26,[4]LISTADHERENT!A$5:H$50,3,0)</f>
        <v>NGONDIEP CLAUDE</v>
      </c>
      <c r="C26" s="13">
        <f>VLOOKUP(A26,[5]HISTOJUIN25!$A$6:$BQ$45,56,0)</f>
        <v>253625</v>
      </c>
      <c r="D26" s="13">
        <f>VLOOKUP(A26,[5]HISTOJUIN25!$A$6:$BQ$45,57,0)</f>
        <v>0</v>
      </c>
      <c r="E26" s="13"/>
      <c r="F26" s="13"/>
      <c r="G26" s="14">
        <f t="shared" si="0"/>
        <v>0</v>
      </c>
    </row>
    <row r="27" spans="1:7" ht="17.5" x14ac:dyDescent="0.35">
      <c r="A27" s="9" t="s">
        <v>34</v>
      </c>
      <c r="B27" s="10" t="str">
        <f>VLOOKUP(A27,[4]LISTADHERENT!A$5:H$50,3,0)</f>
        <v>NGUIEMEGNI MATHIEU BLAISE</v>
      </c>
      <c r="C27" s="13">
        <f>VLOOKUP(A27,[5]HISTOJUIN25!$A$6:$BQ$45,56,0)</f>
        <v>100000</v>
      </c>
      <c r="D27" s="13">
        <f>VLOOKUP(A27,[5]HISTOJUIN25!$A$6:$BQ$45,57,0)</f>
        <v>0</v>
      </c>
      <c r="E27" s="13"/>
      <c r="F27" s="13"/>
      <c r="G27" s="14">
        <f t="shared" si="0"/>
        <v>0</v>
      </c>
    </row>
    <row r="28" spans="1:7" ht="17.5" x14ac:dyDescent="0.35">
      <c r="A28" s="9" t="s">
        <v>35</v>
      </c>
      <c r="B28" s="10" t="str">
        <f>VLOOKUP(A28,[4]LISTADHERENT!A$5:H$50,3,0)</f>
        <v>NKAMGANG JUSTIN DEJOLIE</v>
      </c>
      <c r="C28" s="13">
        <f>VLOOKUP(A28,[5]HISTOJUIN25!$A$6:$BQ$45,56,0)</f>
        <v>970000</v>
      </c>
      <c r="D28" s="13">
        <f>VLOOKUP(A28,[5]HISTOJUIN25!$A$6:$BQ$45,57,0)</f>
        <v>0</v>
      </c>
      <c r="E28" s="13"/>
      <c r="F28" s="13"/>
      <c r="G28" s="14">
        <f t="shared" si="0"/>
        <v>0</v>
      </c>
    </row>
    <row r="29" spans="1:7" ht="17.5" x14ac:dyDescent="0.35">
      <c r="A29" s="9" t="s">
        <v>36</v>
      </c>
      <c r="B29" s="10" t="str">
        <f>VLOOKUP(A29,[4]LISTADHERENT!A$5:H$50,3,0)</f>
        <v>NOUBE ETIENNE</v>
      </c>
      <c r="C29" s="13">
        <f>VLOOKUP(A29,[5]HISTOJUIN25!$A$6:$BQ$45,56,0)</f>
        <v>0</v>
      </c>
      <c r="D29" s="13">
        <f>VLOOKUP(A29,[5]HISTOJUIN25!$A$6:$BQ$45,57,0)</f>
        <v>0</v>
      </c>
      <c r="E29" s="13"/>
      <c r="F29" s="13"/>
      <c r="G29" s="14">
        <f t="shared" si="0"/>
        <v>0</v>
      </c>
    </row>
    <row r="30" spans="1:7" ht="17.5" x14ac:dyDescent="0.35">
      <c r="A30" s="9" t="s">
        <v>37</v>
      </c>
      <c r="B30" s="10" t="str">
        <f>VLOOKUP(A30,[4]LISTADHERENT!A$5:H$50,3,0)</f>
        <v>PATEGO NJOSSU GUSTAVE</v>
      </c>
      <c r="C30" s="13">
        <f>VLOOKUP(A30,[5]HISTOJUIN25!$A$6:$BQ$45,56,0)</f>
        <v>0</v>
      </c>
      <c r="D30" s="13">
        <f>VLOOKUP(A30,[5]HISTOJUIN25!$A$6:$BQ$45,57,0)</f>
        <v>0</v>
      </c>
      <c r="E30" s="13"/>
      <c r="F30" s="13"/>
      <c r="G30" s="14">
        <f t="shared" si="0"/>
        <v>0</v>
      </c>
    </row>
    <row r="31" spans="1:7" ht="17.5" x14ac:dyDescent="0.35">
      <c r="A31" s="9" t="s">
        <v>38</v>
      </c>
      <c r="B31" s="10" t="str">
        <f>VLOOKUP(A31,[4]LISTADHERENT!A$5:H$50,3,0)</f>
        <v>SEUMO POLYCARPE</v>
      </c>
      <c r="C31" s="13">
        <f>VLOOKUP(A31,[5]HISTOJUIN25!$A$6:$BQ$45,56,0)</f>
        <v>59000</v>
      </c>
      <c r="D31" s="13">
        <f>VLOOKUP(A31,[5]HISTOJUIN25!$A$6:$BQ$45,57,0)</f>
        <v>0</v>
      </c>
      <c r="E31" s="13"/>
      <c r="F31" s="13"/>
      <c r="G31" s="14">
        <f t="shared" si="0"/>
        <v>0</v>
      </c>
    </row>
    <row r="32" spans="1:7" ht="17.5" x14ac:dyDescent="0.35">
      <c r="A32" s="9" t="s">
        <v>39</v>
      </c>
      <c r="B32" s="10" t="str">
        <f>VLOOKUP(A32,[4]LISTADHERENT!A$5:H$50,3,0)</f>
        <v>SIME BRICE</v>
      </c>
      <c r="C32" s="13">
        <f>VLOOKUP(A32,[5]HISTOJUIN25!$A$6:$BQ$45,56,0)</f>
        <v>970000</v>
      </c>
      <c r="D32" s="13">
        <f>VLOOKUP(A32,[5]HISTOJUIN25!$A$6:$BQ$45,57,0)</f>
        <v>0</v>
      </c>
      <c r="E32" s="13"/>
      <c r="F32" s="13"/>
      <c r="G32" s="14">
        <f t="shared" si="0"/>
        <v>0</v>
      </c>
    </row>
    <row r="33" spans="1:7" ht="17.5" x14ac:dyDescent="0.35">
      <c r="A33" s="19" t="s">
        <v>51</v>
      </c>
      <c r="B33" s="10" t="str">
        <f>VLOOKUP(A33,[4]LISTADHERENT!A$5:H$50,3,0)</f>
        <v>SIMO FONGANG ERIC</v>
      </c>
      <c r="C33" s="13">
        <f>VLOOKUP(A33,[5]HISTOJUIN25!$A$6:$BQ$45,56,0)</f>
        <v>0</v>
      </c>
      <c r="D33" s="13">
        <f>VLOOKUP(A33,[5]HISTOJUIN25!$A$6:$BQ$45,57,0)</f>
        <v>0</v>
      </c>
      <c r="E33" s="13"/>
      <c r="F33" s="13"/>
      <c r="G33" s="14">
        <f t="shared" si="0"/>
        <v>0</v>
      </c>
    </row>
    <row r="34" spans="1:7" ht="17.5" x14ac:dyDescent="0.35">
      <c r="A34" s="9" t="s">
        <v>40</v>
      </c>
      <c r="B34" s="10" t="str">
        <f>VLOOKUP(A34,[4]LISTADHERENT!A$5:H$50,3,0)</f>
        <v>SIMO PIERRE</v>
      </c>
      <c r="C34" s="13">
        <f>VLOOKUP(A34,[5]HISTOJUIN25!$A$6:$BQ$45,56,0)</f>
        <v>296500</v>
      </c>
      <c r="D34" s="13">
        <f>VLOOKUP(A34,[5]HISTOJUIN25!$A$6:$BQ$45,57,0)</f>
        <v>0</v>
      </c>
      <c r="E34" s="13"/>
      <c r="F34" s="13"/>
      <c r="G34" s="14">
        <f t="shared" si="0"/>
        <v>0</v>
      </c>
    </row>
    <row r="35" spans="1:7" ht="17.5" x14ac:dyDescent="0.35">
      <c r="A35" s="9" t="s">
        <v>41</v>
      </c>
      <c r="B35" s="10" t="str">
        <f>VLOOKUP(A35,[4]LISTADHERENT!A$5:H$50,3,0)</f>
        <v>TCHOUAMOU MATHIEU</v>
      </c>
      <c r="C35" s="13">
        <f>VLOOKUP(A35,[5]HISTOJUIN25!$A$6:$BQ$45,56,0)</f>
        <v>297500</v>
      </c>
      <c r="D35" s="13">
        <f>VLOOKUP(A35,[5]HISTOJUIN25!$A$6:$BQ$45,57,0)</f>
        <v>0</v>
      </c>
      <c r="E35" s="13"/>
      <c r="F35" s="13"/>
      <c r="G35" s="14">
        <f t="shared" si="0"/>
        <v>0</v>
      </c>
    </row>
    <row r="36" spans="1:7" ht="17.5" x14ac:dyDescent="0.35">
      <c r="A36" s="9" t="s">
        <v>42</v>
      </c>
      <c r="B36" s="10" t="str">
        <f>VLOOKUP(A36,[4]LISTADHERENT!A$5:H$50,3,0)</f>
        <v>TCHOUATEU AUGUSTIN</v>
      </c>
      <c r="C36" s="13">
        <f>VLOOKUP(A36,[5]HISTOJUIN25!$A$6:$BQ$45,56,0)</f>
        <v>0</v>
      </c>
      <c r="D36" s="13">
        <f>VLOOKUP(A36,[5]HISTOJUIN25!$A$6:$BQ$45,57,0)</f>
        <v>0</v>
      </c>
      <c r="E36" s="13"/>
      <c r="F36" s="13"/>
      <c r="G36" s="14">
        <f t="shared" si="0"/>
        <v>0</v>
      </c>
    </row>
    <row r="37" spans="1:7" s="3" customFormat="1" ht="17.5" x14ac:dyDescent="0.35">
      <c r="A37" s="9" t="s">
        <v>43</v>
      </c>
      <c r="B37" s="10" t="str">
        <f>VLOOKUP(A37,[4]LISTADHERENT!A$5:H$50,3,0)</f>
        <v>TCHOUTOU NANA CLAUDE</v>
      </c>
      <c r="C37" s="13">
        <f>VLOOKUP(A37,[5]HISTOJUIN25!$A$6:$BQ$45,56,0)</f>
        <v>0</v>
      </c>
      <c r="D37" s="13">
        <f>VLOOKUP(A37,[5]HISTOJUIN25!$A$6:$BQ$45,57,0)</f>
        <v>0</v>
      </c>
      <c r="E37" s="13"/>
      <c r="F37" s="13"/>
      <c r="G37" s="14">
        <f t="shared" si="0"/>
        <v>0</v>
      </c>
    </row>
    <row r="38" spans="1:7" ht="17.5" x14ac:dyDescent="0.35">
      <c r="A38" s="1" t="s">
        <v>52</v>
      </c>
      <c r="B38" s="10" t="str">
        <f>VLOOKUP(A38,[4]LISTADHERENT!A$5:H$50,3,0)</f>
        <v>TIEYAM ERNEST</v>
      </c>
      <c r="C38" s="13">
        <f>VLOOKUP(A38,[5]HISTOJUIN25!$A$6:$BQ$45,56,0)</f>
        <v>0</v>
      </c>
      <c r="D38" s="13">
        <f>VLOOKUP(A38,[5]HISTOJUIN25!$A$6:$BQ$45,57,0)</f>
        <v>0</v>
      </c>
      <c r="E38" s="13"/>
      <c r="F38" s="13"/>
      <c r="G38" s="14">
        <f t="shared" si="0"/>
        <v>0</v>
      </c>
    </row>
    <row r="39" spans="1:7" ht="17.5" x14ac:dyDescent="0.35">
      <c r="A39" s="9" t="s">
        <v>44</v>
      </c>
      <c r="B39" s="10" t="str">
        <f>VLOOKUP(A39,[4]LISTADHERENT!A$5:H$50,3,0)</f>
        <v>YANTCHOU GERVAIS</v>
      </c>
      <c r="C39" s="13">
        <f>VLOOKUP(A39,[5]HISTOJUIN25!$A$6:$BQ$45,56,0)</f>
        <v>0</v>
      </c>
      <c r="D39" s="13">
        <f>VLOOKUP(A39,[5]HISTOJUIN25!$A$6:$BQ$45,57,0)</f>
        <v>0</v>
      </c>
      <c r="E39" s="13"/>
      <c r="F39" s="13"/>
      <c r="G39" s="14">
        <f t="shared" si="0"/>
        <v>0</v>
      </c>
    </row>
    <row r="40" spans="1:7" ht="17.5" x14ac:dyDescent="0.35">
      <c r="A40" s="9" t="s">
        <v>45</v>
      </c>
      <c r="B40" s="10" t="str">
        <f>VLOOKUP(A40,[4]LISTADHERENT!A$5:H$50,3,0)</f>
        <v>YEPMOU JEAN JACQUES</v>
      </c>
      <c r="C40" s="13">
        <f>VLOOKUP(A40,[5]HISTOJUIN25!$A$6:$BQ$45,56,0)</f>
        <v>0</v>
      </c>
      <c r="D40" s="13">
        <f>VLOOKUP(A40,[5]HISTOJUIN25!$A$6:$BQ$45,57,0)</f>
        <v>0</v>
      </c>
      <c r="E40" s="13"/>
      <c r="F40" s="13"/>
      <c r="G40" s="14">
        <f t="shared" si="0"/>
        <v>0</v>
      </c>
    </row>
    <row r="41" spans="1:7" ht="17.5" x14ac:dyDescent="0.35">
      <c r="A41" s="9" t="s">
        <v>46</v>
      </c>
      <c r="B41" s="10" t="str">
        <f>VLOOKUP(A41,[4]LISTADHERENT!A$5:H$50,3,0)</f>
        <v>YIALA ALAIN OSCAR</v>
      </c>
      <c r="C41" s="13">
        <f>VLOOKUP(A41,[5]HISTOJUIN25!$A$6:$BQ$45,56,0)</f>
        <v>1486500</v>
      </c>
      <c r="D41" s="13">
        <f>VLOOKUP(A41,[5]HISTOJUIN25!$A$6:$BQ$45,57,0)</f>
        <v>0</v>
      </c>
      <c r="E41" s="13"/>
      <c r="F41" s="13"/>
      <c r="G41" s="14">
        <f t="shared" si="0"/>
        <v>0</v>
      </c>
    </row>
    <row r="42" spans="1:7" ht="17.5" x14ac:dyDescent="0.35">
      <c r="A42" s="9" t="s">
        <v>47</v>
      </c>
      <c r="B42" s="10" t="str">
        <f>VLOOKUP(A42,[4]LISTADHERENT!A$5:H$50,3,0)</f>
        <v>YOUMBI EMMANUEL</v>
      </c>
      <c r="C42" s="13">
        <f>VLOOKUP(A42,[5]HISTOJUIN25!$A$6:$BQ$45,56,0)</f>
        <v>0</v>
      </c>
      <c r="D42" s="13">
        <f>VLOOKUP(A42,[5]HISTOJUIN25!$A$6:$BQ$45,57,0)</f>
        <v>0</v>
      </c>
      <c r="E42" s="13"/>
      <c r="F42" s="13"/>
      <c r="G42" s="14">
        <f t="shared" si="0"/>
        <v>0</v>
      </c>
    </row>
    <row r="43" spans="1:7" ht="17.5" x14ac:dyDescent="0.35">
      <c r="A43" s="9"/>
      <c r="B43" s="10" t="s">
        <v>53</v>
      </c>
      <c r="C43" s="10"/>
      <c r="D43" s="10"/>
      <c r="E43" s="13"/>
      <c r="F43" s="13">
        <v>6532050</v>
      </c>
      <c r="G43" s="14"/>
    </row>
    <row r="44" spans="1:7" ht="24" thickBot="1" x14ac:dyDescent="0.6">
      <c r="A44" s="15"/>
      <c r="B44" s="16" t="s">
        <v>4</v>
      </c>
      <c r="C44" s="17">
        <f>SUM(C6:C43)</f>
        <v>8652625</v>
      </c>
      <c r="D44" s="17"/>
      <c r="E44" s="17">
        <f>SUM(E7:E43)</f>
        <v>0</v>
      </c>
      <c r="F44" s="17"/>
      <c r="G44" s="18">
        <f>SUM(G7:G43)</f>
        <v>0</v>
      </c>
    </row>
    <row r="45" spans="1:7" ht="15" thickTop="1" x14ac:dyDescent="0.35"/>
    <row r="46" spans="1:7" ht="26" x14ac:dyDescent="0.6">
      <c r="B46" s="5" t="s">
        <v>11</v>
      </c>
      <c r="C46" s="4">
        <f>C44-C5</f>
        <v>8652625</v>
      </c>
    </row>
    <row r="48" spans="1:7" x14ac:dyDescent="0.35">
      <c r="B48" s="1" t="s">
        <v>6</v>
      </c>
      <c r="C48" s="1"/>
      <c r="D48" s="1"/>
      <c r="E48" s="1"/>
      <c r="F48" s="1"/>
    </row>
    <row r="50" spans="2:2" x14ac:dyDescent="0.35">
      <c r="B50" t="s">
        <v>8</v>
      </c>
    </row>
    <row r="51" spans="2:2" x14ac:dyDescent="0.35">
      <c r="B51" t="s">
        <v>9</v>
      </c>
    </row>
    <row r="52" spans="2:2" x14ac:dyDescent="0.35">
      <c r="B52" t="s">
        <v>10</v>
      </c>
    </row>
  </sheetData>
  <autoFilter ref="A4:F42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C46A4-39B8-48F2-B693-5F14C5ED9811}">
  <dimension ref="A1:G52"/>
  <sheetViews>
    <sheetView zoomScale="96" zoomScaleNormal="96" workbookViewId="0">
      <pane xSplit="2" ySplit="4" topLeftCell="C37" activePane="bottomRight" state="frozen"/>
      <selection activeCell="F44" sqref="F44"/>
      <selection pane="topRight" activeCell="F44" sqref="F44"/>
      <selection pane="bottomLeft" activeCell="F44" sqref="F44"/>
      <selection pane="bottomRight" activeCell="C6" sqref="C6:D42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4" width="21.1796875" customWidth="1"/>
    <col min="5" max="5" width="17" bestFit="1" customWidth="1"/>
    <col min="6" max="6" width="17" customWidth="1"/>
    <col min="7" max="7" width="12.453125" bestFit="1" customWidth="1"/>
  </cols>
  <sheetData>
    <row r="1" spans="1:7" x14ac:dyDescent="0.35">
      <c r="A1" s="1" t="s">
        <v>2</v>
      </c>
      <c r="B1" s="1" t="s">
        <v>48</v>
      </c>
      <c r="C1" s="1"/>
      <c r="D1" s="1"/>
      <c r="E1" s="1"/>
      <c r="F1" s="1"/>
    </row>
    <row r="2" spans="1:7" ht="15" thickBot="1" x14ac:dyDescent="0.4">
      <c r="A2" s="1" t="s">
        <v>3</v>
      </c>
      <c r="B2" s="1">
        <v>2025</v>
      </c>
      <c r="C2" s="1"/>
      <c r="D2" s="1"/>
      <c r="E2" s="1"/>
      <c r="F2" s="1"/>
    </row>
    <row r="3" spans="1:7" ht="68.25" customHeight="1" thickTop="1" x14ac:dyDescent="0.35">
      <c r="A3" s="6" t="s">
        <v>0</v>
      </c>
      <c r="B3" s="7" t="s">
        <v>1</v>
      </c>
      <c r="C3" s="7"/>
      <c r="D3" s="7"/>
      <c r="E3" s="7"/>
      <c r="F3" s="7"/>
      <c r="G3" s="8" t="s">
        <v>4</v>
      </c>
    </row>
    <row r="4" spans="1:7" ht="30" customHeight="1" x14ac:dyDescent="0.35">
      <c r="A4" s="9"/>
      <c r="B4" s="10"/>
      <c r="C4" s="10" t="s">
        <v>7</v>
      </c>
      <c r="D4" s="10" t="s">
        <v>5</v>
      </c>
      <c r="E4" s="11" t="s">
        <v>12</v>
      </c>
      <c r="F4" s="11" t="s">
        <v>13</v>
      </c>
      <c r="G4" s="12"/>
    </row>
    <row r="5" spans="1:7" ht="30" customHeight="1" x14ac:dyDescent="0.35">
      <c r="A5" s="9"/>
      <c r="B5" s="10" t="s">
        <v>14</v>
      </c>
      <c r="C5" s="13"/>
      <c r="D5" s="10"/>
      <c r="E5" s="13"/>
      <c r="F5" s="13"/>
      <c r="G5" s="12"/>
    </row>
    <row r="6" spans="1:7" ht="17.5" x14ac:dyDescent="0.35">
      <c r="A6" s="9" t="s">
        <v>15</v>
      </c>
      <c r="B6" s="10" t="str">
        <f>VLOOKUP(A6,[4]LISTADHERENT!A$5:H$50,3,0)</f>
        <v>ASELBY</v>
      </c>
      <c r="C6" s="13">
        <f>VLOOKUP(A6,[5]HISTOJUIL25!$A$6:$BQ$45,56,0)</f>
        <v>76000</v>
      </c>
      <c r="D6" s="13">
        <f>VLOOKUP(A6,[5]HISTOJUIL25!$A$6:$BQ$45,57,0)</f>
        <v>0</v>
      </c>
      <c r="E6" s="13">
        <f>+[6]HISTOBQUEJUIL25!$H$6</f>
        <v>4770</v>
      </c>
      <c r="F6" s="13">
        <v>17444</v>
      </c>
      <c r="G6" s="14">
        <f t="shared" ref="G6:G42" si="0">SUM(E6:F6)</f>
        <v>22214</v>
      </c>
    </row>
    <row r="7" spans="1:7" ht="17.5" x14ac:dyDescent="0.35">
      <c r="A7" s="9" t="s">
        <v>16</v>
      </c>
      <c r="B7" s="10" t="str">
        <f>VLOOKUP(A7,[4]LISTADHERENT!A$5:H$50,3,0)</f>
        <v>BAKOP ACHILLE</v>
      </c>
      <c r="C7" s="13">
        <f>VLOOKUP(A7,[5]HISTOJUIL25!$A$6:$BQ$45,56,0)</f>
        <v>0</v>
      </c>
      <c r="D7" s="13">
        <f>VLOOKUP(A7,[5]HISTOJUIL25!$A$6:$BQ$45,57,0)</f>
        <v>0</v>
      </c>
      <c r="E7" s="13"/>
      <c r="F7" s="13"/>
      <c r="G7" s="14">
        <f t="shared" si="0"/>
        <v>0</v>
      </c>
    </row>
    <row r="8" spans="1:7" s="3" customFormat="1" ht="17.5" x14ac:dyDescent="0.35">
      <c r="A8" s="9" t="s">
        <v>17</v>
      </c>
      <c r="B8" s="10" t="str">
        <f>VLOOKUP(A8,[4]LISTADHERENT!A$5:H$50,3,0)</f>
        <v>BOUTCHOUANG WILLIAM</v>
      </c>
      <c r="C8" s="13">
        <f>VLOOKUP(A8,[5]HISTOJUIL25!$A$6:$BQ$45,56,0)</f>
        <v>0</v>
      </c>
      <c r="D8" s="13">
        <f>VLOOKUP(A8,[5]HISTOJUIL25!$A$6:$BQ$45,57,0)</f>
        <v>0</v>
      </c>
      <c r="E8" s="13"/>
      <c r="F8" s="13"/>
      <c r="G8" s="14">
        <f t="shared" si="0"/>
        <v>0</v>
      </c>
    </row>
    <row r="9" spans="1:7" s="3" customFormat="1" ht="17.5" x14ac:dyDescent="0.35">
      <c r="A9" s="9" t="s">
        <v>18</v>
      </c>
      <c r="B9" s="10" t="str">
        <f>VLOOKUP(A9,[4]LISTADHERENT!A$5:H$50,3,0)</f>
        <v xml:space="preserve">DJOMO JEAN PAUL </v>
      </c>
      <c r="C9" s="13">
        <f>VLOOKUP(A9,[5]HISTOJUIL25!$A$6:$BQ$45,56,0)</f>
        <v>0</v>
      </c>
      <c r="D9" s="13">
        <f>VLOOKUP(A9,[5]HISTOJUIL25!$A$6:$BQ$45,57,0)</f>
        <v>0</v>
      </c>
      <c r="E9" s="13"/>
      <c r="F9" s="13"/>
      <c r="G9" s="14">
        <f t="shared" si="0"/>
        <v>0</v>
      </c>
    </row>
    <row r="10" spans="1:7" ht="17.5" x14ac:dyDescent="0.35">
      <c r="A10" s="9" t="s">
        <v>19</v>
      </c>
      <c r="B10" s="10" t="str">
        <f>VLOOKUP(A10,[4]LISTADHERENT!A$5:H$50,3,0)</f>
        <v>DJOMOU TCHAPDA</v>
      </c>
      <c r="C10" s="13">
        <f>VLOOKUP(A10,[5]HISTOJUIL25!$A$6:$BQ$45,56,0)</f>
        <v>26000</v>
      </c>
      <c r="D10" s="13" t="str">
        <f>VLOOKUP(A10,[5]HISTOJUIL25!$A$6:$BQ$45,57,0)</f>
        <v>OK</v>
      </c>
      <c r="E10" s="13"/>
      <c r="F10" s="13"/>
      <c r="G10" s="14">
        <f t="shared" si="0"/>
        <v>0</v>
      </c>
    </row>
    <row r="11" spans="1:7" ht="17.5" x14ac:dyDescent="0.35">
      <c r="A11" s="9" t="s">
        <v>20</v>
      </c>
      <c r="B11" s="10" t="str">
        <f>VLOOKUP(A11,[4]LISTADHERENT!A$5:H$50,3,0)</f>
        <v>DJOUKWE NANGUEN GUY BLAISE</v>
      </c>
      <c r="C11" s="13">
        <f>VLOOKUP(A11,[5]HISTOJUIL25!$A$6:$BQ$45,56,0)</f>
        <v>0</v>
      </c>
      <c r="D11" s="13">
        <f>VLOOKUP(A11,[5]HISTOJUIL25!$A$6:$BQ$45,57,0)</f>
        <v>0</v>
      </c>
      <c r="E11" s="13"/>
      <c r="F11" s="13"/>
      <c r="G11" s="14">
        <f t="shared" si="0"/>
        <v>0</v>
      </c>
    </row>
    <row r="12" spans="1:7" ht="17.5" x14ac:dyDescent="0.35">
      <c r="A12" s="9" t="s">
        <v>21</v>
      </c>
      <c r="B12" s="10" t="str">
        <f>VLOOKUP(A12,[4]LISTADHERENT!A$5:H$50,3,0)</f>
        <v>DJUOMBESSY ANTOINE</v>
      </c>
      <c r="C12" s="13">
        <f>VLOOKUP(A12,[5]HISTOJUIL25!$A$6:$BQ$45,56,0)</f>
        <v>180000</v>
      </c>
      <c r="D12" s="13" t="str">
        <f>VLOOKUP(A12,[5]HISTOJUIL25!$A$6:$BQ$45,57,0)</f>
        <v>OK</v>
      </c>
      <c r="E12" s="13"/>
      <c r="F12" s="13"/>
      <c r="G12" s="14">
        <f t="shared" si="0"/>
        <v>0</v>
      </c>
    </row>
    <row r="13" spans="1:7" s="3" customFormat="1" ht="17.5" x14ac:dyDescent="0.35">
      <c r="A13" s="9" t="s">
        <v>22</v>
      </c>
      <c r="B13" s="10" t="str">
        <f>VLOOKUP(A13,[4]LISTADHERENT!A$5:H$50,3,0)</f>
        <v>DOMOU FABIEN</v>
      </c>
      <c r="C13" s="13">
        <f>VLOOKUP(A13,[5]HISTOJUIL25!$A$6:$BQ$45,56,0)</f>
        <v>0</v>
      </c>
      <c r="D13" s="13">
        <f>VLOOKUP(A13,[5]HISTOJUIL25!$A$6:$BQ$45,57,0)</f>
        <v>0</v>
      </c>
      <c r="E13" s="13"/>
      <c r="F13" s="13"/>
      <c r="G13" s="14">
        <f t="shared" si="0"/>
        <v>0</v>
      </c>
    </row>
    <row r="14" spans="1:7" ht="17.5" x14ac:dyDescent="0.35">
      <c r="A14" s="9" t="s">
        <v>23</v>
      </c>
      <c r="B14" s="10" t="str">
        <f>VLOOKUP(A14,[4]LISTADHERENT!A$5:H$50,3,0)</f>
        <v>DONHOU DAVID</v>
      </c>
      <c r="C14" s="13">
        <f>VLOOKUP(A14,[5]HISTOJUIL25!$A$6:$BQ$45,56,0)</f>
        <v>100000</v>
      </c>
      <c r="D14" s="13" t="str">
        <f>VLOOKUP(A14,[5]HISTOJUIL25!$A$6:$BQ$45,57,0)</f>
        <v>OK</v>
      </c>
      <c r="E14" s="13"/>
      <c r="F14" s="13"/>
      <c r="G14" s="14">
        <f t="shared" si="0"/>
        <v>0</v>
      </c>
    </row>
    <row r="15" spans="1:7" ht="17.5" x14ac:dyDescent="0.35">
      <c r="A15" s="9" t="s">
        <v>54</v>
      </c>
      <c r="B15" s="10" t="str">
        <f>VLOOKUP(A15,[4]LISTADHERENT!A$5:H$50,3,0)</f>
        <v>FAMPOU PAUL</v>
      </c>
      <c r="C15" s="13">
        <f>VLOOKUP(A15,[5]HISTOJUIL25!$A$6:$BQ$45,56,0)</f>
        <v>397500</v>
      </c>
      <c r="D15" s="13" t="str">
        <f>VLOOKUP(A15,[5]HISTOJUIL25!$A$6:$BQ$45,57,0)</f>
        <v>OK</v>
      </c>
      <c r="E15" s="13"/>
      <c r="F15" s="13"/>
      <c r="G15" s="14">
        <f t="shared" si="0"/>
        <v>0</v>
      </c>
    </row>
    <row r="16" spans="1:7" ht="17.5" x14ac:dyDescent="0.35">
      <c r="A16" s="9" t="s">
        <v>24</v>
      </c>
      <c r="B16" s="10" t="str">
        <f>VLOOKUP(A16,[4]LISTADHERENT!A$5:H$50,3,0)</f>
        <v>HENGUE PAUL OMER</v>
      </c>
      <c r="C16" s="13">
        <f>VLOOKUP(A16,[5]HISTOJUIL25!$A$6:$BQ$45,56,0)</f>
        <v>0</v>
      </c>
      <c r="D16" s="13">
        <f>VLOOKUP(A16,[5]HISTOJUIL25!$A$6:$BQ$45,57,0)</f>
        <v>0</v>
      </c>
      <c r="E16" s="13"/>
      <c r="F16" s="13"/>
      <c r="G16" s="14">
        <f t="shared" si="0"/>
        <v>0</v>
      </c>
    </row>
    <row r="17" spans="1:7" ht="17.5" x14ac:dyDescent="0.35">
      <c r="A17" s="9" t="s">
        <v>25</v>
      </c>
      <c r="B17" s="10" t="str">
        <f>VLOOKUP(A17,[4]LISTADHERENT!A$5:H$50,3,0)</f>
        <v>HOTCHO BENJAMIN</v>
      </c>
      <c r="C17" s="13">
        <f>VLOOKUP(A17,[5]HISTOJUIL25!$A$6:$BQ$45,56,0)</f>
        <v>485000</v>
      </c>
      <c r="D17" s="13" t="str">
        <f>VLOOKUP(A17,[5]HISTOJUIL25!$A$6:$BQ$45,57,0)</f>
        <v>OK</v>
      </c>
      <c r="E17" s="13"/>
      <c r="F17" s="13"/>
      <c r="G17" s="14">
        <f t="shared" si="0"/>
        <v>0</v>
      </c>
    </row>
    <row r="18" spans="1:7" ht="17.5" x14ac:dyDescent="0.35">
      <c r="A18" s="9" t="s">
        <v>26</v>
      </c>
      <c r="B18" s="10" t="str">
        <f>VLOOKUP(A18,[4]LISTADHERENT!A$5:H$50,3,0)</f>
        <v>KOUAMOU MOISE</v>
      </c>
      <c r="C18" s="13">
        <f>VLOOKUP(A18,[5]HISTOJUIL25!$A$6:$BQ$45,56,0)</f>
        <v>349000</v>
      </c>
      <c r="D18" s="13" t="str">
        <f>VLOOKUP(A18,[5]HISTOJUIL25!$A$6:$BQ$45,57,0)</f>
        <v>OK</v>
      </c>
      <c r="E18" s="13"/>
      <c r="F18" s="13"/>
      <c r="G18" s="14">
        <f t="shared" si="0"/>
        <v>0</v>
      </c>
    </row>
    <row r="19" spans="1:7" ht="17.5" x14ac:dyDescent="0.35">
      <c r="A19" s="9" t="s">
        <v>27</v>
      </c>
      <c r="B19" s="10" t="str">
        <f>VLOOKUP(A19,[4]LISTADHERENT!A$5:H$50,3,0)</f>
        <v>KOUATCHO MESSACK</v>
      </c>
      <c r="C19" s="13">
        <f>VLOOKUP(A19,[5]HISTOJUIL25!$A$6:$BQ$45,56,0)</f>
        <v>55000</v>
      </c>
      <c r="D19" s="13" t="str">
        <f>VLOOKUP(A19,[5]HISTOJUIL25!$A$6:$BQ$45,57,0)</f>
        <v>OK</v>
      </c>
      <c r="E19" s="13"/>
      <c r="F19" s="13"/>
      <c r="G19" s="14">
        <f t="shared" si="0"/>
        <v>0</v>
      </c>
    </row>
    <row r="20" spans="1:7" ht="17.5" x14ac:dyDescent="0.35">
      <c r="A20" s="9" t="s">
        <v>55</v>
      </c>
      <c r="B20" s="10" t="str">
        <f>VLOOKUP(A20,[4]LISTADHERENT!A$5:H$50,3,0)</f>
        <v>LOWE JEAN</v>
      </c>
      <c r="C20" s="13">
        <f>VLOOKUP(A20,[5]HISTOJUIL25!$A$6:$BQ$45,56,0)</f>
        <v>0</v>
      </c>
      <c r="D20" s="13">
        <f>VLOOKUP(A20,[5]HISTOJUIL25!$A$6:$BQ$45,57,0)</f>
        <v>0</v>
      </c>
      <c r="E20" s="13"/>
      <c r="F20" s="13"/>
      <c r="G20" s="14"/>
    </row>
    <row r="21" spans="1:7" ht="17.5" x14ac:dyDescent="0.35">
      <c r="A21" s="9" t="s">
        <v>28</v>
      </c>
      <c r="B21" s="10" t="str">
        <f>VLOOKUP(A21,[4]LISTADHERENT!A$5:H$50,3,0)</f>
        <v>MASSEUNGOUE DAGOBERT</v>
      </c>
      <c r="C21" s="13">
        <f>VLOOKUP(A21,[5]HISTOJUIL25!$A$6:$BQ$45,56,0)</f>
        <v>0</v>
      </c>
      <c r="D21" s="13">
        <f>VLOOKUP(A21,[5]HISTOJUIL25!$A$6:$BQ$45,57,0)</f>
        <v>0</v>
      </c>
      <c r="E21" s="13"/>
      <c r="F21" s="13"/>
      <c r="G21" s="14">
        <f t="shared" si="0"/>
        <v>0</v>
      </c>
    </row>
    <row r="22" spans="1:7" ht="17.5" x14ac:dyDescent="0.35">
      <c r="A22" s="9" t="s">
        <v>29</v>
      </c>
      <c r="B22" s="10" t="str">
        <f>VLOOKUP(A22,[4]LISTADHERENT!A$5:H$50,3,0)</f>
        <v>MBOGNING TUGMA GUY</v>
      </c>
      <c r="C22" s="13">
        <f>VLOOKUP(A22,[5]HISTOJUIL25!$A$6:$BQ$45,56,0)</f>
        <v>1040000</v>
      </c>
      <c r="D22" s="13" t="str">
        <f>VLOOKUP(A22,[5]HISTOJUIL25!$A$6:$BQ$45,57,0)</f>
        <v>OK</v>
      </c>
      <c r="E22" s="13"/>
      <c r="F22" s="13"/>
      <c r="G22" s="14">
        <f t="shared" si="0"/>
        <v>0</v>
      </c>
    </row>
    <row r="23" spans="1:7" ht="17.5" x14ac:dyDescent="0.35">
      <c r="A23" s="9" t="s">
        <v>30</v>
      </c>
      <c r="B23" s="10" t="str">
        <f>VLOOKUP(A23,[4]LISTADHERENT!A$5:H$50,3,0)</f>
        <v>NANGUEN MARTIN</v>
      </c>
      <c r="C23" s="13">
        <f>VLOOKUP(A23,[5]HISTOJUIL25!$A$6:$BQ$45,56,0)</f>
        <v>0</v>
      </c>
      <c r="D23" s="13">
        <f>VLOOKUP(A23,[5]HISTOJUIL25!$A$6:$BQ$45,57,0)</f>
        <v>0</v>
      </c>
      <c r="E23" s="13"/>
      <c r="F23" s="13"/>
      <c r="G23" s="14">
        <f t="shared" si="0"/>
        <v>0</v>
      </c>
    </row>
    <row r="24" spans="1:7" ht="17.5" x14ac:dyDescent="0.35">
      <c r="A24" s="9" t="s">
        <v>31</v>
      </c>
      <c r="B24" s="10" t="str">
        <f>VLOOKUP(A24,[4]LISTADHERENT!A$5:H$50,3,0)</f>
        <v>NANKAM APPOLINAIRE</v>
      </c>
      <c r="C24" s="13">
        <f>VLOOKUP(A24,[5]HISTOJUIL25!$A$6:$BQ$45,56,0)</f>
        <v>0</v>
      </c>
      <c r="D24" s="13">
        <f>VLOOKUP(A24,[5]HISTOJUIL25!$A$6:$BQ$45,57,0)</f>
        <v>0</v>
      </c>
      <c r="E24" s="13"/>
      <c r="F24" s="13"/>
      <c r="G24" s="14">
        <f t="shared" si="0"/>
        <v>0</v>
      </c>
    </row>
    <row r="25" spans="1:7" ht="17.5" x14ac:dyDescent="0.35">
      <c r="A25" s="9" t="s">
        <v>32</v>
      </c>
      <c r="B25" s="10" t="str">
        <f>VLOOKUP(A25,[4]LISTADHERENT!A$5:H$50,3,0)</f>
        <v>NDJOMO ETIENNE</v>
      </c>
      <c r="C25" s="13">
        <f>VLOOKUP(A25,[5]HISTOJUIL25!$A$6:$BQ$45,56,0)</f>
        <v>497500</v>
      </c>
      <c r="D25" s="13" t="str">
        <f>VLOOKUP(A25,[5]HISTOJUIL25!$A$6:$BQ$45,57,0)</f>
        <v>OK</v>
      </c>
      <c r="E25" s="13"/>
      <c r="F25" s="13"/>
      <c r="G25" s="14">
        <f t="shared" si="0"/>
        <v>0</v>
      </c>
    </row>
    <row r="26" spans="1:7" ht="17.5" x14ac:dyDescent="0.35">
      <c r="A26" s="9" t="s">
        <v>33</v>
      </c>
      <c r="B26" s="10" t="str">
        <f>VLOOKUP(A26,[4]LISTADHERENT!A$5:H$50,3,0)</f>
        <v>NGONDIEP CLAUDE</v>
      </c>
      <c r="C26" s="13">
        <f>VLOOKUP(A26,[5]HISTOJUIL25!$A$6:$BQ$45,56,0)</f>
        <v>0</v>
      </c>
      <c r="D26" s="13">
        <f>VLOOKUP(A26,[5]HISTOJUIL25!$A$6:$BQ$45,57,0)</f>
        <v>0</v>
      </c>
      <c r="E26" s="13"/>
      <c r="F26" s="13"/>
      <c r="G26" s="14">
        <f t="shared" si="0"/>
        <v>0</v>
      </c>
    </row>
    <row r="27" spans="1:7" ht="17.5" x14ac:dyDescent="0.35">
      <c r="A27" s="9" t="s">
        <v>34</v>
      </c>
      <c r="B27" s="10" t="str">
        <f>VLOOKUP(A27,[4]LISTADHERENT!A$5:H$50,3,0)</f>
        <v>NGUIEMEGNI MATHIEU BLAISE</v>
      </c>
      <c r="C27" s="13">
        <f>VLOOKUP(A27,[5]HISTOJUIL25!$A$6:$BQ$45,56,0)</f>
        <v>200000</v>
      </c>
      <c r="D27" s="13" t="str">
        <f>VLOOKUP(A27,[5]HISTOJUIL25!$A$6:$BQ$45,57,0)</f>
        <v>OK</v>
      </c>
      <c r="E27" s="13"/>
      <c r="F27" s="13"/>
      <c r="G27" s="14">
        <f t="shared" si="0"/>
        <v>0</v>
      </c>
    </row>
    <row r="28" spans="1:7" ht="17.5" x14ac:dyDescent="0.35">
      <c r="A28" s="9" t="s">
        <v>35</v>
      </c>
      <c r="B28" s="10" t="str">
        <f>VLOOKUP(A28,[4]LISTADHERENT!A$5:H$50,3,0)</f>
        <v>NKAMGANG JUSTIN DEJOLIE</v>
      </c>
      <c r="C28" s="13">
        <f>VLOOKUP(A28,[5]HISTOJUIL25!$A$6:$BQ$45,56,0)</f>
        <v>0</v>
      </c>
      <c r="D28" s="13">
        <f>VLOOKUP(A28,[5]HISTOJUIL25!$A$6:$BQ$45,57,0)</f>
        <v>0</v>
      </c>
      <c r="E28" s="13"/>
      <c r="F28" s="13"/>
      <c r="G28" s="14">
        <f t="shared" si="0"/>
        <v>0</v>
      </c>
    </row>
    <row r="29" spans="1:7" ht="17.5" x14ac:dyDescent="0.35">
      <c r="A29" s="9" t="s">
        <v>36</v>
      </c>
      <c r="B29" s="10" t="str">
        <f>VLOOKUP(A29,[4]LISTADHERENT!A$5:H$50,3,0)</f>
        <v>NOUBE ETIENNE</v>
      </c>
      <c r="C29" s="13">
        <f>VLOOKUP(A29,[5]HISTOJUIL25!$A$6:$BQ$45,56,0)</f>
        <v>0</v>
      </c>
      <c r="D29" s="13">
        <f>VLOOKUP(A29,[5]HISTOJUIL25!$A$6:$BQ$45,57,0)</f>
        <v>0</v>
      </c>
      <c r="E29" s="13"/>
      <c r="F29" s="13"/>
      <c r="G29" s="14">
        <f t="shared" si="0"/>
        <v>0</v>
      </c>
    </row>
    <row r="30" spans="1:7" ht="17.5" x14ac:dyDescent="0.35">
      <c r="A30" s="9" t="s">
        <v>37</v>
      </c>
      <c r="B30" s="10" t="str">
        <f>VLOOKUP(A30,[4]LISTADHERENT!A$5:H$50,3,0)</f>
        <v>PATEGO NJOSSU GUSTAVE</v>
      </c>
      <c r="C30" s="13">
        <f>VLOOKUP(A30,[5]HISTOJUIL25!$A$6:$BQ$45,56,0)</f>
        <v>0</v>
      </c>
      <c r="D30" s="13">
        <f>VLOOKUP(A30,[5]HISTOJUIL25!$A$6:$BQ$45,57,0)</f>
        <v>0</v>
      </c>
      <c r="E30" s="13"/>
      <c r="F30" s="13"/>
      <c r="G30" s="14">
        <f t="shared" si="0"/>
        <v>0</v>
      </c>
    </row>
    <row r="31" spans="1:7" ht="17.5" x14ac:dyDescent="0.35">
      <c r="A31" s="9" t="s">
        <v>38</v>
      </c>
      <c r="B31" s="10" t="str">
        <f>VLOOKUP(A31,[4]LISTADHERENT!A$5:H$50,3,0)</f>
        <v>SEUMO POLYCARPE</v>
      </c>
      <c r="C31" s="13">
        <f>VLOOKUP(A31,[5]HISTOJUIL25!$A$6:$BQ$45,56,0)</f>
        <v>59000</v>
      </c>
      <c r="D31" s="13">
        <f>VLOOKUP(A31,[5]HISTOJUIL25!$A$6:$BQ$45,57,0)</f>
        <v>0</v>
      </c>
      <c r="E31" s="13"/>
      <c r="F31" s="13"/>
      <c r="G31" s="14">
        <f t="shared" si="0"/>
        <v>0</v>
      </c>
    </row>
    <row r="32" spans="1:7" ht="17.5" x14ac:dyDescent="0.35">
      <c r="A32" s="9" t="s">
        <v>39</v>
      </c>
      <c r="B32" s="10" t="str">
        <f>VLOOKUP(A32,[4]LISTADHERENT!A$5:H$50,3,0)</f>
        <v>SIME BRICE</v>
      </c>
      <c r="C32" s="13">
        <f>VLOOKUP(A32,[5]HISTOJUIL25!$A$6:$BQ$45,56,0)</f>
        <v>0</v>
      </c>
      <c r="D32" s="13">
        <f>VLOOKUP(A32,[5]HISTOJUIL25!$A$6:$BQ$45,57,0)</f>
        <v>0</v>
      </c>
      <c r="E32" s="13"/>
      <c r="F32" s="13"/>
      <c r="G32" s="14">
        <f t="shared" si="0"/>
        <v>0</v>
      </c>
    </row>
    <row r="33" spans="1:7" ht="17.5" x14ac:dyDescent="0.35">
      <c r="A33" s="19" t="s">
        <v>51</v>
      </c>
      <c r="B33" s="10" t="str">
        <f>VLOOKUP(A33,[4]LISTADHERENT!A$5:H$50,3,0)</f>
        <v>SIMO FONGANG ERIC</v>
      </c>
      <c r="C33" s="13">
        <f>VLOOKUP(A33,[5]HISTOJUIL25!$A$6:$BQ$45,56,0)</f>
        <v>0</v>
      </c>
      <c r="D33" s="13">
        <f>VLOOKUP(A33,[5]HISTOJUIL25!$A$6:$BQ$45,57,0)</f>
        <v>0</v>
      </c>
      <c r="E33" s="13"/>
      <c r="F33" s="13"/>
      <c r="G33" s="14">
        <f t="shared" si="0"/>
        <v>0</v>
      </c>
    </row>
    <row r="34" spans="1:7" ht="17.5" x14ac:dyDescent="0.35">
      <c r="A34" s="9" t="s">
        <v>40</v>
      </c>
      <c r="B34" s="10" t="str">
        <f>VLOOKUP(A34,[4]LISTADHERENT!A$5:H$50,3,0)</f>
        <v>SIMO PIERRE</v>
      </c>
      <c r="C34" s="13">
        <f>VLOOKUP(A34,[5]HISTOJUIL25!$A$6:$BQ$45,56,0)</f>
        <v>30000</v>
      </c>
      <c r="D34" s="13" t="str">
        <f>VLOOKUP(A34,[5]HISTOJUIL25!$A$6:$BQ$45,57,0)</f>
        <v>OK</v>
      </c>
      <c r="E34" s="13"/>
      <c r="F34" s="13"/>
      <c r="G34" s="14">
        <f t="shared" si="0"/>
        <v>0</v>
      </c>
    </row>
    <row r="35" spans="1:7" ht="17.5" x14ac:dyDescent="0.35">
      <c r="A35" s="9" t="s">
        <v>41</v>
      </c>
      <c r="B35" s="10" t="str">
        <f>VLOOKUP(A35,[4]LISTADHERENT!A$5:H$50,3,0)</f>
        <v>TCHOUAMOU MATHIEU</v>
      </c>
      <c r="C35" s="13">
        <f>VLOOKUP(A35,[5]HISTOJUIL25!$A$6:$BQ$45,56,0)</f>
        <v>942500</v>
      </c>
      <c r="D35" s="13" t="str">
        <f>VLOOKUP(A35,[5]HISTOJUIL25!$A$6:$BQ$45,57,0)</f>
        <v>OK</v>
      </c>
      <c r="E35" s="13"/>
      <c r="F35" s="13"/>
      <c r="G35" s="14">
        <f t="shared" si="0"/>
        <v>0</v>
      </c>
    </row>
    <row r="36" spans="1:7" ht="17.5" x14ac:dyDescent="0.35">
      <c r="A36" s="9" t="s">
        <v>42</v>
      </c>
      <c r="B36" s="10" t="str">
        <f>VLOOKUP(A36,[4]LISTADHERENT!A$5:H$50,3,0)</f>
        <v>TCHOUATEU AUGUSTIN</v>
      </c>
      <c r="C36" s="13">
        <f>VLOOKUP(A36,[5]HISTOJUIL25!$A$6:$BQ$45,56,0)</f>
        <v>1432500</v>
      </c>
      <c r="D36" s="13" t="str">
        <f>VLOOKUP(A36,[5]HISTOJUIL25!$A$6:$BQ$45,57,0)</f>
        <v>OK</v>
      </c>
      <c r="E36" s="13"/>
      <c r="F36" s="13"/>
      <c r="G36" s="14">
        <f t="shared" si="0"/>
        <v>0</v>
      </c>
    </row>
    <row r="37" spans="1:7" s="3" customFormat="1" ht="17.5" x14ac:dyDescent="0.35">
      <c r="A37" s="9" t="s">
        <v>43</v>
      </c>
      <c r="B37" s="10" t="str">
        <f>VLOOKUP(A37,[4]LISTADHERENT!A$5:H$50,3,0)</f>
        <v>TCHOUTOU NANA CLAUDE</v>
      </c>
      <c r="C37" s="13">
        <f>VLOOKUP(A37,[5]HISTOJUIL25!$A$6:$BQ$45,56,0)</f>
        <v>0</v>
      </c>
      <c r="D37" s="13">
        <f>VLOOKUP(A37,[5]HISTOJUIL25!$A$6:$BQ$45,57,0)</f>
        <v>0</v>
      </c>
      <c r="E37" s="13"/>
      <c r="F37" s="13"/>
      <c r="G37" s="14">
        <f t="shared" si="0"/>
        <v>0</v>
      </c>
    </row>
    <row r="38" spans="1:7" ht="17.5" x14ac:dyDescent="0.35">
      <c r="A38" s="1" t="s">
        <v>52</v>
      </c>
      <c r="B38" s="10" t="str">
        <f>VLOOKUP(A38,[4]LISTADHERENT!A$5:H$50,3,0)</f>
        <v>TIEYAM ERNEST</v>
      </c>
      <c r="C38" s="13">
        <f>VLOOKUP(A38,[5]HISTOJUIL25!$A$6:$BQ$45,56,0)</f>
        <v>0</v>
      </c>
      <c r="D38" s="13">
        <f>VLOOKUP(A38,[5]HISTOJUIL25!$A$6:$BQ$45,57,0)</f>
        <v>0</v>
      </c>
      <c r="E38" s="13"/>
      <c r="F38" s="13"/>
      <c r="G38" s="14">
        <f t="shared" si="0"/>
        <v>0</v>
      </c>
    </row>
    <row r="39" spans="1:7" ht="17.5" x14ac:dyDescent="0.35">
      <c r="A39" s="9" t="s">
        <v>44</v>
      </c>
      <c r="B39" s="10" t="str">
        <f>VLOOKUP(A39,[4]LISTADHERENT!A$5:H$50,3,0)</f>
        <v>YANTCHOU GERVAIS</v>
      </c>
      <c r="C39" s="13">
        <f>VLOOKUP(A39,[5]HISTOJUIL25!$A$6:$BQ$45,56,0)</f>
        <v>0</v>
      </c>
      <c r="D39" s="13">
        <f>VLOOKUP(A39,[5]HISTOJUIL25!$A$6:$BQ$45,57,0)</f>
        <v>0</v>
      </c>
      <c r="E39" s="13"/>
      <c r="F39" s="13"/>
      <c r="G39" s="14">
        <f t="shared" si="0"/>
        <v>0</v>
      </c>
    </row>
    <row r="40" spans="1:7" ht="17.5" x14ac:dyDescent="0.35">
      <c r="A40" s="9" t="s">
        <v>45</v>
      </c>
      <c r="B40" s="10" t="str">
        <f>VLOOKUP(A40,[4]LISTADHERENT!A$5:H$50,3,0)</f>
        <v>YEPMOU JEAN JACQUES</v>
      </c>
      <c r="C40" s="13">
        <f>VLOOKUP(A40,[5]HISTOJUIL25!$A$6:$BQ$45,56,0)</f>
        <v>0</v>
      </c>
      <c r="D40" s="13">
        <f>VLOOKUP(A40,[5]HISTOJUIL25!$A$6:$BQ$45,57,0)</f>
        <v>0</v>
      </c>
      <c r="E40" s="13"/>
      <c r="F40" s="13"/>
      <c r="G40" s="14">
        <f t="shared" si="0"/>
        <v>0</v>
      </c>
    </row>
    <row r="41" spans="1:7" ht="17.5" x14ac:dyDescent="0.35">
      <c r="A41" s="9" t="s">
        <v>46</v>
      </c>
      <c r="B41" s="10" t="str">
        <f>VLOOKUP(A41,[4]LISTADHERENT!A$5:H$50,3,0)</f>
        <v>YIALA ALAIN OSCAR</v>
      </c>
      <c r="C41" s="13">
        <f>VLOOKUP(A41,[5]HISTOJUIL25!$A$6:$BQ$45,56,0)</f>
        <v>0</v>
      </c>
      <c r="D41" s="13">
        <f>VLOOKUP(A41,[5]HISTOJUIL25!$A$6:$BQ$45,57,0)</f>
        <v>0</v>
      </c>
      <c r="E41" s="13"/>
      <c r="F41" s="13"/>
      <c r="G41" s="14">
        <f t="shared" si="0"/>
        <v>0</v>
      </c>
    </row>
    <row r="42" spans="1:7" ht="17.5" x14ac:dyDescent="0.35">
      <c r="A42" s="9" t="s">
        <v>47</v>
      </c>
      <c r="B42" s="10" t="str">
        <f>VLOOKUP(A42,[4]LISTADHERENT!A$5:H$50,3,0)</f>
        <v>YOUMBI EMMANUEL</v>
      </c>
      <c r="C42" s="13">
        <f>VLOOKUP(A42,[5]HISTOJUIL25!$A$6:$BQ$45,56,0)</f>
        <v>0</v>
      </c>
      <c r="D42" s="13">
        <f>VLOOKUP(A42,[5]HISTOJUIL25!$A$6:$BQ$45,57,0)</f>
        <v>0</v>
      </c>
      <c r="E42" s="13"/>
      <c r="F42" s="13"/>
      <c r="G42" s="14">
        <f t="shared" si="0"/>
        <v>0</v>
      </c>
    </row>
    <row r="43" spans="1:7" ht="17.5" x14ac:dyDescent="0.35">
      <c r="A43" s="9"/>
      <c r="B43" s="10" t="s">
        <v>53</v>
      </c>
      <c r="C43" s="10"/>
      <c r="D43" s="10"/>
      <c r="E43" s="13"/>
      <c r="F43" s="13">
        <v>5656224</v>
      </c>
      <c r="G43" s="14"/>
    </row>
    <row r="44" spans="1:7" ht="24" thickBot="1" x14ac:dyDescent="0.6">
      <c r="A44" s="15"/>
      <c r="B44" s="16" t="s">
        <v>4</v>
      </c>
      <c r="C44" s="17">
        <f>SUM(C6:C43)</f>
        <v>5870000</v>
      </c>
      <c r="D44" s="17"/>
      <c r="E44" s="17">
        <f>SUM(E7:E43)</f>
        <v>0</v>
      </c>
      <c r="F44" s="17"/>
      <c r="G44" s="18">
        <f>SUM(G7:G43)</f>
        <v>0</v>
      </c>
    </row>
    <row r="45" spans="1:7" ht="15" thickTop="1" x14ac:dyDescent="0.35"/>
    <row r="46" spans="1:7" ht="26" x14ac:dyDescent="0.6">
      <c r="B46" s="5" t="s">
        <v>11</v>
      </c>
      <c r="C46" s="4">
        <f>C44-C5</f>
        <v>5870000</v>
      </c>
    </row>
    <row r="48" spans="1:7" x14ac:dyDescent="0.35">
      <c r="B48" s="1" t="s">
        <v>6</v>
      </c>
      <c r="C48" s="1"/>
      <c r="D48" s="1"/>
      <c r="E48" s="1"/>
      <c r="F48" s="1"/>
    </row>
    <row r="50" spans="2:2" x14ac:dyDescent="0.35">
      <c r="B50" t="s">
        <v>8</v>
      </c>
    </row>
    <row r="51" spans="2:2" x14ac:dyDescent="0.35">
      <c r="B51" t="s">
        <v>9</v>
      </c>
    </row>
    <row r="52" spans="2:2" x14ac:dyDescent="0.35">
      <c r="B52" t="s">
        <v>10</v>
      </c>
    </row>
  </sheetData>
  <autoFilter ref="A4:F42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570C3-E8F5-4A35-88C3-F3911C9E9873}">
  <dimension ref="A1:G52"/>
  <sheetViews>
    <sheetView zoomScale="96" zoomScaleNormal="96" workbookViewId="0">
      <pane xSplit="2" ySplit="4" topLeftCell="C37" activePane="bottomRight" state="frozen"/>
      <selection activeCell="F44" sqref="F44"/>
      <selection pane="topRight" activeCell="F44" sqref="F44"/>
      <selection pane="bottomLeft" activeCell="F44" sqref="F44"/>
      <selection pane="bottomRight" activeCell="C6" sqref="C6:D42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4" width="21.1796875" customWidth="1"/>
    <col min="5" max="5" width="17" bestFit="1" customWidth="1"/>
    <col min="6" max="6" width="17" customWidth="1"/>
    <col min="7" max="7" width="12.453125" bestFit="1" customWidth="1"/>
  </cols>
  <sheetData>
    <row r="1" spans="1:7" x14ac:dyDescent="0.35">
      <c r="A1" s="1" t="s">
        <v>2</v>
      </c>
      <c r="B1" s="1" t="s">
        <v>48</v>
      </c>
      <c r="C1" s="1"/>
      <c r="D1" s="1"/>
      <c r="E1" s="1"/>
      <c r="F1" s="1"/>
    </row>
    <row r="2" spans="1:7" ht="15" thickBot="1" x14ac:dyDescent="0.4">
      <c r="A2" s="1" t="s">
        <v>3</v>
      </c>
      <c r="B2" s="1">
        <v>2025</v>
      </c>
      <c r="C2" s="1"/>
      <c r="D2" s="1"/>
      <c r="E2" s="1"/>
      <c r="F2" s="1"/>
    </row>
    <row r="3" spans="1:7" ht="68.25" customHeight="1" thickTop="1" x14ac:dyDescent="0.35">
      <c r="A3" s="6" t="s">
        <v>0</v>
      </c>
      <c r="B3" s="7" t="s">
        <v>1</v>
      </c>
      <c r="C3" s="7"/>
      <c r="D3" s="7"/>
      <c r="E3" s="7"/>
      <c r="F3" s="7"/>
      <c r="G3" s="8" t="s">
        <v>4</v>
      </c>
    </row>
    <row r="4" spans="1:7" ht="30" customHeight="1" x14ac:dyDescent="0.35">
      <c r="A4" s="9"/>
      <c r="B4" s="10"/>
      <c r="C4" s="10" t="s">
        <v>7</v>
      </c>
      <c r="D4" s="10" t="s">
        <v>5</v>
      </c>
      <c r="E4" s="11" t="s">
        <v>12</v>
      </c>
      <c r="F4" s="11" t="s">
        <v>13</v>
      </c>
      <c r="G4" s="12"/>
    </row>
    <row r="5" spans="1:7" ht="30" customHeight="1" x14ac:dyDescent="0.35">
      <c r="A5" s="9"/>
      <c r="B5" s="10" t="s">
        <v>14</v>
      </c>
      <c r="C5" s="13"/>
      <c r="D5" s="10"/>
      <c r="E5" s="13"/>
      <c r="F5" s="13"/>
      <c r="G5" s="12"/>
    </row>
    <row r="6" spans="1:7" ht="17.5" x14ac:dyDescent="0.35">
      <c r="A6" s="9" t="s">
        <v>15</v>
      </c>
      <c r="B6" s="10" t="str">
        <f>VLOOKUP(A6,[4]LISTADHERENT!A$5:H$50,3,0)</f>
        <v>ASELBY</v>
      </c>
      <c r="C6" s="13">
        <f>VLOOKUP(A6,[5]HISTOAOUT25!$A$6:$BQ$45,56,0)</f>
        <v>560000</v>
      </c>
      <c r="D6" s="13">
        <f>VLOOKUP(A6,[5]HISTOAOUT25!$A$6:$BQ$45,57,0)</f>
        <v>0</v>
      </c>
      <c r="E6" s="13">
        <f>+[6]HISTOBQUEAOUT25!$H$6</f>
        <v>2385</v>
      </c>
      <c r="F6" s="13"/>
      <c r="G6" s="14">
        <f t="shared" ref="G6:G42" si="0">SUM(E6:F6)</f>
        <v>2385</v>
      </c>
    </row>
    <row r="7" spans="1:7" ht="17.5" x14ac:dyDescent="0.35">
      <c r="A7" s="9" t="s">
        <v>16</v>
      </c>
      <c r="B7" s="10" t="str">
        <f>VLOOKUP(A7,[4]LISTADHERENT!A$5:H$50,3,0)</f>
        <v>BAKOP ACHILLE</v>
      </c>
      <c r="C7" s="13">
        <f>VLOOKUP(A7,[5]HISTOAOUT25!$A$6:$BQ$45,56,0)</f>
        <v>297500</v>
      </c>
      <c r="D7" s="13">
        <f>VLOOKUP(A7,[5]HISTOAOUT25!$A$6:$BQ$45,57,0)</f>
        <v>0</v>
      </c>
      <c r="E7" s="13"/>
      <c r="F7" s="13"/>
      <c r="G7" s="14">
        <f t="shared" si="0"/>
        <v>0</v>
      </c>
    </row>
    <row r="8" spans="1:7" s="3" customFormat="1" ht="17.5" x14ac:dyDescent="0.35">
      <c r="A8" s="9" t="s">
        <v>17</v>
      </c>
      <c r="B8" s="10" t="str">
        <f>VLOOKUP(A8,[4]LISTADHERENT!A$5:H$50,3,0)</f>
        <v>BOUTCHOUANG WILLIAM</v>
      </c>
      <c r="C8" s="13">
        <f>VLOOKUP(A8,[5]HISTOAOUT25!$A$6:$BQ$45,56,0)</f>
        <v>0</v>
      </c>
      <c r="D8" s="13">
        <f>VLOOKUP(A8,[5]HISTOAOUT25!$A$6:$BQ$45,57,0)</f>
        <v>0</v>
      </c>
      <c r="E8" s="13"/>
      <c r="F8" s="13"/>
      <c r="G8" s="14">
        <f t="shared" si="0"/>
        <v>0</v>
      </c>
    </row>
    <row r="9" spans="1:7" s="3" customFormat="1" ht="17.5" x14ac:dyDescent="0.35">
      <c r="A9" s="9" t="s">
        <v>18</v>
      </c>
      <c r="B9" s="10" t="str">
        <f>VLOOKUP(A9,[4]LISTADHERENT!A$5:H$50,3,0)</f>
        <v xml:space="preserve">DJOMO JEAN PAUL </v>
      </c>
      <c r="C9" s="13">
        <f>VLOOKUP(A9,[5]HISTOAOUT25!$A$6:$BQ$45,56,0)</f>
        <v>1320000</v>
      </c>
      <c r="D9" s="13">
        <f>VLOOKUP(A9,[5]HISTOAOUT25!$A$6:$BQ$45,57,0)</f>
        <v>0</v>
      </c>
      <c r="E9" s="13"/>
      <c r="F9" s="13"/>
      <c r="G9" s="14">
        <f t="shared" si="0"/>
        <v>0</v>
      </c>
    </row>
    <row r="10" spans="1:7" ht="17.5" x14ac:dyDescent="0.35">
      <c r="A10" s="9" t="s">
        <v>19</v>
      </c>
      <c r="B10" s="10" t="str">
        <f>VLOOKUP(A10,[4]LISTADHERENT!A$5:H$50,3,0)</f>
        <v>DJOMOU TCHAPDA</v>
      </c>
      <c r="C10" s="13">
        <f>VLOOKUP(A10,[5]HISTOAOUT25!$A$6:$BQ$45,56,0)</f>
        <v>0</v>
      </c>
      <c r="D10" s="13">
        <f>VLOOKUP(A10,[5]HISTOAOUT25!$A$6:$BQ$45,57,0)</f>
        <v>0</v>
      </c>
      <c r="E10" s="13"/>
      <c r="F10" s="13"/>
      <c r="G10" s="14">
        <f t="shared" si="0"/>
        <v>0</v>
      </c>
    </row>
    <row r="11" spans="1:7" ht="17.5" x14ac:dyDescent="0.35">
      <c r="A11" s="9" t="s">
        <v>20</v>
      </c>
      <c r="B11" s="10" t="str">
        <f>VLOOKUP(A11,[4]LISTADHERENT!A$5:H$50,3,0)</f>
        <v>DJOUKWE NANGUEN GUY BLAISE</v>
      </c>
      <c r="C11" s="13">
        <f>VLOOKUP(A11,[5]HISTOAOUT25!$A$6:$BQ$45,56,0)</f>
        <v>0</v>
      </c>
      <c r="D11" s="13">
        <f>VLOOKUP(A11,[5]HISTOAOUT25!$A$6:$BQ$45,57,0)</f>
        <v>0</v>
      </c>
      <c r="E11" s="13"/>
      <c r="F11" s="13"/>
      <c r="G11" s="14">
        <f t="shared" si="0"/>
        <v>0</v>
      </c>
    </row>
    <row r="12" spans="1:7" ht="17.5" x14ac:dyDescent="0.35">
      <c r="A12" s="9" t="s">
        <v>21</v>
      </c>
      <c r="B12" s="10" t="str">
        <f>VLOOKUP(A12,[4]LISTADHERENT!A$5:H$50,3,0)</f>
        <v>DJUOMBESSY ANTOINE</v>
      </c>
      <c r="C12" s="13">
        <f>VLOOKUP(A12,[5]HISTOAOUT25!$A$6:$BQ$45,56,0)</f>
        <v>1100000</v>
      </c>
      <c r="D12" s="13">
        <f>VLOOKUP(A12,[5]HISTOAOUT25!$A$6:$BQ$45,57,0)</f>
        <v>0</v>
      </c>
      <c r="E12" s="13"/>
      <c r="F12" s="13"/>
      <c r="G12" s="14">
        <f t="shared" si="0"/>
        <v>0</v>
      </c>
    </row>
    <row r="13" spans="1:7" s="3" customFormat="1" ht="17.5" x14ac:dyDescent="0.35">
      <c r="A13" s="9" t="s">
        <v>22</v>
      </c>
      <c r="B13" s="10" t="str">
        <f>VLOOKUP(A13,[4]LISTADHERENT!A$5:H$50,3,0)</f>
        <v>DOMOU FABIEN</v>
      </c>
      <c r="C13" s="13">
        <f>VLOOKUP(A13,[5]HISTOAOUT25!$A$6:$BQ$45,56,0)</f>
        <v>0</v>
      </c>
      <c r="D13" s="13">
        <f>VLOOKUP(A13,[5]HISTOAOUT25!$A$6:$BQ$45,57,0)</f>
        <v>0</v>
      </c>
      <c r="E13" s="13"/>
      <c r="F13" s="13"/>
      <c r="G13" s="14">
        <f t="shared" si="0"/>
        <v>0</v>
      </c>
    </row>
    <row r="14" spans="1:7" ht="17.5" x14ac:dyDescent="0.35">
      <c r="A14" s="9" t="s">
        <v>23</v>
      </c>
      <c r="B14" s="10" t="str">
        <f>VLOOKUP(A14,[4]LISTADHERENT!A$5:H$50,3,0)</f>
        <v>DONHOU DAVID</v>
      </c>
      <c r="C14" s="13">
        <f>VLOOKUP(A14,[5]HISTOAOUT25!$A$6:$BQ$45,56,0)</f>
        <v>0</v>
      </c>
      <c r="D14" s="13">
        <f>VLOOKUP(A14,[5]HISTOAOUT25!$A$6:$BQ$45,57,0)</f>
        <v>0</v>
      </c>
      <c r="E14" s="13"/>
      <c r="F14" s="13"/>
      <c r="G14" s="14">
        <f t="shared" si="0"/>
        <v>0</v>
      </c>
    </row>
    <row r="15" spans="1:7" ht="17.5" x14ac:dyDescent="0.35">
      <c r="A15" s="9" t="s">
        <v>54</v>
      </c>
      <c r="B15" s="10" t="str">
        <f>VLOOKUP(A15,[4]LISTADHERENT!A$5:H$50,3,0)</f>
        <v>FAMPOU PAUL</v>
      </c>
      <c r="C15" s="13">
        <f>VLOOKUP(A15,[5]HISTOAOUT25!$A$6:$BQ$45,56,0)</f>
        <v>0</v>
      </c>
      <c r="D15" s="13">
        <f>VLOOKUP(A15,[5]HISTOAOUT25!$A$6:$BQ$45,57,0)</f>
        <v>0</v>
      </c>
      <c r="E15" s="13"/>
      <c r="F15" s="13"/>
      <c r="G15" s="14">
        <f t="shared" si="0"/>
        <v>0</v>
      </c>
    </row>
    <row r="16" spans="1:7" ht="17.5" x14ac:dyDescent="0.35">
      <c r="A16" s="9" t="s">
        <v>24</v>
      </c>
      <c r="B16" s="10" t="str">
        <f>VLOOKUP(A16,[4]LISTADHERENT!A$5:H$50,3,0)</f>
        <v>HENGUE PAUL OMER</v>
      </c>
      <c r="C16" s="13">
        <f>VLOOKUP(A16,[5]HISTOAOUT25!$A$6:$BQ$45,56,0)</f>
        <v>296500</v>
      </c>
      <c r="D16" s="13">
        <f>VLOOKUP(A16,[5]HISTOAOUT25!$A$6:$BQ$45,57,0)</f>
        <v>0</v>
      </c>
      <c r="E16" s="13"/>
      <c r="F16" s="13"/>
      <c r="G16" s="14">
        <f t="shared" si="0"/>
        <v>0</v>
      </c>
    </row>
    <row r="17" spans="1:7" ht="17.5" x14ac:dyDescent="0.35">
      <c r="A17" s="9" t="s">
        <v>25</v>
      </c>
      <c r="B17" s="10" t="str">
        <f>VLOOKUP(A17,[4]LISTADHERENT!A$5:H$50,3,0)</f>
        <v>HOTCHO BENJAMIN</v>
      </c>
      <c r="C17" s="13">
        <f>VLOOKUP(A17,[5]HISTOAOUT25!$A$6:$BQ$45,56,0)</f>
        <v>100000</v>
      </c>
      <c r="D17" s="13">
        <f>VLOOKUP(A17,[5]HISTOAOUT25!$A$6:$BQ$45,57,0)</f>
        <v>0</v>
      </c>
      <c r="E17" s="13"/>
      <c r="F17" s="13"/>
      <c r="G17" s="14">
        <f t="shared" si="0"/>
        <v>0</v>
      </c>
    </row>
    <row r="18" spans="1:7" ht="17.5" x14ac:dyDescent="0.35">
      <c r="A18" s="9" t="s">
        <v>26</v>
      </c>
      <c r="B18" s="10" t="str">
        <f>VLOOKUP(A18,[4]LISTADHERENT!A$5:H$50,3,0)</f>
        <v>KOUAMOU MOISE</v>
      </c>
      <c r="C18" s="13">
        <f>VLOOKUP(A18,[5]HISTOAOUT25!$A$6:$BQ$45,56,0)</f>
        <v>0</v>
      </c>
      <c r="D18" s="13">
        <f>VLOOKUP(A18,[5]HISTOAOUT25!$A$6:$BQ$45,57,0)</f>
        <v>0</v>
      </c>
      <c r="E18" s="13"/>
      <c r="F18" s="13"/>
      <c r="G18" s="14">
        <f t="shared" si="0"/>
        <v>0</v>
      </c>
    </row>
    <row r="19" spans="1:7" ht="17.5" x14ac:dyDescent="0.35">
      <c r="A19" s="9" t="s">
        <v>27</v>
      </c>
      <c r="B19" s="10" t="str">
        <f>VLOOKUP(A19,[4]LISTADHERENT!A$5:H$50,3,0)</f>
        <v>KOUATCHO MESSACK</v>
      </c>
      <c r="C19" s="13">
        <f>VLOOKUP(A19,[5]HISTOAOUT25!$A$6:$BQ$45,56,0)</f>
        <v>0</v>
      </c>
      <c r="D19" s="13">
        <f>VLOOKUP(A19,[5]HISTOAOUT25!$A$6:$BQ$45,57,0)</f>
        <v>0</v>
      </c>
      <c r="E19" s="13"/>
      <c r="F19" s="13"/>
      <c r="G19" s="14">
        <f t="shared" si="0"/>
        <v>0</v>
      </c>
    </row>
    <row r="20" spans="1:7" ht="17.5" x14ac:dyDescent="0.35">
      <c r="A20" s="9" t="s">
        <v>55</v>
      </c>
      <c r="B20" s="10" t="str">
        <f>VLOOKUP(A20,[4]LISTADHERENT!A$5:H$50,3,0)</f>
        <v>LOWE JEAN</v>
      </c>
      <c r="C20" s="13">
        <f>VLOOKUP(A20,[5]HISTOAOUT25!$A$6:$BQ$45,56,0)</f>
        <v>0</v>
      </c>
      <c r="D20" s="13">
        <f>VLOOKUP(A20,[5]HISTOAOUT25!$A$6:$BQ$45,57,0)</f>
        <v>0</v>
      </c>
      <c r="E20" s="13"/>
      <c r="F20" s="13"/>
      <c r="G20" s="14"/>
    </row>
    <row r="21" spans="1:7" ht="17.5" x14ac:dyDescent="0.35">
      <c r="A21" s="9" t="s">
        <v>28</v>
      </c>
      <c r="B21" s="10" t="str">
        <f>VLOOKUP(A21,[4]LISTADHERENT!A$5:H$50,3,0)</f>
        <v>MASSEUNGOUE DAGOBERT</v>
      </c>
      <c r="C21" s="13">
        <f>VLOOKUP(A21,[5]HISTOAOUT25!$A$6:$BQ$45,56,0)</f>
        <v>0</v>
      </c>
      <c r="D21" s="13">
        <f>VLOOKUP(A21,[5]HISTOAOUT25!$A$6:$BQ$45,57,0)</f>
        <v>0</v>
      </c>
      <c r="E21" s="13"/>
      <c r="F21" s="13"/>
      <c r="G21" s="14">
        <f t="shared" si="0"/>
        <v>0</v>
      </c>
    </row>
    <row r="22" spans="1:7" ht="17.5" x14ac:dyDescent="0.35">
      <c r="A22" s="9" t="s">
        <v>29</v>
      </c>
      <c r="B22" s="10" t="str">
        <f>VLOOKUP(A22,[4]LISTADHERENT!A$5:H$50,3,0)</f>
        <v>MBOGNING TUGMA GUY</v>
      </c>
      <c r="C22" s="13">
        <f>VLOOKUP(A22,[5]HISTOAOUT25!$A$6:$BQ$45,56,0)</f>
        <v>400000</v>
      </c>
      <c r="D22" s="13">
        <f>VLOOKUP(A22,[5]HISTOAOUT25!$A$6:$BQ$45,57,0)</f>
        <v>0</v>
      </c>
      <c r="E22" s="13"/>
      <c r="F22" s="13"/>
      <c r="G22" s="14">
        <f t="shared" si="0"/>
        <v>0</v>
      </c>
    </row>
    <row r="23" spans="1:7" ht="17.5" x14ac:dyDescent="0.35">
      <c r="A23" s="9" t="s">
        <v>30</v>
      </c>
      <c r="B23" s="10" t="str">
        <f>VLOOKUP(A23,[4]LISTADHERENT!A$5:H$50,3,0)</f>
        <v>NANGUEN MARTIN</v>
      </c>
      <c r="C23" s="13">
        <f>VLOOKUP(A23,[5]HISTOAOUT25!$A$6:$BQ$45,56,0)</f>
        <v>0</v>
      </c>
      <c r="D23" s="13">
        <f>VLOOKUP(A23,[5]HISTOAOUT25!$A$6:$BQ$45,57,0)</f>
        <v>0</v>
      </c>
      <c r="E23" s="13"/>
      <c r="F23" s="13"/>
      <c r="G23" s="14">
        <f t="shared" si="0"/>
        <v>0</v>
      </c>
    </row>
    <row r="24" spans="1:7" ht="17.5" x14ac:dyDescent="0.35">
      <c r="A24" s="9" t="s">
        <v>31</v>
      </c>
      <c r="B24" s="10" t="str">
        <f>VLOOKUP(A24,[4]LISTADHERENT!A$5:H$50,3,0)</f>
        <v>NANKAM APPOLINAIRE</v>
      </c>
      <c r="C24" s="13">
        <f>VLOOKUP(A24,[5]HISTOAOUT25!$A$6:$BQ$45,56,0)</f>
        <v>0</v>
      </c>
      <c r="D24" s="13">
        <f>VLOOKUP(A24,[5]HISTOAOUT25!$A$6:$BQ$45,57,0)</f>
        <v>0</v>
      </c>
      <c r="E24" s="13"/>
      <c r="F24" s="13"/>
      <c r="G24" s="14">
        <f t="shared" si="0"/>
        <v>0</v>
      </c>
    </row>
    <row r="25" spans="1:7" ht="17.5" x14ac:dyDescent="0.35">
      <c r="A25" s="9" t="s">
        <v>32</v>
      </c>
      <c r="B25" s="10" t="str">
        <f>VLOOKUP(A25,[4]LISTADHERENT!A$5:H$50,3,0)</f>
        <v>NDJOMO ETIENNE</v>
      </c>
      <c r="C25" s="13">
        <f>VLOOKUP(A25,[5]HISTOAOUT25!$A$6:$BQ$45,56,0)</f>
        <v>200000</v>
      </c>
      <c r="D25" s="13">
        <f>VLOOKUP(A25,[5]HISTOAOUT25!$A$6:$BQ$45,57,0)</f>
        <v>0</v>
      </c>
      <c r="E25" s="13"/>
      <c r="F25" s="13"/>
      <c r="G25" s="14">
        <f t="shared" si="0"/>
        <v>0</v>
      </c>
    </row>
    <row r="26" spans="1:7" ht="17.5" x14ac:dyDescent="0.35">
      <c r="A26" s="9" t="s">
        <v>33</v>
      </c>
      <c r="B26" s="10" t="str">
        <f>VLOOKUP(A26,[4]LISTADHERENT!A$5:H$50,3,0)</f>
        <v>NGONDIEP CLAUDE</v>
      </c>
      <c r="C26" s="13">
        <f>VLOOKUP(A26,[5]HISTOAOUT25!$A$6:$BQ$45,56,0)</f>
        <v>936500</v>
      </c>
      <c r="D26" s="13">
        <f>VLOOKUP(A26,[5]HISTOAOUT25!$A$6:$BQ$45,57,0)</f>
        <v>0</v>
      </c>
      <c r="E26" s="13"/>
      <c r="F26" s="13"/>
      <c r="G26" s="14">
        <f t="shared" si="0"/>
        <v>0</v>
      </c>
    </row>
    <row r="27" spans="1:7" ht="17.5" x14ac:dyDescent="0.35">
      <c r="A27" s="9" t="s">
        <v>34</v>
      </c>
      <c r="B27" s="10" t="str">
        <f>VLOOKUP(A27,[4]LISTADHERENT!A$5:H$50,3,0)</f>
        <v>NGUIEMEGNI MATHIEU BLAISE</v>
      </c>
      <c r="C27" s="13">
        <f>VLOOKUP(A27,[5]HISTOAOUT25!$A$6:$BQ$45,56,0)</f>
        <v>1151500</v>
      </c>
      <c r="D27" s="13">
        <f>VLOOKUP(A27,[5]HISTOAOUT25!$A$6:$BQ$45,57,0)</f>
        <v>0</v>
      </c>
      <c r="E27" s="13"/>
      <c r="F27" s="13"/>
      <c r="G27" s="14">
        <f t="shared" si="0"/>
        <v>0</v>
      </c>
    </row>
    <row r="28" spans="1:7" ht="17.5" x14ac:dyDescent="0.35">
      <c r="A28" s="9" t="s">
        <v>35</v>
      </c>
      <c r="B28" s="10" t="str">
        <f>VLOOKUP(A28,[4]LISTADHERENT!A$5:H$50,3,0)</f>
        <v>NKAMGANG JUSTIN DEJOLIE</v>
      </c>
      <c r="C28" s="13">
        <f>VLOOKUP(A28,[5]HISTOAOUT25!$A$6:$BQ$45,56,0)</f>
        <v>0</v>
      </c>
      <c r="D28" s="13">
        <f>VLOOKUP(A28,[5]HISTOAOUT25!$A$6:$BQ$45,57,0)</f>
        <v>0</v>
      </c>
      <c r="E28" s="13"/>
      <c r="F28" s="13"/>
      <c r="G28" s="14">
        <f t="shared" si="0"/>
        <v>0</v>
      </c>
    </row>
    <row r="29" spans="1:7" ht="17.5" x14ac:dyDescent="0.35">
      <c r="A29" s="9" t="s">
        <v>36</v>
      </c>
      <c r="B29" s="10" t="str">
        <f>VLOOKUP(A29,[4]LISTADHERENT!A$5:H$50,3,0)</f>
        <v>NOUBE ETIENNE</v>
      </c>
      <c r="C29" s="13">
        <f>VLOOKUP(A29,[5]HISTOAOUT25!$A$6:$BQ$45,56,0)</f>
        <v>0</v>
      </c>
      <c r="D29" s="13">
        <f>VLOOKUP(A29,[5]HISTOAOUT25!$A$6:$BQ$45,57,0)</f>
        <v>0</v>
      </c>
      <c r="E29" s="13"/>
      <c r="F29" s="13"/>
      <c r="G29" s="14">
        <f t="shared" si="0"/>
        <v>0</v>
      </c>
    </row>
    <row r="30" spans="1:7" ht="17.5" x14ac:dyDescent="0.35">
      <c r="A30" s="9" t="s">
        <v>37</v>
      </c>
      <c r="B30" s="10" t="str">
        <f>VLOOKUP(A30,[4]LISTADHERENT!A$5:H$50,3,0)</f>
        <v>PATEGO NJOSSU GUSTAVE</v>
      </c>
      <c r="C30" s="13">
        <f>VLOOKUP(A30,[5]HISTOAOUT25!$A$6:$BQ$45,56,0)</f>
        <v>0</v>
      </c>
      <c r="D30" s="13">
        <f>VLOOKUP(A30,[5]HISTOAOUT25!$A$6:$BQ$45,57,0)</f>
        <v>0</v>
      </c>
      <c r="E30" s="13"/>
      <c r="F30" s="13"/>
      <c r="G30" s="14">
        <f t="shared" si="0"/>
        <v>0</v>
      </c>
    </row>
    <row r="31" spans="1:7" ht="17.5" x14ac:dyDescent="0.35">
      <c r="A31" s="9" t="s">
        <v>38</v>
      </c>
      <c r="B31" s="10" t="str">
        <f>VLOOKUP(A31,[4]LISTADHERENT!A$5:H$50,3,0)</f>
        <v>SEUMO POLYCARPE</v>
      </c>
      <c r="C31" s="13">
        <f>VLOOKUP(A31,[5]HISTOAOUT25!$A$6:$BQ$45,56,0)</f>
        <v>59000</v>
      </c>
      <c r="D31" s="13">
        <f>VLOOKUP(A31,[5]HISTOAOUT25!$A$6:$BQ$45,57,0)</f>
        <v>0</v>
      </c>
      <c r="E31" s="13"/>
      <c r="F31" s="13"/>
      <c r="G31" s="14">
        <f t="shared" si="0"/>
        <v>0</v>
      </c>
    </row>
    <row r="32" spans="1:7" ht="17.5" x14ac:dyDescent="0.35">
      <c r="A32" s="9" t="s">
        <v>39</v>
      </c>
      <c r="B32" s="10" t="str">
        <f>VLOOKUP(A32,[4]LISTADHERENT!A$5:H$50,3,0)</f>
        <v>SIME BRICE</v>
      </c>
      <c r="C32" s="13">
        <f>VLOOKUP(A32,[5]HISTOAOUT25!$A$6:$BQ$45,56,0)</f>
        <v>0</v>
      </c>
      <c r="D32" s="13">
        <f>VLOOKUP(A32,[5]HISTOAOUT25!$A$6:$BQ$45,57,0)</f>
        <v>0</v>
      </c>
      <c r="E32" s="13"/>
      <c r="F32" s="13"/>
      <c r="G32" s="14">
        <f t="shared" si="0"/>
        <v>0</v>
      </c>
    </row>
    <row r="33" spans="1:7" ht="17.5" x14ac:dyDescent="0.35">
      <c r="A33" s="19" t="s">
        <v>51</v>
      </c>
      <c r="B33" s="10" t="str">
        <f>VLOOKUP(A33,[4]LISTADHERENT!A$5:H$50,3,0)</f>
        <v>SIMO FONGANG ERIC</v>
      </c>
      <c r="C33" s="13">
        <f>VLOOKUP(A33,[5]HISTOAOUT25!$A$6:$BQ$45,56,0)</f>
        <v>0</v>
      </c>
      <c r="D33" s="13">
        <f>VLOOKUP(A33,[5]HISTOAOUT25!$A$6:$BQ$45,57,0)</f>
        <v>0</v>
      </c>
      <c r="E33" s="13"/>
      <c r="F33" s="13"/>
      <c r="G33" s="14">
        <f t="shared" si="0"/>
        <v>0</v>
      </c>
    </row>
    <row r="34" spans="1:7" ht="17.5" x14ac:dyDescent="0.35">
      <c r="A34" s="9" t="s">
        <v>40</v>
      </c>
      <c r="B34" s="10" t="str">
        <f>VLOOKUP(A34,[4]LISTADHERENT!A$5:H$50,3,0)</f>
        <v>SIMO PIERRE</v>
      </c>
      <c r="C34" s="13">
        <f>VLOOKUP(A34,[5]HISTOAOUT25!$A$6:$BQ$45,56,0)</f>
        <v>0</v>
      </c>
      <c r="D34" s="13">
        <f>VLOOKUP(A34,[5]HISTOAOUT25!$A$6:$BQ$45,57,0)</f>
        <v>0</v>
      </c>
      <c r="E34" s="13"/>
      <c r="F34" s="13"/>
      <c r="G34" s="14">
        <f t="shared" si="0"/>
        <v>0</v>
      </c>
    </row>
    <row r="35" spans="1:7" ht="17.5" x14ac:dyDescent="0.35">
      <c r="A35" s="9" t="s">
        <v>41</v>
      </c>
      <c r="B35" s="10" t="str">
        <f>VLOOKUP(A35,[4]LISTADHERENT!A$5:H$50,3,0)</f>
        <v>TCHOUAMOU MATHIEU</v>
      </c>
      <c r="C35" s="13">
        <f>VLOOKUP(A35,[5]HISTOAOUT25!$A$6:$BQ$45,56,0)</f>
        <v>200000</v>
      </c>
      <c r="D35" s="13">
        <f>VLOOKUP(A35,[5]HISTOAOUT25!$A$6:$BQ$45,57,0)</f>
        <v>0</v>
      </c>
      <c r="E35" s="13"/>
      <c r="F35" s="13"/>
      <c r="G35" s="14">
        <f t="shared" si="0"/>
        <v>0</v>
      </c>
    </row>
    <row r="36" spans="1:7" ht="17.5" x14ac:dyDescent="0.35">
      <c r="A36" s="9" t="s">
        <v>42</v>
      </c>
      <c r="B36" s="10" t="str">
        <f>VLOOKUP(A36,[4]LISTADHERENT!A$5:H$50,3,0)</f>
        <v>TCHOUATEU AUGUSTIN</v>
      </c>
      <c r="C36" s="13">
        <f>VLOOKUP(A36,[5]HISTOAOUT25!$A$6:$BQ$45,56,0)</f>
        <v>103000</v>
      </c>
      <c r="D36" s="13">
        <f>VLOOKUP(A36,[5]HISTOAOUT25!$A$6:$BQ$45,57,0)</f>
        <v>0</v>
      </c>
      <c r="E36" s="13"/>
      <c r="F36" s="13"/>
      <c r="G36" s="14">
        <f t="shared" si="0"/>
        <v>0</v>
      </c>
    </row>
    <row r="37" spans="1:7" s="3" customFormat="1" ht="17.5" x14ac:dyDescent="0.35">
      <c r="A37" s="9" t="s">
        <v>43</v>
      </c>
      <c r="B37" s="10" t="str">
        <f>VLOOKUP(A37,[4]LISTADHERENT!A$5:H$50,3,0)</f>
        <v>TCHOUTOU NANA CLAUDE</v>
      </c>
      <c r="C37" s="13">
        <f>VLOOKUP(A37,[5]HISTOAOUT25!$A$6:$BQ$45,56,0)</f>
        <v>0</v>
      </c>
      <c r="D37" s="13">
        <f>VLOOKUP(A37,[5]HISTOAOUT25!$A$6:$BQ$45,57,0)</f>
        <v>0</v>
      </c>
      <c r="E37" s="13"/>
      <c r="F37" s="13"/>
      <c r="G37" s="14">
        <f t="shared" si="0"/>
        <v>0</v>
      </c>
    </row>
    <row r="38" spans="1:7" ht="17.5" x14ac:dyDescent="0.35">
      <c r="A38" s="1" t="s">
        <v>52</v>
      </c>
      <c r="B38" s="10" t="str">
        <f>VLOOKUP(A38,[4]LISTADHERENT!A$5:H$50,3,0)</f>
        <v>TIEYAM ERNEST</v>
      </c>
      <c r="C38" s="13">
        <f>VLOOKUP(A38,[5]HISTOAOUT25!$A$6:$BQ$45,56,0)</f>
        <v>0</v>
      </c>
      <c r="D38" s="13">
        <f>VLOOKUP(A38,[5]HISTOAOUT25!$A$6:$BQ$45,57,0)</f>
        <v>0</v>
      </c>
      <c r="E38" s="13"/>
      <c r="F38" s="13"/>
      <c r="G38" s="14">
        <f t="shared" si="0"/>
        <v>0</v>
      </c>
    </row>
    <row r="39" spans="1:7" ht="17.5" x14ac:dyDescent="0.35">
      <c r="A39" s="9" t="s">
        <v>44</v>
      </c>
      <c r="B39" s="10" t="str">
        <f>VLOOKUP(A39,[4]LISTADHERENT!A$5:H$50,3,0)</f>
        <v>YANTCHOU GERVAIS</v>
      </c>
      <c r="C39" s="13">
        <f>VLOOKUP(A39,[5]HISTOAOUT25!$A$6:$BQ$45,56,0)</f>
        <v>0</v>
      </c>
      <c r="D39" s="13">
        <f>VLOOKUP(A39,[5]HISTOAOUT25!$A$6:$BQ$45,57,0)</f>
        <v>0</v>
      </c>
      <c r="E39" s="13"/>
      <c r="F39" s="13"/>
      <c r="G39" s="14">
        <f t="shared" si="0"/>
        <v>0</v>
      </c>
    </row>
    <row r="40" spans="1:7" ht="17.5" x14ac:dyDescent="0.35">
      <c r="A40" s="9" t="s">
        <v>45</v>
      </c>
      <c r="B40" s="10" t="str">
        <f>VLOOKUP(A40,[4]LISTADHERENT!A$5:H$50,3,0)</f>
        <v>YEPMOU JEAN JACQUES</v>
      </c>
      <c r="C40" s="13">
        <f>VLOOKUP(A40,[5]HISTOAOUT25!$A$6:$BQ$45,56,0)</f>
        <v>0</v>
      </c>
      <c r="D40" s="13">
        <f>VLOOKUP(A40,[5]HISTOAOUT25!$A$6:$BQ$45,57,0)</f>
        <v>0</v>
      </c>
      <c r="E40" s="13"/>
      <c r="F40" s="13"/>
      <c r="G40" s="14">
        <f t="shared" si="0"/>
        <v>0</v>
      </c>
    </row>
    <row r="41" spans="1:7" ht="17.5" x14ac:dyDescent="0.35">
      <c r="A41" s="9" t="s">
        <v>46</v>
      </c>
      <c r="B41" s="10" t="str">
        <f>VLOOKUP(A41,[4]LISTADHERENT!A$5:H$50,3,0)</f>
        <v>YIALA ALAIN OSCAR</v>
      </c>
      <c r="C41" s="13">
        <f>VLOOKUP(A41,[5]HISTOAOUT25!$A$6:$BQ$45,56,0)</f>
        <v>0</v>
      </c>
      <c r="D41" s="13">
        <f>VLOOKUP(A41,[5]HISTOAOUT25!$A$6:$BQ$45,57,0)</f>
        <v>0</v>
      </c>
      <c r="E41" s="13"/>
      <c r="F41" s="13"/>
      <c r="G41" s="14">
        <f t="shared" si="0"/>
        <v>0</v>
      </c>
    </row>
    <row r="42" spans="1:7" ht="17.5" x14ac:dyDescent="0.35">
      <c r="A42" s="9" t="s">
        <v>47</v>
      </c>
      <c r="B42" s="10" t="str">
        <f>VLOOKUP(A42,[4]LISTADHERENT!A$5:H$50,3,0)</f>
        <v>YOUMBI EMMANUEL</v>
      </c>
      <c r="C42" s="13">
        <f>VLOOKUP(A42,[5]HISTOAOUT25!$A$6:$BQ$45,56,0)</f>
        <v>0</v>
      </c>
      <c r="D42" s="13">
        <f>VLOOKUP(A42,[5]HISTOAOUT25!$A$6:$BQ$45,57,0)</f>
        <v>0</v>
      </c>
      <c r="E42" s="13"/>
      <c r="F42" s="13"/>
      <c r="G42" s="14">
        <f t="shared" si="0"/>
        <v>0</v>
      </c>
    </row>
    <row r="43" spans="1:7" ht="17.5" x14ac:dyDescent="0.35">
      <c r="A43" s="9"/>
      <c r="B43" s="10" t="s">
        <v>53</v>
      </c>
      <c r="C43" s="10"/>
      <c r="D43" s="10"/>
      <c r="E43" s="13"/>
      <c r="F43" s="13">
        <v>4294839</v>
      </c>
      <c r="G43" s="14"/>
    </row>
    <row r="44" spans="1:7" ht="24" thickBot="1" x14ac:dyDescent="0.6">
      <c r="A44" s="15"/>
      <c r="B44" s="16" t="s">
        <v>4</v>
      </c>
      <c r="C44" s="17">
        <f>SUM(C6:C43)</f>
        <v>6724000</v>
      </c>
      <c r="D44" s="17"/>
      <c r="E44" s="17">
        <f>SUM(E7:E43)</f>
        <v>0</v>
      </c>
      <c r="F44" s="17"/>
      <c r="G44" s="18">
        <f>SUM(G7:G43)</f>
        <v>0</v>
      </c>
    </row>
    <row r="45" spans="1:7" ht="15" thickTop="1" x14ac:dyDescent="0.35"/>
    <row r="46" spans="1:7" ht="26" x14ac:dyDescent="0.6">
      <c r="B46" s="5" t="s">
        <v>11</v>
      </c>
      <c r="C46" s="4">
        <f>C44-C5</f>
        <v>6724000</v>
      </c>
    </row>
    <row r="48" spans="1:7" x14ac:dyDescent="0.35">
      <c r="B48" s="1" t="s">
        <v>6</v>
      </c>
      <c r="C48" s="1"/>
      <c r="D48" s="1"/>
      <c r="E48" s="1"/>
      <c r="F48" s="1"/>
    </row>
    <row r="50" spans="2:2" x14ac:dyDescent="0.35">
      <c r="B50" t="s">
        <v>8</v>
      </c>
    </row>
    <row r="51" spans="2:2" x14ac:dyDescent="0.35">
      <c r="B51" t="s">
        <v>9</v>
      </c>
    </row>
    <row r="52" spans="2:2" x14ac:dyDescent="0.35">
      <c r="B52" t="s">
        <v>10</v>
      </c>
    </row>
  </sheetData>
  <autoFilter ref="A4:F42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89C27-E526-40CA-83D2-35D8CB832DF8}">
  <dimension ref="A1:G52"/>
  <sheetViews>
    <sheetView zoomScale="96" zoomScaleNormal="96" workbookViewId="0">
      <pane xSplit="2" ySplit="4" topLeftCell="C37" activePane="bottomRight" state="frozen"/>
      <selection activeCell="F44" sqref="F44"/>
      <selection pane="topRight" activeCell="F44" sqref="F44"/>
      <selection pane="bottomLeft" activeCell="F44" sqref="F44"/>
      <selection pane="bottomRight" activeCell="C6" sqref="C6:D42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4" width="21.1796875" customWidth="1"/>
    <col min="5" max="5" width="17" bestFit="1" customWidth="1"/>
    <col min="6" max="6" width="17" customWidth="1"/>
    <col min="7" max="7" width="12.453125" bestFit="1" customWidth="1"/>
  </cols>
  <sheetData>
    <row r="1" spans="1:7" x14ac:dyDescent="0.35">
      <c r="A1" s="1" t="s">
        <v>2</v>
      </c>
      <c r="B1" s="1" t="s">
        <v>48</v>
      </c>
      <c r="C1" s="1"/>
      <c r="D1" s="1"/>
      <c r="E1" s="1"/>
      <c r="F1" s="1"/>
    </row>
    <row r="2" spans="1:7" ht="15" thickBot="1" x14ac:dyDescent="0.4">
      <c r="A2" s="1" t="s">
        <v>3</v>
      </c>
      <c r="B2" s="1">
        <v>2025</v>
      </c>
      <c r="C2" s="1"/>
      <c r="D2" s="1"/>
      <c r="E2" s="1"/>
      <c r="F2" s="1"/>
    </row>
    <row r="3" spans="1:7" ht="68.25" customHeight="1" thickTop="1" x14ac:dyDescent="0.35">
      <c r="A3" s="6" t="s">
        <v>0</v>
      </c>
      <c r="B3" s="7" t="s">
        <v>1</v>
      </c>
      <c r="C3" s="7"/>
      <c r="D3" s="7"/>
      <c r="E3" s="7"/>
      <c r="F3" s="7"/>
      <c r="G3" s="8" t="s">
        <v>4</v>
      </c>
    </row>
    <row r="4" spans="1:7" ht="30" customHeight="1" x14ac:dyDescent="0.35">
      <c r="A4" s="9"/>
      <c r="B4" s="10"/>
      <c r="C4" s="10" t="s">
        <v>7</v>
      </c>
      <c r="D4" s="10" t="s">
        <v>5</v>
      </c>
      <c r="E4" s="11" t="s">
        <v>12</v>
      </c>
      <c r="F4" s="11" t="s">
        <v>13</v>
      </c>
      <c r="G4" s="12"/>
    </row>
    <row r="5" spans="1:7" ht="30" customHeight="1" x14ac:dyDescent="0.35">
      <c r="A5" s="9"/>
      <c r="B5" s="10" t="s">
        <v>14</v>
      </c>
      <c r="C5" s="13"/>
      <c r="D5" s="10"/>
      <c r="E5" s="13"/>
      <c r="F5" s="13"/>
      <c r="G5" s="12"/>
    </row>
    <row r="6" spans="1:7" ht="17.5" x14ac:dyDescent="0.35">
      <c r="A6" s="9" t="s">
        <v>15</v>
      </c>
      <c r="B6" s="10" t="str">
        <f>VLOOKUP(A6,[4]LISTADHERENT!A$5:H$50,3,0)</f>
        <v>ASELBY</v>
      </c>
      <c r="C6" s="13">
        <f>VLOOKUP(A6,[5]HISTOSEPT25!$A$6:$BQ$45,56,0)</f>
        <v>12000</v>
      </c>
      <c r="D6" s="13">
        <f>VLOOKUP(A6,[5]HISTOSEPT25!$A$6:$BQ$45,57,0)</f>
        <v>0</v>
      </c>
      <c r="E6" s="13">
        <f>+[6]HISTOBQUESEPT25!$H$6</f>
        <v>1193</v>
      </c>
      <c r="F6" s="13"/>
      <c r="G6" s="14">
        <f t="shared" ref="G6:G42" si="0">SUM(E6:F6)</f>
        <v>1193</v>
      </c>
    </row>
    <row r="7" spans="1:7" ht="17.5" x14ac:dyDescent="0.35">
      <c r="A7" s="9" t="s">
        <v>16</v>
      </c>
      <c r="B7" s="10" t="str">
        <f>VLOOKUP(A7,[4]LISTADHERENT!A$5:H$50,3,0)</f>
        <v>BAKOP ACHILLE</v>
      </c>
      <c r="C7" s="13">
        <f>VLOOKUP(A7,[5]HISTOSEPT25!$A$6:$BQ$45,56,0)</f>
        <v>0</v>
      </c>
      <c r="D7" s="13">
        <f>VLOOKUP(A7,[5]HISTOSEPT25!$A$6:$BQ$45,57,0)</f>
        <v>0</v>
      </c>
      <c r="E7" s="13"/>
      <c r="F7" s="13"/>
      <c r="G7" s="14">
        <f t="shared" si="0"/>
        <v>0</v>
      </c>
    </row>
    <row r="8" spans="1:7" s="3" customFormat="1" ht="17.5" x14ac:dyDescent="0.35">
      <c r="A8" s="9" t="s">
        <v>17</v>
      </c>
      <c r="B8" s="10" t="str">
        <f>VLOOKUP(A8,[4]LISTADHERENT!A$5:H$50,3,0)</f>
        <v>BOUTCHOUANG WILLIAM</v>
      </c>
      <c r="C8" s="13">
        <f>VLOOKUP(A8,[5]HISTOSEPT25!$A$6:$BQ$45,56,0)</f>
        <v>297500</v>
      </c>
      <c r="D8" s="13">
        <f>VLOOKUP(A8,[5]HISTOSEPT25!$A$6:$BQ$45,57,0)</f>
        <v>0</v>
      </c>
      <c r="E8" s="13"/>
      <c r="F8" s="13"/>
      <c r="G8" s="14">
        <f t="shared" si="0"/>
        <v>0</v>
      </c>
    </row>
    <row r="9" spans="1:7" s="3" customFormat="1" ht="17.5" x14ac:dyDescent="0.35">
      <c r="A9" s="9" t="s">
        <v>18</v>
      </c>
      <c r="B9" s="10" t="str">
        <f>VLOOKUP(A9,[4]LISTADHERENT!A$5:H$50,3,0)</f>
        <v xml:space="preserve">DJOMO JEAN PAUL </v>
      </c>
      <c r="C9" s="13">
        <f>VLOOKUP(A9,[5]HISTOSEPT25!$A$6:$BQ$45,56,0)</f>
        <v>0</v>
      </c>
      <c r="D9" s="13">
        <f>VLOOKUP(A9,[5]HISTOSEPT25!$A$6:$BQ$45,57,0)</f>
        <v>0</v>
      </c>
      <c r="E9" s="13"/>
      <c r="F9" s="13"/>
      <c r="G9" s="14">
        <f t="shared" si="0"/>
        <v>0</v>
      </c>
    </row>
    <row r="10" spans="1:7" ht="17.5" x14ac:dyDescent="0.35">
      <c r="A10" s="9" t="s">
        <v>19</v>
      </c>
      <c r="B10" s="10" t="str">
        <f>VLOOKUP(A10,[4]LISTADHERENT!A$5:H$50,3,0)</f>
        <v>DJOMOU TCHAPDA</v>
      </c>
      <c r="C10" s="13">
        <f>VLOOKUP(A10,[5]HISTOSEPT25!$A$6:$BQ$45,56,0)</f>
        <v>0</v>
      </c>
      <c r="D10" s="13">
        <f>VLOOKUP(A10,[5]HISTOSEPT25!$A$6:$BQ$45,57,0)</f>
        <v>0</v>
      </c>
      <c r="E10" s="13"/>
      <c r="F10" s="13"/>
      <c r="G10" s="14">
        <f t="shared" si="0"/>
        <v>0</v>
      </c>
    </row>
    <row r="11" spans="1:7" ht="17.5" x14ac:dyDescent="0.35">
      <c r="A11" s="9" t="s">
        <v>20</v>
      </c>
      <c r="B11" s="10" t="str">
        <f>VLOOKUP(A11,[4]LISTADHERENT!A$5:H$50,3,0)</f>
        <v>DJOUKWE NANGUEN GUY BLAISE</v>
      </c>
      <c r="C11" s="13">
        <f>VLOOKUP(A11,[5]HISTOSEPT25!$A$6:$BQ$45,56,0)</f>
        <v>200000</v>
      </c>
      <c r="D11" s="13">
        <f>VLOOKUP(A11,[5]HISTOSEPT25!$A$6:$BQ$45,57,0)</f>
        <v>0</v>
      </c>
      <c r="E11" s="13"/>
      <c r="F11" s="13"/>
      <c r="G11" s="14">
        <f t="shared" si="0"/>
        <v>0</v>
      </c>
    </row>
    <row r="12" spans="1:7" ht="17.5" x14ac:dyDescent="0.35">
      <c r="A12" s="9" t="s">
        <v>21</v>
      </c>
      <c r="B12" s="10" t="str">
        <f>VLOOKUP(A12,[4]LISTADHERENT!A$5:H$50,3,0)</f>
        <v>DJUOMBESSY ANTOINE</v>
      </c>
      <c r="C12" s="13">
        <f>VLOOKUP(A12,[5]HISTOSEPT25!$A$6:$BQ$45,56,0)</f>
        <v>1185000</v>
      </c>
      <c r="D12" s="13">
        <f>VLOOKUP(A12,[5]HISTOSEPT25!$A$6:$BQ$45,57,0)</f>
        <v>0</v>
      </c>
      <c r="E12" s="13"/>
      <c r="F12" s="13"/>
      <c r="G12" s="14">
        <f t="shared" si="0"/>
        <v>0</v>
      </c>
    </row>
    <row r="13" spans="1:7" s="3" customFormat="1" ht="17.5" x14ac:dyDescent="0.35">
      <c r="A13" s="9" t="s">
        <v>22</v>
      </c>
      <c r="B13" s="10" t="str">
        <f>VLOOKUP(A13,[4]LISTADHERENT!A$5:H$50,3,0)</f>
        <v>DOMOU FABIEN</v>
      </c>
      <c r="C13" s="13">
        <f>VLOOKUP(A13,[5]HISTOSEPT25!$A$6:$BQ$45,56,0)</f>
        <v>0</v>
      </c>
      <c r="D13" s="13">
        <f>VLOOKUP(A13,[5]HISTOSEPT25!$A$6:$BQ$45,57,0)</f>
        <v>0</v>
      </c>
      <c r="E13" s="13"/>
      <c r="F13" s="13"/>
      <c r="G13" s="14">
        <f t="shared" si="0"/>
        <v>0</v>
      </c>
    </row>
    <row r="14" spans="1:7" ht="17.5" x14ac:dyDescent="0.35">
      <c r="A14" s="9" t="s">
        <v>23</v>
      </c>
      <c r="B14" s="10" t="str">
        <f>VLOOKUP(A14,[4]LISTADHERENT!A$5:H$50,3,0)</f>
        <v>DONHOU DAVID</v>
      </c>
      <c r="C14" s="13">
        <f>VLOOKUP(A14,[5]HISTOSEPT25!$A$6:$BQ$45,56,0)</f>
        <v>0</v>
      </c>
      <c r="D14" s="13">
        <f>VLOOKUP(A14,[5]HISTOSEPT25!$A$6:$BQ$45,57,0)</f>
        <v>0</v>
      </c>
      <c r="E14" s="13"/>
      <c r="F14" s="13"/>
      <c r="G14" s="14">
        <f t="shared" si="0"/>
        <v>0</v>
      </c>
    </row>
    <row r="15" spans="1:7" ht="17.5" x14ac:dyDescent="0.35">
      <c r="A15" s="9" t="s">
        <v>54</v>
      </c>
      <c r="B15" s="10" t="str">
        <f>VLOOKUP(A15,[4]LISTADHERENT!A$5:H$50,3,0)</f>
        <v>FAMPOU PAUL</v>
      </c>
      <c r="C15" s="13">
        <f>VLOOKUP(A15,[5]HISTOSEPT25!$A$6:$BQ$45,56,0)</f>
        <v>0</v>
      </c>
      <c r="D15" s="13">
        <f>VLOOKUP(A15,[5]HISTOSEPT25!$A$6:$BQ$45,57,0)</f>
        <v>0</v>
      </c>
      <c r="E15" s="13"/>
      <c r="F15" s="13"/>
      <c r="G15" s="14">
        <f t="shared" si="0"/>
        <v>0</v>
      </c>
    </row>
    <row r="16" spans="1:7" ht="17.5" x14ac:dyDescent="0.35">
      <c r="A16" s="9" t="s">
        <v>24</v>
      </c>
      <c r="B16" s="10" t="str">
        <f>VLOOKUP(A16,[4]LISTADHERENT!A$5:H$50,3,0)</f>
        <v>HENGUE PAUL OMER</v>
      </c>
      <c r="C16" s="13">
        <f>VLOOKUP(A16,[5]HISTOSEPT25!$A$6:$BQ$45,56,0)</f>
        <v>891500</v>
      </c>
      <c r="D16" s="13">
        <f>VLOOKUP(A16,[5]HISTOSEPT25!$A$6:$BQ$45,57,0)</f>
        <v>0</v>
      </c>
      <c r="E16" s="13"/>
      <c r="F16" s="13"/>
      <c r="G16" s="14">
        <f t="shared" si="0"/>
        <v>0</v>
      </c>
    </row>
    <row r="17" spans="1:7" ht="17.5" x14ac:dyDescent="0.35">
      <c r="A17" s="9" t="s">
        <v>25</v>
      </c>
      <c r="B17" s="10" t="str">
        <f>VLOOKUP(A17,[4]LISTADHERENT!A$5:H$50,3,0)</f>
        <v>HOTCHO BENJAMIN</v>
      </c>
      <c r="C17" s="13">
        <f>VLOOKUP(A17,[5]HISTOSEPT25!$A$6:$BQ$45,56,0)</f>
        <v>100000</v>
      </c>
      <c r="D17" s="13">
        <f>VLOOKUP(A17,[5]HISTOSEPT25!$A$6:$BQ$45,57,0)</f>
        <v>0</v>
      </c>
      <c r="E17" s="13"/>
      <c r="F17" s="13"/>
      <c r="G17" s="14">
        <f t="shared" si="0"/>
        <v>0</v>
      </c>
    </row>
    <row r="18" spans="1:7" ht="17.5" x14ac:dyDescent="0.35">
      <c r="A18" s="9" t="s">
        <v>26</v>
      </c>
      <c r="B18" s="10" t="str">
        <f>VLOOKUP(A18,[4]LISTADHERENT!A$5:H$50,3,0)</f>
        <v>KOUAMOU MOISE</v>
      </c>
      <c r="C18" s="13">
        <f>VLOOKUP(A18,[5]HISTOSEPT25!$A$6:$BQ$45,56,0)</f>
        <v>0</v>
      </c>
      <c r="D18" s="13">
        <f>VLOOKUP(A18,[5]HISTOSEPT25!$A$6:$BQ$45,57,0)</f>
        <v>0</v>
      </c>
      <c r="E18" s="13"/>
      <c r="F18" s="13"/>
      <c r="G18" s="14">
        <f t="shared" si="0"/>
        <v>0</v>
      </c>
    </row>
    <row r="19" spans="1:7" ht="17.5" x14ac:dyDescent="0.35">
      <c r="A19" s="9" t="s">
        <v>27</v>
      </c>
      <c r="B19" s="10" t="str">
        <f>VLOOKUP(A19,[4]LISTADHERENT!A$5:H$50,3,0)</f>
        <v>KOUATCHO MESSACK</v>
      </c>
      <c r="C19" s="13">
        <f>VLOOKUP(A19,[5]HISTOSEPT25!$A$6:$BQ$45,56,0)</f>
        <v>100000</v>
      </c>
      <c r="D19" s="13">
        <f>VLOOKUP(A19,[5]HISTOSEPT25!$A$6:$BQ$45,57,0)</f>
        <v>0</v>
      </c>
      <c r="E19" s="13"/>
      <c r="F19" s="13"/>
      <c r="G19" s="14">
        <f t="shared" si="0"/>
        <v>0</v>
      </c>
    </row>
    <row r="20" spans="1:7" ht="17.5" x14ac:dyDescent="0.35">
      <c r="A20" s="9" t="s">
        <v>55</v>
      </c>
      <c r="B20" s="10" t="str">
        <f>VLOOKUP(A20,[4]LISTADHERENT!A$5:H$50,3,0)</f>
        <v>LOWE JEAN</v>
      </c>
      <c r="C20" s="13">
        <f>VLOOKUP(A20,[5]HISTOSEPT25!$A$6:$BQ$45,56,0)</f>
        <v>0</v>
      </c>
      <c r="D20" s="13">
        <f>VLOOKUP(A20,[5]HISTOSEPT25!$A$6:$BQ$45,57,0)</f>
        <v>0</v>
      </c>
      <c r="E20" s="13"/>
      <c r="F20" s="13"/>
      <c r="G20" s="14"/>
    </row>
    <row r="21" spans="1:7" ht="17.5" x14ac:dyDescent="0.35">
      <c r="A21" s="9" t="s">
        <v>28</v>
      </c>
      <c r="B21" s="10" t="str">
        <f>VLOOKUP(A21,[4]LISTADHERENT!A$5:H$50,3,0)</f>
        <v>MASSEUNGOUE DAGOBERT</v>
      </c>
      <c r="C21" s="13">
        <f>VLOOKUP(A21,[5]HISTOSEPT25!$A$6:$BQ$45,56,0)</f>
        <v>282500</v>
      </c>
      <c r="D21" s="13">
        <f>VLOOKUP(A21,[5]HISTOSEPT25!$A$6:$BQ$45,57,0)</f>
        <v>0</v>
      </c>
      <c r="E21" s="13"/>
      <c r="F21" s="13"/>
      <c r="G21" s="14">
        <f t="shared" si="0"/>
        <v>0</v>
      </c>
    </row>
    <row r="22" spans="1:7" ht="17.5" x14ac:dyDescent="0.35">
      <c r="A22" s="9" t="s">
        <v>29</v>
      </c>
      <c r="B22" s="10" t="str">
        <f>VLOOKUP(A22,[4]LISTADHERENT!A$5:H$50,3,0)</f>
        <v>MBOGNING TUGMA GUY</v>
      </c>
      <c r="C22" s="13">
        <f>VLOOKUP(A22,[5]HISTOSEPT25!$A$6:$BQ$45,56,0)</f>
        <v>100000</v>
      </c>
      <c r="D22" s="13">
        <f>VLOOKUP(A22,[5]HISTOSEPT25!$A$6:$BQ$45,57,0)</f>
        <v>0</v>
      </c>
      <c r="E22" s="13"/>
      <c r="F22" s="13"/>
      <c r="G22" s="14">
        <f t="shared" si="0"/>
        <v>0</v>
      </c>
    </row>
    <row r="23" spans="1:7" ht="17.5" x14ac:dyDescent="0.35">
      <c r="A23" s="9" t="s">
        <v>30</v>
      </c>
      <c r="B23" s="10" t="str">
        <f>VLOOKUP(A23,[4]LISTADHERENT!A$5:H$50,3,0)</f>
        <v>NANGUEN MARTIN</v>
      </c>
      <c r="C23" s="13">
        <f>VLOOKUP(A23,[5]HISTOSEPT25!$A$6:$BQ$45,56,0)</f>
        <v>100000</v>
      </c>
      <c r="D23" s="13">
        <f>VLOOKUP(A23,[5]HISTOSEPT25!$A$6:$BQ$45,57,0)</f>
        <v>0</v>
      </c>
      <c r="E23" s="13"/>
      <c r="F23" s="13"/>
      <c r="G23" s="14">
        <f t="shared" si="0"/>
        <v>0</v>
      </c>
    </row>
    <row r="24" spans="1:7" ht="17.5" x14ac:dyDescent="0.35">
      <c r="A24" s="9" t="s">
        <v>31</v>
      </c>
      <c r="B24" s="10" t="str">
        <f>VLOOKUP(A24,[4]LISTADHERENT!A$5:H$50,3,0)</f>
        <v>NANKAM APPOLINAIRE</v>
      </c>
      <c r="C24" s="13">
        <f>VLOOKUP(A24,[5]HISTOSEPT25!$A$6:$BQ$45,56,0)</f>
        <v>0</v>
      </c>
      <c r="D24" s="13">
        <f>VLOOKUP(A24,[5]HISTOSEPT25!$A$6:$BQ$45,57,0)</f>
        <v>0</v>
      </c>
      <c r="E24" s="13"/>
      <c r="F24" s="13"/>
      <c r="G24" s="14">
        <f t="shared" si="0"/>
        <v>0</v>
      </c>
    </row>
    <row r="25" spans="1:7" ht="17.5" x14ac:dyDescent="0.35">
      <c r="A25" s="9" t="s">
        <v>32</v>
      </c>
      <c r="B25" s="10" t="str">
        <f>VLOOKUP(A25,[4]LISTADHERENT!A$5:H$50,3,0)</f>
        <v>NDJOMO ETIENNE</v>
      </c>
      <c r="C25" s="13">
        <f>VLOOKUP(A25,[5]HISTOSEPT25!$A$6:$BQ$45,56,0)</f>
        <v>100000</v>
      </c>
      <c r="D25" s="13">
        <f>VLOOKUP(A25,[5]HISTOSEPT25!$A$6:$BQ$45,57,0)</f>
        <v>0</v>
      </c>
      <c r="E25" s="13"/>
      <c r="F25" s="13"/>
      <c r="G25" s="14">
        <f t="shared" si="0"/>
        <v>0</v>
      </c>
    </row>
    <row r="26" spans="1:7" ht="17.5" x14ac:dyDescent="0.35">
      <c r="A26" s="9" t="s">
        <v>33</v>
      </c>
      <c r="B26" s="10" t="str">
        <f>VLOOKUP(A26,[4]LISTADHERENT!A$5:H$50,3,0)</f>
        <v>NGONDIEP CLAUDE</v>
      </c>
      <c r="C26" s="13">
        <f>VLOOKUP(A26,[5]HISTOSEPT25!$A$6:$BQ$45,56,0)</f>
        <v>0</v>
      </c>
      <c r="D26" s="13">
        <f>VLOOKUP(A26,[5]HISTOSEPT25!$A$6:$BQ$45,57,0)</f>
        <v>0</v>
      </c>
      <c r="E26" s="13"/>
      <c r="F26" s="13"/>
      <c r="G26" s="14">
        <f t="shared" si="0"/>
        <v>0</v>
      </c>
    </row>
    <row r="27" spans="1:7" ht="17.5" x14ac:dyDescent="0.35">
      <c r="A27" s="9" t="s">
        <v>34</v>
      </c>
      <c r="B27" s="10" t="str">
        <f>VLOOKUP(A27,[4]LISTADHERENT!A$5:H$50,3,0)</f>
        <v>NGUIEMEGNI MATHIEU BLAISE</v>
      </c>
      <c r="C27" s="13">
        <f>VLOOKUP(A27,[5]HISTOSEPT25!$A$6:$BQ$45,56,0)</f>
        <v>200000</v>
      </c>
      <c r="D27" s="13">
        <f>VLOOKUP(A27,[5]HISTOSEPT25!$A$6:$BQ$45,57,0)</f>
        <v>0</v>
      </c>
      <c r="E27" s="13"/>
      <c r="F27" s="13"/>
      <c r="G27" s="14">
        <f t="shared" si="0"/>
        <v>0</v>
      </c>
    </row>
    <row r="28" spans="1:7" ht="17.5" x14ac:dyDescent="0.35">
      <c r="A28" s="9" t="s">
        <v>35</v>
      </c>
      <c r="B28" s="10" t="str">
        <f>VLOOKUP(A28,[4]LISTADHERENT!A$5:H$50,3,0)</f>
        <v>NKAMGANG JUSTIN DEJOLIE</v>
      </c>
      <c r="C28" s="13">
        <f>VLOOKUP(A28,[5]HISTOSEPT25!$A$6:$BQ$45,56,0)</f>
        <v>0</v>
      </c>
      <c r="D28" s="13">
        <f>VLOOKUP(A28,[5]HISTOSEPT25!$A$6:$BQ$45,57,0)</f>
        <v>0</v>
      </c>
      <c r="E28" s="13"/>
      <c r="F28" s="13"/>
      <c r="G28" s="14">
        <f t="shared" si="0"/>
        <v>0</v>
      </c>
    </row>
    <row r="29" spans="1:7" ht="17.5" x14ac:dyDescent="0.35">
      <c r="A29" s="9" t="s">
        <v>36</v>
      </c>
      <c r="B29" s="10" t="str">
        <f>VLOOKUP(A29,[4]LISTADHERENT!A$5:H$50,3,0)</f>
        <v>NOUBE ETIENNE</v>
      </c>
      <c r="C29" s="13">
        <f>VLOOKUP(A29,[5]HISTOSEPT25!$A$6:$BQ$45,56,0)</f>
        <v>0</v>
      </c>
      <c r="D29" s="13">
        <f>VLOOKUP(A29,[5]HISTOSEPT25!$A$6:$BQ$45,57,0)</f>
        <v>0</v>
      </c>
      <c r="E29" s="13"/>
      <c r="F29" s="13"/>
      <c r="G29" s="14">
        <f t="shared" si="0"/>
        <v>0</v>
      </c>
    </row>
    <row r="30" spans="1:7" ht="17.5" x14ac:dyDescent="0.35">
      <c r="A30" s="9" t="s">
        <v>37</v>
      </c>
      <c r="B30" s="10" t="str">
        <f>VLOOKUP(A30,[4]LISTADHERENT!A$5:H$50,3,0)</f>
        <v>PATEGO NJOSSU GUSTAVE</v>
      </c>
      <c r="C30" s="13">
        <f>VLOOKUP(A30,[5]HISTOSEPT25!$A$6:$BQ$45,56,0)</f>
        <v>297500</v>
      </c>
      <c r="D30" s="13">
        <f>VLOOKUP(A30,[5]HISTOSEPT25!$A$6:$BQ$45,57,0)</f>
        <v>0</v>
      </c>
      <c r="E30" s="13"/>
      <c r="F30" s="13"/>
      <c r="G30" s="14">
        <f t="shared" si="0"/>
        <v>0</v>
      </c>
    </row>
    <row r="31" spans="1:7" ht="17.5" x14ac:dyDescent="0.35">
      <c r="A31" s="9" t="s">
        <v>38</v>
      </c>
      <c r="B31" s="10" t="str">
        <f>VLOOKUP(A31,[4]LISTADHERENT!A$5:H$50,3,0)</f>
        <v>SEUMO POLYCARPE</v>
      </c>
      <c r="C31" s="13">
        <f>VLOOKUP(A31,[5]HISTOSEPT25!$A$6:$BQ$45,56,0)</f>
        <v>59000</v>
      </c>
      <c r="D31" s="13">
        <f>VLOOKUP(A31,[5]HISTOSEPT25!$A$6:$BQ$45,57,0)</f>
        <v>0</v>
      </c>
      <c r="E31" s="13"/>
      <c r="F31" s="13"/>
      <c r="G31" s="14">
        <f t="shared" si="0"/>
        <v>0</v>
      </c>
    </row>
    <row r="32" spans="1:7" ht="17.5" x14ac:dyDescent="0.35">
      <c r="A32" s="9" t="s">
        <v>39</v>
      </c>
      <c r="B32" s="10" t="str">
        <f>VLOOKUP(A32,[4]LISTADHERENT!A$5:H$50,3,0)</f>
        <v>SIME BRICE</v>
      </c>
      <c r="C32" s="13">
        <f>VLOOKUP(A32,[5]HISTOSEPT25!$A$6:$BQ$45,56,0)</f>
        <v>200000</v>
      </c>
      <c r="D32" s="13">
        <f>VLOOKUP(A32,[5]HISTOSEPT25!$A$6:$BQ$45,57,0)</f>
        <v>0</v>
      </c>
      <c r="E32" s="13"/>
      <c r="F32" s="13"/>
      <c r="G32" s="14">
        <f t="shared" si="0"/>
        <v>0</v>
      </c>
    </row>
    <row r="33" spans="1:7" ht="17.5" x14ac:dyDescent="0.35">
      <c r="A33" s="19" t="s">
        <v>51</v>
      </c>
      <c r="B33" s="10" t="str">
        <f>VLOOKUP(A33,[4]LISTADHERENT!A$5:H$50,3,0)</f>
        <v>SIMO FONGANG ERIC</v>
      </c>
      <c r="C33" s="13">
        <f>VLOOKUP(A33,[5]HISTOSEPT25!$A$6:$BQ$45,56,0)</f>
        <v>0</v>
      </c>
      <c r="D33" s="13">
        <f>VLOOKUP(A33,[5]HISTOSEPT25!$A$6:$BQ$45,57,0)</f>
        <v>0</v>
      </c>
      <c r="E33" s="13"/>
      <c r="F33" s="13"/>
      <c r="G33" s="14">
        <f t="shared" si="0"/>
        <v>0</v>
      </c>
    </row>
    <row r="34" spans="1:7" ht="17.5" x14ac:dyDescent="0.35">
      <c r="A34" s="9" t="s">
        <v>40</v>
      </c>
      <c r="B34" s="10" t="str">
        <f>VLOOKUP(A34,[4]LISTADHERENT!A$5:H$50,3,0)</f>
        <v>SIMO PIERRE</v>
      </c>
      <c r="C34" s="13">
        <f>VLOOKUP(A34,[5]HISTOSEPT25!$A$6:$BQ$45,56,0)</f>
        <v>30500</v>
      </c>
      <c r="D34" s="13">
        <f>VLOOKUP(A34,[5]HISTOSEPT25!$A$6:$BQ$45,57,0)</f>
        <v>0</v>
      </c>
      <c r="E34" s="13"/>
      <c r="F34" s="13"/>
      <c r="G34" s="14">
        <f t="shared" si="0"/>
        <v>0</v>
      </c>
    </row>
    <row r="35" spans="1:7" ht="17.5" x14ac:dyDescent="0.35">
      <c r="A35" s="9" t="s">
        <v>41</v>
      </c>
      <c r="B35" s="10" t="str">
        <f>VLOOKUP(A35,[4]LISTADHERENT!A$5:H$50,3,0)</f>
        <v>TCHOUAMOU MATHIEU</v>
      </c>
      <c r="C35" s="13">
        <f>VLOOKUP(A35,[5]HISTOSEPT25!$A$6:$BQ$45,56,0)</f>
        <v>200000</v>
      </c>
      <c r="D35" s="13">
        <f>VLOOKUP(A35,[5]HISTOSEPT25!$A$6:$BQ$45,57,0)</f>
        <v>0</v>
      </c>
      <c r="E35" s="13"/>
      <c r="F35" s="13"/>
      <c r="G35" s="14">
        <f t="shared" si="0"/>
        <v>0</v>
      </c>
    </row>
    <row r="36" spans="1:7" ht="17.5" x14ac:dyDescent="0.35">
      <c r="A36" s="9" t="s">
        <v>42</v>
      </c>
      <c r="B36" s="10" t="str">
        <f>VLOOKUP(A36,[4]LISTADHERENT!A$5:H$50,3,0)</f>
        <v>TCHOUATEU AUGUSTIN</v>
      </c>
      <c r="C36" s="13">
        <f>VLOOKUP(A36,[5]HISTOSEPT25!$A$6:$BQ$45,56,0)</f>
        <v>0</v>
      </c>
      <c r="D36" s="13">
        <f>VLOOKUP(A36,[5]HISTOSEPT25!$A$6:$BQ$45,57,0)</f>
        <v>0</v>
      </c>
      <c r="E36" s="13"/>
      <c r="F36" s="13"/>
      <c r="G36" s="14">
        <f t="shared" si="0"/>
        <v>0</v>
      </c>
    </row>
    <row r="37" spans="1:7" s="3" customFormat="1" ht="17.5" x14ac:dyDescent="0.35">
      <c r="A37" s="9" t="s">
        <v>43</v>
      </c>
      <c r="B37" s="10" t="str">
        <f>VLOOKUP(A37,[4]LISTADHERENT!A$5:H$50,3,0)</f>
        <v>TCHOUTOU NANA CLAUDE</v>
      </c>
      <c r="C37" s="13">
        <f>VLOOKUP(A37,[5]HISTOSEPT25!$A$6:$BQ$45,56,0)</f>
        <v>0</v>
      </c>
      <c r="D37" s="13">
        <f>VLOOKUP(A37,[5]HISTOSEPT25!$A$6:$BQ$45,57,0)</f>
        <v>0</v>
      </c>
      <c r="E37" s="13"/>
      <c r="F37" s="13"/>
      <c r="G37" s="14">
        <f t="shared" si="0"/>
        <v>0</v>
      </c>
    </row>
    <row r="38" spans="1:7" ht="17.5" x14ac:dyDescent="0.35">
      <c r="A38" s="1" t="s">
        <v>52</v>
      </c>
      <c r="B38" s="10" t="str">
        <f>VLOOKUP(A38,[4]LISTADHERENT!A$5:H$50,3,0)</f>
        <v>TIEYAM ERNEST</v>
      </c>
      <c r="C38" s="13">
        <f>VLOOKUP(A38,[5]HISTOSEPT25!$A$6:$BQ$45,56,0)</f>
        <v>0</v>
      </c>
      <c r="D38" s="13">
        <f>VLOOKUP(A38,[5]HISTOSEPT25!$A$6:$BQ$45,57,0)</f>
        <v>0</v>
      </c>
      <c r="E38" s="13"/>
      <c r="F38" s="13"/>
      <c r="G38" s="14">
        <f t="shared" si="0"/>
        <v>0</v>
      </c>
    </row>
    <row r="39" spans="1:7" ht="17.5" x14ac:dyDescent="0.35">
      <c r="A39" s="9" t="s">
        <v>44</v>
      </c>
      <c r="B39" s="10" t="str">
        <f>VLOOKUP(A39,[4]LISTADHERENT!A$5:H$50,3,0)</f>
        <v>YANTCHOU GERVAIS</v>
      </c>
      <c r="C39" s="13">
        <f>VLOOKUP(A39,[5]HISTOSEPT25!$A$6:$BQ$45,56,0)</f>
        <v>0</v>
      </c>
      <c r="D39" s="13">
        <f>VLOOKUP(A39,[5]HISTOSEPT25!$A$6:$BQ$45,57,0)</f>
        <v>0</v>
      </c>
      <c r="E39" s="13"/>
      <c r="F39" s="13"/>
      <c r="G39" s="14">
        <f t="shared" si="0"/>
        <v>0</v>
      </c>
    </row>
    <row r="40" spans="1:7" ht="17.5" x14ac:dyDescent="0.35">
      <c r="A40" s="9" t="s">
        <v>45</v>
      </c>
      <c r="B40" s="10" t="str">
        <f>VLOOKUP(A40,[4]LISTADHERENT!A$5:H$50,3,0)</f>
        <v>YEPMOU JEAN JACQUES</v>
      </c>
      <c r="C40" s="13">
        <f>VLOOKUP(A40,[5]HISTOSEPT25!$A$6:$BQ$45,56,0)</f>
        <v>0</v>
      </c>
      <c r="D40" s="13">
        <f>VLOOKUP(A40,[5]HISTOSEPT25!$A$6:$BQ$45,57,0)</f>
        <v>0</v>
      </c>
      <c r="E40" s="13"/>
      <c r="F40" s="13"/>
      <c r="G40" s="14">
        <f t="shared" si="0"/>
        <v>0</v>
      </c>
    </row>
    <row r="41" spans="1:7" ht="17.5" x14ac:dyDescent="0.35">
      <c r="A41" s="9" t="s">
        <v>46</v>
      </c>
      <c r="B41" s="10" t="str">
        <f>VLOOKUP(A41,[4]LISTADHERENT!A$5:H$50,3,0)</f>
        <v>YIALA ALAIN OSCAR</v>
      </c>
      <c r="C41" s="13">
        <f>VLOOKUP(A41,[5]HISTOSEPT25!$A$6:$BQ$45,56,0)</f>
        <v>0</v>
      </c>
      <c r="D41" s="13">
        <f>VLOOKUP(A41,[5]HISTOSEPT25!$A$6:$BQ$45,57,0)</f>
        <v>0</v>
      </c>
      <c r="E41" s="13"/>
      <c r="F41" s="13"/>
      <c r="G41" s="14">
        <f t="shared" si="0"/>
        <v>0</v>
      </c>
    </row>
    <row r="42" spans="1:7" ht="17.5" x14ac:dyDescent="0.35">
      <c r="A42" s="9" t="s">
        <v>47</v>
      </c>
      <c r="B42" s="10" t="str">
        <f>VLOOKUP(A42,[4]LISTADHERENT!A$5:H$50,3,0)</f>
        <v>YOUMBI EMMANUEL</v>
      </c>
      <c r="C42" s="13">
        <f>VLOOKUP(A42,[5]HISTOSEPT25!$A$6:$BQ$45,56,0)</f>
        <v>0</v>
      </c>
      <c r="D42" s="13">
        <f>VLOOKUP(A42,[5]HISTOSEPT25!$A$6:$BQ$45,57,0)</f>
        <v>0</v>
      </c>
      <c r="E42" s="13"/>
      <c r="F42" s="13"/>
      <c r="G42" s="14">
        <f t="shared" si="0"/>
        <v>0</v>
      </c>
    </row>
    <row r="43" spans="1:7" ht="17.5" x14ac:dyDescent="0.35">
      <c r="A43" s="9"/>
      <c r="B43" s="10" t="s">
        <v>53</v>
      </c>
      <c r="C43" s="10"/>
      <c r="D43" s="10"/>
      <c r="E43" s="13"/>
      <c r="F43" s="13">
        <v>5455146</v>
      </c>
      <c r="G43" s="14"/>
    </row>
    <row r="44" spans="1:7" ht="24" thickBot="1" x14ac:dyDescent="0.6">
      <c r="A44" s="15"/>
      <c r="B44" s="16" t="s">
        <v>4</v>
      </c>
      <c r="C44" s="17">
        <f>SUM(C6:C43)</f>
        <v>4355500</v>
      </c>
      <c r="D44" s="17"/>
      <c r="E44" s="17">
        <f>SUM(E7:E43)</f>
        <v>0</v>
      </c>
      <c r="F44" s="17"/>
      <c r="G44" s="18">
        <f>SUM(G7:G43)</f>
        <v>0</v>
      </c>
    </row>
    <row r="45" spans="1:7" ht="15" thickTop="1" x14ac:dyDescent="0.35"/>
    <row r="46" spans="1:7" ht="26" x14ac:dyDescent="0.6">
      <c r="B46" s="5" t="s">
        <v>11</v>
      </c>
      <c r="C46" s="4">
        <f>C44-C5</f>
        <v>4355500</v>
      </c>
    </row>
    <row r="48" spans="1:7" x14ac:dyDescent="0.35">
      <c r="B48" s="1" t="s">
        <v>6</v>
      </c>
      <c r="C48" s="1"/>
      <c r="D48" s="1"/>
      <c r="E48" s="1"/>
      <c r="F48" s="1"/>
    </row>
    <row r="50" spans="2:2" x14ac:dyDescent="0.35">
      <c r="B50" t="s">
        <v>8</v>
      </c>
    </row>
    <row r="51" spans="2:2" x14ac:dyDescent="0.35">
      <c r="B51" t="s">
        <v>9</v>
      </c>
    </row>
    <row r="52" spans="2:2" x14ac:dyDescent="0.35">
      <c r="B52" t="s">
        <v>10</v>
      </c>
    </row>
  </sheetData>
  <autoFilter ref="A4:F42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D0DD4-86B5-47CD-B4E2-1A12BF219BB6}">
  <dimension ref="A1:G52"/>
  <sheetViews>
    <sheetView zoomScale="96" zoomScaleNormal="96" workbookViewId="0">
      <pane xSplit="2" ySplit="4" topLeftCell="C5" activePane="bottomRight" state="frozen"/>
      <selection activeCell="F44" sqref="F44"/>
      <selection pane="topRight" activeCell="F44" sqref="F44"/>
      <selection pane="bottomLeft" activeCell="F44" sqref="F44"/>
      <selection pane="bottomRight" activeCell="C6" sqref="C6:D42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4" width="21.1796875" customWidth="1"/>
    <col min="5" max="5" width="17" bestFit="1" customWidth="1"/>
    <col min="6" max="6" width="17" customWidth="1"/>
    <col min="7" max="7" width="12.453125" bestFit="1" customWidth="1"/>
  </cols>
  <sheetData>
    <row r="1" spans="1:7" x14ac:dyDescent="0.35">
      <c r="A1" s="1" t="s">
        <v>2</v>
      </c>
      <c r="B1" s="1" t="s">
        <v>48</v>
      </c>
      <c r="C1" s="1"/>
      <c r="D1" s="1"/>
      <c r="E1" s="1"/>
      <c r="F1" s="1"/>
    </row>
    <row r="2" spans="1:7" ht="15" thickBot="1" x14ac:dyDescent="0.4">
      <c r="A2" s="1" t="s">
        <v>3</v>
      </c>
      <c r="B2" s="1">
        <v>2025</v>
      </c>
      <c r="C2" s="1"/>
      <c r="D2" s="1"/>
      <c r="E2" s="1"/>
      <c r="F2" s="1"/>
    </row>
    <row r="3" spans="1:7" ht="68.25" customHeight="1" thickTop="1" x14ac:dyDescent="0.35">
      <c r="A3" s="6" t="s">
        <v>0</v>
      </c>
      <c r="B3" s="7" t="s">
        <v>1</v>
      </c>
      <c r="C3" s="7"/>
      <c r="D3" s="7"/>
      <c r="E3" s="7"/>
      <c r="F3" s="7"/>
      <c r="G3" s="8" t="s">
        <v>4</v>
      </c>
    </row>
    <row r="4" spans="1:7" ht="30" customHeight="1" x14ac:dyDescent="0.35">
      <c r="A4" s="9"/>
      <c r="B4" s="10"/>
      <c r="C4" s="10" t="s">
        <v>7</v>
      </c>
      <c r="D4" s="10" t="s">
        <v>5</v>
      </c>
      <c r="E4" s="11" t="s">
        <v>12</v>
      </c>
      <c r="F4" s="11" t="s">
        <v>13</v>
      </c>
      <c r="G4" s="12"/>
    </row>
    <row r="5" spans="1:7" ht="30" customHeight="1" x14ac:dyDescent="0.35">
      <c r="A5" s="9"/>
      <c r="B5" s="10" t="s">
        <v>14</v>
      </c>
      <c r="C5" s="13"/>
      <c r="D5" s="10"/>
      <c r="E5" s="13"/>
      <c r="F5" s="13"/>
      <c r="G5" s="12"/>
    </row>
    <row r="6" spans="1:7" ht="17.5" x14ac:dyDescent="0.35">
      <c r="A6" s="9" t="s">
        <v>15</v>
      </c>
      <c r="B6" s="10" t="str">
        <f>VLOOKUP(A6,[4]LISTADHERENT!A$5:H$50,3,0)</f>
        <v>ASELBY</v>
      </c>
      <c r="C6" s="13">
        <f>VLOOKUP(A6,[5]HISTOOCT25!$A$6:$BQ$45,56,0)</f>
        <v>500</v>
      </c>
      <c r="D6" s="13">
        <f>VLOOKUP(A6,[5]HISTOOCT25!$A$6:$BQ$45,57,0)</f>
        <v>0</v>
      </c>
      <c r="E6" s="13">
        <f>+[6]HISTOBQUEOCT25!$H$6</f>
        <v>3578</v>
      </c>
      <c r="F6" s="13"/>
      <c r="G6" s="14">
        <f t="shared" ref="G6:G42" si="0">SUM(E6:F6)</f>
        <v>3578</v>
      </c>
    </row>
    <row r="7" spans="1:7" ht="17.5" x14ac:dyDescent="0.35">
      <c r="A7" s="9" t="s">
        <v>16</v>
      </c>
      <c r="B7" s="10" t="str">
        <f>VLOOKUP(A7,[4]LISTADHERENT!A$5:H$50,3,0)</f>
        <v>BAKOP ACHILLE</v>
      </c>
      <c r="C7" s="13">
        <f>VLOOKUP(A7,[5]HISTOOCT25!$A$6:$BQ$45,56,0)</f>
        <v>0</v>
      </c>
      <c r="D7" s="13">
        <f>VLOOKUP(A7,[5]HISTOOCT25!$A$6:$BQ$45,57,0)</f>
        <v>0</v>
      </c>
      <c r="E7" s="13"/>
      <c r="F7" s="13"/>
      <c r="G7" s="14">
        <f t="shared" si="0"/>
        <v>0</v>
      </c>
    </row>
    <row r="8" spans="1:7" s="3" customFormat="1" ht="17.5" x14ac:dyDescent="0.35">
      <c r="A8" s="9" t="s">
        <v>17</v>
      </c>
      <c r="B8" s="10" t="str">
        <f>VLOOKUP(A8,[4]LISTADHERENT!A$5:H$50,3,0)</f>
        <v>BOUTCHOUANG WILLIAM</v>
      </c>
      <c r="C8" s="13">
        <f>VLOOKUP(A8,[5]HISTOOCT25!$A$6:$BQ$45,56,0)</f>
        <v>1377500</v>
      </c>
      <c r="D8" s="13">
        <f>VLOOKUP(A8,[5]HISTOOCT25!$A$6:$BQ$45,57,0)</f>
        <v>0</v>
      </c>
      <c r="E8" s="13"/>
      <c r="F8" s="13"/>
      <c r="G8" s="14">
        <f t="shared" si="0"/>
        <v>0</v>
      </c>
    </row>
    <row r="9" spans="1:7" s="3" customFormat="1" ht="17.5" x14ac:dyDescent="0.35">
      <c r="A9" s="9" t="s">
        <v>18</v>
      </c>
      <c r="B9" s="10" t="str">
        <f>VLOOKUP(A9,[4]LISTADHERENT!A$5:H$50,3,0)</f>
        <v xml:space="preserve">DJOMO JEAN PAUL </v>
      </c>
      <c r="C9" s="13">
        <f>VLOOKUP(A9,[5]HISTOOCT25!$A$6:$BQ$45,56,0)</f>
        <v>0</v>
      </c>
      <c r="D9" s="13">
        <f>VLOOKUP(A9,[5]HISTOOCT25!$A$6:$BQ$45,57,0)</f>
        <v>0</v>
      </c>
      <c r="E9" s="13"/>
      <c r="F9" s="13"/>
      <c r="G9" s="14">
        <f t="shared" si="0"/>
        <v>0</v>
      </c>
    </row>
    <row r="10" spans="1:7" ht="17.5" x14ac:dyDescent="0.35">
      <c r="A10" s="9" t="s">
        <v>19</v>
      </c>
      <c r="B10" s="10" t="str">
        <f>VLOOKUP(A10,[4]LISTADHERENT!A$5:H$50,3,0)</f>
        <v>DJOMOU TCHAPDA</v>
      </c>
      <c r="C10" s="13">
        <f>VLOOKUP(A10,[5]HISTOOCT25!$A$6:$BQ$45,56,0)</f>
        <v>0</v>
      </c>
      <c r="D10" s="13">
        <f>VLOOKUP(A10,[5]HISTOOCT25!$A$6:$BQ$45,57,0)</f>
        <v>0</v>
      </c>
      <c r="E10" s="13"/>
      <c r="F10" s="13"/>
      <c r="G10" s="14">
        <f t="shared" si="0"/>
        <v>0</v>
      </c>
    </row>
    <row r="11" spans="1:7" ht="17.5" x14ac:dyDescent="0.35">
      <c r="A11" s="9" t="s">
        <v>20</v>
      </c>
      <c r="B11" s="10" t="str">
        <f>VLOOKUP(A11,[4]LISTADHERENT!A$5:H$50,3,0)</f>
        <v>DJOUKWE NANGUEN GUY BLAISE</v>
      </c>
      <c r="C11" s="13">
        <f>VLOOKUP(A11,[5]HISTOOCT25!$A$6:$BQ$45,56,0)</f>
        <v>0</v>
      </c>
      <c r="D11" s="13">
        <f>VLOOKUP(A11,[5]HISTOOCT25!$A$6:$BQ$45,57,0)</f>
        <v>0</v>
      </c>
      <c r="E11" s="13"/>
      <c r="F11" s="13"/>
      <c r="G11" s="14">
        <f t="shared" si="0"/>
        <v>0</v>
      </c>
    </row>
    <row r="12" spans="1:7" ht="17.5" x14ac:dyDescent="0.35">
      <c r="A12" s="9" t="s">
        <v>21</v>
      </c>
      <c r="B12" s="10" t="str">
        <f>VLOOKUP(A12,[4]LISTADHERENT!A$5:H$50,3,0)</f>
        <v>DJUOMBESSY ANTOINE</v>
      </c>
      <c r="C12" s="13">
        <f>VLOOKUP(A12,[5]HISTOOCT25!$A$6:$BQ$45,56,0)</f>
        <v>148500</v>
      </c>
      <c r="D12" s="13">
        <f>VLOOKUP(A12,[5]HISTOOCT25!$A$6:$BQ$45,57,0)</f>
        <v>0</v>
      </c>
      <c r="E12" s="13"/>
      <c r="F12" s="13"/>
      <c r="G12" s="14">
        <f t="shared" si="0"/>
        <v>0</v>
      </c>
    </row>
    <row r="13" spans="1:7" s="3" customFormat="1" ht="17.5" x14ac:dyDescent="0.35">
      <c r="A13" s="9" t="s">
        <v>22</v>
      </c>
      <c r="B13" s="10" t="str">
        <f>VLOOKUP(A13,[4]LISTADHERENT!A$5:H$50,3,0)</f>
        <v>DOMOU FABIEN</v>
      </c>
      <c r="C13" s="13">
        <f>VLOOKUP(A13,[5]HISTOOCT25!$A$6:$BQ$45,56,0)</f>
        <v>0</v>
      </c>
      <c r="D13" s="13">
        <f>VLOOKUP(A13,[5]HISTOOCT25!$A$6:$BQ$45,57,0)</f>
        <v>0</v>
      </c>
      <c r="E13" s="13"/>
      <c r="F13" s="13"/>
      <c r="G13" s="14">
        <f t="shared" si="0"/>
        <v>0</v>
      </c>
    </row>
    <row r="14" spans="1:7" ht="17.5" x14ac:dyDescent="0.35">
      <c r="A14" s="9" t="s">
        <v>23</v>
      </c>
      <c r="B14" s="10" t="str">
        <f>VLOOKUP(A14,[4]LISTADHERENT!A$5:H$50,3,0)</f>
        <v>DONHOU DAVID</v>
      </c>
      <c r="C14" s="13">
        <f>VLOOKUP(A14,[5]HISTOOCT25!$A$6:$BQ$45,56,0)</f>
        <v>0</v>
      </c>
      <c r="D14" s="13">
        <f>VLOOKUP(A14,[5]HISTOOCT25!$A$6:$BQ$45,57,0)</f>
        <v>0</v>
      </c>
      <c r="E14" s="13"/>
      <c r="F14" s="13"/>
      <c r="G14" s="14">
        <f t="shared" si="0"/>
        <v>0</v>
      </c>
    </row>
    <row r="15" spans="1:7" ht="17.5" x14ac:dyDescent="0.35">
      <c r="A15" s="9" t="s">
        <v>54</v>
      </c>
      <c r="B15" s="10" t="str">
        <f>VLOOKUP(A15,[4]LISTADHERENT!A$5:H$50,3,0)</f>
        <v>FAMPOU PAUL</v>
      </c>
      <c r="C15" s="13">
        <f>VLOOKUP(A15,[5]HISTOOCT25!$A$6:$BQ$45,56,0)</f>
        <v>0</v>
      </c>
      <c r="D15" s="13">
        <f>VLOOKUP(A15,[5]HISTOOCT25!$A$6:$BQ$45,57,0)</f>
        <v>0</v>
      </c>
      <c r="E15" s="13"/>
      <c r="F15" s="13"/>
      <c r="G15" s="14">
        <f t="shared" si="0"/>
        <v>0</v>
      </c>
    </row>
    <row r="16" spans="1:7" ht="17.5" x14ac:dyDescent="0.35">
      <c r="A16" s="9" t="s">
        <v>24</v>
      </c>
      <c r="B16" s="10" t="str">
        <f>VLOOKUP(A16,[4]LISTADHERENT!A$5:H$50,3,0)</f>
        <v>HENGUE PAUL OMER</v>
      </c>
      <c r="C16" s="13">
        <f>VLOOKUP(A16,[5]HISTOOCT25!$A$6:$BQ$45,56,0)</f>
        <v>0</v>
      </c>
      <c r="D16" s="13">
        <f>VLOOKUP(A16,[5]HISTOOCT25!$A$6:$BQ$45,57,0)</f>
        <v>0</v>
      </c>
      <c r="E16" s="13"/>
      <c r="F16" s="13"/>
      <c r="G16" s="14">
        <f t="shared" si="0"/>
        <v>0</v>
      </c>
    </row>
    <row r="17" spans="1:7" ht="17.5" x14ac:dyDescent="0.35">
      <c r="A17" s="9" t="s">
        <v>25</v>
      </c>
      <c r="B17" s="10" t="str">
        <f>VLOOKUP(A17,[4]LISTADHERENT!A$5:H$50,3,0)</f>
        <v>HOTCHO BENJAMIN</v>
      </c>
      <c r="C17" s="13">
        <f>VLOOKUP(A17,[5]HISTOOCT25!$A$6:$BQ$45,56,0)</f>
        <v>396000</v>
      </c>
      <c r="D17" s="13">
        <f>VLOOKUP(A17,[5]HISTOOCT25!$A$6:$BQ$45,57,0)</f>
        <v>0</v>
      </c>
      <c r="E17" s="13"/>
      <c r="F17" s="13"/>
      <c r="G17" s="14">
        <f t="shared" si="0"/>
        <v>0</v>
      </c>
    </row>
    <row r="18" spans="1:7" ht="17.5" x14ac:dyDescent="0.35">
      <c r="A18" s="9" t="s">
        <v>26</v>
      </c>
      <c r="B18" s="10" t="str">
        <f>VLOOKUP(A18,[4]LISTADHERENT!A$5:H$50,3,0)</f>
        <v>KOUAMOU MOISE</v>
      </c>
      <c r="C18" s="13">
        <f>VLOOKUP(A18,[5]HISTOOCT25!$A$6:$BQ$45,56,0)</f>
        <v>10000</v>
      </c>
      <c r="D18" s="13">
        <f>VLOOKUP(A18,[5]HISTOOCT25!$A$6:$BQ$45,57,0)</f>
        <v>0</v>
      </c>
      <c r="E18" s="13"/>
      <c r="F18" s="13"/>
      <c r="G18" s="14">
        <f t="shared" si="0"/>
        <v>0</v>
      </c>
    </row>
    <row r="19" spans="1:7" ht="17.5" x14ac:dyDescent="0.35">
      <c r="A19" s="9" t="s">
        <v>27</v>
      </c>
      <c r="B19" s="10" t="str">
        <f>VLOOKUP(A19,[4]LISTADHERENT!A$5:H$50,3,0)</f>
        <v>KOUATCHO MESSACK</v>
      </c>
      <c r="C19" s="13">
        <f>VLOOKUP(A19,[5]HISTOOCT25!$A$6:$BQ$45,56,0)</f>
        <v>0</v>
      </c>
      <c r="D19" s="13">
        <f>VLOOKUP(A19,[5]HISTOOCT25!$A$6:$BQ$45,57,0)</f>
        <v>0</v>
      </c>
      <c r="E19" s="13"/>
      <c r="F19" s="13"/>
      <c r="G19" s="14">
        <f t="shared" si="0"/>
        <v>0</v>
      </c>
    </row>
    <row r="20" spans="1:7" ht="17.5" x14ac:dyDescent="0.35">
      <c r="A20" s="9" t="s">
        <v>55</v>
      </c>
      <c r="B20" s="10" t="str">
        <f>VLOOKUP(A20,[4]LISTADHERENT!A$5:H$50,3,0)</f>
        <v>LOWE JEAN</v>
      </c>
      <c r="C20" s="13">
        <f>VLOOKUP(A20,[5]HISTOOCT25!$A$6:$BQ$45,56,0)</f>
        <v>0</v>
      </c>
      <c r="D20" s="13">
        <f>VLOOKUP(A20,[5]HISTOOCT25!$A$6:$BQ$45,57,0)</f>
        <v>0</v>
      </c>
      <c r="E20" s="13"/>
      <c r="F20" s="13"/>
      <c r="G20" s="14"/>
    </row>
    <row r="21" spans="1:7" ht="17.5" x14ac:dyDescent="0.35">
      <c r="A21" s="9" t="s">
        <v>28</v>
      </c>
      <c r="B21" s="10" t="str">
        <f>VLOOKUP(A21,[4]LISTADHERENT!A$5:H$50,3,0)</f>
        <v>MASSEUNGOUE DAGOBERT</v>
      </c>
      <c r="C21" s="13">
        <f>VLOOKUP(A21,[5]HISTOOCT25!$A$6:$BQ$45,56,0)</f>
        <v>0</v>
      </c>
      <c r="D21" s="13">
        <f>VLOOKUP(A21,[5]HISTOOCT25!$A$6:$BQ$45,57,0)</f>
        <v>0</v>
      </c>
      <c r="E21" s="13"/>
      <c r="F21" s="13"/>
      <c r="G21" s="14">
        <f t="shared" si="0"/>
        <v>0</v>
      </c>
    </row>
    <row r="22" spans="1:7" ht="17.5" x14ac:dyDescent="0.35">
      <c r="A22" s="9" t="s">
        <v>29</v>
      </c>
      <c r="B22" s="10" t="str">
        <f>VLOOKUP(A22,[4]LISTADHERENT!A$5:H$50,3,0)</f>
        <v>MBOGNING TUGMA GUY</v>
      </c>
      <c r="C22" s="13">
        <f>VLOOKUP(A22,[5]HISTOOCT25!$A$6:$BQ$45,56,0)</f>
        <v>1049000</v>
      </c>
      <c r="D22" s="13">
        <f>VLOOKUP(A22,[5]HISTOOCT25!$A$6:$BQ$45,57,0)</f>
        <v>0</v>
      </c>
      <c r="E22" s="13"/>
      <c r="F22" s="13"/>
      <c r="G22" s="14">
        <f t="shared" si="0"/>
        <v>0</v>
      </c>
    </row>
    <row r="23" spans="1:7" ht="17.5" x14ac:dyDescent="0.35">
      <c r="A23" s="9" t="s">
        <v>30</v>
      </c>
      <c r="B23" s="10" t="str">
        <f>VLOOKUP(A23,[4]LISTADHERENT!A$5:H$50,3,0)</f>
        <v>NANGUEN MARTIN</v>
      </c>
      <c r="C23" s="13">
        <f>VLOOKUP(A23,[5]HISTOOCT25!$A$6:$BQ$45,56,0)</f>
        <v>0</v>
      </c>
      <c r="D23" s="13">
        <f>VLOOKUP(A23,[5]HISTOOCT25!$A$6:$BQ$45,57,0)</f>
        <v>0</v>
      </c>
      <c r="E23" s="13"/>
      <c r="F23" s="13"/>
      <c r="G23" s="14">
        <f t="shared" si="0"/>
        <v>0</v>
      </c>
    </row>
    <row r="24" spans="1:7" ht="17.5" x14ac:dyDescent="0.35">
      <c r="A24" s="9" t="s">
        <v>31</v>
      </c>
      <c r="B24" s="10" t="str">
        <f>VLOOKUP(A24,[4]LISTADHERENT!A$5:H$50,3,0)</f>
        <v>NANKAM APPOLINAIRE</v>
      </c>
      <c r="C24" s="13">
        <f>VLOOKUP(A24,[5]HISTOOCT25!$A$6:$BQ$45,56,0)</f>
        <v>0</v>
      </c>
      <c r="D24" s="13">
        <f>VLOOKUP(A24,[5]HISTOOCT25!$A$6:$BQ$45,57,0)</f>
        <v>0</v>
      </c>
      <c r="E24" s="13"/>
      <c r="F24" s="13"/>
      <c r="G24" s="14">
        <f t="shared" si="0"/>
        <v>0</v>
      </c>
    </row>
    <row r="25" spans="1:7" ht="17.5" x14ac:dyDescent="0.35">
      <c r="A25" s="9" t="s">
        <v>32</v>
      </c>
      <c r="B25" s="10" t="str">
        <f>VLOOKUP(A25,[4]LISTADHERENT!A$5:H$50,3,0)</f>
        <v>NDJOMO ETIENNE</v>
      </c>
      <c r="C25" s="13">
        <f>VLOOKUP(A25,[5]HISTOOCT25!$A$6:$BQ$45,56,0)</f>
        <v>500000</v>
      </c>
      <c r="D25" s="13">
        <f>VLOOKUP(A25,[5]HISTOOCT25!$A$6:$BQ$45,57,0)</f>
        <v>0</v>
      </c>
      <c r="E25" s="13"/>
      <c r="F25" s="13"/>
      <c r="G25" s="14">
        <f t="shared" si="0"/>
        <v>0</v>
      </c>
    </row>
    <row r="26" spans="1:7" ht="17.5" x14ac:dyDescent="0.35">
      <c r="A26" s="9" t="s">
        <v>33</v>
      </c>
      <c r="B26" s="10" t="str">
        <f>VLOOKUP(A26,[4]LISTADHERENT!A$5:H$50,3,0)</f>
        <v>NGONDIEP CLAUDE</v>
      </c>
      <c r="C26" s="13">
        <f>VLOOKUP(A26,[5]HISTOOCT25!$A$6:$BQ$45,56,0)</f>
        <v>0</v>
      </c>
      <c r="D26" s="13">
        <f>VLOOKUP(A26,[5]HISTOOCT25!$A$6:$BQ$45,57,0)</f>
        <v>0</v>
      </c>
      <c r="E26" s="13"/>
      <c r="F26" s="13"/>
      <c r="G26" s="14">
        <f t="shared" si="0"/>
        <v>0</v>
      </c>
    </row>
    <row r="27" spans="1:7" ht="17.5" x14ac:dyDescent="0.35">
      <c r="A27" s="9" t="s">
        <v>34</v>
      </c>
      <c r="B27" s="10" t="str">
        <f>VLOOKUP(A27,[4]LISTADHERENT!A$5:H$50,3,0)</f>
        <v>NGUIEMEGNI MATHIEU BLAISE</v>
      </c>
      <c r="C27" s="13">
        <f>VLOOKUP(A27,[5]HISTOOCT25!$A$6:$BQ$45,56,0)</f>
        <v>100000</v>
      </c>
      <c r="D27" s="13">
        <f>VLOOKUP(A27,[5]HISTOOCT25!$A$6:$BQ$45,57,0)</f>
        <v>0</v>
      </c>
      <c r="E27" s="13"/>
      <c r="F27" s="13"/>
      <c r="G27" s="14">
        <f t="shared" si="0"/>
        <v>0</v>
      </c>
    </row>
    <row r="28" spans="1:7" ht="17.5" x14ac:dyDescent="0.35">
      <c r="A28" s="9" t="s">
        <v>35</v>
      </c>
      <c r="B28" s="10" t="str">
        <f>VLOOKUP(A28,[4]LISTADHERENT!A$5:H$50,3,0)</f>
        <v>NKAMGANG JUSTIN DEJOLIE</v>
      </c>
      <c r="C28" s="13">
        <f>VLOOKUP(A28,[5]HISTOOCT25!$A$6:$BQ$45,56,0)</f>
        <v>970000</v>
      </c>
      <c r="D28" s="13">
        <f>VLOOKUP(A28,[5]HISTOOCT25!$A$6:$BQ$45,57,0)</f>
        <v>0</v>
      </c>
      <c r="E28" s="13"/>
      <c r="F28" s="13"/>
      <c r="G28" s="14">
        <f t="shared" si="0"/>
        <v>0</v>
      </c>
    </row>
    <row r="29" spans="1:7" ht="17.5" x14ac:dyDescent="0.35">
      <c r="A29" s="9" t="s">
        <v>36</v>
      </c>
      <c r="B29" s="10" t="str">
        <f>VLOOKUP(A29,[4]LISTADHERENT!A$5:H$50,3,0)</f>
        <v>NOUBE ETIENNE</v>
      </c>
      <c r="C29" s="13">
        <f>VLOOKUP(A29,[5]HISTOOCT25!$A$6:$BQ$45,56,0)</f>
        <v>0</v>
      </c>
      <c r="D29" s="13">
        <f>VLOOKUP(A29,[5]HISTOOCT25!$A$6:$BQ$45,57,0)</f>
        <v>0</v>
      </c>
      <c r="E29" s="13"/>
      <c r="F29" s="13"/>
      <c r="G29" s="14">
        <f t="shared" si="0"/>
        <v>0</v>
      </c>
    </row>
    <row r="30" spans="1:7" ht="17.5" x14ac:dyDescent="0.35">
      <c r="A30" s="9" t="s">
        <v>37</v>
      </c>
      <c r="B30" s="10" t="str">
        <f>VLOOKUP(A30,[4]LISTADHERENT!A$5:H$50,3,0)</f>
        <v>PATEGO NJOSSU GUSTAVE</v>
      </c>
      <c r="C30" s="13">
        <f>VLOOKUP(A30,[5]HISTOOCT25!$A$6:$BQ$45,56,0)</f>
        <v>0</v>
      </c>
      <c r="D30" s="13">
        <f>VLOOKUP(A30,[5]HISTOOCT25!$A$6:$BQ$45,57,0)</f>
        <v>0</v>
      </c>
      <c r="E30" s="13"/>
      <c r="F30" s="13"/>
      <c r="G30" s="14">
        <f t="shared" si="0"/>
        <v>0</v>
      </c>
    </row>
    <row r="31" spans="1:7" ht="17.5" x14ac:dyDescent="0.35">
      <c r="A31" s="9" t="s">
        <v>38</v>
      </c>
      <c r="B31" s="10" t="str">
        <f>VLOOKUP(A31,[4]LISTADHERENT!A$5:H$50,3,0)</f>
        <v>SEUMO POLYCARPE</v>
      </c>
      <c r="C31" s="13">
        <f>VLOOKUP(A31,[5]HISTOOCT25!$A$6:$BQ$45,56,0)</f>
        <v>59000</v>
      </c>
      <c r="D31" s="13">
        <f>VLOOKUP(A31,[5]HISTOOCT25!$A$6:$BQ$45,57,0)</f>
        <v>0</v>
      </c>
      <c r="E31" s="13"/>
      <c r="F31" s="13"/>
      <c r="G31" s="14">
        <f t="shared" si="0"/>
        <v>0</v>
      </c>
    </row>
    <row r="32" spans="1:7" ht="17.5" x14ac:dyDescent="0.35">
      <c r="A32" s="9" t="s">
        <v>39</v>
      </c>
      <c r="B32" s="10" t="str">
        <f>VLOOKUP(A32,[4]LISTADHERENT!A$5:H$50,3,0)</f>
        <v>SIME BRICE</v>
      </c>
      <c r="C32" s="13">
        <f>VLOOKUP(A32,[5]HISTOOCT25!$A$6:$BQ$45,56,0)</f>
        <v>2155000</v>
      </c>
      <c r="D32" s="13">
        <f>VLOOKUP(A32,[5]HISTOOCT25!$A$6:$BQ$45,57,0)</f>
        <v>0</v>
      </c>
      <c r="E32" s="13"/>
      <c r="F32" s="13"/>
      <c r="G32" s="14">
        <f t="shared" si="0"/>
        <v>0</v>
      </c>
    </row>
    <row r="33" spans="1:7" ht="17.5" x14ac:dyDescent="0.35">
      <c r="A33" s="19" t="s">
        <v>51</v>
      </c>
      <c r="B33" s="10" t="str">
        <f>VLOOKUP(A33,[4]LISTADHERENT!A$5:H$50,3,0)</f>
        <v>SIMO FONGANG ERIC</v>
      </c>
      <c r="C33" s="13">
        <f>VLOOKUP(A33,[5]HISTOOCT25!$A$6:$BQ$45,56,0)</f>
        <v>0</v>
      </c>
      <c r="D33" s="13">
        <f>VLOOKUP(A33,[5]HISTOOCT25!$A$6:$BQ$45,57,0)</f>
        <v>0</v>
      </c>
      <c r="E33" s="13"/>
      <c r="F33" s="13"/>
      <c r="G33" s="14">
        <f t="shared" si="0"/>
        <v>0</v>
      </c>
    </row>
    <row r="34" spans="1:7" ht="17.5" x14ac:dyDescent="0.35">
      <c r="A34" s="9" t="s">
        <v>40</v>
      </c>
      <c r="B34" s="10" t="str">
        <f>VLOOKUP(A34,[4]LISTADHERENT!A$5:H$50,3,0)</f>
        <v>SIMO PIERRE</v>
      </c>
      <c r="C34" s="13">
        <f>VLOOKUP(A34,[5]HISTOOCT25!$A$6:$BQ$45,56,0)</f>
        <v>30500</v>
      </c>
      <c r="D34" s="13">
        <f>VLOOKUP(A34,[5]HISTOOCT25!$A$6:$BQ$45,57,0)</f>
        <v>0</v>
      </c>
      <c r="E34" s="13"/>
      <c r="F34" s="13"/>
      <c r="G34" s="14">
        <f t="shared" si="0"/>
        <v>0</v>
      </c>
    </row>
    <row r="35" spans="1:7" ht="17.5" x14ac:dyDescent="0.35">
      <c r="A35" s="9" t="s">
        <v>41</v>
      </c>
      <c r="B35" s="10" t="str">
        <f>VLOOKUP(A35,[4]LISTADHERENT!A$5:H$50,3,0)</f>
        <v>TCHOUAMOU MATHIEU</v>
      </c>
      <c r="C35" s="13">
        <f>VLOOKUP(A35,[5]HISTOOCT25!$A$6:$BQ$45,56,0)</f>
        <v>0</v>
      </c>
      <c r="D35" s="13">
        <f>VLOOKUP(A35,[5]HISTOOCT25!$A$6:$BQ$45,57,0)</f>
        <v>0</v>
      </c>
      <c r="E35" s="13"/>
      <c r="F35" s="13"/>
      <c r="G35" s="14">
        <f t="shared" si="0"/>
        <v>0</v>
      </c>
    </row>
    <row r="36" spans="1:7" ht="17.5" x14ac:dyDescent="0.35">
      <c r="A36" s="9" t="s">
        <v>42</v>
      </c>
      <c r="B36" s="10" t="str">
        <f>VLOOKUP(A36,[4]LISTADHERENT!A$5:H$50,3,0)</f>
        <v>TCHOUATEU AUGUSTIN</v>
      </c>
      <c r="C36" s="13">
        <f>VLOOKUP(A36,[5]HISTOOCT25!$A$6:$BQ$45,56,0)</f>
        <v>0</v>
      </c>
      <c r="D36" s="13">
        <f>VLOOKUP(A36,[5]HISTOOCT25!$A$6:$BQ$45,57,0)</f>
        <v>0</v>
      </c>
      <c r="E36" s="13"/>
      <c r="F36" s="13"/>
      <c r="G36" s="14">
        <f t="shared" si="0"/>
        <v>0</v>
      </c>
    </row>
    <row r="37" spans="1:7" s="3" customFormat="1" ht="17.5" x14ac:dyDescent="0.35">
      <c r="A37" s="9" t="s">
        <v>43</v>
      </c>
      <c r="B37" s="10" t="str">
        <f>VLOOKUP(A37,[4]LISTADHERENT!A$5:H$50,3,0)</f>
        <v>TCHOUTOU NANA CLAUDE</v>
      </c>
      <c r="C37" s="13">
        <f>VLOOKUP(A37,[5]HISTOOCT25!$A$6:$BQ$45,56,0)</f>
        <v>0</v>
      </c>
      <c r="D37" s="13">
        <f>VLOOKUP(A37,[5]HISTOOCT25!$A$6:$BQ$45,57,0)</f>
        <v>0</v>
      </c>
      <c r="E37" s="13"/>
      <c r="F37" s="13"/>
      <c r="G37" s="14">
        <f t="shared" si="0"/>
        <v>0</v>
      </c>
    </row>
    <row r="38" spans="1:7" ht="17.5" x14ac:dyDescent="0.35">
      <c r="A38" s="1" t="s">
        <v>52</v>
      </c>
      <c r="B38" s="10" t="str">
        <f>VLOOKUP(A38,[4]LISTADHERENT!A$5:H$50,3,0)</f>
        <v>TIEYAM ERNEST</v>
      </c>
      <c r="C38" s="13">
        <f>VLOOKUP(A38,[5]HISTOOCT25!$A$6:$BQ$45,56,0)</f>
        <v>0</v>
      </c>
      <c r="D38" s="13">
        <f>VLOOKUP(A38,[5]HISTOOCT25!$A$6:$BQ$45,57,0)</f>
        <v>0</v>
      </c>
      <c r="E38" s="13"/>
      <c r="F38" s="13"/>
      <c r="G38" s="14">
        <f t="shared" si="0"/>
        <v>0</v>
      </c>
    </row>
    <row r="39" spans="1:7" ht="17.5" x14ac:dyDescent="0.35">
      <c r="A39" s="9" t="s">
        <v>44</v>
      </c>
      <c r="B39" s="10" t="str">
        <f>VLOOKUP(A39,[4]LISTADHERENT!A$5:H$50,3,0)</f>
        <v>YANTCHOU GERVAIS</v>
      </c>
      <c r="C39" s="13">
        <f>VLOOKUP(A39,[5]HISTOOCT25!$A$6:$BQ$45,56,0)</f>
        <v>0</v>
      </c>
      <c r="D39" s="13">
        <f>VLOOKUP(A39,[5]HISTOOCT25!$A$6:$BQ$45,57,0)</f>
        <v>0</v>
      </c>
      <c r="E39" s="13"/>
      <c r="F39" s="13"/>
      <c r="G39" s="14">
        <f t="shared" si="0"/>
        <v>0</v>
      </c>
    </row>
    <row r="40" spans="1:7" ht="17.5" x14ac:dyDescent="0.35">
      <c r="A40" s="9" t="s">
        <v>45</v>
      </c>
      <c r="B40" s="10" t="str">
        <f>VLOOKUP(A40,[4]LISTADHERENT!A$5:H$50,3,0)</f>
        <v>YEPMOU JEAN JACQUES</v>
      </c>
      <c r="C40" s="13">
        <f>VLOOKUP(A40,[5]HISTOOCT25!$A$6:$BQ$45,56,0)</f>
        <v>0</v>
      </c>
      <c r="D40" s="13">
        <f>VLOOKUP(A40,[5]HISTOOCT25!$A$6:$BQ$45,57,0)</f>
        <v>0</v>
      </c>
      <c r="E40" s="13"/>
      <c r="F40" s="13"/>
      <c r="G40" s="14">
        <f t="shared" si="0"/>
        <v>0</v>
      </c>
    </row>
    <row r="41" spans="1:7" ht="17.5" x14ac:dyDescent="0.35">
      <c r="A41" s="9" t="s">
        <v>46</v>
      </c>
      <c r="B41" s="10" t="str">
        <f>VLOOKUP(A41,[4]LISTADHERENT!A$5:H$50,3,0)</f>
        <v>YIALA ALAIN OSCAR</v>
      </c>
      <c r="C41" s="13">
        <f>VLOOKUP(A41,[5]HISTOOCT25!$A$6:$BQ$45,56,0)</f>
        <v>685000</v>
      </c>
      <c r="D41" s="13">
        <f>VLOOKUP(A41,[5]HISTOOCT25!$A$6:$BQ$45,57,0)</f>
        <v>0</v>
      </c>
      <c r="E41" s="13"/>
      <c r="F41" s="13"/>
      <c r="G41" s="14">
        <f t="shared" si="0"/>
        <v>0</v>
      </c>
    </row>
    <row r="42" spans="1:7" ht="17.5" x14ac:dyDescent="0.35">
      <c r="A42" s="9" t="s">
        <v>47</v>
      </c>
      <c r="B42" s="10" t="str">
        <f>VLOOKUP(A42,[4]LISTADHERENT!A$5:H$50,3,0)</f>
        <v>YOUMBI EMMANUEL</v>
      </c>
      <c r="C42" s="13">
        <f>VLOOKUP(A42,[5]HISTOOCT25!$A$6:$BQ$45,56,0)</f>
        <v>0</v>
      </c>
      <c r="D42" s="13">
        <f>VLOOKUP(A42,[5]HISTOOCT25!$A$6:$BQ$45,57,0)</f>
        <v>0</v>
      </c>
      <c r="E42" s="13"/>
      <c r="F42" s="13"/>
      <c r="G42" s="14">
        <f t="shared" si="0"/>
        <v>0</v>
      </c>
    </row>
    <row r="43" spans="1:7" ht="17.5" x14ac:dyDescent="0.35">
      <c r="A43" s="9"/>
      <c r="B43" s="10" t="s">
        <v>53</v>
      </c>
      <c r="C43" s="10"/>
      <c r="D43" s="10"/>
      <c r="E43" s="13"/>
      <c r="F43" s="13">
        <v>5066568</v>
      </c>
      <c r="G43" s="14"/>
    </row>
    <row r="44" spans="1:7" ht="24" thickBot="1" x14ac:dyDescent="0.6">
      <c r="A44" s="15"/>
      <c r="B44" s="16" t="s">
        <v>4</v>
      </c>
      <c r="C44" s="17">
        <f>SUM(C6:C43)</f>
        <v>7481000</v>
      </c>
      <c r="D44" s="17"/>
      <c r="E44" s="17">
        <f>SUM(E7:E43)</f>
        <v>0</v>
      </c>
      <c r="F44" s="17"/>
      <c r="G44" s="18">
        <f>SUM(G7:G43)</f>
        <v>0</v>
      </c>
    </row>
    <row r="45" spans="1:7" ht="15" thickTop="1" x14ac:dyDescent="0.35"/>
    <row r="46" spans="1:7" ht="26" x14ac:dyDescent="0.6">
      <c r="B46" s="5" t="s">
        <v>11</v>
      </c>
      <c r="C46" s="4">
        <f>C44-C5</f>
        <v>7481000</v>
      </c>
    </row>
    <row r="48" spans="1:7" x14ac:dyDescent="0.35">
      <c r="B48" s="1" t="s">
        <v>6</v>
      </c>
      <c r="C48" s="1"/>
      <c r="D48" s="1"/>
      <c r="E48" s="1"/>
      <c r="F48" s="1"/>
    </row>
    <row r="50" spans="2:2" x14ac:dyDescent="0.35">
      <c r="B50" t="s">
        <v>8</v>
      </c>
    </row>
    <row r="51" spans="2:2" x14ac:dyDescent="0.35">
      <c r="B51" t="s">
        <v>9</v>
      </c>
    </row>
    <row r="52" spans="2:2" x14ac:dyDescent="0.35">
      <c r="B52" t="s">
        <v>10</v>
      </c>
    </row>
  </sheetData>
  <autoFilter ref="A4:F42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8A4F7-8B5C-4511-B4CD-010EB0A51AD4}">
  <dimension ref="A1:G52"/>
  <sheetViews>
    <sheetView zoomScale="96" zoomScaleNormal="96" workbookViewId="0">
      <pane xSplit="2" ySplit="4" topLeftCell="C38" activePane="bottomRight" state="frozen"/>
      <selection activeCell="F44" sqref="F44"/>
      <selection pane="topRight" activeCell="F44" sqref="F44"/>
      <selection pane="bottomLeft" activeCell="F44" sqref="F44"/>
      <selection pane="bottomRight" activeCell="G8" sqref="G8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4" width="21.1796875" customWidth="1"/>
    <col min="5" max="5" width="17" bestFit="1" customWidth="1"/>
    <col min="6" max="6" width="17" customWidth="1"/>
    <col min="7" max="7" width="12.453125" bestFit="1" customWidth="1"/>
  </cols>
  <sheetData>
    <row r="1" spans="1:7" x14ac:dyDescent="0.35">
      <c r="A1" s="1" t="s">
        <v>2</v>
      </c>
      <c r="B1" s="1" t="s">
        <v>48</v>
      </c>
      <c r="C1" s="1"/>
      <c r="D1" s="1"/>
      <c r="E1" s="1"/>
      <c r="F1" s="1"/>
    </row>
    <row r="2" spans="1:7" ht="15" thickBot="1" x14ac:dyDescent="0.4">
      <c r="A2" s="1" t="s">
        <v>3</v>
      </c>
      <c r="B2" s="1">
        <v>2025</v>
      </c>
      <c r="C2" s="1"/>
      <c r="D2" s="1"/>
      <c r="E2" s="1"/>
      <c r="F2" s="1"/>
    </row>
    <row r="3" spans="1:7" ht="68.25" customHeight="1" thickTop="1" x14ac:dyDescent="0.35">
      <c r="A3" s="6" t="s">
        <v>0</v>
      </c>
      <c r="B3" s="7" t="s">
        <v>1</v>
      </c>
      <c r="C3" s="7"/>
      <c r="D3" s="7"/>
      <c r="E3" s="7"/>
      <c r="F3" s="7"/>
      <c r="G3" s="8" t="s">
        <v>4</v>
      </c>
    </row>
    <row r="4" spans="1:7" ht="30" customHeight="1" x14ac:dyDescent="0.35">
      <c r="A4" s="9"/>
      <c r="B4" s="10"/>
      <c r="C4" s="10" t="s">
        <v>7</v>
      </c>
      <c r="D4" s="10" t="s">
        <v>5</v>
      </c>
      <c r="E4" s="11" t="s">
        <v>12</v>
      </c>
      <c r="F4" s="11" t="s">
        <v>13</v>
      </c>
      <c r="G4" s="12"/>
    </row>
    <row r="5" spans="1:7" ht="30" customHeight="1" x14ac:dyDescent="0.35">
      <c r="A5" s="9"/>
      <c r="B5" s="10" t="s">
        <v>14</v>
      </c>
      <c r="C5" s="13"/>
      <c r="D5" s="10"/>
      <c r="E5" s="13"/>
      <c r="F5" s="13"/>
      <c r="G5" s="12"/>
    </row>
    <row r="6" spans="1:7" ht="17.5" x14ac:dyDescent="0.35">
      <c r="A6" s="9" t="s">
        <v>15</v>
      </c>
      <c r="B6" s="10" t="str">
        <f>VLOOKUP(A6,[4]LISTADHERENT!A$5:H$50,3,0)</f>
        <v>ASELBY</v>
      </c>
      <c r="C6" s="13">
        <f>VLOOKUP(A6,[5]HISTONOV25!$A$6:$BQ$45,56,0)</f>
        <v>106000</v>
      </c>
      <c r="D6" s="13">
        <f>VLOOKUP(A6,[5]HISTONOV25!$A$6:$BQ$45,57,0)</f>
        <v>0</v>
      </c>
      <c r="E6" s="13">
        <f>+[6]HISTOBQUENOV25!$H$6</f>
        <v>2385</v>
      </c>
      <c r="F6" s="13"/>
      <c r="G6" s="14">
        <f t="shared" ref="G6:G42" si="0">SUM(E6:F6)</f>
        <v>2385</v>
      </c>
    </row>
    <row r="7" spans="1:7" ht="17.5" x14ac:dyDescent="0.35">
      <c r="A7" s="9" t="s">
        <v>16</v>
      </c>
      <c r="B7" s="10" t="str">
        <f>VLOOKUP(A7,[4]LISTADHERENT!A$5:H$50,3,0)</f>
        <v>BAKOP ACHILLE</v>
      </c>
      <c r="C7" s="13">
        <f>VLOOKUP(A7,[5]HISTONOV25!$A$6:$BQ$45,56,0)</f>
        <v>0</v>
      </c>
      <c r="D7" s="13">
        <f>VLOOKUP(A7,[5]HISTONOV25!$A$6:$BQ$45,57,0)</f>
        <v>0</v>
      </c>
      <c r="E7" s="13"/>
      <c r="F7" s="13"/>
      <c r="G7" s="14">
        <f t="shared" si="0"/>
        <v>0</v>
      </c>
    </row>
    <row r="8" spans="1:7" s="3" customFormat="1" ht="17.5" x14ac:dyDescent="0.35">
      <c r="A8" s="9" t="s">
        <v>17</v>
      </c>
      <c r="B8" s="10" t="str">
        <f>VLOOKUP(A8,[4]LISTADHERENT!A$5:H$50,3,0)</f>
        <v>BOUTCHOUANG WILLIAM</v>
      </c>
      <c r="C8" s="13">
        <f>VLOOKUP(A8,[5]HISTONOV25!$A$6:$BQ$45,56,0)</f>
        <v>0</v>
      </c>
      <c r="D8" s="13">
        <f>VLOOKUP(A8,[5]HISTONOV25!$A$6:$BQ$45,57,0)</f>
        <v>0</v>
      </c>
      <c r="E8" s="13"/>
      <c r="F8" s="13"/>
      <c r="G8" s="14">
        <f t="shared" si="0"/>
        <v>0</v>
      </c>
    </row>
    <row r="9" spans="1:7" s="3" customFormat="1" ht="17.5" x14ac:dyDescent="0.35">
      <c r="A9" s="9" t="s">
        <v>18</v>
      </c>
      <c r="B9" s="10" t="str">
        <f>VLOOKUP(A9,[4]LISTADHERENT!A$5:H$50,3,0)</f>
        <v xml:space="preserve">DJOMO JEAN PAUL </v>
      </c>
      <c r="C9" s="13">
        <f>VLOOKUP(A9,[5]HISTONOV25!$A$6:$BQ$45,56,0)</f>
        <v>0</v>
      </c>
      <c r="D9" s="13">
        <f>VLOOKUP(A9,[5]HISTONOV25!$A$6:$BQ$45,57,0)</f>
        <v>0</v>
      </c>
      <c r="E9" s="13"/>
      <c r="F9" s="13"/>
      <c r="G9" s="14">
        <f t="shared" si="0"/>
        <v>0</v>
      </c>
    </row>
    <row r="10" spans="1:7" ht="17.5" x14ac:dyDescent="0.35">
      <c r="A10" s="9" t="s">
        <v>19</v>
      </c>
      <c r="B10" s="10" t="str">
        <f>VLOOKUP(A10,[4]LISTADHERENT!A$5:H$50,3,0)</f>
        <v>DJOMOU TCHAPDA</v>
      </c>
      <c r="C10" s="13">
        <f>VLOOKUP(A10,[5]HISTONOV25!$A$6:$BQ$45,56,0)</f>
        <v>0</v>
      </c>
      <c r="D10" s="13">
        <f>VLOOKUP(A10,[5]HISTONOV25!$A$6:$BQ$45,57,0)</f>
        <v>0</v>
      </c>
      <c r="E10" s="13"/>
      <c r="F10" s="13"/>
      <c r="G10" s="14">
        <f t="shared" si="0"/>
        <v>0</v>
      </c>
    </row>
    <row r="11" spans="1:7" ht="17.5" x14ac:dyDescent="0.35">
      <c r="A11" s="9" t="s">
        <v>20</v>
      </c>
      <c r="B11" s="10" t="str">
        <f>VLOOKUP(A11,[4]LISTADHERENT!A$5:H$50,3,0)</f>
        <v>DJOUKWE NANGUEN GUY BLAISE</v>
      </c>
      <c r="C11" s="13">
        <f>VLOOKUP(A11,[5]HISTONOV25!$A$6:$BQ$45,56,0)</f>
        <v>0</v>
      </c>
      <c r="D11" s="13">
        <f>VLOOKUP(A11,[5]HISTONOV25!$A$6:$BQ$45,57,0)</f>
        <v>0</v>
      </c>
      <c r="E11" s="13"/>
      <c r="F11" s="13"/>
      <c r="G11" s="14">
        <f t="shared" si="0"/>
        <v>0</v>
      </c>
    </row>
    <row r="12" spans="1:7" ht="17.5" x14ac:dyDescent="0.35">
      <c r="A12" s="9" t="s">
        <v>21</v>
      </c>
      <c r="B12" s="10" t="str">
        <f>VLOOKUP(A12,[4]LISTADHERENT!A$5:H$50,3,0)</f>
        <v>DJUOMBESSY ANTOINE</v>
      </c>
      <c r="C12" s="13">
        <f>VLOOKUP(A12,[5]HISTONOV25!$A$6:$BQ$45,56,0)</f>
        <v>101500</v>
      </c>
      <c r="D12" s="13">
        <f>VLOOKUP(A12,[5]HISTONOV25!$A$6:$BQ$45,57,0)</f>
        <v>0</v>
      </c>
      <c r="E12" s="13"/>
      <c r="F12" s="13"/>
      <c r="G12" s="14">
        <f t="shared" si="0"/>
        <v>0</v>
      </c>
    </row>
    <row r="13" spans="1:7" s="3" customFormat="1" ht="17.5" x14ac:dyDescent="0.35">
      <c r="A13" s="9" t="s">
        <v>22</v>
      </c>
      <c r="B13" s="10" t="str">
        <f>VLOOKUP(A13,[4]LISTADHERENT!A$5:H$50,3,0)</f>
        <v>DOMOU FABIEN</v>
      </c>
      <c r="C13" s="13">
        <f>VLOOKUP(A13,[5]HISTONOV25!$A$6:$BQ$45,56,0)</f>
        <v>0</v>
      </c>
      <c r="D13" s="13">
        <f>VLOOKUP(A13,[5]HISTONOV25!$A$6:$BQ$45,57,0)</f>
        <v>0</v>
      </c>
      <c r="E13" s="13"/>
      <c r="F13" s="13"/>
      <c r="G13" s="14">
        <f t="shared" si="0"/>
        <v>0</v>
      </c>
    </row>
    <row r="14" spans="1:7" ht="17.5" x14ac:dyDescent="0.35">
      <c r="A14" s="9" t="s">
        <v>23</v>
      </c>
      <c r="B14" s="10" t="str">
        <f>VLOOKUP(A14,[4]LISTADHERENT!A$5:H$50,3,0)</f>
        <v>DONHOU DAVID</v>
      </c>
      <c r="C14" s="13">
        <f>VLOOKUP(A14,[5]HISTONOV25!$A$6:$BQ$45,56,0)</f>
        <v>0</v>
      </c>
      <c r="D14" s="13">
        <f>VLOOKUP(A14,[5]HISTONOV25!$A$6:$BQ$45,57,0)</f>
        <v>0</v>
      </c>
      <c r="E14" s="13"/>
      <c r="F14" s="13"/>
      <c r="G14" s="14">
        <f t="shared" si="0"/>
        <v>0</v>
      </c>
    </row>
    <row r="15" spans="1:7" ht="17.5" x14ac:dyDescent="0.35">
      <c r="A15" s="9" t="s">
        <v>54</v>
      </c>
      <c r="B15" s="10" t="str">
        <f>VLOOKUP(A15,[4]LISTADHERENT!A$5:H$50,3,0)</f>
        <v>FAMPOU PAUL</v>
      </c>
      <c r="C15" s="13">
        <f>VLOOKUP(A15,[5]HISTONOV25!$A$6:$BQ$45,56,0)</f>
        <v>200000</v>
      </c>
      <c r="D15" s="13">
        <f>VLOOKUP(A15,[5]HISTONOV25!$A$6:$BQ$45,57,0)</f>
        <v>0</v>
      </c>
      <c r="E15" s="13"/>
      <c r="F15" s="13"/>
      <c r="G15" s="14">
        <f t="shared" si="0"/>
        <v>0</v>
      </c>
    </row>
    <row r="16" spans="1:7" ht="17.5" x14ac:dyDescent="0.35">
      <c r="A16" s="9" t="s">
        <v>24</v>
      </c>
      <c r="B16" s="10" t="str">
        <f>VLOOKUP(A16,[4]LISTADHERENT!A$5:H$50,3,0)</f>
        <v>HENGUE PAUL OMER</v>
      </c>
      <c r="C16" s="13">
        <f>VLOOKUP(A16,[5]HISTONOV25!$A$6:$BQ$45,56,0)</f>
        <v>0</v>
      </c>
      <c r="D16" s="13">
        <f>VLOOKUP(A16,[5]HISTONOV25!$A$6:$BQ$45,57,0)</f>
        <v>0</v>
      </c>
      <c r="E16" s="13"/>
      <c r="F16" s="13"/>
      <c r="G16" s="14">
        <f t="shared" si="0"/>
        <v>0</v>
      </c>
    </row>
    <row r="17" spans="1:7" ht="17.5" x14ac:dyDescent="0.35">
      <c r="A17" s="9" t="s">
        <v>25</v>
      </c>
      <c r="B17" s="10" t="str">
        <f>VLOOKUP(A17,[4]LISTADHERENT!A$5:H$50,3,0)</f>
        <v>HOTCHO BENJAMIN</v>
      </c>
      <c r="C17" s="13">
        <f>VLOOKUP(A17,[5]HISTONOV25!$A$6:$BQ$45,56,0)</f>
        <v>600000</v>
      </c>
      <c r="D17" s="13">
        <f>VLOOKUP(A17,[5]HISTONOV25!$A$6:$BQ$45,57,0)</f>
        <v>0</v>
      </c>
      <c r="E17" s="13"/>
      <c r="F17" s="13"/>
      <c r="G17" s="14">
        <f t="shared" si="0"/>
        <v>0</v>
      </c>
    </row>
    <row r="18" spans="1:7" ht="17.5" x14ac:dyDescent="0.35">
      <c r="A18" s="9" t="s">
        <v>26</v>
      </c>
      <c r="B18" s="10" t="str">
        <f>VLOOKUP(A18,[4]LISTADHERENT!A$5:H$50,3,0)</f>
        <v>KOUAMOU MOISE</v>
      </c>
      <c r="C18" s="13">
        <f>VLOOKUP(A18,[5]HISTONOV25!$A$6:$BQ$45,56,0)</f>
        <v>100000</v>
      </c>
      <c r="D18" s="13">
        <f>VLOOKUP(A18,[5]HISTONOV25!$A$6:$BQ$45,57,0)</f>
        <v>0</v>
      </c>
      <c r="E18" s="13"/>
      <c r="F18" s="13"/>
      <c r="G18" s="14">
        <f t="shared" si="0"/>
        <v>0</v>
      </c>
    </row>
    <row r="19" spans="1:7" ht="17.5" x14ac:dyDescent="0.35">
      <c r="A19" s="9" t="s">
        <v>27</v>
      </c>
      <c r="B19" s="10" t="str">
        <f>VLOOKUP(A19,[4]LISTADHERENT!A$5:H$50,3,0)</f>
        <v>KOUATCHO MESSACK</v>
      </c>
      <c r="C19" s="13">
        <f>VLOOKUP(A19,[5]HISTONOV25!$A$6:$BQ$45,56,0)</f>
        <v>100000</v>
      </c>
      <c r="D19" s="13">
        <f>VLOOKUP(A19,[5]HISTONOV25!$A$6:$BQ$45,57,0)</f>
        <v>0</v>
      </c>
      <c r="E19" s="13"/>
      <c r="F19" s="13"/>
      <c r="G19" s="14">
        <f t="shared" si="0"/>
        <v>0</v>
      </c>
    </row>
    <row r="20" spans="1:7" ht="17.5" x14ac:dyDescent="0.35">
      <c r="A20" s="9" t="s">
        <v>55</v>
      </c>
      <c r="B20" s="10" t="str">
        <f>VLOOKUP(A20,[4]LISTADHERENT!A$5:H$50,3,0)</f>
        <v>LOWE JEAN</v>
      </c>
      <c r="C20" s="13">
        <f>VLOOKUP(A20,[5]HISTONOV25!$A$6:$BQ$45,56,0)</f>
        <v>0</v>
      </c>
      <c r="D20" s="13">
        <f>VLOOKUP(A20,[5]HISTONOV25!$A$6:$BQ$45,57,0)</f>
        <v>0</v>
      </c>
      <c r="E20" s="13"/>
      <c r="F20" s="13"/>
      <c r="G20" s="14">
        <f t="shared" si="0"/>
        <v>0</v>
      </c>
    </row>
    <row r="21" spans="1:7" ht="17.5" x14ac:dyDescent="0.35">
      <c r="A21" s="9" t="s">
        <v>28</v>
      </c>
      <c r="B21" s="10" t="str">
        <f>VLOOKUP(A21,[4]LISTADHERENT!A$5:H$50,3,0)</f>
        <v>MASSEUNGOUE DAGOBERT</v>
      </c>
      <c r="C21" s="13">
        <f>VLOOKUP(A21,[5]HISTONOV25!$A$6:$BQ$45,56,0)</f>
        <v>0</v>
      </c>
      <c r="D21" s="13">
        <f>VLOOKUP(A21,[5]HISTONOV25!$A$6:$BQ$45,57,0)</f>
        <v>0</v>
      </c>
      <c r="E21" s="13"/>
      <c r="F21" s="13"/>
      <c r="G21" s="14">
        <f t="shared" si="0"/>
        <v>0</v>
      </c>
    </row>
    <row r="22" spans="1:7" ht="17.5" x14ac:dyDescent="0.35">
      <c r="A22" s="9" t="s">
        <v>29</v>
      </c>
      <c r="B22" s="10" t="str">
        <f>VLOOKUP(A22,[4]LISTADHERENT!A$5:H$50,3,0)</f>
        <v>MBOGNING TUGMA GUY</v>
      </c>
      <c r="C22" s="13">
        <f>VLOOKUP(A22,[5]HISTONOV25!$A$6:$BQ$45,56,0)</f>
        <v>100000</v>
      </c>
      <c r="D22" s="13">
        <f>VLOOKUP(A22,[5]HISTONOV25!$A$6:$BQ$45,57,0)</f>
        <v>0</v>
      </c>
      <c r="E22" s="13"/>
      <c r="F22" s="13"/>
      <c r="G22" s="14">
        <f t="shared" si="0"/>
        <v>0</v>
      </c>
    </row>
    <row r="23" spans="1:7" ht="17.5" x14ac:dyDescent="0.35">
      <c r="A23" s="9" t="s">
        <v>30</v>
      </c>
      <c r="B23" s="10" t="str">
        <f>VLOOKUP(A23,[4]LISTADHERENT!A$5:H$50,3,0)</f>
        <v>NANGUEN MARTIN</v>
      </c>
      <c r="C23" s="13">
        <f>VLOOKUP(A23,[5]HISTONOV25!$A$6:$BQ$45,56,0)</f>
        <v>0</v>
      </c>
      <c r="D23" s="13">
        <f>VLOOKUP(A23,[5]HISTONOV25!$A$6:$BQ$45,57,0)</f>
        <v>0</v>
      </c>
      <c r="E23" s="13"/>
      <c r="F23" s="13"/>
      <c r="G23" s="14">
        <f t="shared" si="0"/>
        <v>0</v>
      </c>
    </row>
    <row r="24" spans="1:7" ht="17.5" x14ac:dyDescent="0.35">
      <c r="A24" s="9" t="s">
        <v>31</v>
      </c>
      <c r="B24" s="10" t="str">
        <f>VLOOKUP(A24,[4]LISTADHERENT!A$5:H$50,3,0)</f>
        <v>NANKAM APPOLINAIRE</v>
      </c>
      <c r="C24" s="13">
        <f>VLOOKUP(A24,[5]HISTONOV25!$A$6:$BQ$45,56,0)</f>
        <v>0</v>
      </c>
      <c r="D24" s="13">
        <f>VLOOKUP(A24,[5]HISTONOV25!$A$6:$BQ$45,57,0)</f>
        <v>0</v>
      </c>
      <c r="E24" s="13"/>
      <c r="F24" s="13"/>
      <c r="G24" s="14">
        <f t="shared" si="0"/>
        <v>0</v>
      </c>
    </row>
    <row r="25" spans="1:7" ht="17.5" x14ac:dyDescent="0.35">
      <c r="A25" s="9" t="s">
        <v>32</v>
      </c>
      <c r="B25" s="10" t="str">
        <f>VLOOKUP(A25,[4]LISTADHERENT!A$5:H$50,3,0)</f>
        <v>NDJOMO ETIENNE</v>
      </c>
      <c r="C25" s="13">
        <f>VLOOKUP(A25,[5]HISTONOV25!$A$6:$BQ$45,56,0)</f>
        <v>1390000</v>
      </c>
      <c r="D25" s="13">
        <f>VLOOKUP(A25,[5]HISTONOV25!$A$6:$BQ$45,57,0)</f>
        <v>0</v>
      </c>
      <c r="E25" s="13"/>
      <c r="F25" s="13"/>
      <c r="G25" s="14">
        <f t="shared" si="0"/>
        <v>0</v>
      </c>
    </row>
    <row r="26" spans="1:7" ht="17.5" x14ac:dyDescent="0.35">
      <c r="A26" s="9" t="s">
        <v>33</v>
      </c>
      <c r="B26" s="10" t="str">
        <f>VLOOKUP(A26,[4]LISTADHERENT!A$5:H$50,3,0)</f>
        <v>NGONDIEP CLAUDE</v>
      </c>
      <c r="C26" s="13">
        <f>VLOOKUP(A26,[5]HISTONOV25!$A$6:$BQ$45,56,0)</f>
        <v>200000</v>
      </c>
      <c r="D26" s="13">
        <f>VLOOKUP(A26,[5]HISTONOV25!$A$6:$BQ$45,57,0)</f>
        <v>0</v>
      </c>
      <c r="E26" s="13"/>
      <c r="F26" s="13"/>
      <c r="G26" s="14">
        <f t="shared" si="0"/>
        <v>0</v>
      </c>
    </row>
    <row r="27" spans="1:7" ht="17.5" x14ac:dyDescent="0.35">
      <c r="A27" s="9" t="s">
        <v>34</v>
      </c>
      <c r="B27" s="10" t="str">
        <f>VLOOKUP(A27,[4]LISTADHERENT!A$5:H$50,3,0)</f>
        <v>NGUIEMEGNI MATHIEU BLAISE</v>
      </c>
      <c r="C27" s="13">
        <f>VLOOKUP(A27,[5]HISTONOV25!$A$6:$BQ$45,56,0)</f>
        <v>200000</v>
      </c>
      <c r="D27" s="13">
        <f>VLOOKUP(A27,[5]HISTONOV25!$A$6:$BQ$45,57,0)</f>
        <v>0</v>
      </c>
      <c r="E27" s="13"/>
      <c r="F27" s="13"/>
      <c r="G27" s="14">
        <f t="shared" si="0"/>
        <v>0</v>
      </c>
    </row>
    <row r="28" spans="1:7" ht="17.5" x14ac:dyDescent="0.35">
      <c r="A28" s="9" t="s">
        <v>35</v>
      </c>
      <c r="B28" s="10" t="str">
        <f>VLOOKUP(A28,[4]LISTADHERENT!A$5:H$50,3,0)</f>
        <v>NKAMGANG JUSTIN DEJOLIE</v>
      </c>
      <c r="C28" s="13">
        <f>VLOOKUP(A28,[5]HISTONOV25!$A$6:$BQ$45,56,0)</f>
        <v>51000</v>
      </c>
      <c r="D28" s="13">
        <f>VLOOKUP(A28,[5]HISTONOV25!$A$6:$BQ$45,57,0)</f>
        <v>0</v>
      </c>
      <c r="E28" s="13"/>
      <c r="F28" s="13"/>
      <c r="G28" s="14">
        <f t="shared" si="0"/>
        <v>0</v>
      </c>
    </row>
    <row r="29" spans="1:7" ht="17.5" x14ac:dyDescent="0.35">
      <c r="A29" s="9" t="s">
        <v>36</v>
      </c>
      <c r="B29" s="10" t="str">
        <f>VLOOKUP(A29,[4]LISTADHERENT!A$5:H$50,3,0)</f>
        <v>NOUBE ETIENNE</v>
      </c>
      <c r="C29" s="13">
        <f>VLOOKUP(A29,[5]HISTONOV25!$A$6:$BQ$45,56,0)</f>
        <v>347500</v>
      </c>
      <c r="D29" s="13">
        <f>VLOOKUP(A29,[5]HISTONOV25!$A$6:$BQ$45,57,0)</f>
        <v>0</v>
      </c>
      <c r="E29" s="13"/>
      <c r="F29" s="13"/>
      <c r="G29" s="14">
        <f t="shared" si="0"/>
        <v>0</v>
      </c>
    </row>
    <row r="30" spans="1:7" ht="17.5" x14ac:dyDescent="0.35">
      <c r="A30" s="9" t="s">
        <v>37</v>
      </c>
      <c r="B30" s="10" t="str">
        <f>VLOOKUP(A30,[4]LISTADHERENT!A$5:H$50,3,0)</f>
        <v>PATEGO NJOSSU GUSTAVE</v>
      </c>
      <c r="C30" s="13">
        <f>VLOOKUP(A30,[5]HISTONOV25!$A$6:$BQ$45,56,0)</f>
        <v>0</v>
      </c>
      <c r="D30" s="13">
        <f>VLOOKUP(A30,[5]HISTONOV25!$A$6:$BQ$45,57,0)</f>
        <v>0</v>
      </c>
      <c r="E30" s="13"/>
      <c r="F30" s="13"/>
      <c r="G30" s="14">
        <f t="shared" si="0"/>
        <v>0</v>
      </c>
    </row>
    <row r="31" spans="1:7" ht="17.5" x14ac:dyDescent="0.35">
      <c r="A31" s="9" t="s">
        <v>38</v>
      </c>
      <c r="B31" s="10" t="str">
        <f>VLOOKUP(A31,[4]LISTADHERENT!A$5:H$50,3,0)</f>
        <v>SEUMO POLYCARPE</v>
      </c>
      <c r="C31" s="13">
        <f>VLOOKUP(A31,[5]HISTONOV25!$A$6:$BQ$45,56,0)</f>
        <v>59000</v>
      </c>
      <c r="D31" s="13">
        <f>VLOOKUP(A31,[5]HISTONOV25!$A$6:$BQ$45,57,0)</f>
        <v>0</v>
      </c>
      <c r="E31" s="13"/>
      <c r="F31" s="13"/>
      <c r="G31" s="14">
        <f t="shared" si="0"/>
        <v>0</v>
      </c>
    </row>
    <row r="32" spans="1:7" ht="17.5" x14ac:dyDescent="0.35">
      <c r="A32" s="9" t="s">
        <v>39</v>
      </c>
      <c r="B32" s="10" t="str">
        <f>VLOOKUP(A32,[4]LISTADHERENT!A$5:H$50,3,0)</f>
        <v>SIME BRICE</v>
      </c>
      <c r="C32" s="13">
        <f>VLOOKUP(A32,[5]HISTONOV25!$A$6:$BQ$45,56,0)</f>
        <v>200000</v>
      </c>
      <c r="D32" s="13">
        <f>VLOOKUP(A32,[5]HISTONOV25!$A$6:$BQ$45,57,0)</f>
        <v>0</v>
      </c>
      <c r="E32" s="13"/>
      <c r="F32" s="13"/>
      <c r="G32" s="14">
        <f t="shared" si="0"/>
        <v>0</v>
      </c>
    </row>
    <row r="33" spans="1:7" ht="17.5" x14ac:dyDescent="0.35">
      <c r="A33" s="19" t="s">
        <v>51</v>
      </c>
      <c r="B33" s="10" t="str">
        <f>VLOOKUP(A33,[4]LISTADHERENT!A$5:H$50,3,0)</f>
        <v>SIMO FONGANG ERIC</v>
      </c>
      <c r="C33" s="13">
        <f>VLOOKUP(A33,[5]HISTONOV25!$A$6:$BQ$45,56,0)</f>
        <v>0</v>
      </c>
      <c r="D33" s="13">
        <f>VLOOKUP(A33,[5]HISTONOV25!$A$6:$BQ$45,57,0)</f>
        <v>0</v>
      </c>
      <c r="E33" s="13"/>
      <c r="F33" s="13"/>
      <c r="G33" s="14">
        <f t="shared" si="0"/>
        <v>0</v>
      </c>
    </row>
    <row r="34" spans="1:7" ht="17.5" x14ac:dyDescent="0.35">
      <c r="A34" s="9" t="s">
        <v>40</v>
      </c>
      <c r="B34" s="10" t="str">
        <f>VLOOKUP(A34,[4]LISTADHERENT!A$5:H$50,3,0)</f>
        <v>SIMO PIERRE</v>
      </c>
      <c r="C34" s="13">
        <f>VLOOKUP(A34,[5]HISTONOV25!$A$6:$BQ$45,56,0)</f>
        <v>30500</v>
      </c>
      <c r="D34" s="13">
        <f>VLOOKUP(A34,[5]HISTONOV25!$A$6:$BQ$45,57,0)</f>
        <v>0</v>
      </c>
      <c r="E34" s="13"/>
      <c r="F34" s="13"/>
      <c r="G34" s="14">
        <f t="shared" si="0"/>
        <v>0</v>
      </c>
    </row>
    <row r="35" spans="1:7" ht="17.5" x14ac:dyDescent="0.35">
      <c r="A35" s="9" t="s">
        <v>41</v>
      </c>
      <c r="B35" s="10" t="str">
        <f>VLOOKUP(A35,[4]LISTADHERENT!A$5:H$50,3,0)</f>
        <v>TCHOUAMOU MATHIEU</v>
      </c>
      <c r="C35" s="13">
        <f>VLOOKUP(A35,[5]HISTONOV25!$A$6:$BQ$45,56,0)</f>
        <v>-200000</v>
      </c>
      <c r="D35" s="13">
        <f>VLOOKUP(A35,[5]HISTONOV25!$A$6:$BQ$45,57,0)</f>
        <v>0</v>
      </c>
      <c r="E35" s="13"/>
      <c r="F35" s="13"/>
      <c r="G35" s="14">
        <f t="shared" si="0"/>
        <v>0</v>
      </c>
    </row>
    <row r="36" spans="1:7" ht="17.5" x14ac:dyDescent="0.35">
      <c r="A36" s="9" t="s">
        <v>42</v>
      </c>
      <c r="B36" s="10" t="str">
        <f>VLOOKUP(A36,[4]LISTADHERENT!A$5:H$50,3,0)</f>
        <v>TCHOUATEU AUGUSTIN</v>
      </c>
      <c r="C36" s="13">
        <f>VLOOKUP(A36,[5]HISTONOV25!$A$6:$BQ$45,56,0)</f>
        <v>0</v>
      </c>
      <c r="D36" s="13">
        <f>VLOOKUP(A36,[5]HISTONOV25!$A$6:$BQ$45,57,0)</f>
        <v>0</v>
      </c>
      <c r="E36" s="13"/>
      <c r="F36" s="13"/>
      <c r="G36" s="14">
        <f t="shared" si="0"/>
        <v>0</v>
      </c>
    </row>
    <row r="37" spans="1:7" s="3" customFormat="1" ht="17.5" x14ac:dyDescent="0.35">
      <c r="A37" s="9" t="s">
        <v>43</v>
      </c>
      <c r="B37" s="10" t="str">
        <f>VLOOKUP(A37,[4]LISTADHERENT!A$5:H$50,3,0)</f>
        <v>TCHOUTOU NANA CLAUDE</v>
      </c>
      <c r="C37" s="13">
        <f>VLOOKUP(A37,[5]HISTONOV25!$A$6:$BQ$45,56,0)</f>
        <v>0</v>
      </c>
      <c r="D37" s="13">
        <f>VLOOKUP(A37,[5]HISTONOV25!$A$6:$BQ$45,57,0)</f>
        <v>0</v>
      </c>
      <c r="E37" s="13"/>
      <c r="F37" s="13"/>
      <c r="G37" s="14">
        <f t="shared" si="0"/>
        <v>0</v>
      </c>
    </row>
    <row r="38" spans="1:7" ht="17.5" x14ac:dyDescent="0.35">
      <c r="A38" s="1" t="s">
        <v>52</v>
      </c>
      <c r="B38" s="10" t="str">
        <f>VLOOKUP(A38,[4]LISTADHERENT!A$5:H$50,3,0)</f>
        <v>TIEYAM ERNEST</v>
      </c>
      <c r="C38" s="13">
        <f>VLOOKUP(A38,[5]HISTONOV25!$A$6:$BQ$45,56,0)</f>
        <v>0</v>
      </c>
      <c r="D38" s="13">
        <f>VLOOKUP(A38,[5]HISTONOV25!$A$6:$BQ$45,57,0)</f>
        <v>0</v>
      </c>
      <c r="E38" s="13"/>
      <c r="F38" s="13"/>
      <c r="G38" s="14">
        <f t="shared" si="0"/>
        <v>0</v>
      </c>
    </row>
    <row r="39" spans="1:7" ht="17.5" x14ac:dyDescent="0.35">
      <c r="A39" s="9" t="s">
        <v>44</v>
      </c>
      <c r="B39" s="10" t="str">
        <f>VLOOKUP(A39,[4]LISTADHERENT!A$5:H$50,3,0)</f>
        <v>YANTCHOU GERVAIS</v>
      </c>
      <c r="C39" s="13">
        <f>VLOOKUP(A39,[5]HISTONOV25!$A$6:$BQ$45,56,0)</f>
        <v>-5000</v>
      </c>
      <c r="D39" s="13">
        <f>VLOOKUP(A39,[5]HISTONOV25!$A$6:$BQ$45,57,0)</f>
        <v>0</v>
      </c>
      <c r="E39" s="13"/>
      <c r="F39" s="13"/>
      <c r="G39" s="14">
        <f t="shared" si="0"/>
        <v>0</v>
      </c>
    </row>
    <row r="40" spans="1:7" ht="17.5" x14ac:dyDescent="0.35">
      <c r="A40" s="9" t="s">
        <v>45</v>
      </c>
      <c r="B40" s="10" t="str">
        <f>VLOOKUP(A40,[4]LISTADHERENT!A$5:H$50,3,0)</f>
        <v>YEPMOU JEAN JACQUES</v>
      </c>
      <c r="C40" s="13">
        <f>VLOOKUP(A40,[5]HISTONOV25!$A$6:$BQ$45,56,0)</f>
        <v>35000</v>
      </c>
      <c r="D40" s="13">
        <f>VLOOKUP(A40,[5]HISTONOV25!$A$6:$BQ$45,57,0)</f>
        <v>0</v>
      </c>
      <c r="E40" s="13"/>
      <c r="F40" s="13"/>
      <c r="G40" s="14">
        <f t="shared" si="0"/>
        <v>0</v>
      </c>
    </row>
    <row r="41" spans="1:7" ht="17.5" x14ac:dyDescent="0.35">
      <c r="A41" s="9" t="s">
        <v>46</v>
      </c>
      <c r="B41" s="10" t="str">
        <f>VLOOKUP(A41,[4]LISTADHERENT!A$5:H$50,3,0)</f>
        <v>YIALA ALAIN OSCAR</v>
      </c>
      <c r="C41" s="13">
        <f>VLOOKUP(A41,[5]HISTONOV25!$A$6:$BQ$45,56,0)</f>
        <v>200000</v>
      </c>
      <c r="D41" s="13">
        <f>VLOOKUP(A41,[5]HISTONOV25!$A$6:$BQ$45,57,0)</f>
        <v>0</v>
      </c>
      <c r="E41" s="13"/>
      <c r="F41" s="13"/>
      <c r="G41" s="14">
        <f t="shared" si="0"/>
        <v>0</v>
      </c>
    </row>
    <row r="42" spans="1:7" ht="17.5" x14ac:dyDescent="0.35">
      <c r="A42" s="9" t="s">
        <v>47</v>
      </c>
      <c r="B42" s="10" t="str">
        <f>VLOOKUP(A42,[4]LISTADHERENT!A$5:H$50,3,0)</f>
        <v>YOUMBI EMMANUEL</v>
      </c>
      <c r="C42" s="13">
        <f>VLOOKUP(A42,[5]HISTONOV25!$A$6:$BQ$45,56,0)</f>
        <v>2380000</v>
      </c>
      <c r="D42" s="13">
        <f>VLOOKUP(A42,[5]HISTONOV25!$A$6:$BQ$45,57,0)</f>
        <v>0</v>
      </c>
      <c r="E42" s="13"/>
      <c r="F42" s="13"/>
      <c r="G42" s="14">
        <f t="shared" si="0"/>
        <v>0</v>
      </c>
    </row>
    <row r="43" spans="1:7" ht="17.5" x14ac:dyDescent="0.35">
      <c r="A43" s="9"/>
      <c r="B43" s="10" t="s">
        <v>53</v>
      </c>
      <c r="C43" s="10"/>
      <c r="D43" s="10"/>
      <c r="E43" s="13"/>
      <c r="F43" s="13">
        <v>7981183</v>
      </c>
      <c r="G43" s="14"/>
    </row>
    <row r="44" spans="1:7" ht="24" thickBot="1" x14ac:dyDescent="0.6">
      <c r="A44" s="15"/>
      <c r="B44" s="16" t="s">
        <v>4</v>
      </c>
      <c r="C44" s="17">
        <f>SUM(C6:C43)</f>
        <v>6195500</v>
      </c>
      <c r="D44" s="17"/>
      <c r="E44" s="17">
        <f>SUM(E7:E43)</f>
        <v>0</v>
      </c>
      <c r="F44" s="17"/>
      <c r="G44" s="18">
        <f>SUM(G7:G43)</f>
        <v>0</v>
      </c>
    </row>
    <row r="45" spans="1:7" ht="15" thickTop="1" x14ac:dyDescent="0.35"/>
    <row r="46" spans="1:7" ht="26" x14ac:dyDescent="0.6">
      <c r="B46" s="5" t="s">
        <v>11</v>
      </c>
      <c r="C46" s="4">
        <f>C44-C5</f>
        <v>6195500</v>
      </c>
    </row>
    <row r="48" spans="1:7" x14ac:dyDescent="0.35">
      <c r="B48" s="1" t="s">
        <v>6</v>
      </c>
      <c r="C48" s="1"/>
      <c r="D48" s="1"/>
      <c r="E48" s="1"/>
      <c r="F48" s="1"/>
    </row>
    <row r="50" spans="2:2" x14ac:dyDescent="0.35">
      <c r="B50" t="s">
        <v>8</v>
      </c>
    </row>
    <row r="51" spans="2:2" x14ac:dyDescent="0.35">
      <c r="B51" t="s">
        <v>9</v>
      </c>
    </row>
    <row r="52" spans="2:2" x14ac:dyDescent="0.35">
      <c r="B52" t="s">
        <v>10</v>
      </c>
    </row>
  </sheetData>
  <autoFilter ref="A4:F42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23A5-C250-4251-A93E-13724215BE82}">
  <dimension ref="A1:G52"/>
  <sheetViews>
    <sheetView tabSelected="1" zoomScale="96" zoomScaleNormal="96" workbookViewId="0">
      <pane xSplit="2" ySplit="4" topLeftCell="C5" activePane="bottomRight" state="frozen"/>
      <selection activeCell="F44" sqref="F44"/>
      <selection pane="topRight" activeCell="F44" sqref="F44"/>
      <selection pane="bottomLeft" activeCell="F44" sqref="F44"/>
      <selection pane="bottomRight" activeCell="H43" sqref="H43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4" width="21.1796875" customWidth="1"/>
    <col min="5" max="5" width="17" bestFit="1" customWidth="1"/>
    <col min="6" max="6" width="17" customWidth="1"/>
    <col min="7" max="7" width="12.453125" bestFit="1" customWidth="1"/>
  </cols>
  <sheetData>
    <row r="1" spans="1:7" x14ac:dyDescent="0.35">
      <c r="A1" s="1" t="s">
        <v>2</v>
      </c>
      <c r="B1" s="1" t="s">
        <v>48</v>
      </c>
      <c r="C1" s="1"/>
      <c r="D1" s="1"/>
      <c r="E1" s="1"/>
      <c r="F1" s="1"/>
    </row>
    <row r="2" spans="1:7" ht="15" thickBot="1" x14ac:dyDescent="0.4">
      <c r="A2" s="1" t="s">
        <v>3</v>
      </c>
      <c r="B2" s="1">
        <v>2025</v>
      </c>
      <c r="C2" s="1"/>
      <c r="D2" s="1"/>
      <c r="E2" s="1"/>
      <c r="F2" s="1"/>
    </row>
    <row r="3" spans="1:7" ht="68.25" customHeight="1" thickTop="1" x14ac:dyDescent="0.35">
      <c r="A3" s="6" t="s">
        <v>0</v>
      </c>
      <c r="B3" s="7" t="s">
        <v>1</v>
      </c>
      <c r="C3" s="7"/>
      <c r="D3" s="7"/>
      <c r="E3" s="7"/>
      <c r="F3" s="7"/>
      <c r="G3" s="8" t="s">
        <v>4</v>
      </c>
    </row>
    <row r="4" spans="1:7" ht="30" customHeight="1" x14ac:dyDescent="0.35">
      <c r="A4" s="9"/>
      <c r="B4" s="10"/>
      <c r="C4" s="10" t="s">
        <v>7</v>
      </c>
      <c r="D4" s="10" t="s">
        <v>5</v>
      </c>
      <c r="E4" s="11" t="s">
        <v>12</v>
      </c>
      <c r="F4" s="11" t="s">
        <v>13</v>
      </c>
      <c r="G4" s="12"/>
    </row>
    <row r="5" spans="1:7" ht="30" customHeight="1" x14ac:dyDescent="0.35">
      <c r="A5" s="9"/>
      <c r="B5" s="10" t="s">
        <v>14</v>
      </c>
      <c r="C5" s="13"/>
      <c r="D5" s="10"/>
      <c r="E5" s="13"/>
      <c r="F5" s="13"/>
      <c r="G5" s="12"/>
    </row>
    <row r="6" spans="1:7" ht="17.5" x14ac:dyDescent="0.35">
      <c r="A6" s="9" t="s">
        <v>15</v>
      </c>
      <c r="B6" s="10" t="str">
        <f>VLOOKUP(A6,[4]LISTADHERENT!A$5:H$50,3,0)</f>
        <v>ASELBY</v>
      </c>
      <c r="C6" s="13">
        <f>VLOOKUP(A6,[5]HISTODEC25!$A$6:$BQ$45,56,0)</f>
        <v>898500</v>
      </c>
      <c r="D6" s="13">
        <f>VLOOKUP(A6,[5]HISTODEC25!$A$6:$BQ$45,57,0)</f>
        <v>0</v>
      </c>
      <c r="E6" s="13">
        <f>+[6]HISTOBQUEDEC25!$H$6</f>
        <v>2385</v>
      </c>
      <c r="F6" s="13"/>
      <c r="G6" s="14">
        <f t="shared" ref="G6:G42" si="0">SUM(E6:F6)</f>
        <v>2385</v>
      </c>
    </row>
    <row r="7" spans="1:7" ht="17.5" x14ac:dyDescent="0.35">
      <c r="A7" s="9" t="s">
        <v>16</v>
      </c>
      <c r="B7" s="10" t="str">
        <f>VLOOKUP(A7,[4]LISTADHERENT!A$5:H$50,3,0)</f>
        <v>BAKOP ACHILLE</v>
      </c>
      <c r="C7" s="13">
        <f>VLOOKUP(A7,[5]HISTODEC25!$A$6:$BQ$45,56,0)</f>
        <v>0</v>
      </c>
      <c r="D7" s="13">
        <f>VLOOKUP(A7,[5]HISTODEC25!$A$6:$BQ$45,57,0)</f>
        <v>0</v>
      </c>
      <c r="E7" s="13"/>
      <c r="F7" s="13"/>
      <c r="G7" s="14">
        <f t="shared" si="0"/>
        <v>0</v>
      </c>
    </row>
    <row r="8" spans="1:7" s="3" customFormat="1" ht="17.5" x14ac:dyDescent="0.35">
      <c r="A8" s="9" t="s">
        <v>17</v>
      </c>
      <c r="B8" s="10" t="str">
        <f>VLOOKUP(A8,[4]LISTADHERENT!A$5:H$50,3,0)</f>
        <v>BOUTCHOUANG WILLIAM</v>
      </c>
      <c r="C8" s="13">
        <f>VLOOKUP(A8,[5]HISTODEC25!$A$6:$BQ$45,56,0)</f>
        <v>0</v>
      </c>
      <c r="D8" s="13">
        <f>VLOOKUP(A8,[5]HISTODEC25!$A$6:$BQ$45,57,0)</f>
        <v>0</v>
      </c>
      <c r="E8" s="13"/>
      <c r="F8" s="13"/>
      <c r="G8" s="14">
        <f t="shared" si="0"/>
        <v>0</v>
      </c>
    </row>
    <row r="9" spans="1:7" s="3" customFormat="1" ht="17.5" x14ac:dyDescent="0.35">
      <c r="A9" s="9" t="s">
        <v>18</v>
      </c>
      <c r="B9" s="10" t="str">
        <f>VLOOKUP(A9,[4]LISTADHERENT!A$5:H$50,3,0)</f>
        <v xml:space="preserve">DJOMO JEAN PAUL </v>
      </c>
      <c r="C9" s="13">
        <f>VLOOKUP(A9,[5]HISTODEC25!$A$6:$BQ$45,56,0)</f>
        <v>0</v>
      </c>
      <c r="D9" s="13">
        <f>VLOOKUP(A9,[5]HISTODEC25!$A$6:$BQ$45,57,0)</f>
        <v>0</v>
      </c>
      <c r="E9" s="13"/>
      <c r="F9" s="13"/>
      <c r="G9" s="14">
        <f t="shared" si="0"/>
        <v>0</v>
      </c>
    </row>
    <row r="10" spans="1:7" ht="17.5" x14ac:dyDescent="0.35">
      <c r="A10" s="9" t="s">
        <v>19</v>
      </c>
      <c r="B10" s="10" t="str">
        <f>VLOOKUP(A10,[4]LISTADHERENT!A$5:H$50,3,0)</f>
        <v>DJOMOU TCHAPDA</v>
      </c>
      <c r="C10" s="13">
        <f>VLOOKUP(A10,[5]HISTODEC25!$A$6:$BQ$45,56,0)</f>
        <v>0</v>
      </c>
      <c r="D10" s="13">
        <f>VLOOKUP(A10,[5]HISTODEC25!$A$6:$BQ$45,57,0)</f>
        <v>0</v>
      </c>
      <c r="E10" s="13"/>
      <c r="F10" s="13"/>
      <c r="G10" s="14">
        <f t="shared" si="0"/>
        <v>0</v>
      </c>
    </row>
    <row r="11" spans="1:7" ht="17.5" x14ac:dyDescent="0.35">
      <c r="A11" s="9" t="s">
        <v>20</v>
      </c>
      <c r="B11" s="10" t="str">
        <f>VLOOKUP(A11,[4]LISTADHERENT!A$5:H$50,3,0)</f>
        <v>DJOUKWE NANGUEN GUY BLAISE</v>
      </c>
      <c r="C11" s="13">
        <f>VLOOKUP(A11,[5]HISTODEC25!$A$6:$BQ$45,56,0)</f>
        <v>-268500</v>
      </c>
      <c r="D11" s="13">
        <f>VLOOKUP(A11,[5]HISTODEC25!$A$6:$BQ$45,57,0)</f>
        <v>0</v>
      </c>
      <c r="E11" s="13"/>
      <c r="F11" s="13"/>
      <c r="G11" s="14">
        <f t="shared" si="0"/>
        <v>0</v>
      </c>
    </row>
    <row r="12" spans="1:7" ht="17.5" x14ac:dyDescent="0.35">
      <c r="A12" s="9" t="s">
        <v>21</v>
      </c>
      <c r="B12" s="10" t="str">
        <f>VLOOKUP(A12,[4]LISTADHERENT!A$5:H$50,3,0)</f>
        <v>DJUOMBESSY ANTOINE</v>
      </c>
      <c r="C12" s="13">
        <f>VLOOKUP(A12,[5]HISTODEC25!$A$6:$BQ$45,56,0)</f>
        <v>1340000</v>
      </c>
      <c r="D12" s="13" t="str">
        <f>VLOOKUP(A12,[5]HISTODEC25!$A$6:$BQ$45,57,0)</f>
        <v>0K</v>
      </c>
      <c r="E12" s="13"/>
      <c r="F12" s="13"/>
      <c r="G12" s="14">
        <f t="shared" si="0"/>
        <v>0</v>
      </c>
    </row>
    <row r="13" spans="1:7" s="3" customFormat="1" ht="17.5" x14ac:dyDescent="0.35">
      <c r="A13" s="9" t="s">
        <v>22</v>
      </c>
      <c r="B13" s="10" t="str">
        <f>VLOOKUP(A13,[4]LISTADHERENT!A$5:H$50,3,0)</f>
        <v>DOMOU FABIEN</v>
      </c>
      <c r="C13" s="13">
        <f>VLOOKUP(A13,[5]HISTODEC25!$A$6:$BQ$45,56,0)</f>
        <v>0</v>
      </c>
      <c r="D13" s="13">
        <f>VLOOKUP(A13,[5]HISTODEC25!$A$6:$BQ$45,57,0)</f>
        <v>0</v>
      </c>
      <c r="E13" s="13"/>
      <c r="F13" s="13"/>
      <c r="G13" s="14">
        <f t="shared" si="0"/>
        <v>0</v>
      </c>
    </row>
    <row r="14" spans="1:7" ht="17.5" x14ac:dyDescent="0.35">
      <c r="A14" s="9" t="s">
        <v>23</v>
      </c>
      <c r="B14" s="10" t="str">
        <f>VLOOKUP(A14,[4]LISTADHERENT!A$5:H$50,3,0)</f>
        <v>DONHOU DAVID</v>
      </c>
      <c r="C14" s="13">
        <f>VLOOKUP(A14,[5]HISTODEC25!$A$6:$BQ$45,56,0)</f>
        <v>0</v>
      </c>
      <c r="D14" s="13">
        <f>VLOOKUP(A14,[5]HISTODEC25!$A$6:$BQ$45,57,0)</f>
        <v>0</v>
      </c>
      <c r="E14" s="13"/>
      <c r="F14" s="13"/>
      <c r="G14" s="14">
        <f t="shared" si="0"/>
        <v>0</v>
      </c>
    </row>
    <row r="15" spans="1:7" ht="17.5" x14ac:dyDescent="0.35">
      <c r="A15" s="9" t="s">
        <v>54</v>
      </c>
      <c r="B15" s="10" t="str">
        <f>VLOOKUP(A15,[4]LISTADHERENT!A$5:H$50,3,0)</f>
        <v>FAMPOU PAUL</v>
      </c>
      <c r="C15" s="13">
        <f>VLOOKUP(A15,[5]HISTODEC25!$A$6:$BQ$45,56,0)</f>
        <v>0</v>
      </c>
      <c r="D15" s="13">
        <f>VLOOKUP(A15,[5]HISTODEC25!$A$6:$BQ$45,57,0)</f>
        <v>0</v>
      </c>
      <c r="E15" s="13"/>
      <c r="F15" s="13"/>
      <c r="G15" s="14">
        <f t="shared" si="0"/>
        <v>0</v>
      </c>
    </row>
    <row r="16" spans="1:7" ht="17.5" x14ac:dyDescent="0.35">
      <c r="A16" s="9" t="s">
        <v>24</v>
      </c>
      <c r="B16" s="10" t="str">
        <f>VLOOKUP(A16,[4]LISTADHERENT!A$5:H$50,3,0)</f>
        <v>HENGUE PAUL OMER</v>
      </c>
      <c r="C16" s="13">
        <f>VLOOKUP(A16,[5]HISTODEC25!$A$6:$BQ$45,56,0)</f>
        <v>0</v>
      </c>
      <c r="D16" s="13">
        <f>VLOOKUP(A16,[5]HISTODEC25!$A$6:$BQ$45,57,0)</f>
        <v>0</v>
      </c>
      <c r="E16" s="13"/>
      <c r="F16" s="13"/>
      <c r="G16" s="14">
        <f t="shared" si="0"/>
        <v>0</v>
      </c>
    </row>
    <row r="17" spans="1:7" ht="17.5" x14ac:dyDescent="0.35">
      <c r="A17" s="9" t="s">
        <v>25</v>
      </c>
      <c r="B17" s="10" t="str">
        <f>VLOOKUP(A17,[4]LISTADHERENT!A$5:H$50,3,0)</f>
        <v>HOTCHO BENJAMIN</v>
      </c>
      <c r="C17" s="13">
        <f>VLOOKUP(A17,[5]HISTODEC25!$A$6:$BQ$45,56,0)</f>
        <v>0</v>
      </c>
      <c r="D17" s="13">
        <f>VLOOKUP(A17,[5]HISTODEC25!$A$6:$BQ$45,57,0)</f>
        <v>0</v>
      </c>
      <c r="E17" s="13"/>
      <c r="F17" s="13"/>
      <c r="G17" s="14">
        <f t="shared" si="0"/>
        <v>0</v>
      </c>
    </row>
    <row r="18" spans="1:7" ht="17.5" x14ac:dyDescent="0.35">
      <c r="A18" s="9" t="s">
        <v>26</v>
      </c>
      <c r="B18" s="10" t="str">
        <f>VLOOKUP(A18,[4]LISTADHERENT!A$5:H$50,3,0)</f>
        <v>KOUAMOU MOISE</v>
      </c>
      <c r="C18" s="13">
        <f>VLOOKUP(A18,[5]HISTODEC25!$A$6:$BQ$45,56,0)</f>
        <v>331500</v>
      </c>
      <c r="D18" s="13">
        <f>VLOOKUP(A18,[5]HISTODEC25!$A$6:$BQ$45,57,0)</f>
        <v>0</v>
      </c>
      <c r="E18" s="13"/>
      <c r="F18" s="13"/>
      <c r="G18" s="14">
        <f t="shared" si="0"/>
        <v>0</v>
      </c>
    </row>
    <row r="19" spans="1:7" ht="17.5" x14ac:dyDescent="0.35">
      <c r="A19" s="9" t="s">
        <v>27</v>
      </c>
      <c r="B19" s="10" t="str">
        <f>VLOOKUP(A19,[4]LISTADHERENT!A$5:H$50,3,0)</f>
        <v>KOUATCHO MESSACK</v>
      </c>
      <c r="C19" s="13">
        <f>VLOOKUP(A19,[5]HISTODEC25!$A$6:$BQ$45,56,0)</f>
        <v>880000</v>
      </c>
      <c r="D19" s="13" t="str">
        <f>VLOOKUP(A19,[5]HISTODEC25!$A$6:$BQ$45,57,0)</f>
        <v>OK</v>
      </c>
      <c r="E19" s="13"/>
      <c r="F19" s="13"/>
      <c r="G19" s="14">
        <f t="shared" si="0"/>
        <v>0</v>
      </c>
    </row>
    <row r="20" spans="1:7" ht="17.5" x14ac:dyDescent="0.35">
      <c r="A20" s="9" t="s">
        <v>55</v>
      </c>
      <c r="B20" s="10" t="str">
        <f>VLOOKUP(A20,[4]LISTADHERENT!A$5:H$50,3,0)</f>
        <v>LOWE JEAN</v>
      </c>
      <c r="C20" s="13">
        <f>VLOOKUP(A20,[5]HISTODEC25!$A$6:$BQ$45,56,0)</f>
        <v>0</v>
      </c>
      <c r="D20" s="13">
        <f>VLOOKUP(A20,[5]HISTODEC25!$A$6:$BQ$45,57,0)</f>
        <v>0</v>
      </c>
      <c r="E20" s="13"/>
      <c r="F20" s="13"/>
      <c r="G20" s="14">
        <f t="shared" si="0"/>
        <v>0</v>
      </c>
    </row>
    <row r="21" spans="1:7" ht="17.5" x14ac:dyDescent="0.35">
      <c r="A21" s="9" t="s">
        <v>28</v>
      </c>
      <c r="B21" s="10" t="str">
        <f>VLOOKUP(A21,[4]LISTADHERENT!A$5:H$50,3,0)</f>
        <v>MASSEUNGOUE DAGOBERT</v>
      </c>
      <c r="C21" s="13">
        <f>VLOOKUP(A21,[5]HISTODEC25!$A$6:$BQ$45,56,0)</f>
        <v>0</v>
      </c>
      <c r="D21" s="13">
        <f>VLOOKUP(A21,[5]HISTODEC25!$A$6:$BQ$41,57,0)</f>
        <v>0</v>
      </c>
      <c r="E21" s="13"/>
      <c r="F21" s="13"/>
      <c r="G21" s="14">
        <f t="shared" si="0"/>
        <v>0</v>
      </c>
    </row>
    <row r="22" spans="1:7" ht="17.5" x14ac:dyDescent="0.35">
      <c r="A22" s="9" t="s">
        <v>29</v>
      </c>
      <c r="B22" s="10" t="str">
        <f>VLOOKUP(A22,[4]LISTADHERENT!A$5:H$50,3,0)</f>
        <v>MBOGNING TUGMA GUY</v>
      </c>
      <c r="C22" s="13">
        <f>VLOOKUP(A22,[5]HISTODEC25!$A$6:$BQ$45,56,0)</f>
        <v>-90000</v>
      </c>
      <c r="D22" s="13">
        <f>VLOOKUP(A22,[5]HISTODEC25!$A$6:$BQ$41,57,0)</f>
        <v>0</v>
      </c>
      <c r="E22" s="13"/>
      <c r="F22" s="13"/>
      <c r="G22" s="14">
        <f t="shared" si="0"/>
        <v>0</v>
      </c>
    </row>
    <row r="23" spans="1:7" ht="17.5" x14ac:dyDescent="0.35">
      <c r="A23" s="9" t="s">
        <v>30</v>
      </c>
      <c r="B23" s="10" t="str">
        <f>VLOOKUP(A23,[4]LISTADHERENT!A$5:H$50,3,0)</f>
        <v>NANGUEN MARTIN</v>
      </c>
      <c r="C23" s="13">
        <f>VLOOKUP(A23,[5]HISTODEC25!$A$6:$BQ$45,56,0)</f>
        <v>0</v>
      </c>
      <c r="D23" s="13">
        <f>VLOOKUP(A23,[5]HISTODEC25!$A$6:$BQ$41,57,0)</f>
        <v>0</v>
      </c>
      <c r="E23" s="13"/>
      <c r="F23" s="13"/>
      <c r="G23" s="14">
        <f t="shared" si="0"/>
        <v>0</v>
      </c>
    </row>
    <row r="24" spans="1:7" ht="17.5" x14ac:dyDescent="0.35">
      <c r="A24" s="9" t="s">
        <v>31</v>
      </c>
      <c r="B24" s="10" t="str">
        <f>VLOOKUP(A24,[4]LISTADHERENT!A$5:H$50,3,0)</f>
        <v>NANKAM APPOLINAIRE</v>
      </c>
      <c r="C24" s="13">
        <f>VLOOKUP(A24,[5]HISTODEC25!$A$6:$BQ$45,56,0)</f>
        <v>-248000</v>
      </c>
      <c r="D24" s="13">
        <f>VLOOKUP(A24,[5]HISTODEC25!$A$6:$BQ$41,57,0)</f>
        <v>0</v>
      </c>
      <c r="E24" s="13"/>
      <c r="F24" s="13"/>
      <c r="G24" s="14">
        <f t="shared" si="0"/>
        <v>0</v>
      </c>
    </row>
    <row r="25" spans="1:7" ht="17.5" x14ac:dyDescent="0.35">
      <c r="A25" s="9" t="s">
        <v>32</v>
      </c>
      <c r="B25" s="10" t="str">
        <f>VLOOKUP(A25,[4]LISTADHERENT!A$5:H$50,3,0)</f>
        <v>NDJOMO ETIENNE</v>
      </c>
      <c r="C25" s="13">
        <f>VLOOKUP(A25,[5]HISTODEC25!$A$6:$BQ$45,56,0)</f>
        <v>93500</v>
      </c>
      <c r="D25" s="13" t="str">
        <f>VLOOKUP(A25,[5]HISTODEC25!$A$6:$BQ$41,57,0)</f>
        <v>OK</v>
      </c>
      <c r="E25" s="13"/>
      <c r="F25" s="13"/>
      <c r="G25" s="14">
        <f t="shared" si="0"/>
        <v>0</v>
      </c>
    </row>
    <row r="26" spans="1:7" ht="17.5" x14ac:dyDescent="0.35">
      <c r="A26" s="9" t="s">
        <v>33</v>
      </c>
      <c r="B26" s="10" t="str">
        <f>VLOOKUP(A26,[4]LISTADHERENT!A$5:H$50,3,0)</f>
        <v>NGONDIEP CLAUDE</v>
      </c>
      <c r="C26" s="13">
        <f>VLOOKUP(A26,[5]HISTODEC25!$A$6:$BQ$45,56,0)</f>
        <v>1177500</v>
      </c>
      <c r="D26" s="13" t="str">
        <f>VLOOKUP(A26,[5]HISTODEC25!$A$6:$BQ$41,57,0)</f>
        <v>OK</v>
      </c>
      <c r="E26" s="13"/>
      <c r="F26" s="13"/>
      <c r="G26" s="14">
        <f t="shared" si="0"/>
        <v>0</v>
      </c>
    </row>
    <row r="27" spans="1:7" ht="17.5" x14ac:dyDescent="0.35">
      <c r="A27" s="9" t="s">
        <v>34</v>
      </c>
      <c r="B27" s="10" t="str">
        <f>VLOOKUP(A27,[4]LISTADHERENT!A$5:H$50,3,0)</f>
        <v>NGUIEMEGNI MATHIEU BLAISE</v>
      </c>
      <c r="C27" s="13">
        <f>VLOOKUP(A27,[5]HISTODEC25!$A$6:$BQ$45,56,0)</f>
        <v>950000</v>
      </c>
      <c r="D27" s="13">
        <f>VLOOKUP(A27,[5]HISTODEC25!$A$6:$BQ$41,57,0)</f>
        <v>0</v>
      </c>
      <c r="E27" s="13"/>
      <c r="F27" s="13"/>
      <c r="G27" s="14">
        <f t="shared" si="0"/>
        <v>0</v>
      </c>
    </row>
    <row r="28" spans="1:7" ht="17.5" x14ac:dyDescent="0.35">
      <c r="A28" s="9" t="s">
        <v>35</v>
      </c>
      <c r="B28" s="10" t="str">
        <f>VLOOKUP(A28,[4]LISTADHERENT!A$5:H$50,3,0)</f>
        <v>NKAMGANG JUSTIN DEJOLIE</v>
      </c>
      <c r="C28" s="13">
        <f>VLOOKUP(A28,[5]HISTODEC25!$A$6:$BQ$45,56,0)</f>
        <v>490500</v>
      </c>
      <c r="D28" s="13" t="str">
        <f>VLOOKUP(A28,[5]HISTODEC25!$A$6:$BQ$41,57,0)</f>
        <v>OK</v>
      </c>
      <c r="E28" s="13"/>
      <c r="F28" s="13"/>
      <c r="G28" s="14">
        <f t="shared" si="0"/>
        <v>0</v>
      </c>
    </row>
    <row r="29" spans="1:7" ht="17.5" x14ac:dyDescent="0.35">
      <c r="A29" s="9" t="s">
        <v>36</v>
      </c>
      <c r="B29" s="10" t="str">
        <f>VLOOKUP(A29,[4]LISTADHERENT!A$5:H$50,3,0)</f>
        <v>NOUBE ETIENNE</v>
      </c>
      <c r="C29" s="13">
        <f>VLOOKUP(A29,[5]HISTODEC25!$A$6:$BQ$45,56,0)</f>
        <v>0</v>
      </c>
      <c r="D29" s="13">
        <f>VLOOKUP(A29,[5]HISTODEC25!$A$6:$BQ$41,57,0)</f>
        <v>0</v>
      </c>
      <c r="E29" s="13"/>
      <c r="F29" s="13"/>
      <c r="G29" s="14">
        <f t="shared" si="0"/>
        <v>0</v>
      </c>
    </row>
    <row r="30" spans="1:7" ht="17.5" x14ac:dyDescent="0.35">
      <c r="A30" s="9" t="s">
        <v>37</v>
      </c>
      <c r="B30" s="10" t="str">
        <f>VLOOKUP(A30,[4]LISTADHERENT!A$5:H$50,3,0)</f>
        <v>PATEGO NJOSSU GUSTAVE</v>
      </c>
      <c r="C30" s="13">
        <f>VLOOKUP(A30,[5]HISTODEC25!$A$6:$BQ$45,56,0)</f>
        <v>0</v>
      </c>
      <c r="D30" s="13">
        <f>VLOOKUP(A30,[5]HISTODEC25!$A$6:$BQ$41,57,0)</f>
        <v>0</v>
      </c>
      <c r="E30" s="13"/>
      <c r="F30" s="13"/>
      <c r="G30" s="14">
        <f t="shared" si="0"/>
        <v>0</v>
      </c>
    </row>
    <row r="31" spans="1:7" ht="17.5" x14ac:dyDescent="0.35">
      <c r="A31" s="9" t="s">
        <v>38</v>
      </c>
      <c r="B31" s="10" t="str">
        <f>VLOOKUP(A31,[4]LISTADHERENT!A$5:H$50,3,0)</f>
        <v>SEUMO POLYCARPE</v>
      </c>
      <c r="C31" s="13">
        <f>VLOOKUP(A31,[5]HISTODEC25!$A$6:$BQ$45,56,0)</f>
        <v>855000</v>
      </c>
      <c r="D31" s="13">
        <f>VLOOKUP(A31,[5]HISTODEC25!$A$6:$BQ$41,57,0)</f>
        <v>0</v>
      </c>
      <c r="E31" s="13"/>
      <c r="F31" s="13"/>
      <c r="G31" s="14">
        <f t="shared" si="0"/>
        <v>0</v>
      </c>
    </row>
    <row r="32" spans="1:7" ht="17.5" x14ac:dyDescent="0.35">
      <c r="A32" s="9" t="s">
        <v>39</v>
      </c>
      <c r="B32" s="10" t="str">
        <f>VLOOKUP(A32,[4]LISTADHERENT!A$5:H$50,3,0)</f>
        <v>SIME BRICE</v>
      </c>
      <c r="C32" s="13">
        <f>VLOOKUP(A32,[5]HISTODEC25!$A$6:$BQ$45,56,0)</f>
        <v>0</v>
      </c>
      <c r="D32" s="13">
        <f>VLOOKUP(A32,[5]HISTODEC25!$A$6:$BQ$41,57,0)</f>
        <v>0</v>
      </c>
      <c r="E32" s="13"/>
      <c r="F32" s="13"/>
      <c r="G32" s="14">
        <f t="shared" si="0"/>
        <v>0</v>
      </c>
    </row>
    <row r="33" spans="1:7" ht="17.5" x14ac:dyDescent="0.35">
      <c r="A33" s="19" t="s">
        <v>51</v>
      </c>
      <c r="B33" s="10" t="str">
        <f>VLOOKUP(A33,[4]LISTADHERENT!A$5:H$50,3,0)</f>
        <v>SIMO FONGANG ERIC</v>
      </c>
      <c r="C33" s="13">
        <f>VLOOKUP(A33,[5]HISTODEC25!$A$6:$BQ$45,56,0)</f>
        <v>297500</v>
      </c>
      <c r="D33" s="13">
        <f>VLOOKUP(A33,[5]HISTODEC25!$A$6:$BQ$41,57,0)</f>
        <v>0</v>
      </c>
      <c r="E33" s="13"/>
      <c r="F33" s="13"/>
      <c r="G33" s="14">
        <f t="shared" si="0"/>
        <v>0</v>
      </c>
    </row>
    <row r="34" spans="1:7" ht="17.5" x14ac:dyDescent="0.35">
      <c r="A34" s="9" t="s">
        <v>40</v>
      </c>
      <c r="B34" s="10" t="str">
        <f>VLOOKUP(A34,[4]LISTADHERENT!A$5:H$50,3,0)</f>
        <v>SIMO PIERRE</v>
      </c>
      <c r="C34" s="13">
        <f>VLOOKUP(A34,[5]HISTODEC25!$A$6:$BQ$45,56,0)</f>
        <v>-530500</v>
      </c>
      <c r="D34" s="13">
        <f>VLOOKUP(A34,[5]HISTODEC25!$A$6:$BQ$41,57,0)</f>
        <v>0</v>
      </c>
      <c r="E34" s="13"/>
      <c r="F34" s="13"/>
      <c r="G34" s="14">
        <f t="shared" si="0"/>
        <v>0</v>
      </c>
    </row>
    <row r="35" spans="1:7" ht="17.5" x14ac:dyDescent="0.35">
      <c r="A35" s="9" t="s">
        <v>41</v>
      </c>
      <c r="B35" s="10" t="str">
        <f>VLOOKUP(A35,[4]LISTADHERENT!A$5:H$50,3,0)</f>
        <v>TCHOUAMOU MATHIEU</v>
      </c>
      <c r="C35" s="13">
        <f>VLOOKUP(A35,[5]HISTODEC25!$A$6:$BQ$45,56,0)</f>
        <v>-223500</v>
      </c>
      <c r="D35" s="13">
        <f>VLOOKUP(A35,[5]HISTODEC25!$A$6:$BQ$41,57,0)</f>
        <v>0</v>
      </c>
      <c r="E35" s="13"/>
      <c r="F35" s="13"/>
      <c r="G35" s="14">
        <f t="shared" si="0"/>
        <v>0</v>
      </c>
    </row>
    <row r="36" spans="1:7" ht="17.5" x14ac:dyDescent="0.35">
      <c r="A36" s="9" t="s">
        <v>42</v>
      </c>
      <c r="B36" s="10" t="str">
        <f>VLOOKUP(A36,[4]LISTADHERENT!A$5:H$50,3,0)</f>
        <v>TCHOUATEU AUGUSTIN</v>
      </c>
      <c r="C36" s="13">
        <f>VLOOKUP(A36,[5]HISTODEC25!$A$6:$BQ$45,56,0)</f>
        <v>880000</v>
      </c>
      <c r="D36" s="13" t="str">
        <f>VLOOKUP(A36,[5]HISTODEC25!$A$6:$BQ$41,57,0)</f>
        <v>OK</v>
      </c>
      <c r="E36" s="13"/>
      <c r="F36" s="13"/>
      <c r="G36" s="14">
        <f t="shared" si="0"/>
        <v>0</v>
      </c>
    </row>
    <row r="37" spans="1:7" s="3" customFormat="1" ht="17.5" x14ac:dyDescent="0.35">
      <c r="A37" s="9" t="s">
        <v>43</v>
      </c>
      <c r="B37" s="10" t="str">
        <f>VLOOKUP(A37,[4]LISTADHERENT!A$5:H$50,3,0)</f>
        <v>TCHOUTOU NANA CLAUDE</v>
      </c>
      <c r="C37" s="13">
        <f>VLOOKUP(A37,[5]HISTODEC25!$A$6:$BQ$45,56,0)</f>
        <v>0</v>
      </c>
      <c r="D37" s="13">
        <f>VLOOKUP(A37,[5]HISTODEC25!$A$6:$BQ$41,57,0)</f>
        <v>0</v>
      </c>
      <c r="E37" s="13"/>
      <c r="F37" s="13"/>
      <c r="G37" s="14">
        <f t="shared" si="0"/>
        <v>0</v>
      </c>
    </row>
    <row r="38" spans="1:7" ht="17.5" x14ac:dyDescent="0.35">
      <c r="A38" s="1" t="s">
        <v>52</v>
      </c>
      <c r="B38" s="10" t="str">
        <f>VLOOKUP(A38,[4]LISTADHERENT!A$5:H$50,3,0)</f>
        <v>TIEYAM ERNEST</v>
      </c>
      <c r="C38" s="13">
        <f>VLOOKUP(A38,[5]HISTODEC25!$A$6:$BQ$45,56,0)</f>
        <v>297500</v>
      </c>
      <c r="D38" s="13">
        <f>VLOOKUP(A38,[5]HISTODEC25!$A$6:$BQ$41,57,0)</f>
        <v>0</v>
      </c>
      <c r="E38" s="13"/>
      <c r="F38" s="13"/>
      <c r="G38" s="14">
        <f t="shared" si="0"/>
        <v>0</v>
      </c>
    </row>
    <row r="39" spans="1:7" ht="17.5" x14ac:dyDescent="0.35">
      <c r="A39" s="9" t="s">
        <v>44</v>
      </c>
      <c r="B39" s="10" t="str">
        <f>VLOOKUP(A39,[4]LISTADHERENT!A$5:H$50,3,0)</f>
        <v>YANTCHOU GERVAIS</v>
      </c>
      <c r="C39" s="13">
        <f>VLOOKUP(A39,[5]HISTODEC25!$A$6:$BQ$45,56,0)</f>
        <v>0</v>
      </c>
      <c r="D39" s="13">
        <f>VLOOKUP(A39,[5]HISTODEC25!$A$6:$BQ$41,57,0)</f>
        <v>0</v>
      </c>
      <c r="E39" s="13"/>
      <c r="F39" s="13"/>
      <c r="G39" s="14">
        <f t="shared" si="0"/>
        <v>0</v>
      </c>
    </row>
    <row r="40" spans="1:7" ht="17.5" x14ac:dyDescent="0.35">
      <c r="A40" s="9" t="s">
        <v>45</v>
      </c>
      <c r="B40" s="10" t="str">
        <f>VLOOKUP(A40,[4]LISTADHERENT!A$5:H$50,3,0)</f>
        <v>YEPMOU JEAN JACQUES</v>
      </c>
      <c r="C40" s="13">
        <f>VLOOKUP(A40,[5]HISTODEC25!$A$6:$BQ$45,56,0)</f>
        <v>0</v>
      </c>
      <c r="D40" s="13">
        <f>VLOOKUP(A40,[5]HISTODEC25!$A$6:$BQ$41,57,0)</f>
        <v>0</v>
      </c>
      <c r="E40" s="13"/>
      <c r="F40" s="13"/>
      <c r="G40" s="14">
        <f t="shared" si="0"/>
        <v>0</v>
      </c>
    </row>
    <row r="41" spans="1:7" ht="17.5" x14ac:dyDescent="0.35">
      <c r="A41" s="9" t="s">
        <v>46</v>
      </c>
      <c r="B41" s="10" t="str">
        <f>VLOOKUP(A41,[4]LISTADHERENT!A$5:H$50,3,0)</f>
        <v>YIALA ALAIN OSCAR</v>
      </c>
      <c r="C41" s="13">
        <f>VLOOKUP(A41,[5]HISTODEC25!$A$6:$BQ$45,56,0)</f>
        <v>0</v>
      </c>
      <c r="D41" s="13">
        <f>VLOOKUP(A41,[5]HISTODEC25!$A$6:$BQ$41,57,0)</f>
        <v>0</v>
      </c>
      <c r="E41" s="13"/>
      <c r="F41" s="13"/>
      <c r="G41" s="14">
        <f t="shared" si="0"/>
        <v>0</v>
      </c>
    </row>
    <row r="42" spans="1:7" ht="17.5" x14ac:dyDescent="0.35">
      <c r="A42" s="9" t="s">
        <v>47</v>
      </c>
      <c r="B42" s="10" t="str">
        <f>VLOOKUP(A42,[4]LISTADHERENT!A$5:H$50,3,0)</f>
        <v>YOUMBI EMMANUEL</v>
      </c>
      <c r="C42" s="13">
        <f>VLOOKUP(A42,[5]HISTODEC25!$A$6:$BQ$45,56,0)</f>
        <v>0</v>
      </c>
      <c r="D42" s="13">
        <f>VLOOKUP(A42,[5]HISTODEC25!$A$6:$BQ$42,57,0)</f>
        <v>0</v>
      </c>
      <c r="E42" s="13"/>
      <c r="F42" s="13"/>
      <c r="G42" s="14">
        <f t="shared" si="0"/>
        <v>0</v>
      </c>
    </row>
    <row r="43" spans="1:7" ht="17.5" x14ac:dyDescent="0.35">
      <c r="A43" s="9"/>
      <c r="B43" s="10" t="s">
        <v>53</v>
      </c>
      <c r="C43" s="10"/>
      <c r="D43" s="10"/>
      <c r="E43" s="13"/>
      <c r="F43" s="13">
        <v>11010798</v>
      </c>
      <c r="G43" s="14"/>
    </row>
    <row r="44" spans="1:7" ht="24" thickBot="1" x14ac:dyDescent="0.6">
      <c r="A44" s="15"/>
      <c r="B44" s="16" t="s">
        <v>4</v>
      </c>
      <c r="C44" s="17">
        <f>SUM(C6:C43)</f>
        <v>7131000</v>
      </c>
      <c r="D44" s="17"/>
      <c r="E44" s="17">
        <f>SUM(E7:E43)</f>
        <v>0</v>
      </c>
      <c r="F44" s="17"/>
      <c r="G44" s="18">
        <f>SUM(G7:G43)</f>
        <v>0</v>
      </c>
    </row>
    <row r="45" spans="1:7" ht="15" thickTop="1" x14ac:dyDescent="0.35"/>
    <row r="46" spans="1:7" ht="26" x14ac:dyDescent="0.6">
      <c r="B46" s="5" t="s">
        <v>11</v>
      </c>
      <c r="C46" s="4">
        <f>C44-C5</f>
        <v>7131000</v>
      </c>
    </row>
    <row r="48" spans="1:7" x14ac:dyDescent="0.35">
      <c r="B48" s="1" t="s">
        <v>6</v>
      </c>
      <c r="C48" s="1"/>
      <c r="D48" s="1"/>
      <c r="E48" s="1"/>
      <c r="F48" s="1"/>
    </row>
    <row r="50" spans="2:2" x14ac:dyDescent="0.35">
      <c r="B50" t="s">
        <v>8</v>
      </c>
    </row>
    <row r="51" spans="2:2" x14ac:dyDescent="0.35">
      <c r="B51" t="s">
        <v>9</v>
      </c>
    </row>
    <row r="52" spans="2:2" x14ac:dyDescent="0.35">
      <c r="B52" t="s">
        <v>10</v>
      </c>
    </row>
  </sheetData>
  <autoFilter ref="A4:F42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286D7-4400-4D85-B34F-B39D7AAF60FE}">
  <dimension ref="A1:G52"/>
  <sheetViews>
    <sheetView zoomScale="96" zoomScaleNormal="96" workbookViewId="0">
      <pane xSplit="2" ySplit="4" topLeftCell="C14" activePane="bottomRight" state="frozen"/>
      <selection activeCell="F44" sqref="F44"/>
      <selection pane="topRight" activeCell="F44" sqref="F44"/>
      <selection pane="bottomLeft" activeCell="F44" sqref="F44"/>
      <selection pane="bottomRight" activeCell="A19" sqref="A19:B20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4" width="21.1796875" customWidth="1"/>
    <col min="5" max="5" width="17" bestFit="1" customWidth="1"/>
    <col min="6" max="6" width="17" customWidth="1"/>
    <col min="7" max="7" width="12.453125" bestFit="1" customWidth="1"/>
  </cols>
  <sheetData>
    <row r="1" spans="1:7" x14ac:dyDescent="0.35">
      <c r="A1" s="1" t="s">
        <v>2</v>
      </c>
      <c r="B1" s="1" t="s">
        <v>48</v>
      </c>
      <c r="C1" s="1"/>
      <c r="D1" s="1"/>
      <c r="E1" s="1"/>
      <c r="F1" s="1"/>
    </row>
    <row r="2" spans="1:7" ht="15" thickBot="1" x14ac:dyDescent="0.4">
      <c r="A2" s="1" t="s">
        <v>3</v>
      </c>
      <c r="B2" s="1">
        <v>2025</v>
      </c>
      <c r="C2" s="1"/>
      <c r="D2" s="1"/>
      <c r="E2" s="1"/>
      <c r="F2" s="1"/>
    </row>
    <row r="3" spans="1:7" ht="68.25" customHeight="1" thickTop="1" x14ac:dyDescent="0.35">
      <c r="A3" s="6" t="s">
        <v>0</v>
      </c>
      <c r="B3" s="7" t="s">
        <v>1</v>
      </c>
      <c r="C3" s="7"/>
      <c r="D3" s="7"/>
      <c r="E3" s="7"/>
      <c r="F3" s="7"/>
      <c r="G3" s="8" t="s">
        <v>4</v>
      </c>
    </row>
    <row r="4" spans="1:7" ht="30" customHeight="1" x14ac:dyDescent="0.35">
      <c r="A4" s="9"/>
      <c r="B4" s="10"/>
      <c r="C4" s="10" t="s">
        <v>7</v>
      </c>
      <c r="D4" s="10" t="s">
        <v>5</v>
      </c>
      <c r="E4" s="11" t="s">
        <v>12</v>
      </c>
      <c r="F4" s="11" t="s">
        <v>13</v>
      </c>
      <c r="G4" s="12"/>
    </row>
    <row r="5" spans="1:7" ht="30" customHeight="1" x14ac:dyDescent="0.35">
      <c r="A5" s="9"/>
      <c r="B5" s="10" t="s">
        <v>14</v>
      </c>
      <c r="C5" s="13">
        <f>HISTOJANV25!C5+HISTOFEV25!C5+HISTOMARS25!C5+HISTOAVRIL25!C5+HISTOMAI25!C5+HISTOJUIN25!C5+HISTOJUIL25!C5+HISTOAOUT25!C5+HISTOSEPT25!C5+HISTOOCT25!C5+HISTONOV25!C5+HISTODEC25!C5</f>
        <v>7134000</v>
      </c>
      <c r="D5" s="10"/>
      <c r="E5" s="13"/>
      <c r="F5" s="13"/>
      <c r="G5" s="12"/>
    </row>
    <row r="6" spans="1:7" ht="17.5" x14ac:dyDescent="0.35">
      <c r="A6" s="9" t="s">
        <v>15</v>
      </c>
      <c r="B6" s="10" t="str">
        <f>VLOOKUP(A6,[4]LISTADHERENT!A$5:H$50,3,0)</f>
        <v>ASELBY</v>
      </c>
      <c r="C6" s="13">
        <f>HISTOJANV25!C6+HISTOFEV25!C6+HISTOMARS25!C6+HISTOAVRIL25!C6+HISTOMAI25!C6+HISTOJUIN25!C6+HISTOJUIL25!C6+HISTOAOUT25!C6+HISTOSEPT25!C6+HISTOOCT25!C6+HISTONOV25!C6+HISTODEC25!C6</f>
        <v>5082500</v>
      </c>
      <c r="D6" s="13"/>
      <c r="E6" s="13">
        <f>HISTOJANV25!E6+HISTOFEV25!E6+HISTOMARS25!E6+HISTOAVRIL25!E6+HISTOMAI25!E6+HISTOJUIN25!E6+HISTOJUIL25!E6+HISTOAOUT25!E6+HISTOSEPT25!E6+HISTOOCT25!E6+HISTONOV25!E6+HISTODEC25!E6</f>
        <v>32207</v>
      </c>
      <c r="F6" s="13"/>
      <c r="G6" s="14">
        <f t="shared" ref="G6:G42" si="0">SUM(E6:F6)</f>
        <v>32207</v>
      </c>
    </row>
    <row r="7" spans="1:7" ht="17.5" x14ac:dyDescent="0.35">
      <c r="A7" s="9" t="s">
        <v>16</v>
      </c>
      <c r="B7" s="10" t="str">
        <f>VLOOKUP(A7,[4]LISTADHERENT!A$5:H$50,3,0)</f>
        <v>BAKOP ACHILLE</v>
      </c>
      <c r="C7" s="13">
        <f>HISTOJANV25!C7+HISTOFEV25!C7+HISTOMARS25!C7+HISTOAVRIL25!C7+HISTOMAI25!C7+HISTOJUIN25!C7+HISTOJUIL25!C7+HISTOAOUT25!C7+HISTOSEPT25!C7+HISTOOCT25!C7+HISTONOV25!C7+HISTODEC25!C7</f>
        <v>1187500</v>
      </c>
      <c r="D7" s="13"/>
      <c r="E7" s="13"/>
      <c r="F7" s="13"/>
      <c r="G7" s="14">
        <f t="shared" si="0"/>
        <v>0</v>
      </c>
    </row>
    <row r="8" spans="1:7" s="3" customFormat="1" ht="17.5" x14ac:dyDescent="0.35">
      <c r="A8" s="9" t="s">
        <v>17</v>
      </c>
      <c r="B8" s="10" t="str">
        <f>VLOOKUP(A8,[4]LISTADHERENT!A$5:H$50,3,0)</f>
        <v>BOUTCHOUANG WILLIAM</v>
      </c>
      <c r="C8" s="13">
        <f>HISTOJANV25!C8+HISTOFEV25!C8+HISTOMARS25!C8+HISTOAVRIL25!C8+HISTOMAI25!C8+HISTOJUIN25!C8+HISTOJUIL25!C8+HISTOAOUT25!C8+HISTOSEPT25!C8+HISTOOCT25!C8+HISTONOV25!C8+HISTODEC25!C8</f>
        <v>2260000</v>
      </c>
      <c r="D8" s="13"/>
      <c r="E8" s="13"/>
      <c r="F8" s="13"/>
      <c r="G8" s="14">
        <f t="shared" si="0"/>
        <v>0</v>
      </c>
    </row>
    <row r="9" spans="1:7" s="3" customFormat="1" ht="17.5" x14ac:dyDescent="0.35">
      <c r="A9" s="9" t="s">
        <v>18</v>
      </c>
      <c r="B9" s="10" t="str">
        <f>VLOOKUP(A9,[4]LISTADHERENT!A$5:H$50,3,0)</f>
        <v xml:space="preserve">DJOMO JEAN PAUL </v>
      </c>
      <c r="C9" s="13">
        <f>HISTOJANV25!C9+HISTOFEV25!C9+HISTOMARS25!C9+HISTOAVRIL25!C9+HISTOMAI25!C9+HISTOJUIN25!C9+HISTOJUIL25!C9+HISTOAOUT25!C9+HISTOSEPT25!C9+HISTOOCT25!C9+HISTONOV25!C9+HISTODEC25!C9</f>
        <v>3209000</v>
      </c>
      <c r="D9" s="13"/>
      <c r="E9" s="13"/>
      <c r="F9" s="13"/>
      <c r="G9" s="14">
        <f t="shared" si="0"/>
        <v>0</v>
      </c>
    </row>
    <row r="10" spans="1:7" ht="17.5" x14ac:dyDescent="0.35">
      <c r="A10" s="9" t="s">
        <v>19</v>
      </c>
      <c r="B10" s="10" t="str">
        <f>VLOOKUP(A10,[4]LISTADHERENT!A$5:H$50,3,0)</f>
        <v>DJOMOU TCHAPDA</v>
      </c>
      <c r="C10" s="13">
        <f>HISTOJANV25!C10+HISTOFEV25!C10+HISTOMARS25!C10+HISTOAVRIL25!C10+HISTOMAI25!C10+HISTOJUIN25!C10+HISTOJUIL25!C10+HISTOAOUT25!C10+HISTOSEPT25!C10+HISTOOCT25!C10+HISTONOV25!C10+HISTODEC25!C10</f>
        <v>356000</v>
      </c>
      <c r="D10" s="13"/>
      <c r="E10" s="13"/>
      <c r="F10" s="13"/>
      <c r="G10" s="14">
        <f t="shared" si="0"/>
        <v>0</v>
      </c>
    </row>
    <row r="11" spans="1:7" ht="17.5" x14ac:dyDescent="0.35">
      <c r="A11" s="9" t="s">
        <v>20</v>
      </c>
      <c r="B11" s="10" t="str">
        <f>VLOOKUP(A11,[4]LISTADHERENT!A$5:H$50,3,0)</f>
        <v>DJOUKWE NANGUEN GUY BLAISE</v>
      </c>
      <c r="C11" s="13">
        <f>HISTOJANV25!C11+HISTOFEV25!C11+HISTOMARS25!C11+HISTOAVRIL25!C11+HISTOMAI25!C11+HISTOJUIN25!C11+HISTOJUIL25!C11+HISTOAOUT25!C11+HISTOSEPT25!C11+HISTOOCT25!C11+HISTONOV25!C11+HISTODEC25!C11</f>
        <v>976500</v>
      </c>
      <c r="D11" s="13"/>
      <c r="E11" s="13"/>
      <c r="F11" s="13"/>
      <c r="G11" s="14">
        <f t="shared" si="0"/>
        <v>0</v>
      </c>
    </row>
    <row r="12" spans="1:7" ht="17.5" x14ac:dyDescent="0.35">
      <c r="A12" s="9" t="s">
        <v>21</v>
      </c>
      <c r="B12" s="10" t="str">
        <f>VLOOKUP(A12,[4]LISTADHERENT!A$5:H$50,3,0)</f>
        <v>DJUOMBESSY ANTOINE</v>
      </c>
      <c r="C12" s="13">
        <f>HISTOJANV25!C12+HISTOFEV25!C12+HISTOMARS25!C12+HISTOAVRIL25!C12+HISTOMAI25!C12+HISTOJUIN25!C12+HISTOJUIL25!C12+HISTOAOUT25!C12+HISTOSEPT25!C12+HISTOOCT25!C12+HISTONOV25!C12+HISTODEC25!C12</f>
        <v>5671000</v>
      </c>
      <c r="D12" s="13"/>
      <c r="E12" s="13"/>
      <c r="F12" s="13"/>
      <c r="G12" s="14">
        <f t="shared" si="0"/>
        <v>0</v>
      </c>
    </row>
    <row r="13" spans="1:7" s="3" customFormat="1" ht="17.5" x14ac:dyDescent="0.35">
      <c r="A13" s="9" t="s">
        <v>22</v>
      </c>
      <c r="B13" s="10" t="str">
        <f>VLOOKUP(A13,[4]LISTADHERENT!A$5:H$50,3,0)</f>
        <v>DOMOU FABIEN</v>
      </c>
      <c r="C13" s="13">
        <f>HISTOJANV25!C13+HISTOFEV25!C13+HISTOMARS25!C13+HISTOAVRIL25!C13+HISTOMAI25!C13+HISTOJUIN25!C13+HISTOJUIL25!C13+HISTOAOUT25!C13+HISTOSEPT25!C13+HISTOOCT25!C13+HISTONOV25!C13+HISTODEC25!C13</f>
        <v>294500</v>
      </c>
      <c r="D13" s="13"/>
      <c r="E13" s="13"/>
      <c r="F13" s="13"/>
      <c r="G13" s="14">
        <f t="shared" si="0"/>
        <v>0</v>
      </c>
    </row>
    <row r="14" spans="1:7" ht="17.5" x14ac:dyDescent="0.35">
      <c r="A14" s="9" t="s">
        <v>23</v>
      </c>
      <c r="B14" s="10" t="str">
        <f>VLOOKUP(A14,[4]LISTADHERENT!A$5:H$50,3,0)</f>
        <v>DONHOU DAVID</v>
      </c>
      <c r="C14" s="13">
        <f>HISTOJANV25!C14+HISTOFEV25!C14+HISTOMARS25!C14+HISTOAVRIL25!C14+HISTOMAI25!C14+HISTOJUIN25!C14+HISTOJUIL25!C14+HISTOAOUT25!C14+HISTOSEPT25!C14+HISTOOCT25!C14+HISTONOV25!C14+HISTODEC25!C14</f>
        <v>100000</v>
      </c>
      <c r="D14" s="13"/>
      <c r="E14" s="13"/>
      <c r="F14" s="13"/>
      <c r="G14" s="14">
        <f t="shared" si="0"/>
        <v>0</v>
      </c>
    </row>
    <row r="15" spans="1:7" ht="17.5" x14ac:dyDescent="0.35">
      <c r="A15" s="9" t="s">
        <v>54</v>
      </c>
      <c r="B15" s="10" t="str">
        <f>VLOOKUP(A15,[4]LISTADHERENT!A$5:H$50,3,0)</f>
        <v>FAMPOU PAUL</v>
      </c>
      <c r="C15" s="13">
        <f>HISTOJANV25!C15+HISTOFEV25!C15+HISTOMARS25!C15+HISTOAVRIL25!C15+HISTOMAI25!C15+HISTOJUIN25!C15+HISTOJUIL25!C15+HISTOAOUT25!C15+HISTOSEPT25!C15+HISTOOCT25!C15+HISTONOV25!C15+HISTODEC25!C15</f>
        <v>597500</v>
      </c>
      <c r="D15" s="13"/>
      <c r="E15" s="13"/>
      <c r="F15" s="13"/>
      <c r="G15" s="14">
        <f t="shared" si="0"/>
        <v>0</v>
      </c>
    </row>
    <row r="16" spans="1:7" ht="17.5" x14ac:dyDescent="0.35">
      <c r="A16" s="9" t="s">
        <v>24</v>
      </c>
      <c r="B16" s="10" t="str">
        <f>VLOOKUP(A16,[4]LISTADHERENT!A$5:H$50,3,0)</f>
        <v>HENGUE PAUL OMER</v>
      </c>
      <c r="C16" s="13">
        <f>HISTOJANV25!C16+HISTOFEV25!C16+HISTOMARS25!C16+HISTOAVRIL25!C16+HISTOMAI25!C16+HISTOJUIN25!C16+HISTOJUIL25!C16+HISTOAOUT25!C16+HISTOSEPT25!C16+HISTOOCT25!C16+HISTONOV25!C16+HISTODEC25!C16</f>
        <v>1133000</v>
      </c>
      <c r="D16" s="13"/>
      <c r="E16" s="13"/>
      <c r="F16" s="13"/>
      <c r="G16" s="14">
        <f t="shared" si="0"/>
        <v>0</v>
      </c>
    </row>
    <row r="17" spans="1:7" ht="17.5" x14ac:dyDescent="0.35">
      <c r="A17" s="9" t="s">
        <v>25</v>
      </c>
      <c r="B17" s="10" t="str">
        <f>VLOOKUP(A17,[4]LISTADHERENT!A$5:H$50,3,0)</f>
        <v>HOTCHO BENJAMIN</v>
      </c>
      <c r="C17" s="13">
        <f>HISTOJANV25!C17+HISTOFEV25!C17+HISTOMARS25!C17+HISTOAVRIL25!C17+HISTOMAI25!C17+HISTOJUIN25!C17+HISTOJUIL25!C17+HISTOAOUT25!C17+HISTOSEPT25!C17+HISTOOCT25!C17+HISTONOV25!C17+HISTODEC25!C17</f>
        <v>4355125</v>
      </c>
      <c r="D17" s="13"/>
      <c r="E17" s="13"/>
      <c r="F17" s="13"/>
      <c r="G17" s="14">
        <f t="shared" si="0"/>
        <v>0</v>
      </c>
    </row>
    <row r="18" spans="1:7" ht="17.5" x14ac:dyDescent="0.35">
      <c r="A18" s="9" t="s">
        <v>26</v>
      </c>
      <c r="B18" s="10" t="str">
        <f>VLOOKUP(A18,[4]LISTADHERENT!A$5:H$50,3,0)</f>
        <v>KOUAMOU MOISE</v>
      </c>
      <c r="C18" s="13">
        <f>HISTOJANV25!C18+HISTOFEV25!C18+HISTOMARS25!C18+HISTOAVRIL25!C18+HISTOMAI25!C18+HISTOJUIN25!C18+HISTOJUIL25!C18+HISTOAOUT25!C18+HISTOSEPT25!C18+HISTOOCT25!C18+HISTONOV25!C18+HISTODEC25!C18</f>
        <v>2481000</v>
      </c>
      <c r="D18" s="13"/>
      <c r="E18" s="13"/>
      <c r="F18" s="13"/>
      <c r="G18" s="14">
        <f t="shared" si="0"/>
        <v>0</v>
      </c>
    </row>
    <row r="19" spans="1:7" ht="17.5" x14ac:dyDescent="0.35">
      <c r="A19" s="9" t="s">
        <v>27</v>
      </c>
      <c r="B19" s="10" t="str">
        <f>VLOOKUP(A19,[4]LISTADHERENT!A$5:H$50,3,0)</f>
        <v>KOUATCHO MESSACK</v>
      </c>
      <c r="C19" s="13">
        <f>HISTOJANV25!C19+HISTOFEV25!C19+HISTOMARS25!C19+HISTOAVRIL25!C19+HISTOMAI25!C19+HISTOJUIN25!C19+HISTOJUIL25!C19+HISTOAOUT25!C19+HISTOSEPT25!C19+HISTOOCT25!C19+HISTONOV25!C19+HISTODEC25!C19</f>
        <v>3854000</v>
      </c>
      <c r="D19" s="13"/>
      <c r="E19" s="13"/>
      <c r="F19" s="13"/>
      <c r="G19" s="14">
        <f t="shared" si="0"/>
        <v>0</v>
      </c>
    </row>
    <row r="20" spans="1:7" ht="17.5" x14ac:dyDescent="0.35">
      <c r="A20" s="9" t="s">
        <v>55</v>
      </c>
      <c r="B20" s="10" t="str">
        <f>VLOOKUP(A20,[4]LISTADHERENT!A$5:H$50,3,0)</f>
        <v>LOWE JEAN</v>
      </c>
      <c r="C20" s="13" t="e">
        <f>HISTOJANV25!C20+HISTOFEV25!C20+HISTOMARS25!C20+HISTOAVRIL25!C20+HISTOMAI25!C20+HISTOJUIN25!C20+HISTOJUIL25!C20+HISTOAOUT25!C20+HISTOSEPT25!C20+HISTOOCT25!C20+HISTONOV25!C20+HISTODEC25!C20</f>
        <v>#N/A</v>
      </c>
      <c r="D20" s="13"/>
      <c r="E20" s="13"/>
      <c r="F20" s="13"/>
      <c r="G20" s="14"/>
    </row>
    <row r="21" spans="1:7" ht="17.5" x14ac:dyDescent="0.35">
      <c r="A21" s="9" t="s">
        <v>28</v>
      </c>
      <c r="B21" s="10" t="str">
        <f>VLOOKUP(A21,[4]LISTADHERENT!A$5:H$50,3,0)</f>
        <v>MASSEUNGOUE DAGOBERT</v>
      </c>
      <c r="C21" s="13">
        <f>HISTOJANV25!C21+HISTOFEV25!C21+HISTOMARS25!C21+HISTOAVRIL25!C21+HISTOMAI25!C21+HISTOJUIN25!C21+HISTOJUIL25!C21+HISTOAOUT25!C21+HISTOSEPT25!C21+HISTOOCT25!C21+HISTONOV25!C21+HISTODEC25!C21</f>
        <v>573500</v>
      </c>
      <c r="D21" s="13"/>
      <c r="E21" s="13"/>
      <c r="F21" s="13"/>
      <c r="G21" s="14">
        <f t="shared" si="0"/>
        <v>0</v>
      </c>
    </row>
    <row r="22" spans="1:7" ht="17.5" x14ac:dyDescent="0.35">
      <c r="A22" s="9" t="s">
        <v>29</v>
      </c>
      <c r="B22" s="10" t="str">
        <f>VLOOKUP(A22,[4]LISTADHERENT!A$5:H$50,3,0)</f>
        <v>MBOGNING TUGMA GUY</v>
      </c>
      <c r="C22" s="13">
        <f>HISTOJANV25!C22+HISTOFEV25!C22+HISTOMARS25!C22+HISTOAVRIL25!C22+HISTOMAI25!C22+HISTOJUIN25!C22+HISTOJUIL25!C22+HISTOAOUT25!C22+HISTOSEPT25!C22+HISTOOCT25!C22+HISTONOV25!C22+HISTODEC25!C22</f>
        <v>5923000</v>
      </c>
      <c r="D22" s="13"/>
      <c r="E22" s="13"/>
      <c r="F22" s="13"/>
      <c r="G22" s="14">
        <f t="shared" si="0"/>
        <v>0</v>
      </c>
    </row>
    <row r="23" spans="1:7" ht="17.5" x14ac:dyDescent="0.35">
      <c r="A23" s="9" t="s">
        <v>30</v>
      </c>
      <c r="B23" s="10" t="str">
        <f>VLOOKUP(A23,[4]LISTADHERENT!A$5:H$50,3,0)</f>
        <v>NANGUEN MARTIN</v>
      </c>
      <c r="C23" s="13">
        <f>HISTOJANV25!C23+HISTOFEV25!C23+HISTOMARS25!C23+HISTOAVRIL25!C23+HISTOMAI25!C23+HISTOJUIN25!C23+HISTOJUIL25!C23+HISTOAOUT25!C23+HISTOSEPT25!C23+HISTOOCT25!C23+HISTONOV25!C23+HISTODEC25!C23</f>
        <v>390000</v>
      </c>
      <c r="D23" s="13"/>
      <c r="E23" s="13"/>
      <c r="F23" s="13"/>
      <c r="G23" s="14">
        <f t="shared" si="0"/>
        <v>0</v>
      </c>
    </row>
    <row r="24" spans="1:7" ht="17.5" x14ac:dyDescent="0.35">
      <c r="A24" s="9" t="s">
        <v>31</v>
      </c>
      <c r="B24" s="10" t="str">
        <f>VLOOKUP(A24,[4]LISTADHERENT!A$5:H$50,3,0)</f>
        <v>NANKAM APPOLINAIRE</v>
      </c>
      <c r="C24" s="13">
        <f>HISTOJANV25!C24+HISTOFEV25!C24+HISTOMARS25!C24+HISTOAVRIL25!C24+HISTOMAI25!C24+HISTOJUIN25!C24+HISTOJUIL25!C24+HISTOAOUT25!C24+HISTOSEPT25!C24+HISTOOCT25!C24+HISTONOV25!C24+HISTODEC25!C24</f>
        <v>1812500</v>
      </c>
      <c r="D24" s="13"/>
      <c r="E24" s="13"/>
      <c r="F24" s="13"/>
      <c r="G24" s="14">
        <f t="shared" si="0"/>
        <v>0</v>
      </c>
    </row>
    <row r="25" spans="1:7" ht="17.5" x14ac:dyDescent="0.35">
      <c r="A25" s="9" t="s">
        <v>32</v>
      </c>
      <c r="B25" s="10" t="str">
        <f>VLOOKUP(A25,[4]LISTADHERENT!A$5:H$50,3,0)</f>
        <v>NDJOMO ETIENNE</v>
      </c>
      <c r="C25" s="13">
        <f>HISTOJANV25!C25+HISTOFEV25!C25+HISTOMARS25!C25+HISTOAVRIL25!C25+HISTOMAI25!C25+HISTOJUIN25!C25+HISTOJUIL25!C25+HISTOAOUT25!C25+HISTOSEPT25!C25+HISTOOCT25!C25+HISTONOV25!C25+HISTODEC25!C25</f>
        <v>4691000</v>
      </c>
      <c r="D25" s="13"/>
      <c r="E25" s="13"/>
      <c r="F25" s="13"/>
      <c r="G25" s="14">
        <f t="shared" si="0"/>
        <v>0</v>
      </c>
    </row>
    <row r="26" spans="1:7" ht="17.5" x14ac:dyDescent="0.35">
      <c r="A26" s="9" t="s">
        <v>33</v>
      </c>
      <c r="B26" s="10" t="str">
        <f>VLOOKUP(A26,[4]LISTADHERENT!A$5:H$50,3,0)</f>
        <v>NGONDIEP CLAUDE</v>
      </c>
      <c r="C26" s="13">
        <f>HISTOJANV25!C26+HISTOFEV25!C26+HISTOMARS25!C26+HISTOAVRIL25!C26+HISTOMAI25!C26+HISTOJUIN25!C26+HISTOJUIL25!C26+HISTOAOUT25!C26+HISTOSEPT25!C26+HISTOOCT25!C26+HISTONOV25!C26+HISTODEC25!C26</f>
        <v>5146875</v>
      </c>
      <c r="D26" s="13"/>
      <c r="E26" s="13"/>
      <c r="F26" s="13"/>
      <c r="G26" s="14">
        <f t="shared" si="0"/>
        <v>0</v>
      </c>
    </row>
    <row r="27" spans="1:7" ht="17.5" x14ac:dyDescent="0.35">
      <c r="A27" s="9" t="s">
        <v>34</v>
      </c>
      <c r="B27" s="10" t="str">
        <f>VLOOKUP(A27,[4]LISTADHERENT!A$5:H$50,3,0)</f>
        <v>NGUIEMEGNI MATHIEU BLAISE</v>
      </c>
      <c r="C27" s="13">
        <f>HISTOJANV25!C27+HISTOFEV25!C27+HISTOMARS25!C27+HISTOAVRIL25!C27+HISTOMAI25!C27+HISTOJUIN25!C27+HISTOJUIL25!C27+HISTOAOUT25!C27+HISTOSEPT25!C27+HISTOOCT25!C27+HISTONOV25!C27+HISTODEC25!C27</f>
        <v>4887500</v>
      </c>
      <c r="D27" s="13"/>
      <c r="E27" s="13"/>
      <c r="F27" s="13"/>
      <c r="G27" s="14">
        <f t="shared" si="0"/>
        <v>0</v>
      </c>
    </row>
    <row r="28" spans="1:7" ht="17.5" x14ac:dyDescent="0.35">
      <c r="A28" s="9" t="s">
        <v>35</v>
      </c>
      <c r="B28" s="10" t="str">
        <f>VLOOKUP(A28,[4]LISTADHERENT!A$5:H$50,3,0)</f>
        <v>NKAMGANG JUSTIN DEJOLIE</v>
      </c>
      <c r="C28" s="13">
        <f>HISTOJANV25!C28+HISTOFEV25!C28+HISTOMARS25!C28+HISTOAVRIL25!C28+HISTOMAI25!C28+HISTOJUIN25!C28+HISTOJUIL25!C28+HISTOAOUT25!C28+HISTOSEPT25!C28+HISTOOCT25!C28+HISTONOV25!C28+HISTODEC25!C28</f>
        <v>2754500</v>
      </c>
      <c r="D28" s="13"/>
      <c r="E28" s="13"/>
      <c r="F28" s="13"/>
      <c r="G28" s="14">
        <f t="shared" si="0"/>
        <v>0</v>
      </c>
    </row>
    <row r="29" spans="1:7" ht="17.5" x14ac:dyDescent="0.35">
      <c r="A29" s="9" t="s">
        <v>36</v>
      </c>
      <c r="B29" s="10" t="str">
        <f>VLOOKUP(A29,[4]LISTADHERENT!A$5:H$50,3,0)</f>
        <v>NOUBE ETIENNE</v>
      </c>
      <c r="C29" s="13">
        <f>HISTOJANV25!C29+HISTOFEV25!C29+HISTOMARS25!C29+HISTOAVRIL25!C29+HISTOMAI25!C29+HISTOJUIN25!C29+HISTOJUIL25!C29+HISTOAOUT25!C29+HISTOSEPT25!C29+HISTOOCT25!C29+HISTONOV25!C29+HISTODEC25!C29</f>
        <v>484000</v>
      </c>
      <c r="D29" s="13"/>
      <c r="E29" s="13"/>
      <c r="F29" s="13"/>
      <c r="G29" s="14">
        <f t="shared" si="0"/>
        <v>0</v>
      </c>
    </row>
    <row r="30" spans="1:7" ht="17.5" x14ac:dyDescent="0.35">
      <c r="A30" s="9" t="s">
        <v>37</v>
      </c>
      <c r="B30" s="10" t="str">
        <f>VLOOKUP(A30,[4]LISTADHERENT!A$5:H$50,3,0)</f>
        <v>PATEGO NJOSSU GUSTAVE</v>
      </c>
      <c r="C30" s="13">
        <f>HISTOJANV25!C30+HISTOFEV25!C30+HISTOMARS25!C30+HISTOAVRIL25!C30+HISTOMAI25!C30+HISTOJUIN25!C30+HISTOJUIL25!C30+HISTOAOUT25!C30+HISTOSEPT25!C30+HISTOOCT25!C30+HISTONOV25!C30+HISTODEC25!C30</f>
        <v>1190000</v>
      </c>
      <c r="D30" s="13"/>
      <c r="E30" s="13"/>
      <c r="F30" s="13"/>
      <c r="G30" s="14">
        <f t="shared" si="0"/>
        <v>0</v>
      </c>
    </row>
    <row r="31" spans="1:7" ht="17.5" x14ac:dyDescent="0.35">
      <c r="A31" s="9" t="s">
        <v>38</v>
      </c>
      <c r="B31" s="10" t="str">
        <f>VLOOKUP(A31,[4]LISTADHERENT!A$5:H$50,3,0)</f>
        <v>SEUMO POLYCARPE</v>
      </c>
      <c r="C31" s="13">
        <f>HISTOJANV25!C31+HISTOFEV25!C31+HISTOMARS25!C31+HISTOAVRIL25!C31+HISTOMAI25!C31+HISTOJUIN25!C31+HISTOJUIL25!C31+HISTOAOUT25!C31+HISTOSEPT25!C31+HISTOOCT25!C31+HISTONOV25!C31+HISTODEC25!C31</f>
        <v>1621000</v>
      </c>
      <c r="D31" s="13"/>
      <c r="E31" s="13"/>
      <c r="F31" s="13"/>
      <c r="G31" s="14">
        <f t="shared" si="0"/>
        <v>0</v>
      </c>
    </row>
    <row r="32" spans="1:7" ht="17.5" x14ac:dyDescent="0.35">
      <c r="A32" s="9" t="s">
        <v>39</v>
      </c>
      <c r="B32" s="10" t="str">
        <f>VLOOKUP(A32,[4]LISTADHERENT!A$5:H$50,3,0)</f>
        <v>SIME BRICE</v>
      </c>
      <c r="C32" s="13">
        <f>HISTOJANV25!C32+HISTOFEV25!C32+HISTOMARS25!C32+HISTOAVRIL25!C32+HISTOMAI25!C32+HISTOJUIN25!C32+HISTOJUIL25!C32+HISTOAOUT25!C32+HISTOSEPT25!C32+HISTOOCT25!C32+HISTONOV25!C32+HISTODEC25!C32</f>
        <v>5104500</v>
      </c>
      <c r="D32" s="13"/>
      <c r="E32" s="13"/>
      <c r="F32" s="13"/>
      <c r="G32" s="14">
        <f t="shared" si="0"/>
        <v>0</v>
      </c>
    </row>
    <row r="33" spans="1:7" ht="17.5" x14ac:dyDescent="0.35">
      <c r="A33" s="19" t="s">
        <v>51</v>
      </c>
      <c r="B33" s="10" t="str">
        <f>VLOOKUP(A33,[4]LISTADHERENT!A$5:H$50,3,0)</f>
        <v>SIMO FONGANG ERIC</v>
      </c>
      <c r="C33" s="13">
        <f>HISTOJANV25!C33+HISTOFEV25!C33+HISTOMARS25!C33+HISTOAVRIL25!C33+HISTOMAI25!C33+HISTOJUIN25!C33+HISTOJUIL25!C33+HISTOAOUT25!C33+HISTOSEPT25!C33+HISTOOCT25!C33+HISTONOV25!C33+HISTODEC25!C33</f>
        <v>297500</v>
      </c>
      <c r="D33" s="13"/>
      <c r="E33" s="13"/>
      <c r="F33" s="13"/>
      <c r="G33" s="14">
        <f t="shared" si="0"/>
        <v>0</v>
      </c>
    </row>
    <row r="34" spans="1:7" ht="17.5" x14ac:dyDescent="0.35">
      <c r="A34" s="9" t="s">
        <v>40</v>
      </c>
      <c r="B34" s="10" t="str">
        <f>VLOOKUP(A34,[4]LISTADHERENT!A$5:H$50,3,0)</f>
        <v>SIMO PIERRE</v>
      </c>
      <c r="C34" s="13">
        <f>HISTOJANV25!C34+HISTOFEV25!C34+HISTOMARS25!C34+HISTOAVRIL25!C34+HISTOMAI25!C34+HISTOJUIN25!C34+HISTOJUIL25!C34+HISTOAOUT25!C34+HISTOSEPT25!C34+HISTOOCT25!C34+HISTONOV25!C34+HISTODEC25!C34</f>
        <v>1147500</v>
      </c>
      <c r="D34" s="13"/>
      <c r="E34" s="13"/>
      <c r="F34" s="13"/>
      <c r="G34" s="14">
        <f t="shared" si="0"/>
        <v>0</v>
      </c>
    </row>
    <row r="35" spans="1:7" ht="17.5" x14ac:dyDescent="0.35">
      <c r="A35" s="9" t="s">
        <v>41</v>
      </c>
      <c r="B35" s="10" t="str">
        <f>VLOOKUP(A35,[4]LISTADHERENT!A$5:H$50,3,0)</f>
        <v>TCHOUAMOU MATHIEU</v>
      </c>
      <c r="C35" s="13">
        <f>HISTOJANV25!C35+HISTOFEV25!C35+HISTOMARS25!C35+HISTOAVRIL25!C35+HISTOMAI25!C35+HISTOJUIN25!C35+HISTOJUIL25!C35+HISTOAOUT25!C35+HISTOSEPT25!C35+HISTOOCT25!C35+HISTONOV25!C35+HISTODEC25!C35</f>
        <v>1466500</v>
      </c>
      <c r="D35" s="13"/>
      <c r="E35" s="13"/>
      <c r="F35" s="13"/>
      <c r="G35" s="14">
        <f t="shared" si="0"/>
        <v>0</v>
      </c>
    </row>
    <row r="36" spans="1:7" ht="17.5" x14ac:dyDescent="0.35">
      <c r="A36" s="9" t="s">
        <v>42</v>
      </c>
      <c r="B36" s="10" t="str">
        <f>VLOOKUP(A36,[4]LISTADHERENT!A$5:H$50,3,0)</f>
        <v>TCHOUATEU AUGUSTIN</v>
      </c>
      <c r="C36" s="13">
        <f>HISTOJANV25!C36+HISTOFEV25!C36+HISTOMARS25!C36+HISTOAVRIL25!C36+HISTOMAI25!C36+HISTOJUIN25!C36+HISTOJUIL25!C36+HISTOAOUT25!C36+HISTOSEPT25!C36+HISTOOCT25!C36+HISTONOV25!C36+HISTODEC25!C36</f>
        <v>2515500</v>
      </c>
      <c r="D36" s="13"/>
      <c r="E36" s="13"/>
      <c r="F36" s="13"/>
      <c r="G36" s="14">
        <f t="shared" si="0"/>
        <v>0</v>
      </c>
    </row>
    <row r="37" spans="1:7" s="3" customFormat="1" ht="17.5" x14ac:dyDescent="0.35">
      <c r="A37" s="9" t="s">
        <v>43</v>
      </c>
      <c r="B37" s="10" t="str">
        <f>VLOOKUP(A37,[4]LISTADHERENT!A$5:H$50,3,0)</f>
        <v>TCHOUTOU NANA CLAUDE</v>
      </c>
      <c r="C37" s="13">
        <f>HISTOJANV25!C37+HISTOFEV25!C37+HISTOMARS25!C37+HISTOAVRIL25!C37+HISTOMAI25!C37+HISTOJUIN25!C37+HISTOJUIL25!C37+HISTOAOUT25!C37+HISTOSEPT25!C37+HISTOOCT25!C37+HISTONOV25!C37+HISTODEC25!C37</f>
        <v>100000</v>
      </c>
      <c r="D37" s="13"/>
      <c r="E37" s="13"/>
      <c r="F37" s="13"/>
      <c r="G37" s="14">
        <f t="shared" si="0"/>
        <v>0</v>
      </c>
    </row>
    <row r="38" spans="1:7" ht="17.5" x14ac:dyDescent="0.35">
      <c r="A38" s="1" t="s">
        <v>52</v>
      </c>
      <c r="B38" s="10" t="str">
        <f>VLOOKUP(A38,[4]LISTADHERENT!A$5:H$50,3,0)</f>
        <v>TIEYAM ERNEST</v>
      </c>
      <c r="C38" s="13">
        <f>HISTOJANV25!C38+HISTOFEV25!C38+HISTOMARS25!C38+HISTOAVRIL25!C38+HISTOMAI25!C38+HISTOJUIN25!C38+HISTOJUIL25!C38+HISTOAOUT25!C38+HISTOSEPT25!C38+HISTOOCT25!C38+HISTONOV25!C38+HISTODEC25!C38</f>
        <v>297500</v>
      </c>
      <c r="D38" s="13"/>
      <c r="E38" s="13"/>
      <c r="F38" s="13"/>
      <c r="G38" s="14">
        <f t="shared" si="0"/>
        <v>0</v>
      </c>
    </row>
    <row r="39" spans="1:7" ht="17.5" x14ac:dyDescent="0.35">
      <c r="A39" s="9" t="s">
        <v>44</v>
      </c>
      <c r="B39" s="10" t="str">
        <f>VLOOKUP(A39,[4]LISTADHERENT!A$5:H$50,3,0)</f>
        <v>YANTCHOU GERVAIS</v>
      </c>
      <c r="C39" s="13">
        <f>HISTOJANV25!C39+HISTOFEV25!C39+HISTOMARS25!C39+HISTOAVRIL25!C39+HISTOMAI25!C39+HISTOJUIN25!C39+HISTOJUIL25!C39+HISTOAOUT25!C39+HISTOSEPT25!C39+HISTOOCT25!C39+HISTONOV25!C39+HISTODEC25!C39</f>
        <v>455000</v>
      </c>
      <c r="D39" s="13"/>
      <c r="E39" s="13"/>
      <c r="F39" s="13"/>
      <c r="G39" s="14">
        <f t="shared" si="0"/>
        <v>0</v>
      </c>
    </row>
    <row r="40" spans="1:7" ht="17.5" x14ac:dyDescent="0.35">
      <c r="A40" s="9" t="s">
        <v>45</v>
      </c>
      <c r="B40" s="10" t="str">
        <f>VLOOKUP(A40,[4]LISTADHERENT!A$5:H$50,3,0)</f>
        <v>YEPMOU JEAN JACQUES</v>
      </c>
      <c r="C40" s="13">
        <f>HISTOJANV25!C40+HISTOFEV25!C40+HISTOMARS25!C40+HISTOAVRIL25!C40+HISTOMAI25!C40+HISTOJUIN25!C40+HISTOJUIL25!C40+HISTOAOUT25!C40+HISTOSEPT25!C40+HISTOOCT25!C40+HISTONOV25!C40+HISTODEC25!C40</f>
        <v>35000</v>
      </c>
      <c r="D40" s="13"/>
      <c r="E40" s="13"/>
      <c r="F40" s="13"/>
      <c r="G40" s="14">
        <f t="shared" si="0"/>
        <v>0</v>
      </c>
    </row>
    <row r="41" spans="1:7" ht="17.5" x14ac:dyDescent="0.35">
      <c r="A41" s="9" t="s">
        <v>46</v>
      </c>
      <c r="B41" s="10" t="str">
        <f>VLOOKUP(A41,[4]LISTADHERENT!A$5:H$50,3,0)</f>
        <v>YIALA ALAIN OSCAR</v>
      </c>
      <c r="C41" s="13">
        <f>HISTOJANV25!C41+HISTOFEV25!C41+HISTOMARS25!C41+HISTOAVRIL25!C41+HISTOMAI25!C41+HISTOJUIN25!C41+HISTOJUIL25!C41+HISTOAOUT25!C41+HISTOSEPT25!C41+HISTOOCT25!C41+HISTONOV25!C41+HISTODEC25!C41</f>
        <v>2471500</v>
      </c>
      <c r="D41" s="13"/>
      <c r="E41" s="13"/>
      <c r="F41" s="13"/>
      <c r="G41" s="14">
        <f t="shared" si="0"/>
        <v>0</v>
      </c>
    </row>
    <row r="42" spans="1:7" ht="17.5" x14ac:dyDescent="0.35">
      <c r="A42" s="9" t="s">
        <v>47</v>
      </c>
      <c r="B42" s="10" t="str">
        <f>VLOOKUP(A42,[4]LISTADHERENT!A$5:H$50,3,0)</f>
        <v>YOUMBI EMMANUEL</v>
      </c>
      <c r="C42" s="13">
        <f>HISTOJANV25!C42+HISTOFEV25!C42+HISTOMARS25!C42+HISTOAVRIL25!C42+HISTOMAI25!C42+HISTOJUIN25!C42+HISTOJUIL25!C42+HISTOAOUT25!C42+HISTOSEPT25!C42+HISTOOCT25!C42+HISTONOV25!C42+HISTODEC25!C42</f>
        <v>2480000</v>
      </c>
      <c r="D42" s="13"/>
      <c r="E42" s="13"/>
      <c r="F42" s="13"/>
      <c r="G42" s="14">
        <f t="shared" si="0"/>
        <v>0</v>
      </c>
    </row>
    <row r="43" spans="1:7" ht="17.5" x14ac:dyDescent="0.35">
      <c r="A43" s="9"/>
      <c r="B43" s="10" t="s">
        <v>53</v>
      </c>
      <c r="C43" s="10"/>
      <c r="D43" s="10"/>
      <c r="E43" s="13"/>
      <c r="F43" s="13"/>
      <c r="G43" s="14"/>
    </row>
    <row r="44" spans="1:7" ht="24" thickBot="1" x14ac:dyDescent="0.6">
      <c r="A44" s="15"/>
      <c r="B44" s="16" t="s">
        <v>4</v>
      </c>
      <c r="C44" s="17" t="e">
        <f>SUM(C6:C43)</f>
        <v>#N/A</v>
      </c>
      <c r="D44" s="17"/>
      <c r="E44" s="17">
        <f>SUM(E7:E43)</f>
        <v>0</v>
      </c>
      <c r="F44" s="17"/>
      <c r="G44" s="18">
        <f>SUM(G7:G43)</f>
        <v>0</v>
      </c>
    </row>
    <row r="45" spans="1:7" ht="15" thickTop="1" x14ac:dyDescent="0.35"/>
    <row r="46" spans="1:7" ht="26" x14ac:dyDescent="0.6">
      <c r="B46" s="5" t="s">
        <v>11</v>
      </c>
      <c r="C46" s="4" t="e">
        <f>C44-C5</f>
        <v>#N/A</v>
      </c>
    </row>
    <row r="48" spans="1:7" x14ac:dyDescent="0.35">
      <c r="B48" s="1" t="s">
        <v>6</v>
      </c>
      <c r="C48" s="1"/>
      <c r="D48" s="1"/>
      <c r="E48" s="1"/>
      <c r="F48" s="1"/>
    </row>
    <row r="50" spans="2:2" x14ac:dyDescent="0.35">
      <c r="B50" t="s">
        <v>8</v>
      </c>
    </row>
    <row r="51" spans="2:2" x14ac:dyDescent="0.35">
      <c r="B51" t="s">
        <v>9</v>
      </c>
    </row>
    <row r="52" spans="2:2" x14ac:dyDescent="0.35">
      <c r="B52" t="s">
        <v>10</v>
      </c>
    </row>
  </sheetData>
  <autoFilter ref="A4:F42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BFA9B-4913-4D71-BFD8-D9432CEFD0C2}">
  <dimension ref="A1:G50"/>
  <sheetViews>
    <sheetView zoomScale="96" zoomScaleNormal="96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4" width="21.1796875" customWidth="1"/>
    <col min="5" max="5" width="17" bestFit="1" customWidth="1"/>
    <col min="6" max="6" width="17" customWidth="1"/>
    <col min="7" max="7" width="12.453125" bestFit="1" customWidth="1"/>
  </cols>
  <sheetData>
    <row r="1" spans="1:7" x14ac:dyDescent="0.35">
      <c r="A1" s="1" t="s">
        <v>2</v>
      </c>
      <c r="B1" s="1" t="s">
        <v>48</v>
      </c>
      <c r="C1" s="1"/>
      <c r="D1" s="1"/>
      <c r="E1" s="1"/>
      <c r="F1" s="1"/>
    </row>
    <row r="2" spans="1:7" x14ac:dyDescent="0.35">
      <c r="A2" s="1" t="s">
        <v>3</v>
      </c>
      <c r="B2" s="1">
        <v>2024</v>
      </c>
      <c r="C2" s="1"/>
      <c r="D2" s="1"/>
      <c r="E2" s="1"/>
      <c r="F2" s="1"/>
    </row>
    <row r="3" spans="1:7" x14ac:dyDescent="0.35">
      <c r="A3" s="1"/>
      <c r="B3" s="2"/>
      <c r="C3" s="2"/>
      <c r="D3" s="2"/>
      <c r="E3" s="2"/>
      <c r="F3" s="2"/>
    </row>
    <row r="4" spans="1:7" ht="15" thickBot="1" x14ac:dyDescent="0.4"/>
    <row r="5" spans="1:7" ht="68.25" customHeight="1" thickTop="1" x14ac:dyDescent="0.35">
      <c r="A5" s="6" t="s">
        <v>0</v>
      </c>
      <c r="B5" s="7" t="s">
        <v>1</v>
      </c>
      <c r="C5" s="7"/>
      <c r="D5" s="7"/>
      <c r="E5" s="7"/>
      <c r="F5" s="7"/>
      <c r="G5" s="8" t="s">
        <v>4</v>
      </c>
    </row>
    <row r="6" spans="1:7" ht="30" customHeight="1" x14ac:dyDescent="0.35">
      <c r="A6" s="9"/>
      <c r="B6" s="10"/>
      <c r="C6" s="10" t="s">
        <v>7</v>
      </c>
      <c r="D6" s="10" t="s">
        <v>5</v>
      </c>
      <c r="E6" s="11" t="s">
        <v>12</v>
      </c>
      <c r="F6" s="11" t="s">
        <v>13</v>
      </c>
      <c r="G6" s="12"/>
    </row>
    <row r="7" spans="1:7" ht="30" customHeight="1" x14ac:dyDescent="0.35">
      <c r="A7" s="9"/>
      <c r="B7" s="10" t="s">
        <v>14</v>
      </c>
      <c r="C7" s="13">
        <v>1860000</v>
      </c>
      <c r="D7" s="10"/>
      <c r="E7" s="13"/>
      <c r="F7" s="13"/>
      <c r="G7" s="12"/>
    </row>
    <row r="8" spans="1:7" ht="17.5" x14ac:dyDescent="0.35">
      <c r="A8" s="9" t="s">
        <v>15</v>
      </c>
      <c r="B8" s="10" t="str">
        <f>VLOOKUP(A8,[7]LISTADHERENT!A$5:H$50,3,0)</f>
        <v>ASELBY</v>
      </c>
      <c r="C8" s="13">
        <f>VLOOKUP(A8,[8]HISTOJANV24!$A$6:$BQ$40,56,0)</f>
        <v>200000</v>
      </c>
      <c r="D8" s="13" t="str">
        <f>VLOOKUP(A8,[8]HISTOJANV24!$A$6:$BQ$40,57,0)</f>
        <v>OK</v>
      </c>
      <c r="E8" s="13">
        <f>+[9]HISTOBQUEJANV24!$H$6</f>
        <v>1193</v>
      </c>
      <c r="F8" s="13"/>
      <c r="G8" s="14">
        <f t="shared" ref="G8:G40" si="0">SUM(E8:F8)</f>
        <v>1193</v>
      </c>
    </row>
    <row r="9" spans="1:7" ht="17.5" x14ac:dyDescent="0.35">
      <c r="A9" s="9" t="s">
        <v>16</v>
      </c>
      <c r="B9" s="10" t="str">
        <f>VLOOKUP(A9,[7]LISTADHERENT!A$5:H$50,3,0)</f>
        <v>BAKOP ACHILLE</v>
      </c>
      <c r="C9" s="13">
        <f>VLOOKUP(A9,[8]HISTOJANV24!$A$6:$BQ$40,56,0)</f>
        <v>0</v>
      </c>
      <c r="D9" s="13">
        <f>VLOOKUP(A9,[8]HISTOJANV24!$A$6:$BQ$40,57,0)</f>
        <v>0</v>
      </c>
      <c r="E9" s="13"/>
      <c r="F9" s="13"/>
      <c r="G9" s="14">
        <f t="shared" si="0"/>
        <v>0</v>
      </c>
    </row>
    <row r="10" spans="1:7" s="3" customFormat="1" ht="17.5" x14ac:dyDescent="0.35">
      <c r="A10" s="9" t="s">
        <v>17</v>
      </c>
      <c r="B10" s="10" t="str">
        <f>VLOOKUP(A10,[7]LISTADHERENT!A$5:H$50,3,0)</f>
        <v>BOUTCHOUANG WILLIAM</v>
      </c>
      <c r="C10" s="13">
        <f>VLOOKUP(A10,[8]HISTOJANV24!$A$6:$BQ$40,56,0)</f>
        <v>0</v>
      </c>
      <c r="D10" s="13">
        <f>VLOOKUP(A10,[8]HISTOJANV24!$A$6:$BQ$40,57,0)</f>
        <v>0</v>
      </c>
      <c r="E10" s="13"/>
      <c r="F10" s="13"/>
      <c r="G10" s="14">
        <f t="shared" si="0"/>
        <v>0</v>
      </c>
    </row>
    <row r="11" spans="1:7" s="3" customFormat="1" ht="17.5" x14ac:dyDescent="0.35">
      <c r="A11" s="9" t="s">
        <v>18</v>
      </c>
      <c r="B11" s="10" t="str">
        <f>VLOOKUP(A11,[7]LISTADHERENT!A$5:H$50,3,0)</f>
        <v xml:space="preserve">DJOMO JEAN PAUL </v>
      </c>
      <c r="C11" s="13">
        <f>VLOOKUP(A11,[8]HISTOJANV24!$A$6:$BQ$40,56,0)</f>
        <v>585000</v>
      </c>
      <c r="D11" s="13" t="str">
        <f>VLOOKUP(A11,[8]HISTOJANV24!$A$6:$BQ$40,57,0)</f>
        <v>OK</v>
      </c>
      <c r="E11" s="13"/>
      <c r="F11" s="13"/>
      <c r="G11" s="14">
        <f t="shared" si="0"/>
        <v>0</v>
      </c>
    </row>
    <row r="12" spans="1:7" ht="17.5" x14ac:dyDescent="0.35">
      <c r="A12" s="9" t="s">
        <v>19</v>
      </c>
      <c r="B12" s="10" t="str">
        <f>VLOOKUP(A12,[7]LISTADHERENT!A$5:H$50,3,0)</f>
        <v>DJOMOU TCHAPDA</v>
      </c>
      <c r="C12" s="13">
        <f>VLOOKUP(A12,[8]HISTOJANV24!$A$6:$BQ$40,56,0)</f>
        <v>100000</v>
      </c>
      <c r="D12" s="13" t="str">
        <f>VLOOKUP(A12,[8]HISTOJANV24!$A$6:$BQ$40,57,0)</f>
        <v>OK</v>
      </c>
      <c r="E12" s="13"/>
      <c r="F12" s="13"/>
      <c r="G12" s="14">
        <f t="shared" si="0"/>
        <v>0</v>
      </c>
    </row>
    <row r="13" spans="1:7" ht="17.5" x14ac:dyDescent="0.35">
      <c r="A13" s="9" t="s">
        <v>20</v>
      </c>
      <c r="B13" s="10" t="str">
        <f>VLOOKUP(A13,[7]LISTADHERENT!A$5:H$50,3,0)</f>
        <v>DJOUKWE NANGUEN GUY BLAISE</v>
      </c>
      <c r="C13" s="13">
        <f>VLOOKUP(A13,[8]HISTOJANV24!$A$6:$BQ$40,56,0)</f>
        <v>0</v>
      </c>
      <c r="D13" s="13">
        <f>VLOOKUP(A13,[8]HISTOJANV24!$A$6:$BQ$40,57,0)</f>
        <v>0</v>
      </c>
      <c r="E13" s="13"/>
      <c r="F13" s="13"/>
      <c r="G13" s="14">
        <f t="shared" si="0"/>
        <v>0</v>
      </c>
    </row>
    <row r="14" spans="1:7" ht="17.5" x14ac:dyDescent="0.35">
      <c r="A14" s="9" t="s">
        <v>21</v>
      </c>
      <c r="B14" s="10" t="str">
        <f>VLOOKUP(A14,[7]LISTADHERENT!A$5:H$50,3,0)</f>
        <v>DJUOMBESSY ANTOINE</v>
      </c>
      <c r="C14" s="13">
        <f>VLOOKUP(A14,[8]HISTOJANV24!$A$6:$BQ$40,56,0)</f>
        <v>840000</v>
      </c>
      <c r="D14" s="13" t="str">
        <f>VLOOKUP(A14,[8]HISTOJANV24!$A$6:$BQ$40,57,0)</f>
        <v>OK</v>
      </c>
      <c r="E14" s="13"/>
      <c r="F14" s="13"/>
      <c r="G14" s="14">
        <f t="shared" si="0"/>
        <v>0</v>
      </c>
    </row>
    <row r="15" spans="1:7" s="3" customFormat="1" ht="17.5" x14ac:dyDescent="0.35">
      <c r="A15" s="9" t="s">
        <v>22</v>
      </c>
      <c r="B15" s="10" t="str">
        <f>VLOOKUP(A15,[7]LISTADHERENT!A$5:H$50,3,0)</f>
        <v>DOMOU FABIEN</v>
      </c>
      <c r="C15" s="13">
        <f>VLOOKUP(A15,[8]HISTOJANV24!$A$6:$BQ$40,56,0)</f>
        <v>0</v>
      </c>
      <c r="D15" s="13">
        <f>VLOOKUP(A15,[8]HISTOJANV24!$A$6:$BQ$40,57,0)</f>
        <v>0</v>
      </c>
      <c r="E15" s="13"/>
      <c r="F15" s="13"/>
      <c r="G15" s="14">
        <f t="shared" si="0"/>
        <v>0</v>
      </c>
    </row>
    <row r="16" spans="1:7" ht="17.5" x14ac:dyDescent="0.35">
      <c r="A16" s="9" t="s">
        <v>23</v>
      </c>
      <c r="B16" s="10" t="str">
        <f>VLOOKUP(A16,[7]LISTADHERENT!A$5:H$50,3,0)</f>
        <v>DONHOU DAVID</v>
      </c>
      <c r="C16" s="13">
        <f>VLOOKUP(A16,[8]HISTOJANV24!$A$6:$BQ$40,56,0)</f>
        <v>0</v>
      </c>
      <c r="D16" s="13">
        <f>VLOOKUP(A16,[8]HISTOJANV24!$A$6:$BQ$40,57,0)</f>
        <v>0</v>
      </c>
      <c r="E16" s="13"/>
      <c r="F16" s="13"/>
      <c r="G16" s="14">
        <f t="shared" si="0"/>
        <v>0</v>
      </c>
    </row>
    <row r="17" spans="1:7" ht="17.5" x14ac:dyDescent="0.35">
      <c r="A17" s="9" t="s">
        <v>24</v>
      </c>
      <c r="B17" s="10" t="str">
        <f>VLOOKUP(A17,[7]LISTADHERENT!A$5:H$50,3,0)</f>
        <v>HENGUE PAUL OMER</v>
      </c>
      <c r="C17" s="13">
        <f>VLOOKUP(A17,[8]HISTOJANV24!$A$6:$BQ$40,56,0)</f>
        <v>0</v>
      </c>
      <c r="D17" s="13">
        <f>VLOOKUP(A17,[8]HISTOJANV24!$A$6:$BQ$40,57,0)</f>
        <v>0</v>
      </c>
      <c r="E17" s="13"/>
      <c r="F17" s="13"/>
      <c r="G17" s="14">
        <f t="shared" si="0"/>
        <v>0</v>
      </c>
    </row>
    <row r="18" spans="1:7" ht="17.5" x14ac:dyDescent="0.35">
      <c r="A18" s="9" t="s">
        <v>25</v>
      </c>
      <c r="B18" s="10" t="str">
        <f>VLOOKUP(A18,[7]LISTADHERENT!A$5:H$50,3,0)</f>
        <v>HOTCHO BENJAMIN</v>
      </c>
      <c r="C18" s="13">
        <f>VLOOKUP(A18,[8]HISTOJANV24!$A$6:$BQ$40,56,0)</f>
        <v>288000</v>
      </c>
      <c r="D18" s="13" t="str">
        <f>VLOOKUP(A18,[8]HISTOJANV24!$A$6:$BQ$40,57,0)</f>
        <v>OK</v>
      </c>
      <c r="E18" s="13"/>
      <c r="F18" s="13"/>
      <c r="G18" s="14">
        <f t="shared" si="0"/>
        <v>0</v>
      </c>
    </row>
    <row r="19" spans="1:7" ht="17.5" x14ac:dyDescent="0.35">
      <c r="A19" s="9" t="s">
        <v>26</v>
      </c>
      <c r="B19" s="10" t="str">
        <f>VLOOKUP(A19,[7]LISTADHERENT!A$5:H$50,3,0)</f>
        <v>KOUAMOU MOISE</v>
      </c>
      <c r="C19" s="13">
        <f>VLOOKUP(A19,[8]HISTOJANV24!$A$6:$BQ$40,56,0)</f>
        <v>1050000</v>
      </c>
      <c r="D19" s="13" t="str">
        <f>VLOOKUP(A19,[8]HISTOJANV24!$A$6:$BQ$40,57,0)</f>
        <v>OK</v>
      </c>
      <c r="E19" s="13"/>
      <c r="F19" s="13"/>
      <c r="G19" s="14">
        <f t="shared" si="0"/>
        <v>0</v>
      </c>
    </row>
    <row r="20" spans="1:7" ht="17.5" x14ac:dyDescent="0.35">
      <c r="A20" s="9" t="s">
        <v>27</v>
      </c>
      <c r="B20" s="10" t="str">
        <f>VLOOKUP(A20,[7]LISTADHERENT!A$5:H$50,3,0)</f>
        <v>KOUATCHO MESSACK</v>
      </c>
      <c r="C20" s="13">
        <f>VLOOKUP(A20,[8]HISTOJANV24!$A$6:$BQ$40,56,0)</f>
        <v>287000</v>
      </c>
      <c r="D20" s="13" t="str">
        <f>VLOOKUP(A20,[8]HISTOJANV24!$A$6:$BQ$40,57,0)</f>
        <v>OK</v>
      </c>
      <c r="E20" s="13"/>
      <c r="F20" s="13"/>
      <c r="G20" s="14">
        <f t="shared" si="0"/>
        <v>0</v>
      </c>
    </row>
    <row r="21" spans="1:7" ht="17.5" x14ac:dyDescent="0.35">
      <c r="A21" s="9" t="s">
        <v>28</v>
      </c>
      <c r="B21" s="10" t="str">
        <f>VLOOKUP(A21,[7]LISTADHERENT!A$5:H$50,3,0)</f>
        <v>MASSEUNGOUE DAGOBERT</v>
      </c>
      <c r="C21" s="13">
        <f>VLOOKUP(A21,[8]HISTOJANV24!$A$6:$BQ$40,56,0)</f>
        <v>0</v>
      </c>
      <c r="D21" s="13">
        <f>VLOOKUP(A21,[8]HISTOJANV24!$A$6:$BQ$40,57,0)</f>
        <v>0</v>
      </c>
      <c r="E21" s="13"/>
      <c r="F21" s="13"/>
      <c r="G21" s="14">
        <f t="shared" si="0"/>
        <v>0</v>
      </c>
    </row>
    <row r="22" spans="1:7" ht="17.5" x14ac:dyDescent="0.35">
      <c r="A22" s="9" t="s">
        <v>29</v>
      </c>
      <c r="B22" s="10" t="str">
        <f>VLOOKUP(A22,[7]LISTADHERENT!A$5:H$50,3,0)</f>
        <v>MBOGNING TUGMA GUY</v>
      </c>
      <c r="C22" s="13">
        <f>VLOOKUP(A22,[8]HISTOJANV24!$A$6:$BQ$40,56,0)</f>
        <v>1085000</v>
      </c>
      <c r="D22" s="13" t="str">
        <f>VLOOKUP(A22,[8]HISTOJANV24!$A$6:$BQ$40,57,0)</f>
        <v>OK</v>
      </c>
      <c r="E22" s="13"/>
      <c r="F22" s="13"/>
      <c r="G22" s="14">
        <f t="shared" si="0"/>
        <v>0</v>
      </c>
    </row>
    <row r="23" spans="1:7" ht="17.5" x14ac:dyDescent="0.35">
      <c r="A23" s="9" t="s">
        <v>30</v>
      </c>
      <c r="B23" s="10" t="str">
        <f>VLOOKUP(A23,[7]LISTADHERENT!A$5:H$50,3,0)</f>
        <v>NANGUEN MARTIN</v>
      </c>
      <c r="C23" s="13">
        <f>VLOOKUP(A23,[8]HISTOJANV24!$A$6:$BQ$40,56,0)</f>
        <v>0</v>
      </c>
      <c r="D23" s="13">
        <f>VLOOKUP(A23,[8]HISTOJANV24!$A$6:$BQ$40,57,0)</f>
        <v>0</v>
      </c>
      <c r="E23" s="13"/>
      <c r="F23" s="13"/>
      <c r="G23" s="14">
        <f t="shared" si="0"/>
        <v>0</v>
      </c>
    </row>
    <row r="24" spans="1:7" ht="17.5" x14ac:dyDescent="0.35">
      <c r="A24" s="9" t="s">
        <v>31</v>
      </c>
      <c r="B24" s="10" t="str">
        <f>VLOOKUP(A24,[7]LISTADHERENT!A$5:H$50,3,0)</f>
        <v>NANKAM APPOLINAIRE</v>
      </c>
      <c r="C24" s="13">
        <f>VLOOKUP(A24,[8]HISTOJANV24!$A$6:$BQ$40,56,0)</f>
        <v>0</v>
      </c>
      <c r="D24" s="13">
        <f>VLOOKUP(A24,[8]HISTOJANV24!$A$6:$BQ$40,57,0)</f>
        <v>0</v>
      </c>
      <c r="E24" s="13"/>
      <c r="F24" s="13"/>
      <c r="G24" s="14">
        <f t="shared" si="0"/>
        <v>0</v>
      </c>
    </row>
    <row r="25" spans="1:7" ht="17.5" x14ac:dyDescent="0.35">
      <c r="A25" s="9" t="s">
        <v>32</v>
      </c>
      <c r="B25" s="10" t="str">
        <f>VLOOKUP(A25,[7]LISTADHERENT!A$5:H$50,3,0)</f>
        <v>NDJOMO ETIENNE</v>
      </c>
      <c r="C25" s="13">
        <f>VLOOKUP(A25,[8]HISTOJANV24!$A$6:$BQ$40,56,0)</f>
        <v>0</v>
      </c>
      <c r="D25" s="13">
        <f>VLOOKUP(A25,[8]HISTOJANV24!$A$6:$BQ$40,57,0)</f>
        <v>0</v>
      </c>
      <c r="E25" s="13"/>
      <c r="F25" s="13"/>
      <c r="G25" s="14">
        <f t="shared" si="0"/>
        <v>0</v>
      </c>
    </row>
    <row r="26" spans="1:7" ht="17.5" x14ac:dyDescent="0.35">
      <c r="A26" s="9" t="s">
        <v>33</v>
      </c>
      <c r="B26" s="10" t="str">
        <f>VLOOKUP(A26,[7]LISTADHERENT!A$5:H$50,3,0)</f>
        <v>NGONDIEP CLAUDE</v>
      </c>
      <c r="C26" s="13">
        <f>VLOOKUP(A26,[8]HISTOJANV24!$A$6:$BQ$40,56,0)</f>
        <v>0</v>
      </c>
      <c r="D26" s="13">
        <f>VLOOKUP(A26,[8]HISTOJANV24!$A$6:$BQ$40,57,0)</f>
        <v>0</v>
      </c>
      <c r="E26" s="13"/>
      <c r="F26" s="13"/>
      <c r="G26" s="14">
        <f t="shared" si="0"/>
        <v>0</v>
      </c>
    </row>
    <row r="27" spans="1:7" ht="17.5" x14ac:dyDescent="0.35">
      <c r="A27" s="9" t="s">
        <v>34</v>
      </c>
      <c r="B27" s="10" t="str">
        <f>VLOOKUP(A27,[7]LISTADHERENT!A$5:H$50,3,0)</f>
        <v>NGUIEMEGNI MATHIEU BLAISE</v>
      </c>
      <c r="C27" s="13">
        <f>VLOOKUP(A27,[8]HISTOJANV24!$A$6:$BQ$40,56,0)</f>
        <v>1910000</v>
      </c>
      <c r="D27" s="13" t="str">
        <f>VLOOKUP(A27,[8]HISTOJANV24!$A$6:$BQ$40,57,0)</f>
        <v>OK</v>
      </c>
      <c r="E27" s="13"/>
      <c r="F27" s="13"/>
      <c r="G27" s="14">
        <f t="shared" si="0"/>
        <v>0</v>
      </c>
    </row>
    <row r="28" spans="1:7" ht="17.5" x14ac:dyDescent="0.35">
      <c r="A28" s="9" t="s">
        <v>35</v>
      </c>
      <c r="B28" s="10" t="str">
        <f>VLOOKUP(A28,[7]LISTADHERENT!A$5:H$50,3,0)</f>
        <v>NKAMGANG JUSTIN DEJOLIE</v>
      </c>
      <c r="C28" s="13">
        <f>VLOOKUP(A28,[8]HISTOJANV24!$A$6:$BQ$40,56,0)</f>
        <v>280000</v>
      </c>
      <c r="D28" s="13" t="str">
        <f>VLOOKUP(A28,[8]HISTOJANV24!$A$6:$BQ$40,57,0)</f>
        <v>OK</v>
      </c>
      <c r="E28" s="13"/>
      <c r="F28" s="13"/>
      <c r="G28" s="14">
        <f t="shared" si="0"/>
        <v>0</v>
      </c>
    </row>
    <row r="29" spans="1:7" ht="17.5" x14ac:dyDescent="0.35">
      <c r="A29" s="9" t="s">
        <v>36</v>
      </c>
      <c r="B29" s="10" t="str">
        <f>VLOOKUP(A29,[7]LISTADHERENT!A$5:H$50,3,0)</f>
        <v>NOUBE ETIENNE</v>
      </c>
      <c r="C29" s="13">
        <f>VLOOKUP(A29,[8]HISTOJANV24!$A$6:$BQ$40,56,0)</f>
        <v>0</v>
      </c>
      <c r="D29" s="13">
        <f>VLOOKUP(A29,[8]HISTOJANV24!$A$6:$BQ$40,57,0)</f>
        <v>0</v>
      </c>
      <c r="E29" s="13"/>
      <c r="F29" s="13"/>
      <c r="G29" s="14">
        <f t="shared" si="0"/>
        <v>0</v>
      </c>
    </row>
    <row r="30" spans="1:7" ht="17.5" x14ac:dyDescent="0.35">
      <c r="A30" s="9" t="s">
        <v>37</v>
      </c>
      <c r="B30" s="10" t="str">
        <f>VLOOKUP(A30,[7]LISTADHERENT!A$5:H$50,3,0)</f>
        <v>PATEGO NJOSSU GUSTAVE</v>
      </c>
      <c r="C30" s="13">
        <f>VLOOKUP(A30,[8]HISTOJANV24!$A$6:$BQ$40,56,0)</f>
        <v>0</v>
      </c>
      <c r="D30" s="13">
        <f>VLOOKUP(A30,[8]HISTOJANV24!$A$6:$BQ$40,57,0)</f>
        <v>0</v>
      </c>
      <c r="E30" s="13"/>
      <c r="F30" s="13"/>
      <c r="G30" s="14">
        <f t="shared" si="0"/>
        <v>0</v>
      </c>
    </row>
    <row r="31" spans="1:7" ht="17.5" x14ac:dyDescent="0.35">
      <c r="A31" s="9" t="s">
        <v>38</v>
      </c>
      <c r="B31" s="10" t="str">
        <f>VLOOKUP(A31,[7]LISTADHERENT!A$5:H$50,3,0)</f>
        <v>SEUMO POLYCARPE</v>
      </c>
      <c r="C31" s="13">
        <f>VLOOKUP(A31,[8]HISTOJANV24!$A$6:$BQ$40,56,0)</f>
        <v>0</v>
      </c>
      <c r="D31" s="13">
        <f>VLOOKUP(A31,[8]HISTOJANV24!$A$6:$BQ$40,57,0)</f>
        <v>0</v>
      </c>
      <c r="E31" s="13"/>
      <c r="F31" s="13"/>
      <c r="G31" s="14">
        <f t="shared" si="0"/>
        <v>0</v>
      </c>
    </row>
    <row r="32" spans="1:7" ht="17.5" x14ac:dyDescent="0.35">
      <c r="A32" s="9" t="s">
        <v>39</v>
      </c>
      <c r="B32" s="10" t="str">
        <f>VLOOKUP(A32,[7]LISTADHERENT!A$5:H$50,3,0)</f>
        <v>SIME BRICE</v>
      </c>
      <c r="C32" s="13">
        <f>VLOOKUP(A32,[8]HISTOJANV24!$A$6:$BQ$40,56,0)</f>
        <v>0</v>
      </c>
      <c r="D32" s="13">
        <f>VLOOKUP(A32,[8]HISTOJANV24!$A$6:$BQ$40,57,0)</f>
        <v>0</v>
      </c>
      <c r="E32" s="13"/>
      <c r="F32" s="13"/>
      <c r="G32" s="14">
        <f t="shared" si="0"/>
        <v>0</v>
      </c>
    </row>
    <row r="33" spans="1:7" ht="17.5" x14ac:dyDescent="0.35">
      <c r="A33" s="9" t="s">
        <v>40</v>
      </c>
      <c r="B33" s="10" t="str">
        <f>VLOOKUP(A33,[7]LISTADHERENT!A$5:H$50,3,0)</f>
        <v>SIMO PIERRE</v>
      </c>
      <c r="C33" s="13">
        <f>VLOOKUP(A33,[8]HISTOJANV24!$A$6:$BQ$40,56,0)</f>
        <v>0</v>
      </c>
      <c r="D33" s="13">
        <f>VLOOKUP(A33,[8]HISTOJANV24!$A$6:$BQ$40,57,0)</f>
        <v>0</v>
      </c>
      <c r="E33" s="13"/>
      <c r="F33" s="13"/>
      <c r="G33" s="14">
        <f t="shared" si="0"/>
        <v>0</v>
      </c>
    </row>
    <row r="34" spans="1:7" ht="17.5" x14ac:dyDescent="0.35">
      <c r="A34" s="9" t="s">
        <v>41</v>
      </c>
      <c r="B34" s="10" t="str">
        <f>VLOOKUP(A34,[7]LISTADHERENT!A$5:H$50,3,0)</f>
        <v>TCHOUAMOU MATHIEU</v>
      </c>
      <c r="C34" s="13">
        <f>VLOOKUP(A34,[8]HISTOJANV24!$A$6:$BQ$40,56,0)</f>
        <v>940000</v>
      </c>
      <c r="D34" s="13" t="str">
        <f>VLOOKUP(A34,[8]HISTOJANV24!$A$6:$BQ$40,57,0)</f>
        <v>OK</v>
      </c>
      <c r="E34" s="13"/>
      <c r="F34" s="13"/>
      <c r="G34" s="14">
        <f t="shared" si="0"/>
        <v>0</v>
      </c>
    </row>
    <row r="35" spans="1:7" ht="17.5" x14ac:dyDescent="0.35">
      <c r="A35" s="9" t="s">
        <v>42</v>
      </c>
      <c r="B35" s="10" t="str">
        <f>VLOOKUP(A35,[7]LISTADHERENT!A$5:H$50,3,0)</f>
        <v>TCHOUATEU AUGUSTIN</v>
      </c>
      <c r="C35" s="13">
        <f>VLOOKUP(A35,[8]HISTOJANV24!$A$6:$BQ$40,56,0)</f>
        <v>0</v>
      </c>
      <c r="D35" s="13">
        <f>VLOOKUP(A35,[8]HISTOJANV24!$A$6:$BQ$40,57,0)</f>
        <v>0</v>
      </c>
      <c r="E35" s="13"/>
      <c r="F35" s="13"/>
      <c r="G35" s="14">
        <f t="shared" si="0"/>
        <v>0</v>
      </c>
    </row>
    <row r="36" spans="1:7" s="3" customFormat="1" ht="17.5" x14ac:dyDescent="0.35">
      <c r="A36" s="9" t="s">
        <v>43</v>
      </c>
      <c r="B36" s="10" t="str">
        <f>VLOOKUP(A36,[7]LISTADHERENT!A$5:H$50,3,0)</f>
        <v>TCHOUTOU NANA CLAUDE</v>
      </c>
      <c r="C36" s="13">
        <f>VLOOKUP(A36,[8]HISTOJANV24!$A$6:$BQ$40,56,0)</f>
        <v>0</v>
      </c>
      <c r="D36" s="13">
        <f>VLOOKUP(A36,[8]HISTOJANV24!$A$6:$BQ$40,57,0)</f>
        <v>0</v>
      </c>
      <c r="E36" s="13"/>
      <c r="F36" s="13"/>
      <c r="G36" s="14">
        <f t="shared" si="0"/>
        <v>0</v>
      </c>
    </row>
    <row r="37" spans="1:7" ht="17.5" x14ac:dyDescent="0.35">
      <c r="A37" s="9" t="s">
        <v>44</v>
      </c>
      <c r="B37" s="10" t="str">
        <f>VLOOKUP(A37,[7]LISTADHERENT!A$5:H$50,3,0)</f>
        <v>YANTCHOU GERVAIS</v>
      </c>
      <c r="C37" s="13">
        <f>VLOOKUP(A37,[8]HISTOJANV24!$A$6:$BQ$40,56,0)</f>
        <v>0</v>
      </c>
      <c r="D37" s="13">
        <f>VLOOKUP(A37,[8]HISTOJANV24!$A$6:$BQ$40,57,0)</f>
        <v>0</v>
      </c>
      <c r="E37" s="13"/>
      <c r="F37" s="13"/>
      <c r="G37" s="14">
        <f t="shared" si="0"/>
        <v>0</v>
      </c>
    </row>
    <row r="38" spans="1:7" ht="17.5" x14ac:dyDescent="0.35">
      <c r="A38" s="9" t="s">
        <v>45</v>
      </c>
      <c r="B38" s="10" t="str">
        <f>VLOOKUP(A38,[7]LISTADHERENT!A$5:H$50,3,0)</f>
        <v>YEPMOU JEAN JACQUES</v>
      </c>
      <c r="C38" s="13">
        <f>VLOOKUP(A38,[8]HISTOJANV24!$A$6:$BQ$40,56,0)</f>
        <v>0</v>
      </c>
      <c r="D38" s="13">
        <f>VLOOKUP(A38,[8]HISTOJANV24!$A$6:$BQ$40,57,0)</f>
        <v>0</v>
      </c>
      <c r="E38" s="13"/>
      <c r="F38" s="13"/>
      <c r="G38" s="14">
        <f t="shared" si="0"/>
        <v>0</v>
      </c>
    </row>
    <row r="39" spans="1:7" ht="17.5" x14ac:dyDescent="0.35">
      <c r="A39" s="9" t="s">
        <v>46</v>
      </c>
      <c r="B39" s="10" t="str">
        <f>VLOOKUP(A39,[7]LISTADHERENT!A$5:H$50,3,0)</f>
        <v>YIALA ALAIN OSCAR</v>
      </c>
      <c r="C39" s="13">
        <f>VLOOKUP(A39,[8]HISTOJANV24!$A$6:$BQ$40,56,0)</f>
        <v>0</v>
      </c>
      <c r="D39" s="13">
        <f>VLOOKUP(A39,[8]HISTOJANV24!$A$6:$BQ$40,57,0)</f>
        <v>0</v>
      </c>
      <c r="E39" s="13"/>
      <c r="F39" s="13"/>
      <c r="G39" s="14">
        <f t="shared" si="0"/>
        <v>0</v>
      </c>
    </row>
    <row r="40" spans="1:7" ht="17.5" x14ac:dyDescent="0.35">
      <c r="A40" s="9" t="s">
        <v>47</v>
      </c>
      <c r="B40" s="10" t="str">
        <f>VLOOKUP(A40,[7]LISTADHERENT!A$5:H$50,3,0)</f>
        <v>YOUMBI EMMANUEL</v>
      </c>
      <c r="C40" s="13">
        <f>VLOOKUP(A40,[8]HISTOJANV24!$A$6:$BQ$40,56,0)</f>
        <v>0</v>
      </c>
      <c r="D40" s="13">
        <f>VLOOKUP(A40,[8]HISTOJANV24!$A$6:$BQ$40,57,0)</f>
        <v>0</v>
      </c>
      <c r="E40" s="13"/>
      <c r="F40" s="13"/>
      <c r="G40" s="14">
        <f t="shared" si="0"/>
        <v>0</v>
      </c>
    </row>
    <row r="41" spans="1:7" ht="17.5" x14ac:dyDescent="0.35">
      <c r="A41" s="9"/>
      <c r="B41" s="10"/>
      <c r="C41" s="10"/>
      <c r="D41" s="10"/>
      <c r="E41" s="13"/>
      <c r="F41" s="13"/>
      <c r="G41" s="14"/>
    </row>
    <row r="42" spans="1:7" ht="24" thickBot="1" x14ac:dyDescent="0.6">
      <c r="A42" s="15"/>
      <c r="B42" s="16" t="s">
        <v>4</v>
      </c>
      <c r="C42" s="17">
        <f>SUM(C8:C41)</f>
        <v>7565000</v>
      </c>
      <c r="D42" s="17"/>
      <c r="E42" s="17">
        <f>SUM(E9:E41)</f>
        <v>0</v>
      </c>
      <c r="F42" s="17"/>
      <c r="G42" s="18">
        <f>SUM(G9:G41)</f>
        <v>0</v>
      </c>
    </row>
    <row r="43" spans="1:7" ht="15" thickTop="1" x14ac:dyDescent="0.35"/>
    <row r="44" spans="1:7" ht="26" x14ac:dyDescent="0.6">
      <c r="B44" s="5" t="s">
        <v>11</v>
      </c>
      <c r="C44" s="4">
        <f>C42-C7</f>
        <v>5705000</v>
      </c>
    </row>
    <row r="46" spans="1:7" x14ac:dyDescent="0.35">
      <c r="B46" s="1" t="s">
        <v>6</v>
      </c>
      <c r="C46" s="1"/>
      <c r="D46" s="1"/>
      <c r="E46" s="1"/>
      <c r="F46" s="1"/>
    </row>
    <row r="48" spans="1:7" x14ac:dyDescent="0.35">
      <c r="B48" t="s">
        <v>8</v>
      </c>
    </row>
    <row r="49" spans="2:2" x14ac:dyDescent="0.35">
      <c r="B49" t="s">
        <v>9</v>
      </c>
    </row>
    <row r="50" spans="2:2" x14ac:dyDescent="0.35">
      <c r="B50" t="s">
        <v>10</v>
      </c>
    </row>
  </sheetData>
  <autoFilter ref="A6:F40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F737F-DA3B-472B-AE0A-AACAC77EE8D9}">
  <dimension ref="A1:G50"/>
  <sheetViews>
    <sheetView zoomScale="96" zoomScaleNormal="96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D7" sqref="D7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4" width="21.1796875" customWidth="1"/>
    <col min="5" max="5" width="17" bestFit="1" customWidth="1"/>
    <col min="6" max="6" width="17" customWidth="1"/>
    <col min="7" max="7" width="12.453125" bestFit="1" customWidth="1"/>
  </cols>
  <sheetData>
    <row r="1" spans="1:7" x14ac:dyDescent="0.35">
      <c r="A1" s="1" t="s">
        <v>2</v>
      </c>
      <c r="B1" s="1" t="s">
        <v>48</v>
      </c>
      <c r="C1" s="1"/>
      <c r="D1" s="1"/>
      <c r="E1" s="1"/>
      <c r="F1" s="1"/>
    </row>
    <row r="2" spans="1:7" x14ac:dyDescent="0.35">
      <c r="A2" s="1" t="s">
        <v>3</v>
      </c>
      <c r="B2" s="1">
        <v>2024</v>
      </c>
      <c r="C2" s="1"/>
      <c r="D2" s="1"/>
      <c r="E2" s="1"/>
      <c r="F2" s="1"/>
    </row>
    <row r="3" spans="1:7" x14ac:dyDescent="0.35">
      <c r="A3" s="1"/>
      <c r="B3" s="2"/>
      <c r="C3" s="2"/>
      <c r="D3" s="2"/>
      <c r="E3" s="2"/>
      <c r="F3" s="2"/>
    </row>
    <row r="4" spans="1:7" ht="15" thickBot="1" x14ac:dyDescent="0.4"/>
    <row r="5" spans="1:7" ht="68.25" customHeight="1" thickTop="1" x14ac:dyDescent="0.35">
      <c r="A5" s="6" t="s">
        <v>0</v>
      </c>
      <c r="B5" s="7" t="s">
        <v>1</v>
      </c>
      <c r="C5" s="7"/>
      <c r="D5" s="7"/>
      <c r="E5" s="7"/>
      <c r="F5" s="7"/>
      <c r="G5" s="8" t="s">
        <v>4</v>
      </c>
    </row>
    <row r="6" spans="1:7" ht="30" customHeight="1" x14ac:dyDescent="0.35">
      <c r="A6" s="9"/>
      <c r="B6" s="10"/>
      <c r="C6" s="10" t="s">
        <v>7</v>
      </c>
      <c r="D6" s="10" t="s">
        <v>5</v>
      </c>
      <c r="E6" s="11" t="s">
        <v>12</v>
      </c>
      <c r="F6" s="11" t="s">
        <v>13</v>
      </c>
      <c r="G6" s="12"/>
    </row>
    <row r="7" spans="1:7" ht="30" customHeight="1" x14ac:dyDescent="0.35">
      <c r="A7" s="9"/>
      <c r="B7" s="10" t="s">
        <v>14</v>
      </c>
      <c r="C7" s="13">
        <v>4837300</v>
      </c>
      <c r="D7" s="10"/>
      <c r="E7" s="13"/>
      <c r="F7" s="13"/>
      <c r="G7" s="12"/>
    </row>
    <row r="8" spans="1:7" ht="17.5" x14ac:dyDescent="0.35">
      <c r="A8" s="9" t="s">
        <v>15</v>
      </c>
      <c r="B8" s="10" t="str">
        <f>VLOOKUP(A8,[7]LISTADHERENT!A$5:H$50,3,0)</f>
        <v>ASELBY</v>
      </c>
      <c r="C8" s="13">
        <f>VLOOKUP(A8,[8]HISTOFEV24!$A$6:$BQ$40,56,0)</f>
        <v>127000</v>
      </c>
      <c r="D8" s="13" t="str">
        <f>VLOOKUP(A8,[8]HISTOFEV24!$A$6:$BQ$40,57,0)</f>
        <v>OK</v>
      </c>
      <c r="E8" s="13">
        <f>+[9]HISTOBQUEFEV24!$H$6</f>
        <v>1193</v>
      </c>
      <c r="F8" s="13"/>
      <c r="G8" s="14">
        <f t="shared" ref="G8:G40" si="0">SUM(E8:F8)</f>
        <v>1193</v>
      </c>
    </row>
    <row r="9" spans="1:7" ht="17.5" x14ac:dyDescent="0.35">
      <c r="A9" s="9" t="s">
        <v>16</v>
      </c>
      <c r="B9" s="10" t="str">
        <f>VLOOKUP(A9,[7]LISTADHERENT!A$5:H$50,3,0)</f>
        <v>BAKOP ACHILLE</v>
      </c>
      <c r="C9" s="13">
        <f>VLOOKUP(A9,[8]HISTOFEV24!$A$6:$BQ$40,56,0)</f>
        <v>60000</v>
      </c>
      <c r="D9" s="13" t="str">
        <f>VLOOKUP(A9,[8]HISTOFEV24!$A$6:$BQ$40,57,0)</f>
        <v>OK</v>
      </c>
      <c r="E9" s="13"/>
      <c r="F9" s="13"/>
      <c r="G9" s="14">
        <f t="shared" si="0"/>
        <v>0</v>
      </c>
    </row>
    <row r="10" spans="1:7" s="3" customFormat="1" ht="17.5" x14ac:dyDescent="0.35">
      <c r="A10" s="9" t="s">
        <v>17</v>
      </c>
      <c r="B10" s="10" t="str">
        <f>VLOOKUP(A10,[7]LISTADHERENT!A$5:H$50,3,0)</f>
        <v>BOUTCHOUANG WILLIAM</v>
      </c>
      <c r="C10" s="13">
        <f>VLOOKUP(A10,[8]HISTOFEV24!$A$6:$BQ$40,56,0)</f>
        <v>0</v>
      </c>
      <c r="D10" s="13">
        <f>VLOOKUP(A10,[8]HISTOFEV24!$A$6:$BQ$40,57,0)</f>
        <v>0</v>
      </c>
      <c r="E10" s="13"/>
      <c r="F10" s="13"/>
      <c r="G10" s="14">
        <f t="shared" si="0"/>
        <v>0</v>
      </c>
    </row>
    <row r="11" spans="1:7" s="3" customFormat="1" ht="17.5" x14ac:dyDescent="0.35">
      <c r="A11" s="9" t="s">
        <v>18</v>
      </c>
      <c r="B11" s="10" t="str">
        <f>VLOOKUP(A11,[7]LISTADHERENT!A$5:H$50,3,0)</f>
        <v xml:space="preserve">DJOMO JEAN PAUL </v>
      </c>
      <c r="C11" s="13">
        <f>VLOOKUP(A11,[8]HISTOFEV24!$A$6:$BQ$40,56,0)</f>
        <v>0</v>
      </c>
      <c r="D11" s="13">
        <f>VLOOKUP(A11,[8]HISTOFEV24!$A$6:$BQ$40,57,0)</f>
        <v>0</v>
      </c>
      <c r="E11" s="13"/>
      <c r="F11" s="13"/>
      <c r="G11" s="14">
        <f t="shared" si="0"/>
        <v>0</v>
      </c>
    </row>
    <row r="12" spans="1:7" ht="17.5" x14ac:dyDescent="0.35">
      <c r="A12" s="9" t="s">
        <v>19</v>
      </c>
      <c r="B12" s="10" t="str">
        <f>VLOOKUP(A12,[7]LISTADHERENT!A$5:H$50,3,0)</f>
        <v>DJOMOU TCHAPDA</v>
      </c>
      <c r="C12" s="13">
        <f>VLOOKUP(A12,[8]HISTOFEV24!$A$6:$BQ$40,56,0)</f>
        <v>0</v>
      </c>
      <c r="D12" s="13">
        <f>VLOOKUP(A12,[8]HISTOFEV24!$A$6:$BQ$40,57,0)</f>
        <v>0</v>
      </c>
      <c r="E12" s="13"/>
      <c r="F12" s="13"/>
      <c r="G12" s="14">
        <f t="shared" si="0"/>
        <v>0</v>
      </c>
    </row>
    <row r="13" spans="1:7" ht="17.5" x14ac:dyDescent="0.35">
      <c r="A13" s="9" t="s">
        <v>20</v>
      </c>
      <c r="B13" s="10" t="str">
        <f>VLOOKUP(A13,[7]LISTADHERENT!A$5:H$50,3,0)</f>
        <v>DJOUKWE NANGUEN GUY BLAISE</v>
      </c>
      <c r="C13" s="13">
        <f>VLOOKUP(A13,[8]HISTOFEV24!$A$6:$BQ$40,56,0)</f>
        <v>878000</v>
      </c>
      <c r="D13" s="13" t="str">
        <f>VLOOKUP(A13,[8]HISTOFEV24!$A$6:$BQ$40,57,0)</f>
        <v>OK</v>
      </c>
      <c r="E13" s="13"/>
      <c r="F13" s="13"/>
      <c r="G13" s="14">
        <f t="shared" si="0"/>
        <v>0</v>
      </c>
    </row>
    <row r="14" spans="1:7" ht="17.5" x14ac:dyDescent="0.35">
      <c r="A14" s="9" t="s">
        <v>21</v>
      </c>
      <c r="B14" s="10" t="str">
        <f>VLOOKUP(A14,[7]LISTADHERENT!A$5:H$50,3,0)</f>
        <v>DJUOMBESSY ANTOINE</v>
      </c>
      <c r="C14" s="13">
        <f>VLOOKUP(A14,[8]HISTOFEV24!$A$6:$BQ$40,56,0)</f>
        <v>69300</v>
      </c>
      <c r="D14" s="13" t="str">
        <f>VLOOKUP(A14,[8]HISTOFEV24!$A$6:$BQ$40,57,0)</f>
        <v>OK</v>
      </c>
      <c r="E14" s="13"/>
      <c r="F14" s="13"/>
      <c r="G14" s="14">
        <f t="shared" si="0"/>
        <v>0</v>
      </c>
    </row>
    <row r="15" spans="1:7" s="3" customFormat="1" ht="17.5" x14ac:dyDescent="0.35">
      <c r="A15" s="9" t="s">
        <v>22</v>
      </c>
      <c r="B15" s="10" t="str">
        <f>VLOOKUP(A15,[7]LISTADHERENT!A$5:H$50,3,0)</f>
        <v>DOMOU FABIEN</v>
      </c>
      <c r="C15" s="13">
        <f>VLOOKUP(A15,[8]HISTOFEV24!$A$6:$BQ$40,56,0)</f>
        <v>0</v>
      </c>
      <c r="D15" s="13">
        <f>VLOOKUP(A15,[8]HISTOFEV24!$A$6:$BQ$40,57,0)</f>
        <v>0</v>
      </c>
      <c r="E15" s="13"/>
      <c r="F15" s="13"/>
      <c r="G15" s="14">
        <f t="shared" si="0"/>
        <v>0</v>
      </c>
    </row>
    <row r="16" spans="1:7" ht="17.5" x14ac:dyDescent="0.35">
      <c r="A16" s="9" t="s">
        <v>23</v>
      </c>
      <c r="B16" s="10" t="str">
        <f>VLOOKUP(A16,[7]LISTADHERENT!A$5:H$50,3,0)</f>
        <v>DONHOU DAVID</v>
      </c>
      <c r="C16" s="13">
        <f>VLOOKUP(A16,[8]HISTOFEV24!$A$6:$BQ$40,56,0)</f>
        <v>0</v>
      </c>
      <c r="D16" s="13">
        <f>VLOOKUP(A16,[8]HISTOFEV24!$A$6:$BQ$40,57,0)</f>
        <v>0</v>
      </c>
      <c r="E16" s="13"/>
      <c r="F16" s="13"/>
      <c r="G16" s="14">
        <f t="shared" si="0"/>
        <v>0</v>
      </c>
    </row>
    <row r="17" spans="1:7" ht="17.5" x14ac:dyDescent="0.35">
      <c r="A17" s="9" t="s">
        <v>24</v>
      </c>
      <c r="B17" s="10" t="str">
        <f>VLOOKUP(A17,[7]LISTADHERENT!A$5:H$50,3,0)</f>
        <v>HENGUE PAUL OMER</v>
      </c>
      <c r="C17" s="13">
        <f>VLOOKUP(A17,[8]HISTOFEV24!$A$6:$BQ$40,56,0)</f>
        <v>0</v>
      </c>
      <c r="D17" s="13">
        <f>VLOOKUP(A17,[8]HISTOFEV24!$A$6:$BQ$40,57,0)</f>
        <v>0</v>
      </c>
      <c r="E17" s="13"/>
      <c r="F17" s="13"/>
      <c r="G17" s="14">
        <f t="shared" si="0"/>
        <v>0</v>
      </c>
    </row>
    <row r="18" spans="1:7" ht="17.5" x14ac:dyDescent="0.35">
      <c r="A18" s="9" t="s">
        <v>25</v>
      </c>
      <c r="B18" s="10" t="str">
        <f>VLOOKUP(A18,[7]LISTADHERENT!A$5:H$50,3,0)</f>
        <v>HOTCHO BENJAMIN</v>
      </c>
      <c r="C18" s="13">
        <f>VLOOKUP(A18,[8]HISTOFEV24!$A$6:$BQ$40,56,0)</f>
        <v>0</v>
      </c>
      <c r="D18" s="13">
        <f>VLOOKUP(A18,[8]HISTOFEV24!$A$6:$BQ$40,57,0)</f>
        <v>0</v>
      </c>
      <c r="E18" s="13"/>
      <c r="F18" s="13"/>
      <c r="G18" s="14">
        <f t="shared" si="0"/>
        <v>0</v>
      </c>
    </row>
    <row r="19" spans="1:7" ht="17.5" x14ac:dyDescent="0.35">
      <c r="A19" s="9" t="s">
        <v>26</v>
      </c>
      <c r="B19" s="10" t="str">
        <f>VLOOKUP(A19,[7]LISTADHERENT!A$5:H$50,3,0)</f>
        <v>KOUAMOU MOISE</v>
      </c>
      <c r="C19" s="13">
        <f>VLOOKUP(A19,[8]HISTOFEV24!$A$6:$BQ$40,56,0)</f>
        <v>283000</v>
      </c>
      <c r="D19" s="13" t="str">
        <f>VLOOKUP(A19,[8]HISTOFEV24!$A$6:$BQ$40,57,0)</f>
        <v>OK</v>
      </c>
      <c r="E19" s="13"/>
      <c r="F19" s="13"/>
      <c r="G19" s="14">
        <f t="shared" si="0"/>
        <v>0</v>
      </c>
    </row>
    <row r="20" spans="1:7" ht="17.5" x14ac:dyDescent="0.35">
      <c r="A20" s="9" t="s">
        <v>27</v>
      </c>
      <c r="B20" s="10" t="str">
        <f>VLOOKUP(A20,[7]LISTADHERENT!A$5:H$50,3,0)</f>
        <v>KOUATCHO MESSACK</v>
      </c>
      <c r="C20" s="13">
        <f>VLOOKUP(A20,[8]HISTOFEV24!$A$6:$BQ$40,56,0)</f>
        <v>1160000</v>
      </c>
      <c r="D20" s="13" t="str">
        <f>VLOOKUP(A20,[8]HISTOFEV24!$A$6:$BQ$40,57,0)</f>
        <v>OK</v>
      </c>
      <c r="E20" s="13"/>
      <c r="F20" s="13"/>
      <c r="G20" s="14">
        <f t="shared" si="0"/>
        <v>0</v>
      </c>
    </row>
    <row r="21" spans="1:7" ht="17.5" x14ac:dyDescent="0.35">
      <c r="A21" s="9" t="s">
        <v>28</v>
      </c>
      <c r="B21" s="10" t="str">
        <f>VLOOKUP(A21,[7]LISTADHERENT!A$5:H$50,3,0)</f>
        <v>MASSEUNGOUE DAGOBERT</v>
      </c>
      <c r="C21" s="13">
        <f>VLOOKUP(A21,[8]HISTOFEV24!$A$6:$BQ$40,56,0)</f>
        <v>0</v>
      </c>
      <c r="D21" s="13">
        <f>VLOOKUP(A21,[8]HISTOFEV24!$A$6:$BQ$40,57,0)</f>
        <v>0</v>
      </c>
      <c r="E21" s="13"/>
      <c r="F21" s="13"/>
      <c r="G21" s="14">
        <f t="shared" si="0"/>
        <v>0</v>
      </c>
    </row>
    <row r="22" spans="1:7" ht="17.5" x14ac:dyDescent="0.35">
      <c r="A22" s="9" t="s">
        <v>29</v>
      </c>
      <c r="B22" s="10" t="str">
        <f>VLOOKUP(A22,[7]LISTADHERENT!A$5:H$50,3,0)</f>
        <v>MBOGNING TUGMA GUY</v>
      </c>
      <c r="C22" s="13">
        <f>VLOOKUP(A22,[8]HISTOFEV24!$A$6:$BQ$40,56,0)</f>
        <v>944000</v>
      </c>
      <c r="D22" s="13" t="str">
        <f>VLOOKUP(A22,[8]HISTOFEV24!$A$6:$BQ$40,57,0)</f>
        <v>OK</v>
      </c>
      <c r="E22" s="13"/>
      <c r="F22" s="13"/>
      <c r="G22" s="14">
        <f t="shared" si="0"/>
        <v>0</v>
      </c>
    </row>
    <row r="23" spans="1:7" ht="17.5" x14ac:dyDescent="0.35">
      <c r="A23" s="9" t="s">
        <v>30</v>
      </c>
      <c r="B23" s="10" t="str">
        <f>VLOOKUP(A23,[7]LISTADHERENT!A$5:H$50,3,0)</f>
        <v>NANGUEN MARTIN</v>
      </c>
      <c r="C23" s="13">
        <f>VLOOKUP(A23,[8]HISTOFEV24!$A$6:$BQ$40,56,0)</f>
        <v>0</v>
      </c>
      <c r="D23" s="13">
        <f>VLOOKUP(A23,[8]HISTOFEV24!$A$6:$BQ$40,57,0)</f>
        <v>0</v>
      </c>
      <c r="E23" s="13"/>
      <c r="F23" s="13"/>
      <c r="G23" s="14">
        <f t="shared" si="0"/>
        <v>0</v>
      </c>
    </row>
    <row r="24" spans="1:7" ht="17.5" x14ac:dyDescent="0.35">
      <c r="A24" s="9" t="s">
        <v>31</v>
      </c>
      <c r="B24" s="10" t="str">
        <f>VLOOKUP(A24,[7]LISTADHERENT!A$5:H$50,3,0)</f>
        <v>NANKAM APPOLINAIRE</v>
      </c>
      <c r="C24" s="13">
        <f>VLOOKUP(A24,[8]HISTOFEV24!$A$6:$BQ$40,56,0)</f>
        <v>0</v>
      </c>
      <c r="D24" s="13">
        <f>VLOOKUP(A24,[8]HISTOFEV24!$A$6:$BQ$40,57,0)</f>
        <v>0</v>
      </c>
      <c r="E24" s="13"/>
      <c r="F24" s="13"/>
      <c r="G24" s="14">
        <f t="shared" si="0"/>
        <v>0</v>
      </c>
    </row>
    <row r="25" spans="1:7" ht="17.5" x14ac:dyDescent="0.35">
      <c r="A25" s="9" t="s">
        <v>32</v>
      </c>
      <c r="B25" s="10" t="str">
        <f>VLOOKUP(A25,[7]LISTADHERENT!A$5:H$50,3,0)</f>
        <v>NDJOMO ETIENNE</v>
      </c>
      <c r="C25" s="13">
        <f>VLOOKUP(A25,[8]HISTOFEV24!$A$6:$BQ$40,56,0)</f>
        <v>0</v>
      </c>
      <c r="D25" s="13">
        <f>VLOOKUP(A25,[8]HISTOFEV24!$A$6:$BQ$40,57,0)</f>
        <v>0</v>
      </c>
      <c r="E25" s="13"/>
      <c r="F25" s="13"/>
      <c r="G25" s="14">
        <f t="shared" si="0"/>
        <v>0</v>
      </c>
    </row>
    <row r="26" spans="1:7" ht="17.5" x14ac:dyDescent="0.35">
      <c r="A26" s="9" t="s">
        <v>33</v>
      </c>
      <c r="B26" s="10" t="str">
        <f>VLOOKUP(A26,[7]LISTADHERENT!A$5:H$50,3,0)</f>
        <v>NGONDIEP CLAUDE</v>
      </c>
      <c r="C26" s="13">
        <f>VLOOKUP(A26,[8]HISTOFEV24!$A$6:$BQ$40,56,0)</f>
        <v>100000</v>
      </c>
      <c r="D26" s="13" t="str">
        <f>VLOOKUP(A26,[8]HISTOFEV24!$A$6:$BQ$40,57,0)</f>
        <v>OK</v>
      </c>
      <c r="E26" s="13"/>
      <c r="F26" s="13"/>
      <c r="G26" s="14">
        <f t="shared" si="0"/>
        <v>0</v>
      </c>
    </row>
    <row r="27" spans="1:7" ht="17.5" x14ac:dyDescent="0.35">
      <c r="A27" s="9" t="s">
        <v>34</v>
      </c>
      <c r="B27" s="10" t="str">
        <f>VLOOKUP(A27,[7]LISTADHERENT!A$5:H$50,3,0)</f>
        <v>NGUIEMEGNI MATHIEU BLAISE</v>
      </c>
      <c r="C27" s="13">
        <f>VLOOKUP(A27,[8]HISTOFEV24!$A$6:$BQ$40,56,0)</f>
        <v>0</v>
      </c>
      <c r="D27" s="13">
        <f>VLOOKUP(A27,[8]HISTOFEV24!$A$6:$BQ$40,57,0)</f>
        <v>0</v>
      </c>
      <c r="E27" s="13"/>
      <c r="F27" s="13"/>
      <c r="G27" s="14">
        <f t="shared" si="0"/>
        <v>0</v>
      </c>
    </row>
    <row r="28" spans="1:7" ht="17.5" x14ac:dyDescent="0.35">
      <c r="A28" s="9" t="s">
        <v>35</v>
      </c>
      <c r="B28" s="10" t="str">
        <f>VLOOKUP(A28,[7]LISTADHERENT!A$5:H$50,3,0)</f>
        <v>NKAMGANG JUSTIN DEJOLIE</v>
      </c>
      <c r="C28" s="13">
        <f>VLOOKUP(A28,[8]HISTOFEV24!$A$6:$BQ$40,56,0)</f>
        <v>0</v>
      </c>
      <c r="D28" s="13">
        <f>VLOOKUP(A28,[8]HISTOFEV24!$A$6:$BQ$40,57,0)</f>
        <v>0</v>
      </c>
      <c r="E28" s="13"/>
      <c r="F28" s="13"/>
      <c r="G28" s="14">
        <f t="shared" si="0"/>
        <v>0</v>
      </c>
    </row>
    <row r="29" spans="1:7" ht="17.5" x14ac:dyDescent="0.35">
      <c r="A29" s="9" t="s">
        <v>36</v>
      </c>
      <c r="B29" s="10" t="str">
        <f>VLOOKUP(A29,[7]LISTADHERENT!A$5:H$50,3,0)</f>
        <v>NOUBE ETIENNE</v>
      </c>
      <c r="C29" s="13">
        <f>VLOOKUP(A29,[8]HISTOFEV24!$A$6:$BQ$40,56,0)</f>
        <v>0</v>
      </c>
      <c r="D29" s="13">
        <f>VLOOKUP(A29,[8]HISTOFEV24!$A$6:$BQ$40,57,0)</f>
        <v>0</v>
      </c>
      <c r="E29" s="13"/>
      <c r="F29" s="13"/>
      <c r="G29" s="14">
        <f t="shared" si="0"/>
        <v>0</v>
      </c>
    </row>
    <row r="30" spans="1:7" ht="17.5" x14ac:dyDescent="0.35">
      <c r="A30" s="9" t="s">
        <v>37</v>
      </c>
      <c r="B30" s="10" t="str">
        <f>VLOOKUP(A30,[7]LISTADHERENT!A$5:H$50,3,0)</f>
        <v>PATEGO NJOSSU GUSTAVE</v>
      </c>
      <c r="C30" s="13">
        <f>VLOOKUP(A30,[8]HISTOFEV24!$A$6:$BQ$40,56,0)</f>
        <v>0</v>
      </c>
      <c r="D30" s="13">
        <f>VLOOKUP(A30,[8]HISTOFEV24!$A$6:$BQ$40,57,0)</f>
        <v>0</v>
      </c>
      <c r="E30" s="13"/>
      <c r="F30" s="13"/>
      <c r="G30" s="14">
        <f t="shared" si="0"/>
        <v>0</v>
      </c>
    </row>
    <row r="31" spans="1:7" ht="17.5" x14ac:dyDescent="0.35">
      <c r="A31" s="9" t="s">
        <v>38</v>
      </c>
      <c r="B31" s="10" t="str">
        <f>VLOOKUP(A31,[7]LISTADHERENT!A$5:H$50,3,0)</f>
        <v>SEUMO POLYCARPE</v>
      </c>
      <c r="C31" s="13">
        <f>VLOOKUP(A31,[8]HISTOFEV24!$A$6:$BQ$40,56,0)</f>
        <v>51000</v>
      </c>
      <c r="D31" s="13" t="str">
        <f>VLOOKUP(A31,[8]HISTOFEV24!$A$6:$BQ$40,57,0)</f>
        <v>OK</v>
      </c>
      <c r="E31" s="13"/>
      <c r="F31" s="13"/>
      <c r="G31" s="14">
        <f t="shared" si="0"/>
        <v>0</v>
      </c>
    </row>
    <row r="32" spans="1:7" ht="17.5" x14ac:dyDescent="0.35">
      <c r="A32" s="9" t="s">
        <v>39</v>
      </c>
      <c r="B32" s="10" t="str">
        <f>VLOOKUP(A32,[7]LISTADHERENT!A$5:H$50,3,0)</f>
        <v>SIME BRICE</v>
      </c>
      <c r="C32" s="13">
        <f>VLOOKUP(A32,[8]HISTOFEV24!$A$6:$BQ$40,56,0)</f>
        <v>1165000</v>
      </c>
      <c r="D32" s="13" t="str">
        <f>VLOOKUP(A32,[8]HISTOFEV24!$A$6:$BQ$40,57,0)</f>
        <v>OK</v>
      </c>
      <c r="E32" s="13"/>
      <c r="F32" s="13"/>
      <c r="G32" s="14">
        <f t="shared" si="0"/>
        <v>0</v>
      </c>
    </row>
    <row r="33" spans="1:7" ht="17.5" x14ac:dyDescent="0.35">
      <c r="A33" s="9" t="s">
        <v>40</v>
      </c>
      <c r="B33" s="10" t="str">
        <f>VLOOKUP(A33,[7]LISTADHERENT!A$5:H$50,3,0)</f>
        <v>SIMO PIERRE</v>
      </c>
      <c r="C33" s="13">
        <f>VLOOKUP(A33,[8]HISTOFEV24!$A$6:$BQ$40,56,0)</f>
        <v>0</v>
      </c>
      <c r="D33" s="13">
        <f>VLOOKUP(A33,[8]HISTOFEV24!$A$6:$BQ$40,57,0)</f>
        <v>0</v>
      </c>
      <c r="E33" s="13"/>
      <c r="F33" s="13"/>
      <c r="G33" s="14">
        <f t="shared" si="0"/>
        <v>0</v>
      </c>
    </row>
    <row r="34" spans="1:7" ht="17.5" x14ac:dyDescent="0.35">
      <c r="A34" s="9" t="s">
        <v>41</v>
      </c>
      <c r="B34" s="10" t="str">
        <f>VLOOKUP(A34,[7]LISTADHERENT!A$5:H$50,3,0)</f>
        <v>TCHOUAMOU MATHIEU</v>
      </c>
      <c r="C34" s="13">
        <f>VLOOKUP(A34,[8]HISTOFEV24!$A$6:$BQ$40,56,0)</f>
        <v>0</v>
      </c>
      <c r="D34" s="13">
        <f>VLOOKUP(A34,[8]HISTOFEV24!$A$6:$BQ$40,57,0)</f>
        <v>0</v>
      </c>
      <c r="E34" s="13"/>
      <c r="F34" s="13"/>
      <c r="G34" s="14">
        <f t="shared" si="0"/>
        <v>0</v>
      </c>
    </row>
    <row r="35" spans="1:7" ht="17.5" x14ac:dyDescent="0.35">
      <c r="A35" s="9" t="s">
        <v>42</v>
      </c>
      <c r="B35" s="10" t="str">
        <f>VLOOKUP(A35,[7]LISTADHERENT!A$5:H$50,3,0)</f>
        <v>TCHOUATEU AUGUSTIN</v>
      </c>
      <c r="C35" s="13">
        <f>VLOOKUP(A35,[8]HISTOFEV24!$A$6:$BQ$40,56,0)</f>
        <v>0</v>
      </c>
      <c r="D35" s="13">
        <f>VLOOKUP(A35,[8]HISTOFEV24!$A$6:$BQ$40,57,0)</f>
        <v>0</v>
      </c>
      <c r="E35" s="13"/>
      <c r="F35" s="13"/>
      <c r="G35" s="14">
        <f t="shared" si="0"/>
        <v>0</v>
      </c>
    </row>
    <row r="36" spans="1:7" s="3" customFormat="1" ht="17.5" x14ac:dyDescent="0.35">
      <c r="A36" s="9" t="s">
        <v>43</v>
      </c>
      <c r="B36" s="10" t="str">
        <f>VLOOKUP(A36,[7]LISTADHERENT!A$5:H$50,3,0)</f>
        <v>TCHOUTOU NANA CLAUDE</v>
      </c>
      <c r="C36" s="13">
        <f>VLOOKUP(A36,[8]HISTOFEV24!$A$6:$BQ$40,56,0)</f>
        <v>0</v>
      </c>
      <c r="D36" s="13">
        <f>VLOOKUP(A36,[8]HISTOFEV24!$A$6:$BQ$40,57,0)</f>
        <v>0</v>
      </c>
      <c r="E36" s="13"/>
      <c r="F36" s="13"/>
      <c r="G36" s="14">
        <f t="shared" si="0"/>
        <v>0</v>
      </c>
    </row>
    <row r="37" spans="1:7" ht="17.5" x14ac:dyDescent="0.35">
      <c r="A37" s="9" t="s">
        <v>44</v>
      </c>
      <c r="B37" s="10" t="str">
        <f>VLOOKUP(A37,[7]LISTADHERENT!A$5:H$50,3,0)</f>
        <v>YANTCHOU GERVAIS</v>
      </c>
      <c r="C37" s="13">
        <f>VLOOKUP(A37,[8]HISTOFEV24!$A$6:$BQ$40,56,0)</f>
        <v>0</v>
      </c>
      <c r="D37" s="13">
        <f>VLOOKUP(A37,[8]HISTOFEV24!$A$6:$BQ$40,57,0)</f>
        <v>0</v>
      </c>
      <c r="E37" s="13"/>
      <c r="F37" s="13"/>
      <c r="G37" s="14">
        <f t="shared" si="0"/>
        <v>0</v>
      </c>
    </row>
    <row r="38" spans="1:7" ht="17.5" x14ac:dyDescent="0.35">
      <c r="A38" s="9" t="s">
        <v>45</v>
      </c>
      <c r="B38" s="10" t="str">
        <f>VLOOKUP(A38,[7]LISTADHERENT!A$5:H$50,3,0)</f>
        <v>YEPMOU JEAN JACQUES</v>
      </c>
      <c r="C38" s="13">
        <f>VLOOKUP(A38,[8]HISTOFEV24!$A$6:$BQ$40,56,0)</f>
        <v>0</v>
      </c>
      <c r="D38" s="13">
        <f>VLOOKUP(A38,[8]HISTOFEV24!$A$6:$BQ$40,57,0)</f>
        <v>0</v>
      </c>
      <c r="E38" s="13"/>
      <c r="F38" s="13"/>
      <c r="G38" s="14">
        <f t="shared" si="0"/>
        <v>0</v>
      </c>
    </row>
    <row r="39" spans="1:7" ht="17.5" x14ac:dyDescent="0.35">
      <c r="A39" s="9" t="s">
        <v>46</v>
      </c>
      <c r="B39" s="10" t="str">
        <f>VLOOKUP(A39,[7]LISTADHERENT!A$5:H$50,3,0)</f>
        <v>YIALA ALAIN OSCAR</v>
      </c>
      <c r="C39" s="13">
        <f>VLOOKUP(A39,[8]HISTOFEV24!$A$6:$BQ$40,56,0)</f>
        <v>0</v>
      </c>
      <c r="D39" s="13">
        <f>VLOOKUP(A39,[8]HISTOFEV24!$A$6:$BQ$40,57,0)</f>
        <v>0</v>
      </c>
      <c r="E39" s="13"/>
      <c r="F39" s="13"/>
      <c r="G39" s="14">
        <f t="shared" si="0"/>
        <v>0</v>
      </c>
    </row>
    <row r="40" spans="1:7" ht="17.5" x14ac:dyDescent="0.35">
      <c r="A40" s="9" t="s">
        <v>47</v>
      </c>
      <c r="B40" s="10" t="str">
        <f>VLOOKUP(A40,[7]LISTADHERENT!A$5:H$50,3,0)</f>
        <v>YOUMBI EMMANUEL</v>
      </c>
      <c r="C40" s="13">
        <f>VLOOKUP(A40,[8]HISTOFEV24!$A$6:$BQ$40,56,0)</f>
        <v>0</v>
      </c>
      <c r="D40" s="13">
        <f>VLOOKUP(A40,[8]HISTOFEV24!$A$6:$BQ$40,57,0)</f>
        <v>0</v>
      </c>
      <c r="E40" s="13"/>
      <c r="F40" s="13"/>
      <c r="G40" s="14">
        <f t="shared" si="0"/>
        <v>0</v>
      </c>
    </row>
    <row r="41" spans="1:7" ht="17.5" x14ac:dyDescent="0.35">
      <c r="A41" s="9"/>
      <c r="B41" s="10"/>
      <c r="C41" s="10"/>
      <c r="D41" s="10"/>
      <c r="E41" s="13"/>
      <c r="F41" s="13"/>
      <c r="G41" s="14"/>
    </row>
    <row r="42" spans="1:7" ht="24" thickBot="1" x14ac:dyDescent="0.6">
      <c r="A42" s="15"/>
      <c r="B42" s="16" t="s">
        <v>4</v>
      </c>
      <c r="C42" s="17">
        <f>SUM(C8:C41)</f>
        <v>4837300</v>
      </c>
      <c r="D42" s="17"/>
      <c r="E42" s="17">
        <f>SUM(E9:E41)</f>
        <v>0</v>
      </c>
      <c r="F42" s="17"/>
      <c r="G42" s="18">
        <f>SUM(G9:G41)</f>
        <v>0</v>
      </c>
    </row>
    <row r="43" spans="1:7" ht="15" thickTop="1" x14ac:dyDescent="0.35"/>
    <row r="44" spans="1:7" ht="26" x14ac:dyDescent="0.6">
      <c r="B44" s="5" t="s">
        <v>11</v>
      </c>
      <c r="C44" s="4">
        <f>C42-C7</f>
        <v>0</v>
      </c>
    </row>
    <row r="46" spans="1:7" x14ac:dyDescent="0.35">
      <c r="B46" s="1" t="s">
        <v>6</v>
      </c>
      <c r="C46" s="1"/>
      <c r="D46" s="1"/>
      <c r="E46" s="1"/>
      <c r="F46" s="1"/>
    </row>
    <row r="48" spans="1:7" x14ac:dyDescent="0.35">
      <c r="B48" t="s">
        <v>8</v>
      </c>
    </row>
    <row r="49" spans="2:2" x14ac:dyDescent="0.35">
      <c r="B49" t="s">
        <v>9</v>
      </c>
    </row>
    <row r="50" spans="2:2" x14ac:dyDescent="0.35">
      <c r="B50" t="s">
        <v>10</v>
      </c>
    </row>
  </sheetData>
  <autoFilter ref="A6:F40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8766-F16E-4496-B9C8-5421AE9CD03D}">
  <dimension ref="A1:G50"/>
  <sheetViews>
    <sheetView zoomScale="96" zoomScaleNormal="96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9" sqref="C9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4" width="21.1796875" customWidth="1"/>
    <col min="5" max="5" width="17" bestFit="1" customWidth="1"/>
    <col min="6" max="6" width="17" customWidth="1"/>
    <col min="7" max="7" width="12.453125" bestFit="1" customWidth="1"/>
  </cols>
  <sheetData>
    <row r="1" spans="1:7" x14ac:dyDescent="0.35">
      <c r="A1" s="1" t="s">
        <v>2</v>
      </c>
      <c r="B1" s="1" t="s">
        <v>48</v>
      </c>
      <c r="C1" s="1"/>
      <c r="D1" s="1"/>
      <c r="E1" s="1"/>
      <c r="F1" s="1"/>
    </row>
    <row r="2" spans="1:7" x14ac:dyDescent="0.35">
      <c r="A2" s="1" t="s">
        <v>3</v>
      </c>
      <c r="B2" s="1">
        <v>2024</v>
      </c>
      <c r="C2" s="1"/>
      <c r="D2" s="1"/>
      <c r="E2" s="1"/>
      <c r="F2" s="1"/>
    </row>
    <row r="3" spans="1:7" x14ac:dyDescent="0.35">
      <c r="A3" s="1"/>
      <c r="B3" s="2"/>
      <c r="C3" s="2"/>
      <c r="D3" s="2"/>
      <c r="E3" s="2"/>
      <c r="F3" s="2"/>
    </row>
    <row r="4" spans="1:7" ht="15" thickBot="1" x14ac:dyDescent="0.4"/>
    <row r="5" spans="1:7" ht="68.25" customHeight="1" thickTop="1" x14ac:dyDescent="0.35">
      <c r="A5" s="6" t="s">
        <v>0</v>
      </c>
      <c r="B5" s="7" t="s">
        <v>1</v>
      </c>
      <c r="C5" s="7"/>
      <c r="D5" s="7"/>
      <c r="E5" s="7"/>
      <c r="F5" s="7"/>
      <c r="G5" s="8" t="s">
        <v>4</v>
      </c>
    </row>
    <row r="6" spans="1:7" ht="30" customHeight="1" x14ac:dyDescent="0.35">
      <c r="A6" s="9"/>
      <c r="B6" s="10"/>
      <c r="C6" s="10" t="s">
        <v>7</v>
      </c>
      <c r="D6" s="10" t="s">
        <v>5</v>
      </c>
      <c r="E6" s="11" t="s">
        <v>12</v>
      </c>
      <c r="F6" s="11" t="s">
        <v>13</v>
      </c>
      <c r="G6" s="12"/>
    </row>
    <row r="7" spans="1:7" ht="30" customHeight="1" x14ac:dyDescent="0.35">
      <c r="A7" s="9"/>
      <c r="B7" s="10" t="s">
        <v>14</v>
      </c>
      <c r="C7" s="13">
        <v>1370500</v>
      </c>
      <c r="D7" s="10"/>
      <c r="E7" s="13"/>
      <c r="F7" s="13"/>
      <c r="G7" s="12"/>
    </row>
    <row r="8" spans="1:7" ht="17.5" x14ac:dyDescent="0.35">
      <c r="A8" s="9" t="s">
        <v>15</v>
      </c>
      <c r="B8" s="10" t="str">
        <f>VLOOKUP(A8,[7]LISTADHERENT!A$5:H$50,3,0)</f>
        <v>ASELBY</v>
      </c>
      <c r="C8" s="13">
        <f>VLOOKUP(A8,[8]HISTOMARS24!$A$6:$BQ$40,56,0)</f>
        <v>48000</v>
      </c>
      <c r="D8" s="13" t="str">
        <f>VLOOKUP(A8,[8]HISTOMARS24!$A$6:$BQ$40,57,0)</f>
        <v>OK</v>
      </c>
      <c r="E8" s="13">
        <f>+[9]HISTOBQUEMARS24!$H$6</f>
        <v>1193</v>
      </c>
      <c r="F8" s="13"/>
      <c r="G8" s="14">
        <f t="shared" ref="G8:G40" si="0">SUM(E8:F8)</f>
        <v>1193</v>
      </c>
    </row>
    <row r="9" spans="1:7" ht="17.5" x14ac:dyDescent="0.35">
      <c r="A9" s="9" t="s">
        <v>16</v>
      </c>
      <c r="B9" s="10" t="str">
        <f>VLOOKUP(A9,[7]LISTADHERENT!A$5:H$50,3,0)</f>
        <v>BAKOP ACHILLE</v>
      </c>
      <c r="C9" s="13">
        <f>VLOOKUP(A9,[8]HISTOMARS24!$A$6:$BQ$40,56,0)</f>
        <v>290000</v>
      </c>
      <c r="D9" s="13" t="str">
        <f>VLOOKUP(A9,[8]HISTOMARS24!$A$6:$BQ$40,57,0)</f>
        <v>OK</v>
      </c>
      <c r="E9" s="13"/>
      <c r="F9" s="13"/>
      <c r="G9" s="14">
        <f t="shared" si="0"/>
        <v>0</v>
      </c>
    </row>
    <row r="10" spans="1:7" s="3" customFormat="1" ht="17.5" x14ac:dyDescent="0.35">
      <c r="A10" s="9" t="s">
        <v>17</v>
      </c>
      <c r="B10" s="10" t="str">
        <f>VLOOKUP(A10,[7]LISTADHERENT!A$5:H$50,3,0)</f>
        <v>BOUTCHOUANG WILLIAM</v>
      </c>
      <c r="C10" s="13">
        <f>VLOOKUP(A10,[8]HISTOMARS24!$A$6:$BQ$40,56,0)</f>
        <v>0</v>
      </c>
      <c r="D10" s="13">
        <f>VLOOKUP(A10,[8]HISTOMARS24!$A$6:$BQ$40,57,0)</f>
        <v>0</v>
      </c>
      <c r="E10" s="13"/>
      <c r="F10" s="13"/>
      <c r="G10" s="14">
        <f t="shared" si="0"/>
        <v>0</v>
      </c>
    </row>
    <row r="11" spans="1:7" s="3" customFormat="1" ht="17.5" x14ac:dyDescent="0.35">
      <c r="A11" s="9" t="s">
        <v>18</v>
      </c>
      <c r="B11" s="10" t="str">
        <f>VLOOKUP(A11,[7]LISTADHERENT!A$5:H$50,3,0)</f>
        <v xml:space="preserve">DJOMO JEAN PAUL </v>
      </c>
      <c r="C11" s="13">
        <f>VLOOKUP(A11,[8]HISTOMARS24!$A$6:$BQ$40,56,0)</f>
        <v>205500</v>
      </c>
      <c r="D11" s="13" t="str">
        <f>VLOOKUP(A11,[8]HISTOMARS24!$A$6:$BQ$40,57,0)</f>
        <v>OK</v>
      </c>
      <c r="E11" s="13"/>
      <c r="F11" s="13"/>
      <c r="G11" s="14">
        <f t="shared" si="0"/>
        <v>0</v>
      </c>
    </row>
    <row r="12" spans="1:7" ht="17.5" x14ac:dyDescent="0.35">
      <c r="A12" s="9" t="s">
        <v>19</v>
      </c>
      <c r="B12" s="10" t="str">
        <f>VLOOKUP(A12,[7]LISTADHERENT!A$5:H$50,3,0)</f>
        <v>DJOMOU TCHAPDA</v>
      </c>
      <c r="C12" s="13">
        <f>VLOOKUP(A12,[8]HISTOMARS24!$A$6:$BQ$40,56,0)</f>
        <v>872000</v>
      </c>
      <c r="D12" s="13" t="str">
        <f>VLOOKUP(A12,[8]HISTOMARS24!$A$6:$BQ$40,57,0)</f>
        <v>OK</v>
      </c>
      <c r="E12" s="13"/>
      <c r="F12" s="13"/>
      <c r="G12" s="14">
        <f t="shared" si="0"/>
        <v>0</v>
      </c>
    </row>
    <row r="13" spans="1:7" ht="17.5" x14ac:dyDescent="0.35">
      <c r="A13" s="9" t="s">
        <v>20</v>
      </c>
      <c r="B13" s="10" t="str">
        <f>VLOOKUP(A13,[7]LISTADHERENT!A$5:H$50,3,0)</f>
        <v>DJOUKWE NANGUEN GUY BLAISE</v>
      </c>
      <c r="C13" s="13">
        <f>VLOOKUP(A13,[8]HISTOMARS24!$A$6:$BQ$40,56,0)</f>
        <v>40000</v>
      </c>
      <c r="D13" s="13" t="str">
        <f>VLOOKUP(A13,[8]HISTOMARS24!$A$6:$BQ$40,57,0)</f>
        <v>OK</v>
      </c>
      <c r="E13" s="13"/>
      <c r="F13" s="13"/>
      <c r="G13" s="14">
        <f t="shared" si="0"/>
        <v>0</v>
      </c>
    </row>
    <row r="14" spans="1:7" ht="17.5" x14ac:dyDescent="0.35">
      <c r="A14" s="9" t="s">
        <v>21</v>
      </c>
      <c r="B14" s="10" t="str">
        <f>VLOOKUP(A14,[7]LISTADHERENT!A$5:H$50,3,0)</f>
        <v>DJUOMBESSY ANTOINE</v>
      </c>
      <c r="C14" s="13">
        <f>VLOOKUP(A14,[8]HISTOMARS24!$A$6:$BQ$40,56,0)</f>
        <v>0</v>
      </c>
      <c r="D14" s="13">
        <f>VLOOKUP(A14,[8]HISTOMARS24!$A$6:$BQ$40,57,0)</f>
        <v>0</v>
      </c>
      <c r="E14" s="13"/>
      <c r="F14" s="13"/>
      <c r="G14" s="14">
        <f t="shared" si="0"/>
        <v>0</v>
      </c>
    </row>
    <row r="15" spans="1:7" s="3" customFormat="1" ht="17.5" x14ac:dyDescent="0.35">
      <c r="A15" s="9" t="s">
        <v>22</v>
      </c>
      <c r="B15" s="10" t="str">
        <f>VLOOKUP(A15,[7]LISTADHERENT!A$5:H$50,3,0)</f>
        <v>DOMOU FABIEN</v>
      </c>
      <c r="C15" s="13">
        <f>VLOOKUP(A15,[8]HISTOMARS24!$A$6:$BQ$40,56,0)</f>
        <v>0</v>
      </c>
      <c r="D15" s="13">
        <f>VLOOKUP(A15,[8]HISTOMARS24!$A$6:$BQ$40,57,0)</f>
        <v>0</v>
      </c>
      <c r="E15" s="13"/>
      <c r="F15" s="13"/>
      <c r="G15" s="14">
        <f t="shared" si="0"/>
        <v>0</v>
      </c>
    </row>
    <row r="16" spans="1:7" ht="17.5" x14ac:dyDescent="0.35">
      <c r="A16" s="9" t="s">
        <v>23</v>
      </c>
      <c r="B16" s="10" t="str">
        <f>VLOOKUP(A16,[7]LISTADHERENT!A$5:H$50,3,0)</f>
        <v>DONHOU DAVID</v>
      </c>
      <c r="C16" s="13">
        <f>VLOOKUP(A16,[8]HISTOMARS24!$A$6:$BQ$40,56,0)</f>
        <v>0</v>
      </c>
      <c r="D16" s="13">
        <f>VLOOKUP(A16,[8]HISTOMARS24!$A$6:$BQ$40,57,0)</f>
        <v>0</v>
      </c>
      <c r="E16" s="13"/>
      <c r="F16" s="13"/>
      <c r="G16" s="14">
        <f t="shared" si="0"/>
        <v>0</v>
      </c>
    </row>
    <row r="17" spans="1:7" ht="17.5" x14ac:dyDescent="0.35">
      <c r="A17" s="9" t="s">
        <v>24</v>
      </c>
      <c r="B17" s="10" t="str">
        <f>VLOOKUP(A17,[7]LISTADHERENT!A$5:H$50,3,0)</f>
        <v>HENGUE PAUL OMER</v>
      </c>
      <c r="C17" s="13">
        <f>VLOOKUP(A17,[8]HISTOMARS24!$A$6:$BQ$40,56,0)</f>
        <v>0</v>
      </c>
      <c r="D17" s="13">
        <f>VLOOKUP(A17,[8]HISTOMARS24!$A$6:$BQ$40,57,0)</f>
        <v>0</v>
      </c>
      <c r="E17" s="13"/>
      <c r="F17" s="13"/>
      <c r="G17" s="14">
        <f t="shared" si="0"/>
        <v>0</v>
      </c>
    </row>
    <row r="18" spans="1:7" ht="17.5" x14ac:dyDescent="0.35">
      <c r="A18" s="9" t="s">
        <v>25</v>
      </c>
      <c r="B18" s="10" t="str">
        <f>VLOOKUP(A18,[7]LISTADHERENT!A$5:H$50,3,0)</f>
        <v>HOTCHO BENJAMIN</v>
      </c>
      <c r="C18" s="13">
        <f>VLOOKUP(A18,[8]HISTOMARS24!$A$6:$BQ$40,56,0)</f>
        <v>0</v>
      </c>
      <c r="D18" s="13">
        <f>VLOOKUP(A18,[8]HISTOMARS24!$A$6:$BQ$40,57,0)</f>
        <v>0</v>
      </c>
      <c r="E18" s="13"/>
      <c r="F18" s="13"/>
      <c r="G18" s="14">
        <f t="shared" si="0"/>
        <v>0</v>
      </c>
    </row>
    <row r="19" spans="1:7" ht="17.5" x14ac:dyDescent="0.35">
      <c r="A19" s="9" t="s">
        <v>26</v>
      </c>
      <c r="B19" s="10" t="str">
        <f>VLOOKUP(A19,[7]LISTADHERENT!A$5:H$50,3,0)</f>
        <v>KOUAMOU MOISE</v>
      </c>
      <c r="C19" s="13">
        <f>VLOOKUP(A19,[8]HISTOMARS24!$A$6:$BQ$40,56,0)</f>
        <v>630000</v>
      </c>
      <c r="D19" s="13" t="str">
        <f>VLOOKUP(A19,[8]HISTOMARS24!$A$6:$BQ$40,57,0)</f>
        <v>OK</v>
      </c>
      <c r="E19" s="13"/>
      <c r="F19" s="13"/>
      <c r="G19" s="14">
        <f t="shared" si="0"/>
        <v>0</v>
      </c>
    </row>
    <row r="20" spans="1:7" ht="17.5" x14ac:dyDescent="0.35">
      <c r="A20" s="9" t="s">
        <v>27</v>
      </c>
      <c r="B20" s="10" t="str">
        <f>VLOOKUP(A20,[7]LISTADHERENT!A$5:H$50,3,0)</f>
        <v>KOUATCHO MESSACK</v>
      </c>
      <c r="C20" s="13">
        <f>VLOOKUP(A20,[8]HISTOMARS24!$A$6:$BQ$40,56,0)</f>
        <v>200000</v>
      </c>
      <c r="D20" s="13" t="str">
        <f>VLOOKUP(A20,[8]HISTOMARS24!$A$6:$BQ$40,57,0)</f>
        <v>OK</v>
      </c>
      <c r="E20" s="13"/>
      <c r="F20" s="13"/>
      <c r="G20" s="14">
        <f t="shared" si="0"/>
        <v>0</v>
      </c>
    </row>
    <row r="21" spans="1:7" ht="17.5" x14ac:dyDescent="0.35">
      <c r="A21" s="9" t="s">
        <v>28</v>
      </c>
      <c r="B21" s="10" t="str">
        <f>VLOOKUP(A21,[7]LISTADHERENT!A$5:H$50,3,0)</f>
        <v>MASSEUNGOUE DAGOBERT</v>
      </c>
      <c r="C21" s="13">
        <f>VLOOKUP(A21,[8]HISTOMARS24!$A$6:$BQ$40,56,0)</f>
        <v>0</v>
      </c>
      <c r="D21" s="13">
        <f>VLOOKUP(A21,[8]HISTOMARS24!$A$6:$BQ$40,57,0)</f>
        <v>0</v>
      </c>
      <c r="E21" s="13"/>
      <c r="F21" s="13"/>
      <c r="G21" s="14">
        <f t="shared" si="0"/>
        <v>0</v>
      </c>
    </row>
    <row r="22" spans="1:7" ht="17.5" x14ac:dyDescent="0.35">
      <c r="A22" s="9" t="s">
        <v>29</v>
      </c>
      <c r="B22" s="10" t="str">
        <f>VLOOKUP(A22,[7]LISTADHERENT!A$5:H$50,3,0)</f>
        <v>MBOGNING TUGMA GUY</v>
      </c>
      <c r="C22" s="13">
        <f>VLOOKUP(A22,[8]HISTOMARS24!$A$6:$BQ$40,56,0)</f>
        <v>143500</v>
      </c>
      <c r="D22" s="13" t="str">
        <f>VLOOKUP(A22,[8]HISTOMARS24!$A$6:$BQ$40,57,0)</f>
        <v>OK</v>
      </c>
      <c r="E22" s="13"/>
      <c r="F22" s="13"/>
      <c r="G22" s="14">
        <f t="shared" si="0"/>
        <v>0</v>
      </c>
    </row>
    <row r="23" spans="1:7" ht="17.5" x14ac:dyDescent="0.35">
      <c r="A23" s="9" t="s">
        <v>30</v>
      </c>
      <c r="B23" s="10" t="str">
        <f>VLOOKUP(A23,[7]LISTADHERENT!A$5:H$50,3,0)</f>
        <v>NANGUEN MARTIN</v>
      </c>
      <c r="C23" s="13">
        <f>VLOOKUP(A23,[8]HISTOMARS24!$A$6:$BQ$40,56,0)</f>
        <v>0</v>
      </c>
      <c r="D23" s="13">
        <f>VLOOKUP(A23,[8]HISTOMARS24!$A$6:$BQ$40,57,0)</f>
        <v>0</v>
      </c>
      <c r="E23" s="13"/>
      <c r="F23" s="13"/>
      <c r="G23" s="14">
        <f t="shared" si="0"/>
        <v>0</v>
      </c>
    </row>
    <row r="24" spans="1:7" ht="17.5" x14ac:dyDescent="0.35">
      <c r="A24" s="9" t="s">
        <v>31</v>
      </c>
      <c r="B24" s="10" t="str">
        <f>VLOOKUP(A24,[7]LISTADHERENT!A$5:H$50,3,0)</f>
        <v>NANKAM APPOLINAIRE</v>
      </c>
      <c r="C24" s="13">
        <f>VLOOKUP(A24,[8]HISTOMARS24!$A$6:$BQ$40,56,0)</f>
        <v>283000</v>
      </c>
      <c r="D24" s="13" t="str">
        <f>VLOOKUP(A24,[8]HISTOMARS24!$A$6:$BQ$40,57,0)</f>
        <v>OK</v>
      </c>
      <c r="E24" s="13"/>
      <c r="F24" s="13"/>
      <c r="G24" s="14">
        <f t="shared" si="0"/>
        <v>0</v>
      </c>
    </row>
    <row r="25" spans="1:7" ht="17.5" x14ac:dyDescent="0.35">
      <c r="A25" s="9" t="s">
        <v>32</v>
      </c>
      <c r="B25" s="10" t="str">
        <f>VLOOKUP(A25,[7]LISTADHERENT!A$5:H$50,3,0)</f>
        <v>NDJOMO ETIENNE</v>
      </c>
      <c r="C25" s="13">
        <f>VLOOKUP(A25,[8]HISTOMARS24!$A$6:$BQ$40,56,0)</f>
        <v>170000</v>
      </c>
      <c r="D25" s="13" t="str">
        <f>VLOOKUP(A25,[8]HISTOMARS24!$A$6:$BQ$40,57,0)</f>
        <v>OK</v>
      </c>
      <c r="E25" s="13"/>
      <c r="F25" s="13"/>
      <c r="G25" s="14">
        <f t="shared" si="0"/>
        <v>0</v>
      </c>
    </row>
    <row r="26" spans="1:7" ht="17.5" x14ac:dyDescent="0.35">
      <c r="A26" s="9" t="s">
        <v>33</v>
      </c>
      <c r="B26" s="10" t="str">
        <f>VLOOKUP(A26,[7]LISTADHERENT!A$5:H$50,3,0)</f>
        <v>NGONDIEP CLAUDE</v>
      </c>
      <c r="C26" s="13">
        <f>VLOOKUP(A26,[8]HISTOMARS24!$A$6:$BQ$40,56,0)</f>
        <v>0</v>
      </c>
      <c r="D26" s="13">
        <f>VLOOKUP(A26,[8]HISTOMARS24!$A$6:$BQ$40,57,0)</f>
        <v>0</v>
      </c>
      <c r="E26" s="13"/>
      <c r="F26" s="13"/>
      <c r="G26" s="14">
        <f t="shared" si="0"/>
        <v>0</v>
      </c>
    </row>
    <row r="27" spans="1:7" ht="17.5" x14ac:dyDescent="0.35">
      <c r="A27" s="9" t="s">
        <v>34</v>
      </c>
      <c r="B27" s="10" t="str">
        <f>VLOOKUP(A27,[7]LISTADHERENT!A$5:H$50,3,0)</f>
        <v>NGUIEMEGNI MATHIEU BLAISE</v>
      </c>
      <c r="C27" s="13">
        <f>VLOOKUP(A27,[8]HISTOMARS24!$A$6:$BQ$40,56,0)</f>
        <v>200000</v>
      </c>
      <c r="D27" s="13" t="str">
        <f>VLOOKUP(A27,[8]HISTOMARS24!$A$6:$BQ$40,57,0)</f>
        <v>OK</v>
      </c>
      <c r="E27" s="13"/>
      <c r="F27" s="13"/>
      <c r="G27" s="14">
        <f t="shared" si="0"/>
        <v>0</v>
      </c>
    </row>
    <row r="28" spans="1:7" ht="17.5" x14ac:dyDescent="0.35">
      <c r="A28" s="9" t="s">
        <v>35</v>
      </c>
      <c r="B28" s="10" t="str">
        <f>VLOOKUP(A28,[7]LISTADHERENT!A$5:H$50,3,0)</f>
        <v>NKAMGANG JUSTIN DEJOLIE</v>
      </c>
      <c r="C28" s="13">
        <f>VLOOKUP(A28,[8]HISTOMARS24!$A$6:$BQ$40,56,0)</f>
        <v>0</v>
      </c>
      <c r="D28" s="13">
        <f>VLOOKUP(A28,[8]HISTOMARS24!$A$6:$BQ$40,57,0)</f>
        <v>0</v>
      </c>
      <c r="E28" s="13"/>
      <c r="F28" s="13"/>
      <c r="G28" s="14">
        <f t="shared" si="0"/>
        <v>0</v>
      </c>
    </row>
    <row r="29" spans="1:7" ht="17.5" x14ac:dyDescent="0.35">
      <c r="A29" s="9" t="s">
        <v>36</v>
      </c>
      <c r="B29" s="10" t="str">
        <f>VLOOKUP(A29,[7]LISTADHERENT!A$5:H$50,3,0)</f>
        <v>NOUBE ETIENNE</v>
      </c>
      <c r="C29" s="13">
        <f>VLOOKUP(A29,[8]HISTOMARS24!$A$6:$BQ$40,56,0)</f>
        <v>48500</v>
      </c>
      <c r="D29" s="13" t="str">
        <f>VLOOKUP(A29,[8]HISTOMARS24!$A$6:$BQ$40,57,0)</f>
        <v>OK</v>
      </c>
      <c r="E29" s="13"/>
      <c r="F29" s="13"/>
      <c r="G29" s="14">
        <f t="shared" si="0"/>
        <v>0</v>
      </c>
    </row>
    <row r="30" spans="1:7" ht="17.5" x14ac:dyDescent="0.35">
      <c r="A30" s="9" t="s">
        <v>37</v>
      </c>
      <c r="B30" s="10" t="str">
        <f>VLOOKUP(A30,[7]LISTADHERENT!A$5:H$50,3,0)</f>
        <v>PATEGO NJOSSU GUSTAVE</v>
      </c>
      <c r="C30" s="13">
        <f>VLOOKUP(A30,[8]HISTOMARS24!$A$6:$BQ$40,56,0)</f>
        <v>0</v>
      </c>
      <c r="D30" s="13">
        <f>VLOOKUP(A30,[8]HISTOMARS24!$A$6:$BQ$40,57,0)</f>
        <v>0</v>
      </c>
      <c r="E30" s="13"/>
      <c r="F30" s="13"/>
      <c r="G30" s="14">
        <f t="shared" si="0"/>
        <v>0</v>
      </c>
    </row>
    <row r="31" spans="1:7" ht="17.5" x14ac:dyDescent="0.35">
      <c r="A31" s="9" t="s">
        <v>38</v>
      </c>
      <c r="B31" s="10" t="str">
        <f>VLOOKUP(A31,[7]LISTADHERENT!A$5:H$50,3,0)</f>
        <v>SEUMO POLYCARPE</v>
      </c>
      <c r="C31" s="13">
        <f>VLOOKUP(A31,[8]HISTOMARS24!$A$6:$BQ$40,56,0)</f>
        <v>0</v>
      </c>
      <c r="D31" s="13">
        <f>VLOOKUP(A31,[8]HISTOMARS24!$A$6:$BQ$40,57,0)</f>
        <v>2889015</v>
      </c>
      <c r="E31" s="13"/>
      <c r="F31" s="13"/>
      <c r="G31" s="14">
        <f t="shared" si="0"/>
        <v>0</v>
      </c>
    </row>
    <row r="32" spans="1:7" ht="17.5" x14ac:dyDescent="0.35">
      <c r="A32" s="9" t="s">
        <v>39</v>
      </c>
      <c r="B32" s="10" t="str">
        <f>VLOOKUP(A32,[7]LISTADHERENT!A$5:H$50,3,0)</f>
        <v>SIME BRICE</v>
      </c>
      <c r="C32" s="13">
        <f>VLOOKUP(A32,[8]HISTOMARS24!$A$6:$BQ$40,56,0)</f>
        <v>0</v>
      </c>
      <c r="D32" s="13">
        <f>VLOOKUP(A32,[8]HISTOMARS24!$A$6:$BQ$40,57,0)</f>
        <v>0</v>
      </c>
      <c r="E32" s="13"/>
      <c r="F32" s="13"/>
      <c r="G32" s="14">
        <f t="shared" si="0"/>
        <v>0</v>
      </c>
    </row>
    <row r="33" spans="1:7" ht="17.5" x14ac:dyDescent="0.35">
      <c r="A33" s="9" t="s">
        <v>40</v>
      </c>
      <c r="B33" s="10" t="str">
        <f>VLOOKUP(A33,[7]LISTADHERENT!A$5:H$50,3,0)</f>
        <v>SIMO PIERRE</v>
      </c>
      <c r="C33" s="13">
        <f>VLOOKUP(A33,[8]HISTOMARS24!$A$6:$BQ$40,56,0)</f>
        <v>970000</v>
      </c>
      <c r="D33" s="13" t="str">
        <f>VLOOKUP(A33,[8]HISTOMARS24!$A$6:$BQ$40,57,0)</f>
        <v>OK</v>
      </c>
      <c r="E33" s="13"/>
      <c r="F33" s="13"/>
      <c r="G33" s="14">
        <f t="shared" si="0"/>
        <v>0</v>
      </c>
    </row>
    <row r="34" spans="1:7" ht="17.5" x14ac:dyDescent="0.35">
      <c r="A34" s="9" t="s">
        <v>41</v>
      </c>
      <c r="B34" s="10" t="str">
        <f>VLOOKUP(A34,[7]LISTADHERENT!A$5:H$50,3,0)</f>
        <v>TCHOUAMOU MATHIEU</v>
      </c>
      <c r="C34" s="13">
        <f>VLOOKUP(A34,[8]HISTOMARS24!$A$6:$BQ$40,56,0)</f>
        <v>0</v>
      </c>
      <c r="D34" s="13">
        <f>VLOOKUP(A34,[8]HISTOMARS24!$A$6:$BQ$40,57,0)</f>
        <v>0</v>
      </c>
      <c r="E34" s="13"/>
      <c r="F34" s="13"/>
      <c r="G34" s="14">
        <f t="shared" si="0"/>
        <v>0</v>
      </c>
    </row>
    <row r="35" spans="1:7" ht="17.5" x14ac:dyDescent="0.35">
      <c r="A35" s="9" t="s">
        <v>42</v>
      </c>
      <c r="B35" s="10" t="str">
        <f>VLOOKUP(A35,[7]LISTADHERENT!A$5:H$50,3,0)</f>
        <v>TCHOUATEU AUGUSTIN</v>
      </c>
      <c r="C35" s="13">
        <f>VLOOKUP(A35,[8]HISTOMARS24!$A$6:$BQ$40,56,0)</f>
        <v>0</v>
      </c>
      <c r="D35" s="13">
        <f>VLOOKUP(A35,[8]HISTOMARS24!$A$6:$BQ$40,57,0)</f>
        <v>0</v>
      </c>
      <c r="E35" s="13"/>
      <c r="F35" s="13"/>
      <c r="G35" s="14">
        <f t="shared" si="0"/>
        <v>0</v>
      </c>
    </row>
    <row r="36" spans="1:7" s="3" customFormat="1" ht="17.5" x14ac:dyDescent="0.35">
      <c r="A36" s="9" t="s">
        <v>43</v>
      </c>
      <c r="B36" s="10" t="str">
        <f>VLOOKUP(A36,[7]LISTADHERENT!A$5:H$50,3,0)</f>
        <v>TCHOUTOU NANA CLAUDE</v>
      </c>
      <c r="C36" s="13">
        <f>VLOOKUP(A36,[8]HISTOMARS24!$A$6:$BQ$40,56,0)</f>
        <v>0</v>
      </c>
      <c r="D36" s="13">
        <f>VLOOKUP(A36,[8]HISTOMARS24!$A$6:$BQ$40,57,0)</f>
        <v>0</v>
      </c>
      <c r="E36" s="13"/>
      <c r="F36" s="13"/>
      <c r="G36" s="14">
        <f t="shared" si="0"/>
        <v>0</v>
      </c>
    </row>
    <row r="37" spans="1:7" ht="17.5" x14ac:dyDescent="0.35">
      <c r="A37" s="9" t="s">
        <v>44</v>
      </c>
      <c r="B37" s="10" t="str">
        <f>VLOOKUP(A37,[7]LISTADHERENT!A$5:H$50,3,0)</f>
        <v>YANTCHOU GERVAIS</v>
      </c>
      <c r="C37" s="13">
        <f>VLOOKUP(A37,[8]HISTOMARS24!$A$6:$BQ$40,56,0)</f>
        <v>0</v>
      </c>
      <c r="D37" s="13">
        <f>VLOOKUP(A37,[8]HISTOMARS24!$A$6:$BQ$40,57,0)</f>
        <v>0</v>
      </c>
      <c r="E37" s="13"/>
      <c r="F37" s="13"/>
      <c r="G37" s="14">
        <f t="shared" si="0"/>
        <v>0</v>
      </c>
    </row>
    <row r="38" spans="1:7" ht="17.5" x14ac:dyDescent="0.35">
      <c r="A38" s="9" t="s">
        <v>45</v>
      </c>
      <c r="B38" s="10" t="str">
        <f>VLOOKUP(A38,[7]LISTADHERENT!A$5:H$50,3,0)</f>
        <v>YEPMOU JEAN JACQUES</v>
      </c>
      <c r="C38" s="13">
        <f>VLOOKUP(A38,[8]HISTOMARS24!$A$6:$BQ$40,56,0)</f>
        <v>0</v>
      </c>
      <c r="D38" s="13">
        <f>VLOOKUP(A38,[8]HISTOMARS24!$A$6:$BQ$40,57,0)</f>
        <v>0</v>
      </c>
      <c r="E38" s="13"/>
      <c r="F38" s="13"/>
      <c r="G38" s="14">
        <f t="shared" si="0"/>
        <v>0</v>
      </c>
    </row>
    <row r="39" spans="1:7" ht="17.5" x14ac:dyDescent="0.35">
      <c r="A39" s="9" t="s">
        <v>46</v>
      </c>
      <c r="B39" s="10" t="str">
        <f>VLOOKUP(A39,[7]LISTADHERENT!A$5:H$50,3,0)</f>
        <v>YIALA ALAIN OSCAR</v>
      </c>
      <c r="C39" s="13">
        <f>VLOOKUP(A39,[8]HISTOMARS24!$A$6:$BQ$40,56,0)</f>
        <v>0</v>
      </c>
      <c r="D39" s="13">
        <f>VLOOKUP(A39,[8]HISTOMARS24!$A$6:$BQ$40,57,0)</f>
        <v>0</v>
      </c>
      <c r="E39" s="13"/>
      <c r="F39" s="13"/>
      <c r="G39" s="14">
        <f t="shared" si="0"/>
        <v>0</v>
      </c>
    </row>
    <row r="40" spans="1:7" ht="17.5" x14ac:dyDescent="0.35">
      <c r="A40" s="9" t="s">
        <v>47</v>
      </c>
      <c r="B40" s="10" t="str">
        <f>VLOOKUP(A40,[7]LISTADHERENT!A$5:H$50,3,0)</f>
        <v>YOUMBI EMMANUEL</v>
      </c>
      <c r="C40" s="13">
        <f>VLOOKUP(A40,[8]HISTOMARS24!$A$6:$BQ$40,56,0)</f>
        <v>100000</v>
      </c>
      <c r="D40" s="13" t="str">
        <f>VLOOKUP(A40,[8]HISTOMARS24!$A$6:$BQ$40,57,0)</f>
        <v>OK</v>
      </c>
      <c r="E40" s="13"/>
      <c r="F40" s="13"/>
      <c r="G40" s="14">
        <f t="shared" si="0"/>
        <v>0</v>
      </c>
    </row>
    <row r="41" spans="1:7" ht="17.5" x14ac:dyDescent="0.35">
      <c r="A41" s="9"/>
      <c r="B41" s="10"/>
      <c r="C41" s="10"/>
      <c r="D41" s="10"/>
      <c r="E41" s="13"/>
      <c r="F41" s="13"/>
      <c r="G41" s="14"/>
    </row>
    <row r="42" spans="1:7" ht="24" thickBot="1" x14ac:dyDescent="0.6">
      <c r="A42" s="15"/>
      <c r="B42" s="16" t="s">
        <v>4</v>
      </c>
      <c r="C42" s="17">
        <f>SUM(C8:C41)</f>
        <v>4200500</v>
      </c>
      <c r="D42" s="17"/>
      <c r="E42" s="17">
        <f>SUM(E9:E41)</f>
        <v>0</v>
      </c>
      <c r="F42" s="17"/>
      <c r="G42" s="18">
        <f>SUM(G9:G41)</f>
        <v>0</v>
      </c>
    </row>
    <row r="43" spans="1:7" ht="15" thickTop="1" x14ac:dyDescent="0.35"/>
    <row r="44" spans="1:7" ht="26" x14ac:dyDescent="0.6">
      <c r="B44" s="5" t="s">
        <v>11</v>
      </c>
      <c r="C44" s="4">
        <f>C42-C7</f>
        <v>2830000</v>
      </c>
    </row>
    <row r="46" spans="1:7" x14ac:dyDescent="0.35">
      <c r="B46" s="1" t="s">
        <v>6</v>
      </c>
      <c r="C46" s="1"/>
      <c r="D46" s="1"/>
      <c r="E46" s="1"/>
      <c r="F46" s="1"/>
    </row>
    <row r="48" spans="1:7" x14ac:dyDescent="0.35">
      <c r="B48" t="s">
        <v>8</v>
      </c>
    </row>
    <row r="49" spans="2:2" x14ac:dyDescent="0.35">
      <c r="B49" t="s">
        <v>9</v>
      </c>
    </row>
    <row r="50" spans="2:2" x14ac:dyDescent="0.35">
      <c r="B50" t="s">
        <v>10</v>
      </c>
    </row>
  </sheetData>
  <autoFilter ref="A6:F40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00027-7749-4A6D-8CD5-76B2781E43AA}">
  <dimension ref="A1:G50"/>
  <sheetViews>
    <sheetView zoomScale="96" zoomScaleNormal="96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4" width="21.1796875" customWidth="1"/>
    <col min="5" max="5" width="17" bestFit="1" customWidth="1"/>
    <col min="6" max="6" width="17" customWidth="1"/>
    <col min="7" max="7" width="12.453125" bestFit="1" customWidth="1"/>
  </cols>
  <sheetData>
    <row r="1" spans="1:7" x14ac:dyDescent="0.35">
      <c r="A1" s="1" t="s">
        <v>2</v>
      </c>
      <c r="B1" s="1" t="s">
        <v>48</v>
      </c>
      <c r="C1" s="1"/>
      <c r="D1" s="1"/>
      <c r="E1" s="1"/>
      <c r="F1" s="1"/>
    </row>
    <row r="2" spans="1:7" x14ac:dyDescent="0.35">
      <c r="A2" s="1" t="s">
        <v>3</v>
      </c>
      <c r="B2" s="1">
        <v>2024</v>
      </c>
      <c r="C2" s="1"/>
      <c r="D2" s="1"/>
      <c r="E2" s="1"/>
      <c r="F2" s="1"/>
    </row>
    <row r="3" spans="1:7" x14ac:dyDescent="0.35">
      <c r="A3" s="1"/>
      <c r="B3" s="2"/>
      <c r="C3" s="2"/>
      <c r="D3" s="2"/>
      <c r="E3" s="2"/>
      <c r="F3" s="2"/>
    </row>
    <row r="4" spans="1:7" ht="15" thickBot="1" x14ac:dyDescent="0.4"/>
    <row r="5" spans="1:7" ht="68.25" customHeight="1" thickTop="1" x14ac:dyDescent="0.35">
      <c r="A5" s="6" t="s">
        <v>0</v>
      </c>
      <c r="B5" s="7" t="s">
        <v>1</v>
      </c>
      <c r="C5" s="7"/>
      <c r="D5" s="7"/>
      <c r="E5" s="7"/>
      <c r="F5" s="7"/>
      <c r="G5" s="8" t="s">
        <v>4</v>
      </c>
    </row>
    <row r="6" spans="1:7" ht="30" customHeight="1" x14ac:dyDescent="0.35">
      <c r="A6" s="9"/>
      <c r="B6" s="10"/>
      <c r="C6" s="10" t="s">
        <v>7</v>
      </c>
      <c r="D6" s="10" t="s">
        <v>5</v>
      </c>
      <c r="E6" s="11" t="s">
        <v>12</v>
      </c>
      <c r="F6" s="11" t="s">
        <v>13</v>
      </c>
      <c r="G6" s="12"/>
    </row>
    <row r="7" spans="1:7" ht="30" customHeight="1" x14ac:dyDescent="0.35">
      <c r="A7" s="9"/>
      <c r="B7" s="10" t="s">
        <v>14</v>
      </c>
      <c r="C7" s="13">
        <v>4899000</v>
      </c>
      <c r="D7" s="10"/>
      <c r="E7" s="13"/>
      <c r="F7" s="13"/>
      <c r="G7" s="12"/>
    </row>
    <row r="8" spans="1:7" ht="17.5" x14ac:dyDescent="0.35">
      <c r="A8" s="9" t="s">
        <v>15</v>
      </c>
      <c r="B8" s="10" t="str">
        <f>VLOOKUP(A8,[7]LISTADHERENT!A$5:H$50,3,0)</f>
        <v>ASELBY</v>
      </c>
      <c r="C8" s="13">
        <f>VLOOKUP(A8,[8]HISTOAVRIL24!$A$6:$BQ$40,56,0)</f>
        <v>221000</v>
      </c>
      <c r="D8" s="13" t="str">
        <f>VLOOKUP(A8,[8]HISTOAVRIL24!$A$6:$BQ$40,57,0)</f>
        <v>OK</v>
      </c>
      <c r="E8" s="13">
        <f>+[9]HISTOBQUEAVRIL24!$H$6</f>
        <v>2385</v>
      </c>
      <c r="F8" s="13"/>
      <c r="G8" s="14">
        <f t="shared" ref="G8:G40" si="0">SUM(E8:F8)</f>
        <v>2385</v>
      </c>
    </row>
    <row r="9" spans="1:7" ht="17.5" x14ac:dyDescent="0.35">
      <c r="A9" s="9" t="s">
        <v>16</v>
      </c>
      <c r="B9" s="10" t="str">
        <f>VLOOKUP(A9,[7]LISTADHERENT!A$5:H$50,3,0)</f>
        <v>BAKOP ACHILLE</v>
      </c>
      <c r="C9" s="13">
        <f>VLOOKUP(A9,[8]HISTOAVRIL24!$A$6:$BQ$40,56,0)</f>
        <v>0</v>
      </c>
      <c r="D9" s="13">
        <f>VLOOKUP(A9,[8]HISTOAVRIL24!$A$6:$BQ$40,57,0)</f>
        <v>0</v>
      </c>
      <c r="E9" s="13"/>
      <c r="F9" s="13"/>
      <c r="G9" s="14">
        <f t="shared" si="0"/>
        <v>0</v>
      </c>
    </row>
    <row r="10" spans="1:7" s="3" customFormat="1" ht="17.5" x14ac:dyDescent="0.35">
      <c r="A10" s="9" t="s">
        <v>17</v>
      </c>
      <c r="B10" s="10" t="str">
        <f>VLOOKUP(A10,[7]LISTADHERENT!A$5:H$50,3,0)</f>
        <v>BOUTCHOUANG WILLIAM</v>
      </c>
      <c r="C10" s="13">
        <f>VLOOKUP(A10,[8]HISTOAVRIL24!$A$6:$BQ$40,56,0)</f>
        <v>0</v>
      </c>
      <c r="D10" s="13">
        <f>VLOOKUP(A10,[8]HISTOAVRIL24!$A$6:$BQ$40,57,0)</f>
        <v>0</v>
      </c>
      <c r="E10" s="13"/>
      <c r="F10" s="13"/>
      <c r="G10" s="14">
        <f t="shared" si="0"/>
        <v>0</v>
      </c>
    </row>
    <row r="11" spans="1:7" s="3" customFormat="1" ht="17.5" x14ac:dyDescent="0.35">
      <c r="A11" s="9" t="s">
        <v>18</v>
      </c>
      <c r="B11" s="10" t="str">
        <f>VLOOKUP(A11,[7]LISTADHERENT!A$5:H$50,3,0)</f>
        <v xml:space="preserve">DJOMO JEAN PAUL </v>
      </c>
      <c r="C11" s="13">
        <f>VLOOKUP(A11,[8]HISTOAVRIL24!$A$6:$BQ$40,56,0)</f>
        <v>0</v>
      </c>
      <c r="D11" s="13">
        <f>VLOOKUP(A11,[8]HISTOAVRIL24!$A$6:$BQ$40,57,0)</f>
        <v>0</v>
      </c>
      <c r="E11" s="13"/>
      <c r="F11" s="13"/>
      <c r="G11" s="14">
        <f t="shared" si="0"/>
        <v>0</v>
      </c>
    </row>
    <row r="12" spans="1:7" ht="17.5" x14ac:dyDescent="0.35">
      <c r="A12" s="9" t="s">
        <v>19</v>
      </c>
      <c r="B12" s="10" t="str">
        <f>VLOOKUP(A12,[7]LISTADHERENT!A$5:H$50,3,0)</f>
        <v>DJOMOU TCHAPDA</v>
      </c>
      <c r="C12" s="13">
        <f>VLOOKUP(A12,[8]HISTOAVRIL24!$A$6:$BQ$40,56,0)</f>
        <v>1500</v>
      </c>
      <c r="D12" s="13" t="str">
        <f>VLOOKUP(A12,[8]HISTOAVRIL24!$A$6:$BQ$40,57,0)</f>
        <v>OK</v>
      </c>
      <c r="E12" s="13"/>
      <c r="F12" s="13"/>
      <c r="G12" s="14">
        <f t="shared" si="0"/>
        <v>0</v>
      </c>
    </row>
    <row r="13" spans="1:7" ht="17.5" x14ac:dyDescent="0.35">
      <c r="A13" s="9" t="s">
        <v>20</v>
      </c>
      <c r="B13" s="10" t="str">
        <f>VLOOKUP(A13,[7]LISTADHERENT!A$5:H$50,3,0)</f>
        <v>DJOUKWE NANGUEN GUY BLAISE</v>
      </c>
      <c r="C13" s="13">
        <f>VLOOKUP(A13,[8]HISTOAVRIL24!$A$6:$BQ$40,56,0)</f>
        <v>0</v>
      </c>
      <c r="D13" s="13">
        <f>VLOOKUP(A13,[8]HISTOAVRIL24!$A$6:$BQ$40,57,0)</f>
        <v>0</v>
      </c>
      <c r="E13" s="13"/>
      <c r="F13" s="13"/>
      <c r="G13" s="14">
        <f t="shared" si="0"/>
        <v>0</v>
      </c>
    </row>
    <row r="14" spans="1:7" ht="17.5" x14ac:dyDescent="0.35">
      <c r="A14" s="9" t="s">
        <v>21</v>
      </c>
      <c r="B14" s="10" t="str">
        <f>VLOOKUP(A14,[7]LISTADHERENT!A$5:H$50,3,0)</f>
        <v>DJUOMBESSY ANTOINE</v>
      </c>
      <c r="C14" s="13">
        <f>VLOOKUP(A14,[8]HISTOAVRIL24!$A$6:$BQ$40,56,0)</f>
        <v>0</v>
      </c>
      <c r="D14" s="13">
        <f>VLOOKUP(A14,[8]HISTOAVRIL24!$A$6:$BQ$40,57,0)</f>
        <v>0</v>
      </c>
      <c r="E14" s="13"/>
      <c r="F14" s="13"/>
      <c r="G14" s="14">
        <f t="shared" si="0"/>
        <v>0</v>
      </c>
    </row>
    <row r="15" spans="1:7" s="3" customFormat="1" ht="17.5" x14ac:dyDescent="0.35">
      <c r="A15" s="9" t="s">
        <v>22</v>
      </c>
      <c r="B15" s="10" t="str">
        <f>VLOOKUP(A15,[7]LISTADHERENT!A$5:H$50,3,0)</f>
        <v>DOMOU FABIEN</v>
      </c>
      <c r="C15" s="13">
        <f>VLOOKUP(A15,[8]HISTOAVRIL24!$A$6:$BQ$40,56,0)</f>
        <v>0</v>
      </c>
      <c r="D15" s="13">
        <f>VLOOKUP(A15,[8]HISTOAVRIL24!$A$6:$BQ$40,57,0)</f>
        <v>0</v>
      </c>
      <c r="E15" s="13"/>
      <c r="F15" s="13"/>
      <c r="G15" s="14">
        <f t="shared" si="0"/>
        <v>0</v>
      </c>
    </row>
    <row r="16" spans="1:7" ht="17.5" x14ac:dyDescent="0.35">
      <c r="A16" s="9" t="s">
        <v>23</v>
      </c>
      <c r="B16" s="10" t="str">
        <f>VLOOKUP(A16,[7]LISTADHERENT!A$5:H$50,3,0)</f>
        <v>DONHOU DAVID</v>
      </c>
      <c r="C16" s="13">
        <f>VLOOKUP(A16,[8]HISTOAVRIL24!$A$6:$BQ$40,56,0)</f>
        <v>0</v>
      </c>
      <c r="D16" s="13">
        <f>VLOOKUP(A16,[8]HISTOAVRIL24!$A$6:$BQ$40,57,0)</f>
        <v>0</v>
      </c>
      <c r="E16" s="13"/>
      <c r="F16" s="13"/>
      <c r="G16" s="14">
        <f t="shared" si="0"/>
        <v>0</v>
      </c>
    </row>
    <row r="17" spans="1:7" ht="17.5" x14ac:dyDescent="0.35">
      <c r="A17" s="9" t="s">
        <v>24</v>
      </c>
      <c r="B17" s="10" t="str">
        <f>VLOOKUP(A17,[7]LISTADHERENT!A$5:H$50,3,0)</f>
        <v>HENGUE PAUL OMER</v>
      </c>
      <c r="C17" s="13">
        <f>VLOOKUP(A17,[8]HISTOAVRIL24!$A$6:$BQ$40,56,0)</f>
        <v>290000</v>
      </c>
      <c r="D17" s="13" t="str">
        <f>VLOOKUP(A17,[8]HISTOAVRIL24!$A$6:$BQ$40,57,0)</f>
        <v>OK</v>
      </c>
      <c r="E17" s="13"/>
      <c r="F17" s="13"/>
      <c r="G17" s="14">
        <f t="shared" si="0"/>
        <v>0</v>
      </c>
    </row>
    <row r="18" spans="1:7" ht="17.5" x14ac:dyDescent="0.35">
      <c r="A18" s="9" t="s">
        <v>25</v>
      </c>
      <c r="B18" s="10" t="str">
        <f>VLOOKUP(A18,[7]LISTADHERENT!A$5:H$50,3,0)</f>
        <v>HOTCHO BENJAMIN</v>
      </c>
      <c r="C18" s="13">
        <f>VLOOKUP(A18,[8]HISTOAVRIL24!$A$6:$BQ$40,56,0)</f>
        <v>1185000</v>
      </c>
      <c r="D18" s="13" t="str">
        <f>VLOOKUP(A18,[8]HISTOAVRIL24!$A$6:$BQ$40,57,0)</f>
        <v>OK</v>
      </c>
      <c r="E18" s="13"/>
      <c r="F18" s="13"/>
      <c r="G18" s="14">
        <f t="shared" si="0"/>
        <v>0</v>
      </c>
    </row>
    <row r="19" spans="1:7" ht="17.5" x14ac:dyDescent="0.35">
      <c r="A19" s="9" t="s">
        <v>26</v>
      </c>
      <c r="B19" s="10" t="str">
        <f>VLOOKUP(A19,[7]LISTADHERENT!A$5:H$50,3,0)</f>
        <v>KOUAMOU MOISE</v>
      </c>
      <c r="C19" s="13">
        <f>VLOOKUP(A19,[8]HISTOAVRIL24!$A$6:$BQ$40,56,0)</f>
        <v>0</v>
      </c>
      <c r="D19" s="13">
        <f>VLOOKUP(A19,[8]HISTOAVRIL24!$A$6:$BQ$40,57,0)</f>
        <v>0</v>
      </c>
      <c r="E19" s="13"/>
      <c r="F19" s="13"/>
      <c r="G19" s="14">
        <f t="shared" si="0"/>
        <v>0</v>
      </c>
    </row>
    <row r="20" spans="1:7" ht="17.5" x14ac:dyDescent="0.35">
      <c r="A20" s="9" t="s">
        <v>27</v>
      </c>
      <c r="B20" s="10" t="str">
        <f>VLOOKUP(A20,[7]LISTADHERENT!A$5:H$50,3,0)</f>
        <v>KOUATCHO MESSACK</v>
      </c>
      <c r="C20" s="13">
        <f>VLOOKUP(A20,[8]HISTOAVRIL24!$A$6:$BQ$40,56,0)</f>
        <v>200000</v>
      </c>
      <c r="D20" s="13" t="str">
        <f>VLOOKUP(A20,[8]HISTOAVRIL24!$A$6:$BQ$40,57,0)</f>
        <v>OK</v>
      </c>
      <c r="E20" s="13"/>
      <c r="F20" s="13"/>
      <c r="G20" s="14">
        <f t="shared" si="0"/>
        <v>0</v>
      </c>
    </row>
    <row r="21" spans="1:7" ht="17.5" x14ac:dyDescent="0.35">
      <c r="A21" s="9" t="s">
        <v>28</v>
      </c>
      <c r="B21" s="10" t="str">
        <f>VLOOKUP(A21,[7]LISTADHERENT!A$5:H$50,3,0)</f>
        <v>MASSEUNGOUE DAGOBERT</v>
      </c>
      <c r="C21" s="13">
        <f>VLOOKUP(A21,[8]HISTOAVRIL24!$A$6:$BQ$40,56,0)</f>
        <v>0</v>
      </c>
      <c r="D21" s="13">
        <f>VLOOKUP(A21,[8]HISTOAVRIL24!$A$6:$BQ$40,57,0)</f>
        <v>0</v>
      </c>
      <c r="E21" s="13"/>
      <c r="F21" s="13"/>
      <c r="G21" s="14">
        <f t="shared" si="0"/>
        <v>0</v>
      </c>
    </row>
    <row r="22" spans="1:7" ht="17.5" x14ac:dyDescent="0.35">
      <c r="A22" s="9" t="s">
        <v>29</v>
      </c>
      <c r="B22" s="10" t="str">
        <f>VLOOKUP(A22,[7]LISTADHERENT!A$5:H$50,3,0)</f>
        <v>MBOGNING TUGMA GUY</v>
      </c>
      <c r="C22" s="13">
        <f>VLOOKUP(A22,[8]HISTOAVRIL24!$A$6:$BQ$40,56,0)</f>
        <v>90500</v>
      </c>
      <c r="D22" s="13" t="str">
        <f>VLOOKUP(A22,[8]HISTOAVRIL24!$A$6:$BQ$40,57,0)</f>
        <v>OK</v>
      </c>
      <c r="E22" s="13"/>
      <c r="F22" s="13"/>
      <c r="G22" s="14">
        <f t="shared" si="0"/>
        <v>0</v>
      </c>
    </row>
    <row r="23" spans="1:7" ht="17.5" x14ac:dyDescent="0.35">
      <c r="A23" s="9" t="s">
        <v>30</v>
      </c>
      <c r="B23" s="10" t="str">
        <f>VLOOKUP(A23,[7]LISTADHERENT!A$5:H$50,3,0)</f>
        <v>NANGUEN MARTIN</v>
      </c>
      <c r="C23" s="13">
        <f>VLOOKUP(A23,[8]HISTOAVRIL24!$A$6:$BQ$40,56,0)</f>
        <v>0</v>
      </c>
      <c r="D23" s="13">
        <f>VLOOKUP(A23,[8]HISTOAVRIL24!$A$6:$BQ$40,57,0)</f>
        <v>0</v>
      </c>
      <c r="E23" s="13"/>
      <c r="F23" s="13"/>
      <c r="G23" s="14">
        <f t="shared" si="0"/>
        <v>0</v>
      </c>
    </row>
    <row r="24" spans="1:7" ht="17.5" x14ac:dyDescent="0.35">
      <c r="A24" s="9" t="s">
        <v>31</v>
      </c>
      <c r="B24" s="10" t="str">
        <f>VLOOKUP(A24,[7]LISTADHERENT!A$5:H$50,3,0)</f>
        <v>NANKAM APPOLINAIRE</v>
      </c>
      <c r="C24" s="13">
        <f>VLOOKUP(A24,[8]HISTOAVRIL24!$A$6:$BQ$40,56,0)</f>
        <v>0</v>
      </c>
      <c r="D24" s="13">
        <f>VLOOKUP(A24,[8]HISTOAVRIL24!$A$6:$BQ$40,57,0)</f>
        <v>0</v>
      </c>
      <c r="E24" s="13"/>
      <c r="F24" s="13"/>
      <c r="G24" s="14">
        <f t="shared" si="0"/>
        <v>0</v>
      </c>
    </row>
    <row r="25" spans="1:7" ht="17.5" x14ac:dyDescent="0.35">
      <c r="A25" s="9" t="s">
        <v>32</v>
      </c>
      <c r="B25" s="10" t="str">
        <f>VLOOKUP(A25,[7]LISTADHERENT!A$5:H$50,3,0)</f>
        <v>NDJOMO ETIENNE</v>
      </c>
      <c r="C25" s="13">
        <f>VLOOKUP(A25,[8]HISTOAVRIL24!$A$6:$BQ$40,56,0)</f>
        <v>0</v>
      </c>
      <c r="D25" s="13">
        <f>VLOOKUP(A25,[8]HISTOAVRIL24!$A$6:$BQ$40,57,0)</f>
        <v>0</v>
      </c>
      <c r="E25" s="13"/>
      <c r="F25" s="13"/>
      <c r="G25" s="14">
        <f t="shared" si="0"/>
        <v>0</v>
      </c>
    </row>
    <row r="26" spans="1:7" ht="17.5" x14ac:dyDescent="0.35">
      <c r="A26" s="9" t="s">
        <v>33</v>
      </c>
      <c r="B26" s="10" t="str">
        <f>VLOOKUP(A26,[7]LISTADHERENT!A$5:H$50,3,0)</f>
        <v>NGONDIEP CLAUDE</v>
      </c>
      <c r="C26" s="13">
        <f>VLOOKUP(A26,[8]HISTOAVRIL24!$A$6:$BQ$40,56,0)</f>
        <v>0</v>
      </c>
      <c r="D26" s="13">
        <f>VLOOKUP(A26,[8]HISTOAVRIL24!$A$6:$BQ$40,57,0)</f>
        <v>0</v>
      </c>
      <c r="E26" s="13"/>
      <c r="F26" s="13"/>
      <c r="G26" s="14">
        <f t="shared" si="0"/>
        <v>0</v>
      </c>
    </row>
    <row r="27" spans="1:7" ht="17.5" x14ac:dyDescent="0.35">
      <c r="A27" s="9" t="s">
        <v>34</v>
      </c>
      <c r="B27" s="10" t="str">
        <f>VLOOKUP(A27,[7]LISTADHERENT!A$5:H$50,3,0)</f>
        <v>NGUIEMEGNI MATHIEU BLAISE</v>
      </c>
      <c r="C27" s="13">
        <f>VLOOKUP(A27,[8]HISTOAVRIL24!$A$6:$BQ$40,56,0)</f>
        <v>489000</v>
      </c>
      <c r="D27" s="13" t="str">
        <f>VLOOKUP(A27,[8]HISTOAVRIL24!$A$6:$BQ$40,57,0)</f>
        <v>OK</v>
      </c>
      <c r="E27" s="13"/>
      <c r="F27" s="13"/>
      <c r="G27" s="14">
        <f t="shared" si="0"/>
        <v>0</v>
      </c>
    </row>
    <row r="28" spans="1:7" ht="17.5" x14ac:dyDescent="0.35">
      <c r="A28" s="9" t="s">
        <v>35</v>
      </c>
      <c r="B28" s="10" t="str">
        <f>VLOOKUP(A28,[7]LISTADHERENT!A$5:H$50,3,0)</f>
        <v>NKAMGANG JUSTIN DEJOLIE</v>
      </c>
      <c r="C28" s="13">
        <f>VLOOKUP(A28,[8]HISTOAVRIL24!$A$6:$BQ$40,56,0)</f>
        <v>0</v>
      </c>
      <c r="D28" s="13">
        <f>VLOOKUP(A28,[8]HISTOAVRIL24!$A$6:$BQ$40,57,0)</f>
        <v>0</v>
      </c>
      <c r="E28" s="13"/>
      <c r="F28" s="13"/>
      <c r="G28" s="14">
        <f t="shared" si="0"/>
        <v>0</v>
      </c>
    </row>
    <row r="29" spans="1:7" ht="17.5" x14ac:dyDescent="0.35">
      <c r="A29" s="9" t="s">
        <v>36</v>
      </c>
      <c r="B29" s="10" t="str">
        <f>VLOOKUP(A29,[7]LISTADHERENT!A$5:H$50,3,0)</f>
        <v>NOUBE ETIENNE</v>
      </c>
      <c r="C29" s="13">
        <f>VLOOKUP(A29,[8]HISTOAVRIL24!$A$6:$BQ$40,56,0)</f>
        <v>0</v>
      </c>
      <c r="D29" s="13">
        <f>VLOOKUP(A29,[8]HISTOAVRIL24!$A$6:$BQ$40,57,0)</f>
        <v>0</v>
      </c>
      <c r="E29" s="13"/>
      <c r="F29" s="13"/>
      <c r="G29" s="14">
        <f t="shared" si="0"/>
        <v>0</v>
      </c>
    </row>
    <row r="30" spans="1:7" ht="17.5" x14ac:dyDescent="0.35">
      <c r="A30" s="9" t="s">
        <v>37</v>
      </c>
      <c r="B30" s="10" t="str">
        <f>VLOOKUP(A30,[7]LISTADHERENT!A$5:H$50,3,0)</f>
        <v>PATEGO NJOSSU GUSTAVE</v>
      </c>
      <c r="C30" s="13">
        <f>VLOOKUP(A30,[8]HISTOAVRIL24!$A$6:$BQ$40,56,0)</f>
        <v>0</v>
      </c>
      <c r="D30" s="13">
        <f>VLOOKUP(A30,[8]HISTOAVRIL24!$A$6:$BQ$40,57,0)</f>
        <v>0</v>
      </c>
      <c r="E30" s="13"/>
      <c r="F30" s="13"/>
      <c r="G30" s="14">
        <f t="shared" si="0"/>
        <v>0</v>
      </c>
    </row>
    <row r="31" spans="1:7" ht="17.5" x14ac:dyDescent="0.35">
      <c r="A31" s="9" t="s">
        <v>38</v>
      </c>
      <c r="B31" s="10" t="str">
        <f>VLOOKUP(A31,[7]LISTADHERENT!A$5:H$50,3,0)</f>
        <v>SEUMO POLYCARPE</v>
      </c>
      <c r="C31" s="13">
        <f>VLOOKUP(A31,[8]HISTOAVRIL24!$A$6:$BQ$40,56,0)</f>
        <v>0</v>
      </c>
      <c r="D31" s="13">
        <f>VLOOKUP(A31,[8]HISTOAVRIL24!$A$6:$BQ$40,57,0)</f>
        <v>0</v>
      </c>
      <c r="E31" s="13"/>
      <c r="F31" s="13"/>
      <c r="G31" s="14">
        <f t="shared" si="0"/>
        <v>0</v>
      </c>
    </row>
    <row r="32" spans="1:7" ht="17.5" x14ac:dyDescent="0.35">
      <c r="A32" s="9" t="s">
        <v>39</v>
      </c>
      <c r="B32" s="10" t="str">
        <f>VLOOKUP(A32,[7]LISTADHERENT!A$5:H$50,3,0)</f>
        <v>SIME BRICE</v>
      </c>
      <c r="C32" s="13">
        <f>VLOOKUP(A32,[8]HISTOAVRIL24!$A$6:$BQ$40,56,0)</f>
        <v>0</v>
      </c>
      <c r="D32" s="13">
        <f>VLOOKUP(A32,[8]HISTOAVRIL24!$A$6:$BQ$40,57,0)</f>
        <v>0</v>
      </c>
      <c r="E32" s="13"/>
      <c r="F32" s="13"/>
      <c r="G32" s="14">
        <f t="shared" si="0"/>
        <v>0</v>
      </c>
    </row>
    <row r="33" spans="1:7" ht="17.5" x14ac:dyDescent="0.35">
      <c r="A33" s="9" t="s">
        <v>40</v>
      </c>
      <c r="B33" s="10" t="str">
        <f>VLOOKUP(A33,[7]LISTADHERENT!A$5:H$50,3,0)</f>
        <v>SIMO PIERRE</v>
      </c>
      <c r="C33" s="13">
        <f>VLOOKUP(A33,[8]HISTOAVRIL24!$A$6:$BQ$40,56,0)</f>
        <v>1160000</v>
      </c>
      <c r="D33" s="13" t="str">
        <f>VLOOKUP(A33,[8]HISTOAVRIL24!$A$6:$BQ$40,57,0)</f>
        <v>OK</v>
      </c>
      <c r="E33" s="13"/>
      <c r="F33" s="13"/>
      <c r="G33" s="14">
        <f t="shared" si="0"/>
        <v>0</v>
      </c>
    </row>
    <row r="34" spans="1:7" ht="17.5" x14ac:dyDescent="0.35">
      <c r="A34" s="9" t="s">
        <v>41</v>
      </c>
      <c r="B34" s="10" t="str">
        <f>VLOOKUP(A34,[7]LISTADHERENT!A$5:H$50,3,0)</f>
        <v>TCHOUAMOU MATHIEU</v>
      </c>
      <c r="C34" s="13">
        <f>VLOOKUP(A34,[8]HISTOAVRIL24!$A$6:$BQ$40,56,0)</f>
        <v>1262000</v>
      </c>
      <c r="D34" s="13" t="str">
        <f>VLOOKUP(A34,[8]HISTOAVRIL24!$A$6:$BQ$40,57,0)</f>
        <v>OK</v>
      </c>
      <c r="E34" s="13"/>
      <c r="F34" s="13"/>
      <c r="G34" s="14">
        <f t="shared" si="0"/>
        <v>0</v>
      </c>
    </row>
    <row r="35" spans="1:7" ht="17.5" x14ac:dyDescent="0.35">
      <c r="A35" s="9" t="s">
        <v>42</v>
      </c>
      <c r="B35" s="10" t="str">
        <f>VLOOKUP(A35,[7]LISTADHERENT!A$5:H$50,3,0)</f>
        <v>TCHOUATEU AUGUSTIN</v>
      </c>
      <c r="C35" s="13">
        <f>VLOOKUP(A35,[8]HISTOAVRIL24!$A$6:$BQ$40,56,0)</f>
        <v>0</v>
      </c>
      <c r="D35" s="13">
        <f>VLOOKUP(A35,[8]HISTOAVRIL24!$A$6:$BQ$40,57,0)</f>
        <v>0</v>
      </c>
      <c r="E35" s="13"/>
      <c r="F35" s="13"/>
      <c r="G35" s="14">
        <f t="shared" si="0"/>
        <v>0</v>
      </c>
    </row>
    <row r="36" spans="1:7" s="3" customFormat="1" ht="17.5" x14ac:dyDescent="0.35">
      <c r="A36" s="9" t="s">
        <v>43</v>
      </c>
      <c r="B36" s="10" t="str">
        <f>VLOOKUP(A36,[7]LISTADHERENT!A$5:H$50,3,0)</f>
        <v>TCHOUTOU NANA CLAUDE</v>
      </c>
      <c r="C36" s="13">
        <f>VLOOKUP(A36,[8]HISTOAVRIL24!$A$6:$BQ$40,56,0)</f>
        <v>0</v>
      </c>
      <c r="D36" s="13">
        <f>VLOOKUP(A36,[8]HISTOAVRIL24!$A$6:$BQ$40,57,0)</f>
        <v>0</v>
      </c>
      <c r="E36" s="13"/>
      <c r="F36" s="13"/>
      <c r="G36" s="14">
        <f t="shared" si="0"/>
        <v>0</v>
      </c>
    </row>
    <row r="37" spans="1:7" ht="17.5" x14ac:dyDescent="0.35">
      <c r="A37" s="9" t="s">
        <v>44</v>
      </c>
      <c r="B37" s="10" t="str">
        <f>VLOOKUP(A37,[7]LISTADHERENT!A$5:H$50,3,0)</f>
        <v>YANTCHOU GERVAIS</v>
      </c>
      <c r="C37" s="13">
        <f>VLOOKUP(A37,[8]HISTOAVRIL24!$A$6:$BQ$40,56,0)</f>
        <v>0</v>
      </c>
      <c r="D37" s="13">
        <f>VLOOKUP(A37,[8]HISTOAVRIL24!$A$6:$BQ$40,57,0)</f>
        <v>0</v>
      </c>
      <c r="E37" s="13"/>
      <c r="F37" s="13"/>
      <c r="G37" s="14">
        <f t="shared" si="0"/>
        <v>0</v>
      </c>
    </row>
    <row r="38" spans="1:7" ht="17.5" x14ac:dyDescent="0.35">
      <c r="A38" s="9" t="s">
        <v>45</v>
      </c>
      <c r="B38" s="10" t="str">
        <f>VLOOKUP(A38,[7]LISTADHERENT!A$5:H$50,3,0)</f>
        <v>YEPMOU JEAN JACQUES</v>
      </c>
      <c r="C38" s="13">
        <f>VLOOKUP(A38,[8]HISTOAVRIL24!$A$6:$BQ$40,56,0)</f>
        <v>0</v>
      </c>
      <c r="D38" s="13">
        <f>VLOOKUP(A38,[8]HISTOAVRIL24!$A$6:$BQ$40,57,0)</f>
        <v>0</v>
      </c>
      <c r="E38" s="13"/>
      <c r="F38" s="13"/>
      <c r="G38" s="14">
        <f t="shared" si="0"/>
        <v>0</v>
      </c>
    </row>
    <row r="39" spans="1:7" ht="17.5" x14ac:dyDescent="0.35">
      <c r="A39" s="9" t="s">
        <v>46</v>
      </c>
      <c r="B39" s="10" t="str">
        <f>VLOOKUP(A39,[7]LISTADHERENT!A$5:H$50,3,0)</f>
        <v>YIALA ALAIN OSCAR</v>
      </c>
      <c r="C39" s="13">
        <f>VLOOKUP(A39,[8]HISTOAVRIL24!$A$6:$BQ$40,56,0)</f>
        <v>0</v>
      </c>
      <c r="D39" s="13">
        <f>VLOOKUP(A39,[8]HISTOAVRIL24!$A$6:$BQ$40,57,0)</f>
        <v>0</v>
      </c>
      <c r="E39" s="13"/>
      <c r="F39" s="13"/>
      <c r="G39" s="14">
        <f t="shared" si="0"/>
        <v>0</v>
      </c>
    </row>
    <row r="40" spans="1:7" ht="17.5" x14ac:dyDescent="0.35">
      <c r="A40" s="9" t="s">
        <v>47</v>
      </c>
      <c r="B40" s="10" t="str">
        <f>VLOOKUP(A40,[7]LISTADHERENT!A$5:H$50,3,0)</f>
        <v>YOUMBI EMMANUEL</v>
      </c>
      <c r="C40" s="13">
        <f>VLOOKUP(A40,[8]HISTOAVRIL24!$A$6:$BQ$40,56,0)</f>
        <v>0</v>
      </c>
      <c r="D40" s="13">
        <f>VLOOKUP(A40,[8]HISTOAVRIL24!$A$6:$BQ$40,57,0)</f>
        <v>0</v>
      </c>
      <c r="E40" s="13"/>
      <c r="F40" s="13"/>
      <c r="G40" s="14">
        <f t="shared" si="0"/>
        <v>0</v>
      </c>
    </row>
    <row r="41" spans="1:7" ht="17.5" x14ac:dyDescent="0.35">
      <c r="A41" s="9"/>
      <c r="B41" s="10"/>
      <c r="C41" s="10"/>
      <c r="D41" s="10"/>
      <c r="E41" s="13"/>
      <c r="F41" s="13"/>
      <c r="G41" s="14"/>
    </row>
    <row r="42" spans="1:7" ht="24" thickBot="1" x14ac:dyDescent="0.6">
      <c r="A42" s="15"/>
      <c r="B42" s="16" t="s">
        <v>4</v>
      </c>
      <c r="C42" s="17">
        <f>SUM(C8:C41)</f>
        <v>4899000</v>
      </c>
      <c r="D42" s="17"/>
      <c r="E42" s="17">
        <f>SUM(E9:E41)</f>
        <v>0</v>
      </c>
      <c r="F42" s="17"/>
      <c r="G42" s="18">
        <f>SUM(G9:G41)</f>
        <v>0</v>
      </c>
    </row>
    <row r="43" spans="1:7" ht="15" thickTop="1" x14ac:dyDescent="0.35"/>
    <row r="44" spans="1:7" ht="26" x14ac:dyDescent="0.6">
      <c r="B44" s="5" t="s">
        <v>11</v>
      </c>
      <c r="C44" s="4">
        <f>C42-C7</f>
        <v>0</v>
      </c>
    </row>
    <row r="46" spans="1:7" x14ac:dyDescent="0.35">
      <c r="B46" s="1" t="s">
        <v>6</v>
      </c>
      <c r="C46" s="1"/>
      <c r="D46" s="1"/>
      <c r="E46" s="1"/>
      <c r="F46" s="1"/>
    </row>
    <row r="48" spans="1:7" x14ac:dyDescent="0.35">
      <c r="B48" t="s">
        <v>8</v>
      </c>
    </row>
    <row r="49" spans="2:2" x14ac:dyDescent="0.35">
      <c r="B49" t="s">
        <v>9</v>
      </c>
    </row>
    <row r="50" spans="2:2" x14ac:dyDescent="0.35">
      <c r="B50" t="s">
        <v>10</v>
      </c>
    </row>
  </sheetData>
  <autoFilter ref="A6:F40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8A1C2-5D50-4316-BDB0-1487CA84B2CA}">
  <dimension ref="A1:G50"/>
  <sheetViews>
    <sheetView zoomScale="96" zoomScaleNormal="96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4" width="21.1796875" customWidth="1"/>
    <col min="5" max="5" width="17" bestFit="1" customWidth="1"/>
    <col min="6" max="6" width="17" customWidth="1"/>
    <col min="7" max="7" width="12.453125" bestFit="1" customWidth="1"/>
  </cols>
  <sheetData>
    <row r="1" spans="1:7" x14ac:dyDescent="0.35">
      <c r="A1" s="1" t="s">
        <v>2</v>
      </c>
      <c r="B1" s="1" t="s">
        <v>48</v>
      </c>
      <c r="C1" s="1"/>
      <c r="D1" s="1"/>
      <c r="E1" s="1"/>
      <c r="F1" s="1"/>
    </row>
    <row r="2" spans="1:7" x14ac:dyDescent="0.35">
      <c r="A2" s="1" t="s">
        <v>3</v>
      </c>
      <c r="B2" s="1">
        <v>2024</v>
      </c>
      <c r="C2" s="1"/>
      <c r="D2" s="1"/>
      <c r="E2" s="1"/>
      <c r="F2" s="1"/>
    </row>
    <row r="3" spans="1:7" x14ac:dyDescent="0.35">
      <c r="A3" s="1"/>
      <c r="B3" s="2"/>
      <c r="C3" s="2"/>
      <c r="D3" s="2"/>
      <c r="E3" s="2"/>
      <c r="F3" s="2"/>
    </row>
    <row r="4" spans="1:7" ht="15" thickBot="1" x14ac:dyDescent="0.4"/>
    <row r="5" spans="1:7" ht="68.25" customHeight="1" thickTop="1" x14ac:dyDescent="0.35">
      <c r="A5" s="6" t="s">
        <v>0</v>
      </c>
      <c r="B5" s="7" t="s">
        <v>1</v>
      </c>
      <c r="C5" s="7"/>
      <c r="D5" s="7"/>
      <c r="E5" s="7"/>
      <c r="F5" s="7"/>
      <c r="G5" s="8" t="s">
        <v>4</v>
      </c>
    </row>
    <row r="6" spans="1:7" ht="30" customHeight="1" x14ac:dyDescent="0.35">
      <c r="A6" s="9"/>
      <c r="B6" s="10"/>
      <c r="C6" s="10" t="s">
        <v>7</v>
      </c>
      <c r="D6" s="10" t="s">
        <v>5</v>
      </c>
      <c r="E6" s="11" t="s">
        <v>12</v>
      </c>
      <c r="F6" s="11" t="s">
        <v>13</v>
      </c>
      <c r="G6" s="12"/>
    </row>
    <row r="7" spans="1:7" ht="30" customHeight="1" x14ac:dyDescent="0.35">
      <c r="A7" s="9"/>
      <c r="B7" s="10" t="s">
        <v>14</v>
      </c>
      <c r="C7" s="13">
        <v>3362000</v>
      </c>
      <c r="D7" s="10"/>
      <c r="E7" s="13"/>
      <c r="F7" s="13"/>
      <c r="G7" s="12"/>
    </row>
    <row r="8" spans="1:7" ht="17.5" x14ac:dyDescent="0.35">
      <c r="A8" s="9" t="s">
        <v>15</v>
      </c>
      <c r="B8" s="10" t="str">
        <f>VLOOKUP(A8,[7]LISTADHERENT!A$5:H$50,3,0)</f>
        <v>ASELBY</v>
      </c>
      <c r="C8" s="13">
        <f>VLOOKUP(A8,[8]HISTOMAI24!$A$6:$BQ$40,56,0)</f>
        <v>100000</v>
      </c>
      <c r="D8" s="13">
        <f>VLOOKUP(A8,[8]HISTOMAI24!$A$6:$BQ$40,57,0)</f>
        <v>0</v>
      </c>
      <c r="E8" s="13">
        <f>+[9]HISTOBQUEMAI24!$H$6</f>
        <v>2385</v>
      </c>
      <c r="F8" s="13"/>
      <c r="G8" s="14">
        <f t="shared" ref="G8:G40" si="0">SUM(E8:F8)</f>
        <v>2385</v>
      </c>
    </row>
    <row r="9" spans="1:7" ht="17.5" x14ac:dyDescent="0.35">
      <c r="A9" s="9" t="s">
        <v>16</v>
      </c>
      <c r="B9" s="10" t="str">
        <f>VLOOKUP(A9,[7]LISTADHERENT!A$5:H$50,3,0)</f>
        <v>BAKOP ACHILLE</v>
      </c>
      <c r="C9" s="13">
        <f>VLOOKUP(A9,[8]HISTOMAI24!$A$6:$BQ$40,56,0)</f>
        <v>0</v>
      </c>
      <c r="D9" s="13">
        <f>VLOOKUP(A9,[8]HISTOMAI24!$A$6:$BQ$40,57,0)</f>
        <v>0</v>
      </c>
      <c r="E9" s="13"/>
      <c r="F9" s="13"/>
      <c r="G9" s="14">
        <f t="shared" si="0"/>
        <v>0</v>
      </c>
    </row>
    <row r="10" spans="1:7" s="3" customFormat="1" ht="17.5" x14ac:dyDescent="0.35">
      <c r="A10" s="9" t="s">
        <v>17</v>
      </c>
      <c r="B10" s="10" t="str">
        <f>VLOOKUP(A10,[7]LISTADHERENT!A$5:H$50,3,0)</f>
        <v>BOUTCHOUANG WILLIAM</v>
      </c>
      <c r="C10" s="13">
        <f>VLOOKUP(A10,[8]HISTOMAI24!$A$6:$BQ$40,56,0)</f>
        <v>0</v>
      </c>
      <c r="D10" s="13">
        <f>VLOOKUP(A10,[8]HISTOMAI24!$A$6:$BQ$40,57,0)</f>
        <v>0</v>
      </c>
      <c r="E10" s="13"/>
      <c r="F10" s="13"/>
      <c r="G10" s="14">
        <f t="shared" si="0"/>
        <v>0</v>
      </c>
    </row>
    <row r="11" spans="1:7" s="3" customFormat="1" ht="17.5" x14ac:dyDescent="0.35">
      <c r="A11" s="9" t="s">
        <v>18</v>
      </c>
      <c r="B11" s="10" t="str">
        <f>VLOOKUP(A11,[7]LISTADHERENT!A$5:H$50,3,0)</f>
        <v xml:space="preserve">DJOMO JEAN PAUL </v>
      </c>
      <c r="C11" s="13">
        <f>VLOOKUP(A11,[8]HISTOMAI24!$A$6:$BQ$40,56,0)</f>
        <v>0</v>
      </c>
      <c r="D11" s="13">
        <f>VLOOKUP(A11,[8]HISTOMAI24!$A$6:$BQ$40,57,0)</f>
        <v>0</v>
      </c>
      <c r="E11" s="13"/>
      <c r="F11" s="13"/>
      <c r="G11" s="14">
        <f t="shared" si="0"/>
        <v>0</v>
      </c>
    </row>
    <row r="12" spans="1:7" ht="17.5" x14ac:dyDescent="0.35">
      <c r="A12" s="9" t="s">
        <v>19</v>
      </c>
      <c r="B12" s="10" t="str">
        <f>VLOOKUP(A12,[7]LISTADHERENT!A$5:H$50,3,0)</f>
        <v>DJOMOU TCHAPDA</v>
      </c>
      <c r="C12" s="13">
        <f>VLOOKUP(A12,[8]HISTOMAI24!$A$6:$BQ$40,56,0)</f>
        <v>0</v>
      </c>
      <c r="D12" s="13">
        <f>VLOOKUP(A12,[8]HISTOMAI24!$A$6:$BQ$40,57,0)</f>
        <v>0</v>
      </c>
      <c r="E12" s="13"/>
      <c r="F12" s="13"/>
      <c r="G12" s="14">
        <f t="shared" si="0"/>
        <v>0</v>
      </c>
    </row>
    <row r="13" spans="1:7" ht="17.5" x14ac:dyDescent="0.35">
      <c r="A13" s="9" t="s">
        <v>20</v>
      </c>
      <c r="B13" s="10" t="str">
        <f>VLOOKUP(A13,[7]LISTADHERENT!A$5:H$50,3,0)</f>
        <v>DJOUKWE NANGUEN GUY BLAISE</v>
      </c>
      <c r="C13" s="13">
        <f>VLOOKUP(A13,[8]HISTOMAI24!$A$6:$BQ$40,56,0)</f>
        <v>0</v>
      </c>
      <c r="D13" s="13">
        <f>VLOOKUP(A13,[8]HISTOMAI24!$A$6:$BQ$40,57,0)</f>
        <v>0</v>
      </c>
      <c r="E13" s="13"/>
      <c r="F13" s="13"/>
      <c r="G13" s="14">
        <f t="shared" si="0"/>
        <v>0</v>
      </c>
    </row>
    <row r="14" spans="1:7" ht="17.5" x14ac:dyDescent="0.35">
      <c r="A14" s="9" t="s">
        <v>21</v>
      </c>
      <c r="B14" s="10" t="str">
        <f>VLOOKUP(A14,[7]LISTADHERENT!A$5:H$50,3,0)</f>
        <v>DJUOMBESSY ANTOINE</v>
      </c>
      <c r="C14" s="13">
        <f>VLOOKUP(A14,[8]HISTOMAI24!$A$6:$BQ$40,56,0)</f>
        <v>1190000</v>
      </c>
      <c r="D14" s="13" t="str">
        <f>VLOOKUP(A14,[8]HISTOMAI24!$A$6:$BQ$40,57,0)</f>
        <v>OK</v>
      </c>
      <c r="E14" s="13"/>
      <c r="F14" s="13"/>
      <c r="G14" s="14">
        <f t="shared" si="0"/>
        <v>0</v>
      </c>
    </row>
    <row r="15" spans="1:7" s="3" customFormat="1" ht="17.5" x14ac:dyDescent="0.35">
      <c r="A15" s="9" t="s">
        <v>22</v>
      </c>
      <c r="B15" s="10" t="str">
        <f>VLOOKUP(A15,[7]LISTADHERENT!A$5:H$50,3,0)</f>
        <v>DOMOU FABIEN</v>
      </c>
      <c r="C15" s="13">
        <f>VLOOKUP(A15,[8]HISTOMAI24!$A$6:$BQ$40,56,0)</f>
        <v>0</v>
      </c>
      <c r="D15" s="13">
        <f>VLOOKUP(A15,[8]HISTOMAI24!$A$6:$BQ$40,57,0)</f>
        <v>0</v>
      </c>
      <c r="E15" s="13"/>
      <c r="F15" s="13"/>
      <c r="G15" s="14">
        <f t="shared" si="0"/>
        <v>0</v>
      </c>
    </row>
    <row r="16" spans="1:7" ht="17.5" x14ac:dyDescent="0.35">
      <c r="A16" s="9" t="s">
        <v>23</v>
      </c>
      <c r="B16" s="10" t="str">
        <f>VLOOKUP(A16,[7]LISTADHERENT!A$5:H$50,3,0)</f>
        <v>DONHOU DAVID</v>
      </c>
      <c r="C16" s="13">
        <f>VLOOKUP(A16,[8]HISTOMAI24!$A$6:$BQ$40,56,0)</f>
        <v>0</v>
      </c>
      <c r="D16" s="13">
        <f>VLOOKUP(A16,[8]HISTOMAI24!$A$6:$BQ$40,57,0)</f>
        <v>0</v>
      </c>
      <c r="E16" s="13"/>
      <c r="F16" s="13"/>
      <c r="G16" s="14">
        <f t="shared" si="0"/>
        <v>0</v>
      </c>
    </row>
    <row r="17" spans="1:7" ht="17.5" x14ac:dyDescent="0.35">
      <c r="A17" s="9" t="s">
        <v>24</v>
      </c>
      <c r="B17" s="10" t="str">
        <f>VLOOKUP(A17,[7]LISTADHERENT!A$5:H$50,3,0)</f>
        <v>HENGUE PAUL OMER</v>
      </c>
      <c r="C17" s="13">
        <f>VLOOKUP(A17,[8]HISTOMAI24!$A$6:$BQ$40,56,0)</f>
        <v>930000</v>
      </c>
      <c r="D17" s="13" t="str">
        <f>VLOOKUP(A17,[8]HISTOMAI24!$A$6:$BQ$40,57,0)</f>
        <v>OK</v>
      </c>
      <c r="E17" s="13"/>
      <c r="F17" s="13"/>
      <c r="G17" s="14">
        <f t="shared" si="0"/>
        <v>0</v>
      </c>
    </row>
    <row r="18" spans="1:7" ht="17.5" x14ac:dyDescent="0.35">
      <c r="A18" s="9" t="s">
        <v>25</v>
      </c>
      <c r="B18" s="10" t="str">
        <f>VLOOKUP(A18,[7]LISTADHERENT!A$5:H$50,3,0)</f>
        <v>HOTCHO BENJAMIN</v>
      </c>
      <c r="C18" s="13">
        <f>VLOOKUP(A18,[8]HISTOMAI24!$A$6:$BQ$40,56,0)</f>
        <v>0</v>
      </c>
      <c r="D18" s="13">
        <f>VLOOKUP(A18,[8]HISTOMAI24!$A$6:$BQ$40,57,0)</f>
        <v>0</v>
      </c>
      <c r="E18" s="13"/>
      <c r="F18" s="13"/>
      <c r="G18" s="14">
        <f t="shared" si="0"/>
        <v>0</v>
      </c>
    </row>
    <row r="19" spans="1:7" ht="17.5" x14ac:dyDescent="0.35">
      <c r="A19" s="9" t="s">
        <v>26</v>
      </c>
      <c r="B19" s="10" t="str">
        <f>VLOOKUP(A19,[7]LISTADHERENT!A$5:H$50,3,0)</f>
        <v>KOUAMOU MOISE</v>
      </c>
      <c r="C19" s="13">
        <f>VLOOKUP(A19,[8]HISTOMAI24!$A$6:$BQ$40,56,0)</f>
        <v>0</v>
      </c>
      <c r="D19" s="13">
        <f>VLOOKUP(A19,[8]HISTOMAI24!$A$6:$BQ$40,57,0)</f>
        <v>0</v>
      </c>
      <c r="E19" s="13"/>
      <c r="F19" s="13"/>
      <c r="G19" s="14">
        <f t="shared" si="0"/>
        <v>0</v>
      </c>
    </row>
    <row r="20" spans="1:7" ht="17.5" x14ac:dyDescent="0.35">
      <c r="A20" s="9" t="s">
        <v>27</v>
      </c>
      <c r="B20" s="10" t="str">
        <f>VLOOKUP(A20,[7]LISTADHERENT!A$5:H$50,3,0)</f>
        <v>KOUATCHO MESSACK</v>
      </c>
      <c r="C20" s="13">
        <f>VLOOKUP(A20,[8]HISTOMAI24!$A$6:$BQ$40,56,0)</f>
        <v>0</v>
      </c>
      <c r="D20" s="13">
        <f>VLOOKUP(A20,[8]HISTOMAI24!$A$6:$BQ$40,57,0)</f>
        <v>0</v>
      </c>
      <c r="E20" s="13"/>
      <c r="F20" s="13"/>
      <c r="G20" s="14">
        <f t="shared" si="0"/>
        <v>0</v>
      </c>
    </row>
    <row r="21" spans="1:7" ht="17.5" x14ac:dyDescent="0.35">
      <c r="A21" s="9" t="s">
        <v>28</v>
      </c>
      <c r="B21" s="10" t="str">
        <f>VLOOKUP(A21,[7]LISTADHERENT!A$5:H$50,3,0)</f>
        <v>MASSEUNGOUE DAGOBERT</v>
      </c>
      <c r="C21" s="13">
        <f>VLOOKUP(A21,[8]HISTOMAI24!$A$6:$BQ$40,56,0)</f>
        <v>0</v>
      </c>
      <c r="D21" s="13">
        <f>VLOOKUP(A21,[8]HISTOMAI24!$A$6:$BQ$40,57,0)</f>
        <v>0</v>
      </c>
      <c r="E21" s="13"/>
      <c r="F21" s="13"/>
      <c r="G21" s="14">
        <f t="shared" si="0"/>
        <v>0</v>
      </c>
    </row>
    <row r="22" spans="1:7" ht="17.5" x14ac:dyDescent="0.35">
      <c r="A22" s="9" t="s">
        <v>29</v>
      </c>
      <c r="B22" s="10" t="str">
        <f>VLOOKUP(A22,[7]LISTADHERENT!A$5:H$50,3,0)</f>
        <v>MBOGNING TUGMA GUY</v>
      </c>
      <c r="C22" s="13">
        <f>VLOOKUP(A22,[8]HISTOMAI24!$A$6:$BQ$40,56,0)</f>
        <v>0</v>
      </c>
      <c r="D22" s="13">
        <f>VLOOKUP(A22,[8]HISTOMAI24!$A$6:$BQ$40,57,0)</f>
        <v>0</v>
      </c>
      <c r="E22" s="13"/>
      <c r="F22" s="13"/>
      <c r="G22" s="14">
        <f t="shared" si="0"/>
        <v>0</v>
      </c>
    </row>
    <row r="23" spans="1:7" ht="17.5" x14ac:dyDescent="0.35">
      <c r="A23" s="9" t="s">
        <v>30</v>
      </c>
      <c r="B23" s="10" t="str">
        <f>VLOOKUP(A23,[7]LISTADHERENT!A$5:H$50,3,0)</f>
        <v>NANGUEN MARTIN</v>
      </c>
      <c r="C23" s="13">
        <f>VLOOKUP(A23,[8]HISTOMAI24!$A$6:$BQ$40,56,0)</f>
        <v>0</v>
      </c>
      <c r="D23" s="13">
        <f>VLOOKUP(A23,[8]HISTOMAI24!$A$6:$BQ$40,57,0)</f>
        <v>0</v>
      </c>
      <c r="E23" s="13"/>
      <c r="F23" s="13"/>
      <c r="G23" s="14">
        <f t="shared" si="0"/>
        <v>0</v>
      </c>
    </row>
    <row r="24" spans="1:7" ht="17.5" x14ac:dyDescent="0.35">
      <c r="A24" s="9" t="s">
        <v>31</v>
      </c>
      <c r="B24" s="10" t="str">
        <f>VLOOKUP(A24,[7]LISTADHERENT!A$5:H$50,3,0)</f>
        <v>NANKAM APPOLINAIRE</v>
      </c>
      <c r="C24" s="13">
        <f>VLOOKUP(A24,[8]HISTOMAI24!$A$6:$BQ$40,56,0)</f>
        <v>0</v>
      </c>
      <c r="D24" s="13">
        <f>VLOOKUP(A24,[8]HISTOMAI24!$A$6:$BQ$40,57,0)</f>
        <v>0</v>
      </c>
      <c r="E24" s="13"/>
      <c r="F24" s="13"/>
      <c r="G24" s="14">
        <f t="shared" si="0"/>
        <v>0</v>
      </c>
    </row>
    <row r="25" spans="1:7" ht="17.5" x14ac:dyDescent="0.35">
      <c r="A25" s="9" t="s">
        <v>32</v>
      </c>
      <c r="B25" s="10" t="str">
        <f>VLOOKUP(A25,[7]LISTADHERENT!A$5:H$50,3,0)</f>
        <v>NDJOMO ETIENNE</v>
      </c>
      <c r="C25" s="13">
        <f>VLOOKUP(A25,[8]HISTOMAI24!$A$6:$BQ$40,56,0)</f>
        <v>0</v>
      </c>
      <c r="D25" s="13" t="str">
        <f>VLOOKUP(A25,[8]HISTOMAI24!$A$6:$BQ$40,57,0)</f>
        <v>OK</v>
      </c>
      <c r="E25" s="13"/>
      <c r="F25" s="13"/>
      <c r="G25" s="14">
        <f t="shared" si="0"/>
        <v>0</v>
      </c>
    </row>
    <row r="26" spans="1:7" ht="17.5" x14ac:dyDescent="0.35">
      <c r="A26" s="9" t="s">
        <v>33</v>
      </c>
      <c r="B26" s="10" t="str">
        <f>VLOOKUP(A26,[7]LISTADHERENT!A$5:H$50,3,0)</f>
        <v>NGONDIEP CLAUDE</v>
      </c>
      <c r="C26" s="13">
        <f>VLOOKUP(A26,[8]HISTOMAI24!$A$6:$BQ$40,56,0)</f>
        <v>0</v>
      </c>
      <c r="D26" s="13">
        <f>VLOOKUP(A26,[8]HISTOMAI24!$A$6:$BQ$40,57,0)</f>
        <v>0</v>
      </c>
      <c r="E26" s="13"/>
      <c r="F26" s="13"/>
      <c r="G26" s="14">
        <f t="shared" si="0"/>
        <v>0</v>
      </c>
    </row>
    <row r="27" spans="1:7" ht="17.5" x14ac:dyDescent="0.35">
      <c r="A27" s="9" t="s">
        <v>34</v>
      </c>
      <c r="B27" s="10" t="str">
        <f>VLOOKUP(A27,[7]LISTADHERENT!A$5:H$50,3,0)</f>
        <v>NGUIEMEGNI MATHIEU BLAISE</v>
      </c>
      <c r="C27" s="13">
        <f>VLOOKUP(A27,[8]HISTOMAI24!$A$6:$BQ$40,56,0)</f>
        <v>875000</v>
      </c>
      <c r="D27" s="13" t="str">
        <f>VLOOKUP(A27,[8]HISTOMAI24!$A$6:$BQ$40,57,0)</f>
        <v>OK</v>
      </c>
      <c r="E27" s="13"/>
      <c r="F27" s="13"/>
      <c r="G27" s="14">
        <f t="shared" si="0"/>
        <v>0</v>
      </c>
    </row>
    <row r="28" spans="1:7" ht="17.5" x14ac:dyDescent="0.35">
      <c r="A28" s="9" t="s">
        <v>35</v>
      </c>
      <c r="B28" s="10" t="str">
        <f>VLOOKUP(A28,[7]LISTADHERENT!A$5:H$50,3,0)</f>
        <v>NKAMGANG JUSTIN DEJOLIE</v>
      </c>
      <c r="C28" s="13">
        <f>VLOOKUP(A28,[8]HISTOMAI24!$A$6:$BQ$40,56,0)</f>
        <v>0</v>
      </c>
      <c r="D28" s="13">
        <f>VLOOKUP(A28,[8]HISTOMAI24!$A$6:$BQ$40,57,0)</f>
        <v>0</v>
      </c>
      <c r="E28" s="13"/>
      <c r="F28" s="13"/>
      <c r="G28" s="14">
        <f t="shared" si="0"/>
        <v>0</v>
      </c>
    </row>
    <row r="29" spans="1:7" ht="17.5" x14ac:dyDescent="0.35">
      <c r="A29" s="9" t="s">
        <v>36</v>
      </c>
      <c r="B29" s="10" t="str">
        <f>VLOOKUP(A29,[7]LISTADHERENT!A$5:H$50,3,0)</f>
        <v>NOUBE ETIENNE</v>
      </c>
      <c r="C29" s="13">
        <f>VLOOKUP(A29,[8]HISTOMAI24!$A$6:$BQ$40,56,0)</f>
        <v>0</v>
      </c>
      <c r="D29" s="13">
        <f>VLOOKUP(A29,[8]HISTOMAI24!$A$6:$BQ$40,57,0)</f>
        <v>0</v>
      </c>
      <c r="E29" s="13"/>
      <c r="F29" s="13"/>
      <c r="G29" s="14">
        <f t="shared" si="0"/>
        <v>0</v>
      </c>
    </row>
    <row r="30" spans="1:7" ht="17.5" x14ac:dyDescent="0.35">
      <c r="A30" s="9" t="s">
        <v>37</v>
      </c>
      <c r="B30" s="10" t="str">
        <f>VLOOKUP(A30,[7]LISTADHERENT!A$5:H$50,3,0)</f>
        <v>PATEGO NJOSSU GUSTAVE</v>
      </c>
      <c r="C30" s="13">
        <f>VLOOKUP(A30,[8]HISTOMAI24!$A$6:$BQ$40,56,0)</f>
        <v>0</v>
      </c>
      <c r="D30" s="13">
        <f>VLOOKUP(A30,[8]HISTOMAI24!$A$6:$BQ$40,57,0)</f>
        <v>0</v>
      </c>
      <c r="E30" s="13"/>
      <c r="F30" s="13"/>
      <c r="G30" s="14">
        <f t="shared" si="0"/>
        <v>0</v>
      </c>
    </row>
    <row r="31" spans="1:7" ht="17.5" x14ac:dyDescent="0.35">
      <c r="A31" s="9" t="s">
        <v>38</v>
      </c>
      <c r="B31" s="10" t="str">
        <f>VLOOKUP(A31,[7]LISTADHERENT!A$5:H$50,3,0)</f>
        <v>SEUMO POLYCARPE</v>
      </c>
      <c r="C31" s="13">
        <f>VLOOKUP(A31,[8]HISTOMAI24!$A$6:$BQ$40,56,0)</f>
        <v>0</v>
      </c>
      <c r="D31" s="13">
        <f>VLOOKUP(A31,[8]HISTOMAI24!$A$6:$BQ$40,57,0)</f>
        <v>0</v>
      </c>
      <c r="E31" s="13"/>
      <c r="F31" s="13"/>
      <c r="G31" s="14">
        <f t="shared" si="0"/>
        <v>0</v>
      </c>
    </row>
    <row r="32" spans="1:7" ht="17.5" x14ac:dyDescent="0.35">
      <c r="A32" s="9" t="s">
        <v>39</v>
      </c>
      <c r="B32" s="10" t="str">
        <f>VLOOKUP(A32,[7]LISTADHERENT!A$5:H$50,3,0)</f>
        <v>SIME BRICE</v>
      </c>
      <c r="C32" s="13">
        <f>VLOOKUP(A32,[8]HISTOMAI24!$A$6:$BQ$40,56,0)</f>
        <v>0</v>
      </c>
      <c r="D32" s="13">
        <f>VLOOKUP(A32,[8]HISTOMAI24!$A$6:$BQ$40,57,0)</f>
        <v>0</v>
      </c>
      <c r="E32" s="13"/>
      <c r="F32" s="13"/>
      <c r="G32" s="14">
        <f t="shared" si="0"/>
        <v>0</v>
      </c>
    </row>
    <row r="33" spans="1:7" ht="17.5" x14ac:dyDescent="0.35">
      <c r="A33" s="9" t="s">
        <v>40</v>
      </c>
      <c r="B33" s="10" t="str">
        <f>VLOOKUP(A33,[7]LISTADHERENT!A$5:H$50,3,0)</f>
        <v>SIMO PIERRE</v>
      </c>
      <c r="C33" s="13">
        <f>VLOOKUP(A33,[8]HISTOMAI24!$A$6:$BQ$40,56,0)</f>
        <v>267000</v>
      </c>
      <c r="D33" s="13" t="str">
        <f>VLOOKUP(A33,[8]HISTOMAI24!$A$6:$BQ$40,57,0)</f>
        <v>OK</v>
      </c>
      <c r="E33" s="13"/>
      <c r="F33" s="13"/>
      <c r="G33" s="14">
        <f t="shared" si="0"/>
        <v>0</v>
      </c>
    </row>
    <row r="34" spans="1:7" ht="17.5" x14ac:dyDescent="0.35">
      <c r="A34" s="9" t="s">
        <v>41</v>
      </c>
      <c r="B34" s="10" t="str">
        <f>VLOOKUP(A34,[7]LISTADHERENT!A$5:H$50,3,0)</f>
        <v>TCHOUAMOU MATHIEU</v>
      </c>
      <c r="C34" s="13">
        <f>VLOOKUP(A34,[8]HISTOMAI24!$A$6:$BQ$40,56,0)</f>
        <v>0</v>
      </c>
      <c r="D34" s="13">
        <f>VLOOKUP(A34,[8]HISTOMAI24!$A$6:$BQ$40,57,0)</f>
        <v>0</v>
      </c>
      <c r="E34" s="13"/>
      <c r="F34" s="13"/>
      <c r="G34" s="14">
        <f t="shared" si="0"/>
        <v>0</v>
      </c>
    </row>
    <row r="35" spans="1:7" ht="17.5" x14ac:dyDescent="0.35">
      <c r="A35" s="9" t="s">
        <v>42</v>
      </c>
      <c r="B35" s="10" t="str">
        <f>VLOOKUP(A35,[7]LISTADHERENT!A$5:H$50,3,0)</f>
        <v>TCHOUATEU AUGUSTIN</v>
      </c>
      <c r="C35" s="13">
        <f>VLOOKUP(A35,[8]HISTOMAI24!$A$6:$BQ$40,56,0)</f>
        <v>0</v>
      </c>
      <c r="D35" s="13">
        <f>VLOOKUP(A35,[8]HISTOMAI24!$A$6:$BQ$40,57,0)</f>
        <v>0</v>
      </c>
      <c r="E35" s="13"/>
      <c r="F35" s="13"/>
      <c r="G35" s="14">
        <f t="shared" si="0"/>
        <v>0</v>
      </c>
    </row>
    <row r="36" spans="1:7" s="3" customFormat="1" ht="17.5" x14ac:dyDescent="0.35">
      <c r="A36" s="9" t="s">
        <v>43</v>
      </c>
      <c r="B36" s="10" t="str">
        <f>VLOOKUP(A36,[7]LISTADHERENT!A$5:H$50,3,0)</f>
        <v>TCHOUTOU NANA CLAUDE</v>
      </c>
      <c r="C36" s="13">
        <f>VLOOKUP(A36,[8]HISTOMAI24!$A$6:$BQ$40,56,0)</f>
        <v>0</v>
      </c>
      <c r="D36" s="13">
        <f>VLOOKUP(A36,[8]HISTOMAI24!$A$6:$BQ$40,57,0)</f>
        <v>0</v>
      </c>
      <c r="E36" s="13"/>
      <c r="F36" s="13"/>
      <c r="G36" s="14">
        <f t="shared" si="0"/>
        <v>0</v>
      </c>
    </row>
    <row r="37" spans="1:7" ht="17.5" x14ac:dyDescent="0.35">
      <c r="A37" s="9" t="s">
        <v>44</v>
      </c>
      <c r="B37" s="10" t="str">
        <f>VLOOKUP(A37,[7]LISTADHERENT!A$5:H$50,3,0)</f>
        <v>YANTCHOU GERVAIS</v>
      </c>
      <c r="C37" s="13">
        <f>VLOOKUP(A37,[8]HISTOMAI24!$A$6:$BQ$40,56,0)</f>
        <v>0</v>
      </c>
      <c r="D37" s="13">
        <f>VLOOKUP(A37,[8]HISTOMAI24!$A$6:$BQ$40,57,0)</f>
        <v>0</v>
      </c>
      <c r="E37" s="13"/>
      <c r="F37" s="13"/>
      <c r="G37" s="14">
        <f t="shared" si="0"/>
        <v>0</v>
      </c>
    </row>
    <row r="38" spans="1:7" ht="17.5" x14ac:dyDescent="0.35">
      <c r="A38" s="9" t="s">
        <v>45</v>
      </c>
      <c r="B38" s="10" t="str">
        <f>VLOOKUP(A38,[7]LISTADHERENT!A$5:H$50,3,0)</f>
        <v>YEPMOU JEAN JACQUES</v>
      </c>
      <c r="C38" s="13">
        <f>VLOOKUP(A38,[8]HISTOMAI24!$A$6:$BQ$40,56,0)</f>
        <v>0</v>
      </c>
      <c r="D38" s="13">
        <f>VLOOKUP(A38,[8]HISTOMAI24!$A$6:$BQ$40,57,0)</f>
        <v>0</v>
      </c>
      <c r="E38" s="13"/>
      <c r="F38" s="13"/>
      <c r="G38" s="14">
        <f t="shared" si="0"/>
        <v>0</v>
      </c>
    </row>
    <row r="39" spans="1:7" ht="17.5" x14ac:dyDescent="0.35">
      <c r="A39" s="9" t="s">
        <v>46</v>
      </c>
      <c r="B39" s="10" t="str">
        <f>VLOOKUP(A39,[7]LISTADHERENT!A$5:H$50,3,0)</f>
        <v>YIALA ALAIN OSCAR</v>
      </c>
      <c r="C39" s="13">
        <f>VLOOKUP(A39,[8]HISTOMAI24!$A$6:$BQ$40,56,0)</f>
        <v>0</v>
      </c>
      <c r="D39" s="13">
        <f>VLOOKUP(A39,[8]HISTOMAI24!$A$6:$BQ$40,57,0)</f>
        <v>0</v>
      </c>
      <c r="E39" s="13"/>
      <c r="F39" s="13"/>
      <c r="G39" s="14">
        <f t="shared" si="0"/>
        <v>0</v>
      </c>
    </row>
    <row r="40" spans="1:7" ht="17.5" x14ac:dyDescent="0.35">
      <c r="A40" s="9" t="s">
        <v>47</v>
      </c>
      <c r="B40" s="10" t="str">
        <f>VLOOKUP(A40,[7]LISTADHERENT!A$5:H$50,3,0)</f>
        <v>YOUMBI EMMANUEL</v>
      </c>
      <c r="C40" s="13">
        <f>VLOOKUP(A40,[8]HISTOMAI24!$A$6:$BQ$40,56,0)</f>
        <v>0</v>
      </c>
      <c r="D40" s="13">
        <f>VLOOKUP(A40,[8]HISTOMAI24!$A$6:$BQ$40,57,0)</f>
        <v>0</v>
      </c>
      <c r="E40" s="13"/>
      <c r="F40" s="13"/>
      <c r="G40" s="14">
        <f t="shared" si="0"/>
        <v>0</v>
      </c>
    </row>
    <row r="41" spans="1:7" ht="17.5" x14ac:dyDescent="0.35">
      <c r="A41" s="9"/>
      <c r="B41" s="10"/>
      <c r="C41" s="10"/>
      <c r="D41" s="10"/>
      <c r="E41" s="13"/>
      <c r="F41" s="13"/>
      <c r="G41" s="14"/>
    </row>
    <row r="42" spans="1:7" ht="24" thickBot="1" x14ac:dyDescent="0.6">
      <c r="A42" s="15"/>
      <c r="B42" s="16" t="s">
        <v>4</v>
      </c>
      <c r="C42" s="17">
        <f>SUM(C8:C41)</f>
        <v>3362000</v>
      </c>
      <c r="D42" s="17"/>
      <c r="E42" s="17">
        <f>SUM(E9:E41)</f>
        <v>0</v>
      </c>
      <c r="F42" s="17"/>
      <c r="G42" s="18">
        <f>SUM(G9:G41)</f>
        <v>0</v>
      </c>
    </row>
    <row r="43" spans="1:7" ht="15" thickTop="1" x14ac:dyDescent="0.35"/>
    <row r="44" spans="1:7" ht="26" x14ac:dyDescent="0.6">
      <c r="B44" s="5" t="s">
        <v>11</v>
      </c>
      <c r="C44" s="4">
        <f>C42-C7</f>
        <v>0</v>
      </c>
    </row>
    <row r="46" spans="1:7" x14ac:dyDescent="0.35">
      <c r="B46" s="1" t="s">
        <v>6</v>
      </c>
      <c r="C46" s="1"/>
      <c r="D46" s="1"/>
      <c r="E46" s="1"/>
      <c r="F46" s="1"/>
    </row>
    <row r="48" spans="1:7" x14ac:dyDescent="0.35">
      <c r="B48" t="s">
        <v>8</v>
      </c>
    </row>
    <row r="49" spans="2:2" x14ac:dyDescent="0.35">
      <c r="B49" t="s">
        <v>9</v>
      </c>
    </row>
    <row r="50" spans="2:2" x14ac:dyDescent="0.35">
      <c r="B50" t="s">
        <v>10</v>
      </c>
    </row>
  </sheetData>
  <autoFilter ref="A6:F40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6DC5-411F-426F-A286-D888FA174824}">
  <dimension ref="A1:G50"/>
  <sheetViews>
    <sheetView zoomScale="96" zoomScaleNormal="96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10" sqref="C10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4" width="21.1796875" customWidth="1"/>
    <col min="5" max="5" width="17" bestFit="1" customWidth="1"/>
    <col min="6" max="6" width="17" customWidth="1"/>
    <col min="7" max="7" width="12.453125" bestFit="1" customWidth="1"/>
  </cols>
  <sheetData>
    <row r="1" spans="1:7" x14ac:dyDescent="0.35">
      <c r="A1" s="1" t="s">
        <v>2</v>
      </c>
      <c r="B1" s="1" t="s">
        <v>48</v>
      </c>
      <c r="C1" s="1"/>
      <c r="D1" s="1"/>
      <c r="E1" s="1"/>
      <c r="F1" s="1"/>
    </row>
    <row r="2" spans="1:7" x14ac:dyDescent="0.35">
      <c r="A2" s="1" t="s">
        <v>3</v>
      </c>
      <c r="B2" s="1">
        <v>2024</v>
      </c>
      <c r="C2" s="1"/>
      <c r="D2" s="1"/>
      <c r="E2" s="1"/>
      <c r="F2" s="1"/>
    </row>
    <row r="3" spans="1:7" x14ac:dyDescent="0.35">
      <c r="A3" s="1"/>
      <c r="B3" s="2"/>
      <c r="C3" s="2"/>
      <c r="D3" s="2"/>
      <c r="E3" s="2"/>
      <c r="F3" s="2"/>
    </row>
    <row r="4" spans="1:7" ht="15" thickBot="1" x14ac:dyDescent="0.4"/>
    <row r="5" spans="1:7" ht="68.25" customHeight="1" thickTop="1" x14ac:dyDescent="0.35">
      <c r="A5" s="6" t="s">
        <v>0</v>
      </c>
      <c r="B5" s="7" t="s">
        <v>1</v>
      </c>
      <c r="C5" s="7"/>
      <c r="D5" s="7"/>
      <c r="E5" s="7"/>
      <c r="F5" s="7"/>
      <c r="G5" s="8" t="s">
        <v>4</v>
      </c>
    </row>
    <row r="6" spans="1:7" ht="30" customHeight="1" x14ac:dyDescent="0.35">
      <c r="A6" s="9"/>
      <c r="B6" s="10"/>
      <c r="C6" s="10" t="s">
        <v>7</v>
      </c>
      <c r="D6" s="10" t="s">
        <v>5</v>
      </c>
      <c r="E6" s="11" t="s">
        <v>12</v>
      </c>
      <c r="F6" s="11" t="s">
        <v>13</v>
      </c>
      <c r="G6" s="12"/>
    </row>
    <row r="7" spans="1:7" ht="30" customHeight="1" x14ac:dyDescent="0.35">
      <c r="A7" s="9"/>
      <c r="B7" s="10" t="s">
        <v>14</v>
      </c>
      <c r="C7" s="13">
        <v>7633000</v>
      </c>
      <c r="D7" s="10"/>
      <c r="E7" s="13"/>
      <c r="F7" s="13"/>
      <c r="G7" s="12"/>
    </row>
    <row r="8" spans="1:7" ht="17.5" x14ac:dyDescent="0.35">
      <c r="A8" s="9" t="s">
        <v>15</v>
      </c>
      <c r="B8" s="10" t="str">
        <f>VLOOKUP(A8,[7]LISTADHERENT!A$5:H$50,3,0)</f>
        <v>ASELBY</v>
      </c>
      <c r="C8" s="13">
        <f>VLOOKUP(A8,[8]HISTOJUIN24!$A$6:$BQ$40,56,0)</f>
        <v>6000</v>
      </c>
      <c r="D8" s="13" t="str">
        <f>VLOOKUP(A8,[8]HISTOJUIN24!$A$6:$BQ$40,57,0)</f>
        <v>OK</v>
      </c>
      <c r="E8" s="13">
        <f>+[9]HISTOBQUEJUIN24!$H$6</f>
        <v>0</v>
      </c>
      <c r="F8" s="13"/>
      <c r="G8" s="14">
        <f t="shared" ref="G8:G40" si="0">SUM(E8:F8)</f>
        <v>0</v>
      </c>
    </row>
    <row r="9" spans="1:7" ht="17.5" x14ac:dyDescent="0.35">
      <c r="A9" s="9" t="s">
        <v>16</v>
      </c>
      <c r="B9" s="10" t="str">
        <f>VLOOKUP(A9,[7]LISTADHERENT!A$5:H$50,3,0)</f>
        <v>BAKOP ACHILLE</v>
      </c>
      <c r="C9" s="13">
        <f>VLOOKUP(A9,[8]HISTOJUIN24!$A$6:$BQ$40,56,0)</f>
        <v>0</v>
      </c>
      <c r="D9" s="13">
        <f>VLOOKUP(A9,[8]HISTOJUIN24!$A$6:$BQ$40,57,0)</f>
        <v>0</v>
      </c>
      <c r="E9" s="13"/>
      <c r="F9" s="13"/>
      <c r="G9" s="14">
        <f t="shared" si="0"/>
        <v>0</v>
      </c>
    </row>
    <row r="10" spans="1:7" s="3" customFormat="1" ht="17.5" x14ac:dyDescent="0.35">
      <c r="A10" s="9" t="s">
        <v>17</v>
      </c>
      <c r="B10" s="10" t="str">
        <f>VLOOKUP(A10,[7]LISTADHERENT!A$5:H$50,3,0)</f>
        <v>BOUTCHOUANG WILLIAM</v>
      </c>
      <c r="C10" s="13">
        <f>VLOOKUP(A10,[8]HISTOJUIN24!$A$6:$BQ$40,56,0)</f>
        <v>0</v>
      </c>
      <c r="D10" s="13">
        <f>VLOOKUP(A10,[8]HISTOJUIN24!$A$6:$BQ$40,57,0)</f>
        <v>0</v>
      </c>
      <c r="E10" s="13"/>
      <c r="F10" s="13"/>
      <c r="G10" s="14">
        <f t="shared" si="0"/>
        <v>0</v>
      </c>
    </row>
    <row r="11" spans="1:7" s="3" customFormat="1" ht="17.5" x14ac:dyDescent="0.35">
      <c r="A11" s="9" t="s">
        <v>18</v>
      </c>
      <c r="B11" s="10" t="str">
        <f>VLOOKUP(A11,[7]LISTADHERENT!A$5:H$50,3,0)</f>
        <v xml:space="preserve">DJOMO JEAN PAUL </v>
      </c>
      <c r="C11" s="13">
        <f>VLOOKUP(A11,[8]HISTOJUIN24!$A$6:$BQ$40,56,0)</f>
        <v>0</v>
      </c>
      <c r="D11" s="13">
        <f>VLOOKUP(A11,[8]HISTOJUIN24!$A$6:$BQ$40,57,0)</f>
        <v>0</v>
      </c>
      <c r="E11" s="13"/>
      <c r="F11" s="13"/>
      <c r="G11" s="14">
        <f t="shared" si="0"/>
        <v>0</v>
      </c>
    </row>
    <row r="12" spans="1:7" ht="17.5" x14ac:dyDescent="0.35">
      <c r="A12" s="9" t="s">
        <v>19</v>
      </c>
      <c r="B12" s="10" t="str">
        <f>VLOOKUP(A12,[7]LISTADHERENT!A$5:H$50,3,0)</f>
        <v>DJOMOU TCHAPDA</v>
      </c>
      <c r="C12" s="13">
        <f>VLOOKUP(A12,[8]HISTOJUIN24!$A$6:$BQ$40,56,0)</f>
        <v>0</v>
      </c>
      <c r="D12" s="13">
        <f>VLOOKUP(A12,[8]HISTOJUIN24!$A$6:$BQ$40,57,0)</f>
        <v>0</v>
      </c>
      <c r="E12" s="13"/>
      <c r="F12" s="13"/>
      <c r="G12" s="14">
        <f t="shared" si="0"/>
        <v>0</v>
      </c>
    </row>
    <row r="13" spans="1:7" ht="17.5" x14ac:dyDescent="0.35">
      <c r="A13" s="9" t="s">
        <v>20</v>
      </c>
      <c r="B13" s="10" t="str">
        <f>VLOOKUP(A13,[7]LISTADHERENT!A$5:H$50,3,0)</f>
        <v>DJOUKWE NANGUEN GUY BLAISE</v>
      </c>
      <c r="C13" s="13">
        <f>VLOOKUP(A13,[8]HISTOJUIN24!$A$6:$BQ$40,56,0)</f>
        <v>0</v>
      </c>
      <c r="D13" s="13">
        <f>VLOOKUP(A13,[8]HISTOJUIN24!$A$6:$BQ$40,57,0)</f>
        <v>0</v>
      </c>
      <c r="E13" s="13"/>
      <c r="F13" s="13"/>
      <c r="G13" s="14">
        <f t="shared" si="0"/>
        <v>0</v>
      </c>
    </row>
    <row r="14" spans="1:7" ht="17.5" x14ac:dyDescent="0.35">
      <c r="A14" s="9" t="s">
        <v>21</v>
      </c>
      <c r="B14" s="10" t="str">
        <f>VLOOKUP(A14,[7]LISTADHERENT!A$5:H$50,3,0)</f>
        <v>DJUOMBESSY ANTOINE</v>
      </c>
      <c r="C14" s="13">
        <f>VLOOKUP(A14,[8]HISTOJUIN24!$A$6:$BQ$40,56,0)</f>
        <v>0</v>
      </c>
      <c r="D14" s="13">
        <f>VLOOKUP(A14,[8]HISTOJUIN24!$A$6:$BQ$40,57,0)</f>
        <v>0</v>
      </c>
      <c r="E14" s="13"/>
      <c r="F14" s="13"/>
      <c r="G14" s="14">
        <f t="shared" si="0"/>
        <v>0</v>
      </c>
    </row>
    <row r="15" spans="1:7" s="3" customFormat="1" ht="17.5" x14ac:dyDescent="0.35">
      <c r="A15" s="9" t="s">
        <v>22</v>
      </c>
      <c r="B15" s="10" t="str">
        <f>VLOOKUP(A15,[7]LISTADHERENT!A$5:H$50,3,0)</f>
        <v>DOMOU FABIEN</v>
      </c>
      <c r="C15" s="13">
        <f>VLOOKUP(A15,[8]HISTOJUIN24!$A$6:$BQ$40,56,0)</f>
        <v>0</v>
      </c>
      <c r="D15" s="13">
        <f>VLOOKUP(A15,[8]HISTOJUIN24!$A$6:$BQ$40,57,0)</f>
        <v>0</v>
      </c>
      <c r="E15" s="13"/>
      <c r="F15" s="13"/>
      <c r="G15" s="14">
        <f t="shared" si="0"/>
        <v>0</v>
      </c>
    </row>
    <row r="16" spans="1:7" ht="17.5" x14ac:dyDescent="0.35">
      <c r="A16" s="9" t="s">
        <v>23</v>
      </c>
      <c r="B16" s="10" t="str">
        <f>VLOOKUP(A16,[7]LISTADHERENT!A$5:H$50,3,0)</f>
        <v>DONHOU DAVID</v>
      </c>
      <c r="C16" s="13">
        <f>VLOOKUP(A16,[8]HISTOJUIN24!$A$6:$BQ$40,56,0)</f>
        <v>0</v>
      </c>
      <c r="D16" s="13">
        <f>VLOOKUP(A16,[8]HISTOJUIN24!$A$6:$BQ$40,57,0)</f>
        <v>0</v>
      </c>
      <c r="E16" s="13"/>
      <c r="F16" s="13"/>
      <c r="G16" s="14">
        <f t="shared" si="0"/>
        <v>0</v>
      </c>
    </row>
    <row r="17" spans="1:7" ht="17.5" x14ac:dyDescent="0.35">
      <c r="A17" s="9" t="s">
        <v>24</v>
      </c>
      <c r="B17" s="10" t="str">
        <f>VLOOKUP(A17,[7]LISTADHERENT!A$5:H$50,3,0)</f>
        <v>HENGUE PAUL OMER</v>
      </c>
      <c r="C17" s="13">
        <f>VLOOKUP(A17,[8]HISTOJUIN24!$A$6:$BQ$40,56,0)</f>
        <v>892500</v>
      </c>
      <c r="D17" s="13" t="str">
        <f>VLOOKUP(A17,[8]HISTOJUIN24!$A$6:$BQ$40,57,0)</f>
        <v>OK</v>
      </c>
      <c r="E17" s="13"/>
      <c r="F17" s="13"/>
      <c r="G17" s="14">
        <f t="shared" si="0"/>
        <v>0</v>
      </c>
    </row>
    <row r="18" spans="1:7" ht="17.5" x14ac:dyDescent="0.35">
      <c r="A18" s="9" t="s">
        <v>25</v>
      </c>
      <c r="B18" s="10" t="str">
        <f>VLOOKUP(A18,[7]LISTADHERENT!A$5:H$50,3,0)</f>
        <v>HOTCHO BENJAMIN</v>
      </c>
      <c r="C18" s="13">
        <f>VLOOKUP(A18,[8]HISTOJUIN24!$A$6:$BQ$40,56,0)</f>
        <v>892500</v>
      </c>
      <c r="D18" s="13" t="str">
        <f>VLOOKUP(A18,[8]HISTOJUIN24!$A$6:$BQ$40,57,0)</f>
        <v>OK</v>
      </c>
      <c r="E18" s="13"/>
      <c r="F18" s="13"/>
      <c r="G18" s="14">
        <f t="shared" si="0"/>
        <v>0</v>
      </c>
    </row>
    <row r="19" spans="1:7" ht="17.5" x14ac:dyDescent="0.35">
      <c r="A19" s="9" t="s">
        <v>26</v>
      </c>
      <c r="B19" s="10" t="str">
        <f>VLOOKUP(A19,[7]LISTADHERENT!A$5:H$50,3,0)</f>
        <v>KOUAMOU MOISE</v>
      </c>
      <c r="C19" s="13">
        <f>VLOOKUP(A19,[8]HISTOJUIN24!$A$6:$BQ$40,56,0)</f>
        <v>100000</v>
      </c>
      <c r="D19" s="13" t="str">
        <f>VLOOKUP(A19,[8]HISTOJUIN24!$A$6:$BQ$40,57,0)</f>
        <v>OK</v>
      </c>
      <c r="E19" s="13"/>
      <c r="F19" s="13"/>
      <c r="G19" s="14">
        <f t="shared" si="0"/>
        <v>0</v>
      </c>
    </row>
    <row r="20" spans="1:7" ht="17.5" x14ac:dyDescent="0.35">
      <c r="A20" s="9" t="s">
        <v>27</v>
      </c>
      <c r="B20" s="10" t="str">
        <f>VLOOKUP(A20,[7]LISTADHERENT!A$5:H$50,3,0)</f>
        <v>KOUATCHO MESSACK</v>
      </c>
      <c r="C20" s="13">
        <f>VLOOKUP(A20,[8]HISTOJUIN24!$A$6:$BQ$40,56,0)</f>
        <v>0</v>
      </c>
      <c r="D20" s="13">
        <f>VLOOKUP(A20,[8]HISTOJUIN24!$A$6:$BQ$40,57,0)</f>
        <v>0</v>
      </c>
      <c r="E20" s="13"/>
      <c r="F20" s="13"/>
      <c r="G20" s="14">
        <f t="shared" si="0"/>
        <v>0</v>
      </c>
    </row>
    <row r="21" spans="1:7" ht="17.5" x14ac:dyDescent="0.35">
      <c r="A21" s="9" t="s">
        <v>28</v>
      </c>
      <c r="B21" s="10" t="str">
        <f>VLOOKUP(A21,[7]LISTADHERENT!A$5:H$50,3,0)</f>
        <v>MASSEUNGOUE DAGOBERT</v>
      </c>
      <c r="C21" s="13">
        <f>VLOOKUP(A21,[8]HISTOJUIN24!$A$6:$BQ$40,56,0)</f>
        <v>0</v>
      </c>
      <c r="D21" s="13">
        <f>VLOOKUP(A21,[8]HISTOJUIN24!$A$6:$BQ$40,57,0)</f>
        <v>0</v>
      </c>
      <c r="E21" s="13"/>
      <c r="F21" s="13"/>
      <c r="G21" s="14">
        <f t="shared" si="0"/>
        <v>0</v>
      </c>
    </row>
    <row r="22" spans="1:7" ht="17.5" x14ac:dyDescent="0.35">
      <c r="A22" s="9" t="s">
        <v>29</v>
      </c>
      <c r="B22" s="10" t="str">
        <f>VLOOKUP(A22,[7]LISTADHERENT!A$5:H$50,3,0)</f>
        <v>MBOGNING TUGMA GUY</v>
      </c>
      <c r="C22" s="13">
        <f>VLOOKUP(A22,[8]HISTOJUIN24!$A$6:$BQ$40,56,0)</f>
        <v>100000</v>
      </c>
      <c r="D22" s="13" t="str">
        <f>VLOOKUP(A22,[8]HISTOJUIN24!$A$6:$BQ$40,57,0)</f>
        <v>OK</v>
      </c>
      <c r="E22" s="13"/>
      <c r="F22" s="13"/>
      <c r="G22" s="14">
        <f t="shared" si="0"/>
        <v>0</v>
      </c>
    </row>
    <row r="23" spans="1:7" ht="17.5" x14ac:dyDescent="0.35">
      <c r="A23" s="9" t="s">
        <v>30</v>
      </c>
      <c r="B23" s="10" t="str">
        <f>VLOOKUP(A23,[7]LISTADHERENT!A$5:H$50,3,0)</f>
        <v>NANGUEN MARTIN</v>
      </c>
      <c r="C23" s="13">
        <f>VLOOKUP(A23,[8]HISTOJUIN24!$A$6:$BQ$40,56,0)</f>
        <v>0</v>
      </c>
      <c r="D23" s="13">
        <f>VLOOKUP(A23,[8]HISTOJUIN24!$A$6:$BQ$40,57,0)</f>
        <v>0</v>
      </c>
      <c r="E23" s="13"/>
      <c r="F23" s="13"/>
      <c r="G23" s="14">
        <f t="shared" si="0"/>
        <v>0</v>
      </c>
    </row>
    <row r="24" spans="1:7" ht="17.5" x14ac:dyDescent="0.35">
      <c r="A24" s="9" t="s">
        <v>31</v>
      </c>
      <c r="B24" s="10" t="str">
        <f>VLOOKUP(A24,[7]LISTADHERENT!A$5:H$50,3,0)</f>
        <v>NANKAM APPOLINAIRE</v>
      </c>
      <c r="C24" s="13">
        <f>VLOOKUP(A24,[8]HISTOJUIN24!$A$6:$BQ$40,56,0)</f>
        <v>0</v>
      </c>
      <c r="D24" s="13">
        <f>VLOOKUP(A24,[8]HISTOJUIN24!$A$6:$BQ$40,57,0)</f>
        <v>0</v>
      </c>
      <c r="E24" s="13"/>
      <c r="F24" s="13"/>
      <c r="G24" s="14">
        <f t="shared" si="0"/>
        <v>0</v>
      </c>
    </row>
    <row r="25" spans="1:7" ht="17.5" x14ac:dyDescent="0.35">
      <c r="A25" s="9" t="s">
        <v>32</v>
      </c>
      <c r="B25" s="10" t="str">
        <f>VLOOKUP(A25,[7]LISTADHERENT!A$5:H$50,3,0)</f>
        <v>NDJOMO ETIENNE</v>
      </c>
      <c r="C25" s="13">
        <f>VLOOKUP(A25,[8]HISTOJUIN24!$A$6:$BQ$40,56,0)</f>
        <v>397000</v>
      </c>
      <c r="D25" s="13" t="str">
        <f>VLOOKUP(A25,[8]HISTOJUIN24!$A$6:$BQ$40,57,0)</f>
        <v>OK</v>
      </c>
      <c r="E25" s="13"/>
      <c r="F25" s="13"/>
      <c r="G25" s="14">
        <f t="shared" si="0"/>
        <v>0</v>
      </c>
    </row>
    <row r="26" spans="1:7" ht="17.5" x14ac:dyDescent="0.35">
      <c r="A26" s="9" t="s">
        <v>33</v>
      </c>
      <c r="B26" s="10" t="str">
        <f>VLOOKUP(A26,[7]LISTADHERENT!A$5:H$50,3,0)</f>
        <v>NGONDIEP CLAUDE</v>
      </c>
      <c r="C26" s="13">
        <f>VLOOKUP(A26,[8]HISTOJUIN24!$A$6:$BQ$40,56,0)</f>
        <v>1582000</v>
      </c>
      <c r="D26" s="13" t="str">
        <f>VLOOKUP(A26,[8]HISTOJUIN24!$A$6:$BQ$40,57,0)</f>
        <v>OK</v>
      </c>
      <c r="E26" s="13"/>
      <c r="F26" s="13"/>
      <c r="G26" s="14">
        <f t="shared" si="0"/>
        <v>0</v>
      </c>
    </row>
    <row r="27" spans="1:7" ht="17.5" x14ac:dyDescent="0.35">
      <c r="A27" s="9" t="s">
        <v>34</v>
      </c>
      <c r="B27" s="10" t="str">
        <f>VLOOKUP(A27,[7]LISTADHERENT!A$5:H$50,3,0)</f>
        <v>NGUIEMEGNI MATHIEU BLAISE</v>
      </c>
      <c r="C27" s="13">
        <f>VLOOKUP(A27,[8]HISTOJUIN24!$A$6:$BQ$40,56,0)</f>
        <v>60000</v>
      </c>
      <c r="D27" s="13" t="str">
        <f>VLOOKUP(A27,[8]HISTOJUIN24!$A$6:$BQ$40,57,0)</f>
        <v>OK</v>
      </c>
      <c r="E27" s="13"/>
      <c r="F27" s="13"/>
      <c r="G27" s="14">
        <f t="shared" si="0"/>
        <v>0</v>
      </c>
    </row>
    <row r="28" spans="1:7" ht="17.5" x14ac:dyDescent="0.35">
      <c r="A28" s="9" t="s">
        <v>35</v>
      </c>
      <c r="B28" s="10" t="str">
        <f>VLOOKUP(A28,[7]LISTADHERENT!A$5:H$50,3,0)</f>
        <v>NKAMGANG JUSTIN DEJOLIE</v>
      </c>
      <c r="C28" s="13">
        <f>VLOOKUP(A28,[8]HISTOJUIN24!$A$6:$BQ$40,56,0)</f>
        <v>21000</v>
      </c>
      <c r="D28" s="13" t="str">
        <f>VLOOKUP(A28,[8]HISTOJUIN24!$A$6:$BQ$40,57,0)</f>
        <v>OK</v>
      </c>
      <c r="E28" s="13"/>
      <c r="F28" s="13"/>
      <c r="G28" s="14">
        <f t="shared" si="0"/>
        <v>0</v>
      </c>
    </row>
    <row r="29" spans="1:7" ht="17.5" x14ac:dyDescent="0.35">
      <c r="A29" s="9" t="s">
        <v>36</v>
      </c>
      <c r="B29" s="10" t="str">
        <f>VLOOKUP(A29,[7]LISTADHERENT!A$5:H$50,3,0)</f>
        <v>NOUBE ETIENNE</v>
      </c>
      <c r="C29" s="13">
        <f>VLOOKUP(A29,[8]HISTOJUIN24!$A$6:$BQ$40,56,0)</f>
        <v>0</v>
      </c>
      <c r="D29" s="13">
        <f>VLOOKUP(A29,[8]HISTOJUIN24!$A$6:$BQ$40,57,0)</f>
        <v>0</v>
      </c>
      <c r="E29" s="13"/>
      <c r="F29" s="13"/>
      <c r="G29" s="14">
        <f t="shared" si="0"/>
        <v>0</v>
      </c>
    </row>
    <row r="30" spans="1:7" ht="17.5" x14ac:dyDescent="0.35">
      <c r="A30" s="9" t="s">
        <v>37</v>
      </c>
      <c r="B30" s="10" t="str">
        <f>VLOOKUP(A30,[7]LISTADHERENT!A$5:H$50,3,0)</f>
        <v>PATEGO NJOSSU GUSTAVE</v>
      </c>
      <c r="C30" s="13">
        <f>VLOOKUP(A30,[8]HISTOJUIN24!$A$6:$BQ$40,56,0)</f>
        <v>0</v>
      </c>
      <c r="D30" s="13">
        <f>VLOOKUP(A30,[8]HISTOJUIN24!$A$6:$BQ$40,57,0)</f>
        <v>0</v>
      </c>
      <c r="E30" s="13"/>
      <c r="F30" s="13"/>
      <c r="G30" s="14">
        <f t="shared" si="0"/>
        <v>0</v>
      </c>
    </row>
    <row r="31" spans="1:7" ht="17.5" x14ac:dyDescent="0.35">
      <c r="A31" s="9" t="s">
        <v>38</v>
      </c>
      <c r="B31" s="10" t="str">
        <f>VLOOKUP(A31,[7]LISTADHERENT!A$5:H$50,3,0)</f>
        <v>SEUMO POLYCARPE</v>
      </c>
      <c r="C31" s="13">
        <f>VLOOKUP(A31,[8]HISTOJUIN24!$A$6:$BQ$40,56,0)</f>
        <v>0</v>
      </c>
      <c r="D31" s="13">
        <f>VLOOKUP(A31,[8]HISTOJUIN24!$A$6:$BQ$40,57,0)</f>
        <v>0</v>
      </c>
      <c r="E31" s="13"/>
      <c r="F31" s="13"/>
      <c r="G31" s="14">
        <f t="shared" si="0"/>
        <v>0</v>
      </c>
    </row>
    <row r="32" spans="1:7" ht="17.5" x14ac:dyDescent="0.35">
      <c r="A32" s="9" t="s">
        <v>39</v>
      </c>
      <c r="B32" s="10" t="str">
        <f>VLOOKUP(A32,[7]LISTADHERENT!A$5:H$50,3,0)</f>
        <v>SIME BRICE</v>
      </c>
      <c r="C32" s="13">
        <f>VLOOKUP(A32,[8]HISTOJUIN24!$A$6:$BQ$40,56,0)</f>
        <v>1482000</v>
      </c>
      <c r="D32" s="13" t="str">
        <f>VLOOKUP(A32,[8]HISTOJUIN24!$A$6:$BQ$40,57,0)</f>
        <v>OK</v>
      </c>
      <c r="E32" s="13"/>
      <c r="F32" s="13"/>
      <c r="G32" s="14">
        <f t="shared" si="0"/>
        <v>0</v>
      </c>
    </row>
    <row r="33" spans="1:7" ht="17.5" x14ac:dyDescent="0.35">
      <c r="A33" s="9" t="s">
        <v>40</v>
      </c>
      <c r="B33" s="10" t="str">
        <f>VLOOKUP(A33,[7]LISTADHERENT!A$5:H$50,3,0)</f>
        <v>SIMO PIERRE</v>
      </c>
      <c r="C33" s="13">
        <f>VLOOKUP(A33,[8]HISTOJUIN24!$A$6:$BQ$40,56,0)</f>
        <v>100000</v>
      </c>
      <c r="D33" s="13" t="str">
        <f>VLOOKUP(A33,[8]HISTOJUIN24!$A$6:$BQ$40,57,0)</f>
        <v>OK</v>
      </c>
      <c r="E33" s="13"/>
      <c r="F33" s="13"/>
      <c r="G33" s="14">
        <f t="shared" si="0"/>
        <v>0</v>
      </c>
    </row>
    <row r="34" spans="1:7" ht="17.5" x14ac:dyDescent="0.35">
      <c r="A34" s="9" t="s">
        <v>41</v>
      </c>
      <c r="B34" s="10" t="str">
        <f>VLOOKUP(A34,[7]LISTADHERENT!A$5:H$50,3,0)</f>
        <v>TCHOUAMOU MATHIEU</v>
      </c>
      <c r="C34" s="13">
        <f>VLOOKUP(A34,[8]HISTOJUIN24!$A$6:$BQ$40,56,0)</f>
        <v>0</v>
      </c>
      <c r="D34" s="13">
        <f>VLOOKUP(A34,[8]HISTOJUIN24!$A$6:$BQ$40,57,0)</f>
        <v>0</v>
      </c>
      <c r="E34" s="13"/>
      <c r="F34" s="13"/>
      <c r="G34" s="14">
        <f t="shared" si="0"/>
        <v>0</v>
      </c>
    </row>
    <row r="35" spans="1:7" ht="17.5" x14ac:dyDescent="0.35">
      <c r="A35" s="9" t="s">
        <v>42</v>
      </c>
      <c r="B35" s="10" t="str">
        <f>VLOOKUP(A35,[7]LISTADHERENT!A$5:H$50,3,0)</f>
        <v>TCHOUATEU AUGUSTIN</v>
      </c>
      <c r="C35" s="13">
        <f>VLOOKUP(A35,[8]HISTOJUIN24!$A$6:$BQ$40,56,0)</f>
        <v>0</v>
      </c>
      <c r="D35" s="13">
        <f>VLOOKUP(A35,[8]HISTOJUIN24!$A$6:$BQ$40,57,0)</f>
        <v>0</v>
      </c>
      <c r="E35" s="13"/>
      <c r="F35" s="13"/>
      <c r="G35" s="14">
        <f t="shared" si="0"/>
        <v>0</v>
      </c>
    </row>
    <row r="36" spans="1:7" s="3" customFormat="1" ht="17.5" x14ac:dyDescent="0.35">
      <c r="A36" s="9" t="s">
        <v>43</v>
      </c>
      <c r="B36" s="10" t="str">
        <f>VLOOKUP(A36,[7]LISTADHERENT!A$5:H$50,3,0)</f>
        <v>TCHOUTOU NANA CLAUDE</v>
      </c>
      <c r="C36" s="13">
        <f>VLOOKUP(A36,[8]HISTOJUIN24!$A$6:$BQ$40,56,0)</f>
        <v>0</v>
      </c>
      <c r="D36" s="13">
        <f>VLOOKUP(A36,[8]HISTOJUIN24!$A$6:$BQ$40,57,0)</f>
        <v>0</v>
      </c>
      <c r="E36" s="13"/>
      <c r="F36" s="13"/>
      <c r="G36" s="14">
        <f t="shared" si="0"/>
        <v>0</v>
      </c>
    </row>
    <row r="37" spans="1:7" ht="17.5" x14ac:dyDescent="0.35">
      <c r="A37" s="9" t="s">
        <v>44</v>
      </c>
      <c r="B37" s="10" t="str">
        <f>VLOOKUP(A37,[7]LISTADHERENT!A$5:H$50,3,0)</f>
        <v>YANTCHOU GERVAIS</v>
      </c>
      <c r="C37" s="13">
        <f>VLOOKUP(A37,[8]HISTOJUIN24!$A$6:$BQ$40,56,0)</f>
        <v>0</v>
      </c>
      <c r="D37" s="13">
        <f>VLOOKUP(A37,[8]HISTOJUIN24!$A$6:$BQ$40,57,0)</f>
        <v>0</v>
      </c>
      <c r="E37" s="13"/>
      <c r="F37" s="13"/>
      <c r="G37" s="14">
        <f t="shared" si="0"/>
        <v>0</v>
      </c>
    </row>
    <row r="38" spans="1:7" ht="17.5" x14ac:dyDescent="0.35">
      <c r="A38" s="9" t="s">
        <v>45</v>
      </c>
      <c r="B38" s="10" t="str">
        <f>VLOOKUP(A38,[7]LISTADHERENT!A$5:H$50,3,0)</f>
        <v>YEPMOU JEAN JACQUES</v>
      </c>
      <c r="C38" s="13">
        <f>VLOOKUP(A38,[8]HISTOJUIN24!$A$6:$BQ$40,56,0)</f>
        <v>0</v>
      </c>
      <c r="D38" s="13">
        <f>VLOOKUP(A38,[8]HISTOJUIN24!$A$6:$BQ$40,57,0)</f>
        <v>0</v>
      </c>
      <c r="E38" s="13"/>
      <c r="F38" s="13"/>
      <c r="G38" s="14">
        <f t="shared" si="0"/>
        <v>0</v>
      </c>
    </row>
    <row r="39" spans="1:7" ht="17.5" x14ac:dyDescent="0.35">
      <c r="A39" s="9" t="s">
        <v>46</v>
      </c>
      <c r="B39" s="10" t="str">
        <f>VLOOKUP(A39,[7]LISTADHERENT!A$5:H$50,3,0)</f>
        <v>YIALA ALAIN OSCAR</v>
      </c>
      <c r="C39" s="13">
        <f>VLOOKUP(A39,[8]HISTOJUIN24!$A$6:$BQ$40,56,0)</f>
        <v>0</v>
      </c>
      <c r="D39" s="13">
        <f>VLOOKUP(A39,[8]HISTOJUIN24!$A$6:$BQ$40,57,0)</f>
        <v>0</v>
      </c>
      <c r="E39" s="13"/>
      <c r="F39" s="13"/>
      <c r="G39" s="14">
        <f t="shared" si="0"/>
        <v>0</v>
      </c>
    </row>
    <row r="40" spans="1:7" ht="17.5" x14ac:dyDescent="0.35">
      <c r="A40" s="9" t="s">
        <v>47</v>
      </c>
      <c r="B40" s="10" t="str">
        <f>VLOOKUP(A40,[7]LISTADHERENT!A$5:H$50,3,0)</f>
        <v>YOUMBI EMMANUEL</v>
      </c>
      <c r="C40" s="13">
        <f>VLOOKUP(A40,[8]HISTOJUIN24!$A$6:$BQ$40,56,0)</f>
        <v>0</v>
      </c>
      <c r="D40" s="13">
        <f>VLOOKUP(A40,[8]HISTOJUIN24!$A$6:$BQ$40,57,0)</f>
        <v>0</v>
      </c>
      <c r="E40" s="13"/>
      <c r="F40" s="13"/>
      <c r="G40" s="14">
        <f t="shared" si="0"/>
        <v>0</v>
      </c>
    </row>
    <row r="41" spans="1:7" ht="17.5" x14ac:dyDescent="0.35">
      <c r="A41" s="9"/>
      <c r="B41" s="10" t="s">
        <v>49</v>
      </c>
      <c r="C41" s="10"/>
      <c r="D41" s="10"/>
      <c r="E41" s="13"/>
      <c r="F41" s="13">
        <v>11286279</v>
      </c>
      <c r="G41" s="14"/>
    </row>
    <row r="42" spans="1:7" ht="24" thickBot="1" x14ac:dyDescent="0.6">
      <c r="A42" s="15"/>
      <c r="B42" s="16" t="s">
        <v>4</v>
      </c>
      <c r="C42" s="17">
        <f>SUM(C8:C41)</f>
        <v>5633000</v>
      </c>
      <c r="D42" s="17"/>
      <c r="E42" s="17">
        <f>SUM(E9:E41)</f>
        <v>0</v>
      </c>
      <c r="F42" s="17"/>
      <c r="G42" s="18">
        <f>SUM(G9:G41)</f>
        <v>0</v>
      </c>
    </row>
    <row r="43" spans="1:7" ht="15" thickTop="1" x14ac:dyDescent="0.35"/>
    <row r="44" spans="1:7" ht="26" x14ac:dyDescent="0.6">
      <c r="B44" s="5" t="s">
        <v>11</v>
      </c>
      <c r="C44" s="4">
        <f>C42-C7</f>
        <v>-2000000</v>
      </c>
    </row>
    <row r="46" spans="1:7" x14ac:dyDescent="0.35">
      <c r="B46" s="1" t="s">
        <v>6</v>
      </c>
      <c r="C46" s="1"/>
      <c r="D46" s="1"/>
      <c r="E46" s="1"/>
      <c r="F46" s="1"/>
    </row>
    <row r="48" spans="1:7" x14ac:dyDescent="0.35">
      <c r="B48" t="s">
        <v>8</v>
      </c>
    </row>
    <row r="49" spans="2:2" x14ac:dyDescent="0.35">
      <c r="B49" t="s">
        <v>9</v>
      </c>
    </row>
    <row r="50" spans="2:2" x14ac:dyDescent="0.35">
      <c r="B50" t="s">
        <v>10</v>
      </c>
    </row>
  </sheetData>
  <autoFilter ref="A6:F40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2CAF8-78E9-417C-A32C-CDCD5257BA93}">
  <dimension ref="A1:G50"/>
  <sheetViews>
    <sheetView zoomScale="96" zoomScaleNormal="96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4" width="21.1796875" customWidth="1"/>
    <col min="5" max="5" width="17" bestFit="1" customWidth="1"/>
    <col min="6" max="6" width="17" customWidth="1"/>
    <col min="7" max="7" width="12.453125" bestFit="1" customWidth="1"/>
  </cols>
  <sheetData>
    <row r="1" spans="1:7" x14ac:dyDescent="0.35">
      <c r="A1" s="1" t="s">
        <v>2</v>
      </c>
      <c r="B1" s="1" t="s">
        <v>48</v>
      </c>
      <c r="C1" s="1"/>
      <c r="D1" s="1"/>
      <c r="E1" s="1"/>
      <c r="F1" s="1"/>
    </row>
    <row r="2" spans="1:7" x14ac:dyDescent="0.35">
      <c r="A2" s="1" t="s">
        <v>3</v>
      </c>
      <c r="B2" s="1">
        <v>2024</v>
      </c>
      <c r="C2" s="1"/>
      <c r="D2" s="1"/>
      <c r="E2" s="1"/>
      <c r="F2" s="1"/>
    </row>
    <row r="3" spans="1:7" x14ac:dyDescent="0.35">
      <c r="A3" s="1"/>
      <c r="B3" s="2"/>
      <c r="C3" s="2"/>
      <c r="D3" s="2"/>
      <c r="E3" s="2"/>
      <c r="F3" s="2"/>
    </row>
    <row r="4" spans="1:7" ht="15" thickBot="1" x14ac:dyDescent="0.4"/>
    <row r="5" spans="1:7" ht="68.25" customHeight="1" thickTop="1" x14ac:dyDescent="0.35">
      <c r="A5" s="6" t="s">
        <v>0</v>
      </c>
      <c r="B5" s="7" t="s">
        <v>1</v>
      </c>
      <c r="C5" s="7"/>
      <c r="D5" s="7"/>
      <c r="E5" s="7"/>
      <c r="F5" s="7"/>
      <c r="G5" s="8" t="s">
        <v>4</v>
      </c>
    </row>
    <row r="6" spans="1:7" ht="30" customHeight="1" x14ac:dyDescent="0.35">
      <c r="A6" s="9"/>
      <c r="B6" s="10"/>
      <c r="C6" s="10" t="s">
        <v>7</v>
      </c>
      <c r="D6" s="10" t="s">
        <v>5</v>
      </c>
      <c r="E6" s="11" t="s">
        <v>12</v>
      </c>
      <c r="F6" s="11" t="s">
        <v>50</v>
      </c>
      <c r="G6" s="12"/>
    </row>
    <row r="7" spans="1:7" ht="30" customHeight="1" x14ac:dyDescent="0.35">
      <c r="A7" s="9"/>
      <c r="B7" s="10" t="s">
        <v>14</v>
      </c>
      <c r="C7" s="13">
        <v>5208500</v>
      </c>
      <c r="D7" s="10"/>
      <c r="E7" s="13"/>
      <c r="F7" s="13"/>
      <c r="G7" s="12"/>
    </row>
    <row r="8" spans="1:7" ht="17.5" x14ac:dyDescent="0.35">
      <c r="A8" s="9" t="s">
        <v>15</v>
      </c>
      <c r="B8" s="10" t="str">
        <f>VLOOKUP(A8,[7]LISTADHERENT!A$5:H$50,3,0)</f>
        <v>ASELBY</v>
      </c>
      <c r="C8" s="13">
        <f>VLOOKUP(A8,[8]HISTOJUIL24!$A$6:$BQ$40,56,0)</f>
        <v>56000</v>
      </c>
      <c r="D8" s="13" t="str">
        <f>VLOOKUP(A8,[8]HISTOJUIL24!$A$6:$BQ$40,57,0)</f>
        <v>OK</v>
      </c>
      <c r="E8" s="13">
        <f>+[9]HISTOBQUEJUIL24!$H$6</f>
        <v>4770</v>
      </c>
      <c r="F8" s="13">
        <v>34360</v>
      </c>
      <c r="G8" s="14">
        <f t="shared" ref="G8:G40" si="0">SUM(E8:F8)</f>
        <v>39130</v>
      </c>
    </row>
    <row r="9" spans="1:7" ht="17.5" x14ac:dyDescent="0.35">
      <c r="A9" s="9" t="s">
        <v>16</v>
      </c>
      <c r="B9" s="10" t="str">
        <f>VLOOKUP(A9,[7]LISTADHERENT!A$5:H$50,3,0)</f>
        <v>BAKOP ACHILLE</v>
      </c>
      <c r="C9" s="13">
        <f>VLOOKUP(A9,[8]HISTOJUIL24!$A$6:$BQ$40,56,0)</f>
        <v>0</v>
      </c>
      <c r="D9" s="13">
        <f>VLOOKUP(A9,[8]HISTOJUIL24!$A$6:$BQ$40,57,0)</f>
        <v>0</v>
      </c>
      <c r="E9" s="13"/>
      <c r="F9" s="13"/>
      <c r="G9" s="14">
        <f t="shared" si="0"/>
        <v>0</v>
      </c>
    </row>
    <row r="10" spans="1:7" s="3" customFormat="1" ht="17.5" x14ac:dyDescent="0.35">
      <c r="A10" s="9" t="s">
        <v>17</v>
      </c>
      <c r="B10" s="10" t="str">
        <f>VLOOKUP(A10,[7]LISTADHERENT!A$5:H$50,3,0)</f>
        <v>BOUTCHOUANG WILLIAM</v>
      </c>
      <c r="C10" s="13">
        <f>VLOOKUP(A10,[8]HISTOJUIL24!$A$6:$BQ$40,56,0)</f>
        <v>0</v>
      </c>
      <c r="D10" s="13">
        <f>VLOOKUP(A10,[8]HISTOJUIL24!$A$6:$BQ$40,57,0)</f>
        <v>0</v>
      </c>
      <c r="E10" s="13"/>
      <c r="F10" s="13"/>
      <c r="G10" s="14">
        <f t="shared" si="0"/>
        <v>0</v>
      </c>
    </row>
    <row r="11" spans="1:7" s="3" customFormat="1" ht="17.5" x14ac:dyDescent="0.35">
      <c r="A11" s="9" t="s">
        <v>18</v>
      </c>
      <c r="B11" s="10" t="str">
        <f>VLOOKUP(A11,[7]LISTADHERENT!A$5:H$50,3,0)</f>
        <v xml:space="preserve">DJOMO JEAN PAUL </v>
      </c>
      <c r="C11" s="13">
        <f>VLOOKUP(A11,[8]HISTOJUIL24!$A$6:$BQ$40,56,0)</f>
        <v>0</v>
      </c>
      <c r="D11" s="13">
        <f>VLOOKUP(A11,[8]HISTOJUIL24!$A$6:$BQ$40,57,0)</f>
        <v>0</v>
      </c>
      <c r="E11" s="13"/>
      <c r="F11" s="13"/>
      <c r="G11" s="14">
        <f t="shared" si="0"/>
        <v>0</v>
      </c>
    </row>
    <row r="12" spans="1:7" ht="17.5" x14ac:dyDescent="0.35">
      <c r="A12" s="9" t="s">
        <v>19</v>
      </c>
      <c r="B12" s="10" t="str">
        <f>VLOOKUP(A12,[7]LISTADHERENT!A$5:H$50,3,0)</f>
        <v>DJOMOU TCHAPDA</v>
      </c>
      <c r="C12" s="13">
        <f>VLOOKUP(A12,[8]HISTOJUIL24!$A$6:$BQ$40,56,0)</f>
        <v>0</v>
      </c>
      <c r="D12" s="13">
        <f>VLOOKUP(A12,[8]HISTOJUIL24!$A$6:$BQ$40,57,0)</f>
        <v>0</v>
      </c>
      <c r="E12" s="13"/>
      <c r="F12" s="13"/>
      <c r="G12" s="14">
        <f t="shared" si="0"/>
        <v>0</v>
      </c>
    </row>
    <row r="13" spans="1:7" ht="17.5" x14ac:dyDescent="0.35">
      <c r="A13" s="9" t="s">
        <v>20</v>
      </c>
      <c r="B13" s="10" t="str">
        <f>VLOOKUP(A13,[7]LISTADHERENT!A$5:H$50,3,0)</f>
        <v>DJOUKWE NANGUEN GUY BLAISE</v>
      </c>
      <c r="C13" s="13">
        <f>VLOOKUP(A13,[8]HISTOJUIL24!$A$6:$BQ$40,56,0)</f>
        <v>109000</v>
      </c>
      <c r="D13" s="13" t="str">
        <f>VLOOKUP(A13,[8]HISTOJUIL24!$A$6:$BQ$40,57,0)</f>
        <v>OK</v>
      </c>
      <c r="E13" s="13"/>
      <c r="F13" s="13"/>
      <c r="G13" s="14">
        <f t="shared" si="0"/>
        <v>0</v>
      </c>
    </row>
    <row r="14" spans="1:7" ht="17.5" x14ac:dyDescent="0.35">
      <c r="A14" s="9" t="s">
        <v>21</v>
      </c>
      <c r="B14" s="10" t="str">
        <f>VLOOKUP(A14,[7]LISTADHERENT!A$5:H$50,3,0)</f>
        <v>DJUOMBESSY ANTOINE</v>
      </c>
      <c r="C14" s="13">
        <f>VLOOKUP(A14,[8]HISTOJUIL24!$A$6:$BQ$40,56,0)</f>
        <v>1587000</v>
      </c>
      <c r="D14" s="13" t="str">
        <f>VLOOKUP(A14,[8]HISTOJUIL24!$A$6:$BQ$40,57,0)</f>
        <v>OK</v>
      </c>
      <c r="E14" s="13"/>
      <c r="F14" s="13"/>
      <c r="G14" s="14">
        <f t="shared" si="0"/>
        <v>0</v>
      </c>
    </row>
    <row r="15" spans="1:7" s="3" customFormat="1" ht="17.5" x14ac:dyDescent="0.35">
      <c r="A15" s="9" t="s">
        <v>22</v>
      </c>
      <c r="B15" s="10" t="str">
        <f>VLOOKUP(A15,[7]LISTADHERENT!A$5:H$50,3,0)</f>
        <v>DOMOU FABIEN</v>
      </c>
      <c r="C15" s="13">
        <f>VLOOKUP(A15,[8]HISTOJUIL24!$A$6:$BQ$40,56,0)</f>
        <v>197500</v>
      </c>
      <c r="D15" s="13" t="str">
        <f>VLOOKUP(A15,[8]HISTOJUIL24!$A$6:$BQ$40,57,0)</f>
        <v>OK</v>
      </c>
      <c r="E15" s="13"/>
      <c r="F15" s="13"/>
      <c r="G15" s="14">
        <f t="shared" si="0"/>
        <v>0</v>
      </c>
    </row>
    <row r="16" spans="1:7" ht="17.5" x14ac:dyDescent="0.35">
      <c r="A16" s="9" t="s">
        <v>23</v>
      </c>
      <c r="B16" s="10" t="str">
        <f>VLOOKUP(A16,[7]LISTADHERENT!A$5:H$50,3,0)</f>
        <v>DONHOU DAVID</v>
      </c>
      <c r="C16" s="13">
        <f>VLOOKUP(A16,[8]HISTOJUIL24!$A$6:$BQ$40,56,0)</f>
        <v>0</v>
      </c>
      <c r="D16" s="13">
        <f>VLOOKUP(A16,[8]HISTOJUIL24!$A$6:$BQ$40,57,0)</f>
        <v>0</v>
      </c>
      <c r="E16" s="13"/>
      <c r="F16" s="13"/>
      <c r="G16" s="14">
        <f t="shared" si="0"/>
        <v>0</v>
      </c>
    </row>
    <row r="17" spans="1:7" ht="17.5" x14ac:dyDescent="0.35">
      <c r="A17" s="9" t="s">
        <v>24</v>
      </c>
      <c r="B17" s="10" t="str">
        <f>VLOOKUP(A17,[7]LISTADHERENT!A$5:H$50,3,0)</f>
        <v>HENGUE PAUL OMER</v>
      </c>
      <c r="C17" s="13">
        <f>VLOOKUP(A17,[8]HISTOJUIL24!$A$6:$BQ$40,56,0)</f>
        <v>0</v>
      </c>
      <c r="D17" s="13">
        <f>VLOOKUP(A17,[8]HISTOJUIL24!$A$6:$BQ$40,57,0)</f>
        <v>0</v>
      </c>
      <c r="E17" s="13"/>
      <c r="F17" s="13"/>
      <c r="G17" s="14">
        <f t="shared" si="0"/>
        <v>0</v>
      </c>
    </row>
    <row r="18" spans="1:7" ht="17.5" x14ac:dyDescent="0.35">
      <c r="A18" s="9" t="s">
        <v>25</v>
      </c>
      <c r="B18" s="10" t="str">
        <f>VLOOKUP(A18,[7]LISTADHERENT!A$5:H$50,3,0)</f>
        <v>HOTCHO BENJAMIN</v>
      </c>
      <c r="C18" s="13">
        <f>VLOOKUP(A18,[8]HISTOJUIL24!$A$6:$BQ$40,56,0)</f>
        <v>100000</v>
      </c>
      <c r="D18" s="13" t="str">
        <f>VLOOKUP(A18,[8]HISTOJUIL24!$A$6:$BQ$40,57,0)</f>
        <v>OK</v>
      </c>
      <c r="E18" s="13"/>
      <c r="F18" s="13"/>
      <c r="G18" s="14">
        <f t="shared" si="0"/>
        <v>0</v>
      </c>
    </row>
    <row r="19" spans="1:7" ht="17.5" x14ac:dyDescent="0.35">
      <c r="A19" s="9" t="s">
        <v>26</v>
      </c>
      <c r="B19" s="10" t="str">
        <f>VLOOKUP(A19,[7]LISTADHERENT!A$5:H$50,3,0)</f>
        <v>KOUAMOU MOISE</v>
      </c>
      <c r="C19" s="13">
        <f>VLOOKUP(A19,[8]HISTOJUIL24!$A$6:$BQ$40,56,0)</f>
        <v>0</v>
      </c>
      <c r="D19" s="13">
        <f>VLOOKUP(A19,[8]HISTOJUIL24!$A$6:$BQ$40,57,0)</f>
        <v>0</v>
      </c>
      <c r="E19" s="13"/>
      <c r="F19" s="13"/>
      <c r="G19" s="14">
        <f t="shared" si="0"/>
        <v>0</v>
      </c>
    </row>
    <row r="20" spans="1:7" ht="17.5" x14ac:dyDescent="0.35">
      <c r="A20" s="9" t="s">
        <v>27</v>
      </c>
      <c r="B20" s="10" t="str">
        <f>VLOOKUP(A20,[7]LISTADHERENT!A$5:H$50,3,0)</f>
        <v>KOUATCHO MESSACK</v>
      </c>
      <c r="C20" s="13">
        <f>VLOOKUP(A20,[8]HISTOJUIL24!$A$6:$BQ$40,56,0)</f>
        <v>200000</v>
      </c>
      <c r="D20" s="13" t="str">
        <f>VLOOKUP(A20,[8]HISTOJUIL24!$A$6:$BQ$40,57,0)</f>
        <v>OK</v>
      </c>
      <c r="E20" s="13"/>
      <c r="F20" s="13"/>
      <c r="G20" s="14">
        <f t="shared" si="0"/>
        <v>0</v>
      </c>
    </row>
    <row r="21" spans="1:7" ht="17.5" x14ac:dyDescent="0.35">
      <c r="A21" s="9" t="s">
        <v>28</v>
      </c>
      <c r="B21" s="10" t="str">
        <f>VLOOKUP(A21,[7]LISTADHERENT!A$5:H$50,3,0)</f>
        <v>MASSEUNGOUE DAGOBERT</v>
      </c>
      <c r="C21" s="13">
        <f>VLOOKUP(A21,[8]HISTOJUIL24!$A$6:$BQ$40,56,0)</f>
        <v>0</v>
      </c>
      <c r="D21" s="13">
        <f>VLOOKUP(A21,[8]HISTOJUIL24!$A$6:$BQ$40,57,0)</f>
        <v>0</v>
      </c>
      <c r="E21" s="13"/>
      <c r="F21" s="13"/>
      <c r="G21" s="14">
        <f t="shared" si="0"/>
        <v>0</v>
      </c>
    </row>
    <row r="22" spans="1:7" ht="17.5" x14ac:dyDescent="0.35">
      <c r="A22" s="9" t="s">
        <v>29</v>
      </c>
      <c r="B22" s="10" t="str">
        <f>VLOOKUP(A22,[7]LISTADHERENT!A$5:H$50,3,0)</f>
        <v>MBOGNING TUGMA GUY</v>
      </c>
      <c r="C22" s="13">
        <f>VLOOKUP(A22,[8]HISTOJUIL24!$A$6:$BQ$40,56,0)</f>
        <v>671500</v>
      </c>
      <c r="D22" s="13">
        <f>VLOOKUP(A22,[8]HISTOJUIL24!$A$6:$BQ$40,57,0)</f>
        <v>0</v>
      </c>
      <c r="E22" s="13"/>
      <c r="F22" s="13"/>
      <c r="G22" s="14">
        <f t="shared" si="0"/>
        <v>0</v>
      </c>
    </row>
    <row r="23" spans="1:7" ht="17.5" x14ac:dyDescent="0.35">
      <c r="A23" s="9" t="s">
        <v>30</v>
      </c>
      <c r="B23" s="10" t="str">
        <f>VLOOKUP(A23,[7]LISTADHERENT!A$5:H$50,3,0)</f>
        <v>NANGUEN MARTIN</v>
      </c>
      <c r="C23" s="13">
        <f>VLOOKUP(A23,[8]HISTOJUIL24!$A$6:$BQ$40,56,0)</f>
        <v>0</v>
      </c>
      <c r="D23" s="13">
        <f>VLOOKUP(A23,[8]HISTOJUIL24!$A$6:$BQ$40,57,0)</f>
        <v>0</v>
      </c>
      <c r="E23" s="13"/>
      <c r="F23" s="13"/>
      <c r="G23" s="14">
        <f t="shared" si="0"/>
        <v>0</v>
      </c>
    </row>
    <row r="24" spans="1:7" ht="17.5" x14ac:dyDescent="0.35">
      <c r="A24" s="9" t="s">
        <v>31</v>
      </c>
      <c r="B24" s="10" t="str">
        <f>VLOOKUP(A24,[7]LISTADHERENT!A$5:H$50,3,0)</f>
        <v>NANKAM APPOLINAIRE</v>
      </c>
      <c r="C24" s="13">
        <f>VLOOKUP(A24,[8]HISTOJUIL24!$A$6:$BQ$40,56,0)</f>
        <v>0</v>
      </c>
      <c r="D24" s="13">
        <f>VLOOKUP(A24,[8]HISTOJUIL24!$A$6:$BQ$40,57,0)</f>
        <v>0</v>
      </c>
      <c r="E24" s="13"/>
      <c r="F24" s="13"/>
      <c r="G24" s="14">
        <f t="shared" si="0"/>
        <v>0</v>
      </c>
    </row>
    <row r="25" spans="1:7" ht="17.5" x14ac:dyDescent="0.35">
      <c r="A25" s="9" t="s">
        <v>32</v>
      </c>
      <c r="B25" s="10" t="str">
        <f>VLOOKUP(A25,[7]LISTADHERENT!A$5:H$50,3,0)</f>
        <v>NDJOMO ETIENNE</v>
      </c>
      <c r="C25" s="13">
        <f>VLOOKUP(A25,[8]HISTOJUIL24!$A$6:$BQ$40,56,0)</f>
        <v>1390000</v>
      </c>
      <c r="D25" s="13" t="str">
        <f>VLOOKUP(A25,[8]HISTOJUIL24!$A$6:$BQ$40,57,0)</f>
        <v>OK</v>
      </c>
      <c r="E25" s="13"/>
      <c r="F25" s="13"/>
      <c r="G25" s="14">
        <f t="shared" si="0"/>
        <v>0</v>
      </c>
    </row>
    <row r="26" spans="1:7" ht="17.5" x14ac:dyDescent="0.35">
      <c r="A26" s="9" t="s">
        <v>33</v>
      </c>
      <c r="B26" s="10" t="str">
        <f>VLOOKUP(A26,[7]LISTADHERENT!A$5:H$50,3,0)</f>
        <v>NGONDIEP CLAUDE</v>
      </c>
      <c r="C26" s="13">
        <f>VLOOKUP(A26,[8]HISTOJUIL24!$A$6:$BQ$40,56,0)</f>
        <v>490500</v>
      </c>
      <c r="D26" s="13" t="str">
        <f>VLOOKUP(A26,[8]HISTOJUIL24!$A$6:$BQ$40,57,0)</f>
        <v>OK</v>
      </c>
      <c r="E26" s="13"/>
      <c r="F26" s="13"/>
      <c r="G26" s="14">
        <f t="shared" si="0"/>
        <v>0</v>
      </c>
    </row>
    <row r="27" spans="1:7" ht="17.5" x14ac:dyDescent="0.35">
      <c r="A27" s="9" t="s">
        <v>34</v>
      </c>
      <c r="B27" s="10" t="str">
        <f>VLOOKUP(A27,[7]LISTADHERENT!A$5:H$50,3,0)</f>
        <v>NGUIEMEGNI MATHIEU BLAISE</v>
      </c>
      <c r="C27" s="13">
        <f>VLOOKUP(A27,[8]HISTOJUIL24!$A$6:$BQ$40,56,0)</f>
        <v>200000</v>
      </c>
      <c r="D27" s="13" t="str">
        <f>VLOOKUP(A27,[8]HISTOJUIL24!$A$6:$BQ$40,57,0)</f>
        <v>OK</v>
      </c>
      <c r="E27" s="13"/>
      <c r="F27" s="13"/>
      <c r="G27" s="14">
        <f t="shared" si="0"/>
        <v>0</v>
      </c>
    </row>
    <row r="28" spans="1:7" ht="17.5" x14ac:dyDescent="0.35">
      <c r="A28" s="9" t="s">
        <v>35</v>
      </c>
      <c r="B28" s="10" t="str">
        <f>VLOOKUP(A28,[7]LISTADHERENT!A$5:H$50,3,0)</f>
        <v>NKAMGANG JUSTIN DEJOLIE</v>
      </c>
      <c r="C28" s="13">
        <f>VLOOKUP(A28,[8]HISTOJUIL24!$A$6:$BQ$40,56,0)</f>
        <v>0</v>
      </c>
      <c r="D28" s="13">
        <f>VLOOKUP(A28,[8]HISTOJUIL24!$A$6:$BQ$40,57,0)</f>
        <v>0</v>
      </c>
      <c r="E28" s="13"/>
      <c r="F28" s="13"/>
      <c r="G28" s="14">
        <f t="shared" si="0"/>
        <v>0</v>
      </c>
    </row>
    <row r="29" spans="1:7" ht="17.5" x14ac:dyDescent="0.35">
      <c r="A29" s="9" t="s">
        <v>36</v>
      </c>
      <c r="B29" s="10" t="str">
        <f>VLOOKUP(A29,[7]LISTADHERENT!A$5:H$50,3,0)</f>
        <v>NOUBE ETIENNE</v>
      </c>
      <c r="C29" s="13">
        <f>VLOOKUP(A29,[8]HISTOJUIL24!$A$6:$BQ$40,56,0)</f>
        <v>0</v>
      </c>
      <c r="D29" s="13">
        <f>VLOOKUP(A29,[8]HISTOJUIL24!$A$6:$BQ$40,57,0)</f>
        <v>0</v>
      </c>
      <c r="E29" s="13"/>
      <c r="F29" s="13"/>
      <c r="G29" s="14">
        <f t="shared" si="0"/>
        <v>0</v>
      </c>
    </row>
    <row r="30" spans="1:7" ht="17.5" x14ac:dyDescent="0.35">
      <c r="A30" s="9" t="s">
        <v>37</v>
      </c>
      <c r="B30" s="10" t="str">
        <f>VLOOKUP(A30,[7]LISTADHERENT!A$5:H$50,3,0)</f>
        <v>PATEGO NJOSSU GUSTAVE</v>
      </c>
      <c r="C30" s="13">
        <f>VLOOKUP(A30,[8]HISTOJUIL24!$A$6:$BQ$40,56,0)</f>
        <v>0</v>
      </c>
      <c r="D30" s="13">
        <f>VLOOKUP(A30,[8]HISTOJUIL24!$A$6:$BQ$40,57,0)</f>
        <v>0</v>
      </c>
      <c r="E30" s="13"/>
      <c r="F30" s="13"/>
      <c r="G30" s="14">
        <f t="shared" si="0"/>
        <v>0</v>
      </c>
    </row>
    <row r="31" spans="1:7" ht="17.5" x14ac:dyDescent="0.35">
      <c r="A31" s="9" t="s">
        <v>38</v>
      </c>
      <c r="B31" s="10" t="str">
        <f>VLOOKUP(A31,[7]LISTADHERENT!A$5:H$50,3,0)</f>
        <v>SEUMO POLYCARPE</v>
      </c>
      <c r="C31" s="13">
        <f>VLOOKUP(A31,[8]HISTOJUIL24!$A$6:$BQ$40,56,0)</f>
        <v>54500</v>
      </c>
      <c r="D31" s="13" t="str">
        <f>VLOOKUP(A31,[8]HISTOJUIL24!$A$6:$BQ$40,57,0)</f>
        <v>OK</v>
      </c>
      <c r="E31" s="13"/>
      <c r="F31" s="13"/>
      <c r="G31" s="14">
        <f t="shared" si="0"/>
        <v>0</v>
      </c>
    </row>
    <row r="32" spans="1:7" ht="17.5" x14ac:dyDescent="0.35">
      <c r="A32" s="9" t="s">
        <v>39</v>
      </c>
      <c r="B32" s="10" t="str">
        <f>VLOOKUP(A32,[7]LISTADHERENT!A$5:H$50,3,0)</f>
        <v>SIME BRICE</v>
      </c>
      <c r="C32" s="13">
        <f>VLOOKUP(A32,[8]HISTOJUIL24!$A$6:$BQ$40,56,0)</f>
        <v>0</v>
      </c>
      <c r="D32" s="13">
        <f>VLOOKUP(A32,[8]HISTOJUIL24!$A$6:$BQ$40,57,0)</f>
        <v>0</v>
      </c>
      <c r="E32" s="13"/>
      <c r="F32" s="13"/>
      <c r="G32" s="14">
        <f t="shared" si="0"/>
        <v>0</v>
      </c>
    </row>
    <row r="33" spans="1:7" ht="17.5" x14ac:dyDescent="0.35">
      <c r="A33" s="9" t="s">
        <v>40</v>
      </c>
      <c r="B33" s="10" t="str">
        <f>VLOOKUP(A33,[7]LISTADHERENT!A$5:H$50,3,0)</f>
        <v>SIMO PIERRE</v>
      </c>
      <c r="C33" s="13">
        <f>VLOOKUP(A33,[8]HISTOJUIL24!$A$6:$BQ$40,56,0)</f>
        <v>0</v>
      </c>
      <c r="D33" s="13">
        <f>VLOOKUP(A33,[8]HISTOJUIL24!$A$6:$BQ$40,57,0)</f>
        <v>0</v>
      </c>
      <c r="E33" s="13"/>
      <c r="F33" s="13"/>
      <c r="G33" s="14">
        <f t="shared" si="0"/>
        <v>0</v>
      </c>
    </row>
    <row r="34" spans="1:7" ht="17.5" x14ac:dyDescent="0.35">
      <c r="A34" s="9" t="s">
        <v>41</v>
      </c>
      <c r="B34" s="10" t="str">
        <f>VLOOKUP(A34,[7]LISTADHERENT!A$5:H$50,3,0)</f>
        <v>TCHOUAMOU MATHIEU</v>
      </c>
      <c r="C34" s="13">
        <f>VLOOKUP(A34,[8]HISTOJUIL24!$A$6:$BQ$40,56,0)</f>
        <v>50000</v>
      </c>
      <c r="D34" s="13" t="str">
        <f>VLOOKUP(A34,[8]HISTOJUIL24!$A$6:$BQ$40,57,0)</f>
        <v>OK</v>
      </c>
      <c r="E34" s="13"/>
      <c r="F34" s="13"/>
      <c r="G34" s="14">
        <f t="shared" si="0"/>
        <v>0</v>
      </c>
    </row>
    <row r="35" spans="1:7" ht="17.5" x14ac:dyDescent="0.35">
      <c r="A35" s="9" t="s">
        <v>42</v>
      </c>
      <c r="B35" s="10" t="str">
        <f>VLOOKUP(A35,[7]LISTADHERENT!A$5:H$50,3,0)</f>
        <v>TCHOUATEU AUGUSTIN</v>
      </c>
      <c r="C35" s="13">
        <f>VLOOKUP(A35,[8]HISTOJUIL24!$A$6:$BQ$40,56,0)</f>
        <v>0</v>
      </c>
      <c r="D35" s="13">
        <f>VLOOKUP(A35,[8]HISTOJUIL24!$A$6:$BQ$40,57,0)</f>
        <v>0</v>
      </c>
      <c r="E35" s="13"/>
      <c r="F35" s="13"/>
      <c r="G35" s="14">
        <f t="shared" si="0"/>
        <v>0</v>
      </c>
    </row>
    <row r="36" spans="1:7" s="3" customFormat="1" ht="17.5" x14ac:dyDescent="0.35">
      <c r="A36" s="9" t="s">
        <v>43</v>
      </c>
      <c r="B36" s="10" t="str">
        <f>VLOOKUP(A36,[7]LISTADHERENT!A$5:H$50,3,0)</f>
        <v>TCHOUTOU NANA CLAUDE</v>
      </c>
      <c r="C36" s="13">
        <f>VLOOKUP(A36,[8]HISTOJUIL24!$A$6:$BQ$40,56,0)</f>
        <v>0</v>
      </c>
      <c r="D36" s="13">
        <f>VLOOKUP(A36,[8]HISTOJUIL24!$A$6:$BQ$40,57,0)</f>
        <v>0</v>
      </c>
      <c r="E36" s="13"/>
      <c r="F36" s="13"/>
      <c r="G36" s="14">
        <f t="shared" si="0"/>
        <v>0</v>
      </c>
    </row>
    <row r="37" spans="1:7" ht="17.5" x14ac:dyDescent="0.35">
      <c r="A37" s="9" t="s">
        <v>44</v>
      </c>
      <c r="B37" s="10" t="str">
        <f>VLOOKUP(A37,[7]LISTADHERENT!A$5:H$50,3,0)</f>
        <v>YANTCHOU GERVAIS</v>
      </c>
      <c r="C37" s="13">
        <f>VLOOKUP(A37,[8]HISTOJUIL24!$A$6:$BQ$40,56,0)</f>
        <v>0</v>
      </c>
      <c r="D37" s="13">
        <f>VLOOKUP(A37,[8]HISTOJUIL24!$A$6:$BQ$40,57,0)</f>
        <v>0</v>
      </c>
      <c r="E37" s="13"/>
      <c r="F37" s="13"/>
      <c r="G37" s="14">
        <f t="shared" si="0"/>
        <v>0</v>
      </c>
    </row>
    <row r="38" spans="1:7" ht="17.5" x14ac:dyDescent="0.35">
      <c r="A38" s="9" t="s">
        <v>45</v>
      </c>
      <c r="B38" s="10" t="str">
        <f>VLOOKUP(A38,[7]LISTADHERENT!A$5:H$50,3,0)</f>
        <v>YEPMOU JEAN JACQUES</v>
      </c>
      <c r="C38" s="13">
        <f>VLOOKUP(A38,[8]HISTOJUIL24!$A$6:$BQ$40,56,0)</f>
        <v>100000</v>
      </c>
      <c r="D38" s="13" t="str">
        <f>VLOOKUP(A38,[8]HISTOJUIL24!$A$6:$BQ$40,57,0)</f>
        <v>OK</v>
      </c>
      <c r="E38" s="13"/>
      <c r="F38" s="13"/>
      <c r="G38" s="14">
        <f t="shared" si="0"/>
        <v>0</v>
      </c>
    </row>
    <row r="39" spans="1:7" ht="17.5" x14ac:dyDescent="0.35">
      <c r="A39" s="9" t="s">
        <v>46</v>
      </c>
      <c r="B39" s="10" t="str">
        <f>VLOOKUP(A39,[7]LISTADHERENT!A$5:H$50,3,0)</f>
        <v>YIALA ALAIN OSCAR</v>
      </c>
      <c r="C39" s="13">
        <f>VLOOKUP(A39,[8]HISTOJUIL24!$A$6:$BQ$40,56,0)</f>
        <v>0</v>
      </c>
      <c r="D39" s="13">
        <f>VLOOKUP(A39,[8]HISTOJUIL24!$A$6:$BQ$40,57,0)</f>
        <v>0</v>
      </c>
      <c r="E39" s="13"/>
      <c r="F39" s="13"/>
      <c r="G39" s="14">
        <f t="shared" si="0"/>
        <v>0</v>
      </c>
    </row>
    <row r="40" spans="1:7" ht="17.5" x14ac:dyDescent="0.35">
      <c r="A40" s="9" t="s">
        <v>47</v>
      </c>
      <c r="B40" s="10" t="str">
        <f>VLOOKUP(A40,[7]LISTADHERENT!A$5:H$50,3,0)</f>
        <v>YOUMBI EMMANUEL</v>
      </c>
      <c r="C40" s="13">
        <f>VLOOKUP(A40,[8]HISTOJUIL24!$A$6:$BQ$40,56,0)</f>
        <v>0</v>
      </c>
      <c r="D40" s="13">
        <f>VLOOKUP(A40,[8]HISTOJUIL24!$A$6:$BQ$40,57,0)</f>
        <v>0</v>
      </c>
      <c r="E40" s="13"/>
      <c r="F40" s="13"/>
      <c r="G40" s="14">
        <f t="shared" si="0"/>
        <v>0</v>
      </c>
    </row>
    <row r="41" spans="1:7" ht="17.5" x14ac:dyDescent="0.35">
      <c r="A41" s="9"/>
      <c r="B41" s="10" t="s">
        <v>49</v>
      </c>
      <c r="C41" s="10"/>
      <c r="D41" s="10"/>
      <c r="E41" s="13"/>
      <c r="F41" s="13">
        <v>10357869</v>
      </c>
      <c r="G41" s="14"/>
    </row>
    <row r="42" spans="1:7" ht="24" thickBot="1" x14ac:dyDescent="0.6">
      <c r="A42" s="15"/>
      <c r="B42" s="16" t="s">
        <v>4</v>
      </c>
      <c r="C42" s="17">
        <f>SUM(C8:C41)</f>
        <v>5206000</v>
      </c>
      <c r="D42" s="17"/>
      <c r="E42" s="17">
        <f>SUM(E9:E41)</f>
        <v>0</v>
      </c>
      <c r="F42" s="17"/>
      <c r="G42" s="18">
        <f>SUM(G9:G41)</f>
        <v>0</v>
      </c>
    </row>
    <row r="43" spans="1:7" ht="15" thickTop="1" x14ac:dyDescent="0.35"/>
    <row r="44" spans="1:7" ht="26" x14ac:dyDescent="0.6">
      <c r="B44" s="5" t="s">
        <v>11</v>
      </c>
      <c r="C44" s="4">
        <f>C42-C7</f>
        <v>-2500</v>
      </c>
    </row>
    <row r="46" spans="1:7" x14ac:dyDescent="0.35">
      <c r="B46" s="1" t="s">
        <v>6</v>
      </c>
      <c r="C46" s="1"/>
      <c r="D46" s="1"/>
      <c r="E46" s="1"/>
      <c r="F46" s="1"/>
    </row>
    <row r="48" spans="1:7" x14ac:dyDescent="0.35">
      <c r="B48" t="s">
        <v>8</v>
      </c>
    </row>
    <row r="49" spans="2:2" x14ac:dyDescent="0.35">
      <c r="B49" t="s">
        <v>9</v>
      </c>
    </row>
    <row r="50" spans="2:2" x14ac:dyDescent="0.35">
      <c r="B50" t="s">
        <v>10</v>
      </c>
    </row>
  </sheetData>
  <autoFilter ref="A6:F40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8FBF0-220B-4F84-8628-DDC25C7CC751}">
  <dimension ref="A1:G50"/>
  <sheetViews>
    <sheetView zoomScale="96" zoomScaleNormal="96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4" width="21.1796875" customWidth="1"/>
    <col min="5" max="5" width="17" bestFit="1" customWidth="1"/>
    <col min="6" max="6" width="17" customWidth="1"/>
    <col min="7" max="7" width="12.453125" bestFit="1" customWidth="1"/>
  </cols>
  <sheetData>
    <row r="1" spans="1:7" x14ac:dyDescent="0.35">
      <c r="A1" s="1" t="s">
        <v>2</v>
      </c>
      <c r="B1" s="1" t="s">
        <v>48</v>
      </c>
      <c r="C1" s="1"/>
      <c r="D1" s="1"/>
      <c r="E1" s="1"/>
      <c r="F1" s="1"/>
    </row>
    <row r="2" spans="1:7" x14ac:dyDescent="0.35">
      <c r="A2" s="1" t="s">
        <v>3</v>
      </c>
      <c r="B2" s="1">
        <v>2024</v>
      </c>
      <c r="C2" s="1"/>
      <c r="D2" s="1"/>
      <c r="E2" s="1"/>
      <c r="F2" s="1"/>
    </row>
    <row r="3" spans="1:7" x14ac:dyDescent="0.35">
      <c r="A3" s="1"/>
      <c r="B3" s="2"/>
      <c r="C3" s="2"/>
      <c r="D3" s="2"/>
      <c r="E3" s="2"/>
      <c r="F3" s="2"/>
    </row>
    <row r="4" spans="1:7" ht="15" thickBot="1" x14ac:dyDescent="0.4"/>
    <row r="5" spans="1:7" ht="68.25" customHeight="1" thickTop="1" x14ac:dyDescent="0.35">
      <c r="A5" s="6" t="s">
        <v>0</v>
      </c>
      <c r="B5" s="7" t="s">
        <v>1</v>
      </c>
      <c r="C5" s="7"/>
      <c r="D5" s="7"/>
      <c r="E5" s="7"/>
      <c r="F5" s="7"/>
      <c r="G5" s="8" t="s">
        <v>4</v>
      </c>
    </row>
    <row r="6" spans="1:7" ht="30" customHeight="1" x14ac:dyDescent="0.35">
      <c r="A6" s="9"/>
      <c r="B6" s="10"/>
      <c r="C6" s="10" t="s">
        <v>7</v>
      </c>
      <c r="D6" s="10" t="s">
        <v>5</v>
      </c>
      <c r="E6" s="11" t="s">
        <v>12</v>
      </c>
      <c r="F6" s="11" t="s">
        <v>13</v>
      </c>
      <c r="G6" s="12"/>
    </row>
    <row r="7" spans="1:7" ht="30" customHeight="1" x14ac:dyDescent="0.35">
      <c r="A7" s="9"/>
      <c r="B7" s="10" t="s">
        <v>14</v>
      </c>
      <c r="C7" s="13">
        <v>3692500</v>
      </c>
      <c r="D7" s="10"/>
      <c r="E7" s="13"/>
      <c r="F7" s="13"/>
      <c r="G7" s="12"/>
    </row>
    <row r="8" spans="1:7" ht="17.5" x14ac:dyDescent="0.35">
      <c r="A8" s="9" t="s">
        <v>15</v>
      </c>
      <c r="B8" s="10" t="str">
        <f>VLOOKUP(A8,[7]LISTADHERENT!A$5:H$50,3,0)</f>
        <v>ASELBY</v>
      </c>
      <c r="C8" s="13">
        <f>VLOOKUP(A8,[8]HISTOAOUT24!$A$6:$BQ$40,56,0)</f>
        <v>6000</v>
      </c>
      <c r="D8" s="13">
        <f>VLOOKUP(A8,[8]HISTOAOUT24!$A$6:$BQ$40,57,0)</f>
        <v>0</v>
      </c>
      <c r="E8" s="13">
        <f>+[9]HISTOBQUEAOUT24!$H$6</f>
        <v>2385</v>
      </c>
      <c r="F8" s="13"/>
      <c r="G8" s="14">
        <f t="shared" ref="G8:G40" si="0">SUM(E8:F8)</f>
        <v>2385</v>
      </c>
    </row>
    <row r="9" spans="1:7" ht="17.5" x14ac:dyDescent="0.35">
      <c r="A9" s="9" t="s">
        <v>16</v>
      </c>
      <c r="B9" s="10" t="str">
        <f>VLOOKUP(A9,[7]LISTADHERENT!A$5:H$50,3,0)</f>
        <v>BAKOP ACHILLE</v>
      </c>
      <c r="C9" s="13">
        <f>VLOOKUP(A9,[8]HISTOAOUT24!$A$6:$BQ$40,56,0)</f>
        <v>47000</v>
      </c>
      <c r="D9" s="13" t="str">
        <f>VLOOKUP(A9,[8]HISTOAOUT24!$A$6:$BQ$40,57,0)</f>
        <v>OK</v>
      </c>
      <c r="E9" s="13"/>
      <c r="F9" s="13"/>
      <c r="G9" s="14">
        <f t="shared" si="0"/>
        <v>0</v>
      </c>
    </row>
    <row r="10" spans="1:7" s="3" customFormat="1" ht="17.5" x14ac:dyDescent="0.35">
      <c r="A10" s="9" t="s">
        <v>17</v>
      </c>
      <c r="B10" s="10" t="str">
        <f>VLOOKUP(A10,[7]LISTADHERENT!A$5:H$50,3,0)</f>
        <v>BOUTCHOUANG WILLIAM</v>
      </c>
      <c r="C10" s="13">
        <f>VLOOKUP(A10,[8]HISTOAOUT24!$A$6:$BQ$40,56,0)</f>
        <v>-12250</v>
      </c>
      <c r="D10" s="13">
        <f>VLOOKUP(A10,[8]HISTOAOUT24!$A$6:$BQ$40,57,0)</f>
        <v>0</v>
      </c>
      <c r="E10" s="13"/>
      <c r="F10" s="13"/>
      <c r="G10" s="14">
        <f t="shared" si="0"/>
        <v>0</v>
      </c>
    </row>
    <row r="11" spans="1:7" s="3" customFormat="1" ht="17.5" x14ac:dyDescent="0.35">
      <c r="A11" s="9" t="s">
        <v>18</v>
      </c>
      <c r="B11" s="10" t="str">
        <f>VLOOKUP(A11,[7]LISTADHERENT!A$5:H$50,3,0)</f>
        <v xml:space="preserve">DJOMO JEAN PAUL </v>
      </c>
      <c r="C11" s="13">
        <f>VLOOKUP(A11,[8]HISTOAOUT24!$A$6:$BQ$40,56,0)</f>
        <v>100000</v>
      </c>
      <c r="D11" s="13" t="str">
        <f>VLOOKUP(A11,[8]HISTOAOUT24!$A$6:$BQ$40,57,0)</f>
        <v>OK</v>
      </c>
      <c r="E11" s="13"/>
      <c r="F11" s="13"/>
      <c r="G11" s="14">
        <f t="shared" si="0"/>
        <v>0</v>
      </c>
    </row>
    <row r="12" spans="1:7" ht="17.5" x14ac:dyDescent="0.35">
      <c r="A12" s="9" t="s">
        <v>19</v>
      </c>
      <c r="B12" s="10" t="str">
        <f>VLOOKUP(A12,[7]LISTADHERENT!A$5:H$50,3,0)</f>
        <v>DJOMOU TCHAPDA</v>
      </c>
      <c r="C12" s="13">
        <f>VLOOKUP(A12,[8]HISTOAOUT24!$A$6:$BQ$40,56,0)</f>
        <v>417500</v>
      </c>
      <c r="D12" s="13" t="str">
        <f>VLOOKUP(A12,[8]HISTOAOUT24!$A$6:$BQ$40,57,0)</f>
        <v>OK</v>
      </c>
      <c r="E12" s="13"/>
      <c r="F12" s="13"/>
      <c r="G12" s="14">
        <f t="shared" si="0"/>
        <v>0</v>
      </c>
    </row>
    <row r="13" spans="1:7" ht="17.5" x14ac:dyDescent="0.35">
      <c r="A13" s="9" t="s">
        <v>20</v>
      </c>
      <c r="B13" s="10" t="str">
        <f>VLOOKUP(A13,[7]LISTADHERENT!A$5:H$50,3,0)</f>
        <v>DJOUKWE NANGUEN GUY BLAISE</v>
      </c>
      <c r="C13" s="13">
        <f>VLOOKUP(A13,[8]HISTOAOUT24!$A$6:$BQ$40,56,0)</f>
        <v>0</v>
      </c>
      <c r="D13" s="13">
        <f>VLOOKUP(A13,[8]HISTOAOUT24!$A$6:$BQ$40,57,0)</f>
        <v>0</v>
      </c>
      <c r="E13" s="13"/>
      <c r="F13" s="13"/>
      <c r="G13" s="14">
        <f t="shared" si="0"/>
        <v>0</v>
      </c>
    </row>
    <row r="14" spans="1:7" ht="17.5" x14ac:dyDescent="0.35">
      <c r="A14" s="9" t="s">
        <v>21</v>
      </c>
      <c r="B14" s="10" t="str">
        <f>VLOOKUP(A14,[7]LISTADHERENT!A$5:H$50,3,0)</f>
        <v>DJUOMBESSY ANTOINE</v>
      </c>
      <c r="C14" s="13">
        <f>VLOOKUP(A14,[8]HISTOAOUT24!$A$6:$BQ$40,56,0)</f>
        <v>200000</v>
      </c>
      <c r="D14" s="13" t="str">
        <f>VLOOKUP(A14,[8]HISTOAOUT24!$A$6:$BQ$40,57,0)</f>
        <v>OK</v>
      </c>
      <c r="E14" s="13"/>
      <c r="F14" s="13"/>
      <c r="G14" s="14">
        <f t="shared" si="0"/>
        <v>0</v>
      </c>
    </row>
    <row r="15" spans="1:7" s="3" customFormat="1" ht="17.5" x14ac:dyDescent="0.35">
      <c r="A15" s="9" t="s">
        <v>22</v>
      </c>
      <c r="B15" s="10" t="str">
        <f>VLOOKUP(A15,[7]LISTADHERENT!A$5:H$50,3,0)</f>
        <v>DOMOU FABIEN</v>
      </c>
      <c r="C15" s="13">
        <f>VLOOKUP(A15,[8]HISTOAOUT24!$A$6:$BQ$40,56,0)</f>
        <v>0</v>
      </c>
      <c r="D15" s="13">
        <f>VLOOKUP(A15,[8]HISTOAOUT24!$A$6:$BQ$40,57,0)</f>
        <v>0</v>
      </c>
      <c r="E15" s="13"/>
      <c r="F15" s="13"/>
      <c r="G15" s="14">
        <f t="shared" si="0"/>
        <v>0</v>
      </c>
    </row>
    <row r="16" spans="1:7" ht="17.5" x14ac:dyDescent="0.35">
      <c r="A16" s="9" t="s">
        <v>23</v>
      </c>
      <c r="B16" s="10" t="str">
        <f>VLOOKUP(A16,[7]LISTADHERENT!A$5:H$50,3,0)</f>
        <v>DONHOU DAVID</v>
      </c>
      <c r="C16" s="13">
        <f>VLOOKUP(A16,[8]HISTOAOUT24!$A$6:$BQ$40,56,0)</f>
        <v>0</v>
      </c>
      <c r="D16" s="13">
        <f>VLOOKUP(A16,[8]HISTOAOUT24!$A$6:$BQ$40,57,0)</f>
        <v>0</v>
      </c>
      <c r="E16" s="13"/>
      <c r="F16" s="13"/>
      <c r="G16" s="14">
        <f t="shared" si="0"/>
        <v>0</v>
      </c>
    </row>
    <row r="17" spans="1:7" ht="17.5" x14ac:dyDescent="0.35">
      <c r="A17" s="9" t="s">
        <v>24</v>
      </c>
      <c r="B17" s="10" t="str">
        <f>VLOOKUP(A17,[7]LISTADHERENT!A$5:H$50,3,0)</f>
        <v>HENGUE PAUL OMER</v>
      </c>
      <c r="C17" s="13">
        <f>VLOOKUP(A17,[8]HISTOAOUT24!$A$6:$BQ$40,56,0)</f>
        <v>0</v>
      </c>
      <c r="D17" s="13">
        <f>VLOOKUP(A17,[8]HISTOAOUT24!$A$6:$BQ$40,57,0)</f>
        <v>0</v>
      </c>
      <c r="E17" s="13"/>
      <c r="F17" s="13"/>
      <c r="G17" s="14">
        <f t="shared" si="0"/>
        <v>0</v>
      </c>
    </row>
    <row r="18" spans="1:7" ht="17.5" x14ac:dyDescent="0.35">
      <c r="A18" s="9" t="s">
        <v>25</v>
      </c>
      <c r="B18" s="10" t="str">
        <f>VLOOKUP(A18,[7]LISTADHERENT!A$5:H$50,3,0)</f>
        <v>HOTCHO BENJAMIN</v>
      </c>
      <c r="C18" s="13">
        <f>VLOOKUP(A18,[8]HISTOAOUT24!$A$6:$BQ$40,56,0)</f>
        <v>200000</v>
      </c>
      <c r="D18" s="13" t="str">
        <f>VLOOKUP(A18,[8]HISTOAOUT24!$A$6:$BQ$40,57,0)</f>
        <v>OK</v>
      </c>
      <c r="E18" s="13"/>
      <c r="F18" s="13"/>
      <c r="G18" s="14">
        <f t="shared" si="0"/>
        <v>0</v>
      </c>
    </row>
    <row r="19" spans="1:7" ht="17.5" x14ac:dyDescent="0.35">
      <c r="A19" s="9" t="s">
        <v>26</v>
      </c>
      <c r="B19" s="10" t="str">
        <f>VLOOKUP(A19,[7]LISTADHERENT!A$5:H$50,3,0)</f>
        <v>KOUAMOU MOISE</v>
      </c>
      <c r="C19" s="13">
        <f>VLOOKUP(A19,[8]HISTOAOUT24!$A$6:$BQ$40,56,0)</f>
        <v>230000</v>
      </c>
      <c r="D19" s="13" t="str">
        <f>VLOOKUP(A19,[8]HISTOAOUT24!$A$6:$BQ$40,57,0)</f>
        <v>OK</v>
      </c>
      <c r="E19" s="13"/>
      <c r="F19" s="13"/>
      <c r="G19" s="14">
        <f t="shared" si="0"/>
        <v>0</v>
      </c>
    </row>
    <row r="20" spans="1:7" ht="17.5" x14ac:dyDescent="0.35">
      <c r="A20" s="9" t="s">
        <v>27</v>
      </c>
      <c r="B20" s="10" t="str">
        <f>VLOOKUP(A20,[7]LISTADHERENT!A$5:H$50,3,0)</f>
        <v>KOUATCHO MESSACK</v>
      </c>
      <c r="C20" s="13">
        <f>VLOOKUP(A20,[8]HISTOAOUT24!$A$6:$BQ$40,56,0)</f>
        <v>200000</v>
      </c>
      <c r="D20" s="13" t="str">
        <f>VLOOKUP(A20,[8]HISTOAOUT24!$A$6:$BQ$40,57,0)</f>
        <v>OK</v>
      </c>
      <c r="E20" s="13"/>
      <c r="F20" s="13"/>
      <c r="G20" s="14">
        <f t="shared" si="0"/>
        <v>0</v>
      </c>
    </row>
    <row r="21" spans="1:7" ht="17.5" x14ac:dyDescent="0.35">
      <c r="A21" s="9" t="s">
        <v>28</v>
      </c>
      <c r="B21" s="10" t="str">
        <f>VLOOKUP(A21,[7]LISTADHERENT!A$5:H$50,3,0)</f>
        <v>MASSEUNGOUE DAGOBERT</v>
      </c>
      <c r="C21" s="13">
        <f>VLOOKUP(A21,[8]HISTOAOUT24!$A$6:$BQ$40,56,0)</f>
        <v>0</v>
      </c>
      <c r="D21" s="13">
        <f>VLOOKUP(A21,[8]HISTOAOUT24!$A$6:$BQ$40,57,0)</f>
        <v>0</v>
      </c>
      <c r="E21" s="13"/>
      <c r="F21" s="13"/>
      <c r="G21" s="14">
        <f t="shared" si="0"/>
        <v>0</v>
      </c>
    </row>
    <row r="22" spans="1:7" ht="17.5" x14ac:dyDescent="0.35">
      <c r="A22" s="9" t="s">
        <v>29</v>
      </c>
      <c r="B22" s="10" t="str">
        <f>VLOOKUP(A22,[7]LISTADHERENT!A$5:H$50,3,0)</f>
        <v>MBOGNING TUGMA GUY</v>
      </c>
      <c r="C22" s="13">
        <f>VLOOKUP(A22,[8]HISTOAOUT24!$A$6:$BQ$40,56,0)</f>
        <v>400000</v>
      </c>
      <c r="D22" s="13" t="str">
        <f>VLOOKUP(A22,[8]HISTOAOUT24!$A$6:$BQ$40,57,0)</f>
        <v>OK</v>
      </c>
      <c r="E22" s="13"/>
      <c r="F22" s="13"/>
      <c r="G22" s="14">
        <f t="shared" si="0"/>
        <v>0</v>
      </c>
    </row>
    <row r="23" spans="1:7" ht="17.5" x14ac:dyDescent="0.35">
      <c r="A23" s="9" t="s">
        <v>30</v>
      </c>
      <c r="B23" s="10" t="str">
        <f>VLOOKUP(A23,[7]LISTADHERENT!A$5:H$50,3,0)</f>
        <v>NANGUEN MARTIN</v>
      </c>
      <c r="C23" s="13">
        <f>VLOOKUP(A23,[8]HISTOAOUT24!$A$6:$BQ$40,56,0)</f>
        <v>0</v>
      </c>
      <c r="D23" s="13">
        <f>VLOOKUP(A23,[8]HISTOAOUT24!$A$6:$BQ$40,57,0)</f>
        <v>0</v>
      </c>
      <c r="E23" s="13"/>
      <c r="F23" s="13"/>
      <c r="G23" s="14">
        <f t="shared" si="0"/>
        <v>0</v>
      </c>
    </row>
    <row r="24" spans="1:7" ht="17.5" x14ac:dyDescent="0.35">
      <c r="A24" s="9" t="s">
        <v>31</v>
      </c>
      <c r="B24" s="10" t="str">
        <f>VLOOKUP(A24,[7]LISTADHERENT!A$5:H$50,3,0)</f>
        <v>NANKAM APPOLINAIRE</v>
      </c>
      <c r="C24" s="13">
        <f>VLOOKUP(A24,[8]HISTOAOUT24!$A$6:$BQ$40,56,0)</f>
        <v>0</v>
      </c>
      <c r="D24" s="13">
        <f>VLOOKUP(A24,[8]HISTOAOUT24!$A$6:$BQ$40,57,0)</f>
        <v>0</v>
      </c>
      <c r="E24" s="13"/>
      <c r="F24" s="13"/>
      <c r="G24" s="14">
        <f t="shared" si="0"/>
        <v>0</v>
      </c>
    </row>
    <row r="25" spans="1:7" ht="17.5" x14ac:dyDescent="0.35">
      <c r="A25" s="9" t="s">
        <v>32</v>
      </c>
      <c r="B25" s="10" t="str">
        <f>VLOOKUP(A25,[7]LISTADHERENT!A$5:H$50,3,0)</f>
        <v>NDJOMO ETIENNE</v>
      </c>
      <c r="C25" s="13">
        <f>VLOOKUP(A25,[8]HISTOAOUT24!$A$6:$BQ$40,56,0)</f>
        <v>200000</v>
      </c>
      <c r="D25" s="13" t="str">
        <f>VLOOKUP(A25,[8]HISTOAOUT24!$A$6:$BQ$40,57,0)</f>
        <v>OK</v>
      </c>
      <c r="E25" s="13"/>
      <c r="F25" s="13"/>
      <c r="G25" s="14">
        <f t="shared" si="0"/>
        <v>0</v>
      </c>
    </row>
    <row r="26" spans="1:7" ht="17.5" x14ac:dyDescent="0.35">
      <c r="A26" s="9" t="s">
        <v>33</v>
      </c>
      <c r="B26" s="10" t="str">
        <f>VLOOKUP(A26,[7]LISTADHERENT!A$5:H$50,3,0)</f>
        <v>NGONDIEP CLAUDE</v>
      </c>
      <c r="C26" s="13">
        <f>VLOOKUP(A26,[8]HISTOAOUT24!$A$6:$BQ$40,56,0)</f>
        <v>0</v>
      </c>
      <c r="D26" s="13">
        <f>VLOOKUP(A26,[8]HISTOAOUT24!$A$6:$BQ$40,57,0)</f>
        <v>0</v>
      </c>
      <c r="E26" s="13"/>
      <c r="F26" s="13"/>
      <c r="G26" s="14">
        <f t="shared" si="0"/>
        <v>0</v>
      </c>
    </row>
    <row r="27" spans="1:7" ht="17.5" x14ac:dyDescent="0.35">
      <c r="A27" s="9" t="s">
        <v>34</v>
      </c>
      <c r="B27" s="10" t="str">
        <f>VLOOKUP(A27,[7]LISTADHERENT!A$5:H$50,3,0)</f>
        <v>NGUIEMEGNI MATHIEU BLAISE</v>
      </c>
      <c r="C27" s="13">
        <f>VLOOKUP(A27,[8]HISTOAOUT24!$A$6:$BQ$40,56,0)</f>
        <v>82000</v>
      </c>
      <c r="D27" s="13" t="str">
        <f>VLOOKUP(A27,[8]HISTOAOUT24!$A$6:$BQ$40,57,0)</f>
        <v>OK</v>
      </c>
      <c r="E27" s="13"/>
      <c r="F27" s="13"/>
      <c r="G27" s="14">
        <f t="shared" si="0"/>
        <v>0</v>
      </c>
    </row>
    <row r="28" spans="1:7" ht="17.5" x14ac:dyDescent="0.35">
      <c r="A28" s="9" t="s">
        <v>35</v>
      </c>
      <c r="B28" s="10" t="str">
        <f>VLOOKUP(A28,[7]LISTADHERENT!A$5:H$50,3,0)</f>
        <v>NKAMGANG JUSTIN DEJOLIE</v>
      </c>
      <c r="C28" s="13">
        <f>VLOOKUP(A28,[8]HISTOAOUT24!$A$6:$BQ$40,56,0)</f>
        <v>60000</v>
      </c>
      <c r="D28" s="13" t="str">
        <f>VLOOKUP(A28,[8]HISTOAOUT24!$A$6:$BQ$40,57,0)</f>
        <v>OK</v>
      </c>
      <c r="E28" s="13"/>
      <c r="F28" s="13"/>
      <c r="G28" s="14">
        <f t="shared" si="0"/>
        <v>0</v>
      </c>
    </row>
    <row r="29" spans="1:7" ht="17.5" x14ac:dyDescent="0.35">
      <c r="A29" s="9" t="s">
        <v>36</v>
      </c>
      <c r="B29" s="10" t="str">
        <f>VLOOKUP(A29,[7]LISTADHERENT!A$5:H$50,3,0)</f>
        <v>NOUBE ETIENNE</v>
      </c>
      <c r="C29" s="13">
        <f>VLOOKUP(A29,[8]HISTOAOUT24!$A$6:$BQ$40,56,0)</f>
        <v>100000</v>
      </c>
      <c r="D29" s="13" t="str">
        <f>VLOOKUP(A29,[8]HISTOAOUT24!$A$6:$BQ$40,57,0)</f>
        <v>OK</v>
      </c>
      <c r="E29" s="13"/>
      <c r="F29" s="13"/>
      <c r="G29" s="14">
        <f t="shared" si="0"/>
        <v>0</v>
      </c>
    </row>
    <row r="30" spans="1:7" ht="17.5" x14ac:dyDescent="0.35">
      <c r="A30" s="9" t="s">
        <v>37</v>
      </c>
      <c r="B30" s="10" t="str">
        <f>VLOOKUP(A30,[7]LISTADHERENT!A$5:H$50,3,0)</f>
        <v>PATEGO NJOSSU GUSTAVE</v>
      </c>
      <c r="C30" s="13">
        <f>VLOOKUP(A30,[8]HISTOAOUT24!$A$6:$BQ$40,56,0)</f>
        <v>1190000</v>
      </c>
      <c r="D30" s="13" t="str">
        <f>VLOOKUP(A30,[8]HISTOAOUT24!$A$6:$BQ$40,57,0)</f>
        <v>OK</v>
      </c>
      <c r="E30" s="13"/>
      <c r="F30" s="13"/>
      <c r="G30" s="14">
        <f t="shared" si="0"/>
        <v>0</v>
      </c>
    </row>
    <row r="31" spans="1:7" ht="17.5" x14ac:dyDescent="0.35">
      <c r="A31" s="9" t="s">
        <v>38</v>
      </c>
      <c r="B31" s="10" t="str">
        <f>VLOOKUP(A31,[7]LISTADHERENT!A$5:H$50,3,0)</f>
        <v>SEUMO POLYCARPE</v>
      </c>
      <c r="C31" s="13">
        <f>VLOOKUP(A31,[8]HISTOAOUT24!$A$6:$BQ$40,56,0)</f>
        <v>60000</v>
      </c>
      <c r="D31" s="13" t="str">
        <f>VLOOKUP(A31,[8]HISTOAOUT24!$A$6:$BQ$40,57,0)</f>
        <v>OK</v>
      </c>
      <c r="E31" s="13"/>
      <c r="F31" s="13"/>
      <c r="G31" s="14">
        <f t="shared" si="0"/>
        <v>0</v>
      </c>
    </row>
    <row r="32" spans="1:7" ht="17.5" x14ac:dyDescent="0.35">
      <c r="A32" s="9" t="s">
        <v>39</v>
      </c>
      <c r="B32" s="10" t="str">
        <f>VLOOKUP(A32,[7]LISTADHERENT!A$5:H$50,3,0)</f>
        <v>SIME BRICE</v>
      </c>
      <c r="C32" s="13">
        <f>VLOOKUP(A32,[8]HISTOAOUT24!$A$6:$BQ$40,56,0)</f>
        <v>0</v>
      </c>
      <c r="D32" s="13">
        <f>VLOOKUP(A32,[8]HISTOAOUT24!$A$6:$BQ$40,57,0)</f>
        <v>0</v>
      </c>
      <c r="E32" s="13"/>
      <c r="F32" s="13"/>
      <c r="G32" s="14">
        <f t="shared" si="0"/>
        <v>0</v>
      </c>
    </row>
    <row r="33" spans="1:7" ht="17.5" x14ac:dyDescent="0.35">
      <c r="A33" s="9" t="s">
        <v>40</v>
      </c>
      <c r="B33" s="10" t="str">
        <f>VLOOKUP(A33,[7]LISTADHERENT!A$5:H$50,3,0)</f>
        <v>SIMO PIERRE</v>
      </c>
      <c r="C33" s="13">
        <f>VLOOKUP(A33,[8]HISTOAOUT24!$A$6:$BQ$40,56,0)</f>
        <v>0</v>
      </c>
      <c r="D33" s="13">
        <f>VLOOKUP(A33,[8]HISTOAOUT24!$A$6:$BQ$40,57,0)</f>
        <v>0</v>
      </c>
      <c r="E33" s="13"/>
      <c r="F33" s="13"/>
      <c r="G33" s="14">
        <f t="shared" si="0"/>
        <v>0</v>
      </c>
    </row>
    <row r="34" spans="1:7" ht="17.5" x14ac:dyDescent="0.35">
      <c r="A34" s="9" t="s">
        <v>41</v>
      </c>
      <c r="B34" s="10" t="str">
        <f>VLOOKUP(A34,[7]LISTADHERENT!A$5:H$50,3,0)</f>
        <v>TCHOUAMOU MATHIEU</v>
      </c>
      <c r="C34" s="13">
        <f>VLOOKUP(A34,[8]HISTOAOUT24!$A$6:$BQ$40,56,0)</f>
        <v>200000</v>
      </c>
      <c r="D34" s="13" t="str">
        <f>VLOOKUP(A34,[8]HISTOAOUT24!$A$6:$BQ$40,57,0)</f>
        <v>OK</v>
      </c>
      <c r="E34" s="13"/>
      <c r="F34" s="13"/>
      <c r="G34" s="14">
        <f t="shared" si="0"/>
        <v>0</v>
      </c>
    </row>
    <row r="35" spans="1:7" ht="17.5" x14ac:dyDescent="0.35">
      <c r="A35" s="9" t="s">
        <v>42</v>
      </c>
      <c r="B35" s="10" t="str">
        <f>VLOOKUP(A35,[7]LISTADHERENT!A$5:H$50,3,0)</f>
        <v>TCHOUATEU AUGUSTIN</v>
      </c>
      <c r="C35" s="13">
        <f>VLOOKUP(A35,[8]HISTOAOUT24!$A$6:$BQ$40,56,0)</f>
        <v>0</v>
      </c>
      <c r="D35" s="13">
        <f>VLOOKUP(A35,[8]HISTOAOUT24!$A$6:$BQ$40,57,0)</f>
        <v>0</v>
      </c>
      <c r="E35" s="13"/>
      <c r="F35" s="13"/>
      <c r="G35" s="14">
        <f t="shared" si="0"/>
        <v>0</v>
      </c>
    </row>
    <row r="36" spans="1:7" s="3" customFormat="1" ht="17.5" x14ac:dyDescent="0.35">
      <c r="A36" s="9" t="s">
        <v>43</v>
      </c>
      <c r="B36" s="10" t="str">
        <f>VLOOKUP(A36,[7]LISTADHERENT!A$5:H$50,3,0)</f>
        <v>TCHOUTOU NANA CLAUDE</v>
      </c>
      <c r="C36" s="13">
        <f>VLOOKUP(A36,[8]HISTOAOUT24!$A$6:$BQ$40,56,0)</f>
        <v>0</v>
      </c>
      <c r="D36" s="13">
        <f>VLOOKUP(A36,[8]HISTOAOUT24!$A$6:$BQ$40,57,0)</f>
        <v>0</v>
      </c>
      <c r="E36" s="13"/>
      <c r="F36" s="13"/>
      <c r="G36" s="14">
        <f t="shared" si="0"/>
        <v>0</v>
      </c>
    </row>
    <row r="37" spans="1:7" ht="17.5" x14ac:dyDescent="0.35">
      <c r="A37" s="9" t="s">
        <v>44</v>
      </c>
      <c r="B37" s="10" t="str">
        <f>VLOOKUP(A37,[7]LISTADHERENT!A$5:H$50,3,0)</f>
        <v>YANTCHOU GERVAIS</v>
      </c>
      <c r="C37" s="13">
        <f>VLOOKUP(A37,[8]HISTOAOUT24!$A$6:$BQ$40,56,0)</f>
        <v>0</v>
      </c>
      <c r="D37" s="13">
        <f>VLOOKUP(A37,[8]HISTOAOUT24!$A$6:$BQ$40,57,0)</f>
        <v>0</v>
      </c>
      <c r="E37" s="13"/>
      <c r="F37" s="13"/>
      <c r="G37" s="14">
        <f t="shared" si="0"/>
        <v>0</v>
      </c>
    </row>
    <row r="38" spans="1:7" ht="17.5" x14ac:dyDescent="0.35">
      <c r="A38" s="9" t="s">
        <v>45</v>
      </c>
      <c r="B38" s="10" t="str">
        <f>VLOOKUP(A38,[7]LISTADHERENT!A$5:H$50,3,0)</f>
        <v>YEPMOU JEAN JACQUES</v>
      </c>
      <c r="C38" s="13">
        <f>VLOOKUP(A38,[8]HISTOAOUT24!$A$6:$BQ$40,56,0)</f>
        <v>0</v>
      </c>
      <c r="D38" s="13">
        <f>VLOOKUP(A38,[8]HISTOAOUT24!$A$6:$BQ$40,57,0)</f>
        <v>0</v>
      </c>
      <c r="E38" s="13"/>
      <c r="F38" s="13"/>
      <c r="G38" s="14">
        <f t="shared" si="0"/>
        <v>0</v>
      </c>
    </row>
    <row r="39" spans="1:7" ht="17.5" x14ac:dyDescent="0.35">
      <c r="A39" s="9" t="s">
        <v>46</v>
      </c>
      <c r="B39" s="10" t="str">
        <f>VLOOKUP(A39,[7]LISTADHERENT!A$5:H$50,3,0)</f>
        <v>YIALA ALAIN OSCAR</v>
      </c>
      <c r="C39" s="13">
        <f>VLOOKUP(A39,[8]HISTOAOUT24!$A$6:$BQ$40,56,0)</f>
        <v>0</v>
      </c>
      <c r="D39" s="13">
        <f>VLOOKUP(A39,[8]HISTOAOUT24!$A$6:$BQ$40,57,0)</f>
        <v>0</v>
      </c>
      <c r="E39" s="13"/>
      <c r="F39" s="13"/>
      <c r="G39" s="14">
        <f t="shared" si="0"/>
        <v>0</v>
      </c>
    </row>
    <row r="40" spans="1:7" ht="17.5" x14ac:dyDescent="0.35">
      <c r="A40" s="9" t="s">
        <v>47</v>
      </c>
      <c r="B40" s="10" t="str">
        <f>VLOOKUP(A40,[7]LISTADHERENT!A$5:H$50,3,0)</f>
        <v>YOUMBI EMMANUEL</v>
      </c>
      <c r="C40" s="13">
        <f>VLOOKUP(A40,[8]HISTOAOUT24!$A$6:$BQ$40,56,0)</f>
        <v>0</v>
      </c>
      <c r="D40" s="13">
        <f>VLOOKUP(A40,[8]HISTOAOUT24!$A$6:$BQ$40,57,0)</f>
        <v>0</v>
      </c>
      <c r="E40" s="13"/>
      <c r="F40" s="13"/>
      <c r="G40" s="14">
        <f t="shared" si="0"/>
        <v>0</v>
      </c>
    </row>
    <row r="41" spans="1:7" ht="17.5" x14ac:dyDescent="0.35">
      <c r="A41" s="9"/>
      <c r="B41" s="10" t="s">
        <v>49</v>
      </c>
      <c r="C41" s="10"/>
      <c r="D41" s="10"/>
      <c r="E41" s="13"/>
      <c r="F41" s="13">
        <v>11074984</v>
      </c>
      <c r="G41" s="14"/>
    </row>
    <row r="42" spans="1:7" ht="24" thickBot="1" x14ac:dyDescent="0.6">
      <c r="A42" s="15"/>
      <c r="B42" s="16" t="s">
        <v>4</v>
      </c>
      <c r="C42" s="17">
        <f>SUM(C8:C41)</f>
        <v>3680250</v>
      </c>
      <c r="D42" s="17"/>
      <c r="E42" s="17">
        <f>SUM(E9:E41)</f>
        <v>0</v>
      </c>
      <c r="F42" s="17"/>
      <c r="G42" s="18">
        <f>SUM(G9:G41)</f>
        <v>0</v>
      </c>
    </row>
    <row r="43" spans="1:7" ht="15" thickTop="1" x14ac:dyDescent="0.35"/>
    <row r="44" spans="1:7" ht="26" x14ac:dyDescent="0.6">
      <c r="B44" s="5" t="s">
        <v>11</v>
      </c>
      <c r="C44" s="4">
        <f>C42-C7</f>
        <v>-12250</v>
      </c>
    </row>
    <row r="46" spans="1:7" x14ac:dyDescent="0.35">
      <c r="B46" s="1" t="s">
        <v>6</v>
      </c>
      <c r="C46" s="1"/>
      <c r="D46" s="1"/>
      <c r="E46" s="1"/>
      <c r="F46" s="1"/>
    </row>
    <row r="48" spans="1:7" x14ac:dyDescent="0.35">
      <c r="B48" t="s">
        <v>8</v>
      </c>
    </row>
    <row r="49" spans="2:2" x14ac:dyDescent="0.35">
      <c r="B49" t="s">
        <v>9</v>
      </c>
    </row>
    <row r="50" spans="2:2" x14ac:dyDescent="0.35">
      <c r="B50" t="s">
        <v>10</v>
      </c>
    </row>
  </sheetData>
  <autoFilter ref="A6:F40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82E89-EC09-4B3D-A07E-41EB5F1314E1}">
  <dimension ref="A1:G50"/>
  <sheetViews>
    <sheetView zoomScale="96" zoomScaleNormal="96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D5" sqref="D5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4" width="21.1796875" customWidth="1"/>
    <col min="5" max="5" width="17" bestFit="1" customWidth="1"/>
    <col min="6" max="6" width="17" customWidth="1"/>
    <col min="7" max="7" width="12.453125" bestFit="1" customWidth="1"/>
  </cols>
  <sheetData>
    <row r="1" spans="1:7" x14ac:dyDescent="0.35">
      <c r="A1" s="1" t="s">
        <v>2</v>
      </c>
      <c r="B1" s="1" t="s">
        <v>48</v>
      </c>
      <c r="C1" s="1"/>
      <c r="D1" s="1"/>
      <c r="E1" s="1"/>
      <c r="F1" s="1"/>
    </row>
    <row r="2" spans="1:7" x14ac:dyDescent="0.35">
      <c r="A2" s="1" t="s">
        <v>3</v>
      </c>
      <c r="B2" s="1">
        <v>2024</v>
      </c>
      <c r="C2" s="1"/>
      <c r="D2" s="1"/>
      <c r="E2" s="1"/>
      <c r="F2" s="1"/>
    </row>
    <row r="3" spans="1:7" x14ac:dyDescent="0.35">
      <c r="A3" s="1"/>
      <c r="B3" s="2"/>
      <c r="C3" s="2"/>
      <c r="D3" s="2"/>
      <c r="E3" s="2"/>
      <c r="F3" s="2"/>
    </row>
    <row r="4" spans="1:7" ht="15" thickBot="1" x14ac:dyDescent="0.4"/>
    <row r="5" spans="1:7" ht="68.25" customHeight="1" thickTop="1" x14ac:dyDescent="0.35">
      <c r="A5" s="6" t="s">
        <v>0</v>
      </c>
      <c r="B5" s="7" t="s">
        <v>1</v>
      </c>
      <c r="C5" s="7"/>
      <c r="D5" s="7"/>
      <c r="E5" s="7"/>
      <c r="F5" s="7"/>
      <c r="G5" s="8" t="s">
        <v>4</v>
      </c>
    </row>
    <row r="6" spans="1:7" ht="30" customHeight="1" x14ac:dyDescent="0.35">
      <c r="A6" s="9"/>
      <c r="B6" s="10"/>
      <c r="C6" s="10" t="s">
        <v>7</v>
      </c>
      <c r="D6" s="10" t="s">
        <v>5</v>
      </c>
      <c r="E6" s="11" t="s">
        <v>12</v>
      </c>
      <c r="F6" s="11" t="s">
        <v>13</v>
      </c>
      <c r="G6" s="12"/>
    </row>
    <row r="7" spans="1:7" ht="30" customHeight="1" x14ac:dyDescent="0.35">
      <c r="A7" s="9"/>
      <c r="B7" s="10" t="s">
        <v>14</v>
      </c>
      <c r="C7" s="13">
        <v>7270000</v>
      </c>
      <c r="D7" s="10"/>
      <c r="E7" s="13"/>
      <c r="F7" s="13"/>
      <c r="G7" s="12"/>
    </row>
    <row r="8" spans="1:7" ht="17.5" x14ac:dyDescent="0.35">
      <c r="A8" s="9" t="s">
        <v>15</v>
      </c>
      <c r="B8" s="10" t="str">
        <f>VLOOKUP(A8,[7]LISTADHERENT!A$5:H$50,3,0)</f>
        <v>ASELBY</v>
      </c>
      <c r="C8" s="13">
        <f>VLOOKUP(A8,[8]HISTOSEPT24!$A$6:$BQ$40,56,0)</f>
        <v>6000</v>
      </c>
      <c r="D8" s="13" t="str">
        <f>VLOOKUP(A8,[8]HISTOSEPT24!$A$6:$BQ$40,57,0)</f>
        <v>OK</v>
      </c>
      <c r="E8" s="13">
        <f>+[9]HISTOBQUESEPT24!$H$6</f>
        <v>2385</v>
      </c>
      <c r="F8" s="13"/>
      <c r="G8" s="14">
        <f t="shared" ref="G8:G40" si="0">SUM(E8:F8)</f>
        <v>2385</v>
      </c>
    </row>
    <row r="9" spans="1:7" ht="17.5" x14ac:dyDescent="0.35">
      <c r="A9" s="9" t="s">
        <v>16</v>
      </c>
      <c r="B9" s="10" t="str">
        <f>VLOOKUP(A9,[7]LISTADHERENT!A$5:H$50,3,0)</f>
        <v>BAKOP ACHILLE</v>
      </c>
      <c r="C9" s="13">
        <f>VLOOKUP(A9,[8]HISTOSEPT24!$A$6:$BQ$40,56,0)</f>
        <v>0</v>
      </c>
      <c r="D9" s="13">
        <f>VLOOKUP(A9,[8]HISTOSEPT24!$A$6:$BQ$40,57,0)</f>
        <v>0</v>
      </c>
      <c r="E9" s="13"/>
      <c r="F9" s="13"/>
      <c r="G9" s="14">
        <f t="shared" si="0"/>
        <v>0</v>
      </c>
    </row>
    <row r="10" spans="1:7" s="3" customFormat="1" ht="17.5" x14ac:dyDescent="0.35">
      <c r="A10" s="9" t="s">
        <v>17</v>
      </c>
      <c r="B10" s="10" t="str">
        <f>VLOOKUP(A10,[7]LISTADHERENT!A$5:H$50,3,0)</f>
        <v>BOUTCHOUANG WILLIAM</v>
      </c>
      <c r="C10" s="13">
        <f>VLOOKUP(A10,[8]HISTOSEPT24!$A$6:$BQ$40,56,0)</f>
        <v>892500</v>
      </c>
      <c r="D10" s="13">
        <f>VLOOKUP(A10,[8]HISTOSEPT24!$A$6:$BQ$40,57,0)</f>
        <v>0</v>
      </c>
      <c r="E10" s="13"/>
      <c r="F10" s="13"/>
      <c r="G10" s="14">
        <f t="shared" si="0"/>
        <v>0</v>
      </c>
    </row>
    <row r="11" spans="1:7" s="3" customFormat="1" ht="17.5" x14ac:dyDescent="0.35">
      <c r="A11" s="9" t="s">
        <v>18</v>
      </c>
      <c r="B11" s="10" t="str">
        <f>VLOOKUP(A11,[7]LISTADHERENT!A$5:H$50,3,0)</f>
        <v xml:space="preserve">DJOMO JEAN PAUL </v>
      </c>
      <c r="C11" s="13">
        <f>VLOOKUP(A11,[8]HISTOSEPT24!$A$6:$BQ$40,56,0)</f>
        <v>200000</v>
      </c>
      <c r="D11" s="13" t="str">
        <f>VLOOKUP(A11,[8]HISTOSEPT24!$A$6:$BQ$40,57,0)</f>
        <v>OK</v>
      </c>
      <c r="E11" s="13"/>
      <c r="F11" s="13"/>
      <c r="G11" s="14">
        <f t="shared" si="0"/>
        <v>0</v>
      </c>
    </row>
    <row r="12" spans="1:7" ht="17.5" x14ac:dyDescent="0.35">
      <c r="A12" s="9" t="s">
        <v>19</v>
      </c>
      <c r="B12" s="10" t="str">
        <f>VLOOKUP(A12,[7]LISTADHERENT!A$5:H$50,3,0)</f>
        <v>DJOMOU TCHAPDA</v>
      </c>
      <c r="C12" s="13">
        <f>VLOOKUP(A12,[8]HISTOSEPT24!$A$6:$BQ$40,56,0)</f>
        <v>0</v>
      </c>
      <c r="D12" s="13">
        <f>VLOOKUP(A12,[8]HISTOSEPT24!$A$6:$BQ$40,57,0)</f>
        <v>0</v>
      </c>
      <c r="E12" s="13"/>
      <c r="F12" s="13"/>
      <c r="G12" s="14">
        <f t="shared" si="0"/>
        <v>0</v>
      </c>
    </row>
    <row r="13" spans="1:7" ht="17.5" x14ac:dyDescent="0.35">
      <c r="A13" s="9" t="s">
        <v>20</v>
      </c>
      <c r="B13" s="10" t="str">
        <f>VLOOKUP(A13,[7]LISTADHERENT!A$5:H$50,3,0)</f>
        <v>DJOUKWE NANGUEN GUY BLAISE</v>
      </c>
      <c r="C13" s="13">
        <f>VLOOKUP(A13,[8]HISTOSEPT24!$A$6:$BQ$40,56,0)</f>
        <v>0</v>
      </c>
      <c r="D13" s="13">
        <f>VLOOKUP(A13,[8]HISTOSEPT24!$A$6:$BQ$40,57,0)</f>
        <v>0</v>
      </c>
      <c r="E13" s="13"/>
      <c r="F13" s="13"/>
      <c r="G13" s="14">
        <f t="shared" si="0"/>
        <v>0</v>
      </c>
    </row>
    <row r="14" spans="1:7" ht="17.5" x14ac:dyDescent="0.35">
      <c r="A14" s="9" t="s">
        <v>21</v>
      </c>
      <c r="B14" s="10" t="str">
        <f>VLOOKUP(A14,[7]LISTADHERENT!A$5:H$50,3,0)</f>
        <v>DJUOMBESSY ANTOINE</v>
      </c>
      <c r="C14" s="13">
        <f>VLOOKUP(A14,[8]HISTOSEPT24!$A$6:$BQ$40,56,0)</f>
        <v>200000</v>
      </c>
      <c r="D14" s="13" t="str">
        <f>VLOOKUP(A14,[8]HISTOSEPT24!$A$6:$BQ$40,57,0)</f>
        <v>OK</v>
      </c>
      <c r="E14" s="13"/>
      <c r="F14" s="13"/>
      <c r="G14" s="14">
        <f t="shared" si="0"/>
        <v>0</v>
      </c>
    </row>
    <row r="15" spans="1:7" s="3" customFormat="1" ht="17.5" x14ac:dyDescent="0.35">
      <c r="A15" s="9" t="s">
        <v>22</v>
      </c>
      <c r="B15" s="10" t="str">
        <f>VLOOKUP(A15,[7]LISTADHERENT!A$5:H$50,3,0)</f>
        <v>DOMOU FABIEN</v>
      </c>
      <c r="C15" s="13">
        <f>VLOOKUP(A15,[8]HISTOSEPT24!$A$6:$BQ$40,56,0)</f>
        <v>0</v>
      </c>
      <c r="D15" s="13">
        <f>VLOOKUP(A15,[8]HISTOSEPT24!$A$6:$BQ$40,57,0)</f>
        <v>0</v>
      </c>
      <c r="E15" s="13"/>
      <c r="F15" s="13"/>
      <c r="G15" s="14">
        <f t="shared" si="0"/>
        <v>0</v>
      </c>
    </row>
    <row r="16" spans="1:7" ht="17.5" x14ac:dyDescent="0.35">
      <c r="A16" s="9" t="s">
        <v>23</v>
      </c>
      <c r="B16" s="10" t="str">
        <f>VLOOKUP(A16,[7]LISTADHERENT!A$5:H$50,3,0)</f>
        <v>DONHOU DAVID</v>
      </c>
      <c r="C16" s="13">
        <f>VLOOKUP(A16,[8]HISTOSEPT24!$A$6:$BQ$40,56,0)</f>
        <v>0</v>
      </c>
      <c r="D16" s="13">
        <f>VLOOKUP(A16,[8]HISTOSEPT24!$A$6:$BQ$40,57,0)</f>
        <v>0</v>
      </c>
      <c r="E16" s="13"/>
      <c r="F16" s="13"/>
      <c r="G16" s="14">
        <f t="shared" si="0"/>
        <v>0</v>
      </c>
    </row>
    <row r="17" spans="1:7" ht="17.5" x14ac:dyDescent="0.35">
      <c r="A17" s="9" t="s">
        <v>24</v>
      </c>
      <c r="B17" s="10" t="str">
        <f>VLOOKUP(A17,[7]LISTADHERENT!A$5:H$50,3,0)</f>
        <v>HENGUE PAUL OMER</v>
      </c>
      <c r="C17" s="13">
        <f>VLOOKUP(A17,[8]HISTOSEPT24!$A$6:$BQ$40,56,0)</f>
        <v>0</v>
      </c>
      <c r="D17" s="13">
        <f>VLOOKUP(A17,[8]HISTOSEPT24!$A$6:$BQ$40,57,0)</f>
        <v>0</v>
      </c>
      <c r="E17" s="13"/>
      <c r="F17" s="13"/>
      <c r="G17" s="14">
        <f t="shared" si="0"/>
        <v>0</v>
      </c>
    </row>
    <row r="18" spans="1:7" ht="17.5" x14ac:dyDescent="0.35">
      <c r="A18" s="9" t="s">
        <v>25</v>
      </c>
      <c r="B18" s="10" t="str">
        <f>VLOOKUP(A18,[7]LISTADHERENT!A$5:H$50,3,0)</f>
        <v>HOTCHO BENJAMIN</v>
      </c>
      <c r="C18" s="13">
        <f>VLOOKUP(A18,[8]HISTOSEPT24!$A$6:$BQ$40,56,0)</f>
        <v>1180000</v>
      </c>
      <c r="D18" s="13" t="str">
        <f>VLOOKUP(A18,[8]HISTOSEPT24!$A$6:$BQ$40,57,0)</f>
        <v>OK</v>
      </c>
      <c r="E18" s="13"/>
      <c r="F18" s="13"/>
      <c r="G18" s="14">
        <f t="shared" si="0"/>
        <v>0</v>
      </c>
    </row>
    <row r="19" spans="1:7" ht="17.5" x14ac:dyDescent="0.35">
      <c r="A19" s="9" t="s">
        <v>26</v>
      </c>
      <c r="B19" s="10" t="str">
        <f>VLOOKUP(A19,[7]LISTADHERENT!A$5:H$50,3,0)</f>
        <v>KOUAMOU MOISE</v>
      </c>
      <c r="C19" s="13">
        <f>VLOOKUP(A19,[8]HISTOSEPT24!$A$6:$BQ$40,56,0)</f>
        <v>0</v>
      </c>
      <c r="D19" s="13">
        <f>VLOOKUP(A19,[8]HISTOSEPT24!$A$6:$BQ$40,57,0)</f>
        <v>0</v>
      </c>
      <c r="E19" s="13"/>
      <c r="F19" s="13"/>
      <c r="G19" s="14">
        <f t="shared" si="0"/>
        <v>0</v>
      </c>
    </row>
    <row r="20" spans="1:7" ht="17.5" x14ac:dyDescent="0.35">
      <c r="A20" s="9" t="s">
        <v>27</v>
      </c>
      <c r="B20" s="10" t="str">
        <f>VLOOKUP(A20,[7]LISTADHERENT!A$5:H$50,3,0)</f>
        <v>KOUATCHO MESSACK</v>
      </c>
      <c r="C20" s="13">
        <f>VLOOKUP(A20,[8]HISTOSEPT24!$A$6:$BQ$40,56,0)</f>
        <v>0</v>
      </c>
      <c r="D20" s="13">
        <f>VLOOKUP(A20,[8]HISTOSEPT24!$A$6:$BQ$40,57,0)</f>
        <v>0</v>
      </c>
      <c r="E20" s="13"/>
      <c r="F20" s="13"/>
      <c r="G20" s="14">
        <f t="shared" si="0"/>
        <v>0</v>
      </c>
    </row>
    <row r="21" spans="1:7" ht="17.5" x14ac:dyDescent="0.35">
      <c r="A21" s="9" t="s">
        <v>28</v>
      </c>
      <c r="B21" s="10" t="str">
        <f>VLOOKUP(A21,[7]LISTADHERENT!A$5:H$50,3,0)</f>
        <v>MASSEUNGOUE DAGOBERT</v>
      </c>
      <c r="C21" s="13">
        <f>VLOOKUP(A21,[8]HISTOSEPT24!$A$6:$BQ$40,56,0)</f>
        <v>0</v>
      </c>
      <c r="D21" s="13">
        <f>VLOOKUP(A21,[8]HISTOSEPT24!$A$6:$BQ$40,57,0)</f>
        <v>0</v>
      </c>
      <c r="E21" s="13"/>
      <c r="F21" s="13"/>
      <c r="G21" s="14">
        <f t="shared" si="0"/>
        <v>0</v>
      </c>
    </row>
    <row r="22" spans="1:7" ht="17.5" x14ac:dyDescent="0.35">
      <c r="A22" s="9" t="s">
        <v>29</v>
      </c>
      <c r="B22" s="10" t="str">
        <f>VLOOKUP(A22,[7]LISTADHERENT!A$5:H$50,3,0)</f>
        <v>MBOGNING TUGMA GUY</v>
      </c>
      <c r="C22" s="13">
        <f>VLOOKUP(A22,[8]HISTOSEPT24!$A$6:$BQ$40,56,0)</f>
        <v>160000</v>
      </c>
      <c r="D22" s="13" t="str">
        <f>VLOOKUP(A22,[8]HISTOSEPT24!$A$6:$BQ$40,57,0)</f>
        <v>OK</v>
      </c>
      <c r="E22" s="13"/>
      <c r="F22" s="13"/>
      <c r="G22" s="14">
        <f t="shared" si="0"/>
        <v>0</v>
      </c>
    </row>
    <row r="23" spans="1:7" ht="17.5" x14ac:dyDescent="0.35">
      <c r="A23" s="9" t="s">
        <v>30</v>
      </c>
      <c r="B23" s="10" t="str">
        <f>VLOOKUP(A23,[7]LISTADHERENT!A$5:H$50,3,0)</f>
        <v>NANGUEN MARTIN</v>
      </c>
      <c r="C23" s="13">
        <f>VLOOKUP(A23,[8]HISTOSEPT24!$A$6:$BQ$40,56,0)</f>
        <v>0</v>
      </c>
      <c r="D23" s="13">
        <f>VLOOKUP(A23,[8]HISTOSEPT24!$A$6:$BQ$40,57,0)</f>
        <v>0</v>
      </c>
      <c r="E23" s="13"/>
      <c r="F23" s="13"/>
      <c r="G23" s="14">
        <f t="shared" si="0"/>
        <v>0</v>
      </c>
    </row>
    <row r="24" spans="1:7" ht="17.5" x14ac:dyDescent="0.35">
      <c r="A24" s="9" t="s">
        <v>31</v>
      </c>
      <c r="B24" s="10" t="str">
        <f>VLOOKUP(A24,[7]LISTADHERENT!A$5:H$50,3,0)</f>
        <v>NANKAM APPOLINAIRE</v>
      </c>
      <c r="C24" s="13">
        <f>VLOOKUP(A24,[8]HISTOSEPT24!$A$6:$BQ$40,56,0)</f>
        <v>0</v>
      </c>
      <c r="D24" s="13">
        <f>VLOOKUP(A24,[8]HISTOSEPT24!$A$6:$BQ$40,57,0)</f>
        <v>0</v>
      </c>
      <c r="E24" s="13"/>
      <c r="F24" s="13"/>
      <c r="G24" s="14">
        <f t="shared" si="0"/>
        <v>0</v>
      </c>
    </row>
    <row r="25" spans="1:7" ht="17.5" x14ac:dyDescent="0.35">
      <c r="A25" s="9" t="s">
        <v>32</v>
      </c>
      <c r="B25" s="10" t="str">
        <f>VLOOKUP(A25,[7]LISTADHERENT!A$5:H$50,3,0)</f>
        <v>NDJOMO ETIENNE</v>
      </c>
      <c r="C25" s="13">
        <f>VLOOKUP(A25,[8]HISTOSEPT24!$A$6:$BQ$40,56,0)</f>
        <v>1390000</v>
      </c>
      <c r="D25" s="13" t="str">
        <f>VLOOKUP(A25,[8]HISTOSEPT24!$A$6:$BQ$40,57,0)</f>
        <v>OK</v>
      </c>
      <c r="E25" s="13"/>
      <c r="F25" s="13"/>
      <c r="G25" s="14">
        <f t="shared" si="0"/>
        <v>0</v>
      </c>
    </row>
    <row r="26" spans="1:7" ht="17.5" x14ac:dyDescent="0.35">
      <c r="A26" s="9" t="s">
        <v>33</v>
      </c>
      <c r="B26" s="10" t="str">
        <f>VLOOKUP(A26,[7]LISTADHERENT!A$5:H$50,3,0)</f>
        <v>NGONDIEP CLAUDE</v>
      </c>
      <c r="C26" s="13">
        <f>VLOOKUP(A26,[8]HISTOSEPT24!$A$6:$BQ$40,56,0)</f>
        <v>0</v>
      </c>
      <c r="D26" s="13" t="str">
        <f>VLOOKUP(A26,[8]HISTOSEPT24!$A$6:$BQ$40,57,0)</f>
        <v>OK</v>
      </c>
      <c r="E26" s="13"/>
      <c r="F26" s="13"/>
      <c r="G26" s="14">
        <f t="shared" si="0"/>
        <v>0</v>
      </c>
    </row>
    <row r="27" spans="1:7" ht="17.5" x14ac:dyDescent="0.35">
      <c r="A27" s="9" t="s">
        <v>34</v>
      </c>
      <c r="B27" s="10" t="str">
        <f>VLOOKUP(A27,[7]LISTADHERENT!A$5:H$50,3,0)</f>
        <v>NGUIEMEGNI MATHIEU BLAISE</v>
      </c>
      <c r="C27" s="13">
        <f>VLOOKUP(A27,[8]HISTOSEPT24!$A$6:$BQ$40,56,0)</f>
        <v>992500</v>
      </c>
      <c r="D27" s="13" t="str">
        <f>VLOOKUP(A27,[8]HISTOSEPT24!$A$6:$BQ$40,57,0)</f>
        <v>OK</v>
      </c>
      <c r="E27" s="13"/>
      <c r="F27" s="13"/>
      <c r="G27" s="14">
        <f t="shared" si="0"/>
        <v>0</v>
      </c>
    </row>
    <row r="28" spans="1:7" ht="17.5" x14ac:dyDescent="0.35">
      <c r="A28" s="9" t="s">
        <v>35</v>
      </c>
      <c r="B28" s="10" t="str">
        <f>VLOOKUP(A28,[7]LISTADHERENT!A$5:H$50,3,0)</f>
        <v>NKAMGANG JUSTIN DEJOLIE</v>
      </c>
      <c r="C28" s="13">
        <f>VLOOKUP(A28,[8]HISTOSEPT24!$A$6:$BQ$40,56,0)</f>
        <v>0</v>
      </c>
      <c r="D28" s="13">
        <f>VLOOKUP(A28,[8]HISTOSEPT24!$A$6:$BQ$40,57,0)</f>
        <v>0</v>
      </c>
      <c r="E28" s="13"/>
      <c r="F28" s="13"/>
      <c r="G28" s="14">
        <f t="shared" si="0"/>
        <v>0</v>
      </c>
    </row>
    <row r="29" spans="1:7" ht="17.5" x14ac:dyDescent="0.35">
      <c r="A29" s="9" t="s">
        <v>36</v>
      </c>
      <c r="B29" s="10" t="str">
        <f>VLOOKUP(A29,[7]LISTADHERENT!A$5:H$50,3,0)</f>
        <v>NOUBE ETIENNE</v>
      </c>
      <c r="C29" s="13">
        <f>VLOOKUP(A29,[8]HISTOSEPT24!$A$6:$BQ$40,56,0)</f>
        <v>0</v>
      </c>
      <c r="D29" s="13">
        <f>VLOOKUP(A29,[8]HISTOSEPT24!$A$6:$BQ$40,57,0)</f>
        <v>0</v>
      </c>
      <c r="E29" s="13"/>
      <c r="F29" s="13"/>
      <c r="G29" s="14">
        <f t="shared" si="0"/>
        <v>0</v>
      </c>
    </row>
    <row r="30" spans="1:7" ht="17.5" x14ac:dyDescent="0.35">
      <c r="A30" s="9" t="s">
        <v>37</v>
      </c>
      <c r="B30" s="10" t="str">
        <f>VLOOKUP(A30,[7]LISTADHERENT!A$5:H$50,3,0)</f>
        <v>PATEGO NJOSSU GUSTAVE</v>
      </c>
      <c r="C30" s="13">
        <f>VLOOKUP(A30,[8]HISTOSEPT24!$A$6:$BQ$40,56,0)</f>
        <v>0</v>
      </c>
      <c r="D30" s="13">
        <f>VLOOKUP(A30,[8]HISTOSEPT24!$A$6:$BQ$40,57,0)</f>
        <v>0</v>
      </c>
      <c r="E30" s="13"/>
      <c r="F30" s="13"/>
      <c r="G30" s="14">
        <f t="shared" si="0"/>
        <v>0</v>
      </c>
    </row>
    <row r="31" spans="1:7" ht="17.5" x14ac:dyDescent="0.35">
      <c r="A31" s="9" t="s">
        <v>38</v>
      </c>
      <c r="B31" s="10" t="str">
        <f>VLOOKUP(A31,[7]LISTADHERENT!A$5:H$50,3,0)</f>
        <v>SEUMO POLYCARPE</v>
      </c>
      <c r="C31" s="13">
        <f>VLOOKUP(A31,[8]HISTOSEPT24!$A$6:$BQ$40,56,0)</f>
        <v>297000</v>
      </c>
      <c r="D31" s="13" t="str">
        <f>VLOOKUP(A31,[8]HISTOSEPT24!$A$6:$BQ$40,57,0)</f>
        <v>OK</v>
      </c>
      <c r="E31" s="13"/>
      <c r="F31" s="13"/>
      <c r="G31" s="14">
        <f t="shared" si="0"/>
        <v>0</v>
      </c>
    </row>
    <row r="32" spans="1:7" ht="17.5" x14ac:dyDescent="0.35">
      <c r="A32" s="9" t="s">
        <v>39</v>
      </c>
      <c r="B32" s="10" t="str">
        <f>VLOOKUP(A32,[7]LISTADHERENT!A$5:H$50,3,0)</f>
        <v>SIME BRICE</v>
      </c>
      <c r="C32" s="13">
        <f>VLOOKUP(A32,[8]HISTOSEPT24!$A$6:$BQ$40,56,0)</f>
        <v>200000</v>
      </c>
      <c r="D32" s="13" t="str">
        <f>VLOOKUP(A32,[8]HISTOSEPT24!$A$6:$BQ$40,57,0)</f>
        <v>OK</v>
      </c>
      <c r="E32" s="13"/>
      <c r="F32" s="13"/>
      <c r="G32" s="14">
        <f t="shared" si="0"/>
        <v>0</v>
      </c>
    </row>
    <row r="33" spans="1:7" ht="17.5" x14ac:dyDescent="0.35">
      <c r="A33" s="9" t="s">
        <v>40</v>
      </c>
      <c r="B33" s="10" t="str">
        <f>VLOOKUP(A33,[7]LISTADHERENT!A$5:H$50,3,0)</f>
        <v>SIMO PIERRE</v>
      </c>
      <c r="C33" s="13">
        <f>VLOOKUP(A33,[8]HISTOSEPT24!$A$6:$BQ$40,56,0)</f>
        <v>0</v>
      </c>
      <c r="D33" s="13" t="str">
        <f>VLOOKUP(A33,[8]HISTOSEPT24!$A$6:$BQ$40,57,0)</f>
        <v>OK</v>
      </c>
      <c r="E33" s="13"/>
      <c r="F33" s="13"/>
      <c r="G33" s="14">
        <f t="shared" si="0"/>
        <v>0</v>
      </c>
    </row>
    <row r="34" spans="1:7" ht="17.5" x14ac:dyDescent="0.35">
      <c r="A34" s="9" t="s">
        <v>41</v>
      </c>
      <c r="B34" s="10" t="str">
        <f>VLOOKUP(A34,[7]LISTADHERENT!A$5:H$50,3,0)</f>
        <v>TCHOUAMOU MATHIEU</v>
      </c>
      <c r="C34" s="13">
        <f>VLOOKUP(A34,[8]HISTOSEPT24!$A$6:$BQ$40,56,0)</f>
        <v>47000</v>
      </c>
      <c r="D34" s="13" t="str">
        <f>VLOOKUP(A34,[8]HISTOSEPT24!$A$6:$BQ$40,57,0)</f>
        <v>OK</v>
      </c>
      <c r="E34" s="13"/>
      <c r="F34" s="13"/>
      <c r="G34" s="14">
        <f t="shared" si="0"/>
        <v>0</v>
      </c>
    </row>
    <row r="35" spans="1:7" ht="17.5" x14ac:dyDescent="0.35">
      <c r="A35" s="9" t="s">
        <v>42</v>
      </c>
      <c r="B35" s="10" t="str">
        <f>VLOOKUP(A35,[7]LISTADHERENT!A$5:H$50,3,0)</f>
        <v>TCHOUATEU AUGUSTIN</v>
      </c>
      <c r="C35" s="13">
        <f>VLOOKUP(A35,[8]HISTOSEPT24!$A$6:$BQ$40,56,0)</f>
        <v>1180000</v>
      </c>
      <c r="D35" s="13" t="str">
        <f>VLOOKUP(A35,[8]HISTOSEPT24!$A$6:$BQ$40,57,0)</f>
        <v>OK</v>
      </c>
      <c r="E35" s="13"/>
      <c r="F35" s="13"/>
      <c r="G35" s="14">
        <f t="shared" si="0"/>
        <v>0</v>
      </c>
    </row>
    <row r="36" spans="1:7" s="3" customFormat="1" ht="17.5" x14ac:dyDescent="0.35">
      <c r="A36" s="9" t="s">
        <v>43</v>
      </c>
      <c r="B36" s="10" t="str">
        <f>VLOOKUP(A36,[7]LISTADHERENT!A$5:H$50,3,0)</f>
        <v>TCHOUTOU NANA CLAUDE</v>
      </c>
      <c r="C36" s="13">
        <f>VLOOKUP(A36,[8]HISTOSEPT24!$A$6:$BQ$40,56,0)</f>
        <v>0</v>
      </c>
      <c r="D36" s="13">
        <f>VLOOKUP(A36,[8]HISTOSEPT24!$A$6:$BQ$40,57,0)</f>
        <v>0</v>
      </c>
      <c r="E36" s="13"/>
      <c r="F36" s="13"/>
      <c r="G36" s="14">
        <f t="shared" si="0"/>
        <v>0</v>
      </c>
    </row>
    <row r="37" spans="1:7" ht="17.5" x14ac:dyDescent="0.35">
      <c r="A37" s="9" t="s">
        <v>44</v>
      </c>
      <c r="B37" s="10" t="str">
        <f>VLOOKUP(A37,[7]LISTADHERENT!A$5:H$50,3,0)</f>
        <v>YANTCHOU GERVAIS</v>
      </c>
      <c r="C37" s="13">
        <f>VLOOKUP(A37,[8]HISTOSEPT24!$A$6:$BQ$40,56,0)</f>
        <v>100000</v>
      </c>
      <c r="D37" s="13" t="str">
        <f>VLOOKUP(A37,[8]HISTOSEPT24!$A$6:$BQ$40,57,0)</f>
        <v>OK</v>
      </c>
      <c r="E37" s="13"/>
      <c r="F37" s="13"/>
      <c r="G37" s="14">
        <f t="shared" si="0"/>
        <v>0</v>
      </c>
    </row>
    <row r="38" spans="1:7" ht="17.5" x14ac:dyDescent="0.35">
      <c r="A38" s="9" t="s">
        <v>45</v>
      </c>
      <c r="B38" s="10" t="str">
        <f>VLOOKUP(A38,[7]LISTADHERENT!A$5:H$50,3,0)</f>
        <v>YEPMOU JEAN JACQUES</v>
      </c>
      <c r="C38" s="13">
        <f>VLOOKUP(A38,[8]HISTOSEPT24!$A$6:$BQ$40,56,0)</f>
        <v>0</v>
      </c>
      <c r="D38" s="13">
        <f>VLOOKUP(A38,[8]HISTOSEPT24!$A$6:$BQ$40,57,0)</f>
        <v>0</v>
      </c>
      <c r="E38" s="13"/>
      <c r="F38" s="13"/>
      <c r="G38" s="14">
        <f t="shared" si="0"/>
        <v>0</v>
      </c>
    </row>
    <row r="39" spans="1:7" ht="17.5" x14ac:dyDescent="0.35">
      <c r="A39" s="9" t="s">
        <v>46</v>
      </c>
      <c r="B39" s="10" t="str">
        <f>VLOOKUP(A39,[7]LISTADHERENT!A$5:H$50,3,0)</f>
        <v>YIALA ALAIN OSCAR</v>
      </c>
      <c r="C39" s="13">
        <f>VLOOKUP(A39,[8]HISTOSEPT24!$A$6:$BQ$40,56,0)</f>
        <v>426000</v>
      </c>
      <c r="D39" s="13" t="str">
        <f>VLOOKUP(A39,[8]HISTOSEPT24!$A$6:$BQ$40,57,0)</f>
        <v>OK</v>
      </c>
      <c r="E39" s="13"/>
      <c r="F39" s="13"/>
      <c r="G39" s="14">
        <f t="shared" si="0"/>
        <v>0</v>
      </c>
    </row>
    <row r="40" spans="1:7" ht="17.5" x14ac:dyDescent="0.35">
      <c r="A40" s="9" t="s">
        <v>47</v>
      </c>
      <c r="B40" s="10" t="str">
        <f>VLOOKUP(A40,[7]LISTADHERENT!A$5:H$50,3,0)</f>
        <v>YOUMBI EMMANUEL</v>
      </c>
      <c r="C40" s="13">
        <f>VLOOKUP(A40,[8]HISTOSEPT24!$A$6:$BQ$40,56,0)</f>
        <v>0</v>
      </c>
      <c r="D40" s="13">
        <f>VLOOKUP(A40,[8]HISTOSEPT24!$A$6:$BQ$40,57,0)</f>
        <v>0</v>
      </c>
      <c r="E40" s="13"/>
      <c r="F40" s="13"/>
      <c r="G40" s="14">
        <f t="shared" si="0"/>
        <v>0</v>
      </c>
    </row>
    <row r="41" spans="1:7" ht="17.5" x14ac:dyDescent="0.35">
      <c r="A41" s="9"/>
      <c r="B41" s="10" t="s">
        <v>49</v>
      </c>
      <c r="C41" s="10"/>
      <c r="D41" s="10"/>
      <c r="E41" s="13"/>
      <c r="F41" s="13">
        <v>12881599</v>
      </c>
      <c r="G41" s="14"/>
    </row>
    <row r="42" spans="1:7" ht="24" thickBot="1" x14ac:dyDescent="0.6">
      <c r="A42" s="15"/>
      <c r="B42" s="16" t="s">
        <v>4</v>
      </c>
      <c r="C42" s="17">
        <f>SUM(C8:C41)</f>
        <v>7271000</v>
      </c>
      <c r="D42" s="17"/>
      <c r="E42" s="17">
        <f>SUM(E9:E41)</f>
        <v>0</v>
      </c>
      <c r="F42" s="17"/>
      <c r="G42" s="18">
        <f>SUM(G9:G41)</f>
        <v>0</v>
      </c>
    </row>
    <row r="43" spans="1:7" ht="15" thickTop="1" x14ac:dyDescent="0.35"/>
    <row r="44" spans="1:7" ht="26" x14ac:dyDescent="0.6">
      <c r="B44" s="5" t="s">
        <v>11</v>
      </c>
      <c r="C44" s="4">
        <f>C42-C7</f>
        <v>1000</v>
      </c>
    </row>
    <row r="46" spans="1:7" x14ac:dyDescent="0.35">
      <c r="B46" s="1" t="s">
        <v>6</v>
      </c>
      <c r="C46" s="1"/>
      <c r="D46" s="1"/>
      <c r="E46" s="1"/>
      <c r="F46" s="1"/>
    </row>
    <row r="48" spans="1:7" x14ac:dyDescent="0.35">
      <c r="B48" t="s">
        <v>8</v>
      </c>
    </row>
    <row r="49" spans="2:2" x14ac:dyDescent="0.35">
      <c r="B49" t="s">
        <v>9</v>
      </c>
    </row>
    <row r="50" spans="2:2" x14ac:dyDescent="0.35">
      <c r="B50" t="s">
        <v>10</v>
      </c>
    </row>
  </sheetData>
  <autoFilter ref="A6:F40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CEAE6-579B-4ED8-985E-4560FF2AEC20}">
  <dimension ref="A1:G50"/>
  <sheetViews>
    <sheetView zoomScale="96" zoomScaleNormal="96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D5" sqref="D5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4" width="21.1796875" customWidth="1"/>
    <col min="5" max="5" width="17" bestFit="1" customWidth="1"/>
    <col min="6" max="6" width="17" customWidth="1"/>
    <col min="7" max="7" width="12.453125" bestFit="1" customWidth="1"/>
  </cols>
  <sheetData>
    <row r="1" spans="1:7" x14ac:dyDescent="0.35">
      <c r="A1" s="1" t="s">
        <v>2</v>
      </c>
      <c r="B1" s="1" t="s">
        <v>48</v>
      </c>
      <c r="C1" s="1"/>
      <c r="D1" s="1"/>
      <c r="E1" s="1"/>
      <c r="F1" s="1"/>
    </row>
    <row r="2" spans="1:7" x14ac:dyDescent="0.35">
      <c r="A2" s="1" t="s">
        <v>3</v>
      </c>
      <c r="B2" s="1">
        <v>2024</v>
      </c>
      <c r="C2" s="1"/>
      <c r="D2" s="1"/>
      <c r="E2" s="1"/>
      <c r="F2" s="1"/>
    </row>
    <row r="3" spans="1:7" x14ac:dyDescent="0.35">
      <c r="A3" s="1"/>
      <c r="B3" s="2"/>
      <c r="C3" s="2"/>
      <c r="D3" s="2"/>
      <c r="E3" s="2"/>
      <c r="F3" s="2"/>
    </row>
    <row r="4" spans="1:7" ht="15" thickBot="1" x14ac:dyDescent="0.4"/>
    <row r="5" spans="1:7" ht="68.25" customHeight="1" thickTop="1" x14ac:dyDescent="0.35">
      <c r="A5" s="6" t="s">
        <v>0</v>
      </c>
      <c r="B5" s="7" t="s">
        <v>1</v>
      </c>
      <c r="C5" s="7"/>
      <c r="D5" s="7"/>
      <c r="E5" s="7"/>
      <c r="F5" s="7"/>
      <c r="G5" s="8" t="s">
        <v>4</v>
      </c>
    </row>
    <row r="6" spans="1:7" ht="30" customHeight="1" x14ac:dyDescent="0.35">
      <c r="A6" s="9"/>
      <c r="B6" s="10"/>
      <c r="C6" s="10" t="s">
        <v>7</v>
      </c>
      <c r="D6" s="10" t="s">
        <v>5</v>
      </c>
      <c r="E6" s="11" t="s">
        <v>12</v>
      </c>
      <c r="F6" s="11" t="s">
        <v>13</v>
      </c>
      <c r="G6" s="12"/>
    </row>
    <row r="7" spans="1:7" ht="30" customHeight="1" x14ac:dyDescent="0.35">
      <c r="A7" s="9"/>
      <c r="B7" s="10" t="s">
        <v>14</v>
      </c>
      <c r="C7" s="13">
        <v>6170500</v>
      </c>
      <c r="D7" s="10"/>
      <c r="E7" s="13">
        <v>2385</v>
      </c>
      <c r="F7" s="13"/>
      <c r="G7" s="12"/>
    </row>
    <row r="8" spans="1:7" ht="17.5" x14ac:dyDescent="0.35">
      <c r="A8" s="9" t="s">
        <v>15</v>
      </c>
      <c r="B8" s="10" t="str">
        <f>VLOOKUP(A8,[7]LISTADHERENT!A$5:H$50,3,0)</f>
        <v>ASELBY</v>
      </c>
      <c r="C8" s="13">
        <f>VLOOKUP(A8,[8]HISTOOCT24!$A$6:$BQ$40,56,0)</f>
        <v>1257000</v>
      </c>
      <c r="D8" s="13">
        <f>VLOOKUP(A8,[8]HISTOOCT24!$A$6:$BQ$40,57,0)</f>
        <v>0</v>
      </c>
      <c r="E8" s="13">
        <f>+[9]HISTOBQUEOCT24!$H$6</f>
        <v>0</v>
      </c>
      <c r="F8" s="13"/>
      <c r="G8" s="14">
        <f t="shared" ref="G8:G40" si="0">SUM(E8:F8)</f>
        <v>0</v>
      </c>
    </row>
    <row r="9" spans="1:7" ht="17.5" x14ac:dyDescent="0.35">
      <c r="A9" s="9" t="s">
        <v>16</v>
      </c>
      <c r="B9" s="10" t="str">
        <f>VLOOKUP(A9,[7]LISTADHERENT!A$5:H$50,3,0)</f>
        <v>BAKOP ACHILLE</v>
      </c>
      <c r="C9" s="13">
        <f>VLOOKUP(A9,[8]HISTOOCT24!$A$6:$BQ$40,56,0)</f>
        <v>0</v>
      </c>
      <c r="D9" s="13">
        <f>VLOOKUP(A9,[8]HISTOOCT24!$A$6:$BQ$40,57,0)</f>
        <v>0</v>
      </c>
      <c r="E9" s="13"/>
      <c r="F9" s="13"/>
      <c r="G9" s="14">
        <f t="shared" si="0"/>
        <v>0</v>
      </c>
    </row>
    <row r="10" spans="1:7" s="3" customFormat="1" ht="17.5" x14ac:dyDescent="0.35">
      <c r="A10" s="9" t="s">
        <v>17</v>
      </c>
      <c r="B10" s="10" t="str">
        <f>VLOOKUP(A10,[7]LISTADHERENT!A$5:H$50,3,0)</f>
        <v>BOUTCHOUANG WILLIAM</v>
      </c>
      <c r="C10" s="13">
        <f>VLOOKUP(A10,[8]HISTOOCT24!$A$6:$BQ$40,56,0)</f>
        <v>297500</v>
      </c>
      <c r="D10" s="13" t="str">
        <f>VLOOKUP(A10,[8]HISTOOCT24!$A$6:$BQ$40,57,0)</f>
        <v>OK</v>
      </c>
      <c r="E10" s="13"/>
      <c r="F10" s="13"/>
      <c r="G10" s="14">
        <f t="shared" si="0"/>
        <v>0</v>
      </c>
    </row>
    <row r="11" spans="1:7" s="3" customFormat="1" ht="17.5" x14ac:dyDescent="0.35">
      <c r="A11" s="9" t="s">
        <v>18</v>
      </c>
      <c r="B11" s="10" t="str">
        <f>VLOOKUP(A11,[7]LISTADHERENT!A$5:H$50,3,0)</f>
        <v xml:space="preserve">DJOMO JEAN PAUL </v>
      </c>
      <c r="C11" s="13">
        <f>VLOOKUP(A11,[8]HISTOOCT24!$A$6:$BQ$40,56,0)</f>
        <v>1190000</v>
      </c>
      <c r="D11" s="13" t="str">
        <f>VLOOKUP(A11,[8]HISTOOCT24!$A$6:$BQ$40,57,0)</f>
        <v>OK</v>
      </c>
      <c r="E11" s="13"/>
      <c r="F11" s="13"/>
      <c r="G11" s="14">
        <f t="shared" si="0"/>
        <v>0</v>
      </c>
    </row>
    <row r="12" spans="1:7" ht="17.5" x14ac:dyDescent="0.35">
      <c r="A12" s="9" t="s">
        <v>19</v>
      </c>
      <c r="B12" s="10" t="str">
        <f>VLOOKUP(A12,[7]LISTADHERENT!A$5:H$50,3,0)</f>
        <v>DJOMOU TCHAPDA</v>
      </c>
      <c r="C12" s="13">
        <f>VLOOKUP(A12,[8]HISTOOCT24!$A$6:$BQ$40,56,0)</f>
        <v>100000</v>
      </c>
      <c r="D12" s="13" t="str">
        <f>VLOOKUP(A12,[8]HISTOOCT24!$A$6:$BQ$40,57,0)</f>
        <v>OK</v>
      </c>
      <c r="E12" s="13"/>
      <c r="F12" s="13"/>
      <c r="G12" s="14">
        <f t="shared" si="0"/>
        <v>0</v>
      </c>
    </row>
    <row r="13" spans="1:7" ht="17.5" x14ac:dyDescent="0.35">
      <c r="A13" s="9" t="s">
        <v>20</v>
      </c>
      <c r="B13" s="10" t="str">
        <f>VLOOKUP(A13,[7]LISTADHERENT!A$5:H$50,3,0)</f>
        <v>DJOUKWE NANGUEN GUY BLAISE</v>
      </c>
      <c r="C13" s="13">
        <f>VLOOKUP(A13,[8]HISTOOCT24!$A$6:$BQ$40,56,0)</f>
        <v>0</v>
      </c>
      <c r="D13" s="13">
        <f>VLOOKUP(A13,[8]HISTOOCT24!$A$6:$BQ$40,57,0)</f>
        <v>0</v>
      </c>
      <c r="E13" s="13"/>
      <c r="F13" s="13"/>
      <c r="G13" s="14">
        <f t="shared" si="0"/>
        <v>0</v>
      </c>
    </row>
    <row r="14" spans="1:7" ht="17.5" x14ac:dyDescent="0.35">
      <c r="A14" s="9" t="s">
        <v>21</v>
      </c>
      <c r="B14" s="10" t="str">
        <f>VLOOKUP(A14,[7]LISTADHERENT!A$5:H$50,3,0)</f>
        <v>DJUOMBESSY ANTOINE</v>
      </c>
      <c r="C14" s="13">
        <f>VLOOKUP(A14,[8]HISTOOCT24!$A$6:$BQ$40,56,0)</f>
        <v>400000</v>
      </c>
      <c r="D14" s="13" t="str">
        <f>VLOOKUP(A14,[8]HISTOOCT24!$A$6:$BQ$40,57,0)</f>
        <v>OK</v>
      </c>
      <c r="E14" s="13"/>
      <c r="F14" s="13"/>
      <c r="G14" s="14">
        <f t="shared" si="0"/>
        <v>0</v>
      </c>
    </row>
    <row r="15" spans="1:7" s="3" customFormat="1" ht="17.5" x14ac:dyDescent="0.35">
      <c r="A15" s="9" t="s">
        <v>22</v>
      </c>
      <c r="B15" s="10" t="str">
        <f>VLOOKUP(A15,[7]LISTADHERENT!A$5:H$50,3,0)</f>
        <v>DOMOU FABIEN</v>
      </c>
      <c r="C15" s="13">
        <f>VLOOKUP(A15,[8]HISTOOCT24!$A$6:$BQ$40,56,0)</f>
        <v>0</v>
      </c>
      <c r="D15" s="13">
        <f>VLOOKUP(A15,[8]HISTOOCT24!$A$6:$BQ$40,57,0)</f>
        <v>0</v>
      </c>
      <c r="E15" s="13"/>
      <c r="F15" s="13"/>
      <c r="G15" s="14">
        <f t="shared" si="0"/>
        <v>0</v>
      </c>
    </row>
    <row r="16" spans="1:7" ht="17.5" x14ac:dyDescent="0.35">
      <c r="A16" s="9" t="s">
        <v>23</v>
      </c>
      <c r="B16" s="10" t="str">
        <f>VLOOKUP(A16,[7]LISTADHERENT!A$5:H$50,3,0)</f>
        <v>DONHOU DAVID</v>
      </c>
      <c r="C16" s="13">
        <f>VLOOKUP(A16,[8]HISTOOCT24!$A$6:$BQ$40,56,0)</f>
        <v>0</v>
      </c>
      <c r="D16" s="13">
        <f>VLOOKUP(A16,[8]HISTOOCT24!$A$6:$BQ$40,57,0)</f>
        <v>0</v>
      </c>
      <c r="E16" s="13"/>
      <c r="F16" s="13"/>
      <c r="G16" s="14">
        <f t="shared" si="0"/>
        <v>0</v>
      </c>
    </row>
    <row r="17" spans="1:7" ht="17.5" x14ac:dyDescent="0.35">
      <c r="A17" s="9" t="s">
        <v>24</v>
      </c>
      <c r="B17" s="10" t="str">
        <f>VLOOKUP(A17,[7]LISTADHERENT!A$5:H$50,3,0)</f>
        <v>HENGUE PAUL OMER</v>
      </c>
      <c r="C17" s="13">
        <f>VLOOKUP(A17,[8]HISTOOCT24!$A$6:$BQ$40,56,0)</f>
        <v>0</v>
      </c>
      <c r="D17" s="13">
        <f>VLOOKUP(A17,[8]HISTOOCT24!$A$6:$BQ$40,57,0)</f>
        <v>0</v>
      </c>
      <c r="E17" s="13"/>
      <c r="F17" s="13"/>
      <c r="G17" s="14">
        <f t="shared" si="0"/>
        <v>0</v>
      </c>
    </row>
    <row r="18" spans="1:7" ht="17.5" x14ac:dyDescent="0.35">
      <c r="A18" s="9" t="s">
        <v>25</v>
      </c>
      <c r="B18" s="10" t="str">
        <f>VLOOKUP(A18,[7]LISTADHERENT!A$5:H$50,3,0)</f>
        <v>HOTCHO BENJAMIN</v>
      </c>
      <c r="C18" s="13">
        <f>VLOOKUP(A18,[8]HISTOOCT24!$A$6:$BQ$40,56,0)</f>
        <v>300000</v>
      </c>
      <c r="D18" s="13" t="str">
        <f>VLOOKUP(A18,[8]HISTOOCT24!$A$6:$BQ$40,57,0)</f>
        <v>OK</v>
      </c>
      <c r="E18" s="13"/>
      <c r="F18" s="13"/>
      <c r="G18" s="14">
        <f t="shared" si="0"/>
        <v>0</v>
      </c>
    </row>
    <row r="19" spans="1:7" ht="17.5" x14ac:dyDescent="0.35">
      <c r="A19" s="9" t="s">
        <v>26</v>
      </c>
      <c r="B19" s="10" t="str">
        <f>VLOOKUP(A19,[7]LISTADHERENT!A$5:H$50,3,0)</f>
        <v>KOUAMOU MOISE</v>
      </c>
      <c r="C19" s="13">
        <f>VLOOKUP(A19,[8]HISTOOCT24!$A$6:$BQ$40,56,0)</f>
        <v>50000</v>
      </c>
      <c r="D19" s="13" t="str">
        <f>VLOOKUP(A19,[8]HISTOOCT24!$A$6:$BQ$40,57,0)</f>
        <v>OK</v>
      </c>
      <c r="E19" s="13"/>
      <c r="F19" s="13"/>
      <c r="G19" s="14">
        <f t="shared" si="0"/>
        <v>0</v>
      </c>
    </row>
    <row r="20" spans="1:7" ht="17.5" x14ac:dyDescent="0.35">
      <c r="A20" s="9" t="s">
        <v>27</v>
      </c>
      <c r="B20" s="10" t="str">
        <f>VLOOKUP(A20,[7]LISTADHERENT!A$5:H$50,3,0)</f>
        <v>KOUATCHO MESSACK</v>
      </c>
      <c r="C20" s="13">
        <f>VLOOKUP(A20,[8]HISTOOCT24!$A$6:$BQ$40,56,0)</f>
        <v>0</v>
      </c>
      <c r="D20" s="13">
        <f>VLOOKUP(A20,[8]HISTOOCT24!$A$6:$BQ$40,57,0)</f>
        <v>0</v>
      </c>
      <c r="E20" s="13"/>
      <c r="F20" s="13"/>
      <c r="G20" s="14">
        <f t="shared" si="0"/>
        <v>0</v>
      </c>
    </row>
    <row r="21" spans="1:7" ht="17.5" x14ac:dyDescent="0.35">
      <c r="A21" s="9" t="s">
        <v>28</v>
      </c>
      <c r="B21" s="10" t="str">
        <f>VLOOKUP(A21,[7]LISTADHERENT!A$5:H$50,3,0)</f>
        <v>MASSEUNGOUE DAGOBERT</v>
      </c>
      <c r="C21" s="13">
        <f>VLOOKUP(A21,[8]HISTOOCT24!$A$6:$BQ$40,56,0)</f>
        <v>0</v>
      </c>
      <c r="D21" s="13">
        <f>VLOOKUP(A21,[8]HISTOOCT24!$A$6:$BQ$40,57,0)</f>
        <v>0</v>
      </c>
      <c r="E21" s="13"/>
      <c r="F21" s="13"/>
      <c r="G21" s="14">
        <f t="shared" si="0"/>
        <v>0</v>
      </c>
    </row>
    <row r="22" spans="1:7" ht="17.5" x14ac:dyDescent="0.35">
      <c r="A22" s="9" t="s">
        <v>29</v>
      </c>
      <c r="B22" s="10" t="str">
        <f>VLOOKUP(A22,[7]LISTADHERENT!A$5:H$50,3,0)</f>
        <v>MBOGNING TUGMA GUY</v>
      </c>
      <c r="C22" s="13">
        <f>VLOOKUP(A22,[8]HISTOOCT24!$A$6:$BQ$40,56,0)</f>
        <v>387500</v>
      </c>
      <c r="D22" s="13" t="str">
        <f>VLOOKUP(A22,[8]HISTOOCT24!$A$6:$BQ$40,57,0)</f>
        <v>OK</v>
      </c>
      <c r="E22" s="13"/>
      <c r="F22" s="13"/>
      <c r="G22" s="14">
        <f t="shared" si="0"/>
        <v>0</v>
      </c>
    </row>
    <row r="23" spans="1:7" ht="17.5" x14ac:dyDescent="0.35">
      <c r="A23" s="9" t="s">
        <v>30</v>
      </c>
      <c r="B23" s="10" t="str">
        <f>VLOOKUP(A23,[7]LISTADHERENT!A$5:H$50,3,0)</f>
        <v>NANGUEN MARTIN</v>
      </c>
      <c r="C23" s="13">
        <f>VLOOKUP(A23,[8]HISTOOCT24!$A$6:$BQ$40,56,0)</f>
        <v>0</v>
      </c>
      <c r="D23" s="13">
        <f>VLOOKUP(A23,[8]HISTOOCT24!$A$6:$BQ$40,57,0)</f>
        <v>0</v>
      </c>
      <c r="E23" s="13"/>
      <c r="F23" s="13"/>
      <c r="G23" s="14">
        <f t="shared" si="0"/>
        <v>0</v>
      </c>
    </row>
    <row r="24" spans="1:7" ht="17.5" x14ac:dyDescent="0.35">
      <c r="A24" s="9" t="s">
        <v>31</v>
      </c>
      <c r="B24" s="10" t="str">
        <f>VLOOKUP(A24,[7]LISTADHERENT!A$5:H$50,3,0)</f>
        <v>NANKAM APPOLINAIRE</v>
      </c>
      <c r="C24" s="13">
        <f>VLOOKUP(A24,[8]HISTOOCT24!$A$6:$BQ$40,56,0)</f>
        <v>0</v>
      </c>
      <c r="D24" s="13">
        <f>VLOOKUP(A24,[8]HISTOOCT24!$A$6:$BQ$40,57,0)</f>
        <v>0</v>
      </c>
      <c r="E24" s="13"/>
      <c r="F24" s="13"/>
      <c r="G24" s="14">
        <f t="shared" si="0"/>
        <v>0</v>
      </c>
    </row>
    <row r="25" spans="1:7" ht="17.5" x14ac:dyDescent="0.35">
      <c r="A25" s="9" t="s">
        <v>32</v>
      </c>
      <c r="B25" s="10" t="str">
        <f>VLOOKUP(A25,[7]LISTADHERENT!A$5:H$50,3,0)</f>
        <v>NDJOMO ETIENNE</v>
      </c>
      <c r="C25" s="13">
        <f>VLOOKUP(A25,[8]HISTOOCT24!$A$6:$BQ$40,56,0)</f>
        <v>100000</v>
      </c>
      <c r="D25" s="13" t="str">
        <f>VLOOKUP(A25,[8]HISTOOCT24!$A$6:$BQ$40,57,0)</f>
        <v>OK</v>
      </c>
      <c r="E25" s="13"/>
      <c r="F25" s="13"/>
      <c r="G25" s="14">
        <f t="shared" si="0"/>
        <v>0</v>
      </c>
    </row>
    <row r="26" spans="1:7" ht="17.5" x14ac:dyDescent="0.35">
      <c r="A26" s="9" t="s">
        <v>33</v>
      </c>
      <c r="B26" s="10" t="str">
        <f>VLOOKUP(A26,[7]LISTADHERENT!A$5:H$50,3,0)</f>
        <v>NGONDIEP CLAUDE</v>
      </c>
      <c r="C26" s="13">
        <f>VLOOKUP(A26,[8]HISTOOCT24!$A$6:$BQ$40,56,0)</f>
        <v>521000</v>
      </c>
      <c r="D26" s="13" t="str">
        <f>VLOOKUP(A26,[8]HISTOOCT24!$A$6:$BQ$40,57,0)</f>
        <v>OK</v>
      </c>
      <c r="E26" s="13"/>
      <c r="F26" s="13"/>
      <c r="G26" s="14">
        <f t="shared" si="0"/>
        <v>0</v>
      </c>
    </row>
    <row r="27" spans="1:7" ht="17.5" x14ac:dyDescent="0.35">
      <c r="A27" s="9" t="s">
        <v>34</v>
      </c>
      <c r="B27" s="10" t="str">
        <f>VLOOKUP(A27,[7]LISTADHERENT!A$5:H$50,3,0)</f>
        <v>NGUIEMEGNI MATHIEU BLAISE</v>
      </c>
      <c r="C27" s="13">
        <f>VLOOKUP(A27,[8]HISTOOCT24!$A$6:$BQ$40,56,0)</f>
        <v>100000</v>
      </c>
      <c r="D27" s="13" t="str">
        <f>VLOOKUP(A27,[8]HISTOOCT24!$A$6:$BQ$40,57,0)</f>
        <v>OK</v>
      </c>
      <c r="E27" s="13"/>
      <c r="F27" s="13"/>
      <c r="G27" s="14">
        <f t="shared" si="0"/>
        <v>0</v>
      </c>
    </row>
    <row r="28" spans="1:7" ht="17.5" x14ac:dyDescent="0.35">
      <c r="A28" s="9" t="s">
        <v>35</v>
      </c>
      <c r="B28" s="10" t="str">
        <f>VLOOKUP(A28,[7]LISTADHERENT!A$5:H$50,3,0)</f>
        <v>NKAMGANG JUSTIN DEJOLIE</v>
      </c>
      <c r="C28" s="13">
        <f>VLOOKUP(A28,[8]HISTOOCT24!$A$6:$BQ$40,56,0)</f>
        <v>0</v>
      </c>
      <c r="D28" s="13">
        <f>VLOOKUP(A28,[8]HISTOOCT24!$A$6:$BQ$40,57,0)</f>
        <v>0</v>
      </c>
      <c r="E28" s="13"/>
      <c r="F28" s="13"/>
      <c r="G28" s="14">
        <f t="shared" si="0"/>
        <v>0</v>
      </c>
    </row>
    <row r="29" spans="1:7" ht="17.5" x14ac:dyDescent="0.35">
      <c r="A29" s="9" t="s">
        <v>36</v>
      </c>
      <c r="B29" s="10" t="str">
        <f>VLOOKUP(A29,[7]LISTADHERENT!A$5:H$50,3,0)</f>
        <v>NOUBE ETIENNE</v>
      </c>
      <c r="C29" s="13">
        <f>VLOOKUP(A29,[8]HISTOOCT24!$A$6:$BQ$40,56,0)</f>
        <v>277500</v>
      </c>
      <c r="D29" s="13" t="str">
        <f>VLOOKUP(A29,[8]HISTOOCT24!$A$6:$BQ$40,57,0)</f>
        <v>OK</v>
      </c>
      <c r="E29" s="13"/>
      <c r="F29" s="13"/>
      <c r="G29" s="14">
        <f t="shared" si="0"/>
        <v>0</v>
      </c>
    </row>
    <row r="30" spans="1:7" ht="17.5" x14ac:dyDescent="0.35">
      <c r="A30" s="9" t="s">
        <v>37</v>
      </c>
      <c r="B30" s="10" t="str">
        <f>VLOOKUP(A30,[7]LISTADHERENT!A$5:H$50,3,0)</f>
        <v>PATEGO NJOSSU GUSTAVE</v>
      </c>
      <c r="C30" s="13">
        <f>VLOOKUP(A30,[8]HISTOOCT24!$A$6:$BQ$40,56,0)</f>
        <v>0</v>
      </c>
      <c r="D30" s="13">
        <f>VLOOKUP(A30,[8]HISTOOCT24!$A$6:$BQ$40,57,0)</f>
        <v>0</v>
      </c>
      <c r="E30" s="13"/>
      <c r="F30" s="13"/>
      <c r="G30" s="14">
        <f t="shared" si="0"/>
        <v>0</v>
      </c>
    </row>
    <row r="31" spans="1:7" ht="17.5" x14ac:dyDescent="0.35">
      <c r="A31" s="9" t="s">
        <v>38</v>
      </c>
      <c r="B31" s="10" t="str">
        <f>VLOOKUP(A31,[7]LISTADHERENT!A$5:H$50,3,0)</f>
        <v>SEUMO POLYCARPE</v>
      </c>
      <c r="C31" s="13">
        <f>VLOOKUP(A31,[8]HISTOOCT24!$A$6:$BQ$40,56,0)</f>
        <v>0</v>
      </c>
      <c r="D31" s="13">
        <f>VLOOKUP(A31,[8]HISTOOCT24!$A$6:$BQ$40,57,0)</f>
        <v>0</v>
      </c>
      <c r="E31" s="13"/>
      <c r="F31" s="13"/>
      <c r="G31" s="14">
        <f t="shared" si="0"/>
        <v>0</v>
      </c>
    </row>
    <row r="32" spans="1:7" ht="17.5" x14ac:dyDescent="0.35">
      <c r="A32" s="9" t="s">
        <v>39</v>
      </c>
      <c r="B32" s="10" t="str">
        <f>VLOOKUP(A32,[7]LISTADHERENT!A$5:H$50,3,0)</f>
        <v>SIME BRICE</v>
      </c>
      <c r="C32" s="13">
        <f>VLOOKUP(A32,[8]HISTOOCT24!$A$6:$BQ$40,56,0)</f>
        <v>0</v>
      </c>
      <c r="D32" s="13">
        <f>VLOOKUP(A32,[8]HISTOOCT24!$A$6:$BQ$40,57,0)</f>
        <v>0</v>
      </c>
      <c r="E32" s="13"/>
      <c r="F32" s="13"/>
      <c r="G32" s="14">
        <f t="shared" si="0"/>
        <v>0</v>
      </c>
    </row>
    <row r="33" spans="1:7" ht="17.5" x14ac:dyDescent="0.35">
      <c r="A33" s="9" t="s">
        <v>40</v>
      </c>
      <c r="B33" s="10" t="str">
        <f>VLOOKUP(A33,[7]LISTADHERENT!A$5:H$50,3,0)</f>
        <v>SIMO PIERRE</v>
      </c>
      <c r="C33" s="13">
        <f>VLOOKUP(A33,[8]HISTOOCT24!$A$6:$BQ$40,56,0)</f>
        <v>0</v>
      </c>
      <c r="D33" s="13">
        <f>VLOOKUP(A33,[8]HISTOOCT24!$A$6:$BQ$40,57,0)</f>
        <v>0</v>
      </c>
      <c r="E33" s="13"/>
      <c r="F33" s="13"/>
      <c r="G33" s="14">
        <f t="shared" si="0"/>
        <v>0</v>
      </c>
    </row>
    <row r="34" spans="1:7" ht="17.5" x14ac:dyDescent="0.35">
      <c r="A34" s="9" t="s">
        <v>41</v>
      </c>
      <c r="B34" s="10" t="str">
        <f>VLOOKUP(A34,[7]LISTADHERENT!A$5:H$50,3,0)</f>
        <v>TCHOUAMOU MATHIEU</v>
      </c>
      <c r="C34" s="13">
        <f>VLOOKUP(A34,[8]HISTOOCT24!$A$6:$BQ$40,56,0)</f>
        <v>0</v>
      </c>
      <c r="D34" s="13">
        <f>VLOOKUP(A34,[8]HISTOOCT24!$A$6:$BQ$40,57,0)</f>
        <v>0</v>
      </c>
      <c r="E34" s="13"/>
      <c r="F34" s="13"/>
      <c r="G34" s="14">
        <f t="shared" si="0"/>
        <v>0</v>
      </c>
    </row>
    <row r="35" spans="1:7" ht="17.5" x14ac:dyDescent="0.35">
      <c r="A35" s="9" t="s">
        <v>42</v>
      </c>
      <c r="B35" s="10" t="str">
        <f>VLOOKUP(A35,[7]LISTADHERENT!A$5:H$50,3,0)</f>
        <v>TCHOUATEU AUGUSTIN</v>
      </c>
      <c r="C35" s="13">
        <f>VLOOKUP(A35,[8]HISTOOCT24!$A$6:$BQ$40,56,0)</f>
        <v>0</v>
      </c>
      <c r="D35" s="13">
        <f>VLOOKUP(A35,[8]HISTOOCT24!$A$6:$BQ$40,57,0)</f>
        <v>0</v>
      </c>
      <c r="E35" s="13"/>
      <c r="F35" s="13"/>
      <c r="G35" s="14">
        <f t="shared" si="0"/>
        <v>0</v>
      </c>
    </row>
    <row r="36" spans="1:7" s="3" customFormat="1" ht="17.5" x14ac:dyDescent="0.35">
      <c r="A36" s="9" t="s">
        <v>43</v>
      </c>
      <c r="B36" s="10" t="str">
        <f>VLOOKUP(A36,[7]LISTADHERENT!A$5:H$50,3,0)</f>
        <v>TCHOUTOU NANA CLAUDE</v>
      </c>
      <c r="C36" s="13">
        <f>VLOOKUP(A36,[8]HISTOOCT24!$A$6:$BQ$40,56,0)</f>
        <v>0</v>
      </c>
      <c r="D36" s="13">
        <f>VLOOKUP(A36,[8]HISTOOCT24!$A$6:$BQ$40,57,0)</f>
        <v>0</v>
      </c>
      <c r="E36" s="13"/>
      <c r="F36" s="13"/>
      <c r="G36" s="14">
        <f t="shared" si="0"/>
        <v>0</v>
      </c>
    </row>
    <row r="37" spans="1:7" ht="17.5" x14ac:dyDescent="0.35">
      <c r="A37" s="9" t="s">
        <v>44</v>
      </c>
      <c r="B37" s="10" t="str">
        <f>VLOOKUP(A37,[7]LISTADHERENT!A$5:H$50,3,0)</f>
        <v>YANTCHOU GERVAIS</v>
      </c>
      <c r="C37" s="13">
        <f>VLOOKUP(A37,[8]HISTOOCT24!$A$6:$BQ$40,56,0)</f>
        <v>0</v>
      </c>
      <c r="D37" s="13">
        <f>VLOOKUP(A37,[8]HISTOOCT24!$A$6:$BQ$40,57,0)</f>
        <v>0</v>
      </c>
      <c r="E37" s="13"/>
      <c r="F37" s="13"/>
      <c r="G37" s="14">
        <f t="shared" si="0"/>
        <v>0</v>
      </c>
    </row>
    <row r="38" spans="1:7" ht="17.5" x14ac:dyDescent="0.35">
      <c r="A38" s="9" t="s">
        <v>45</v>
      </c>
      <c r="B38" s="10" t="str">
        <f>VLOOKUP(A38,[7]LISTADHERENT!A$5:H$50,3,0)</f>
        <v>YEPMOU JEAN JACQUES</v>
      </c>
      <c r="C38" s="13">
        <f>VLOOKUP(A38,[8]HISTOOCT24!$A$6:$BQ$40,56,0)</f>
        <v>0</v>
      </c>
      <c r="D38" s="13">
        <f>VLOOKUP(A38,[8]HISTOOCT24!$A$6:$BQ$40,57,0)</f>
        <v>0</v>
      </c>
      <c r="E38" s="13"/>
      <c r="F38" s="13"/>
      <c r="G38" s="14">
        <f t="shared" si="0"/>
        <v>0</v>
      </c>
    </row>
    <row r="39" spans="1:7" ht="17.5" x14ac:dyDescent="0.35">
      <c r="A39" s="9" t="s">
        <v>46</v>
      </c>
      <c r="B39" s="10" t="str">
        <f>VLOOKUP(A39,[7]LISTADHERENT!A$5:H$50,3,0)</f>
        <v>YIALA ALAIN OSCAR</v>
      </c>
      <c r="C39" s="13">
        <f>VLOOKUP(A39,[8]HISTOOCT24!$A$6:$BQ$40,56,0)</f>
        <v>0</v>
      </c>
      <c r="D39" s="13">
        <f>VLOOKUP(A39,[8]HISTOOCT24!$A$6:$BQ$40,57,0)</f>
        <v>0</v>
      </c>
      <c r="E39" s="13"/>
      <c r="F39" s="13"/>
      <c r="G39" s="14">
        <f t="shared" si="0"/>
        <v>0</v>
      </c>
    </row>
    <row r="40" spans="1:7" ht="17.5" x14ac:dyDescent="0.35">
      <c r="A40" s="9" t="s">
        <v>47</v>
      </c>
      <c r="B40" s="10" t="str">
        <f>VLOOKUP(A40,[7]LISTADHERENT!A$5:H$50,3,0)</f>
        <v>YOUMBI EMMANUEL</v>
      </c>
      <c r="C40" s="13">
        <f>VLOOKUP(A40,[8]HISTOOCT24!$A$6:$BQ$40,56,0)</f>
        <v>1190000</v>
      </c>
      <c r="D40" s="13" t="str">
        <f>VLOOKUP(A40,[8]HISTOOCT24!$A$6:$BQ$40,57,0)</f>
        <v>OK</v>
      </c>
      <c r="E40" s="13"/>
      <c r="F40" s="13"/>
      <c r="G40" s="14">
        <f t="shared" si="0"/>
        <v>0</v>
      </c>
    </row>
    <row r="41" spans="1:7" ht="17.5" x14ac:dyDescent="0.35">
      <c r="A41" s="9"/>
      <c r="B41" s="10" t="s">
        <v>49</v>
      </c>
      <c r="C41" s="10"/>
      <c r="D41" s="10"/>
      <c r="E41" s="13"/>
      <c r="F41" s="13">
        <v>11518214</v>
      </c>
      <c r="G41" s="14"/>
    </row>
    <row r="42" spans="1:7" ht="24" thickBot="1" x14ac:dyDescent="0.6">
      <c r="A42" s="15"/>
      <c r="B42" s="16" t="s">
        <v>4</v>
      </c>
      <c r="C42" s="17">
        <f>SUM(C8:C41)</f>
        <v>6170500</v>
      </c>
      <c r="D42" s="17"/>
      <c r="E42" s="17">
        <f>SUM(E9:E41)</f>
        <v>0</v>
      </c>
      <c r="F42" s="17"/>
      <c r="G42" s="18">
        <f>SUM(G9:G41)</f>
        <v>0</v>
      </c>
    </row>
    <row r="43" spans="1:7" ht="15" thickTop="1" x14ac:dyDescent="0.35"/>
    <row r="44" spans="1:7" ht="26" x14ac:dyDescent="0.6">
      <c r="B44" s="5" t="s">
        <v>11</v>
      </c>
      <c r="C44" s="4">
        <f>C42-C7</f>
        <v>0</v>
      </c>
    </row>
    <row r="46" spans="1:7" x14ac:dyDescent="0.35">
      <c r="B46" s="1" t="s">
        <v>6</v>
      </c>
      <c r="C46" s="1"/>
      <c r="D46" s="1"/>
      <c r="E46" s="1"/>
      <c r="F46" s="1"/>
    </row>
    <row r="48" spans="1:7" x14ac:dyDescent="0.35">
      <c r="B48" t="s">
        <v>8</v>
      </c>
    </row>
    <row r="49" spans="2:2" x14ac:dyDescent="0.35">
      <c r="B49" t="s">
        <v>9</v>
      </c>
    </row>
    <row r="50" spans="2:2" x14ac:dyDescent="0.35">
      <c r="B50" t="s">
        <v>10</v>
      </c>
    </row>
  </sheetData>
  <autoFilter ref="A6:F40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DEE2-20CE-475A-9252-431B86DB07D3}">
  <dimension ref="A1:G50"/>
  <sheetViews>
    <sheetView zoomScale="96" zoomScaleNormal="96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4" width="21.1796875" customWidth="1"/>
    <col min="5" max="5" width="17" bestFit="1" customWidth="1"/>
    <col min="6" max="6" width="17" customWidth="1"/>
    <col min="7" max="7" width="12.453125" bestFit="1" customWidth="1"/>
  </cols>
  <sheetData>
    <row r="1" spans="1:7" x14ac:dyDescent="0.35">
      <c r="A1" s="1" t="s">
        <v>2</v>
      </c>
      <c r="B1" s="1" t="s">
        <v>48</v>
      </c>
      <c r="C1" s="1"/>
      <c r="D1" s="1"/>
      <c r="E1" s="1"/>
      <c r="F1" s="1"/>
    </row>
    <row r="2" spans="1:7" x14ac:dyDescent="0.35">
      <c r="A2" s="1" t="s">
        <v>3</v>
      </c>
      <c r="B2" s="1">
        <v>2024</v>
      </c>
      <c r="C2" s="1"/>
      <c r="D2" s="1"/>
      <c r="E2" s="1"/>
      <c r="F2" s="1"/>
    </row>
    <row r="3" spans="1:7" x14ac:dyDescent="0.35">
      <c r="A3" s="1"/>
      <c r="B3" s="2"/>
      <c r="C3" s="2"/>
      <c r="D3" s="2"/>
      <c r="E3" s="2"/>
      <c r="F3" s="2"/>
    </row>
    <row r="4" spans="1:7" ht="15" thickBot="1" x14ac:dyDescent="0.4"/>
    <row r="5" spans="1:7" ht="68.25" customHeight="1" thickTop="1" x14ac:dyDescent="0.35">
      <c r="A5" s="6" t="s">
        <v>0</v>
      </c>
      <c r="B5" s="7" t="s">
        <v>1</v>
      </c>
      <c r="C5" s="7"/>
      <c r="D5" s="7"/>
      <c r="E5" s="7"/>
      <c r="F5" s="7"/>
      <c r="G5" s="8" t="s">
        <v>4</v>
      </c>
    </row>
    <row r="6" spans="1:7" ht="30" customHeight="1" x14ac:dyDescent="0.35">
      <c r="A6" s="9"/>
      <c r="B6" s="10"/>
      <c r="C6" s="10" t="s">
        <v>7</v>
      </c>
      <c r="D6" s="10" t="s">
        <v>5</v>
      </c>
      <c r="E6" s="11" t="s">
        <v>12</v>
      </c>
      <c r="F6" s="11" t="s">
        <v>13</v>
      </c>
      <c r="G6" s="12"/>
    </row>
    <row r="7" spans="1:7" ht="30" customHeight="1" x14ac:dyDescent="0.35">
      <c r="A7" s="9"/>
      <c r="B7" s="10" t="s">
        <v>14</v>
      </c>
      <c r="C7" s="13">
        <v>4933000</v>
      </c>
      <c r="D7" s="10"/>
      <c r="E7" s="13"/>
      <c r="F7" s="13"/>
      <c r="G7" s="12"/>
    </row>
    <row r="8" spans="1:7" ht="17.5" x14ac:dyDescent="0.35">
      <c r="A8" s="9" t="s">
        <v>15</v>
      </c>
      <c r="B8" s="10" t="str">
        <f>VLOOKUP(A8,[7]LISTADHERENT!A$5:H$50,3,0)</f>
        <v>ASELBY</v>
      </c>
      <c r="C8" s="13">
        <f>VLOOKUP(A8,[8]HISTONOV24!$A$6:$BQ$40,56,0)</f>
        <v>156000</v>
      </c>
      <c r="D8" s="13">
        <f>VLOOKUP(A8,[8]HISTONOV24!$A$6:$BQ$40,57,0)</f>
        <v>0</v>
      </c>
      <c r="E8" s="13">
        <f>+[9]HISTOBQUENOV24!$H$6</f>
        <v>2385</v>
      </c>
      <c r="F8" s="13"/>
      <c r="G8" s="14">
        <f t="shared" ref="G8:G40" si="0">SUM(E8:F8)</f>
        <v>2385</v>
      </c>
    </row>
    <row r="9" spans="1:7" ht="17.5" x14ac:dyDescent="0.35">
      <c r="A9" s="9" t="s">
        <v>16</v>
      </c>
      <c r="B9" s="10" t="str">
        <f>VLOOKUP(A9,[7]LISTADHERENT!A$5:H$50,3,0)</f>
        <v>BAKOP ACHILLE</v>
      </c>
      <c r="C9" s="13">
        <f>VLOOKUP(A9,[8]HISTONOV24!$A$6:$BQ$40,56,0)</f>
        <v>0</v>
      </c>
      <c r="D9" s="13">
        <f>VLOOKUP(A9,[8]HISTONOV24!$A$6:$BQ$40,57,0)</f>
        <v>0</v>
      </c>
      <c r="E9" s="13"/>
      <c r="F9" s="13"/>
      <c r="G9" s="14">
        <f t="shared" si="0"/>
        <v>0</v>
      </c>
    </row>
    <row r="10" spans="1:7" s="3" customFormat="1" ht="17.5" x14ac:dyDescent="0.35">
      <c r="A10" s="9" t="s">
        <v>17</v>
      </c>
      <c r="B10" s="10" t="str">
        <f>VLOOKUP(A10,[7]LISTADHERENT!A$5:H$50,3,0)</f>
        <v>BOUTCHOUANG WILLIAM</v>
      </c>
      <c r="C10" s="13">
        <f>VLOOKUP(A10,[8]HISTONOV24!$A$6:$BQ$40,56,0)</f>
        <v>0</v>
      </c>
      <c r="D10" s="13">
        <f>VLOOKUP(A10,[8]HISTONOV24!$A$6:$BQ$40,57,0)</f>
        <v>0</v>
      </c>
      <c r="E10" s="13"/>
      <c r="F10" s="13"/>
      <c r="G10" s="14">
        <f t="shared" si="0"/>
        <v>0</v>
      </c>
    </row>
    <row r="11" spans="1:7" s="3" customFormat="1" ht="17.5" x14ac:dyDescent="0.35">
      <c r="A11" s="9" t="s">
        <v>18</v>
      </c>
      <c r="B11" s="10" t="str">
        <f>VLOOKUP(A11,[7]LISTADHERENT!A$5:H$50,3,0)</f>
        <v xml:space="preserve">DJOMO JEAN PAUL </v>
      </c>
      <c r="C11" s="13">
        <f>VLOOKUP(A11,[8]HISTONOV24!$A$6:$BQ$40,56,0)</f>
        <v>0</v>
      </c>
      <c r="D11" s="13">
        <f>VLOOKUP(A11,[8]HISTONOV24!$A$6:$BQ$40,57,0)</f>
        <v>0</v>
      </c>
      <c r="E11" s="13"/>
      <c r="F11" s="13"/>
      <c r="G11" s="14">
        <f t="shared" si="0"/>
        <v>0</v>
      </c>
    </row>
    <row r="12" spans="1:7" ht="17.5" x14ac:dyDescent="0.35">
      <c r="A12" s="9" t="s">
        <v>19</v>
      </c>
      <c r="B12" s="10" t="str">
        <f>VLOOKUP(A12,[7]LISTADHERENT!A$5:H$50,3,0)</f>
        <v>DJOMOU TCHAPDA</v>
      </c>
      <c r="C12" s="13">
        <f>VLOOKUP(A12,[8]HISTONOV24!$A$6:$BQ$40,56,0)</f>
        <v>190000</v>
      </c>
      <c r="D12" s="13" t="str">
        <f>VLOOKUP(A12,[8]HISTONOV24!$A$6:$BQ$40,57,0)</f>
        <v>OK</v>
      </c>
      <c r="E12" s="13"/>
      <c r="F12" s="13"/>
      <c r="G12" s="14">
        <f t="shared" si="0"/>
        <v>0</v>
      </c>
    </row>
    <row r="13" spans="1:7" ht="17.5" x14ac:dyDescent="0.35">
      <c r="A13" s="9" t="s">
        <v>20</v>
      </c>
      <c r="B13" s="10" t="str">
        <f>VLOOKUP(A13,[7]LISTADHERENT!A$5:H$50,3,0)</f>
        <v>DJOUKWE NANGUEN GUY BLAISE</v>
      </c>
      <c r="C13" s="13">
        <f>VLOOKUP(A13,[8]HISTONOV24!$A$6:$BQ$40,56,0)</f>
        <v>0</v>
      </c>
      <c r="D13" s="13">
        <f>VLOOKUP(A13,[8]HISTONOV24!$A$6:$BQ$40,57,0)</f>
        <v>0</v>
      </c>
      <c r="E13" s="13"/>
      <c r="F13" s="13"/>
      <c r="G13" s="14">
        <f t="shared" si="0"/>
        <v>0</v>
      </c>
    </row>
    <row r="14" spans="1:7" ht="17.5" x14ac:dyDescent="0.35">
      <c r="A14" s="9" t="s">
        <v>21</v>
      </c>
      <c r="B14" s="10" t="str">
        <f>VLOOKUP(A14,[7]LISTADHERENT!A$5:H$50,3,0)</f>
        <v>DJUOMBESSY ANTOINE</v>
      </c>
      <c r="C14" s="13">
        <f>VLOOKUP(A14,[8]HISTONOV24!$A$6:$BQ$40,56,0)</f>
        <v>600500</v>
      </c>
      <c r="D14" s="13" t="str">
        <f>VLOOKUP(A14,[8]HISTONOV24!$A$6:$BQ$40,57,0)</f>
        <v>OK</v>
      </c>
      <c r="E14" s="13"/>
      <c r="F14" s="13"/>
      <c r="G14" s="14">
        <f t="shared" si="0"/>
        <v>0</v>
      </c>
    </row>
    <row r="15" spans="1:7" s="3" customFormat="1" ht="17.5" x14ac:dyDescent="0.35">
      <c r="A15" s="9" t="s">
        <v>22</v>
      </c>
      <c r="B15" s="10" t="str">
        <f>VLOOKUP(A15,[7]LISTADHERENT!A$5:H$50,3,0)</f>
        <v>DOMOU FABIEN</v>
      </c>
      <c r="C15" s="13">
        <f>VLOOKUP(A15,[8]HISTONOV24!$A$6:$BQ$40,56,0)</f>
        <v>0</v>
      </c>
      <c r="D15" s="13">
        <f>VLOOKUP(A15,[8]HISTONOV24!$A$6:$BQ$40,57,0)</f>
        <v>0</v>
      </c>
      <c r="E15" s="13"/>
      <c r="F15" s="13"/>
      <c r="G15" s="14">
        <f t="shared" si="0"/>
        <v>0</v>
      </c>
    </row>
    <row r="16" spans="1:7" ht="17.5" x14ac:dyDescent="0.35">
      <c r="A16" s="9" t="s">
        <v>23</v>
      </c>
      <c r="B16" s="10" t="str">
        <f>VLOOKUP(A16,[7]LISTADHERENT!A$5:H$50,3,0)</f>
        <v>DONHOU DAVID</v>
      </c>
      <c r="C16" s="13">
        <f>VLOOKUP(A16,[8]HISTONOV24!$A$6:$BQ$40,56,0)</f>
        <v>297500</v>
      </c>
      <c r="D16" s="13" t="str">
        <f>VLOOKUP(A16,[8]HISTONOV24!$A$6:$BQ$40,57,0)</f>
        <v>OK</v>
      </c>
      <c r="E16" s="13"/>
      <c r="F16" s="13"/>
      <c r="G16" s="14">
        <f t="shared" si="0"/>
        <v>0</v>
      </c>
    </row>
    <row r="17" spans="1:7" ht="17.5" x14ac:dyDescent="0.35">
      <c r="A17" s="9" t="s">
        <v>24</v>
      </c>
      <c r="B17" s="10" t="str">
        <f>VLOOKUP(A17,[7]LISTADHERENT!A$5:H$50,3,0)</f>
        <v>HENGUE PAUL OMER</v>
      </c>
      <c r="C17" s="13">
        <f>VLOOKUP(A17,[8]HISTONOV24!$A$6:$BQ$40,56,0)</f>
        <v>0</v>
      </c>
      <c r="D17" s="13">
        <f>VLOOKUP(A17,[8]HISTONOV24!$A$6:$BQ$40,57,0)</f>
        <v>0</v>
      </c>
      <c r="E17" s="13"/>
      <c r="F17" s="13"/>
      <c r="G17" s="14">
        <f t="shared" si="0"/>
        <v>0</v>
      </c>
    </row>
    <row r="18" spans="1:7" ht="17.5" x14ac:dyDescent="0.35">
      <c r="A18" s="9" t="s">
        <v>25</v>
      </c>
      <c r="B18" s="10" t="str">
        <f>VLOOKUP(A18,[7]LISTADHERENT!A$5:H$50,3,0)</f>
        <v>HOTCHO BENJAMIN</v>
      </c>
      <c r="C18" s="13">
        <f>VLOOKUP(A18,[8]HISTONOV24!$A$6:$BQ$40,56,0)</f>
        <v>400000</v>
      </c>
      <c r="D18" s="13" t="str">
        <f>VLOOKUP(A18,[8]HISTONOV24!$A$6:$BQ$40,57,0)</f>
        <v>OK</v>
      </c>
      <c r="E18" s="13"/>
      <c r="F18" s="13"/>
      <c r="G18" s="14">
        <f t="shared" si="0"/>
        <v>0</v>
      </c>
    </row>
    <row r="19" spans="1:7" ht="17.5" x14ac:dyDescent="0.35">
      <c r="A19" s="9" t="s">
        <v>26</v>
      </c>
      <c r="B19" s="10" t="str">
        <f>VLOOKUP(A19,[7]LISTADHERENT!A$5:H$50,3,0)</f>
        <v>KOUAMOU MOISE</v>
      </c>
      <c r="C19" s="13">
        <f>VLOOKUP(A19,[8]HISTONOV24!$A$6:$BQ$40,56,0)</f>
        <v>0</v>
      </c>
      <c r="D19" s="13">
        <f>VLOOKUP(A19,[8]HISTONOV24!$A$6:$BQ$40,57,0)</f>
        <v>0</v>
      </c>
      <c r="E19" s="13"/>
      <c r="F19" s="13"/>
      <c r="G19" s="14">
        <f t="shared" si="0"/>
        <v>0</v>
      </c>
    </row>
    <row r="20" spans="1:7" ht="17.5" x14ac:dyDescent="0.35">
      <c r="A20" s="9" t="s">
        <v>27</v>
      </c>
      <c r="B20" s="10" t="str">
        <f>VLOOKUP(A20,[7]LISTADHERENT!A$5:H$50,3,0)</f>
        <v>KOUATCHO MESSACK</v>
      </c>
      <c r="C20" s="13">
        <f>VLOOKUP(A20,[8]HISTONOV24!$A$6:$BQ$40,56,0)</f>
        <v>0</v>
      </c>
      <c r="D20" s="13">
        <f>VLOOKUP(A20,[8]HISTONOV24!$A$6:$BQ$40,57,0)</f>
        <v>0</v>
      </c>
      <c r="E20" s="13"/>
      <c r="F20" s="13"/>
      <c r="G20" s="14">
        <f t="shared" si="0"/>
        <v>0</v>
      </c>
    </row>
    <row r="21" spans="1:7" ht="17.5" x14ac:dyDescent="0.35">
      <c r="A21" s="9" t="s">
        <v>28</v>
      </c>
      <c r="B21" s="10" t="str">
        <f>VLOOKUP(A21,[7]LISTADHERENT!A$5:H$50,3,0)</f>
        <v>MASSEUNGOUE DAGOBERT</v>
      </c>
      <c r="C21" s="13">
        <f>VLOOKUP(A21,[8]HISTONOV24!$A$6:$BQ$40,56,0)</f>
        <v>0</v>
      </c>
      <c r="D21" s="13">
        <f>VLOOKUP(A21,[8]HISTONOV24!$A$6:$BQ$40,57,0)</f>
        <v>0</v>
      </c>
      <c r="E21" s="13"/>
      <c r="F21" s="13"/>
      <c r="G21" s="14">
        <f t="shared" si="0"/>
        <v>0</v>
      </c>
    </row>
    <row r="22" spans="1:7" ht="17.5" x14ac:dyDescent="0.35">
      <c r="A22" s="9" t="s">
        <v>29</v>
      </c>
      <c r="B22" s="10" t="str">
        <f>VLOOKUP(A22,[7]LISTADHERENT!A$5:H$50,3,0)</f>
        <v>MBOGNING TUGMA GUY</v>
      </c>
      <c r="C22" s="13">
        <f>VLOOKUP(A22,[8]HISTONOV24!$A$6:$BQ$40,56,0)</f>
        <v>389000</v>
      </c>
      <c r="D22" s="13" t="str">
        <f>VLOOKUP(A22,[8]HISTONOV24!$A$6:$BQ$40,57,0)</f>
        <v>OK</v>
      </c>
      <c r="E22" s="13"/>
      <c r="F22" s="13"/>
      <c r="G22" s="14">
        <f t="shared" si="0"/>
        <v>0</v>
      </c>
    </row>
    <row r="23" spans="1:7" ht="17.5" x14ac:dyDescent="0.35">
      <c r="A23" s="9" t="s">
        <v>30</v>
      </c>
      <c r="B23" s="10" t="str">
        <f>VLOOKUP(A23,[7]LISTADHERENT!A$5:H$50,3,0)</f>
        <v>NANGUEN MARTIN</v>
      </c>
      <c r="C23" s="13">
        <f>VLOOKUP(A23,[8]HISTONOV24!$A$6:$BQ$40,56,0)</f>
        <v>0</v>
      </c>
      <c r="D23" s="13">
        <f>VLOOKUP(A23,[8]HISTONOV24!$A$6:$BQ$40,57,0)</f>
        <v>0</v>
      </c>
      <c r="E23" s="13"/>
      <c r="F23" s="13"/>
      <c r="G23" s="14">
        <f t="shared" si="0"/>
        <v>0</v>
      </c>
    </row>
    <row r="24" spans="1:7" ht="17.5" x14ac:dyDescent="0.35">
      <c r="A24" s="9" t="s">
        <v>31</v>
      </c>
      <c r="B24" s="10" t="str">
        <f>VLOOKUP(A24,[7]LISTADHERENT!A$5:H$50,3,0)</f>
        <v>NANKAM APPOLINAIRE</v>
      </c>
      <c r="C24" s="13">
        <f>VLOOKUP(A24,[8]HISTONOV24!$A$6:$BQ$40,56,0)</f>
        <v>0</v>
      </c>
      <c r="D24" s="13">
        <f>VLOOKUP(A24,[8]HISTONOV24!$A$6:$BQ$40,57,0)</f>
        <v>0</v>
      </c>
      <c r="E24" s="13"/>
      <c r="F24" s="13"/>
      <c r="G24" s="14">
        <f t="shared" si="0"/>
        <v>0</v>
      </c>
    </row>
    <row r="25" spans="1:7" ht="17.5" x14ac:dyDescent="0.35">
      <c r="A25" s="9" t="s">
        <v>32</v>
      </c>
      <c r="B25" s="10" t="str">
        <f>VLOOKUP(A25,[7]LISTADHERENT!A$5:H$50,3,0)</f>
        <v>NDJOMO ETIENNE</v>
      </c>
      <c r="C25" s="13">
        <f>VLOOKUP(A25,[8]HISTONOV24!$A$6:$BQ$40,56,0)</f>
        <v>400000</v>
      </c>
      <c r="D25" s="13" t="str">
        <f>VLOOKUP(A25,[8]HISTONOV24!$A$6:$BQ$40,57,0)</f>
        <v>OK</v>
      </c>
      <c r="E25" s="13"/>
      <c r="F25" s="13"/>
      <c r="G25" s="14">
        <f t="shared" si="0"/>
        <v>0</v>
      </c>
    </row>
    <row r="26" spans="1:7" ht="17.5" x14ac:dyDescent="0.35">
      <c r="A26" s="9" t="s">
        <v>33</v>
      </c>
      <c r="B26" s="10" t="str">
        <f>VLOOKUP(A26,[7]LISTADHERENT!A$5:H$50,3,0)</f>
        <v>NGONDIEP CLAUDE</v>
      </c>
      <c r="C26" s="13">
        <f>VLOOKUP(A26,[8]HISTONOV24!$A$6:$BQ$40,56,0)</f>
        <v>0</v>
      </c>
      <c r="D26" s="13">
        <f>VLOOKUP(A26,[8]HISTONOV24!$A$6:$BQ$40,57,0)</f>
        <v>0</v>
      </c>
      <c r="E26" s="13"/>
      <c r="F26" s="13"/>
      <c r="G26" s="14">
        <f t="shared" si="0"/>
        <v>0</v>
      </c>
    </row>
    <row r="27" spans="1:7" ht="17.5" x14ac:dyDescent="0.35">
      <c r="A27" s="9" t="s">
        <v>34</v>
      </c>
      <c r="B27" s="10" t="str">
        <f>VLOOKUP(A27,[7]LISTADHERENT!A$5:H$50,3,0)</f>
        <v>NGUIEMEGNI MATHIEU BLAISE</v>
      </c>
      <c r="C27" s="13">
        <f>VLOOKUP(A27,[8]HISTONOV24!$A$6:$BQ$40,56,0)</f>
        <v>2000000</v>
      </c>
      <c r="D27" s="13" t="str">
        <f>VLOOKUP(A27,[8]HISTONOV24!$A$6:$BQ$40,57,0)</f>
        <v>OK</v>
      </c>
      <c r="E27" s="13"/>
      <c r="F27" s="13"/>
      <c r="G27" s="14">
        <f t="shared" si="0"/>
        <v>0</v>
      </c>
    </row>
    <row r="28" spans="1:7" ht="17.5" x14ac:dyDescent="0.35">
      <c r="A28" s="9" t="s">
        <v>35</v>
      </c>
      <c r="B28" s="10" t="str">
        <f>VLOOKUP(A28,[7]LISTADHERENT!A$5:H$50,3,0)</f>
        <v>NKAMGANG JUSTIN DEJOLIE</v>
      </c>
      <c r="C28" s="13">
        <f>VLOOKUP(A28,[8]HISTONOV24!$A$6:$BQ$40,56,0)</f>
        <v>0</v>
      </c>
      <c r="D28" s="13">
        <f>VLOOKUP(A28,[8]HISTONOV24!$A$6:$BQ$40,57,0)</f>
        <v>0</v>
      </c>
      <c r="E28" s="13"/>
      <c r="F28" s="13"/>
      <c r="G28" s="14">
        <f t="shared" si="0"/>
        <v>0</v>
      </c>
    </row>
    <row r="29" spans="1:7" ht="17.5" x14ac:dyDescent="0.35">
      <c r="A29" s="9" t="s">
        <v>36</v>
      </c>
      <c r="B29" s="10" t="str">
        <f>VLOOKUP(A29,[7]LISTADHERENT!A$5:H$50,3,0)</f>
        <v>NOUBE ETIENNE</v>
      </c>
      <c r="C29" s="13">
        <f>VLOOKUP(A29,[8]HISTONOV24!$A$6:$BQ$40,56,0)</f>
        <v>0</v>
      </c>
      <c r="D29" s="13">
        <f>VLOOKUP(A29,[8]HISTONOV24!$A$6:$BQ$40,57,0)</f>
        <v>0</v>
      </c>
      <c r="E29" s="13"/>
      <c r="F29" s="13"/>
      <c r="G29" s="14">
        <f t="shared" si="0"/>
        <v>0</v>
      </c>
    </row>
    <row r="30" spans="1:7" ht="17.5" x14ac:dyDescent="0.35">
      <c r="A30" s="9" t="s">
        <v>37</v>
      </c>
      <c r="B30" s="10" t="str">
        <f>VLOOKUP(A30,[7]LISTADHERENT!A$5:H$50,3,0)</f>
        <v>PATEGO NJOSSU GUSTAVE</v>
      </c>
      <c r="C30" s="13">
        <f>VLOOKUP(A30,[8]HISTONOV24!$A$6:$BQ$40,56,0)</f>
        <v>0</v>
      </c>
      <c r="D30" s="13">
        <f>VLOOKUP(A30,[8]HISTONOV24!$A$6:$BQ$40,57,0)</f>
        <v>0</v>
      </c>
      <c r="E30" s="13"/>
      <c r="F30" s="13"/>
      <c r="G30" s="14">
        <f t="shared" si="0"/>
        <v>0</v>
      </c>
    </row>
    <row r="31" spans="1:7" ht="17.5" x14ac:dyDescent="0.35">
      <c r="A31" s="9" t="s">
        <v>38</v>
      </c>
      <c r="B31" s="10" t="str">
        <f>VLOOKUP(A31,[7]LISTADHERENT!A$5:H$50,3,0)</f>
        <v>SEUMO POLYCARPE</v>
      </c>
      <c r="C31" s="13">
        <f>VLOOKUP(A31,[8]HISTONOV24!$A$6:$BQ$40,56,0)</f>
        <v>100000</v>
      </c>
      <c r="D31" s="13" t="str">
        <f>VLOOKUP(A31,[8]HISTONOV24!$A$6:$BQ$40,57,0)</f>
        <v>OK</v>
      </c>
      <c r="E31" s="13"/>
      <c r="F31" s="13"/>
      <c r="G31" s="14">
        <f t="shared" si="0"/>
        <v>0</v>
      </c>
    </row>
    <row r="32" spans="1:7" ht="17.5" x14ac:dyDescent="0.35">
      <c r="A32" s="9" t="s">
        <v>39</v>
      </c>
      <c r="B32" s="10" t="str">
        <f>VLOOKUP(A32,[7]LISTADHERENT!A$5:H$50,3,0)</f>
        <v>SIME BRICE</v>
      </c>
      <c r="C32" s="13">
        <f>VLOOKUP(A32,[8]HISTONOV24!$A$6:$BQ$40,56,0)</f>
        <v>200000</v>
      </c>
      <c r="D32" s="13" t="str">
        <f>VLOOKUP(A32,[8]HISTONOV24!$A$6:$BQ$40,57,0)</f>
        <v>OK</v>
      </c>
      <c r="E32" s="13"/>
      <c r="F32" s="13"/>
      <c r="G32" s="14">
        <f t="shared" si="0"/>
        <v>0</v>
      </c>
    </row>
    <row r="33" spans="1:7" ht="17.5" x14ac:dyDescent="0.35">
      <c r="A33" s="9" t="s">
        <v>40</v>
      </c>
      <c r="B33" s="10" t="str">
        <f>VLOOKUP(A33,[7]LISTADHERENT!A$5:H$50,3,0)</f>
        <v>SIMO PIERRE</v>
      </c>
      <c r="C33" s="13">
        <f>VLOOKUP(A33,[8]HISTONOV24!$A$6:$BQ$40,56,0)</f>
        <v>0</v>
      </c>
      <c r="D33" s="13">
        <f>VLOOKUP(A33,[8]HISTONOV24!$A$6:$BQ$40,57,0)</f>
        <v>0</v>
      </c>
      <c r="E33" s="13"/>
      <c r="F33" s="13"/>
      <c r="G33" s="14">
        <f t="shared" si="0"/>
        <v>0</v>
      </c>
    </row>
    <row r="34" spans="1:7" ht="17.5" x14ac:dyDescent="0.35">
      <c r="A34" s="9" t="s">
        <v>41</v>
      </c>
      <c r="B34" s="10" t="str">
        <f>VLOOKUP(A34,[7]LISTADHERENT!A$5:H$50,3,0)</f>
        <v>TCHOUAMOU MATHIEU</v>
      </c>
      <c r="C34" s="13">
        <f>VLOOKUP(A34,[8]HISTONOV24!$A$6:$BQ$40,56,0)</f>
        <v>200000</v>
      </c>
      <c r="D34" s="13" t="str">
        <f>VLOOKUP(A34,[8]HISTONOV24!$A$6:$BQ$40,57,0)</f>
        <v>OK</v>
      </c>
      <c r="E34" s="13"/>
      <c r="F34" s="13"/>
      <c r="G34" s="14">
        <f t="shared" si="0"/>
        <v>0</v>
      </c>
    </row>
    <row r="35" spans="1:7" ht="17.5" x14ac:dyDescent="0.35">
      <c r="A35" s="9" t="s">
        <v>42</v>
      </c>
      <c r="B35" s="10" t="str">
        <f>VLOOKUP(A35,[7]LISTADHERENT!A$5:H$50,3,0)</f>
        <v>TCHOUATEU AUGUSTIN</v>
      </c>
      <c r="C35" s="13">
        <f>VLOOKUP(A35,[8]HISTONOV24!$A$6:$BQ$40,56,0)</f>
        <v>0</v>
      </c>
      <c r="D35" s="13">
        <f>VLOOKUP(A35,[8]HISTONOV24!$A$6:$BQ$40,57,0)</f>
        <v>0</v>
      </c>
      <c r="E35" s="13"/>
      <c r="F35" s="13"/>
      <c r="G35" s="14">
        <f t="shared" si="0"/>
        <v>0</v>
      </c>
    </row>
    <row r="36" spans="1:7" s="3" customFormat="1" ht="17.5" x14ac:dyDescent="0.35">
      <c r="A36" s="9" t="s">
        <v>43</v>
      </c>
      <c r="B36" s="10" t="str">
        <f>VLOOKUP(A36,[7]LISTADHERENT!A$5:H$50,3,0)</f>
        <v>TCHOUTOU NANA CLAUDE</v>
      </c>
      <c r="C36" s="13">
        <f>VLOOKUP(A36,[8]HISTONOV24!$A$6:$BQ$40,56,0)</f>
        <v>0</v>
      </c>
      <c r="D36" s="13">
        <f>VLOOKUP(A36,[8]HISTONOV24!$A$6:$BQ$40,57,0)</f>
        <v>0</v>
      </c>
      <c r="E36" s="13"/>
      <c r="F36" s="13"/>
      <c r="G36" s="14">
        <f t="shared" si="0"/>
        <v>0</v>
      </c>
    </row>
    <row r="37" spans="1:7" ht="17.5" x14ac:dyDescent="0.35">
      <c r="A37" s="9" t="s">
        <v>44</v>
      </c>
      <c r="B37" s="10" t="str">
        <f>VLOOKUP(A37,[7]LISTADHERENT!A$5:H$50,3,0)</f>
        <v>YANTCHOU GERVAIS</v>
      </c>
      <c r="C37" s="13">
        <f>VLOOKUP(A37,[8]HISTONOV24!$A$6:$BQ$40,56,0)</f>
        <v>0</v>
      </c>
      <c r="D37" s="13">
        <f>VLOOKUP(A37,[8]HISTONOV24!$A$6:$BQ$40,57,0)</f>
        <v>0</v>
      </c>
      <c r="E37" s="13"/>
      <c r="F37" s="13"/>
      <c r="G37" s="14">
        <f t="shared" si="0"/>
        <v>0</v>
      </c>
    </row>
    <row r="38" spans="1:7" ht="17.5" x14ac:dyDescent="0.35">
      <c r="A38" s="9" t="s">
        <v>45</v>
      </c>
      <c r="B38" s="10" t="str">
        <f>VLOOKUP(A38,[7]LISTADHERENT!A$5:H$50,3,0)</f>
        <v>YEPMOU JEAN JACQUES</v>
      </c>
      <c r="C38" s="13">
        <f>VLOOKUP(A38,[8]HISTONOV24!$A$6:$BQ$40,56,0)</f>
        <v>0</v>
      </c>
      <c r="D38" s="13">
        <f>VLOOKUP(A38,[8]HISTONOV24!$A$6:$BQ$40,57,0)</f>
        <v>0</v>
      </c>
      <c r="E38" s="13"/>
      <c r="F38" s="13"/>
      <c r="G38" s="14">
        <f t="shared" si="0"/>
        <v>0</v>
      </c>
    </row>
    <row r="39" spans="1:7" ht="17.5" x14ac:dyDescent="0.35">
      <c r="A39" s="9" t="s">
        <v>46</v>
      </c>
      <c r="B39" s="10" t="str">
        <f>VLOOKUP(A39,[7]LISTADHERENT!A$5:H$50,3,0)</f>
        <v>YIALA ALAIN OSCAR</v>
      </c>
      <c r="C39" s="13">
        <f>VLOOKUP(A39,[8]HISTONOV24!$A$6:$BQ$40,56,0)</f>
        <v>0</v>
      </c>
      <c r="D39" s="13">
        <f>VLOOKUP(A39,[8]HISTONOV24!$A$6:$BQ$40,57,0)</f>
        <v>0</v>
      </c>
      <c r="E39" s="13"/>
      <c r="F39" s="13"/>
      <c r="G39" s="14">
        <f t="shared" si="0"/>
        <v>0</v>
      </c>
    </row>
    <row r="40" spans="1:7" ht="17.5" x14ac:dyDescent="0.35">
      <c r="A40" s="9" t="s">
        <v>47</v>
      </c>
      <c r="B40" s="10" t="str">
        <f>VLOOKUP(A40,[7]LISTADHERENT!A$5:H$50,3,0)</f>
        <v>YOUMBI EMMANUEL</v>
      </c>
      <c r="C40" s="13">
        <f>VLOOKUP(A40,[8]HISTONOV24!$A$6:$BQ$40,56,0)</f>
        <v>0</v>
      </c>
      <c r="D40" s="13">
        <f>VLOOKUP(A40,[8]HISTONOV24!$A$6:$BQ$40,57,0)</f>
        <v>0</v>
      </c>
      <c r="E40" s="13"/>
      <c r="F40" s="13"/>
      <c r="G40" s="14">
        <f t="shared" si="0"/>
        <v>0</v>
      </c>
    </row>
    <row r="41" spans="1:7" ht="17.5" x14ac:dyDescent="0.35">
      <c r="A41" s="9"/>
      <c r="B41" s="10" t="s">
        <v>49</v>
      </c>
      <c r="C41" s="10"/>
      <c r="D41" s="10"/>
      <c r="E41" s="13"/>
      <c r="F41" s="13">
        <v>12310829</v>
      </c>
      <c r="G41" s="14"/>
    </row>
    <row r="42" spans="1:7" ht="24" thickBot="1" x14ac:dyDescent="0.6">
      <c r="A42" s="15"/>
      <c r="B42" s="16" t="s">
        <v>4</v>
      </c>
      <c r="C42" s="17">
        <f>SUM(C8:C41)</f>
        <v>4933000</v>
      </c>
      <c r="D42" s="17"/>
      <c r="E42" s="17">
        <f>SUM(E9:E41)</f>
        <v>0</v>
      </c>
      <c r="F42" s="17"/>
      <c r="G42" s="18">
        <f>SUM(G9:G41)</f>
        <v>0</v>
      </c>
    </row>
    <row r="43" spans="1:7" ht="15" thickTop="1" x14ac:dyDescent="0.35"/>
    <row r="44" spans="1:7" ht="26" x14ac:dyDescent="0.6">
      <c r="B44" s="5" t="s">
        <v>11</v>
      </c>
      <c r="C44" s="4">
        <f>C42-C7</f>
        <v>0</v>
      </c>
    </row>
    <row r="46" spans="1:7" x14ac:dyDescent="0.35">
      <c r="B46" s="1" t="s">
        <v>6</v>
      </c>
      <c r="C46" s="1"/>
      <c r="D46" s="1"/>
      <c r="E46" s="1"/>
      <c r="F46" s="1"/>
    </row>
    <row r="48" spans="1:7" x14ac:dyDescent="0.35">
      <c r="B48" t="s">
        <v>8</v>
      </c>
    </row>
    <row r="49" spans="2:2" x14ac:dyDescent="0.35">
      <c r="B49" t="s">
        <v>9</v>
      </c>
    </row>
    <row r="50" spans="2:2" x14ac:dyDescent="0.35">
      <c r="B50" t="s">
        <v>10</v>
      </c>
    </row>
  </sheetData>
  <autoFilter ref="A6:F40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93C5D-8A50-4CF6-BF72-7E6DFEF0AAC6}">
  <dimension ref="A1:G50"/>
  <sheetViews>
    <sheetView zoomScale="96" zoomScaleNormal="96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E41" sqref="E41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4" width="21.1796875" customWidth="1"/>
    <col min="5" max="5" width="17" bestFit="1" customWidth="1"/>
    <col min="6" max="6" width="17" customWidth="1"/>
    <col min="7" max="7" width="12.453125" bestFit="1" customWidth="1"/>
  </cols>
  <sheetData>
    <row r="1" spans="1:7" x14ac:dyDescent="0.35">
      <c r="A1" s="1" t="s">
        <v>2</v>
      </c>
      <c r="B1" s="1" t="s">
        <v>48</v>
      </c>
      <c r="C1" s="1"/>
      <c r="D1" s="1"/>
      <c r="E1" s="1"/>
      <c r="F1" s="1"/>
    </row>
    <row r="2" spans="1:7" x14ac:dyDescent="0.35">
      <c r="A2" s="1" t="s">
        <v>3</v>
      </c>
      <c r="B2" s="1">
        <v>2024</v>
      </c>
      <c r="C2" s="1"/>
      <c r="D2" s="1"/>
      <c r="E2" s="1"/>
      <c r="F2" s="1"/>
    </row>
    <row r="3" spans="1:7" x14ac:dyDescent="0.35">
      <c r="A3" s="1"/>
      <c r="B3" s="2"/>
      <c r="C3" s="2"/>
      <c r="D3" s="2"/>
      <c r="E3" s="2"/>
      <c r="F3" s="2"/>
    </row>
    <row r="4" spans="1:7" ht="15" thickBot="1" x14ac:dyDescent="0.4"/>
    <row r="5" spans="1:7" ht="68.25" customHeight="1" thickTop="1" x14ac:dyDescent="0.35">
      <c r="A5" s="6" t="s">
        <v>0</v>
      </c>
      <c r="B5" s="7" t="s">
        <v>1</v>
      </c>
      <c r="C5" s="7"/>
      <c r="D5" s="7"/>
      <c r="E5" s="7"/>
      <c r="F5" s="7"/>
      <c r="G5" s="8" t="s">
        <v>4</v>
      </c>
    </row>
    <row r="6" spans="1:7" ht="30" customHeight="1" x14ac:dyDescent="0.35">
      <c r="A6" s="9"/>
      <c r="B6" s="10"/>
      <c r="C6" s="10" t="s">
        <v>7</v>
      </c>
      <c r="D6" s="10" t="s">
        <v>5</v>
      </c>
      <c r="E6" s="11" t="s">
        <v>12</v>
      </c>
      <c r="F6" s="11" t="s">
        <v>13</v>
      </c>
      <c r="G6" s="12"/>
    </row>
    <row r="7" spans="1:7" ht="30" customHeight="1" x14ac:dyDescent="0.35">
      <c r="A7" s="9"/>
      <c r="B7" s="10" t="s">
        <v>14</v>
      </c>
      <c r="C7" s="13">
        <v>4933000</v>
      </c>
      <c r="D7" s="10"/>
      <c r="E7" s="13"/>
      <c r="F7" s="13"/>
      <c r="G7" s="12"/>
    </row>
    <row r="8" spans="1:7" ht="17.5" x14ac:dyDescent="0.35">
      <c r="A8" s="9" t="s">
        <v>15</v>
      </c>
      <c r="B8" s="10" t="str">
        <f>VLOOKUP(A8,[7]LISTADHERENT!A$5:H$50,3,0)</f>
        <v>ASELBY</v>
      </c>
      <c r="C8" s="13">
        <f>VLOOKUP(A8,[8]HISTODEC24!$A$6:$BQ$40,56,0)</f>
        <v>5026618</v>
      </c>
      <c r="D8" s="13">
        <f>VLOOKUP(A8,[8]HISTODEC24!$A$6:$BQ$40,57,0)</f>
        <v>0</v>
      </c>
      <c r="E8" s="13">
        <f>+[9]HISTOBQUEDEC24!$H$6</f>
        <v>2385</v>
      </c>
      <c r="F8" s="13"/>
      <c r="G8" s="14">
        <f t="shared" ref="G8:G40" si="0">SUM(E8:F8)</f>
        <v>2385</v>
      </c>
    </row>
    <row r="9" spans="1:7" ht="17.5" x14ac:dyDescent="0.35">
      <c r="A9" s="9" t="s">
        <v>16</v>
      </c>
      <c r="B9" s="10" t="str">
        <f>VLOOKUP(A9,[7]LISTADHERENT!A$5:H$50,3,0)</f>
        <v>BAKOP ACHILLE</v>
      </c>
      <c r="C9" s="13">
        <f>VLOOKUP(A9,[8]HISTODEC24!$A$6:$BQ$40,56,0)</f>
        <v>0</v>
      </c>
      <c r="D9" s="13">
        <f>VLOOKUP(A9,[8]HISTODEC24!$A$6:$BQ$40,57,0)</f>
        <v>0</v>
      </c>
      <c r="E9" s="13"/>
      <c r="F9" s="13"/>
      <c r="G9" s="14">
        <f t="shared" si="0"/>
        <v>0</v>
      </c>
    </row>
    <row r="10" spans="1:7" s="3" customFormat="1" ht="17.5" x14ac:dyDescent="0.35">
      <c r="A10" s="9" t="s">
        <v>17</v>
      </c>
      <c r="B10" s="10" t="str">
        <f>VLOOKUP(A10,[7]LISTADHERENT!A$5:H$50,3,0)</f>
        <v>BOUTCHOUANG WILLIAM</v>
      </c>
      <c r="C10" s="13">
        <f>VLOOKUP(A10,[8]HISTODEC24!$A$6:$BQ$40,56,0)</f>
        <v>0</v>
      </c>
      <c r="D10" s="13">
        <f>VLOOKUP(A10,[8]HISTODEC24!$A$6:$BQ$40,57,0)</f>
        <v>0</v>
      </c>
      <c r="E10" s="13"/>
      <c r="F10" s="13"/>
      <c r="G10" s="14">
        <f t="shared" si="0"/>
        <v>0</v>
      </c>
    </row>
    <row r="11" spans="1:7" s="3" customFormat="1" ht="17.5" x14ac:dyDescent="0.35">
      <c r="A11" s="9" t="s">
        <v>18</v>
      </c>
      <c r="B11" s="10" t="str">
        <f>VLOOKUP(A11,[7]LISTADHERENT!A$5:H$50,3,0)</f>
        <v xml:space="preserve">DJOMO JEAN PAUL </v>
      </c>
      <c r="C11" s="13">
        <f>VLOOKUP(A11,[8]HISTODEC24!$A$6:$BQ$40,56,0)</f>
        <v>0</v>
      </c>
      <c r="D11" s="13">
        <f>VLOOKUP(A11,[8]HISTODEC24!$A$6:$BQ$40,57,0)</f>
        <v>0</v>
      </c>
      <c r="E11" s="13"/>
      <c r="F11" s="13"/>
      <c r="G11" s="14">
        <f t="shared" si="0"/>
        <v>0</v>
      </c>
    </row>
    <row r="12" spans="1:7" ht="17.5" x14ac:dyDescent="0.35">
      <c r="A12" s="9" t="s">
        <v>19</v>
      </c>
      <c r="B12" s="10" t="str">
        <f>VLOOKUP(A12,[7]LISTADHERENT!A$5:H$50,3,0)</f>
        <v>DJOMOU TCHAPDA</v>
      </c>
      <c r="C12" s="13">
        <f>VLOOKUP(A12,[8]HISTODEC24!$A$6:$BQ$40,56,0)</f>
        <v>880000</v>
      </c>
      <c r="D12" s="13" t="str">
        <f>VLOOKUP(A12,[8]HISTODEC24!$A$6:$BQ$40,57,0)</f>
        <v>OK</v>
      </c>
      <c r="E12" s="13"/>
      <c r="F12" s="13"/>
      <c r="G12" s="14">
        <f t="shared" si="0"/>
        <v>0</v>
      </c>
    </row>
    <row r="13" spans="1:7" ht="17.5" x14ac:dyDescent="0.35">
      <c r="A13" s="9" t="s">
        <v>20</v>
      </c>
      <c r="B13" s="10" t="str">
        <f>VLOOKUP(A13,[7]LISTADHERENT!A$5:H$50,3,0)</f>
        <v>DJOUKWE NANGUEN GUY BLAISE</v>
      </c>
      <c r="C13" s="13">
        <f>VLOOKUP(A13,[8]HISTODEC24!$A$6:$BQ$40,56,0)</f>
        <v>0</v>
      </c>
      <c r="D13" s="13">
        <f>VLOOKUP(A13,[8]HISTODEC24!$A$6:$BQ$40,57,0)</f>
        <v>0</v>
      </c>
      <c r="E13" s="13"/>
      <c r="F13" s="13"/>
      <c r="G13" s="14">
        <f t="shared" si="0"/>
        <v>0</v>
      </c>
    </row>
    <row r="14" spans="1:7" ht="17.5" x14ac:dyDescent="0.35">
      <c r="A14" s="9" t="s">
        <v>21</v>
      </c>
      <c r="B14" s="10" t="str">
        <f>VLOOKUP(A14,[7]LISTADHERENT!A$5:H$50,3,0)</f>
        <v>DJUOMBESSY ANTOINE</v>
      </c>
      <c r="C14" s="13">
        <f>VLOOKUP(A14,[8]HISTODEC24!$A$6:$BQ$40,56,0)</f>
        <v>0</v>
      </c>
      <c r="D14" s="13">
        <f>VLOOKUP(A14,[8]HISTODEC24!$A$6:$BQ$40,57,0)</f>
        <v>0</v>
      </c>
      <c r="E14" s="13"/>
      <c r="F14" s="13"/>
      <c r="G14" s="14">
        <f t="shared" si="0"/>
        <v>0</v>
      </c>
    </row>
    <row r="15" spans="1:7" s="3" customFormat="1" ht="17.5" x14ac:dyDescent="0.35">
      <c r="A15" s="9" t="s">
        <v>22</v>
      </c>
      <c r="B15" s="10" t="str">
        <f>VLOOKUP(A15,[7]LISTADHERENT!A$5:H$50,3,0)</f>
        <v>DOMOU FABIEN</v>
      </c>
      <c r="C15" s="13">
        <f>VLOOKUP(A15,[8]HISTODEC24!$A$6:$BQ$40,56,0)</f>
        <v>0</v>
      </c>
      <c r="D15" s="13">
        <f>VLOOKUP(A15,[8]HISTODEC24!$A$6:$BQ$40,57,0)</f>
        <v>0</v>
      </c>
      <c r="E15" s="13"/>
      <c r="F15" s="13"/>
      <c r="G15" s="14">
        <f t="shared" si="0"/>
        <v>0</v>
      </c>
    </row>
    <row r="16" spans="1:7" ht="17.5" x14ac:dyDescent="0.35">
      <c r="A16" s="9" t="s">
        <v>23</v>
      </c>
      <c r="B16" s="10" t="str">
        <f>VLOOKUP(A16,[7]LISTADHERENT!A$5:H$50,3,0)</f>
        <v>DONHOU DAVID</v>
      </c>
      <c r="C16" s="13">
        <f>VLOOKUP(A16,[8]HISTODEC24!$A$6:$BQ$40,56,0)</f>
        <v>0</v>
      </c>
      <c r="D16" s="13">
        <f>VLOOKUP(A16,[8]HISTODEC24!$A$6:$BQ$40,57,0)</f>
        <v>0</v>
      </c>
      <c r="E16" s="13"/>
      <c r="F16" s="13"/>
      <c r="G16" s="14">
        <f t="shared" si="0"/>
        <v>0</v>
      </c>
    </row>
    <row r="17" spans="1:7" ht="17.5" x14ac:dyDescent="0.35">
      <c r="A17" s="9" t="s">
        <v>24</v>
      </c>
      <c r="B17" s="10" t="str">
        <f>VLOOKUP(A17,[7]LISTADHERENT!A$5:H$50,3,0)</f>
        <v>HENGUE PAUL OMER</v>
      </c>
      <c r="C17" s="13">
        <f>VLOOKUP(A17,[8]HISTODEC24!$A$6:$BQ$40,56,0)</f>
        <v>0</v>
      </c>
      <c r="D17" s="13">
        <f>VLOOKUP(A17,[8]HISTODEC24!$A$6:$BQ$40,57,0)</f>
        <v>0</v>
      </c>
      <c r="E17" s="13"/>
      <c r="F17" s="13"/>
      <c r="G17" s="14">
        <f t="shared" si="0"/>
        <v>0</v>
      </c>
    </row>
    <row r="18" spans="1:7" ht="17.5" x14ac:dyDescent="0.35">
      <c r="A18" s="9" t="s">
        <v>25</v>
      </c>
      <c r="B18" s="10" t="str">
        <f>VLOOKUP(A18,[7]LISTADHERENT!A$5:H$50,3,0)</f>
        <v>HOTCHO BENJAMIN</v>
      </c>
      <c r="C18" s="13">
        <f>VLOOKUP(A18,[8]HISTODEC24!$A$6:$BQ$40,56,0)</f>
        <v>0</v>
      </c>
      <c r="D18" s="13">
        <f>VLOOKUP(A18,[8]HISTODEC24!$A$6:$BQ$40,57,0)</f>
        <v>0</v>
      </c>
      <c r="E18" s="13"/>
      <c r="F18" s="13"/>
      <c r="G18" s="14">
        <f t="shared" si="0"/>
        <v>0</v>
      </c>
    </row>
    <row r="19" spans="1:7" ht="17.5" x14ac:dyDescent="0.35">
      <c r="A19" s="9" t="s">
        <v>26</v>
      </c>
      <c r="B19" s="10" t="str">
        <f>VLOOKUP(A19,[7]LISTADHERENT!A$5:H$50,3,0)</f>
        <v>KOUAMOU MOISE</v>
      </c>
      <c r="C19" s="13">
        <f>VLOOKUP(A19,[8]HISTODEC24!$A$6:$BQ$40,56,0)</f>
        <v>0</v>
      </c>
      <c r="D19" s="13">
        <f>VLOOKUP(A19,[8]HISTODEC24!$A$6:$BQ$40,57,0)</f>
        <v>0</v>
      </c>
      <c r="E19" s="13"/>
      <c r="F19" s="13"/>
      <c r="G19" s="14">
        <f t="shared" si="0"/>
        <v>0</v>
      </c>
    </row>
    <row r="20" spans="1:7" ht="17.5" x14ac:dyDescent="0.35">
      <c r="A20" s="9" t="s">
        <v>27</v>
      </c>
      <c r="B20" s="10" t="str">
        <f>VLOOKUP(A20,[7]LISTADHERENT!A$5:H$50,3,0)</f>
        <v>KOUATCHO MESSACK</v>
      </c>
      <c r="C20" s="13">
        <f>VLOOKUP(A20,[8]HISTODEC24!$A$6:$BQ$40,56,0)</f>
        <v>880000</v>
      </c>
      <c r="D20" s="13" t="str">
        <f>VLOOKUP(A20,[8]HISTODEC24!$A$6:$BQ$40,57,0)</f>
        <v>OK</v>
      </c>
      <c r="E20" s="13"/>
      <c r="F20" s="13"/>
      <c r="G20" s="14">
        <f t="shared" si="0"/>
        <v>0</v>
      </c>
    </row>
    <row r="21" spans="1:7" ht="17.5" x14ac:dyDescent="0.35">
      <c r="A21" s="9" t="s">
        <v>28</v>
      </c>
      <c r="B21" s="10" t="str">
        <f>VLOOKUP(A21,[7]LISTADHERENT!A$5:H$50,3,0)</f>
        <v>MASSEUNGOUE DAGOBERT</v>
      </c>
      <c r="C21" s="13">
        <f>VLOOKUP(A21,[8]HISTODEC24!$A$6:$BQ$40,56,0)</f>
        <v>0</v>
      </c>
      <c r="D21" s="13">
        <f>VLOOKUP(A21,[8]HISTODEC24!$A$6:$BQ$40,57,0)</f>
        <v>0</v>
      </c>
      <c r="E21" s="13"/>
      <c r="F21" s="13"/>
      <c r="G21" s="14">
        <f t="shared" si="0"/>
        <v>0</v>
      </c>
    </row>
    <row r="22" spans="1:7" ht="17.5" x14ac:dyDescent="0.35">
      <c r="A22" s="9" t="s">
        <v>29</v>
      </c>
      <c r="B22" s="10" t="str">
        <f>VLOOKUP(A22,[7]LISTADHERENT!A$5:H$50,3,0)</f>
        <v>MBOGNING TUGMA GUY</v>
      </c>
      <c r="C22" s="13">
        <f>VLOOKUP(A22,[8]HISTODEC24!$A$6:$BQ$40,56,0)</f>
        <v>0</v>
      </c>
      <c r="D22" s="13">
        <f>VLOOKUP(A22,[8]HISTODEC24!$A$6:$BQ$40,57,0)</f>
        <v>0</v>
      </c>
      <c r="E22" s="13"/>
      <c r="F22" s="13"/>
      <c r="G22" s="14">
        <f t="shared" si="0"/>
        <v>0</v>
      </c>
    </row>
    <row r="23" spans="1:7" ht="17.5" x14ac:dyDescent="0.35">
      <c r="A23" s="9" t="s">
        <v>30</v>
      </c>
      <c r="B23" s="10" t="str">
        <f>VLOOKUP(A23,[7]LISTADHERENT!A$5:H$50,3,0)</f>
        <v>NANGUEN MARTIN</v>
      </c>
      <c r="C23" s="13">
        <f>VLOOKUP(A23,[8]HISTODEC24!$A$6:$BQ$40,56,0)</f>
        <v>0</v>
      </c>
      <c r="D23" s="13">
        <f>VLOOKUP(A23,[8]HISTODEC24!$A$6:$BQ$40,57,0)</f>
        <v>0</v>
      </c>
      <c r="E23" s="13"/>
      <c r="F23" s="13"/>
      <c r="G23" s="14">
        <f t="shared" si="0"/>
        <v>0</v>
      </c>
    </row>
    <row r="24" spans="1:7" ht="17.5" x14ac:dyDescent="0.35">
      <c r="A24" s="9" t="s">
        <v>31</v>
      </c>
      <c r="B24" s="10" t="str">
        <f>VLOOKUP(A24,[7]LISTADHERENT!A$5:H$50,3,0)</f>
        <v>NANKAM APPOLINAIRE</v>
      </c>
      <c r="C24" s="13">
        <f>VLOOKUP(A24,[8]HISTODEC24!$A$6:$BQ$40,56,0)</f>
        <v>792000</v>
      </c>
      <c r="D24" s="13" t="str">
        <f>VLOOKUP(A24,[8]HISTODEC24!$A$6:$BQ$40,57,0)</f>
        <v>OK</v>
      </c>
      <c r="E24" s="13"/>
      <c r="F24" s="13"/>
      <c r="G24" s="14">
        <f t="shared" si="0"/>
        <v>0</v>
      </c>
    </row>
    <row r="25" spans="1:7" ht="17.5" x14ac:dyDescent="0.35">
      <c r="A25" s="9" t="s">
        <v>32</v>
      </c>
      <c r="B25" s="10" t="str">
        <f>VLOOKUP(A25,[7]LISTADHERENT!A$5:H$50,3,0)</f>
        <v>NDJOMO ETIENNE</v>
      </c>
      <c r="C25" s="13">
        <f>VLOOKUP(A25,[8]HISTODEC24!$A$6:$BQ$40,56,0)</f>
        <v>470000</v>
      </c>
      <c r="D25" s="13" t="str">
        <f>VLOOKUP(A25,[8]HISTODEC24!$A$6:$BQ$40,57,0)</f>
        <v>OK</v>
      </c>
      <c r="E25" s="13"/>
      <c r="F25" s="13"/>
      <c r="G25" s="14">
        <f t="shared" si="0"/>
        <v>0</v>
      </c>
    </row>
    <row r="26" spans="1:7" ht="17.5" x14ac:dyDescent="0.35">
      <c r="A26" s="9" t="s">
        <v>33</v>
      </c>
      <c r="B26" s="10" t="str">
        <f>VLOOKUP(A26,[7]LISTADHERENT!A$5:H$50,3,0)</f>
        <v>NGONDIEP CLAUDE</v>
      </c>
      <c r="C26" s="13">
        <f>VLOOKUP(A26,[8]HISTODEC24!$A$6:$BQ$40,56,0)</f>
        <v>0</v>
      </c>
      <c r="D26" s="13">
        <f>VLOOKUP(A26,[8]HISTODEC24!$A$6:$BQ$40,57,0)</f>
        <v>0</v>
      </c>
      <c r="E26" s="13"/>
      <c r="F26" s="13"/>
      <c r="G26" s="14">
        <f t="shared" si="0"/>
        <v>0</v>
      </c>
    </row>
    <row r="27" spans="1:7" ht="17.5" x14ac:dyDescent="0.35">
      <c r="A27" s="9" t="s">
        <v>34</v>
      </c>
      <c r="B27" s="10" t="str">
        <f>VLOOKUP(A27,[7]LISTADHERENT!A$5:H$50,3,0)</f>
        <v>NGUIEMEGNI MATHIEU BLAISE</v>
      </c>
      <c r="C27" s="13">
        <f>VLOOKUP(A27,[8]HISTODEC24!$A$6:$BQ$40,56,0)</f>
        <v>880000</v>
      </c>
      <c r="D27" s="13" t="str">
        <f>VLOOKUP(A27,[8]HISTODEC24!$A$6:$BQ$40,57,0)</f>
        <v>OK</v>
      </c>
      <c r="E27" s="13"/>
      <c r="F27" s="13"/>
      <c r="G27" s="14">
        <f t="shared" si="0"/>
        <v>0</v>
      </c>
    </row>
    <row r="28" spans="1:7" ht="17.5" x14ac:dyDescent="0.35">
      <c r="A28" s="9" t="s">
        <v>35</v>
      </c>
      <c r="B28" s="10" t="str">
        <f>VLOOKUP(A28,[7]LISTADHERENT!A$5:H$50,3,0)</f>
        <v>NKAMGANG JUSTIN DEJOLIE</v>
      </c>
      <c r="C28" s="13">
        <f>VLOOKUP(A28,[8]HISTODEC24!$A$6:$BQ$40,56,0)</f>
        <v>825500</v>
      </c>
      <c r="D28" s="13" t="str">
        <f>VLOOKUP(A28,[8]HISTODEC24!$A$6:$BQ$40,57,0)</f>
        <v>OK</v>
      </c>
      <c r="E28" s="13"/>
      <c r="F28" s="13"/>
      <c r="G28" s="14">
        <f t="shared" si="0"/>
        <v>0</v>
      </c>
    </row>
    <row r="29" spans="1:7" ht="17.5" x14ac:dyDescent="0.35">
      <c r="A29" s="9" t="s">
        <v>36</v>
      </c>
      <c r="B29" s="10" t="str">
        <f>VLOOKUP(A29,[7]LISTADHERENT!A$5:H$50,3,0)</f>
        <v>NOUBE ETIENNE</v>
      </c>
      <c r="C29" s="13">
        <f>VLOOKUP(A29,[8]HISTODEC24!$A$6:$BQ$40,56,0)</f>
        <v>0</v>
      </c>
      <c r="D29" s="13">
        <f>VLOOKUP(A29,[8]HISTODEC24!$A$6:$BQ$40,57,0)</f>
        <v>0</v>
      </c>
      <c r="E29" s="13"/>
      <c r="F29" s="13"/>
      <c r="G29" s="14">
        <f t="shared" si="0"/>
        <v>0</v>
      </c>
    </row>
    <row r="30" spans="1:7" ht="17.5" x14ac:dyDescent="0.35">
      <c r="A30" s="9" t="s">
        <v>37</v>
      </c>
      <c r="B30" s="10" t="str">
        <f>VLOOKUP(A30,[7]LISTADHERENT!A$5:H$50,3,0)</f>
        <v>PATEGO NJOSSU GUSTAVE</v>
      </c>
      <c r="C30" s="13">
        <f>VLOOKUP(A30,[8]HISTODEC24!$A$6:$BQ$40,56,0)</f>
        <v>0</v>
      </c>
      <c r="D30" s="13">
        <f>VLOOKUP(A30,[8]HISTODEC24!$A$6:$BQ$40,57,0)</f>
        <v>0</v>
      </c>
      <c r="E30" s="13"/>
      <c r="F30" s="13"/>
      <c r="G30" s="14">
        <f t="shared" si="0"/>
        <v>0</v>
      </c>
    </row>
    <row r="31" spans="1:7" ht="17.5" x14ac:dyDescent="0.35">
      <c r="A31" s="9" t="s">
        <v>38</v>
      </c>
      <c r="B31" s="10" t="str">
        <f>VLOOKUP(A31,[7]LISTADHERENT!A$5:H$50,3,0)</f>
        <v>SEUMO POLYCARPE</v>
      </c>
      <c r="C31" s="13">
        <f>VLOOKUP(A31,[8]HISTODEC24!$A$6:$BQ$40,56,0)</f>
        <v>0</v>
      </c>
      <c r="D31" s="13">
        <f>VLOOKUP(A31,[8]HISTODEC24!$A$6:$BQ$40,57,0)</f>
        <v>0</v>
      </c>
      <c r="E31" s="13"/>
      <c r="F31" s="13"/>
      <c r="G31" s="14">
        <f t="shared" si="0"/>
        <v>0</v>
      </c>
    </row>
    <row r="32" spans="1:7" ht="17.5" x14ac:dyDescent="0.35">
      <c r="A32" s="9" t="s">
        <v>39</v>
      </c>
      <c r="B32" s="10" t="str">
        <f>VLOOKUP(A32,[7]LISTADHERENT!A$5:H$50,3,0)</f>
        <v>SIME BRICE</v>
      </c>
      <c r="C32" s="13">
        <f>VLOOKUP(A32,[8]HISTODEC24!$A$6:$BQ$40,56,0)</f>
        <v>0</v>
      </c>
      <c r="D32" s="13">
        <f>VLOOKUP(A32,[8]HISTODEC24!$A$6:$BQ$40,57,0)</f>
        <v>0</v>
      </c>
      <c r="E32" s="13"/>
      <c r="F32" s="13"/>
      <c r="G32" s="14">
        <f t="shared" si="0"/>
        <v>0</v>
      </c>
    </row>
    <row r="33" spans="1:7" ht="17.5" x14ac:dyDescent="0.35">
      <c r="A33" s="9" t="s">
        <v>40</v>
      </c>
      <c r="B33" s="10" t="str">
        <f>VLOOKUP(A33,[7]LISTADHERENT!A$5:H$50,3,0)</f>
        <v>SIMO PIERRE</v>
      </c>
      <c r="C33" s="13">
        <f>VLOOKUP(A33,[8]HISTODEC24!$A$6:$BQ$40,56,0)</f>
        <v>880000</v>
      </c>
      <c r="D33" s="13" t="str">
        <f>VLOOKUP(A33,[8]HISTODEC24!$A$6:$BQ$40,57,0)</f>
        <v>OK</v>
      </c>
      <c r="E33" s="13"/>
      <c r="F33" s="13"/>
      <c r="G33" s="14">
        <f t="shared" si="0"/>
        <v>0</v>
      </c>
    </row>
    <row r="34" spans="1:7" ht="17.5" x14ac:dyDescent="0.35">
      <c r="A34" s="9" t="s">
        <v>41</v>
      </c>
      <c r="B34" s="10" t="str">
        <f>VLOOKUP(A34,[7]LISTADHERENT!A$5:H$50,3,0)</f>
        <v>TCHOUAMOU MATHIEU</v>
      </c>
      <c r="C34" s="13">
        <f>VLOOKUP(A34,[8]HISTODEC24!$A$6:$BQ$40,56,0)</f>
        <v>880000</v>
      </c>
      <c r="D34" s="13" t="str">
        <f>VLOOKUP(A34,[8]HISTODEC24!$A$6:$BQ$40,57,0)</f>
        <v>OK</v>
      </c>
      <c r="E34" s="13"/>
      <c r="F34" s="13"/>
      <c r="G34" s="14">
        <f t="shared" si="0"/>
        <v>0</v>
      </c>
    </row>
    <row r="35" spans="1:7" ht="17.5" x14ac:dyDescent="0.35">
      <c r="A35" s="9" t="s">
        <v>42</v>
      </c>
      <c r="B35" s="10" t="str">
        <f>VLOOKUP(A35,[7]LISTADHERENT!A$5:H$50,3,0)</f>
        <v>TCHOUATEU AUGUSTIN</v>
      </c>
      <c r="C35" s="13">
        <f>VLOOKUP(A35,[8]HISTODEC24!$A$6:$BQ$40,56,0)</f>
        <v>0</v>
      </c>
      <c r="D35" s="13">
        <f>VLOOKUP(A35,[8]HISTODEC24!$A$6:$BQ$40,57,0)</f>
        <v>0</v>
      </c>
      <c r="E35" s="13"/>
      <c r="F35" s="13"/>
      <c r="G35" s="14">
        <f t="shared" si="0"/>
        <v>0</v>
      </c>
    </row>
    <row r="36" spans="1:7" s="3" customFormat="1" ht="17.5" x14ac:dyDescent="0.35">
      <c r="A36" s="9" t="s">
        <v>43</v>
      </c>
      <c r="B36" s="10" t="str">
        <f>VLOOKUP(A36,[7]LISTADHERENT!A$5:H$50,3,0)</f>
        <v>TCHOUTOU NANA CLAUDE</v>
      </c>
      <c r="C36" s="13">
        <f>VLOOKUP(A36,[8]HISTODEC24!$A$6:$BQ$40,56,0)</f>
        <v>0</v>
      </c>
      <c r="D36" s="13">
        <f>VLOOKUP(A36,[8]HISTODEC24!$A$6:$BQ$40,57,0)</f>
        <v>0</v>
      </c>
      <c r="E36" s="13"/>
      <c r="F36" s="13"/>
      <c r="G36" s="14">
        <f t="shared" si="0"/>
        <v>0</v>
      </c>
    </row>
    <row r="37" spans="1:7" ht="17.5" x14ac:dyDescent="0.35">
      <c r="A37" s="9" t="s">
        <v>44</v>
      </c>
      <c r="B37" s="10" t="str">
        <f>VLOOKUP(A37,[7]LISTADHERENT!A$5:H$50,3,0)</f>
        <v>YANTCHOU GERVAIS</v>
      </c>
      <c r="C37" s="13">
        <f>VLOOKUP(A37,[8]HISTODEC24!$A$6:$BQ$40,56,0)</f>
        <v>880000</v>
      </c>
      <c r="D37" s="13" t="str">
        <f>VLOOKUP(A37,[8]HISTODEC24!$A$6:$BQ$40,57,0)</f>
        <v>OK</v>
      </c>
      <c r="E37" s="13"/>
      <c r="F37" s="13"/>
      <c r="G37" s="14">
        <f t="shared" si="0"/>
        <v>0</v>
      </c>
    </row>
    <row r="38" spans="1:7" ht="17.5" x14ac:dyDescent="0.35">
      <c r="A38" s="9" t="s">
        <v>45</v>
      </c>
      <c r="B38" s="10" t="str">
        <f>VLOOKUP(A38,[7]LISTADHERENT!A$5:H$50,3,0)</f>
        <v>YEPMOU JEAN JACQUES</v>
      </c>
      <c r="C38" s="13">
        <f>VLOOKUP(A38,[8]HISTODEC24!$A$6:$BQ$40,56,0)</f>
        <v>0</v>
      </c>
      <c r="D38" s="13">
        <f>VLOOKUP(A38,[8]HISTODEC24!$A$6:$BQ$40,57,0)</f>
        <v>0</v>
      </c>
      <c r="E38" s="13"/>
      <c r="F38" s="13"/>
      <c r="G38" s="14">
        <f t="shared" si="0"/>
        <v>0</v>
      </c>
    </row>
    <row r="39" spans="1:7" ht="17.5" x14ac:dyDescent="0.35">
      <c r="A39" s="9" t="s">
        <v>46</v>
      </c>
      <c r="B39" s="10" t="str">
        <f>VLOOKUP(A39,[7]LISTADHERENT!A$5:H$50,3,0)</f>
        <v>YIALA ALAIN OSCAR</v>
      </c>
      <c r="C39" s="13">
        <f>VLOOKUP(A39,[8]HISTODEC24!$A$6:$BQ$40,56,0)</f>
        <v>0</v>
      </c>
      <c r="D39" s="13">
        <f>VLOOKUP(A39,[8]HISTODEC24!$A$6:$BQ$40,57,0)</f>
        <v>0</v>
      </c>
      <c r="E39" s="13"/>
      <c r="F39" s="13"/>
      <c r="G39" s="14">
        <f t="shared" si="0"/>
        <v>0</v>
      </c>
    </row>
    <row r="40" spans="1:7" ht="17.5" x14ac:dyDescent="0.35">
      <c r="A40" s="9" t="s">
        <v>47</v>
      </c>
      <c r="B40" s="10" t="str">
        <f>VLOOKUP(A40,[7]LISTADHERENT!A$5:H$50,3,0)</f>
        <v>YOUMBI EMMANUEL</v>
      </c>
      <c r="C40" s="13">
        <f>VLOOKUP(A40,[8]HISTODEC24!$A$6:$BQ$40,56,0)</f>
        <v>0</v>
      </c>
      <c r="D40" s="13">
        <f>VLOOKUP(A40,[8]HISTODEC24!$A$6:$BQ$40,57,0)</f>
        <v>0</v>
      </c>
      <c r="E40" s="13"/>
      <c r="F40" s="13"/>
      <c r="G40" s="14">
        <f t="shared" si="0"/>
        <v>0</v>
      </c>
    </row>
    <row r="41" spans="1:7" ht="17.5" x14ac:dyDescent="0.35">
      <c r="A41" s="9"/>
      <c r="B41" s="10" t="s">
        <v>49</v>
      </c>
      <c r="C41" s="10"/>
      <c r="D41" s="10"/>
      <c r="E41" s="13"/>
      <c r="F41" s="13">
        <v>17320444</v>
      </c>
      <c r="G41" s="14"/>
    </row>
    <row r="42" spans="1:7" ht="24" thickBot="1" x14ac:dyDescent="0.6">
      <c r="A42" s="15"/>
      <c r="B42" s="16" t="s">
        <v>4</v>
      </c>
      <c r="C42" s="17">
        <f>SUM(C8:C41)</f>
        <v>12394118</v>
      </c>
      <c r="D42" s="17"/>
      <c r="E42" s="17">
        <f>SUM(E9:E41)</f>
        <v>0</v>
      </c>
      <c r="F42" s="17"/>
      <c r="G42" s="18">
        <f>SUM(G9:G41)</f>
        <v>0</v>
      </c>
    </row>
    <row r="43" spans="1:7" ht="15" thickTop="1" x14ac:dyDescent="0.35"/>
    <row r="44" spans="1:7" ht="26" x14ac:dyDescent="0.6">
      <c r="B44" s="5" t="s">
        <v>11</v>
      </c>
      <c r="C44" s="4">
        <f>C42-C7</f>
        <v>7461118</v>
      </c>
    </row>
    <row r="46" spans="1:7" x14ac:dyDescent="0.35">
      <c r="B46" s="1" t="s">
        <v>6</v>
      </c>
      <c r="C46" s="1"/>
      <c r="D46" s="1"/>
      <c r="E46" s="1"/>
      <c r="F46" s="1"/>
    </row>
    <row r="48" spans="1:7" x14ac:dyDescent="0.35">
      <c r="B48" t="s">
        <v>8</v>
      </c>
    </row>
    <row r="49" spans="2:2" x14ac:dyDescent="0.35">
      <c r="B49" t="s">
        <v>9</v>
      </c>
    </row>
    <row r="50" spans="2:2" x14ac:dyDescent="0.35">
      <c r="B50" t="s">
        <v>10</v>
      </c>
    </row>
  </sheetData>
  <autoFilter ref="A6:F40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C06F9-F00C-4EAE-8E62-56397A934B94}">
  <dimension ref="A1:G50"/>
  <sheetViews>
    <sheetView zoomScale="96" zoomScaleNormal="96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0" sqref="E10:E11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4" width="21.1796875" customWidth="1"/>
    <col min="5" max="5" width="17" bestFit="1" customWidth="1"/>
    <col min="6" max="6" width="17" customWidth="1"/>
    <col min="7" max="7" width="12.453125" bestFit="1" customWidth="1"/>
  </cols>
  <sheetData>
    <row r="1" spans="1:7" x14ac:dyDescent="0.35">
      <c r="A1" s="1" t="s">
        <v>2</v>
      </c>
      <c r="B1" s="1" t="s">
        <v>48</v>
      </c>
      <c r="C1" s="1"/>
      <c r="D1" s="1"/>
      <c r="E1" s="1"/>
      <c r="F1" s="1"/>
    </row>
    <row r="2" spans="1:7" x14ac:dyDescent="0.35">
      <c r="A2" s="1" t="s">
        <v>3</v>
      </c>
      <c r="B2" s="1">
        <v>2024</v>
      </c>
      <c r="C2" s="1"/>
      <c r="D2" s="1"/>
      <c r="E2" s="1"/>
      <c r="F2" s="1"/>
    </row>
    <row r="3" spans="1:7" x14ac:dyDescent="0.35">
      <c r="A3" s="1"/>
      <c r="B3" s="2"/>
      <c r="C3" s="2"/>
      <c r="D3" s="2"/>
      <c r="E3" s="2"/>
      <c r="F3" s="2"/>
    </row>
    <row r="4" spans="1:7" ht="15" thickBot="1" x14ac:dyDescent="0.4"/>
    <row r="5" spans="1:7" ht="68.25" customHeight="1" thickTop="1" x14ac:dyDescent="0.35">
      <c r="A5" s="6" t="s">
        <v>0</v>
      </c>
      <c r="B5" s="7" t="s">
        <v>1</v>
      </c>
      <c r="C5" s="7"/>
      <c r="D5" s="7"/>
      <c r="E5" s="7"/>
      <c r="F5" s="7"/>
      <c r="G5" s="8" t="s">
        <v>4</v>
      </c>
    </row>
    <row r="6" spans="1:7" ht="30" customHeight="1" x14ac:dyDescent="0.35">
      <c r="A6" s="9"/>
      <c r="B6" s="10"/>
      <c r="C6" s="10" t="s">
        <v>7</v>
      </c>
      <c r="D6" s="10" t="s">
        <v>5</v>
      </c>
      <c r="E6" s="11" t="s">
        <v>12</v>
      </c>
      <c r="F6" s="11" t="s">
        <v>13</v>
      </c>
      <c r="G6" s="12"/>
    </row>
    <row r="7" spans="1:7" ht="30" customHeight="1" x14ac:dyDescent="0.35">
      <c r="A7" s="9"/>
      <c r="B7" s="10" t="s">
        <v>14</v>
      </c>
      <c r="C7" s="13">
        <f>+HISTOJANV24!C7+HISTOFEV24!C7+HISTOMARS24!C7+HISTOAVRIL24!C7+HISTOMAI24!C7+HISTOJUIN24!C7+HISTOJUIL24!C7+HISTOAOUT24!C7+HISTOSEPT24!C7+HISTOOCT24!C7+HISTONOV24!C7+HISTODEC24!C7</f>
        <v>56169300</v>
      </c>
      <c r="D7" s="10"/>
      <c r="E7" s="13"/>
      <c r="F7" s="13"/>
      <c r="G7" s="12"/>
    </row>
    <row r="8" spans="1:7" ht="17.5" x14ac:dyDescent="0.35">
      <c r="A8" s="9" t="s">
        <v>15</v>
      </c>
      <c r="B8" s="10" t="str">
        <f>VLOOKUP(A8,[7]LISTADHERENT!A$5:H$50,3,0)</f>
        <v>ASELBY</v>
      </c>
      <c r="C8" s="13">
        <f>+HISTOJANV24!C8+HISTOFEV24!C8+HISTOMARS24!C8+HISTOAVRIL24!C8+HISTOMAI24!C8+HISTOJUIN24!C8+HISTOJUIL24!C8+HISTOAOUT24!C8+HISTOSEPT24!C8+HISTOOCT24!C8+HISTONOV24!C8+HISTODEC24!C8</f>
        <v>7209618</v>
      </c>
      <c r="D8" s="13"/>
      <c r="E8" s="13">
        <f>+HISTOJANV24!E8+HISTOFEV24!E8+HISTOMARS24!E8+HISTOAVRIL24!E8+HISTOMAI24!E8+HISTOJUIN24!E8+HISTOJUIL24!E8+HISTOAOUT24!E8+HISTOSEPT24!E8+HISTOOCT24!E8+HISTONOV24!E8+HISTODEC24!E8</f>
        <v>22659</v>
      </c>
      <c r="F8" s="13"/>
      <c r="G8" s="14">
        <f t="shared" ref="G8:G40" si="0">SUM(E8:F8)</f>
        <v>22659</v>
      </c>
    </row>
    <row r="9" spans="1:7" ht="17.5" x14ac:dyDescent="0.35">
      <c r="A9" s="9" t="s">
        <v>16</v>
      </c>
      <c r="B9" s="10" t="str">
        <f>VLOOKUP(A9,[7]LISTADHERENT!A$5:H$50,3,0)</f>
        <v>BAKOP ACHILLE</v>
      </c>
      <c r="C9" s="13">
        <f>+HISTOJANV24!C9+HISTOFEV24!C9+HISTOMARS24!C9+HISTOAVRIL24!C9+HISTOMAI24!C9+HISTOJUIN24!C9+HISTOJUIL24!C9+HISTOAOUT24!C9+HISTOSEPT24!C9+HISTOOCT24!C9+HISTONOV24!C9+HISTODEC24!C9</f>
        <v>397000</v>
      </c>
      <c r="D9" s="13"/>
      <c r="E9" s="13"/>
      <c r="F9" s="13"/>
      <c r="G9" s="14">
        <f t="shared" si="0"/>
        <v>0</v>
      </c>
    </row>
    <row r="10" spans="1:7" s="3" customFormat="1" ht="17.5" x14ac:dyDescent="0.35">
      <c r="A10" s="9" t="s">
        <v>17</v>
      </c>
      <c r="B10" s="10" t="str">
        <f>VLOOKUP(A10,[7]LISTADHERENT!A$5:H$50,3,0)</f>
        <v>BOUTCHOUANG WILLIAM</v>
      </c>
      <c r="C10" s="13">
        <f>+HISTOJANV24!C10+HISTOFEV24!C10+HISTOMARS24!C10+HISTOAVRIL24!C10+HISTOMAI24!C10+HISTOJUIN24!C10+HISTOJUIL24!C10+HISTOAOUT24!C10+HISTOSEPT24!C10+HISTOOCT24!C10+HISTONOV24!C10+HISTODEC24!C10</f>
        <v>1177750</v>
      </c>
      <c r="D10" s="13"/>
      <c r="E10" s="13"/>
      <c r="F10" s="13"/>
      <c r="G10" s="14">
        <f t="shared" si="0"/>
        <v>0</v>
      </c>
    </row>
    <row r="11" spans="1:7" s="3" customFormat="1" ht="17.5" x14ac:dyDescent="0.35">
      <c r="A11" s="9" t="s">
        <v>18</v>
      </c>
      <c r="B11" s="10" t="str">
        <f>VLOOKUP(A11,[7]LISTADHERENT!A$5:H$50,3,0)</f>
        <v xml:space="preserve">DJOMO JEAN PAUL </v>
      </c>
      <c r="C11" s="13">
        <f>+HISTOJANV24!C11+HISTOFEV24!C11+HISTOMARS24!C11+HISTOAVRIL24!C11+HISTOMAI24!C11+HISTOJUIN24!C11+HISTOJUIL24!C11+HISTOAOUT24!C11+HISTOSEPT24!C11+HISTOOCT24!C11+HISTONOV24!C11+HISTODEC24!C11</f>
        <v>2280500</v>
      </c>
      <c r="D11" s="13"/>
      <c r="E11" s="13"/>
      <c r="F11" s="13"/>
      <c r="G11" s="14">
        <f t="shared" si="0"/>
        <v>0</v>
      </c>
    </row>
    <row r="12" spans="1:7" ht="17.5" x14ac:dyDescent="0.35">
      <c r="A12" s="9" t="s">
        <v>19</v>
      </c>
      <c r="B12" s="10" t="str">
        <f>VLOOKUP(A12,[7]LISTADHERENT!A$5:H$50,3,0)</f>
        <v>DJOMOU TCHAPDA</v>
      </c>
      <c r="C12" s="13">
        <f>+HISTOJANV24!C12+HISTOFEV24!C12+HISTOMARS24!C12+HISTOAVRIL24!C12+HISTOMAI24!C12+HISTOJUIN24!C12+HISTOJUIL24!C12+HISTOAOUT24!C12+HISTOSEPT24!C12+HISTOOCT24!C12+HISTONOV24!C12+HISTODEC24!C12</f>
        <v>2561000</v>
      </c>
      <c r="D12" s="13"/>
      <c r="E12" s="13"/>
      <c r="F12" s="13"/>
      <c r="G12" s="14">
        <f t="shared" si="0"/>
        <v>0</v>
      </c>
    </row>
    <row r="13" spans="1:7" ht="17.5" x14ac:dyDescent="0.35">
      <c r="A13" s="9" t="s">
        <v>20</v>
      </c>
      <c r="B13" s="10" t="str">
        <f>VLOOKUP(A13,[7]LISTADHERENT!A$5:H$50,3,0)</f>
        <v>DJOUKWE NANGUEN GUY BLAISE</v>
      </c>
      <c r="C13" s="13">
        <f>+HISTOJANV24!C13+HISTOFEV24!C13+HISTOMARS24!C13+HISTOAVRIL24!C13+HISTOMAI24!C13+HISTOJUIN24!C13+HISTOJUIL24!C13+HISTOAOUT24!C13+HISTOSEPT24!C13+HISTOOCT24!C13+HISTONOV24!C13+HISTODEC24!C13</f>
        <v>1027000</v>
      </c>
      <c r="D13" s="13"/>
      <c r="E13" s="13"/>
      <c r="F13" s="13"/>
      <c r="G13" s="14">
        <f t="shared" si="0"/>
        <v>0</v>
      </c>
    </row>
    <row r="14" spans="1:7" ht="17.5" x14ac:dyDescent="0.35">
      <c r="A14" s="9" t="s">
        <v>21</v>
      </c>
      <c r="B14" s="10" t="str">
        <f>VLOOKUP(A14,[7]LISTADHERENT!A$5:H$50,3,0)</f>
        <v>DJUOMBESSY ANTOINE</v>
      </c>
      <c r="C14" s="13">
        <f>+HISTOJANV24!C14+HISTOFEV24!C14+HISTOMARS24!C14+HISTOAVRIL24!C14+HISTOMAI24!C14+HISTOJUIN24!C14+HISTOJUIL24!C14+HISTOAOUT24!C14+HISTOSEPT24!C14+HISTOOCT24!C14+HISTONOV24!C14+HISTODEC24!C14</f>
        <v>5086800</v>
      </c>
      <c r="D14" s="13"/>
      <c r="E14" s="13"/>
      <c r="F14" s="13"/>
      <c r="G14" s="14">
        <f t="shared" si="0"/>
        <v>0</v>
      </c>
    </row>
    <row r="15" spans="1:7" s="3" customFormat="1" ht="17.5" x14ac:dyDescent="0.35">
      <c r="A15" s="9" t="s">
        <v>22</v>
      </c>
      <c r="B15" s="10" t="str">
        <f>VLOOKUP(A15,[7]LISTADHERENT!A$5:H$50,3,0)</f>
        <v>DOMOU FABIEN</v>
      </c>
      <c r="C15" s="13">
        <f>+HISTOJANV24!C15+HISTOFEV24!C15+HISTOMARS24!C15+HISTOAVRIL24!C15+HISTOMAI24!C15+HISTOJUIN24!C15+HISTOJUIL24!C15+HISTOAOUT24!C15+HISTOSEPT24!C15+HISTOOCT24!C15+HISTONOV24!C15+HISTODEC24!C15</f>
        <v>197500</v>
      </c>
      <c r="D15" s="13"/>
      <c r="E15" s="13"/>
      <c r="F15" s="13"/>
      <c r="G15" s="14">
        <f t="shared" si="0"/>
        <v>0</v>
      </c>
    </row>
    <row r="16" spans="1:7" ht="17.5" x14ac:dyDescent="0.35">
      <c r="A16" s="9" t="s">
        <v>23</v>
      </c>
      <c r="B16" s="10" t="str">
        <f>VLOOKUP(A16,[7]LISTADHERENT!A$5:H$50,3,0)</f>
        <v>DONHOU DAVID</v>
      </c>
      <c r="C16" s="13">
        <f>+HISTOJANV24!C16+HISTOFEV24!C16+HISTOMARS24!C16+HISTOAVRIL24!C16+HISTOMAI24!C16+HISTOJUIN24!C16+HISTOJUIL24!C16+HISTOAOUT24!C16+HISTOSEPT24!C16+HISTOOCT24!C16+HISTONOV24!C16+HISTODEC24!C16</f>
        <v>297500</v>
      </c>
      <c r="D16" s="13"/>
      <c r="E16" s="13"/>
      <c r="F16" s="13"/>
      <c r="G16" s="14">
        <f t="shared" si="0"/>
        <v>0</v>
      </c>
    </row>
    <row r="17" spans="1:7" ht="17.5" x14ac:dyDescent="0.35">
      <c r="A17" s="9" t="s">
        <v>24</v>
      </c>
      <c r="B17" s="10" t="str">
        <f>VLOOKUP(A17,[7]LISTADHERENT!A$5:H$50,3,0)</f>
        <v>HENGUE PAUL OMER</v>
      </c>
      <c r="C17" s="13">
        <f>+HISTOJANV24!C17+HISTOFEV24!C17+HISTOMARS24!C17+HISTOAVRIL24!C17+HISTOMAI24!C17+HISTOJUIN24!C17+HISTOJUIL24!C17+HISTOAOUT24!C17+HISTOSEPT24!C17+HISTOOCT24!C17+HISTONOV24!C17+HISTODEC24!C17</f>
        <v>2112500</v>
      </c>
      <c r="D17" s="13"/>
      <c r="E17" s="13"/>
      <c r="F17" s="13"/>
      <c r="G17" s="14">
        <f t="shared" si="0"/>
        <v>0</v>
      </c>
    </row>
    <row r="18" spans="1:7" ht="17.5" x14ac:dyDescent="0.35">
      <c r="A18" s="9" t="s">
        <v>25</v>
      </c>
      <c r="B18" s="10" t="str">
        <f>VLOOKUP(A18,[7]LISTADHERENT!A$5:H$50,3,0)</f>
        <v>HOTCHO BENJAMIN</v>
      </c>
      <c r="C18" s="13">
        <f>+HISTOJANV24!C18+HISTOFEV24!C18+HISTOMARS24!C18+HISTOAVRIL24!C18+HISTOMAI24!C18+HISTOJUIN24!C18+HISTOJUIL24!C18+HISTOAOUT24!C18+HISTOSEPT24!C18+HISTOOCT24!C18+HISTONOV24!C18+HISTODEC24!C18</f>
        <v>4545500</v>
      </c>
      <c r="D18" s="13"/>
      <c r="E18" s="13"/>
      <c r="F18" s="13"/>
      <c r="G18" s="14">
        <f t="shared" si="0"/>
        <v>0</v>
      </c>
    </row>
    <row r="19" spans="1:7" ht="17.5" x14ac:dyDescent="0.35">
      <c r="A19" s="9" t="s">
        <v>26</v>
      </c>
      <c r="B19" s="10" t="str">
        <f>VLOOKUP(A19,[7]LISTADHERENT!A$5:H$50,3,0)</f>
        <v>KOUAMOU MOISE</v>
      </c>
      <c r="C19" s="13">
        <f>+HISTOJANV24!C19+HISTOFEV24!C19+HISTOMARS24!C19+HISTOAVRIL24!C19+HISTOMAI24!C19+HISTOJUIN24!C19+HISTOJUIL24!C19+HISTOAOUT24!C19+HISTOSEPT24!C19+HISTOOCT24!C19+HISTONOV24!C19+HISTODEC24!C19</f>
        <v>2343000</v>
      </c>
      <c r="D19" s="13"/>
      <c r="E19" s="13"/>
      <c r="F19" s="13"/>
      <c r="G19" s="14">
        <f t="shared" si="0"/>
        <v>0</v>
      </c>
    </row>
    <row r="20" spans="1:7" ht="17.5" x14ac:dyDescent="0.35">
      <c r="A20" s="9" t="s">
        <v>27</v>
      </c>
      <c r="B20" s="10" t="str">
        <f>VLOOKUP(A20,[7]LISTADHERENT!A$5:H$50,3,0)</f>
        <v>KOUATCHO MESSACK</v>
      </c>
      <c r="C20" s="13">
        <f>+HISTOJANV24!C20+HISTOFEV24!C20+HISTOMARS24!C20+HISTOAVRIL24!C20+HISTOMAI24!C20+HISTOJUIN24!C20+HISTOJUIL24!C20+HISTOAOUT24!C20+HISTOSEPT24!C20+HISTOOCT24!C20+HISTONOV24!C20+HISTODEC24!C20</f>
        <v>3127000</v>
      </c>
      <c r="D20" s="13"/>
      <c r="E20" s="13"/>
      <c r="F20" s="13"/>
      <c r="G20" s="14">
        <f t="shared" si="0"/>
        <v>0</v>
      </c>
    </row>
    <row r="21" spans="1:7" ht="17.5" x14ac:dyDescent="0.35">
      <c r="A21" s="9" t="s">
        <v>28</v>
      </c>
      <c r="B21" s="10" t="str">
        <f>VLOOKUP(A21,[7]LISTADHERENT!A$5:H$50,3,0)</f>
        <v>MASSEUNGOUE DAGOBERT</v>
      </c>
      <c r="C21" s="13">
        <f>+HISTOJANV24!C21+HISTOFEV24!C21+HISTOMARS24!C21+HISTOAVRIL24!C21+HISTOMAI24!C21+HISTOJUIN24!C21+HISTOJUIL24!C21+HISTOAOUT24!C21+HISTOSEPT24!C21+HISTOOCT24!C21+HISTONOV24!C21+HISTODEC24!C21</f>
        <v>0</v>
      </c>
      <c r="D21" s="13"/>
      <c r="E21" s="13"/>
      <c r="F21" s="13"/>
      <c r="G21" s="14">
        <f t="shared" si="0"/>
        <v>0</v>
      </c>
    </row>
    <row r="22" spans="1:7" ht="17.5" x14ac:dyDescent="0.35">
      <c r="A22" s="9" t="s">
        <v>29</v>
      </c>
      <c r="B22" s="10" t="str">
        <f>VLOOKUP(A22,[7]LISTADHERENT!A$5:H$50,3,0)</f>
        <v>MBOGNING TUGMA GUY</v>
      </c>
      <c r="C22" s="13">
        <f>+HISTOJANV24!C22+HISTOFEV24!C22+HISTOMARS24!C22+HISTOAVRIL24!C22+HISTOMAI24!C22+HISTOJUIN24!C22+HISTOJUIL24!C22+HISTOAOUT24!C22+HISTOSEPT24!C22+HISTOOCT24!C22+HISTONOV24!C22+HISTODEC24!C22</f>
        <v>4371000</v>
      </c>
      <c r="D22" s="13"/>
      <c r="E22" s="13"/>
      <c r="F22" s="13"/>
      <c r="G22" s="14">
        <f t="shared" si="0"/>
        <v>0</v>
      </c>
    </row>
    <row r="23" spans="1:7" ht="17.5" x14ac:dyDescent="0.35">
      <c r="A23" s="9" t="s">
        <v>30</v>
      </c>
      <c r="B23" s="10" t="str">
        <f>VLOOKUP(A23,[7]LISTADHERENT!A$5:H$50,3,0)</f>
        <v>NANGUEN MARTIN</v>
      </c>
      <c r="C23" s="13">
        <f>+HISTOJANV24!C23+HISTOFEV24!C23+HISTOMARS24!C23+HISTOAVRIL24!C23+HISTOMAI24!C23+HISTOJUIN24!C23+HISTOJUIL24!C23+HISTOAOUT24!C23+HISTOSEPT24!C23+HISTOOCT24!C23+HISTONOV24!C23+HISTODEC24!C23</f>
        <v>0</v>
      </c>
      <c r="D23" s="13"/>
      <c r="E23" s="13"/>
      <c r="F23" s="13"/>
      <c r="G23" s="14">
        <f t="shared" si="0"/>
        <v>0</v>
      </c>
    </row>
    <row r="24" spans="1:7" ht="17.5" x14ac:dyDescent="0.35">
      <c r="A24" s="9" t="s">
        <v>31</v>
      </c>
      <c r="B24" s="10" t="str">
        <f>VLOOKUP(A24,[7]LISTADHERENT!A$5:H$50,3,0)</f>
        <v>NANKAM APPOLINAIRE</v>
      </c>
      <c r="C24" s="13">
        <f>+HISTOJANV24!C24+HISTOFEV24!C24+HISTOMARS24!C24+HISTOAVRIL24!C24+HISTOMAI24!C24+HISTOJUIN24!C24+HISTOJUIL24!C24+HISTOAOUT24!C24+HISTOSEPT24!C24+HISTOOCT24!C24+HISTONOV24!C24+HISTODEC24!C24</f>
        <v>1075000</v>
      </c>
      <c r="D24" s="13"/>
      <c r="E24" s="13"/>
      <c r="F24" s="13"/>
      <c r="G24" s="14">
        <f t="shared" si="0"/>
        <v>0</v>
      </c>
    </row>
    <row r="25" spans="1:7" ht="17.5" x14ac:dyDescent="0.35">
      <c r="A25" s="9" t="s">
        <v>32</v>
      </c>
      <c r="B25" s="10" t="str">
        <f>VLOOKUP(A25,[7]LISTADHERENT!A$5:H$50,3,0)</f>
        <v>NDJOMO ETIENNE</v>
      </c>
      <c r="C25" s="13">
        <f>+HISTOJANV24!C25+HISTOFEV24!C25+HISTOMARS24!C25+HISTOAVRIL24!C25+HISTOMAI24!C25+HISTOJUIN24!C25+HISTOJUIL24!C25+HISTOAOUT24!C25+HISTOSEPT24!C25+HISTOOCT24!C25+HISTONOV24!C25+HISTODEC24!C25</f>
        <v>4517000</v>
      </c>
      <c r="D25" s="13"/>
      <c r="E25" s="13"/>
      <c r="F25" s="13"/>
      <c r="G25" s="14">
        <f t="shared" si="0"/>
        <v>0</v>
      </c>
    </row>
    <row r="26" spans="1:7" ht="17.5" x14ac:dyDescent="0.35">
      <c r="A26" s="9" t="s">
        <v>33</v>
      </c>
      <c r="B26" s="10" t="str">
        <f>VLOOKUP(A26,[7]LISTADHERENT!A$5:H$50,3,0)</f>
        <v>NGONDIEP CLAUDE</v>
      </c>
      <c r="C26" s="13">
        <f>+HISTOJANV24!C26+HISTOFEV24!C26+HISTOMARS24!C26+HISTOAVRIL24!C26+HISTOMAI24!C26+HISTOJUIN24!C26+HISTOJUIL24!C26+HISTOAOUT24!C26+HISTOSEPT24!C26+HISTOOCT24!C26+HISTONOV24!C26+HISTODEC24!C26</f>
        <v>2693500</v>
      </c>
      <c r="D26" s="13"/>
      <c r="E26" s="13"/>
      <c r="F26" s="13"/>
      <c r="G26" s="14">
        <f t="shared" si="0"/>
        <v>0</v>
      </c>
    </row>
    <row r="27" spans="1:7" ht="17.5" x14ac:dyDescent="0.35">
      <c r="A27" s="9" t="s">
        <v>34</v>
      </c>
      <c r="B27" s="10" t="str">
        <f>VLOOKUP(A27,[7]LISTADHERENT!A$5:H$50,3,0)</f>
        <v>NGUIEMEGNI MATHIEU BLAISE</v>
      </c>
      <c r="C27" s="13">
        <f>+HISTOJANV24!C27+HISTOFEV24!C27+HISTOMARS24!C27+HISTOAVRIL24!C27+HISTOMAI24!C27+HISTOJUIN24!C27+HISTOJUIL24!C27+HISTOAOUT24!C27+HISTOSEPT24!C27+HISTOOCT24!C27+HISTONOV24!C27+HISTODEC24!C27</f>
        <v>7788500</v>
      </c>
      <c r="D27" s="13"/>
      <c r="E27" s="13"/>
      <c r="F27" s="13"/>
      <c r="G27" s="14">
        <f t="shared" si="0"/>
        <v>0</v>
      </c>
    </row>
    <row r="28" spans="1:7" ht="17.5" x14ac:dyDescent="0.35">
      <c r="A28" s="9" t="s">
        <v>35</v>
      </c>
      <c r="B28" s="10" t="str">
        <f>VLOOKUP(A28,[7]LISTADHERENT!A$5:H$50,3,0)</f>
        <v>NKAMGANG JUSTIN DEJOLIE</v>
      </c>
      <c r="C28" s="13">
        <f>+HISTOJANV24!C28+HISTOFEV24!C28+HISTOMARS24!C28+HISTOAVRIL24!C28+HISTOMAI24!C28+HISTOJUIN24!C28+HISTOJUIL24!C28+HISTOAOUT24!C28+HISTOSEPT24!C28+HISTOOCT24!C28+HISTONOV24!C28+HISTODEC24!C28</f>
        <v>1186500</v>
      </c>
      <c r="D28" s="13"/>
      <c r="E28" s="13"/>
      <c r="F28" s="13"/>
      <c r="G28" s="14">
        <f t="shared" si="0"/>
        <v>0</v>
      </c>
    </row>
    <row r="29" spans="1:7" ht="17.5" x14ac:dyDescent="0.35">
      <c r="A29" s="9" t="s">
        <v>36</v>
      </c>
      <c r="B29" s="10" t="str">
        <f>VLOOKUP(A29,[7]LISTADHERENT!A$5:H$50,3,0)</f>
        <v>NOUBE ETIENNE</v>
      </c>
      <c r="C29" s="13">
        <f>+HISTOJANV24!C29+HISTOFEV24!C29+HISTOMARS24!C29+HISTOAVRIL24!C29+HISTOMAI24!C29+HISTOJUIN24!C29+HISTOJUIL24!C29+HISTOAOUT24!C29+HISTOSEPT24!C29+HISTOOCT24!C29+HISTONOV24!C29+HISTODEC24!C29</f>
        <v>426000</v>
      </c>
      <c r="D29" s="13"/>
      <c r="E29" s="13"/>
      <c r="F29" s="13"/>
      <c r="G29" s="14">
        <f t="shared" si="0"/>
        <v>0</v>
      </c>
    </row>
    <row r="30" spans="1:7" ht="17.5" x14ac:dyDescent="0.35">
      <c r="A30" s="9" t="s">
        <v>37</v>
      </c>
      <c r="B30" s="10" t="str">
        <f>VLOOKUP(A30,[7]LISTADHERENT!A$5:H$50,3,0)</f>
        <v>PATEGO NJOSSU GUSTAVE</v>
      </c>
      <c r="C30" s="13">
        <f>+HISTOJANV24!C30+HISTOFEV24!C30+HISTOMARS24!C30+HISTOAVRIL24!C30+HISTOMAI24!C30+HISTOJUIN24!C30+HISTOJUIL24!C30+HISTOAOUT24!C30+HISTOSEPT24!C30+HISTOOCT24!C30+HISTONOV24!C30+HISTODEC24!C30</f>
        <v>1190000</v>
      </c>
      <c r="D30" s="13"/>
      <c r="E30" s="13"/>
      <c r="F30" s="13"/>
      <c r="G30" s="14">
        <f t="shared" si="0"/>
        <v>0</v>
      </c>
    </row>
    <row r="31" spans="1:7" ht="17.5" x14ac:dyDescent="0.35">
      <c r="A31" s="9" t="s">
        <v>38</v>
      </c>
      <c r="B31" s="10" t="str">
        <f>VLOOKUP(A31,[7]LISTADHERENT!A$5:H$50,3,0)</f>
        <v>SEUMO POLYCARPE</v>
      </c>
      <c r="C31" s="13">
        <f>+HISTOJANV24!C31+HISTOFEV24!C31+HISTOMARS24!C31+HISTOAVRIL24!C31+HISTOMAI24!C31+HISTOJUIN24!C31+HISTOJUIL24!C31+HISTOAOUT24!C31+HISTOSEPT24!C31+HISTOOCT24!C31+HISTONOV24!C31+HISTODEC24!C31</f>
        <v>562500</v>
      </c>
      <c r="D31" s="13"/>
      <c r="E31" s="13"/>
      <c r="F31" s="13"/>
      <c r="G31" s="14">
        <f t="shared" si="0"/>
        <v>0</v>
      </c>
    </row>
    <row r="32" spans="1:7" ht="17.5" x14ac:dyDescent="0.35">
      <c r="A32" s="9" t="s">
        <v>39</v>
      </c>
      <c r="B32" s="10" t="str">
        <f>VLOOKUP(A32,[7]LISTADHERENT!A$5:H$50,3,0)</f>
        <v>SIME BRICE</v>
      </c>
      <c r="C32" s="13">
        <f>+HISTOJANV24!C32+HISTOFEV24!C32+HISTOMARS24!C32+HISTOAVRIL24!C32+HISTOMAI24!C32+HISTOJUIN24!C32+HISTOJUIL24!C32+HISTOAOUT24!C32+HISTOSEPT24!C32+HISTOOCT24!C32+HISTONOV24!C32+HISTODEC24!C32</f>
        <v>3047000</v>
      </c>
      <c r="D32" s="13"/>
      <c r="E32" s="13"/>
      <c r="F32" s="13"/>
      <c r="G32" s="14">
        <f t="shared" si="0"/>
        <v>0</v>
      </c>
    </row>
    <row r="33" spans="1:7" ht="17.5" x14ac:dyDescent="0.35">
      <c r="A33" s="9" t="s">
        <v>40</v>
      </c>
      <c r="B33" s="10" t="str">
        <f>VLOOKUP(A33,[7]LISTADHERENT!A$5:H$50,3,0)</f>
        <v>SIMO PIERRE</v>
      </c>
      <c r="C33" s="13">
        <f>+HISTOJANV24!C33+HISTOFEV24!C33+HISTOMARS24!C33+HISTOAVRIL24!C33+HISTOMAI24!C33+HISTOJUIN24!C33+HISTOJUIL24!C33+HISTOAOUT24!C33+HISTOSEPT24!C33+HISTOOCT24!C33+HISTONOV24!C33+HISTODEC24!C33</f>
        <v>3377000</v>
      </c>
      <c r="D33" s="13"/>
      <c r="E33" s="13"/>
      <c r="F33" s="13"/>
      <c r="G33" s="14">
        <f t="shared" si="0"/>
        <v>0</v>
      </c>
    </row>
    <row r="34" spans="1:7" ht="17.5" x14ac:dyDescent="0.35">
      <c r="A34" s="9" t="s">
        <v>41</v>
      </c>
      <c r="B34" s="10" t="str">
        <f>VLOOKUP(A34,[7]LISTADHERENT!A$5:H$50,3,0)</f>
        <v>TCHOUAMOU MATHIEU</v>
      </c>
      <c r="C34" s="13">
        <f>+HISTOJANV24!C34+HISTOFEV24!C34+HISTOMARS24!C34+HISTOAVRIL24!C34+HISTOMAI24!C34+HISTOJUIN24!C34+HISTOJUIL24!C34+HISTOAOUT24!C34+HISTOSEPT24!C34+HISTOOCT24!C34+HISTONOV24!C34+HISTODEC24!C34</f>
        <v>3579000</v>
      </c>
      <c r="D34" s="13"/>
      <c r="E34" s="13"/>
      <c r="F34" s="13"/>
      <c r="G34" s="14">
        <f t="shared" si="0"/>
        <v>0</v>
      </c>
    </row>
    <row r="35" spans="1:7" ht="17.5" x14ac:dyDescent="0.35">
      <c r="A35" s="9" t="s">
        <v>42</v>
      </c>
      <c r="B35" s="10" t="str">
        <f>VLOOKUP(A35,[7]LISTADHERENT!A$5:H$50,3,0)</f>
        <v>TCHOUATEU AUGUSTIN</v>
      </c>
      <c r="C35" s="13">
        <f>+HISTOJANV24!C35+HISTOFEV24!C35+HISTOMARS24!C35+HISTOAVRIL24!C35+HISTOMAI24!C35+HISTOJUIN24!C35+HISTOJUIL24!C35+HISTOAOUT24!C35+HISTOSEPT24!C35+HISTOOCT24!C35+HISTONOV24!C35+HISTODEC24!C35</f>
        <v>1180000</v>
      </c>
      <c r="D35" s="13"/>
      <c r="E35" s="13"/>
      <c r="F35" s="13"/>
      <c r="G35" s="14">
        <f t="shared" si="0"/>
        <v>0</v>
      </c>
    </row>
    <row r="36" spans="1:7" s="3" customFormat="1" ht="17.5" x14ac:dyDescent="0.35">
      <c r="A36" s="9" t="s">
        <v>43</v>
      </c>
      <c r="B36" s="10" t="str">
        <f>VLOOKUP(A36,[7]LISTADHERENT!A$5:H$50,3,0)</f>
        <v>TCHOUTOU NANA CLAUDE</v>
      </c>
      <c r="C36" s="13">
        <f>+HISTOJANV24!C36+HISTOFEV24!C36+HISTOMARS24!C36+HISTOAVRIL24!C36+HISTOMAI24!C36+HISTOJUIN24!C36+HISTOJUIL24!C36+HISTOAOUT24!C36+HISTOSEPT24!C36+HISTOOCT24!C36+HISTONOV24!C36+HISTODEC24!C36</f>
        <v>0</v>
      </c>
      <c r="D36" s="13"/>
      <c r="E36" s="13"/>
      <c r="F36" s="13"/>
      <c r="G36" s="14">
        <f t="shared" si="0"/>
        <v>0</v>
      </c>
    </row>
    <row r="37" spans="1:7" ht="17.5" x14ac:dyDescent="0.35">
      <c r="A37" s="9" t="s">
        <v>44</v>
      </c>
      <c r="B37" s="10" t="str">
        <f>VLOOKUP(A37,[7]LISTADHERENT!A$5:H$50,3,0)</f>
        <v>YANTCHOU GERVAIS</v>
      </c>
      <c r="C37" s="13">
        <f>+HISTOJANV24!C37+HISTOFEV24!C37+HISTOMARS24!C37+HISTOAVRIL24!C37+HISTOMAI24!C37+HISTOJUIN24!C37+HISTOJUIL24!C37+HISTOAOUT24!C37+HISTOSEPT24!C37+HISTOOCT24!C37+HISTONOV24!C37+HISTODEC24!C37</f>
        <v>980000</v>
      </c>
      <c r="D37" s="13"/>
      <c r="E37" s="13"/>
      <c r="F37" s="13"/>
      <c r="G37" s="14">
        <f t="shared" si="0"/>
        <v>0</v>
      </c>
    </row>
    <row r="38" spans="1:7" ht="17.5" x14ac:dyDescent="0.35">
      <c r="A38" s="9" t="s">
        <v>45</v>
      </c>
      <c r="B38" s="10" t="str">
        <f>VLOOKUP(A38,[7]LISTADHERENT!A$5:H$50,3,0)</f>
        <v>YEPMOU JEAN JACQUES</v>
      </c>
      <c r="C38" s="13">
        <f>+HISTOJANV24!C38+HISTOFEV24!C38+HISTOMARS24!C38+HISTOAVRIL24!C38+HISTOMAI24!C38+HISTOJUIN24!C38+HISTOJUIL24!C38+HISTOAOUT24!C38+HISTOSEPT24!C38+HISTOOCT24!C38+HISTONOV24!C38+HISTODEC24!C38</f>
        <v>100000</v>
      </c>
      <c r="D38" s="13"/>
      <c r="E38" s="13"/>
      <c r="F38" s="13"/>
      <c r="G38" s="14">
        <f t="shared" si="0"/>
        <v>0</v>
      </c>
    </row>
    <row r="39" spans="1:7" ht="17.5" x14ac:dyDescent="0.35">
      <c r="A39" s="9" t="s">
        <v>46</v>
      </c>
      <c r="B39" s="10" t="str">
        <f>VLOOKUP(A39,[7]LISTADHERENT!A$5:H$50,3,0)</f>
        <v>YIALA ALAIN OSCAR</v>
      </c>
      <c r="C39" s="13">
        <f>+HISTOJANV24!C39+HISTOFEV24!C39+HISTOMARS24!C39+HISTOAVRIL24!C39+HISTOMAI24!C39+HISTOJUIN24!C39+HISTOJUIL24!C39+HISTOAOUT24!C39+HISTOSEPT24!C39+HISTOOCT24!C39+HISTONOV24!C39+HISTODEC24!C39</f>
        <v>426000</v>
      </c>
      <c r="D39" s="13"/>
      <c r="E39" s="13"/>
      <c r="F39" s="13"/>
      <c r="G39" s="14">
        <f t="shared" si="0"/>
        <v>0</v>
      </c>
    </row>
    <row r="40" spans="1:7" ht="17.5" x14ac:dyDescent="0.35">
      <c r="A40" s="9" t="s">
        <v>47</v>
      </c>
      <c r="B40" s="10" t="str">
        <f>VLOOKUP(A40,[7]LISTADHERENT!A$5:H$50,3,0)</f>
        <v>YOUMBI EMMANUEL</v>
      </c>
      <c r="C40" s="13">
        <f>+HISTOJANV24!C40+HISTOFEV24!C40+HISTOMARS24!C40+HISTOAVRIL24!C40+HISTOMAI24!C40+HISTOJUIN24!C40+HISTOJUIL24!C40+HISTOAOUT24!C40+HISTOSEPT24!C40+HISTOOCT24!C40+HISTONOV24!C40+HISTODEC24!C40</f>
        <v>1290000</v>
      </c>
      <c r="D40" s="13"/>
      <c r="E40" s="13"/>
      <c r="F40" s="13"/>
      <c r="G40" s="14">
        <f t="shared" si="0"/>
        <v>0</v>
      </c>
    </row>
    <row r="41" spans="1:7" ht="17.5" x14ac:dyDescent="0.35">
      <c r="A41" s="9"/>
      <c r="B41" s="10"/>
      <c r="C41" s="10"/>
      <c r="D41" s="10"/>
      <c r="E41" s="13"/>
      <c r="F41" s="13"/>
      <c r="G41" s="14"/>
    </row>
    <row r="42" spans="1:7" ht="24" thickBot="1" x14ac:dyDescent="0.6">
      <c r="A42" s="15"/>
      <c r="B42" s="16" t="s">
        <v>4</v>
      </c>
      <c r="C42" s="17">
        <f>SUM(C8:C41)</f>
        <v>70151668</v>
      </c>
      <c r="D42" s="17"/>
      <c r="E42" s="17">
        <f>SUM(E9:E41)</f>
        <v>0</v>
      </c>
      <c r="F42" s="17"/>
      <c r="G42" s="18">
        <f>SUM(G9:G41)</f>
        <v>0</v>
      </c>
    </row>
    <row r="43" spans="1:7" ht="15" thickTop="1" x14ac:dyDescent="0.35"/>
    <row r="44" spans="1:7" ht="26" x14ac:dyDescent="0.6">
      <c r="B44" s="5" t="s">
        <v>11</v>
      </c>
      <c r="C44" s="4">
        <f>C42-C7</f>
        <v>13982368</v>
      </c>
    </row>
    <row r="46" spans="1:7" x14ac:dyDescent="0.35">
      <c r="B46" s="1" t="s">
        <v>6</v>
      </c>
      <c r="C46" s="1"/>
      <c r="D46" s="1"/>
      <c r="E46" s="1"/>
      <c r="F46" s="1"/>
    </row>
    <row r="48" spans="1:7" x14ac:dyDescent="0.35">
      <c r="B48" t="s">
        <v>8</v>
      </c>
    </row>
    <row r="49" spans="2:2" x14ac:dyDescent="0.35">
      <c r="B49" t="s">
        <v>9</v>
      </c>
    </row>
    <row r="50" spans="2:2" x14ac:dyDescent="0.35">
      <c r="B50" t="s">
        <v>10</v>
      </c>
    </row>
  </sheetData>
  <autoFilter ref="A6:F40" xr:uid="{00000000-0009-0000-0000-000003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26</vt:i4>
      </vt:variant>
    </vt:vector>
  </HeadingPairs>
  <TitlesOfParts>
    <vt:vector size="26" baseType="lpstr">
      <vt:lpstr>HISTOJANV25</vt:lpstr>
      <vt:lpstr>HISTOFEV25</vt:lpstr>
      <vt:lpstr>HISTOMARS25</vt:lpstr>
      <vt:lpstr>HISTOAVRIL25</vt:lpstr>
      <vt:lpstr>HISTOMAI25</vt:lpstr>
      <vt:lpstr>HISTOJUIN25</vt:lpstr>
      <vt:lpstr>HISTOJUIL25</vt:lpstr>
      <vt:lpstr>HISTOAOUT25</vt:lpstr>
      <vt:lpstr>HISTOSEPT25</vt:lpstr>
      <vt:lpstr>HISTOOCT25</vt:lpstr>
      <vt:lpstr>HISTONOV25</vt:lpstr>
      <vt:lpstr>HISTODEC25</vt:lpstr>
      <vt:lpstr>HISTORESUME</vt:lpstr>
      <vt:lpstr>HISTOJANV24</vt:lpstr>
      <vt:lpstr>HISTOFEV24</vt:lpstr>
      <vt:lpstr>HISTOMARS24</vt:lpstr>
      <vt:lpstr>HISTOAVRIL24</vt:lpstr>
      <vt:lpstr>HISTOMAI24</vt:lpstr>
      <vt:lpstr>HISTOJUIN24</vt:lpstr>
      <vt:lpstr>HISTOJUIL24</vt:lpstr>
      <vt:lpstr>HISTOAOUT24</vt:lpstr>
      <vt:lpstr>HISTOSEPT24</vt:lpstr>
      <vt:lpstr>HISTOOCT24</vt:lpstr>
      <vt:lpstr>HISTONOV24</vt:lpstr>
      <vt:lpstr>HISTODEC24</vt:lpstr>
      <vt:lpstr>HISTORESUME24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HP</cp:lastModifiedBy>
  <dcterms:created xsi:type="dcterms:W3CDTF">2020-11-14T09:26:22Z</dcterms:created>
  <dcterms:modified xsi:type="dcterms:W3CDTF">2026-02-10T10:58:33Z</dcterms:modified>
</cp:coreProperties>
</file>