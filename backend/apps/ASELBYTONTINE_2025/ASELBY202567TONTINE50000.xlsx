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0833388E-D28D-42BF-92EC-415AFB30F0ED}" xr6:coauthVersionLast="37" xr6:coauthVersionMax="37" xr10:uidLastSave="{00000000-0000-0000-0000-000000000000}"/>
  <bookViews>
    <workbookView xWindow="0" yWindow="0" windowWidth="15480" windowHeight="6810" firstSheet="8" activeTab="13" xr2:uid="{00000000-000D-0000-FFFF-FFFF00000000}"/>
  </bookViews>
  <sheets>
    <sheet name="MODEVERSEMENT" sheetId="2" r:id="rId1"/>
    <sheet name="TONTJANV24" sheetId="92" r:id="rId2"/>
    <sheet name="TONTFEV24" sheetId="93" r:id="rId3"/>
    <sheet name="TONTMARS24" sheetId="94" r:id="rId4"/>
    <sheet name="TONTAVRIL24" sheetId="95" r:id="rId5"/>
    <sheet name="TONTMAI24" sheetId="96" r:id="rId6"/>
    <sheet name="TONTJUIN24" sheetId="97" r:id="rId7"/>
    <sheet name="TONTJUIL24" sheetId="98" r:id="rId8"/>
    <sheet name="TONTAOUT24" sheetId="99" r:id="rId9"/>
    <sheet name="TONTSEPT24" sheetId="100" r:id="rId10"/>
    <sheet name="TONTOCT24" sheetId="101" r:id="rId11"/>
    <sheet name="TONTNOV24" sheetId="102" r:id="rId12"/>
    <sheet name="TONTDEC24" sheetId="103" r:id="rId13"/>
    <sheet name="TONTRESUME24" sheetId="104" r:id="rId14"/>
    <sheet name="TONTRESUME24EDIT" sheetId="105" r:id="rId15"/>
    <sheet name="DEFAILLANCETONTINE" sheetId="50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8" hidden="1">TONTAOUT24!$A$5:$R$25</definedName>
    <definedName name="_xlnm._FilterDatabase" localSheetId="4" hidden="1">TONTAVRIL24!$A$5:$R$25</definedName>
    <definedName name="_xlnm._FilterDatabase" localSheetId="12" hidden="1">TONTDEC24!$A$5:$R$25</definedName>
    <definedName name="_xlnm._FilterDatabase" localSheetId="2" hidden="1">TONTFEV24!$A$5:$R$25</definedName>
    <definedName name="_xlnm._FilterDatabase" localSheetId="1" hidden="1">TONTJANV24!$A$5:$R$25</definedName>
    <definedName name="_xlnm._FilterDatabase" localSheetId="7" hidden="1">TONTJUIL24!$A$5:$R$25</definedName>
    <definedName name="_xlnm._FilterDatabase" localSheetId="6" hidden="1">TONTJUIN24!$A$5:$R$25</definedName>
    <definedName name="_xlnm._FilterDatabase" localSheetId="5" hidden="1">TONTMAI24!$A$5:$R$25</definedName>
    <definedName name="_xlnm._FilterDatabase" localSheetId="3" hidden="1">TONTMARS24!$A$5:$R$25</definedName>
    <definedName name="_xlnm._FilterDatabase" localSheetId="11" hidden="1">TONTNOV24!$A$5:$R$25</definedName>
    <definedName name="_xlnm._FilterDatabase" localSheetId="10" hidden="1">TONTOCT24!$A$5:$R$25</definedName>
    <definedName name="_xlnm._FilterDatabase" localSheetId="13" hidden="1">TONTRESUME24!$A$5:$U$37</definedName>
    <definedName name="_xlnm._FilterDatabase" localSheetId="14" hidden="1">TONTRESUME24EDIT!$A$4:$J$36</definedName>
    <definedName name="_xlnm._FilterDatabase" localSheetId="9" hidden="1">TONTSEPT24!$A$5:$R$25</definedName>
    <definedName name="BANQUE" localSheetId="0">#REF!</definedName>
    <definedName name="BANQUE" localSheetId="8">#REF!</definedName>
    <definedName name="BANQUE" localSheetId="4">#REF!</definedName>
    <definedName name="BANQUE" localSheetId="12">#REF!</definedName>
    <definedName name="BANQUE" localSheetId="2">#REF!</definedName>
    <definedName name="BANQUE" localSheetId="1">#REF!</definedName>
    <definedName name="BANQUE" localSheetId="7">#REF!</definedName>
    <definedName name="BANQUE" localSheetId="6">#REF!</definedName>
    <definedName name="BANQUE" localSheetId="5">#REF!</definedName>
    <definedName name="BANQUE" localSheetId="3">#REF!</definedName>
    <definedName name="BANQUE" localSheetId="11">#REF!</definedName>
    <definedName name="BANQUE" localSheetId="10">#REF!</definedName>
    <definedName name="BANQUE" localSheetId="13">#REF!</definedName>
    <definedName name="BANQUE" localSheetId="14">#REF!</definedName>
    <definedName name="BANQUE" localSheetId="9">#REF!</definedName>
    <definedName name="BANQUE">#REF!</definedName>
    <definedName name="_xlnm.Print_Titles" localSheetId="14">TONTRESUME24EDIT!$A:$B</definedName>
    <definedName name="MODEPAID" localSheetId="15">#REF!</definedName>
    <definedName name="MODEPAID">[1]Feuil2!$A$1:$A$3</definedName>
    <definedName name="MODET25000">[2]MODEVERSEMENT!$A$1:$A$3</definedName>
    <definedName name="MODEVERSEMENT" localSheetId="0">#REF!</definedName>
    <definedName name="MODEVERSEMENT" localSheetId="8">#REF!</definedName>
    <definedName name="MODEVERSEMENT" localSheetId="4">#REF!</definedName>
    <definedName name="MODEVERSEMENT" localSheetId="12">#REF!</definedName>
    <definedName name="MODEVERSEMENT" localSheetId="2">#REF!</definedName>
    <definedName name="MODEVERSEMENT" localSheetId="1">#REF!</definedName>
    <definedName name="MODEVERSEMENT" localSheetId="7">#REF!</definedName>
    <definedName name="MODEVERSEMENT" localSheetId="6">#REF!</definedName>
    <definedName name="MODEVERSEMENT" localSheetId="5">#REF!</definedName>
    <definedName name="MODEVERSEMENT" localSheetId="3">#REF!</definedName>
    <definedName name="MODEVERSEMENT" localSheetId="11">#REF!</definedName>
    <definedName name="MODEVERSEMENT" localSheetId="10">#REF!</definedName>
    <definedName name="MODEVERSEMENT" localSheetId="13">#REF!</definedName>
    <definedName name="MODEVERSEMENT" localSheetId="14">#REF!</definedName>
    <definedName name="MODEVERSEMENT" localSheetId="9">#REF!</definedName>
    <definedName name="MODEVERSEMENT">#REF!</definedName>
    <definedName name="MODEVERSEMENTS" localSheetId="8">[3]MODEVERSEMENT!$A$1:$A$3</definedName>
    <definedName name="MODEVERSEMENTS" localSheetId="4">[3]MODEVERSEMENT!$A$1:$A$3</definedName>
    <definedName name="MODEVERSEMENTS" localSheetId="12">[3]MODEVERSEMENT!$A$1:$A$3</definedName>
    <definedName name="MODEVERSEMENTS" localSheetId="2">[3]MODEVERSEMENT!$A$1:$A$3</definedName>
    <definedName name="MODEVERSEMENTS" localSheetId="1">[3]MODEVERSEMENT!$A$1:$A$3</definedName>
    <definedName name="MODEVERSEMENTS" localSheetId="7">[3]MODEVERSEMENT!$A$1:$A$3</definedName>
    <definedName name="MODEVERSEMENTS" localSheetId="6">[3]MODEVERSEMENT!$A$1:$A$3</definedName>
    <definedName name="MODEVERSEMENTS" localSheetId="5">[3]MODEVERSEMENT!$A$1:$A$3</definedName>
    <definedName name="MODEVERSEMENTS" localSheetId="3">[3]MODEVERSEMENT!$A$1:$A$3</definedName>
    <definedName name="MODEVERSEMENTS" localSheetId="11">[3]MODEVERSEMENT!$A$1:$A$3</definedName>
    <definedName name="MODEVERSEMENTS" localSheetId="10">[3]MODEVERSEMENT!$A$1:$A$3</definedName>
    <definedName name="MODEVERSEMENTS" localSheetId="13">[3]MODEVERSEMENT!$A$1:$A$3</definedName>
    <definedName name="MODEVERSEMENTS" localSheetId="14">[3]MODEVERSEMENT!$A$1:$A$3</definedName>
    <definedName name="MODEVERSEMENTS" localSheetId="9">[3]MODEVERSEMENT!$A$1:$A$3</definedName>
    <definedName name="MODEVERSEMENTS">MODEVERSEMENT!$A$1:$A$3</definedName>
    <definedName name="MODPAID" localSheetId="8">TONTAOUT24!#REF!</definedName>
    <definedName name="MODPAID" localSheetId="4">TONTAVRIL24!#REF!</definedName>
    <definedName name="MODPAID" localSheetId="12">TONTDEC24!#REF!</definedName>
    <definedName name="MODPAID" localSheetId="2">TONTFEV24!#REF!</definedName>
    <definedName name="MODPAID" localSheetId="1">TONTJANV24!#REF!</definedName>
    <definedName name="MODPAID" localSheetId="7">TONTJUIL24!#REF!</definedName>
    <definedName name="MODPAID" localSheetId="6">TONTJUIN24!#REF!</definedName>
    <definedName name="MODPAID" localSheetId="5">TONTMAI24!#REF!</definedName>
    <definedName name="MODPAID" localSheetId="3">TONTMARS24!#REF!</definedName>
    <definedName name="MODPAID" localSheetId="11">TONTNOV24!#REF!</definedName>
    <definedName name="MODPAID" localSheetId="10">TONTOCT24!#REF!</definedName>
    <definedName name="MODPAID" localSheetId="13">TONTRESUME24!#REF!</definedName>
    <definedName name="MODPAID" localSheetId="14">TONTRESUME24EDIT!#REF!</definedName>
    <definedName name="MODPAID" localSheetId="9">TONTSEPT24!#REF!</definedName>
    <definedName name="VALMODEPAID" localSheetId="15">[4]MODEPAID!$A$1:$A$3</definedName>
    <definedName name="VALMODEPAID">[5]MODEPAID!$A$1:$A$3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9" i="104" l="1"/>
  <c r="J6" i="105" l="1"/>
  <c r="J7" i="105"/>
  <c r="J8" i="105"/>
  <c r="J9" i="105"/>
  <c r="J10" i="105"/>
  <c r="J11" i="105"/>
  <c r="J12" i="105"/>
  <c r="J13" i="105"/>
  <c r="J14" i="105"/>
  <c r="J15" i="105"/>
  <c r="J16" i="105"/>
  <c r="J17" i="105"/>
  <c r="J18" i="105"/>
  <c r="J19" i="105"/>
  <c r="J20" i="105"/>
  <c r="J21" i="105"/>
  <c r="J22" i="105"/>
  <c r="J23" i="105"/>
  <c r="J24" i="105"/>
  <c r="J25" i="105"/>
  <c r="J26" i="105"/>
  <c r="J27" i="105"/>
  <c r="J28" i="105"/>
  <c r="J29" i="105"/>
  <c r="J30" i="105"/>
  <c r="J31" i="105"/>
  <c r="J32" i="105"/>
  <c r="J33" i="105"/>
  <c r="J34" i="105"/>
  <c r="J35" i="105"/>
  <c r="J36" i="105"/>
  <c r="J5" i="105"/>
  <c r="B36" i="105"/>
  <c r="B35" i="105"/>
  <c r="B34" i="105"/>
  <c r="B33" i="105"/>
  <c r="B32" i="105"/>
  <c r="B31" i="105"/>
  <c r="B30" i="105"/>
  <c r="B29" i="105"/>
  <c r="B28" i="105"/>
  <c r="B27" i="105"/>
  <c r="B26" i="105"/>
  <c r="B25" i="105"/>
  <c r="B24" i="105"/>
  <c r="B23" i="105"/>
  <c r="B22" i="105"/>
  <c r="B21" i="105"/>
  <c r="B20" i="105"/>
  <c r="B19" i="105"/>
  <c r="B18" i="105"/>
  <c r="B17" i="105"/>
  <c r="B16" i="105"/>
  <c r="B15" i="105"/>
  <c r="B14" i="105"/>
  <c r="B13" i="105"/>
  <c r="B12" i="105"/>
  <c r="B11" i="105"/>
  <c r="B10" i="105"/>
  <c r="B9" i="105"/>
  <c r="B8" i="105"/>
  <c r="B7" i="105"/>
  <c r="B6" i="105"/>
  <c r="B5" i="105"/>
  <c r="J38" i="105" l="1"/>
  <c r="R37" i="103" l="1"/>
  <c r="O37" i="103" s="1"/>
  <c r="P37" i="103"/>
  <c r="K37" i="103"/>
  <c r="I37" i="103"/>
  <c r="H37" i="103"/>
  <c r="J37" i="103" s="1"/>
  <c r="R36" i="103"/>
  <c r="O36" i="103" s="1"/>
  <c r="P36" i="103"/>
  <c r="K36" i="103"/>
  <c r="I36" i="103"/>
  <c r="H36" i="103"/>
  <c r="J36" i="103" s="1"/>
  <c r="R35" i="103"/>
  <c r="P35" i="103"/>
  <c r="K35" i="103"/>
  <c r="I35" i="103"/>
  <c r="H35" i="103"/>
  <c r="J35" i="103" s="1"/>
  <c r="R34" i="103"/>
  <c r="O34" i="103" s="1"/>
  <c r="P34" i="103"/>
  <c r="K34" i="103"/>
  <c r="I34" i="103"/>
  <c r="H34" i="103"/>
  <c r="J34" i="103" s="1"/>
  <c r="R33" i="103"/>
  <c r="O33" i="103" s="1"/>
  <c r="P33" i="103"/>
  <c r="K33" i="103"/>
  <c r="I33" i="103"/>
  <c r="H33" i="103"/>
  <c r="J33" i="103" s="1"/>
  <c r="R32" i="103"/>
  <c r="O32" i="103" s="1"/>
  <c r="P32" i="103"/>
  <c r="K32" i="103"/>
  <c r="I32" i="103"/>
  <c r="H32" i="103"/>
  <c r="J32" i="103" s="1"/>
  <c r="R31" i="103"/>
  <c r="O31" i="103" s="1"/>
  <c r="P31" i="103"/>
  <c r="K31" i="103"/>
  <c r="I31" i="103"/>
  <c r="H31" i="103"/>
  <c r="J31" i="103" s="1"/>
  <c r="R30" i="103"/>
  <c r="O30" i="103" s="1"/>
  <c r="P30" i="103"/>
  <c r="K30" i="103"/>
  <c r="I30" i="103"/>
  <c r="H30" i="103"/>
  <c r="J30" i="103" s="1"/>
  <c r="R29" i="103"/>
  <c r="P29" i="103"/>
  <c r="K29" i="103"/>
  <c r="I29" i="103"/>
  <c r="H29" i="103"/>
  <c r="J29" i="103" s="1"/>
  <c r="R28" i="103"/>
  <c r="O28" i="103" s="1"/>
  <c r="P28" i="103"/>
  <c r="K28" i="103"/>
  <c r="I28" i="103"/>
  <c r="H28" i="103"/>
  <c r="J28" i="103" s="1"/>
  <c r="R27" i="103"/>
  <c r="O27" i="103" s="1"/>
  <c r="P27" i="103"/>
  <c r="K27" i="103"/>
  <c r="I27" i="103"/>
  <c r="H27" i="103"/>
  <c r="J27" i="103" s="1"/>
  <c r="R26" i="103"/>
  <c r="O26" i="103" s="1"/>
  <c r="P26" i="103"/>
  <c r="K26" i="103"/>
  <c r="I26" i="103"/>
  <c r="H26" i="103"/>
  <c r="J26" i="103" s="1"/>
  <c r="R25" i="103"/>
  <c r="O25" i="103" s="1"/>
  <c r="P25" i="103"/>
  <c r="K25" i="103"/>
  <c r="I25" i="103"/>
  <c r="H25" i="103"/>
  <c r="J25" i="103" s="1"/>
  <c r="R24" i="103"/>
  <c r="O24" i="103" s="1"/>
  <c r="P24" i="103"/>
  <c r="K24" i="103"/>
  <c r="I24" i="103"/>
  <c r="H24" i="103"/>
  <c r="J24" i="103" s="1"/>
  <c r="R23" i="103"/>
  <c r="O23" i="103" s="1"/>
  <c r="P23" i="103"/>
  <c r="K23" i="103"/>
  <c r="I23" i="103"/>
  <c r="H23" i="103"/>
  <c r="J23" i="103" s="1"/>
  <c r="R22" i="103"/>
  <c r="O22" i="103" s="1"/>
  <c r="P22" i="103"/>
  <c r="K22" i="103"/>
  <c r="I22" i="103"/>
  <c r="H22" i="103"/>
  <c r="J22" i="103" s="1"/>
  <c r="R21" i="103"/>
  <c r="O21" i="103" s="1"/>
  <c r="P21" i="103"/>
  <c r="K21" i="103"/>
  <c r="I21" i="103"/>
  <c r="H21" i="103"/>
  <c r="J21" i="103" s="1"/>
  <c r="R20" i="103"/>
  <c r="O20" i="103" s="1"/>
  <c r="P20" i="103"/>
  <c r="K20" i="103"/>
  <c r="I20" i="103"/>
  <c r="H20" i="103"/>
  <c r="J20" i="103" s="1"/>
  <c r="R19" i="103"/>
  <c r="O19" i="103" s="1"/>
  <c r="P19" i="103"/>
  <c r="K19" i="103"/>
  <c r="I19" i="103"/>
  <c r="H19" i="103"/>
  <c r="J19" i="103" s="1"/>
  <c r="R18" i="103"/>
  <c r="O18" i="103" s="1"/>
  <c r="P18" i="103"/>
  <c r="K18" i="103"/>
  <c r="I18" i="103"/>
  <c r="H18" i="103"/>
  <c r="J18" i="103" s="1"/>
  <c r="R17" i="103"/>
  <c r="O17" i="103" s="1"/>
  <c r="P17" i="103"/>
  <c r="K17" i="103"/>
  <c r="I17" i="103"/>
  <c r="H17" i="103"/>
  <c r="J17" i="103" s="1"/>
  <c r="R16" i="103"/>
  <c r="O16" i="103" s="1"/>
  <c r="P16" i="103"/>
  <c r="K16" i="103"/>
  <c r="I16" i="103"/>
  <c r="H16" i="103"/>
  <c r="J16" i="103" s="1"/>
  <c r="R15" i="103"/>
  <c r="P15" i="103"/>
  <c r="K15" i="103"/>
  <c r="I15" i="103"/>
  <c r="H15" i="103"/>
  <c r="J15" i="103" s="1"/>
  <c r="R14" i="103"/>
  <c r="O14" i="103" s="1"/>
  <c r="P14" i="103"/>
  <c r="K14" i="103"/>
  <c r="I14" i="103"/>
  <c r="H14" i="103"/>
  <c r="J14" i="103" s="1"/>
  <c r="R13" i="103"/>
  <c r="O13" i="103" s="1"/>
  <c r="P13" i="103"/>
  <c r="K13" i="103"/>
  <c r="I13" i="103"/>
  <c r="H13" i="103"/>
  <c r="J13" i="103" s="1"/>
  <c r="R12" i="103"/>
  <c r="O12" i="103" s="1"/>
  <c r="P12" i="103"/>
  <c r="K12" i="103"/>
  <c r="I12" i="103"/>
  <c r="H12" i="103"/>
  <c r="J12" i="103" s="1"/>
  <c r="R11" i="103"/>
  <c r="O11" i="103" s="1"/>
  <c r="P11" i="103"/>
  <c r="K11" i="103"/>
  <c r="I11" i="103"/>
  <c r="H11" i="103"/>
  <c r="J11" i="103" s="1"/>
  <c r="R10" i="103"/>
  <c r="O10" i="103" s="1"/>
  <c r="P10" i="103"/>
  <c r="K10" i="103"/>
  <c r="I10" i="103"/>
  <c r="H10" i="103"/>
  <c r="J10" i="103" s="1"/>
  <c r="R9" i="103"/>
  <c r="O9" i="103" s="1"/>
  <c r="P9" i="103"/>
  <c r="K9" i="103"/>
  <c r="I9" i="103"/>
  <c r="H9" i="103"/>
  <c r="J9" i="103" s="1"/>
  <c r="R8" i="103"/>
  <c r="O8" i="103" s="1"/>
  <c r="P8" i="103"/>
  <c r="K8" i="103"/>
  <c r="I8" i="103"/>
  <c r="H8" i="103"/>
  <c r="J8" i="103" s="1"/>
  <c r="R7" i="103"/>
  <c r="O7" i="103" s="1"/>
  <c r="P7" i="103"/>
  <c r="K7" i="103"/>
  <c r="I7" i="103"/>
  <c r="H7" i="103"/>
  <c r="J7" i="103" s="1"/>
  <c r="R6" i="103"/>
  <c r="O6" i="103" s="1"/>
  <c r="P6" i="103"/>
  <c r="K6" i="103"/>
  <c r="I6" i="103"/>
  <c r="H6" i="103"/>
  <c r="J6" i="103" s="1"/>
  <c r="R37" i="102"/>
  <c r="O37" i="102" s="1"/>
  <c r="P37" i="102"/>
  <c r="K37" i="102"/>
  <c r="I37" i="102"/>
  <c r="H37" i="102"/>
  <c r="J37" i="102" s="1"/>
  <c r="R36" i="102"/>
  <c r="O36" i="102" s="1"/>
  <c r="P36" i="102"/>
  <c r="K36" i="102"/>
  <c r="I36" i="102"/>
  <c r="H36" i="102"/>
  <c r="J36" i="102" s="1"/>
  <c r="R35" i="102"/>
  <c r="O35" i="102" s="1"/>
  <c r="P35" i="102"/>
  <c r="K35" i="102"/>
  <c r="I35" i="102"/>
  <c r="H35" i="102"/>
  <c r="R34" i="102"/>
  <c r="O34" i="102" s="1"/>
  <c r="P34" i="102"/>
  <c r="K34" i="102"/>
  <c r="I34" i="102"/>
  <c r="H34" i="102"/>
  <c r="J34" i="102" s="1"/>
  <c r="R33" i="102"/>
  <c r="O33" i="102" s="1"/>
  <c r="P33" i="102"/>
  <c r="K33" i="102"/>
  <c r="I33" i="102"/>
  <c r="H33" i="102"/>
  <c r="J33" i="102" s="1"/>
  <c r="R32" i="102"/>
  <c r="O32" i="102" s="1"/>
  <c r="P32" i="102"/>
  <c r="K32" i="102"/>
  <c r="I32" i="102"/>
  <c r="H32" i="102"/>
  <c r="J32" i="102" s="1"/>
  <c r="R31" i="102"/>
  <c r="O31" i="102" s="1"/>
  <c r="P31" i="102"/>
  <c r="K31" i="102"/>
  <c r="I31" i="102"/>
  <c r="H31" i="102"/>
  <c r="R30" i="102"/>
  <c r="O30" i="102" s="1"/>
  <c r="P30" i="102"/>
  <c r="K30" i="102"/>
  <c r="I30" i="102"/>
  <c r="H30" i="102"/>
  <c r="J30" i="102" s="1"/>
  <c r="R29" i="102"/>
  <c r="O29" i="102" s="1"/>
  <c r="P29" i="102"/>
  <c r="K29" i="102"/>
  <c r="I29" i="102"/>
  <c r="H29" i="102"/>
  <c r="J29" i="102" s="1"/>
  <c r="R28" i="102"/>
  <c r="O28" i="102" s="1"/>
  <c r="P28" i="102"/>
  <c r="K28" i="102"/>
  <c r="I28" i="102"/>
  <c r="H28" i="102"/>
  <c r="R27" i="102"/>
  <c r="P27" i="102"/>
  <c r="K27" i="102"/>
  <c r="I27" i="102"/>
  <c r="H27" i="102"/>
  <c r="R26" i="102"/>
  <c r="O26" i="102" s="1"/>
  <c r="P26" i="102"/>
  <c r="K26" i="102"/>
  <c r="I26" i="102"/>
  <c r="H26" i="102"/>
  <c r="J26" i="102" s="1"/>
  <c r="R25" i="102"/>
  <c r="O25" i="102" s="1"/>
  <c r="P25" i="102"/>
  <c r="K25" i="102"/>
  <c r="I25" i="102"/>
  <c r="H25" i="102"/>
  <c r="J25" i="102" s="1"/>
  <c r="R24" i="102"/>
  <c r="O24" i="102" s="1"/>
  <c r="P24" i="102"/>
  <c r="K24" i="102"/>
  <c r="I24" i="102"/>
  <c r="H24" i="102"/>
  <c r="J24" i="102" s="1"/>
  <c r="R23" i="102"/>
  <c r="O23" i="102" s="1"/>
  <c r="P23" i="102"/>
  <c r="K23" i="102"/>
  <c r="I23" i="102"/>
  <c r="H23" i="102"/>
  <c r="R22" i="102"/>
  <c r="O22" i="102" s="1"/>
  <c r="P22" i="102"/>
  <c r="K22" i="102"/>
  <c r="I22" i="102"/>
  <c r="H22" i="102"/>
  <c r="J22" i="102" s="1"/>
  <c r="R21" i="102"/>
  <c r="O21" i="102" s="1"/>
  <c r="P21" i="102"/>
  <c r="K21" i="102"/>
  <c r="I21" i="102"/>
  <c r="H21" i="102"/>
  <c r="J21" i="102" s="1"/>
  <c r="R20" i="102"/>
  <c r="O20" i="102" s="1"/>
  <c r="P20" i="102"/>
  <c r="K20" i="102"/>
  <c r="I20" i="102"/>
  <c r="H20" i="102"/>
  <c r="J20" i="102" s="1"/>
  <c r="R19" i="102"/>
  <c r="O19" i="102" s="1"/>
  <c r="P19" i="102"/>
  <c r="K19" i="102"/>
  <c r="I19" i="102"/>
  <c r="H19" i="102"/>
  <c r="R18" i="102"/>
  <c r="O18" i="102" s="1"/>
  <c r="P18" i="102"/>
  <c r="K18" i="102"/>
  <c r="I18" i="102"/>
  <c r="H18" i="102"/>
  <c r="R17" i="102"/>
  <c r="O17" i="102" s="1"/>
  <c r="P17" i="102"/>
  <c r="K17" i="102"/>
  <c r="I17" i="102"/>
  <c r="H17" i="102"/>
  <c r="J17" i="102" s="1"/>
  <c r="R16" i="102"/>
  <c r="O16" i="102" s="1"/>
  <c r="P16" i="102"/>
  <c r="K16" i="102"/>
  <c r="I16" i="102"/>
  <c r="H16" i="102"/>
  <c r="R15" i="102"/>
  <c r="O15" i="102" s="1"/>
  <c r="P15" i="102"/>
  <c r="K15" i="102"/>
  <c r="I15" i="102"/>
  <c r="H15" i="102"/>
  <c r="R14" i="102"/>
  <c r="O14" i="102" s="1"/>
  <c r="P14" i="102"/>
  <c r="K14" i="102"/>
  <c r="I14" i="102"/>
  <c r="H14" i="102"/>
  <c r="J14" i="102" s="1"/>
  <c r="R13" i="102"/>
  <c r="O13" i="102" s="1"/>
  <c r="P13" i="102"/>
  <c r="K13" i="102"/>
  <c r="I13" i="102"/>
  <c r="H13" i="102"/>
  <c r="J13" i="102" s="1"/>
  <c r="R12" i="102"/>
  <c r="P12" i="102"/>
  <c r="K12" i="102"/>
  <c r="I12" i="102"/>
  <c r="H12" i="102"/>
  <c r="J12" i="102" s="1"/>
  <c r="R11" i="102"/>
  <c r="O11" i="102" s="1"/>
  <c r="P11" i="102"/>
  <c r="K11" i="102"/>
  <c r="I11" i="102"/>
  <c r="H11" i="102"/>
  <c r="R10" i="102"/>
  <c r="O10" i="102" s="1"/>
  <c r="P10" i="102"/>
  <c r="K10" i="102"/>
  <c r="I10" i="102"/>
  <c r="H10" i="102"/>
  <c r="J10" i="102" s="1"/>
  <c r="R9" i="102"/>
  <c r="O9" i="102" s="1"/>
  <c r="P9" i="102"/>
  <c r="K9" i="102"/>
  <c r="I9" i="102"/>
  <c r="H9" i="102"/>
  <c r="J9" i="102" s="1"/>
  <c r="R8" i="102"/>
  <c r="P8" i="102"/>
  <c r="K8" i="102"/>
  <c r="I8" i="102"/>
  <c r="H8" i="102"/>
  <c r="J8" i="102" s="1"/>
  <c r="R7" i="102"/>
  <c r="O7" i="102" s="1"/>
  <c r="P7" i="102"/>
  <c r="K7" i="102"/>
  <c r="I7" i="102"/>
  <c r="H7" i="102"/>
  <c r="R6" i="102"/>
  <c r="O6" i="102" s="1"/>
  <c r="P6" i="102"/>
  <c r="K6" i="102"/>
  <c r="I6" i="102"/>
  <c r="H6" i="102"/>
  <c r="J6" i="102" s="1"/>
  <c r="R37" i="101"/>
  <c r="O37" i="101" s="1"/>
  <c r="P37" i="101"/>
  <c r="K37" i="101"/>
  <c r="I37" i="101"/>
  <c r="H37" i="101"/>
  <c r="R36" i="101"/>
  <c r="O36" i="101" s="1"/>
  <c r="P36" i="101"/>
  <c r="K36" i="101"/>
  <c r="I36" i="101"/>
  <c r="H36" i="101"/>
  <c r="J36" i="101" s="1"/>
  <c r="R35" i="101"/>
  <c r="O35" i="101" s="1"/>
  <c r="P35" i="101"/>
  <c r="K35" i="101"/>
  <c r="I35" i="101"/>
  <c r="H35" i="101"/>
  <c r="J35" i="101" s="1"/>
  <c r="R34" i="101"/>
  <c r="O34" i="101" s="1"/>
  <c r="P34" i="101"/>
  <c r="K34" i="101"/>
  <c r="I34" i="101"/>
  <c r="H34" i="101"/>
  <c r="R33" i="101"/>
  <c r="O33" i="101" s="1"/>
  <c r="P33" i="101"/>
  <c r="K33" i="101"/>
  <c r="I33" i="101"/>
  <c r="H33" i="101"/>
  <c r="J33" i="101" s="1"/>
  <c r="R32" i="101"/>
  <c r="O32" i="101" s="1"/>
  <c r="P32" i="101"/>
  <c r="K32" i="101"/>
  <c r="I32" i="101"/>
  <c r="H32" i="101"/>
  <c r="J32" i="101" s="1"/>
  <c r="R31" i="101"/>
  <c r="O31" i="101" s="1"/>
  <c r="P31" i="101"/>
  <c r="K31" i="101"/>
  <c r="I31" i="101"/>
  <c r="H31" i="101"/>
  <c r="R30" i="101"/>
  <c r="O30" i="101" s="1"/>
  <c r="P30" i="101"/>
  <c r="K30" i="101"/>
  <c r="I30" i="101"/>
  <c r="H30" i="101"/>
  <c r="R29" i="101"/>
  <c r="O29" i="101" s="1"/>
  <c r="P29" i="101"/>
  <c r="K29" i="101"/>
  <c r="I29" i="101"/>
  <c r="H29" i="101"/>
  <c r="J29" i="101" s="1"/>
  <c r="R28" i="101"/>
  <c r="O28" i="101" s="1"/>
  <c r="P28" i="101"/>
  <c r="K28" i="101"/>
  <c r="I28" i="101"/>
  <c r="H28" i="101"/>
  <c r="J28" i="101" s="1"/>
  <c r="R27" i="101"/>
  <c r="O27" i="101" s="1"/>
  <c r="P27" i="101"/>
  <c r="K27" i="101"/>
  <c r="I27" i="101"/>
  <c r="H27" i="101"/>
  <c r="R26" i="101"/>
  <c r="O26" i="101" s="1"/>
  <c r="P26" i="101"/>
  <c r="K26" i="101"/>
  <c r="I26" i="101"/>
  <c r="H26" i="101"/>
  <c r="R25" i="101"/>
  <c r="O25" i="101" s="1"/>
  <c r="P25" i="101"/>
  <c r="K25" i="101"/>
  <c r="I25" i="101"/>
  <c r="H25" i="101"/>
  <c r="J25" i="101" s="1"/>
  <c r="R24" i="101"/>
  <c r="O24" i="101" s="1"/>
  <c r="P24" i="101"/>
  <c r="K24" i="101"/>
  <c r="I24" i="101"/>
  <c r="H24" i="101"/>
  <c r="J24" i="101" s="1"/>
  <c r="R23" i="101"/>
  <c r="O23" i="101" s="1"/>
  <c r="P23" i="101"/>
  <c r="K23" i="101"/>
  <c r="I23" i="101"/>
  <c r="H23" i="101"/>
  <c r="J23" i="101" s="1"/>
  <c r="R22" i="101"/>
  <c r="O22" i="101" s="1"/>
  <c r="P22" i="101"/>
  <c r="K22" i="101"/>
  <c r="I22" i="101"/>
  <c r="H22" i="101"/>
  <c r="R21" i="101"/>
  <c r="O21" i="101" s="1"/>
  <c r="P21" i="101"/>
  <c r="K21" i="101"/>
  <c r="I21" i="101"/>
  <c r="H21" i="101"/>
  <c r="J21" i="101" s="1"/>
  <c r="R20" i="101"/>
  <c r="O20" i="101" s="1"/>
  <c r="P20" i="101"/>
  <c r="K20" i="101"/>
  <c r="I20" i="101"/>
  <c r="H20" i="101"/>
  <c r="J20" i="101" s="1"/>
  <c r="R19" i="101"/>
  <c r="O19" i="101" s="1"/>
  <c r="P19" i="101"/>
  <c r="K19" i="101"/>
  <c r="I19" i="101"/>
  <c r="H19" i="101"/>
  <c r="J19" i="101" s="1"/>
  <c r="R18" i="101"/>
  <c r="O18" i="101" s="1"/>
  <c r="P18" i="101"/>
  <c r="K18" i="101"/>
  <c r="I18" i="101"/>
  <c r="H18" i="101"/>
  <c r="R17" i="101"/>
  <c r="O17" i="101" s="1"/>
  <c r="P17" i="101"/>
  <c r="K17" i="101"/>
  <c r="I17" i="101"/>
  <c r="H17" i="101"/>
  <c r="R16" i="101"/>
  <c r="O16" i="101" s="1"/>
  <c r="P16" i="101"/>
  <c r="K16" i="101"/>
  <c r="I16" i="101"/>
  <c r="H16" i="101"/>
  <c r="J16" i="101" s="1"/>
  <c r="R15" i="101"/>
  <c r="O15" i="101" s="1"/>
  <c r="P15" i="101"/>
  <c r="K15" i="101"/>
  <c r="I15" i="101"/>
  <c r="H15" i="101"/>
  <c r="J15" i="101" s="1"/>
  <c r="R14" i="101"/>
  <c r="O14" i="101" s="1"/>
  <c r="P14" i="101"/>
  <c r="K14" i="101"/>
  <c r="I14" i="101"/>
  <c r="H14" i="101"/>
  <c r="R13" i="101"/>
  <c r="O13" i="101" s="1"/>
  <c r="P13" i="101"/>
  <c r="K13" i="101"/>
  <c r="I13" i="101"/>
  <c r="H13" i="101"/>
  <c r="J13" i="101" s="1"/>
  <c r="R12" i="101"/>
  <c r="O12" i="101" s="1"/>
  <c r="P12" i="101"/>
  <c r="K12" i="101"/>
  <c r="I12" i="101"/>
  <c r="H12" i="101"/>
  <c r="R11" i="101"/>
  <c r="O11" i="101" s="1"/>
  <c r="P11" i="101"/>
  <c r="K11" i="101"/>
  <c r="I11" i="101"/>
  <c r="H11" i="101"/>
  <c r="J11" i="101" s="1"/>
  <c r="R10" i="101"/>
  <c r="O10" i="101" s="1"/>
  <c r="P10" i="101"/>
  <c r="K10" i="101"/>
  <c r="I10" i="101"/>
  <c r="H10" i="101"/>
  <c r="R9" i="101"/>
  <c r="O9" i="101" s="1"/>
  <c r="P9" i="101"/>
  <c r="K9" i="101"/>
  <c r="I9" i="101"/>
  <c r="H9" i="101"/>
  <c r="J9" i="101" s="1"/>
  <c r="R8" i="101"/>
  <c r="O8" i="101" s="1"/>
  <c r="P8" i="101"/>
  <c r="K8" i="101"/>
  <c r="I8" i="101"/>
  <c r="H8" i="101"/>
  <c r="J8" i="101" s="1"/>
  <c r="R7" i="101"/>
  <c r="O7" i="101" s="1"/>
  <c r="P7" i="101"/>
  <c r="K7" i="101"/>
  <c r="I7" i="101"/>
  <c r="H7" i="101"/>
  <c r="J7" i="101" s="1"/>
  <c r="R6" i="101"/>
  <c r="O6" i="101" s="1"/>
  <c r="P6" i="101"/>
  <c r="K6" i="101"/>
  <c r="I6" i="101"/>
  <c r="H6" i="101"/>
  <c r="R37" i="100"/>
  <c r="O37" i="100" s="1"/>
  <c r="P37" i="100"/>
  <c r="K37" i="100"/>
  <c r="I37" i="100"/>
  <c r="H37" i="100"/>
  <c r="J37" i="100" s="1"/>
  <c r="R36" i="100"/>
  <c r="P36" i="100"/>
  <c r="K36" i="100"/>
  <c r="I36" i="100"/>
  <c r="H36" i="100"/>
  <c r="R35" i="100"/>
  <c r="O35" i="100" s="1"/>
  <c r="P35" i="100"/>
  <c r="K35" i="100"/>
  <c r="I35" i="100"/>
  <c r="H35" i="100"/>
  <c r="J35" i="100" s="1"/>
  <c r="R34" i="100"/>
  <c r="O34" i="100" s="1"/>
  <c r="P34" i="100"/>
  <c r="K34" i="100"/>
  <c r="I34" i="100"/>
  <c r="H34" i="100"/>
  <c r="R33" i="100"/>
  <c r="O33" i="100" s="1"/>
  <c r="P33" i="100"/>
  <c r="K33" i="100"/>
  <c r="I33" i="100"/>
  <c r="H33" i="100"/>
  <c r="J33" i="100" s="1"/>
  <c r="R32" i="100"/>
  <c r="O32" i="100" s="1"/>
  <c r="P32" i="100"/>
  <c r="K32" i="100"/>
  <c r="I32" i="100"/>
  <c r="H32" i="100"/>
  <c r="R31" i="100"/>
  <c r="O31" i="100" s="1"/>
  <c r="P31" i="100"/>
  <c r="K31" i="100"/>
  <c r="I31" i="100"/>
  <c r="H31" i="100"/>
  <c r="J31" i="100" s="1"/>
  <c r="R30" i="100"/>
  <c r="O30" i="100" s="1"/>
  <c r="P30" i="100"/>
  <c r="K30" i="100"/>
  <c r="I30" i="100"/>
  <c r="H30" i="100"/>
  <c r="J30" i="100" s="1"/>
  <c r="R29" i="100"/>
  <c r="O29" i="100" s="1"/>
  <c r="P29" i="100"/>
  <c r="K29" i="100"/>
  <c r="I29" i="100"/>
  <c r="H29" i="100"/>
  <c r="J29" i="100" s="1"/>
  <c r="R28" i="100"/>
  <c r="P28" i="100"/>
  <c r="K28" i="100"/>
  <c r="I28" i="100"/>
  <c r="H28" i="100"/>
  <c r="J28" i="100" s="1"/>
  <c r="R27" i="100"/>
  <c r="O27" i="100" s="1"/>
  <c r="P27" i="100"/>
  <c r="K27" i="100"/>
  <c r="I27" i="100"/>
  <c r="H27" i="100"/>
  <c r="J27" i="100" s="1"/>
  <c r="R26" i="100"/>
  <c r="O26" i="100" s="1"/>
  <c r="P26" i="100"/>
  <c r="K26" i="100"/>
  <c r="I26" i="100"/>
  <c r="H26" i="100"/>
  <c r="J26" i="100" s="1"/>
  <c r="R25" i="100"/>
  <c r="O25" i="100" s="1"/>
  <c r="P25" i="100"/>
  <c r="K25" i="100"/>
  <c r="I25" i="100"/>
  <c r="H25" i="100"/>
  <c r="J25" i="100" s="1"/>
  <c r="R24" i="100"/>
  <c r="O24" i="100" s="1"/>
  <c r="P24" i="100"/>
  <c r="K24" i="100"/>
  <c r="I24" i="100"/>
  <c r="H24" i="100"/>
  <c r="R23" i="100"/>
  <c r="O23" i="100" s="1"/>
  <c r="P23" i="100"/>
  <c r="K23" i="100"/>
  <c r="I23" i="100"/>
  <c r="H23" i="100"/>
  <c r="J23" i="100" s="1"/>
  <c r="R22" i="100"/>
  <c r="O22" i="100" s="1"/>
  <c r="P22" i="100"/>
  <c r="K22" i="100"/>
  <c r="I22" i="100"/>
  <c r="H22" i="100"/>
  <c r="J22" i="100" s="1"/>
  <c r="R21" i="100"/>
  <c r="O21" i="100" s="1"/>
  <c r="P21" i="100"/>
  <c r="K21" i="100"/>
  <c r="I21" i="100"/>
  <c r="H21" i="100"/>
  <c r="J21" i="100" s="1"/>
  <c r="R20" i="100"/>
  <c r="P20" i="100"/>
  <c r="K20" i="100"/>
  <c r="I20" i="100"/>
  <c r="H20" i="100"/>
  <c r="J20" i="100" s="1"/>
  <c r="R19" i="100"/>
  <c r="O19" i="100" s="1"/>
  <c r="P19" i="100"/>
  <c r="K19" i="100"/>
  <c r="I19" i="100"/>
  <c r="H19" i="100"/>
  <c r="J19" i="100" s="1"/>
  <c r="R18" i="100"/>
  <c r="O18" i="100" s="1"/>
  <c r="P18" i="100"/>
  <c r="K18" i="100"/>
  <c r="I18" i="100"/>
  <c r="H18" i="100"/>
  <c r="J18" i="100" s="1"/>
  <c r="R17" i="100"/>
  <c r="O17" i="100" s="1"/>
  <c r="P17" i="100"/>
  <c r="K17" i="100"/>
  <c r="I17" i="100"/>
  <c r="H17" i="100"/>
  <c r="J17" i="100" s="1"/>
  <c r="R16" i="100"/>
  <c r="P16" i="100"/>
  <c r="K16" i="100"/>
  <c r="I16" i="100"/>
  <c r="H16" i="100"/>
  <c r="J16" i="100" s="1"/>
  <c r="R15" i="100"/>
  <c r="O15" i="100" s="1"/>
  <c r="P15" i="100"/>
  <c r="K15" i="100"/>
  <c r="I15" i="100"/>
  <c r="H15" i="100"/>
  <c r="J15" i="100" s="1"/>
  <c r="R14" i="100"/>
  <c r="O14" i="100" s="1"/>
  <c r="P14" i="100"/>
  <c r="K14" i="100"/>
  <c r="I14" i="100"/>
  <c r="H14" i="100"/>
  <c r="R13" i="100"/>
  <c r="O13" i="100" s="1"/>
  <c r="P13" i="100"/>
  <c r="K13" i="100"/>
  <c r="I13" i="100"/>
  <c r="H13" i="100"/>
  <c r="J13" i="100" s="1"/>
  <c r="R12" i="100"/>
  <c r="O12" i="100" s="1"/>
  <c r="P12" i="100"/>
  <c r="K12" i="100"/>
  <c r="I12" i="100"/>
  <c r="H12" i="100"/>
  <c r="J12" i="100" s="1"/>
  <c r="R11" i="100"/>
  <c r="O11" i="100" s="1"/>
  <c r="P11" i="100"/>
  <c r="K11" i="100"/>
  <c r="I11" i="100"/>
  <c r="H11" i="100"/>
  <c r="J11" i="100" s="1"/>
  <c r="R10" i="100"/>
  <c r="O10" i="100" s="1"/>
  <c r="P10" i="100"/>
  <c r="K10" i="100"/>
  <c r="I10" i="100"/>
  <c r="H10" i="100"/>
  <c r="J10" i="100" s="1"/>
  <c r="R9" i="100"/>
  <c r="O9" i="100" s="1"/>
  <c r="P9" i="100"/>
  <c r="K9" i="100"/>
  <c r="I9" i="100"/>
  <c r="H9" i="100"/>
  <c r="J9" i="100" s="1"/>
  <c r="R8" i="100"/>
  <c r="P8" i="100"/>
  <c r="K8" i="100"/>
  <c r="I8" i="100"/>
  <c r="H8" i="100"/>
  <c r="J8" i="100" s="1"/>
  <c r="R7" i="100"/>
  <c r="O7" i="100" s="1"/>
  <c r="P7" i="100"/>
  <c r="K7" i="100"/>
  <c r="I7" i="100"/>
  <c r="H7" i="100"/>
  <c r="J7" i="100" s="1"/>
  <c r="R6" i="100"/>
  <c r="O6" i="100" s="1"/>
  <c r="P6" i="100"/>
  <c r="K6" i="100"/>
  <c r="I6" i="100"/>
  <c r="H6" i="100"/>
  <c r="J6" i="100" s="1"/>
  <c r="R37" i="99"/>
  <c r="O37" i="99" s="1"/>
  <c r="P37" i="99"/>
  <c r="K37" i="99"/>
  <c r="I37" i="99"/>
  <c r="H37" i="99"/>
  <c r="R36" i="99"/>
  <c r="Q36" i="99" s="1"/>
  <c r="P36" i="99"/>
  <c r="K36" i="99"/>
  <c r="I36" i="99"/>
  <c r="H36" i="99"/>
  <c r="R35" i="99"/>
  <c r="O35" i="99" s="1"/>
  <c r="P35" i="99"/>
  <c r="K35" i="99"/>
  <c r="I35" i="99"/>
  <c r="H35" i="99"/>
  <c r="R34" i="99"/>
  <c r="O34" i="99" s="1"/>
  <c r="P34" i="99"/>
  <c r="K34" i="99"/>
  <c r="I34" i="99"/>
  <c r="H34" i="99"/>
  <c r="R33" i="99"/>
  <c r="O33" i="99" s="1"/>
  <c r="P33" i="99"/>
  <c r="K33" i="99"/>
  <c r="I33" i="99"/>
  <c r="H33" i="99"/>
  <c r="J33" i="99" s="1"/>
  <c r="R32" i="99"/>
  <c r="O32" i="99" s="1"/>
  <c r="P32" i="99"/>
  <c r="K32" i="99"/>
  <c r="I32" i="99"/>
  <c r="H32" i="99"/>
  <c r="R31" i="99"/>
  <c r="O31" i="99" s="1"/>
  <c r="P31" i="99"/>
  <c r="K31" i="99"/>
  <c r="I31" i="99"/>
  <c r="H31" i="99"/>
  <c r="J31" i="99" s="1"/>
  <c r="R30" i="99"/>
  <c r="O30" i="99" s="1"/>
  <c r="P30" i="99"/>
  <c r="K30" i="99"/>
  <c r="I30" i="99"/>
  <c r="H30" i="99"/>
  <c r="R29" i="99"/>
  <c r="O29" i="99" s="1"/>
  <c r="P29" i="99"/>
  <c r="K29" i="99"/>
  <c r="I29" i="99"/>
  <c r="H29" i="99"/>
  <c r="R28" i="99"/>
  <c r="O28" i="99" s="1"/>
  <c r="P28" i="99"/>
  <c r="K28" i="99"/>
  <c r="I28" i="99"/>
  <c r="H28" i="99"/>
  <c r="R27" i="99"/>
  <c r="O27" i="99" s="1"/>
  <c r="P27" i="99"/>
  <c r="K27" i="99"/>
  <c r="I27" i="99"/>
  <c r="H27" i="99"/>
  <c r="J27" i="99" s="1"/>
  <c r="R26" i="99"/>
  <c r="O26" i="99" s="1"/>
  <c r="P26" i="99"/>
  <c r="K26" i="99"/>
  <c r="I26" i="99"/>
  <c r="H26" i="99"/>
  <c r="J26" i="99" s="1"/>
  <c r="R25" i="99"/>
  <c r="O25" i="99" s="1"/>
  <c r="P25" i="99"/>
  <c r="K25" i="99"/>
  <c r="I25" i="99"/>
  <c r="H25" i="99"/>
  <c r="J25" i="99" s="1"/>
  <c r="R24" i="99"/>
  <c r="O24" i="99" s="1"/>
  <c r="P24" i="99"/>
  <c r="K24" i="99"/>
  <c r="I24" i="99"/>
  <c r="H24" i="99"/>
  <c r="R23" i="99"/>
  <c r="O23" i="99" s="1"/>
  <c r="P23" i="99"/>
  <c r="K23" i="99"/>
  <c r="I23" i="99"/>
  <c r="H23" i="99"/>
  <c r="J23" i="99" s="1"/>
  <c r="R22" i="99"/>
  <c r="O22" i="99" s="1"/>
  <c r="P22" i="99"/>
  <c r="K22" i="99"/>
  <c r="I22" i="99"/>
  <c r="H22" i="99"/>
  <c r="R21" i="99"/>
  <c r="O21" i="99" s="1"/>
  <c r="P21" i="99"/>
  <c r="K21" i="99"/>
  <c r="I21" i="99"/>
  <c r="H21" i="99"/>
  <c r="J21" i="99" s="1"/>
  <c r="R20" i="99"/>
  <c r="Q20" i="99" s="1"/>
  <c r="P20" i="99"/>
  <c r="K20" i="99"/>
  <c r="I20" i="99"/>
  <c r="H20" i="99"/>
  <c r="R19" i="99"/>
  <c r="O19" i="99" s="1"/>
  <c r="P19" i="99"/>
  <c r="K19" i="99"/>
  <c r="I19" i="99"/>
  <c r="H19" i="99"/>
  <c r="R18" i="99"/>
  <c r="O18" i="99" s="1"/>
  <c r="P18" i="99"/>
  <c r="K18" i="99"/>
  <c r="I18" i="99"/>
  <c r="H18" i="99"/>
  <c r="R17" i="99"/>
  <c r="O17" i="99" s="1"/>
  <c r="P17" i="99"/>
  <c r="K17" i="99"/>
  <c r="I17" i="99"/>
  <c r="H17" i="99"/>
  <c r="R16" i="99"/>
  <c r="O16" i="99" s="1"/>
  <c r="P16" i="99"/>
  <c r="K16" i="99"/>
  <c r="I16" i="99"/>
  <c r="H16" i="99"/>
  <c r="R15" i="99"/>
  <c r="O15" i="99" s="1"/>
  <c r="P15" i="99"/>
  <c r="K15" i="99"/>
  <c r="I15" i="99"/>
  <c r="H15" i="99"/>
  <c r="J15" i="99" s="1"/>
  <c r="R14" i="99"/>
  <c r="O14" i="99" s="1"/>
  <c r="P14" i="99"/>
  <c r="K14" i="99"/>
  <c r="I14" i="99"/>
  <c r="H14" i="99"/>
  <c r="R13" i="99"/>
  <c r="O13" i="99" s="1"/>
  <c r="P13" i="99"/>
  <c r="K13" i="99"/>
  <c r="I13" i="99"/>
  <c r="H13" i="99"/>
  <c r="R12" i="99"/>
  <c r="O12" i="99" s="1"/>
  <c r="P12" i="99"/>
  <c r="K12" i="99"/>
  <c r="I12" i="99"/>
  <c r="H12" i="99"/>
  <c r="R11" i="99"/>
  <c r="O11" i="99" s="1"/>
  <c r="P11" i="99"/>
  <c r="K11" i="99"/>
  <c r="I11" i="99"/>
  <c r="H11" i="99"/>
  <c r="J11" i="99" s="1"/>
  <c r="R10" i="99"/>
  <c r="O10" i="99" s="1"/>
  <c r="P10" i="99"/>
  <c r="K10" i="99"/>
  <c r="I10" i="99"/>
  <c r="H10" i="99"/>
  <c r="R9" i="99"/>
  <c r="O9" i="99" s="1"/>
  <c r="P9" i="99"/>
  <c r="K9" i="99"/>
  <c r="I9" i="99"/>
  <c r="H9" i="99"/>
  <c r="J9" i="99" s="1"/>
  <c r="R8" i="99"/>
  <c r="O8" i="99" s="1"/>
  <c r="P8" i="99"/>
  <c r="K8" i="99"/>
  <c r="I8" i="99"/>
  <c r="H8" i="99"/>
  <c r="R7" i="99"/>
  <c r="O7" i="99" s="1"/>
  <c r="P7" i="99"/>
  <c r="K7" i="99"/>
  <c r="I7" i="99"/>
  <c r="H7" i="99"/>
  <c r="J7" i="99" s="1"/>
  <c r="R6" i="99"/>
  <c r="O6" i="99" s="1"/>
  <c r="P6" i="99"/>
  <c r="K6" i="99"/>
  <c r="I6" i="99"/>
  <c r="H6" i="99"/>
  <c r="J6" i="99" s="1"/>
  <c r="R37" i="98"/>
  <c r="O37" i="98" s="1"/>
  <c r="P37" i="98"/>
  <c r="K37" i="98"/>
  <c r="I37" i="98"/>
  <c r="H37" i="98"/>
  <c r="R36" i="98"/>
  <c r="O36" i="98" s="1"/>
  <c r="P36" i="98"/>
  <c r="K36" i="98"/>
  <c r="I36" i="98"/>
  <c r="H36" i="98"/>
  <c r="R35" i="98"/>
  <c r="O35" i="98" s="1"/>
  <c r="P35" i="98"/>
  <c r="K35" i="98"/>
  <c r="I35" i="98"/>
  <c r="H35" i="98"/>
  <c r="J35" i="98" s="1"/>
  <c r="R34" i="98"/>
  <c r="O34" i="98" s="1"/>
  <c r="P34" i="98"/>
  <c r="K34" i="98"/>
  <c r="I34" i="98"/>
  <c r="H34" i="98"/>
  <c r="R33" i="98"/>
  <c r="O33" i="98" s="1"/>
  <c r="P33" i="98"/>
  <c r="K33" i="98"/>
  <c r="I33" i="98"/>
  <c r="H33" i="98"/>
  <c r="J33" i="98" s="1"/>
  <c r="R32" i="98"/>
  <c r="O32" i="98" s="1"/>
  <c r="P32" i="98"/>
  <c r="K32" i="98"/>
  <c r="I32" i="98"/>
  <c r="H32" i="98"/>
  <c r="R31" i="98"/>
  <c r="O31" i="98" s="1"/>
  <c r="P31" i="98"/>
  <c r="K31" i="98"/>
  <c r="I31" i="98"/>
  <c r="H31" i="98"/>
  <c r="J31" i="98" s="1"/>
  <c r="R30" i="98"/>
  <c r="O30" i="98" s="1"/>
  <c r="P30" i="98"/>
  <c r="K30" i="98"/>
  <c r="I30" i="98"/>
  <c r="H30" i="98"/>
  <c r="R29" i="98"/>
  <c r="O29" i="98" s="1"/>
  <c r="P29" i="98"/>
  <c r="K29" i="98"/>
  <c r="I29" i="98"/>
  <c r="H29" i="98"/>
  <c r="J29" i="98" s="1"/>
  <c r="R28" i="98"/>
  <c r="O28" i="98" s="1"/>
  <c r="P28" i="98"/>
  <c r="K28" i="98"/>
  <c r="I28" i="98"/>
  <c r="H28" i="98"/>
  <c r="R27" i="98"/>
  <c r="O27" i="98" s="1"/>
  <c r="P27" i="98"/>
  <c r="K27" i="98"/>
  <c r="I27" i="98"/>
  <c r="H27" i="98"/>
  <c r="J27" i="98" s="1"/>
  <c r="R26" i="98"/>
  <c r="O26" i="98" s="1"/>
  <c r="P26" i="98"/>
  <c r="K26" i="98"/>
  <c r="I26" i="98"/>
  <c r="H26" i="98"/>
  <c r="J26" i="98" s="1"/>
  <c r="R25" i="98"/>
  <c r="O25" i="98" s="1"/>
  <c r="P25" i="98"/>
  <c r="K25" i="98"/>
  <c r="I25" i="98"/>
  <c r="H25" i="98"/>
  <c r="R24" i="98"/>
  <c r="P24" i="98"/>
  <c r="K24" i="98"/>
  <c r="I24" i="98"/>
  <c r="H24" i="98"/>
  <c r="R23" i="98"/>
  <c r="O23" i="98" s="1"/>
  <c r="P23" i="98"/>
  <c r="K23" i="98"/>
  <c r="I23" i="98"/>
  <c r="H23" i="98"/>
  <c r="J23" i="98" s="1"/>
  <c r="R22" i="98"/>
  <c r="O22" i="98" s="1"/>
  <c r="P22" i="98"/>
  <c r="K22" i="98"/>
  <c r="I22" i="98"/>
  <c r="H22" i="98"/>
  <c r="J22" i="98" s="1"/>
  <c r="R21" i="98"/>
  <c r="O21" i="98" s="1"/>
  <c r="P21" i="98"/>
  <c r="K21" i="98"/>
  <c r="I21" i="98"/>
  <c r="H21" i="98"/>
  <c r="R20" i="98"/>
  <c r="Q20" i="98" s="1"/>
  <c r="P20" i="98"/>
  <c r="K20" i="98"/>
  <c r="I20" i="98"/>
  <c r="H20" i="98"/>
  <c r="R19" i="98"/>
  <c r="O19" i="98" s="1"/>
  <c r="P19" i="98"/>
  <c r="K19" i="98"/>
  <c r="I19" i="98"/>
  <c r="H19" i="98"/>
  <c r="J19" i="98" s="1"/>
  <c r="R18" i="98"/>
  <c r="O18" i="98" s="1"/>
  <c r="P18" i="98"/>
  <c r="K18" i="98"/>
  <c r="I18" i="98"/>
  <c r="H18" i="98"/>
  <c r="J18" i="98" s="1"/>
  <c r="R17" i="98"/>
  <c r="O17" i="98" s="1"/>
  <c r="P17" i="98"/>
  <c r="K17" i="98"/>
  <c r="I17" i="98"/>
  <c r="H17" i="98"/>
  <c r="J17" i="98" s="1"/>
  <c r="R16" i="98"/>
  <c r="O16" i="98" s="1"/>
  <c r="P16" i="98"/>
  <c r="K16" i="98"/>
  <c r="I16" i="98"/>
  <c r="H16" i="98"/>
  <c r="R15" i="98"/>
  <c r="O15" i="98" s="1"/>
  <c r="P15" i="98"/>
  <c r="K15" i="98"/>
  <c r="I15" i="98"/>
  <c r="H15" i="98"/>
  <c r="J15" i="98" s="1"/>
  <c r="R14" i="98"/>
  <c r="O14" i="98" s="1"/>
  <c r="P14" i="98"/>
  <c r="K14" i="98"/>
  <c r="I14" i="98"/>
  <c r="H14" i="98"/>
  <c r="J14" i="98" s="1"/>
  <c r="R13" i="98"/>
  <c r="O13" i="98" s="1"/>
  <c r="P13" i="98"/>
  <c r="K13" i="98"/>
  <c r="I13" i="98"/>
  <c r="H13" i="98"/>
  <c r="J13" i="98" s="1"/>
  <c r="R12" i="98"/>
  <c r="O12" i="98" s="1"/>
  <c r="P12" i="98"/>
  <c r="K12" i="98"/>
  <c r="I12" i="98"/>
  <c r="H12" i="98"/>
  <c r="R11" i="98"/>
  <c r="O11" i="98" s="1"/>
  <c r="P11" i="98"/>
  <c r="K11" i="98"/>
  <c r="I11" i="98"/>
  <c r="H11" i="98"/>
  <c r="J11" i="98" s="1"/>
  <c r="R10" i="98"/>
  <c r="O10" i="98" s="1"/>
  <c r="P10" i="98"/>
  <c r="K10" i="98"/>
  <c r="I10" i="98"/>
  <c r="H10" i="98"/>
  <c r="R9" i="98"/>
  <c r="O9" i="98" s="1"/>
  <c r="P9" i="98"/>
  <c r="K9" i="98"/>
  <c r="I9" i="98"/>
  <c r="H9" i="98"/>
  <c r="J9" i="98" s="1"/>
  <c r="R8" i="98"/>
  <c r="O8" i="98" s="1"/>
  <c r="P8" i="98"/>
  <c r="K8" i="98"/>
  <c r="I8" i="98"/>
  <c r="H8" i="98"/>
  <c r="R7" i="98"/>
  <c r="O7" i="98" s="1"/>
  <c r="P7" i="98"/>
  <c r="K7" i="98"/>
  <c r="I7" i="98"/>
  <c r="H7" i="98"/>
  <c r="J7" i="98" s="1"/>
  <c r="R6" i="98"/>
  <c r="O6" i="98" s="1"/>
  <c r="P6" i="98"/>
  <c r="K6" i="98"/>
  <c r="I6" i="98"/>
  <c r="H6" i="98"/>
  <c r="J6" i="98" s="1"/>
  <c r="R37" i="97"/>
  <c r="O37" i="97" s="1"/>
  <c r="P37" i="97"/>
  <c r="K37" i="97"/>
  <c r="I37" i="97"/>
  <c r="H37" i="97"/>
  <c r="J37" i="97" s="1"/>
  <c r="R36" i="97"/>
  <c r="O36" i="97" s="1"/>
  <c r="P36" i="97"/>
  <c r="K36" i="97"/>
  <c r="I36" i="97"/>
  <c r="H36" i="97"/>
  <c r="J36" i="97" s="1"/>
  <c r="R35" i="97"/>
  <c r="O35" i="97" s="1"/>
  <c r="P35" i="97"/>
  <c r="K35" i="97"/>
  <c r="I35" i="97"/>
  <c r="H35" i="97"/>
  <c r="J35" i="97" s="1"/>
  <c r="R34" i="97"/>
  <c r="O34" i="97" s="1"/>
  <c r="P34" i="97"/>
  <c r="K34" i="97"/>
  <c r="I34" i="97"/>
  <c r="H34" i="97"/>
  <c r="R33" i="97"/>
  <c r="O33" i="97" s="1"/>
  <c r="P33" i="97"/>
  <c r="K33" i="97"/>
  <c r="I33" i="97"/>
  <c r="H33" i="97"/>
  <c r="J33" i="97" s="1"/>
  <c r="R32" i="97"/>
  <c r="O32" i="97" s="1"/>
  <c r="P32" i="97"/>
  <c r="K32" i="97"/>
  <c r="I32" i="97"/>
  <c r="H32" i="97"/>
  <c r="J32" i="97" s="1"/>
  <c r="R31" i="97"/>
  <c r="O31" i="97" s="1"/>
  <c r="P31" i="97"/>
  <c r="K31" i="97"/>
  <c r="I31" i="97"/>
  <c r="H31" i="97"/>
  <c r="J31" i="97" s="1"/>
  <c r="R30" i="97"/>
  <c r="O30" i="97" s="1"/>
  <c r="P30" i="97"/>
  <c r="K30" i="97"/>
  <c r="I30" i="97"/>
  <c r="H30" i="97"/>
  <c r="J30" i="97" s="1"/>
  <c r="R29" i="97"/>
  <c r="O29" i="97" s="1"/>
  <c r="P29" i="97"/>
  <c r="K29" i="97"/>
  <c r="I29" i="97"/>
  <c r="H29" i="97"/>
  <c r="J29" i="97" s="1"/>
  <c r="R28" i="97"/>
  <c r="O28" i="97" s="1"/>
  <c r="P28" i="97"/>
  <c r="K28" i="97"/>
  <c r="I28" i="97"/>
  <c r="H28" i="97"/>
  <c r="R27" i="97"/>
  <c r="P27" i="97"/>
  <c r="K27" i="97"/>
  <c r="I27" i="97"/>
  <c r="H27" i="97"/>
  <c r="J27" i="97" s="1"/>
  <c r="R26" i="97"/>
  <c r="O26" i="97" s="1"/>
  <c r="P26" i="97"/>
  <c r="K26" i="97"/>
  <c r="I26" i="97"/>
  <c r="H26" i="97"/>
  <c r="J26" i="97" s="1"/>
  <c r="R25" i="97"/>
  <c r="O25" i="97" s="1"/>
  <c r="P25" i="97"/>
  <c r="K25" i="97"/>
  <c r="I25" i="97"/>
  <c r="H25" i="97"/>
  <c r="J25" i="97" s="1"/>
  <c r="R24" i="97"/>
  <c r="O24" i="97" s="1"/>
  <c r="P24" i="97"/>
  <c r="K24" i="97"/>
  <c r="I24" i="97"/>
  <c r="H24" i="97"/>
  <c r="R23" i="97"/>
  <c r="O23" i="97" s="1"/>
  <c r="P23" i="97"/>
  <c r="K23" i="97"/>
  <c r="I23" i="97"/>
  <c r="H23" i="97"/>
  <c r="J23" i="97" s="1"/>
  <c r="R22" i="97"/>
  <c r="P22" i="97"/>
  <c r="K22" i="97"/>
  <c r="I22" i="97"/>
  <c r="H22" i="97"/>
  <c r="J22" i="97" s="1"/>
  <c r="R21" i="97"/>
  <c r="O21" i="97" s="1"/>
  <c r="P21" i="97"/>
  <c r="K21" i="97"/>
  <c r="I21" i="97"/>
  <c r="H21" i="97"/>
  <c r="J21" i="97" s="1"/>
  <c r="R20" i="97"/>
  <c r="O20" i="97" s="1"/>
  <c r="P20" i="97"/>
  <c r="K20" i="97"/>
  <c r="I20" i="97"/>
  <c r="H20" i="97"/>
  <c r="J20" i="97" s="1"/>
  <c r="R19" i="97"/>
  <c r="O19" i="97" s="1"/>
  <c r="P19" i="97"/>
  <c r="K19" i="97"/>
  <c r="I19" i="97"/>
  <c r="H19" i="97"/>
  <c r="J19" i="97" s="1"/>
  <c r="R18" i="97"/>
  <c r="O18" i="97" s="1"/>
  <c r="P18" i="97"/>
  <c r="K18" i="97"/>
  <c r="I18" i="97"/>
  <c r="H18" i="97"/>
  <c r="J18" i="97" s="1"/>
  <c r="R17" i="97"/>
  <c r="O17" i="97" s="1"/>
  <c r="P17" i="97"/>
  <c r="K17" i="97"/>
  <c r="I17" i="97"/>
  <c r="H17" i="97"/>
  <c r="J17" i="97" s="1"/>
  <c r="R16" i="97"/>
  <c r="Q16" i="97" s="1"/>
  <c r="P16" i="97"/>
  <c r="K16" i="97"/>
  <c r="I16" i="97"/>
  <c r="H16" i="97"/>
  <c r="R15" i="97"/>
  <c r="O15" i="97" s="1"/>
  <c r="P15" i="97"/>
  <c r="K15" i="97"/>
  <c r="I15" i="97"/>
  <c r="H15" i="97"/>
  <c r="J15" i="97" s="1"/>
  <c r="R14" i="97"/>
  <c r="Q14" i="97" s="1"/>
  <c r="P14" i="97"/>
  <c r="K14" i="97"/>
  <c r="I14" i="97"/>
  <c r="H14" i="97"/>
  <c r="J14" i="97" s="1"/>
  <c r="R13" i="97"/>
  <c r="O13" i="97" s="1"/>
  <c r="P13" i="97"/>
  <c r="K13" i="97"/>
  <c r="I13" i="97"/>
  <c r="H13" i="97"/>
  <c r="J13" i="97" s="1"/>
  <c r="R12" i="97"/>
  <c r="O12" i="97" s="1"/>
  <c r="P12" i="97"/>
  <c r="K12" i="97"/>
  <c r="I12" i="97"/>
  <c r="H12" i="97"/>
  <c r="J12" i="97" s="1"/>
  <c r="R11" i="97"/>
  <c r="O11" i="97" s="1"/>
  <c r="P11" i="97"/>
  <c r="K11" i="97"/>
  <c r="I11" i="97"/>
  <c r="H11" i="97"/>
  <c r="J11" i="97" s="1"/>
  <c r="R10" i="97"/>
  <c r="O10" i="97" s="1"/>
  <c r="P10" i="97"/>
  <c r="K10" i="97"/>
  <c r="I10" i="97"/>
  <c r="H10" i="97"/>
  <c r="J10" i="97" s="1"/>
  <c r="R9" i="97"/>
  <c r="O9" i="97" s="1"/>
  <c r="P9" i="97"/>
  <c r="K9" i="97"/>
  <c r="I9" i="97"/>
  <c r="H9" i="97"/>
  <c r="J9" i="97" s="1"/>
  <c r="R8" i="97"/>
  <c r="O8" i="97" s="1"/>
  <c r="P8" i="97"/>
  <c r="K8" i="97"/>
  <c r="I8" i="97"/>
  <c r="H8" i="97"/>
  <c r="J8" i="97" s="1"/>
  <c r="R7" i="97"/>
  <c r="O7" i="97" s="1"/>
  <c r="P7" i="97"/>
  <c r="K7" i="97"/>
  <c r="I7" i="97"/>
  <c r="H7" i="97"/>
  <c r="J7" i="97" s="1"/>
  <c r="R6" i="97"/>
  <c r="O6" i="97" s="1"/>
  <c r="P6" i="97"/>
  <c r="K6" i="97"/>
  <c r="I6" i="97"/>
  <c r="H6" i="97"/>
  <c r="J6" i="97" s="1"/>
  <c r="R37" i="96"/>
  <c r="O37" i="96" s="1"/>
  <c r="P37" i="96"/>
  <c r="K37" i="96"/>
  <c r="I37" i="96"/>
  <c r="H37" i="96"/>
  <c r="R36" i="96"/>
  <c r="O36" i="96" s="1"/>
  <c r="P36" i="96"/>
  <c r="K36" i="96"/>
  <c r="I36" i="96"/>
  <c r="H36" i="96"/>
  <c r="J36" i="96" s="1"/>
  <c r="R35" i="96"/>
  <c r="O35" i="96" s="1"/>
  <c r="P35" i="96"/>
  <c r="K35" i="96"/>
  <c r="I35" i="96"/>
  <c r="H35" i="96"/>
  <c r="R34" i="96"/>
  <c r="O34" i="96" s="1"/>
  <c r="P34" i="96"/>
  <c r="K34" i="96"/>
  <c r="I34" i="96"/>
  <c r="H34" i="96"/>
  <c r="R33" i="96"/>
  <c r="O33" i="96" s="1"/>
  <c r="P33" i="96"/>
  <c r="K33" i="96"/>
  <c r="I33" i="96"/>
  <c r="H33" i="96"/>
  <c r="R32" i="96"/>
  <c r="O32" i="96" s="1"/>
  <c r="P32" i="96"/>
  <c r="K32" i="96"/>
  <c r="I32" i="96"/>
  <c r="H32" i="96"/>
  <c r="J32" i="96" s="1"/>
  <c r="R31" i="96"/>
  <c r="O31" i="96" s="1"/>
  <c r="P31" i="96"/>
  <c r="K31" i="96"/>
  <c r="I31" i="96"/>
  <c r="H31" i="96"/>
  <c r="R30" i="96"/>
  <c r="O30" i="96" s="1"/>
  <c r="P30" i="96"/>
  <c r="K30" i="96"/>
  <c r="I30" i="96"/>
  <c r="H30" i="96"/>
  <c r="R29" i="96"/>
  <c r="O29" i="96" s="1"/>
  <c r="P29" i="96"/>
  <c r="K29" i="96"/>
  <c r="I29" i="96"/>
  <c r="H29" i="96"/>
  <c r="R28" i="96"/>
  <c r="P28" i="96"/>
  <c r="K28" i="96"/>
  <c r="I28" i="96"/>
  <c r="H28" i="96"/>
  <c r="J28" i="96" s="1"/>
  <c r="R27" i="96"/>
  <c r="P27" i="96"/>
  <c r="K27" i="96"/>
  <c r="I27" i="96"/>
  <c r="H27" i="96"/>
  <c r="R26" i="96"/>
  <c r="O26" i="96" s="1"/>
  <c r="P26" i="96"/>
  <c r="K26" i="96"/>
  <c r="I26" i="96"/>
  <c r="H26" i="96"/>
  <c r="R25" i="96"/>
  <c r="P25" i="96"/>
  <c r="K25" i="96"/>
  <c r="I25" i="96"/>
  <c r="H25" i="96"/>
  <c r="R24" i="96"/>
  <c r="O24" i="96" s="1"/>
  <c r="P24" i="96"/>
  <c r="K24" i="96"/>
  <c r="I24" i="96"/>
  <c r="H24" i="96"/>
  <c r="R23" i="96"/>
  <c r="O23" i="96" s="1"/>
  <c r="P23" i="96"/>
  <c r="K23" i="96"/>
  <c r="I23" i="96"/>
  <c r="H23" i="96"/>
  <c r="R22" i="96"/>
  <c r="O22" i="96" s="1"/>
  <c r="P22" i="96"/>
  <c r="K22" i="96"/>
  <c r="I22" i="96"/>
  <c r="H22" i="96"/>
  <c r="R21" i="96"/>
  <c r="O21" i="96" s="1"/>
  <c r="P21" i="96"/>
  <c r="K21" i="96"/>
  <c r="I21" i="96"/>
  <c r="H21" i="96"/>
  <c r="R20" i="96"/>
  <c r="O20" i="96" s="1"/>
  <c r="P20" i="96"/>
  <c r="K20" i="96"/>
  <c r="I20" i="96"/>
  <c r="H20" i="96"/>
  <c r="J20" i="96" s="1"/>
  <c r="R19" i="96"/>
  <c r="P19" i="96"/>
  <c r="K19" i="96"/>
  <c r="I19" i="96"/>
  <c r="H19" i="96"/>
  <c r="R18" i="96"/>
  <c r="O18" i="96" s="1"/>
  <c r="P18" i="96"/>
  <c r="K18" i="96"/>
  <c r="I18" i="96"/>
  <c r="H18" i="96"/>
  <c r="R17" i="96"/>
  <c r="P17" i="96"/>
  <c r="K17" i="96"/>
  <c r="I17" i="96"/>
  <c r="H17" i="96"/>
  <c r="R16" i="96"/>
  <c r="O16" i="96" s="1"/>
  <c r="P16" i="96"/>
  <c r="K16" i="96"/>
  <c r="I16" i="96"/>
  <c r="H16" i="96"/>
  <c r="J16" i="96" s="1"/>
  <c r="R15" i="96"/>
  <c r="O15" i="96" s="1"/>
  <c r="P15" i="96"/>
  <c r="K15" i="96"/>
  <c r="I15" i="96"/>
  <c r="H15" i="96"/>
  <c r="R14" i="96"/>
  <c r="O14" i="96" s="1"/>
  <c r="P14" i="96"/>
  <c r="K14" i="96"/>
  <c r="I14" i="96"/>
  <c r="H14" i="96"/>
  <c r="J14" i="96" s="1"/>
  <c r="R13" i="96"/>
  <c r="O13" i="96" s="1"/>
  <c r="P13" i="96"/>
  <c r="K13" i="96"/>
  <c r="I13" i="96"/>
  <c r="H13" i="96"/>
  <c r="R12" i="96"/>
  <c r="O12" i="96" s="1"/>
  <c r="P12" i="96"/>
  <c r="K12" i="96"/>
  <c r="I12" i="96"/>
  <c r="H12" i="96"/>
  <c r="J12" i="96" s="1"/>
  <c r="R11" i="96"/>
  <c r="O11" i="96" s="1"/>
  <c r="P11" i="96"/>
  <c r="K11" i="96"/>
  <c r="I11" i="96"/>
  <c r="H11" i="96"/>
  <c r="R10" i="96"/>
  <c r="O10" i="96" s="1"/>
  <c r="P10" i="96"/>
  <c r="K10" i="96"/>
  <c r="I10" i="96"/>
  <c r="H10" i="96"/>
  <c r="R9" i="96"/>
  <c r="O9" i="96" s="1"/>
  <c r="P9" i="96"/>
  <c r="K9" i="96"/>
  <c r="I9" i="96"/>
  <c r="H9" i="96"/>
  <c r="R8" i="96"/>
  <c r="O8" i="96" s="1"/>
  <c r="P8" i="96"/>
  <c r="K8" i="96"/>
  <c r="I8" i="96"/>
  <c r="H8" i="96"/>
  <c r="J8" i="96" s="1"/>
  <c r="R7" i="96"/>
  <c r="O7" i="96" s="1"/>
  <c r="P7" i="96"/>
  <c r="K7" i="96"/>
  <c r="I7" i="96"/>
  <c r="H7" i="96"/>
  <c r="R6" i="96"/>
  <c r="O6" i="96" s="1"/>
  <c r="P6" i="96"/>
  <c r="K6" i="96"/>
  <c r="I6" i="96"/>
  <c r="H6" i="96"/>
  <c r="C37" i="104"/>
  <c r="C36" i="104"/>
  <c r="C35" i="104"/>
  <c r="C34" i="104"/>
  <c r="C33" i="104"/>
  <c r="C32" i="104"/>
  <c r="C31" i="104"/>
  <c r="C30" i="104"/>
  <c r="C29" i="104"/>
  <c r="C28" i="104"/>
  <c r="C27" i="104"/>
  <c r="C26" i="104"/>
  <c r="C25" i="104"/>
  <c r="C24" i="104"/>
  <c r="C23" i="104"/>
  <c r="C22" i="104"/>
  <c r="C21" i="104"/>
  <c r="C20" i="104"/>
  <c r="C19" i="104"/>
  <c r="C18" i="104"/>
  <c r="C17" i="104"/>
  <c r="C16" i="104"/>
  <c r="C15" i="104"/>
  <c r="C14" i="104"/>
  <c r="C13" i="104"/>
  <c r="C12" i="104"/>
  <c r="C11" i="104"/>
  <c r="C10" i="104"/>
  <c r="C9" i="104"/>
  <c r="G40" i="104"/>
  <c r="C8" i="104"/>
  <c r="C7" i="104"/>
  <c r="D44" i="104"/>
  <c r="C6" i="104"/>
  <c r="C3" i="104"/>
  <c r="C37" i="103"/>
  <c r="C36" i="103"/>
  <c r="C35" i="103"/>
  <c r="C34" i="103"/>
  <c r="C33" i="103"/>
  <c r="C32" i="103"/>
  <c r="C31" i="103"/>
  <c r="C30" i="103"/>
  <c r="C29" i="103"/>
  <c r="C28" i="103"/>
  <c r="C27" i="103"/>
  <c r="C26" i="103"/>
  <c r="C25" i="103"/>
  <c r="C24" i="103"/>
  <c r="C23" i="103"/>
  <c r="C22" i="103"/>
  <c r="C21" i="103"/>
  <c r="C20" i="103"/>
  <c r="C19" i="103"/>
  <c r="C18" i="103"/>
  <c r="C17" i="103"/>
  <c r="C16" i="103"/>
  <c r="C15" i="103"/>
  <c r="C14" i="103"/>
  <c r="C13" i="103"/>
  <c r="C12" i="103"/>
  <c r="C11" i="103"/>
  <c r="C10" i="103"/>
  <c r="C9" i="103"/>
  <c r="C8" i="103"/>
  <c r="C7" i="103"/>
  <c r="C6" i="103"/>
  <c r="C3" i="103"/>
  <c r="C37" i="102"/>
  <c r="C36" i="102"/>
  <c r="C35" i="102"/>
  <c r="C34" i="102"/>
  <c r="C33" i="102"/>
  <c r="C32" i="102"/>
  <c r="C31" i="102"/>
  <c r="C30" i="102"/>
  <c r="C29" i="102"/>
  <c r="C28" i="102"/>
  <c r="C27" i="102"/>
  <c r="C26" i="102"/>
  <c r="C25" i="102"/>
  <c r="C24" i="102"/>
  <c r="C23" i="102"/>
  <c r="C22" i="102"/>
  <c r="C21" i="102"/>
  <c r="C20" i="102"/>
  <c r="C19" i="102"/>
  <c r="C18" i="102"/>
  <c r="C17" i="102"/>
  <c r="C16" i="102"/>
  <c r="C15" i="102"/>
  <c r="C14" i="102"/>
  <c r="C13" i="102"/>
  <c r="C12" i="102"/>
  <c r="C11" i="102"/>
  <c r="C10" i="102"/>
  <c r="C9" i="102"/>
  <c r="C8" i="102"/>
  <c r="C7" i="102"/>
  <c r="C6" i="102"/>
  <c r="C3" i="102"/>
  <c r="C37" i="101"/>
  <c r="C36" i="101"/>
  <c r="C35" i="101"/>
  <c r="C34" i="101"/>
  <c r="C33" i="101"/>
  <c r="C32" i="101"/>
  <c r="C31" i="101"/>
  <c r="C30" i="101"/>
  <c r="C29" i="101"/>
  <c r="C28" i="101"/>
  <c r="C27" i="101"/>
  <c r="C26" i="101"/>
  <c r="C25" i="101"/>
  <c r="C24" i="101"/>
  <c r="C23" i="101"/>
  <c r="C22" i="101"/>
  <c r="C21" i="101"/>
  <c r="C20" i="101"/>
  <c r="C19" i="101"/>
  <c r="C18" i="101"/>
  <c r="C17" i="101"/>
  <c r="C16" i="101"/>
  <c r="C15" i="101"/>
  <c r="C14" i="101"/>
  <c r="C13" i="101"/>
  <c r="C12" i="101"/>
  <c r="C11" i="101"/>
  <c r="C10" i="101"/>
  <c r="C9" i="101"/>
  <c r="C8" i="101"/>
  <c r="C7" i="101"/>
  <c r="C6" i="101"/>
  <c r="C3" i="101"/>
  <c r="C37" i="100"/>
  <c r="C36" i="100"/>
  <c r="C35" i="100"/>
  <c r="C34" i="100"/>
  <c r="C33" i="100"/>
  <c r="C32" i="100"/>
  <c r="C31" i="100"/>
  <c r="C30" i="100"/>
  <c r="C29" i="100"/>
  <c r="C28" i="100"/>
  <c r="C27" i="100"/>
  <c r="C26" i="100"/>
  <c r="C25" i="100"/>
  <c r="C24" i="100"/>
  <c r="C23" i="100"/>
  <c r="C22" i="100"/>
  <c r="C21" i="100"/>
  <c r="C20" i="100"/>
  <c r="C19" i="100"/>
  <c r="C18" i="100"/>
  <c r="C17" i="100"/>
  <c r="C16" i="100"/>
  <c r="C15" i="100"/>
  <c r="C14" i="100"/>
  <c r="C13" i="100"/>
  <c r="C12" i="100"/>
  <c r="C11" i="100"/>
  <c r="C10" i="100"/>
  <c r="C9" i="100"/>
  <c r="C8" i="100"/>
  <c r="C7" i="100"/>
  <c r="C6" i="100"/>
  <c r="C3" i="100"/>
  <c r="C37" i="99"/>
  <c r="C36" i="99"/>
  <c r="C35" i="99"/>
  <c r="C34" i="99"/>
  <c r="C33" i="99"/>
  <c r="C32" i="99"/>
  <c r="C31" i="99"/>
  <c r="C30" i="99"/>
  <c r="C29" i="99"/>
  <c r="C28" i="99"/>
  <c r="C27" i="99"/>
  <c r="C26" i="99"/>
  <c r="C25" i="99"/>
  <c r="C24" i="99"/>
  <c r="C23" i="99"/>
  <c r="C22" i="99"/>
  <c r="C21" i="99"/>
  <c r="C20" i="99"/>
  <c r="C19" i="99"/>
  <c r="C18" i="99"/>
  <c r="C17" i="99"/>
  <c r="C16" i="99"/>
  <c r="C15" i="99"/>
  <c r="C14" i="99"/>
  <c r="C13" i="99"/>
  <c r="C12" i="99"/>
  <c r="C11" i="99"/>
  <c r="C10" i="99"/>
  <c r="C9" i="99"/>
  <c r="C8" i="99"/>
  <c r="C7" i="99"/>
  <c r="C6" i="99"/>
  <c r="C3" i="99"/>
  <c r="C37" i="98"/>
  <c r="C36" i="98"/>
  <c r="C35" i="98"/>
  <c r="C34" i="98"/>
  <c r="C33" i="98"/>
  <c r="C32" i="98"/>
  <c r="C31" i="98"/>
  <c r="C30" i="98"/>
  <c r="C29" i="98"/>
  <c r="C28" i="98"/>
  <c r="C27" i="98"/>
  <c r="C26" i="98"/>
  <c r="C25" i="98"/>
  <c r="C24" i="98"/>
  <c r="C23" i="98"/>
  <c r="C22" i="98"/>
  <c r="C21" i="98"/>
  <c r="C20" i="98"/>
  <c r="C19" i="98"/>
  <c r="C18" i="98"/>
  <c r="C17" i="98"/>
  <c r="C16" i="98"/>
  <c r="C15" i="98"/>
  <c r="C14" i="98"/>
  <c r="C13" i="98"/>
  <c r="C12" i="98"/>
  <c r="C11" i="98"/>
  <c r="C10" i="98"/>
  <c r="C9" i="98"/>
  <c r="C8" i="98"/>
  <c r="C7" i="98"/>
  <c r="C6" i="98"/>
  <c r="C3" i="98"/>
  <c r="C37" i="97"/>
  <c r="C36" i="97"/>
  <c r="C35" i="97"/>
  <c r="C34" i="97"/>
  <c r="C33" i="97"/>
  <c r="C32" i="97"/>
  <c r="C31" i="97"/>
  <c r="C30" i="97"/>
  <c r="C29" i="97"/>
  <c r="C28" i="97"/>
  <c r="C27" i="97"/>
  <c r="C26" i="97"/>
  <c r="C25" i="97"/>
  <c r="C24" i="97"/>
  <c r="C23" i="97"/>
  <c r="C22" i="97"/>
  <c r="C21" i="97"/>
  <c r="C20" i="97"/>
  <c r="C19" i="97"/>
  <c r="C18" i="97"/>
  <c r="C17" i="97"/>
  <c r="C16" i="97"/>
  <c r="C15" i="97"/>
  <c r="C14" i="97"/>
  <c r="C13" i="97"/>
  <c r="C12" i="97"/>
  <c r="C11" i="97"/>
  <c r="C10" i="97"/>
  <c r="C9" i="97"/>
  <c r="C8" i="97"/>
  <c r="C7" i="97"/>
  <c r="C6" i="97"/>
  <c r="C3" i="97"/>
  <c r="C37" i="96"/>
  <c r="C36" i="96"/>
  <c r="C35" i="96"/>
  <c r="C34" i="96"/>
  <c r="C33" i="96"/>
  <c r="C32" i="96"/>
  <c r="C31" i="96"/>
  <c r="C30" i="96"/>
  <c r="C29" i="96"/>
  <c r="C28" i="96"/>
  <c r="C27" i="96"/>
  <c r="C26" i="96"/>
  <c r="C25" i="96"/>
  <c r="C24" i="96"/>
  <c r="C23" i="96"/>
  <c r="C22" i="96"/>
  <c r="C21" i="96"/>
  <c r="C20" i="96"/>
  <c r="C19" i="96"/>
  <c r="C18" i="96"/>
  <c r="C17" i="96"/>
  <c r="C16" i="96"/>
  <c r="C15" i="96"/>
  <c r="C14" i="96"/>
  <c r="C13" i="96"/>
  <c r="C12" i="96"/>
  <c r="C11" i="96"/>
  <c r="C10" i="96"/>
  <c r="C9" i="96"/>
  <c r="C8" i="96"/>
  <c r="C7" i="96"/>
  <c r="C6" i="96"/>
  <c r="C3" i="96"/>
  <c r="R12" i="95"/>
  <c r="O12" i="95" s="1"/>
  <c r="P12" i="95"/>
  <c r="K12" i="95"/>
  <c r="I12" i="95"/>
  <c r="H12" i="95"/>
  <c r="R11" i="95"/>
  <c r="O11" i="95" s="1"/>
  <c r="P11" i="95"/>
  <c r="K11" i="95"/>
  <c r="I11" i="95"/>
  <c r="H11" i="95"/>
  <c r="R10" i="95"/>
  <c r="O10" i="95" s="1"/>
  <c r="P10" i="95"/>
  <c r="K10" i="95"/>
  <c r="I10" i="95"/>
  <c r="H10" i="95"/>
  <c r="R9" i="95"/>
  <c r="O9" i="95" s="1"/>
  <c r="P9" i="95"/>
  <c r="K9" i="95"/>
  <c r="I9" i="95"/>
  <c r="H9" i="95"/>
  <c r="R8" i="95"/>
  <c r="O8" i="95" s="1"/>
  <c r="P8" i="95"/>
  <c r="K8" i="95"/>
  <c r="I8" i="95"/>
  <c r="H8" i="95"/>
  <c r="R7" i="95"/>
  <c r="O7" i="95" s="1"/>
  <c r="P7" i="95"/>
  <c r="K7" i="95"/>
  <c r="I7" i="95"/>
  <c r="H7" i="95"/>
  <c r="R6" i="95"/>
  <c r="O6" i="95" s="1"/>
  <c r="P6" i="95"/>
  <c r="K6" i="95"/>
  <c r="I6" i="95"/>
  <c r="H6" i="95"/>
  <c r="R17" i="95"/>
  <c r="O17" i="95" s="1"/>
  <c r="P17" i="95"/>
  <c r="K17" i="95"/>
  <c r="I17" i="95"/>
  <c r="H17" i="95"/>
  <c r="R16" i="95"/>
  <c r="O16" i="95" s="1"/>
  <c r="P16" i="95"/>
  <c r="K16" i="95"/>
  <c r="I16" i="95"/>
  <c r="H16" i="95"/>
  <c r="R15" i="95"/>
  <c r="O15" i="95" s="1"/>
  <c r="P15" i="95"/>
  <c r="K15" i="95"/>
  <c r="I15" i="95"/>
  <c r="H15" i="95"/>
  <c r="R14" i="95"/>
  <c r="O14" i="95" s="1"/>
  <c r="P14" i="95"/>
  <c r="K14" i="95"/>
  <c r="I14" i="95"/>
  <c r="H14" i="95"/>
  <c r="R13" i="95"/>
  <c r="O13" i="95" s="1"/>
  <c r="P13" i="95"/>
  <c r="K13" i="95"/>
  <c r="I13" i="95"/>
  <c r="H13" i="95"/>
  <c r="R37" i="95"/>
  <c r="O37" i="95" s="1"/>
  <c r="P37" i="95"/>
  <c r="K37" i="95"/>
  <c r="I37" i="95"/>
  <c r="H37" i="95"/>
  <c r="R36" i="95"/>
  <c r="O36" i="95" s="1"/>
  <c r="P36" i="95"/>
  <c r="K36" i="95"/>
  <c r="I36" i="95"/>
  <c r="H36" i="95"/>
  <c r="R35" i="95"/>
  <c r="O35" i="95" s="1"/>
  <c r="P35" i="95"/>
  <c r="K35" i="95"/>
  <c r="I35" i="95"/>
  <c r="H35" i="95"/>
  <c r="R34" i="95"/>
  <c r="O34" i="95" s="1"/>
  <c r="P34" i="95"/>
  <c r="K34" i="95"/>
  <c r="I34" i="95"/>
  <c r="H34" i="95"/>
  <c r="R33" i="95"/>
  <c r="O33" i="95" s="1"/>
  <c r="P33" i="95"/>
  <c r="K33" i="95"/>
  <c r="I33" i="95"/>
  <c r="H33" i="95"/>
  <c r="R32" i="95"/>
  <c r="O32" i="95" s="1"/>
  <c r="P32" i="95"/>
  <c r="K32" i="95"/>
  <c r="I32" i="95"/>
  <c r="H32" i="95"/>
  <c r="R31" i="95"/>
  <c r="O31" i="95" s="1"/>
  <c r="P31" i="95"/>
  <c r="K31" i="95"/>
  <c r="I31" i="95"/>
  <c r="H31" i="95"/>
  <c r="R30" i="95"/>
  <c r="O30" i="95" s="1"/>
  <c r="P30" i="95"/>
  <c r="K30" i="95"/>
  <c r="I30" i="95"/>
  <c r="H30" i="95"/>
  <c r="R29" i="95"/>
  <c r="O29" i="95" s="1"/>
  <c r="P29" i="95"/>
  <c r="K29" i="95"/>
  <c r="I29" i="95"/>
  <c r="H29" i="95"/>
  <c r="R28" i="95"/>
  <c r="Q28" i="95" s="1"/>
  <c r="P28" i="95"/>
  <c r="K28" i="95"/>
  <c r="I28" i="95"/>
  <c r="H28" i="95"/>
  <c r="R27" i="95"/>
  <c r="O27" i="95" s="1"/>
  <c r="P27" i="95"/>
  <c r="K27" i="95"/>
  <c r="I27" i="95"/>
  <c r="H27" i="95"/>
  <c r="R26" i="95"/>
  <c r="O26" i="95" s="1"/>
  <c r="P26" i="95"/>
  <c r="K26" i="95"/>
  <c r="I26" i="95"/>
  <c r="H26" i="95"/>
  <c r="R25" i="95"/>
  <c r="O25" i="95" s="1"/>
  <c r="P25" i="95"/>
  <c r="K25" i="95"/>
  <c r="I25" i="95"/>
  <c r="H25" i="95"/>
  <c r="R24" i="95"/>
  <c r="O24" i="95" s="1"/>
  <c r="P24" i="95"/>
  <c r="K24" i="95"/>
  <c r="I24" i="95"/>
  <c r="H24" i="95"/>
  <c r="R23" i="95"/>
  <c r="O23" i="95" s="1"/>
  <c r="P23" i="95"/>
  <c r="K23" i="95"/>
  <c r="I23" i="95"/>
  <c r="H23" i="95"/>
  <c r="R22" i="95"/>
  <c r="O22" i="95" s="1"/>
  <c r="P22" i="95"/>
  <c r="K22" i="95"/>
  <c r="I22" i="95"/>
  <c r="H22" i="95"/>
  <c r="R21" i="95"/>
  <c r="O21" i="95" s="1"/>
  <c r="P21" i="95"/>
  <c r="K21" i="95"/>
  <c r="I21" i="95"/>
  <c r="H21" i="95"/>
  <c r="R20" i="95"/>
  <c r="O20" i="95" s="1"/>
  <c r="P20" i="95"/>
  <c r="K20" i="95"/>
  <c r="I20" i="95"/>
  <c r="H20" i="95"/>
  <c r="R19" i="95"/>
  <c r="O19" i="95" s="1"/>
  <c r="P19" i="95"/>
  <c r="K19" i="95"/>
  <c r="I19" i="95"/>
  <c r="H19" i="95"/>
  <c r="R18" i="95"/>
  <c r="O18" i="95" s="1"/>
  <c r="P18" i="95"/>
  <c r="K18" i="95"/>
  <c r="I18" i="95"/>
  <c r="H18" i="95"/>
  <c r="C37" i="95"/>
  <c r="C36" i="95"/>
  <c r="C35" i="95"/>
  <c r="C34" i="95"/>
  <c r="C33" i="95"/>
  <c r="C32" i="95"/>
  <c r="C31" i="95"/>
  <c r="C30" i="95"/>
  <c r="C29" i="95"/>
  <c r="C28" i="95"/>
  <c r="C27" i="95"/>
  <c r="C26" i="95"/>
  <c r="C25" i="95"/>
  <c r="C24" i="95"/>
  <c r="C23" i="95"/>
  <c r="C22" i="95"/>
  <c r="C21" i="95"/>
  <c r="C20" i="95"/>
  <c r="C19" i="95"/>
  <c r="C18" i="95"/>
  <c r="C17" i="95"/>
  <c r="C16" i="95"/>
  <c r="C15" i="95"/>
  <c r="C14" i="95"/>
  <c r="C13" i="95"/>
  <c r="C12" i="95"/>
  <c r="C11" i="95"/>
  <c r="C10" i="95"/>
  <c r="C9" i="95"/>
  <c r="C8" i="95"/>
  <c r="C7" i="95"/>
  <c r="C6" i="95"/>
  <c r="C3" i="95"/>
  <c r="Q36" i="100" l="1"/>
  <c r="Q22" i="97"/>
  <c r="Q21" i="102"/>
  <c r="Q17" i="102"/>
  <c r="L19" i="96"/>
  <c r="L27" i="96"/>
  <c r="L25" i="96"/>
  <c r="L35" i="96"/>
  <c r="L6" i="96"/>
  <c r="L21" i="96"/>
  <c r="L29" i="96"/>
  <c r="L24" i="96"/>
  <c r="L32" i="96"/>
  <c r="L11" i="96"/>
  <c r="L10" i="96"/>
  <c r="L33" i="96"/>
  <c r="L16" i="96"/>
  <c r="L12" i="96"/>
  <c r="L37" i="96"/>
  <c r="L8" i="96"/>
  <c r="J18" i="95"/>
  <c r="L18" i="96"/>
  <c r="J26" i="95"/>
  <c r="L26" i="96"/>
  <c r="J34" i="95"/>
  <c r="L34" i="96"/>
  <c r="J17" i="95"/>
  <c r="L17" i="96"/>
  <c r="L23" i="96"/>
  <c r="J31" i="95"/>
  <c r="L31" i="96"/>
  <c r="J14" i="95"/>
  <c r="L14" i="96"/>
  <c r="L20" i="96"/>
  <c r="L28" i="96"/>
  <c r="L36" i="96"/>
  <c r="J7" i="95"/>
  <c r="L7" i="96"/>
  <c r="J15" i="95"/>
  <c r="L15" i="96"/>
  <c r="J22" i="95"/>
  <c r="L22" i="96"/>
  <c r="J30" i="95"/>
  <c r="L30" i="96"/>
  <c r="J13" i="95"/>
  <c r="L13" i="96"/>
  <c r="J9" i="95"/>
  <c r="L9" i="96"/>
  <c r="Q13" i="99"/>
  <c r="Q27" i="99"/>
  <c r="Q21" i="103"/>
  <c r="Q17" i="99"/>
  <c r="Q15" i="100"/>
  <c r="Q31" i="101"/>
  <c r="Q19" i="97"/>
  <c r="Q11" i="101"/>
  <c r="Q27" i="101"/>
  <c r="Q19" i="103"/>
  <c r="L13" i="103"/>
  <c r="Q31" i="99"/>
  <c r="Q13" i="96"/>
  <c r="L23" i="102"/>
  <c r="Q35" i="97"/>
  <c r="Q19" i="99"/>
  <c r="L22" i="101"/>
  <c r="Q32" i="96"/>
  <c r="Q6" i="98"/>
  <c r="L15" i="102"/>
  <c r="L35" i="102"/>
  <c r="Q24" i="102"/>
  <c r="Q22" i="98"/>
  <c r="L26" i="99"/>
  <c r="L21" i="103"/>
  <c r="Q32" i="100"/>
  <c r="Q15" i="97"/>
  <c r="Q36" i="96"/>
  <c r="Q27" i="98"/>
  <c r="Q11" i="99"/>
  <c r="Q32" i="99"/>
  <c r="L23" i="100"/>
  <c r="L37" i="103"/>
  <c r="Q11" i="97"/>
  <c r="Q23" i="97"/>
  <c r="L17" i="99"/>
  <c r="L26" i="103"/>
  <c r="Q35" i="96"/>
  <c r="Q23" i="96"/>
  <c r="Q36" i="103"/>
  <c r="L36" i="102"/>
  <c r="Q8" i="98"/>
  <c r="Q30" i="98"/>
  <c r="Q16" i="99"/>
  <c r="Q12" i="103"/>
  <c r="L23" i="97"/>
  <c r="L18" i="99"/>
  <c r="L18" i="101"/>
  <c r="L20" i="103"/>
  <c r="L13" i="97"/>
  <c r="L29" i="103"/>
  <c r="L24" i="100"/>
  <c r="L27" i="98"/>
  <c r="L31" i="98"/>
  <c r="Q12" i="99"/>
  <c r="L26" i="98"/>
  <c r="L36" i="103"/>
  <c r="L10" i="103"/>
  <c r="L30" i="98"/>
  <c r="L6" i="99"/>
  <c r="L8" i="101"/>
  <c r="L21" i="102"/>
  <c r="Q11" i="98"/>
  <c r="Q24" i="100"/>
  <c r="L16" i="97"/>
  <c r="L18" i="98"/>
  <c r="L12" i="101"/>
  <c r="L20" i="102"/>
  <c r="L19" i="102"/>
  <c r="Q21" i="96"/>
  <c r="Q8" i="99"/>
  <c r="Q24" i="99"/>
  <c r="Q28" i="99"/>
  <c r="Q12" i="100"/>
  <c r="Q32" i="102"/>
  <c r="L15" i="100"/>
  <c r="L27" i="97"/>
  <c r="L12" i="98"/>
  <c r="L7" i="97"/>
  <c r="L11" i="97"/>
  <c r="L33" i="97"/>
  <c r="L31" i="100"/>
  <c r="Q8" i="100"/>
  <c r="O8" i="100"/>
  <c r="L8" i="103"/>
  <c r="L27" i="100"/>
  <c r="L16" i="101"/>
  <c r="L24" i="103"/>
  <c r="L21" i="100"/>
  <c r="L25" i="100"/>
  <c r="L6" i="101"/>
  <c r="L28" i="101"/>
  <c r="L37" i="101"/>
  <c r="J34" i="98"/>
  <c r="L34" i="99"/>
  <c r="J24" i="97"/>
  <c r="L24" i="98"/>
  <c r="Q32" i="103"/>
  <c r="Q20" i="100"/>
  <c r="O20" i="100"/>
  <c r="L24" i="101"/>
  <c r="J24" i="100"/>
  <c r="J17" i="101"/>
  <c r="L17" i="102"/>
  <c r="J27" i="101"/>
  <c r="L27" i="102"/>
  <c r="J31" i="101"/>
  <c r="L31" i="102"/>
  <c r="J28" i="102"/>
  <c r="L28" i="103"/>
  <c r="L24" i="97"/>
  <c r="J24" i="96"/>
  <c r="J10" i="98"/>
  <c r="L10" i="99"/>
  <c r="Q7" i="96"/>
  <c r="J34" i="100"/>
  <c r="L34" i="101"/>
  <c r="Q37" i="96"/>
  <c r="Q16" i="103"/>
  <c r="L29" i="97"/>
  <c r="L30" i="101"/>
  <c r="J16" i="97"/>
  <c r="L16" i="98"/>
  <c r="L9" i="98"/>
  <c r="J34" i="97"/>
  <c r="L34" i="98"/>
  <c r="L36" i="99"/>
  <c r="J13" i="99"/>
  <c r="L13" i="100"/>
  <c r="Q12" i="102"/>
  <c r="O12" i="102"/>
  <c r="L32" i="103"/>
  <c r="L33" i="103"/>
  <c r="J30" i="98"/>
  <c r="L30" i="99"/>
  <c r="L16" i="100"/>
  <c r="L28" i="102"/>
  <c r="L34" i="103"/>
  <c r="L8" i="98"/>
  <c r="L8" i="99"/>
  <c r="L14" i="99"/>
  <c r="L7" i="100"/>
  <c r="L11" i="100"/>
  <c r="L14" i="100"/>
  <c r="L28" i="100"/>
  <c r="L33" i="100"/>
  <c r="L36" i="100"/>
  <c r="L11" i="102"/>
  <c r="L32" i="102"/>
  <c r="L33" i="102"/>
  <c r="L22" i="97"/>
  <c r="J22" i="96"/>
  <c r="J25" i="98"/>
  <c r="L25" i="99"/>
  <c r="J19" i="99"/>
  <c r="L19" i="100"/>
  <c r="J29" i="99"/>
  <c r="L29" i="100"/>
  <c r="J14" i="100"/>
  <c r="L14" i="101"/>
  <c r="J12" i="101"/>
  <c r="L12" i="102"/>
  <c r="J37" i="101"/>
  <c r="L37" i="102"/>
  <c r="J16" i="102"/>
  <c r="L16" i="103"/>
  <c r="J23" i="95"/>
  <c r="J27" i="95"/>
  <c r="J35" i="95"/>
  <c r="J19" i="95"/>
  <c r="J10" i="95"/>
  <c r="J17" i="99"/>
  <c r="L17" i="100"/>
  <c r="J32" i="100"/>
  <c r="L32" i="101"/>
  <c r="J36" i="100"/>
  <c r="L36" i="101"/>
  <c r="O8" i="102"/>
  <c r="Q8" i="102"/>
  <c r="O35" i="103"/>
  <c r="Q35" i="103"/>
  <c r="J6" i="95"/>
  <c r="J11" i="95"/>
  <c r="O16" i="100"/>
  <c r="Q16" i="100"/>
  <c r="J18" i="102"/>
  <c r="L18" i="103"/>
  <c r="L19" i="97"/>
  <c r="L36" i="97"/>
  <c r="L7" i="98"/>
  <c r="L19" i="98"/>
  <c r="L20" i="98"/>
  <c r="L29" i="99"/>
  <c r="L20" i="101"/>
  <c r="L9" i="97"/>
  <c r="L31" i="97"/>
  <c r="L28" i="97"/>
  <c r="L32" i="98"/>
  <c r="L22" i="98"/>
  <c r="L10" i="98"/>
  <c r="L33" i="99"/>
  <c r="L22" i="99"/>
  <c r="L9" i="99"/>
  <c r="L9" i="100"/>
  <c r="L26" i="101"/>
  <c r="L23" i="98"/>
  <c r="L16" i="99"/>
  <c r="L20" i="99"/>
  <c r="L32" i="99"/>
  <c r="L26" i="100"/>
  <c r="L11" i="101"/>
  <c r="L13" i="101"/>
  <c r="L31" i="101"/>
  <c r="L35" i="101"/>
  <c r="L12" i="103"/>
  <c r="L14" i="97"/>
  <c r="L15" i="97"/>
  <c r="L21" i="97"/>
  <c r="L35" i="97"/>
  <c r="L12" i="99"/>
  <c r="J14" i="99"/>
  <c r="L32" i="100"/>
  <c r="J29" i="95"/>
  <c r="J33" i="95"/>
  <c r="J8" i="95"/>
  <c r="J6" i="96"/>
  <c r="L6" i="97"/>
  <c r="L12" i="97"/>
  <c r="J20" i="95"/>
  <c r="J28" i="95"/>
  <c r="J36" i="95"/>
  <c r="Q30" i="97"/>
  <c r="L26" i="97"/>
  <c r="J26" i="96"/>
  <c r="J30" i="96"/>
  <c r="L30" i="97"/>
  <c r="L32" i="97"/>
  <c r="L8" i="97"/>
  <c r="O27" i="97"/>
  <c r="Q27" i="97"/>
  <c r="J21" i="98"/>
  <c r="L21" i="99"/>
  <c r="O24" i="98"/>
  <c r="Q24" i="98"/>
  <c r="J35" i="99"/>
  <c r="L35" i="100"/>
  <c r="L25" i="97"/>
  <c r="O25" i="96"/>
  <c r="Q25" i="96"/>
  <c r="O27" i="96"/>
  <c r="Q27" i="96"/>
  <c r="O28" i="96"/>
  <c r="Q28" i="96"/>
  <c r="J34" i="96"/>
  <c r="L34" i="97"/>
  <c r="L37" i="97"/>
  <c r="L7" i="102"/>
  <c r="J21" i="95"/>
  <c r="J25" i="95"/>
  <c r="J37" i="95"/>
  <c r="J16" i="95"/>
  <c r="J12" i="95"/>
  <c r="J10" i="96"/>
  <c r="L10" i="97"/>
  <c r="L18" i="97"/>
  <c r="J18" i="96"/>
  <c r="L20" i="97"/>
  <c r="J37" i="98"/>
  <c r="L37" i="99"/>
  <c r="J37" i="99"/>
  <c r="L37" i="100"/>
  <c r="J24" i="95"/>
  <c r="J32" i="95"/>
  <c r="L17" i="97"/>
  <c r="O17" i="96"/>
  <c r="Q17" i="96"/>
  <c r="O19" i="96"/>
  <c r="Q19" i="96"/>
  <c r="J28" i="97"/>
  <c r="L28" i="98"/>
  <c r="L10" i="100"/>
  <c r="J10" i="99"/>
  <c r="Q14" i="98"/>
  <c r="L6" i="98"/>
  <c r="L14" i="98"/>
  <c r="L11" i="98"/>
  <c r="L15" i="98"/>
  <c r="L21" i="98"/>
  <c r="L25" i="98"/>
  <c r="L33" i="98"/>
  <c r="L37" i="98"/>
  <c r="L22" i="100"/>
  <c r="J22" i="99"/>
  <c r="L13" i="98"/>
  <c r="L17" i="98"/>
  <c r="L29" i="98"/>
  <c r="L35" i="98"/>
  <c r="Q31" i="97"/>
  <c r="L36" i="98"/>
  <c r="L13" i="99"/>
  <c r="O16" i="97"/>
  <c r="L12" i="100"/>
  <c r="L18" i="100"/>
  <c r="J18" i="99"/>
  <c r="L9" i="101"/>
  <c r="L15" i="101"/>
  <c r="L17" i="101"/>
  <c r="L23" i="101"/>
  <c r="L25" i="101"/>
  <c r="L16" i="102"/>
  <c r="L24" i="99"/>
  <c r="L28" i="99"/>
  <c r="L6" i="100"/>
  <c r="L8" i="100"/>
  <c r="L20" i="100"/>
  <c r="L30" i="100"/>
  <c r="L34" i="100"/>
  <c r="L7" i="101"/>
  <c r="L19" i="101"/>
  <c r="Q28" i="100"/>
  <c r="O28" i="100"/>
  <c r="L29" i="101"/>
  <c r="Q15" i="103"/>
  <c r="O15" i="103"/>
  <c r="L27" i="101"/>
  <c r="L33" i="101"/>
  <c r="L24" i="102"/>
  <c r="L6" i="103"/>
  <c r="L9" i="103"/>
  <c r="L14" i="103"/>
  <c r="L17" i="103"/>
  <c r="L25" i="103"/>
  <c r="L21" i="101"/>
  <c r="L8" i="102"/>
  <c r="Q29" i="103"/>
  <c r="O29" i="103"/>
  <c r="Q13" i="103"/>
  <c r="J19" i="102"/>
  <c r="L19" i="103"/>
  <c r="J27" i="102"/>
  <c r="L27" i="103"/>
  <c r="J35" i="102"/>
  <c r="L35" i="103"/>
  <c r="L22" i="103"/>
  <c r="J11" i="102"/>
  <c r="L11" i="103"/>
  <c r="O27" i="102"/>
  <c r="Q27" i="102"/>
  <c r="J7" i="102"/>
  <c r="L7" i="103"/>
  <c r="J15" i="102"/>
  <c r="L15" i="103"/>
  <c r="J23" i="102"/>
  <c r="L23" i="103"/>
  <c r="J31" i="102"/>
  <c r="L31" i="103"/>
  <c r="L30" i="103"/>
  <c r="J14" i="101"/>
  <c r="L14" i="102"/>
  <c r="J22" i="101"/>
  <c r="L22" i="102"/>
  <c r="J30" i="101"/>
  <c r="L30" i="102"/>
  <c r="L25" i="102"/>
  <c r="L9" i="102"/>
  <c r="J10" i="101"/>
  <c r="L10" i="102"/>
  <c r="J18" i="101"/>
  <c r="L18" i="102"/>
  <c r="J26" i="101"/>
  <c r="L26" i="102"/>
  <c r="J34" i="101"/>
  <c r="L34" i="102"/>
  <c r="L29" i="102"/>
  <c r="L13" i="102"/>
  <c r="J6" i="101"/>
  <c r="L6" i="102"/>
  <c r="L10" i="101"/>
  <c r="O36" i="100"/>
  <c r="J8" i="99"/>
  <c r="J12" i="99"/>
  <c r="J16" i="99"/>
  <c r="J20" i="99"/>
  <c r="O20" i="99"/>
  <c r="J24" i="99"/>
  <c r="J28" i="99"/>
  <c r="J32" i="99"/>
  <c r="J36" i="99"/>
  <c r="O36" i="99"/>
  <c r="J30" i="99"/>
  <c r="J34" i="99"/>
  <c r="Q19" i="98"/>
  <c r="Q35" i="98"/>
  <c r="L35" i="99"/>
  <c r="L31" i="99"/>
  <c r="L27" i="99"/>
  <c r="L23" i="99"/>
  <c r="L19" i="99"/>
  <c r="L15" i="99"/>
  <c r="L11" i="99"/>
  <c r="L7" i="99"/>
  <c r="J8" i="98"/>
  <c r="J12" i="98"/>
  <c r="J16" i="98"/>
  <c r="J20" i="98"/>
  <c r="O20" i="98"/>
  <c r="J24" i="98"/>
  <c r="J28" i="98"/>
  <c r="J32" i="98"/>
  <c r="J36" i="98"/>
  <c r="Q15" i="98"/>
  <c r="Q23" i="98"/>
  <c r="Q31" i="98"/>
  <c r="Q6" i="97"/>
  <c r="O14" i="97"/>
  <c r="O22" i="97"/>
  <c r="J7" i="96"/>
  <c r="J9" i="96"/>
  <c r="J11" i="96"/>
  <c r="J13" i="96"/>
  <c r="J15" i="96"/>
  <c r="J17" i="96"/>
  <c r="J19" i="96"/>
  <c r="J21" i="96"/>
  <c r="J23" i="96"/>
  <c r="J25" i="96"/>
  <c r="J27" i="96"/>
  <c r="J29" i="96"/>
  <c r="J31" i="96"/>
  <c r="J33" i="96"/>
  <c r="J35" i="96"/>
  <c r="J37" i="96"/>
  <c r="Q36" i="95"/>
  <c r="Q25" i="99"/>
  <c r="Q29" i="96"/>
  <c r="Q25" i="100"/>
  <c r="Q11" i="102"/>
  <c r="Q20" i="97"/>
  <c r="Q34" i="97"/>
  <c r="Q18" i="98"/>
  <c r="Q35" i="102"/>
  <c r="Q9" i="96"/>
  <c r="Q6" i="101"/>
  <c r="Q10" i="98"/>
  <c r="Q33" i="100"/>
  <c r="Q35" i="101"/>
  <c r="Q15" i="102"/>
  <c r="Q31" i="103"/>
  <c r="Q32" i="95"/>
  <c r="Q33" i="96"/>
  <c r="Q37" i="97"/>
  <c r="Q14" i="100"/>
  <c r="Q25" i="101"/>
  <c r="Q7" i="103"/>
  <c r="Q23" i="103"/>
  <c r="Q15" i="96"/>
  <c r="Q10" i="97"/>
  <c r="Q25" i="97"/>
  <c r="Q26" i="98"/>
  <c r="Q21" i="101"/>
  <c r="Q31" i="102"/>
  <c r="Q31" i="96"/>
  <c r="Q18" i="97"/>
  <c r="Q21" i="97"/>
  <c r="Q26" i="97"/>
  <c r="Q33" i="97"/>
  <c r="Q36" i="97"/>
  <c r="I40" i="98"/>
  <c r="Q16" i="98"/>
  <c r="Q33" i="98"/>
  <c r="Q17" i="100"/>
  <c r="Q37" i="100"/>
  <c r="Q34" i="101"/>
  <c r="Q18" i="100"/>
  <c r="Q19" i="100"/>
  <c r="Q28" i="102"/>
  <c r="Q34" i="102"/>
  <c r="Q22" i="100"/>
  <c r="Q31" i="100"/>
  <c r="Q10" i="101"/>
  <c r="H40" i="99"/>
  <c r="Q35" i="100"/>
  <c r="Q19" i="101"/>
  <c r="Q7" i="100"/>
  <c r="Q14" i="101"/>
  <c r="Q22" i="101"/>
  <c r="Q23" i="101"/>
  <c r="Q28" i="103"/>
  <c r="Q9" i="100"/>
  <c r="Q11" i="96"/>
  <c r="Q32" i="98"/>
  <c r="Q9" i="99"/>
  <c r="Q21" i="99"/>
  <c r="Q26" i="101"/>
  <c r="Q33" i="101"/>
  <c r="Q7" i="102"/>
  <c r="Q23" i="102"/>
  <c r="Q30" i="102"/>
  <c r="Q13" i="97"/>
  <c r="Q23" i="99"/>
  <c r="Q29" i="99"/>
  <c r="Q29" i="100"/>
  <c r="Q16" i="102"/>
  <c r="Q22" i="102"/>
  <c r="Q27" i="103"/>
  <c r="P40" i="98"/>
  <c r="Q15" i="99"/>
  <c r="I40" i="97"/>
  <c r="Q12" i="97"/>
  <c r="Q17" i="97"/>
  <c r="Q29" i="97"/>
  <c r="Q17" i="98"/>
  <c r="Q34" i="98"/>
  <c r="Q33" i="99"/>
  <c r="Q8" i="103"/>
  <c r="Q11" i="103"/>
  <c r="Q37" i="99"/>
  <c r="Q7" i="97"/>
  <c r="H40" i="100"/>
  <c r="Q11" i="100"/>
  <c r="Q26" i="100"/>
  <c r="Q7" i="101"/>
  <c r="Q6" i="102"/>
  <c r="Q19" i="102"/>
  <c r="Q20" i="103"/>
  <c r="P40" i="96"/>
  <c r="P40" i="99"/>
  <c r="Q13" i="100"/>
  <c r="Q24" i="103"/>
  <c r="K40" i="96"/>
  <c r="P40" i="97"/>
  <c r="Q28" i="97"/>
  <c r="Q12" i="98"/>
  <c r="Q13" i="98"/>
  <c r="Q21" i="98"/>
  <c r="Q28" i="98"/>
  <c r="Q29" i="98"/>
  <c r="Q36" i="98"/>
  <c r="Q37" i="98"/>
  <c r="K40" i="99"/>
  <c r="Q7" i="99"/>
  <c r="Q35" i="99"/>
  <c r="Q30" i="101"/>
  <c r="Q36" i="102"/>
  <c r="I40" i="103"/>
  <c r="K40" i="100"/>
  <c r="R40" i="100"/>
  <c r="Q6" i="100"/>
  <c r="Q10" i="100"/>
  <c r="Q23" i="100"/>
  <c r="Q9" i="102"/>
  <c r="Q20" i="102"/>
  <c r="P40" i="103"/>
  <c r="P40" i="100"/>
  <c r="I40" i="100"/>
  <c r="Q13" i="102"/>
  <c r="K40" i="103"/>
  <c r="Q9" i="103"/>
  <c r="Q25" i="103"/>
  <c r="Q21" i="100"/>
  <c r="Q27" i="100"/>
  <c r="Q18" i="101"/>
  <c r="Q29" i="101"/>
  <c r="Q14" i="102"/>
  <c r="Q26" i="102"/>
  <c r="Q13" i="101"/>
  <c r="Q15" i="101"/>
  <c r="Q17" i="101"/>
  <c r="Q37" i="101"/>
  <c r="H40" i="103"/>
  <c r="H44" i="103"/>
  <c r="Q17" i="103"/>
  <c r="Q33" i="103"/>
  <c r="Q37" i="103"/>
  <c r="I40" i="99"/>
  <c r="I40" i="101"/>
  <c r="P40" i="101"/>
  <c r="H40" i="102"/>
  <c r="J40" i="104"/>
  <c r="H43" i="104"/>
  <c r="M49" i="104"/>
  <c r="O49" i="104" s="1"/>
  <c r="H44" i="104"/>
  <c r="D43" i="104"/>
  <c r="Q6" i="103"/>
  <c r="Q10" i="103"/>
  <c r="Q14" i="103"/>
  <c r="Q18" i="103"/>
  <c r="Q22" i="103"/>
  <c r="Q26" i="103"/>
  <c r="Q30" i="103"/>
  <c r="Q34" i="103"/>
  <c r="R40" i="103"/>
  <c r="K40" i="102"/>
  <c r="P40" i="102"/>
  <c r="Q18" i="102"/>
  <c r="Q25" i="102"/>
  <c r="Q37" i="102"/>
  <c r="R40" i="102"/>
  <c r="Q29" i="102"/>
  <c r="Q33" i="102"/>
  <c r="I40" i="102"/>
  <c r="Q10" i="102"/>
  <c r="Q8" i="101"/>
  <c r="R40" i="101"/>
  <c r="Q32" i="101"/>
  <c r="Q36" i="101"/>
  <c r="K40" i="101"/>
  <c r="Q24" i="101"/>
  <c r="Q28" i="101"/>
  <c r="Q12" i="101"/>
  <c r="Q20" i="101"/>
  <c r="H40" i="101"/>
  <c r="Q9" i="101"/>
  <c r="Q16" i="101"/>
  <c r="Q30" i="100"/>
  <c r="Q34" i="100"/>
  <c r="Q6" i="99"/>
  <c r="Q10" i="99"/>
  <c r="Q14" i="99"/>
  <c r="Q18" i="99"/>
  <c r="Q22" i="99"/>
  <c r="Q26" i="99"/>
  <c r="Q30" i="99"/>
  <c r="Q34" i="99"/>
  <c r="R40" i="99"/>
  <c r="Q7" i="98"/>
  <c r="R40" i="98"/>
  <c r="H40" i="98"/>
  <c r="K40" i="98"/>
  <c r="Q9" i="98"/>
  <c r="Q25" i="98"/>
  <c r="K40" i="97"/>
  <c r="Q8" i="97"/>
  <c r="Q9" i="97"/>
  <c r="Q32" i="97"/>
  <c r="H40" i="97"/>
  <c r="R40" i="97"/>
  <c r="Q24" i="97"/>
  <c r="Q10" i="96"/>
  <c r="Q18" i="96"/>
  <c r="H40" i="96"/>
  <c r="R40" i="96"/>
  <c r="Q6" i="96"/>
  <c r="Q16" i="96"/>
  <c r="Q8" i="96"/>
  <c r="Q14" i="96"/>
  <c r="Q24" i="96"/>
  <c r="I40" i="96"/>
  <c r="Q12" i="96"/>
  <c r="Q20" i="96"/>
  <c r="Q22" i="96"/>
  <c r="Q26" i="96"/>
  <c r="Q30" i="96"/>
  <c r="Q34" i="96"/>
  <c r="O28" i="95"/>
  <c r="Q23" i="95"/>
  <c r="Q10" i="95"/>
  <c r="Q18" i="95"/>
  <c r="Q19" i="95"/>
  <c r="Q24" i="95"/>
  <c r="Q12" i="95"/>
  <c r="Q16" i="95"/>
  <c r="Q22" i="95"/>
  <c r="Q11" i="95"/>
  <c r="Q14" i="95"/>
  <c r="Q27" i="95"/>
  <c r="Q8" i="95"/>
  <c r="H40" i="95"/>
  <c r="R40" i="95"/>
  <c r="Q15" i="95"/>
  <c r="Q20" i="95"/>
  <c r="Q26" i="95"/>
  <c r="Q31" i="95"/>
  <c r="I40" i="95"/>
  <c r="P40" i="95"/>
  <c r="K40" i="95"/>
  <c r="Q6" i="95"/>
  <c r="Q7" i="95"/>
  <c r="Q35" i="95"/>
  <c r="Q9" i="95"/>
  <c r="Q13" i="95"/>
  <c r="Q17" i="95"/>
  <c r="Q21" i="95"/>
  <c r="Q25" i="95"/>
  <c r="Q29" i="95"/>
  <c r="Q33" i="95"/>
  <c r="Q37" i="95"/>
  <c r="Q30" i="95"/>
  <c r="Q34" i="95"/>
  <c r="H43" i="97" l="1"/>
  <c r="M43" i="99"/>
  <c r="M43" i="102"/>
  <c r="M43" i="100"/>
  <c r="H44" i="102"/>
  <c r="M43" i="96"/>
  <c r="M43" i="101"/>
  <c r="M43" i="97"/>
  <c r="M43" i="95"/>
  <c r="M43" i="98"/>
  <c r="M43" i="103"/>
  <c r="H44" i="95"/>
  <c r="J40" i="102"/>
  <c r="J40" i="97"/>
  <c r="H43" i="98"/>
  <c r="H43" i="102"/>
  <c r="H44" i="97"/>
  <c r="H44" i="98"/>
  <c r="J40" i="98"/>
  <c r="I43" i="103"/>
  <c r="I44" i="97"/>
  <c r="H43" i="103"/>
  <c r="H46" i="103" s="1"/>
  <c r="J40" i="103"/>
  <c r="O43" i="97"/>
  <c r="O40" i="100"/>
  <c r="I44" i="102"/>
  <c r="O40" i="101"/>
  <c r="O40" i="97"/>
  <c r="I44" i="98"/>
  <c r="I43" i="99"/>
  <c r="I44" i="100"/>
  <c r="O43" i="101"/>
  <c r="I43" i="102"/>
  <c r="O40" i="104"/>
  <c r="O40" i="99"/>
  <c r="O40" i="98"/>
  <c r="Q40" i="98"/>
  <c r="Q40" i="97"/>
  <c r="I44" i="101"/>
  <c r="Q40" i="102"/>
  <c r="H46" i="104"/>
  <c r="I43" i="104"/>
  <c r="I44" i="104"/>
  <c r="D46" i="104"/>
  <c r="I44" i="103"/>
  <c r="O43" i="103"/>
  <c r="Q40" i="103"/>
  <c r="O40" i="103"/>
  <c r="O43" i="102"/>
  <c r="O40" i="102"/>
  <c r="H43" i="101"/>
  <c r="J40" i="101"/>
  <c r="H44" i="101"/>
  <c r="I43" i="101"/>
  <c r="Q40" i="101"/>
  <c r="I43" i="100"/>
  <c r="Q40" i="100"/>
  <c r="O43" i="100"/>
  <c r="H44" i="100"/>
  <c r="H43" i="100"/>
  <c r="J40" i="100"/>
  <c r="I44" i="99"/>
  <c r="H44" i="99"/>
  <c r="H43" i="99"/>
  <c r="J40" i="99"/>
  <c r="O43" i="99"/>
  <c r="Q40" i="99"/>
  <c r="O43" i="98"/>
  <c r="I43" i="98"/>
  <c r="I43" i="97"/>
  <c r="I44" i="96"/>
  <c r="I43" i="96"/>
  <c r="O40" i="96"/>
  <c r="O43" i="96"/>
  <c r="Q40" i="96"/>
  <c r="H44" i="96"/>
  <c r="H43" i="96"/>
  <c r="J40" i="96"/>
  <c r="J40" i="95"/>
  <c r="H43" i="95"/>
  <c r="Q40" i="95"/>
  <c r="O43" i="95"/>
  <c r="I44" i="95"/>
  <c r="I43" i="95"/>
  <c r="O40" i="95"/>
  <c r="H46" i="97" l="1"/>
  <c r="H46" i="98"/>
  <c r="H46" i="102"/>
  <c r="H46" i="95"/>
  <c r="I46" i="103"/>
  <c r="I46" i="102"/>
  <c r="H46" i="96"/>
  <c r="I46" i="97"/>
  <c r="I46" i="101"/>
  <c r="I46" i="99"/>
  <c r="I46" i="98"/>
  <c r="I46" i="104"/>
  <c r="I46" i="96"/>
  <c r="I46" i="100"/>
  <c r="H46" i="101"/>
  <c r="H46" i="100"/>
  <c r="H46" i="99"/>
  <c r="I46" i="95"/>
  <c r="R37" i="94" l="1"/>
  <c r="O37" i="94" s="1"/>
  <c r="P37" i="94"/>
  <c r="K37" i="94"/>
  <c r="R36" i="94"/>
  <c r="O36" i="94" s="1"/>
  <c r="P36" i="94"/>
  <c r="K36" i="94"/>
  <c r="R35" i="94"/>
  <c r="O35" i="94" s="1"/>
  <c r="P35" i="94"/>
  <c r="K35" i="94"/>
  <c r="R34" i="94"/>
  <c r="O34" i="94" s="1"/>
  <c r="P34" i="94"/>
  <c r="K34" i="94"/>
  <c r="R33" i="94"/>
  <c r="O33" i="94" s="1"/>
  <c r="P33" i="94"/>
  <c r="K33" i="94"/>
  <c r="R32" i="94"/>
  <c r="O32" i="94" s="1"/>
  <c r="P32" i="94"/>
  <c r="K32" i="94"/>
  <c r="R31" i="94"/>
  <c r="O31" i="94" s="1"/>
  <c r="P31" i="94"/>
  <c r="K31" i="94"/>
  <c r="R30" i="94"/>
  <c r="O30" i="94" s="1"/>
  <c r="P30" i="94"/>
  <c r="K30" i="94"/>
  <c r="R29" i="94"/>
  <c r="O29" i="94" s="1"/>
  <c r="P29" i="94"/>
  <c r="K29" i="94"/>
  <c r="R28" i="94"/>
  <c r="O28" i="94" s="1"/>
  <c r="P28" i="94"/>
  <c r="K28" i="94"/>
  <c r="R27" i="94"/>
  <c r="O27" i="94" s="1"/>
  <c r="P27" i="94"/>
  <c r="K27" i="94"/>
  <c r="R26" i="94"/>
  <c r="O26" i="94" s="1"/>
  <c r="P26" i="94"/>
  <c r="K26" i="94"/>
  <c r="R25" i="94"/>
  <c r="O25" i="94" s="1"/>
  <c r="P25" i="94"/>
  <c r="K25" i="94"/>
  <c r="R24" i="94"/>
  <c r="O24" i="94" s="1"/>
  <c r="P24" i="94"/>
  <c r="K24" i="94"/>
  <c r="R23" i="94"/>
  <c r="O23" i="94" s="1"/>
  <c r="P23" i="94"/>
  <c r="K23" i="94"/>
  <c r="R22" i="94"/>
  <c r="O22" i="94" s="1"/>
  <c r="P22" i="94"/>
  <c r="K22" i="94"/>
  <c r="R21" i="94"/>
  <c r="O21" i="94" s="1"/>
  <c r="P21" i="94"/>
  <c r="K21" i="94"/>
  <c r="R20" i="94"/>
  <c r="O20" i="94" s="1"/>
  <c r="P20" i="94"/>
  <c r="K20" i="94"/>
  <c r="R19" i="94"/>
  <c r="O19" i="94" s="1"/>
  <c r="P19" i="94"/>
  <c r="K19" i="94"/>
  <c r="R18" i="94"/>
  <c r="O18" i="94" s="1"/>
  <c r="P18" i="94"/>
  <c r="K18" i="94"/>
  <c r="R17" i="94"/>
  <c r="O17" i="94" s="1"/>
  <c r="P17" i="94"/>
  <c r="K17" i="94"/>
  <c r="R16" i="94"/>
  <c r="O16" i="94" s="1"/>
  <c r="P16" i="94"/>
  <c r="K16" i="94"/>
  <c r="R15" i="94"/>
  <c r="O15" i="94" s="1"/>
  <c r="P15" i="94"/>
  <c r="K15" i="94"/>
  <c r="R14" i="94"/>
  <c r="O14" i="94" s="1"/>
  <c r="P14" i="94"/>
  <c r="K14" i="94"/>
  <c r="R13" i="94"/>
  <c r="O13" i="94" s="1"/>
  <c r="P13" i="94"/>
  <c r="K13" i="94"/>
  <c r="R12" i="94"/>
  <c r="O12" i="94" s="1"/>
  <c r="P12" i="94"/>
  <c r="K12" i="94"/>
  <c r="R11" i="94"/>
  <c r="O11" i="94" s="1"/>
  <c r="P11" i="94"/>
  <c r="K11" i="94"/>
  <c r="R10" i="94"/>
  <c r="O10" i="94" s="1"/>
  <c r="P10" i="94"/>
  <c r="K10" i="94"/>
  <c r="R9" i="94"/>
  <c r="O9" i="94" s="1"/>
  <c r="P9" i="94"/>
  <c r="K9" i="94"/>
  <c r="R8" i="94"/>
  <c r="O8" i="94" s="1"/>
  <c r="P8" i="94"/>
  <c r="K8" i="94"/>
  <c r="R7" i="94"/>
  <c r="O7" i="94" s="1"/>
  <c r="P7" i="94"/>
  <c r="K7" i="94"/>
  <c r="R6" i="94"/>
  <c r="O6" i="94" s="1"/>
  <c r="P6" i="94"/>
  <c r="K6" i="94"/>
  <c r="I7" i="94"/>
  <c r="I8" i="94"/>
  <c r="I9" i="94"/>
  <c r="I10" i="94"/>
  <c r="I11" i="94"/>
  <c r="I12" i="94"/>
  <c r="I13" i="94"/>
  <c r="I14" i="94"/>
  <c r="I15" i="94"/>
  <c r="I16" i="94"/>
  <c r="I17" i="94"/>
  <c r="I18" i="94"/>
  <c r="I19" i="94"/>
  <c r="I20" i="94"/>
  <c r="I21" i="94"/>
  <c r="I22" i="94"/>
  <c r="I23" i="94"/>
  <c r="I24" i="94"/>
  <c r="I25" i="94"/>
  <c r="I26" i="94"/>
  <c r="I27" i="94"/>
  <c r="I28" i="94"/>
  <c r="I29" i="94"/>
  <c r="I30" i="94"/>
  <c r="I31" i="94"/>
  <c r="I32" i="94"/>
  <c r="I33" i="94"/>
  <c r="I34" i="94"/>
  <c r="I35" i="94"/>
  <c r="I36" i="94"/>
  <c r="I37" i="94"/>
  <c r="I6" i="94"/>
  <c r="H7" i="94"/>
  <c r="L7" i="95" s="1"/>
  <c r="H8" i="94"/>
  <c r="H9" i="94"/>
  <c r="L9" i="95" s="1"/>
  <c r="H10" i="94"/>
  <c r="L10" i="95" s="1"/>
  <c r="H11" i="94"/>
  <c r="H12" i="94"/>
  <c r="H13" i="94"/>
  <c r="H14" i="94"/>
  <c r="H15" i="94"/>
  <c r="H16" i="94"/>
  <c r="H17" i="94"/>
  <c r="H18" i="94"/>
  <c r="H19" i="94"/>
  <c r="H20" i="94"/>
  <c r="H21" i="94"/>
  <c r="H22" i="94"/>
  <c r="H23" i="94"/>
  <c r="H24" i="94"/>
  <c r="H25" i="94"/>
  <c r="H26" i="94"/>
  <c r="H27" i="94"/>
  <c r="H28" i="94"/>
  <c r="H29" i="94"/>
  <c r="H30" i="94"/>
  <c r="H31" i="94"/>
  <c r="H32" i="94"/>
  <c r="H33" i="94"/>
  <c r="H34" i="94"/>
  <c r="H35" i="94"/>
  <c r="H36" i="94"/>
  <c r="H37" i="94"/>
  <c r="H6" i="94"/>
  <c r="L6" i="95" s="1"/>
  <c r="J37" i="94" l="1"/>
  <c r="L37" i="95"/>
  <c r="J29" i="94"/>
  <c r="L29" i="95"/>
  <c r="J21" i="94"/>
  <c r="L21" i="95"/>
  <c r="J13" i="94"/>
  <c r="L13" i="95"/>
  <c r="J36" i="94"/>
  <c r="L36" i="95"/>
  <c r="J28" i="94"/>
  <c r="L28" i="95"/>
  <c r="J20" i="94"/>
  <c r="L20" i="95"/>
  <c r="J35" i="94"/>
  <c r="L35" i="95"/>
  <c r="J34" i="94"/>
  <c r="L34" i="95"/>
  <c r="J30" i="94"/>
  <c r="L30" i="95"/>
  <c r="J26" i="94"/>
  <c r="L26" i="95"/>
  <c r="J22" i="94"/>
  <c r="L22" i="95"/>
  <c r="J18" i="94"/>
  <c r="L18" i="95"/>
  <c r="J14" i="94"/>
  <c r="L14" i="95"/>
  <c r="J33" i="94"/>
  <c r="L33" i="95"/>
  <c r="J25" i="94"/>
  <c r="L25" i="95"/>
  <c r="J17" i="94"/>
  <c r="L17" i="95"/>
  <c r="J32" i="94"/>
  <c r="L32" i="95"/>
  <c r="J24" i="94"/>
  <c r="L24" i="95"/>
  <c r="J16" i="94"/>
  <c r="L16" i="95"/>
  <c r="J12" i="94"/>
  <c r="L12" i="95"/>
  <c r="J8" i="94"/>
  <c r="L8" i="95"/>
  <c r="J31" i="94"/>
  <c r="L31" i="95"/>
  <c r="J27" i="94"/>
  <c r="L27" i="95"/>
  <c r="J23" i="94"/>
  <c r="L23" i="95"/>
  <c r="J19" i="94"/>
  <c r="L19" i="95"/>
  <c r="J15" i="94"/>
  <c r="L15" i="95"/>
  <c r="J11" i="94"/>
  <c r="L11" i="95"/>
  <c r="J6" i="94"/>
  <c r="J7" i="94"/>
  <c r="J9" i="94"/>
  <c r="J10" i="94"/>
  <c r="C37" i="94" l="1"/>
  <c r="Q36" i="94"/>
  <c r="C36" i="94"/>
  <c r="C35" i="94"/>
  <c r="C34" i="94"/>
  <c r="C33" i="94"/>
  <c r="Q32" i="94"/>
  <c r="C32" i="94"/>
  <c r="C31" i="94"/>
  <c r="C30" i="94"/>
  <c r="C29" i="94"/>
  <c r="Q28" i="94"/>
  <c r="C28" i="94"/>
  <c r="C27" i="94"/>
  <c r="C26" i="94"/>
  <c r="Q25" i="94"/>
  <c r="C25" i="94"/>
  <c r="Q24" i="94"/>
  <c r="C24" i="94"/>
  <c r="C23" i="94"/>
  <c r="C22" i="94"/>
  <c r="C21" i="94"/>
  <c r="Q20" i="94"/>
  <c r="C20" i="94"/>
  <c r="C19" i="94"/>
  <c r="C18" i="94"/>
  <c r="Q17" i="94"/>
  <c r="C17" i="94"/>
  <c r="C16" i="94"/>
  <c r="C15" i="94"/>
  <c r="Q14" i="94"/>
  <c r="C14" i="94"/>
  <c r="Q13" i="94"/>
  <c r="C13" i="94"/>
  <c r="C12" i="94"/>
  <c r="C11" i="94"/>
  <c r="Q10" i="94"/>
  <c r="C10" i="94"/>
  <c r="Q9" i="94"/>
  <c r="C9" i="94"/>
  <c r="C8" i="94"/>
  <c r="C7" i="94"/>
  <c r="C6" i="94"/>
  <c r="C3" i="94"/>
  <c r="Q6" i="94" s="1"/>
  <c r="Q21" i="94" l="1"/>
  <c r="Q15" i="94"/>
  <c r="Q27" i="94"/>
  <c r="H40" i="94"/>
  <c r="Q35" i="94"/>
  <c r="Q11" i="94"/>
  <c r="Q34" i="94"/>
  <c r="J40" i="94"/>
  <c r="Q8" i="94"/>
  <c r="Q19" i="94"/>
  <c r="Q12" i="94"/>
  <c r="Q16" i="94"/>
  <c r="Q23" i="94"/>
  <c r="I40" i="94"/>
  <c r="Q30" i="94"/>
  <c r="Q31" i="94"/>
  <c r="Q37" i="94"/>
  <c r="P40" i="94"/>
  <c r="Q7" i="94"/>
  <c r="Q18" i="94"/>
  <c r="Q22" i="94"/>
  <c r="Q26" i="94"/>
  <c r="H44" i="94"/>
  <c r="R40" i="94"/>
  <c r="Q29" i="94"/>
  <c r="Q33" i="94"/>
  <c r="H43" i="94"/>
  <c r="K40" i="94"/>
  <c r="R37" i="93"/>
  <c r="O37" i="93" s="1"/>
  <c r="P37" i="93"/>
  <c r="K37" i="93"/>
  <c r="I37" i="93"/>
  <c r="H37" i="93"/>
  <c r="R36" i="93"/>
  <c r="O36" i="93" s="1"/>
  <c r="P36" i="93"/>
  <c r="K36" i="93"/>
  <c r="I36" i="93"/>
  <c r="H36" i="93"/>
  <c r="R35" i="93"/>
  <c r="O35" i="93" s="1"/>
  <c r="P35" i="93"/>
  <c r="K35" i="93"/>
  <c r="I35" i="93"/>
  <c r="H35" i="93"/>
  <c r="R34" i="93"/>
  <c r="O34" i="93" s="1"/>
  <c r="P34" i="93"/>
  <c r="K34" i="93"/>
  <c r="I34" i="93"/>
  <c r="H34" i="93"/>
  <c r="R33" i="93"/>
  <c r="O33" i="93" s="1"/>
  <c r="P33" i="93"/>
  <c r="K33" i="93"/>
  <c r="I33" i="93"/>
  <c r="H33" i="93"/>
  <c r="R32" i="93"/>
  <c r="O32" i="93" s="1"/>
  <c r="P32" i="93"/>
  <c r="K32" i="93"/>
  <c r="I32" i="93"/>
  <c r="H32" i="93"/>
  <c r="R31" i="93"/>
  <c r="O31" i="93" s="1"/>
  <c r="P31" i="93"/>
  <c r="K31" i="93"/>
  <c r="I31" i="93"/>
  <c r="H31" i="93"/>
  <c r="R30" i="93"/>
  <c r="O30" i="93" s="1"/>
  <c r="P30" i="93"/>
  <c r="K30" i="93"/>
  <c r="I30" i="93"/>
  <c r="H30" i="93"/>
  <c r="R29" i="93"/>
  <c r="Q29" i="93" s="1"/>
  <c r="P29" i="93"/>
  <c r="K29" i="93"/>
  <c r="I29" i="93"/>
  <c r="H29" i="93"/>
  <c r="R28" i="93"/>
  <c r="O28" i="93" s="1"/>
  <c r="P28" i="93"/>
  <c r="K28" i="93"/>
  <c r="I28" i="93"/>
  <c r="H28" i="93"/>
  <c r="R27" i="93"/>
  <c r="O27" i="93" s="1"/>
  <c r="P27" i="93"/>
  <c r="K27" i="93"/>
  <c r="I27" i="93"/>
  <c r="H27" i="93"/>
  <c r="R26" i="93"/>
  <c r="O26" i="93" s="1"/>
  <c r="P26" i="93"/>
  <c r="K26" i="93"/>
  <c r="I26" i="93"/>
  <c r="H26" i="93"/>
  <c r="R25" i="93"/>
  <c r="O25" i="93" s="1"/>
  <c r="P25" i="93"/>
  <c r="K25" i="93"/>
  <c r="I25" i="93"/>
  <c r="H25" i="93"/>
  <c r="R24" i="93"/>
  <c r="O24" i="93" s="1"/>
  <c r="P24" i="93"/>
  <c r="K24" i="93"/>
  <c r="I24" i="93"/>
  <c r="H24" i="93"/>
  <c r="R23" i="93"/>
  <c r="O23" i="93" s="1"/>
  <c r="P23" i="93"/>
  <c r="K23" i="93"/>
  <c r="I23" i="93"/>
  <c r="H23" i="93"/>
  <c r="R22" i="93"/>
  <c r="O22" i="93" s="1"/>
  <c r="P22" i="93"/>
  <c r="K22" i="93"/>
  <c r="I22" i="93"/>
  <c r="H22" i="93"/>
  <c r="R21" i="93"/>
  <c r="O21" i="93" s="1"/>
  <c r="P21" i="93"/>
  <c r="K21" i="93"/>
  <c r="I21" i="93"/>
  <c r="H21" i="93"/>
  <c r="R20" i="93"/>
  <c r="O20" i="93" s="1"/>
  <c r="P20" i="93"/>
  <c r="K20" i="93"/>
  <c r="I20" i="93"/>
  <c r="H20" i="93"/>
  <c r="R19" i="93"/>
  <c r="O19" i="93" s="1"/>
  <c r="P19" i="93"/>
  <c r="K19" i="93"/>
  <c r="I19" i="93"/>
  <c r="H19" i="93"/>
  <c r="R18" i="93"/>
  <c r="O18" i="93" s="1"/>
  <c r="P18" i="93"/>
  <c r="K18" i="93"/>
  <c r="I18" i="93"/>
  <c r="H18" i="93"/>
  <c r="R17" i="93"/>
  <c r="O17" i="93" s="1"/>
  <c r="P17" i="93"/>
  <c r="K17" i="93"/>
  <c r="I17" i="93"/>
  <c r="H17" i="93"/>
  <c r="R16" i="93"/>
  <c r="O16" i="93" s="1"/>
  <c r="P16" i="93"/>
  <c r="K16" i="93"/>
  <c r="I16" i="93"/>
  <c r="H16" i="93"/>
  <c r="R15" i="93"/>
  <c r="O15" i="93" s="1"/>
  <c r="P15" i="93"/>
  <c r="K15" i="93"/>
  <c r="I15" i="93"/>
  <c r="H15" i="93"/>
  <c r="R14" i="93"/>
  <c r="O14" i="93" s="1"/>
  <c r="P14" i="93"/>
  <c r="K14" i="93"/>
  <c r="I14" i="93"/>
  <c r="H14" i="93"/>
  <c r="R13" i="93"/>
  <c r="O13" i="93" s="1"/>
  <c r="P13" i="93"/>
  <c r="K13" i="93"/>
  <c r="I13" i="93"/>
  <c r="H13" i="93"/>
  <c r="R12" i="93"/>
  <c r="O12" i="93" s="1"/>
  <c r="P12" i="93"/>
  <c r="K12" i="93"/>
  <c r="I12" i="93"/>
  <c r="H12" i="93"/>
  <c r="R11" i="93"/>
  <c r="O11" i="93" s="1"/>
  <c r="P11" i="93"/>
  <c r="K11" i="93"/>
  <c r="I11" i="93"/>
  <c r="H11" i="93"/>
  <c r="R10" i="93"/>
  <c r="O10" i="93" s="1"/>
  <c r="P10" i="93"/>
  <c r="K10" i="93"/>
  <c r="I10" i="93"/>
  <c r="H10" i="93"/>
  <c r="R9" i="93"/>
  <c r="O9" i="93" s="1"/>
  <c r="P9" i="93"/>
  <c r="K9" i="93"/>
  <c r="I9" i="93"/>
  <c r="H9" i="93"/>
  <c r="R8" i="93"/>
  <c r="O8" i="93" s="1"/>
  <c r="P8" i="93"/>
  <c r="K8" i="93"/>
  <c r="I8" i="93"/>
  <c r="H8" i="93"/>
  <c r="R7" i="93"/>
  <c r="O7" i="93" s="1"/>
  <c r="P7" i="93"/>
  <c r="K7" i="93"/>
  <c r="I7" i="93"/>
  <c r="H7" i="93"/>
  <c r="R6" i="93"/>
  <c r="O6" i="93" s="1"/>
  <c r="P6" i="93"/>
  <c r="K6" i="93"/>
  <c r="I6" i="93"/>
  <c r="H6" i="93"/>
  <c r="C37" i="93"/>
  <c r="C36" i="93"/>
  <c r="C35" i="93"/>
  <c r="C34" i="93"/>
  <c r="C33" i="93"/>
  <c r="C32" i="93"/>
  <c r="C31" i="93"/>
  <c r="C30" i="93"/>
  <c r="C29" i="93"/>
  <c r="C28" i="93"/>
  <c r="C27" i="93"/>
  <c r="C26" i="93"/>
  <c r="C25" i="93"/>
  <c r="C24" i="93"/>
  <c r="C23" i="93"/>
  <c r="C22" i="93"/>
  <c r="C21" i="93"/>
  <c r="C20" i="93"/>
  <c r="C19" i="93"/>
  <c r="C18" i="93"/>
  <c r="C17" i="93"/>
  <c r="C16" i="93"/>
  <c r="C15" i="93"/>
  <c r="C14" i="93"/>
  <c r="C13" i="93"/>
  <c r="C12" i="93"/>
  <c r="C11" i="93"/>
  <c r="C10" i="93"/>
  <c r="C9" i="93"/>
  <c r="C8" i="93"/>
  <c r="C7" i="93"/>
  <c r="C6" i="93"/>
  <c r="C3" i="93"/>
  <c r="L31" i="94" l="1"/>
  <c r="L35" i="94"/>
  <c r="L8" i="94"/>
  <c r="L12" i="94"/>
  <c r="L16" i="94"/>
  <c r="L19" i="94"/>
  <c r="L6" i="94"/>
  <c r="L10" i="94"/>
  <c r="L14" i="94"/>
  <c r="L21" i="94"/>
  <c r="L25" i="94"/>
  <c r="L29" i="94"/>
  <c r="L33" i="94"/>
  <c r="L37" i="94"/>
  <c r="L22" i="94"/>
  <c r="L26" i="94"/>
  <c r="L24" i="94"/>
  <c r="L7" i="94"/>
  <c r="L11" i="94"/>
  <c r="L15" i="94"/>
  <c r="L18" i="94"/>
  <c r="L30" i="94"/>
  <c r="L34" i="94"/>
  <c r="L23" i="94"/>
  <c r="L27" i="94"/>
  <c r="L9" i="94"/>
  <c r="L13" i="94"/>
  <c r="L17" i="94"/>
  <c r="L20" i="94"/>
  <c r="L28" i="94"/>
  <c r="L32" i="94"/>
  <c r="L36" i="94"/>
  <c r="O43" i="94"/>
  <c r="M43" i="94"/>
  <c r="J21" i="93"/>
  <c r="J11" i="93"/>
  <c r="J18" i="93"/>
  <c r="J26" i="93"/>
  <c r="J30" i="93"/>
  <c r="J34" i="93"/>
  <c r="J9" i="93"/>
  <c r="J13" i="93"/>
  <c r="J24" i="93"/>
  <c r="J28" i="93"/>
  <c r="J32" i="93"/>
  <c r="J36" i="93"/>
  <c r="J6" i="93"/>
  <c r="J7" i="93"/>
  <c r="J15" i="93"/>
  <c r="J22" i="93"/>
  <c r="J8" i="93"/>
  <c r="J12" i="93"/>
  <c r="J16" i="93"/>
  <c r="J19" i="93"/>
  <c r="J23" i="93"/>
  <c r="J27" i="93"/>
  <c r="J31" i="93"/>
  <c r="J35" i="93"/>
  <c r="J17" i="93"/>
  <c r="J20" i="93"/>
  <c r="J10" i="93"/>
  <c r="J14" i="93"/>
  <c r="J25" i="93"/>
  <c r="J29" i="93"/>
  <c r="J33" i="93"/>
  <c r="J37" i="93"/>
  <c r="H46" i="94"/>
  <c r="Q40" i="94"/>
  <c r="I44" i="94"/>
  <c r="O40" i="94"/>
  <c r="I43" i="94"/>
  <c r="Q33" i="93"/>
  <c r="Q12" i="93"/>
  <c r="Q37" i="93"/>
  <c r="Q10" i="93"/>
  <c r="Q19" i="93"/>
  <c r="Q8" i="93"/>
  <c r="Q23" i="93"/>
  <c r="Q30" i="93"/>
  <c r="Q36" i="93"/>
  <c r="Q13" i="93"/>
  <c r="Q28" i="93"/>
  <c r="Q9" i="93"/>
  <c r="Q26" i="93"/>
  <c r="Q34" i="93"/>
  <c r="I40" i="93"/>
  <c r="K40" i="93"/>
  <c r="Q32" i="93"/>
  <c r="P40" i="93"/>
  <c r="O29" i="93"/>
  <c r="O40" i="93" s="1"/>
  <c r="Q7" i="93"/>
  <c r="Q11" i="93"/>
  <c r="Q16" i="93"/>
  <c r="Q27" i="93"/>
  <c r="Q31" i="93"/>
  <c r="Q35" i="93"/>
  <c r="R40" i="93"/>
  <c r="Q14" i="93"/>
  <c r="Q21" i="93"/>
  <c r="Q25" i="93"/>
  <c r="Q15" i="93"/>
  <c r="Q18" i="93"/>
  <c r="Q22" i="93"/>
  <c r="H40" i="93"/>
  <c r="Q6" i="93"/>
  <c r="Q17" i="93"/>
  <c r="Q20" i="93"/>
  <c r="Q24" i="93"/>
  <c r="R18" i="92"/>
  <c r="P18" i="92"/>
  <c r="K18" i="92"/>
  <c r="I18" i="92"/>
  <c r="H18" i="92"/>
  <c r="C18" i="92"/>
  <c r="K18" i="104" l="1"/>
  <c r="P18" i="104"/>
  <c r="H18" i="104"/>
  <c r="I18" i="104"/>
  <c r="E17" i="105" s="1"/>
  <c r="Q18" i="92"/>
  <c r="R18" i="104"/>
  <c r="G17" i="105" s="1"/>
  <c r="H17" i="105" s="1"/>
  <c r="L40" i="101"/>
  <c r="L40" i="100"/>
  <c r="L40" i="103"/>
  <c r="L40" i="97"/>
  <c r="L40" i="99"/>
  <c r="L40" i="96"/>
  <c r="L40" i="98"/>
  <c r="L40" i="102"/>
  <c r="L40" i="95"/>
  <c r="H44" i="93"/>
  <c r="J40" i="93"/>
  <c r="H43" i="93"/>
  <c r="I46" i="94"/>
  <c r="I43" i="93"/>
  <c r="J18" i="92"/>
  <c r="L18" i="93"/>
  <c r="I44" i="93"/>
  <c r="O43" i="93"/>
  <c r="Q40" i="93"/>
  <c r="M43" i="93"/>
  <c r="O18" i="92"/>
  <c r="Q18" i="104" l="1"/>
  <c r="F17" i="105" s="1"/>
  <c r="L18" i="104"/>
  <c r="H46" i="93"/>
  <c r="I46" i="93"/>
  <c r="R32" i="92"/>
  <c r="P32" i="92"/>
  <c r="K32" i="92"/>
  <c r="I32" i="92"/>
  <c r="H32" i="92"/>
  <c r="C32" i="92"/>
  <c r="R36" i="92"/>
  <c r="P36" i="92"/>
  <c r="K36" i="92"/>
  <c r="I36" i="92"/>
  <c r="H36" i="92"/>
  <c r="C36" i="92"/>
  <c r="K36" i="104" l="1"/>
  <c r="P32" i="104"/>
  <c r="P36" i="104"/>
  <c r="H32" i="104"/>
  <c r="H36" i="104"/>
  <c r="I32" i="104"/>
  <c r="E31" i="105" s="1"/>
  <c r="I36" i="104"/>
  <c r="E35" i="105" s="1"/>
  <c r="K32" i="104"/>
  <c r="O32" i="92"/>
  <c r="R32" i="104"/>
  <c r="G31" i="105" s="1"/>
  <c r="H31" i="105" s="1"/>
  <c r="O36" i="92"/>
  <c r="R36" i="104"/>
  <c r="G35" i="105" s="1"/>
  <c r="H35" i="105" s="1"/>
  <c r="J32" i="92"/>
  <c r="L32" i="93"/>
  <c r="J36" i="92"/>
  <c r="L36" i="93"/>
  <c r="Q32" i="92"/>
  <c r="Q36" i="92"/>
  <c r="Q36" i="104" l="1"/>
  <c r="F35" i="105" s="1"/>
  <c r="Q32" i="104"/>
  <c r="F31" i="105" s="1"/>
  <c r="L36" i="104"/>
  <c r="L32" i="104"/>
  <c r="C7" i="92"/>
  <c r="C8" i="92"/>
  <c r="C9" i="92"/>
  <c r="C10" i="92"/>
  <c r="C11" i="92"/>
  <c r="C12" i="92"/>
  <c r="C13" i="92"/>
  <c r="C14" i="92"/>
  <c r="C15" i="92"/>
  <c r="C16" i="92"/>
  <c r="C17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3" i="92"/>
  <c r="C34" i="92"/>
  <c r="C35" i="92"/>
  <c r="C37" i="92"/>
  <c r="R7" i="92" l="1"/>
  <c r="R8" i="92"/>
  <c r="R9" i="92"/>
  <c r="R10" i="92"/>
  <c r="R11" i="92"/>
  <c r="R12" i="92"/>
  <c r="R13" i="92"/>
  <c r="R14" i="92"/>
  <c r="R15" i="92"/>
  <c r="R16" i="92"/>
  <c r="R17" i="92"/>
  <c r="R19" i="92"/>
  <c r="R20" i="92"/>
  <c r="R21" i="92"/>
  <c r="R22" i="92"/>
  <c r="R23" i="92"/>
  <c r="R24" i="92"/>
  <c r="R25" i="92"/>
  <c r="R26" i="92"/>
  <c r="R27" i="92"/>
  <c r="R28" i="92"/>
  <c r="R29" i="92"/>
  <c r="R30" i="92"/>
  <c r="R31" i="92"/>
  <c r="R33" i="92"/>
  <c r="R34" i="92"/>
  <c r="R35" i="92"/>
  <c r="R37" i="92"/>
  <c r="P7" i="92"/>
  <c r="P8" i="92"/>
  <c r="P9" i="92"/>
  <c r="P10" i="92"/>
  <c r="P11" i="92"/>
  <c r="P12" i="92"/>
  <c r="P13" i="92"/>
  <c r="P14" i="92"/>
  <c r="P15" i="92"/>
  <c r="P16" i="92"/>
  <c r="P17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3" i="92"/>
  <c r="P34" i="92"/>
  <c r="P35" i="92"/>
  <c r="P37" i="92"/>
  <c r="K7" i="92"/>
  <c r="K8" i="92"/>
  <c r="K9" i="92"/>
  <c r="K10" i="92"/>
  <c r="K11" i="92"/>
  <c r="K12" i="92"/>
  <c r="K13" i="92"/>
  <c r="K14" i="92"/>
  <c r="K15" i="92"/>
  <c r="K16" i="92"/>
  <c r="K17" i="92"/>
  <c r="K19" i="92"/>
  <c r="K20" i="92"/>
  <c r="K21" i="92"/>
  <c r="K22" i="92"/>
  <c r="K23" i="92"/>
  <c r="K24" i="92"/>
  <c r="K25" i="92"/>
  <c r="K26" i="92"/>
  <c r="K27" i="92"/>
  <c r="K28" i="92"/>
  <c r="K29" i="92"/>
  <c r="K30" i="92"/>
  <c r="K31" i="92"/>
  <c r="K33" i="92"/>
  <c r="K34" i="92"/>
  <c r="K35" i="92"/>
  <c r="K37" i="92"/>
  <c r="I7" i="92"/>
  <c r="I8" i="92"/>
  <c r="I9" i="92"/>
  <c r="I10" i="92"/>
  <c r="I11" i="92"/>
  <c r="I12" i="92"/>
  <c r="I13" i="92"/>
  <c r="I14" i="92"/>
  <c r="I15" i="92"/>
  <c r="I16" i="92"/>
  <c r="I17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3" i="92"/>
  <c r="I34" i="92"/>
  <c r="I35" i="92"/>
  <c r="I37" i="92"/>
  <c r="H7" i="92"/>
  <c r="H8" i="92"/>
  <c r="H9" i="92"/>
  <c r="H10" i="92"/>
  <c r="H11" i="92"/>
  <c r="H12" i="92"/>
  <c r="H13" i="92"/>
  <c r="H14" i="92"/>
  <c r="H15" i="92"/>
  <c r="H16" i="92"/>
  <c r="H17" i="92"/>
  <c r="H19" i="92"/>
  <c r="H20" i="92"/>
  <c r="H21" i="92"/>
  <c r="H22" i="92"/>
  <c r="H23" i="92"/>
  <c r="H24" i="92"/>
  <c r="H25" i="92"/>
  <c r="H26" i="92"/>
  <c r="H27" i="92"/>
  <c r="H28" i="92"/>
  <c r="H29" i="92"/>
  <c r="H30" i="92"/>
  <c r="H31" i="92"/>
  <c r="H33" i="92"/>
  <c r="H34" i="92"/>
  <c r="H35" i="92"/>
  <c r="H37" i="92"/>
  <c r="R6" i="92"/>
  <c r="P6" i="92"/>
  <c r="K6" i="92"/>
  <c r="I6" i="92"/>
  <c r="H6" i="92"/>
  <c r="C6" i="92"/>
  <c r="L40" i="92"/>
  <c r="C3" i="92"/>
  <c r="K37" i="104" l="1"/>
  <c r="K10" i="104"/>
  <c r="P19" i="104"/>
  <c r="H35" i="104"/>
  <c r="H26" i="104"/>
  <c r="H17" i="104"/>
  <c r="H9" i="104"/>
  <c r="I30" i="104"/>
  <c r="E29" i="105" s="1"/>
  <c r="I22" i="104"/>
  <c r="E21" i="105" s="1"/>
  <c r="I13" i="104"/>
  <c r="E12" i="105" s="1"/>
  <c r="K35" i="104"/>
  <c r="K26" i="104"/>
  <c r="K17" i="104"/>
  <c r="K9" i="104"/>
  <c r="P35" i="104"/>
  <c r="P26" i="104"/>
  <c r="P17" i="104"/>
  <c r="P9" i="104"/>
  <c r="H27" i="104"/>
  <c r="H34" i="104"/>
  <c r="H25" i="104"/>
  <c r="H16" i="104"/>
  <c r="H8" i="104"/>
  <c r="I29" i="104"/>
  <c r="E28" i="105" s="1"/>
  <c r="I21" i="104"/>
  <c r="E20" i="105" s="1"/>
  <c r="I12" i="104"/>
  <c r="E11" i="105" s="1"/>
  <c r="K34" i="104"/>
  <c r="K25" i="104"/>
  <c r="K16" i="104"/>
  <c r="K8" i="104"/>
  <c r="P34" i="104"/>
  <c r="P25" i="104"/>
  <c r="P16" i="104"/>
  <c r="P8" i="104"/>
  <c r="H19" i="104"/>
  <c r="I14" i="104"/>
  <c r="E13" i="105" s="1"/>
  <c r="P27" i="104"/>
  <c r="H6" i="104"/>
  <c r="I6" i="104"/>
  <c r="E5" i="105" s="1"/>
  <c r="H33" i="104"/>
  <c r="H24" i="104"/>
  <c r="H15" i="104"/>
  <c r="H7" i="104"/>
  <c r="I28" i="104"/>
  <c r="E27" i="105" s="1"/>
  <c r="I20" i="104"/>
  <c r="E19" i="105" s="1"/>
  <c r="I11" i="104"/>
  <c r="E10" i="105" s="1"/>
  <c r="K33" i="104"/>
  <c r="K24" i="104"/>
  <c r="K15" i="104"/>
  <c r="K7" i="104"/>
  <c r="P33" i="104"/>
  <c r="P24" i="104"/>
  <c r="P15" i="104"/>
  <c r="P7" i="104"/>
  <c r="K27" i="104"/>
  <c r="K6" i="104"/>
  <c r="H14" i="104"/>
  <c r="I37" i="104"/>
  <c r="E36" i="105" s="1"/>
  <c r="I27" i="104"/>
  <c r="E26" i="105" s="1"/>
  <c r="I19" i="104"/>
  <c r="E18" i="105" s="1"/>
  <c r="I10" i="104"/>
  <c r="E9" i="105" s="1"/>
  <c r="K31" i="104"/>
  <c r="K23" i="104"/>
  <c r="K14" i="104"/>
  <c r="P31" i="104"/>
  <c r="P23" i="104"/>
  <c r="P14" i="104"/>
  <c r="I31" i="104"/>
  <c r="E30" i="105" s="1"/>
  <c r="K19" i="104"/>
  <c r="P10" i="104"/>
  <c r="H30" i="104"/>
  <c r="H22" i="104"/>
  <c r="H13" i="104"/>
  <c r="I35" i="104"/>
  <c r="E34" i="105" s="1"/>
  <c r="I26" i="104"/>
  <c r="E25" i="105" s="1"/>
  <c r="I17" i="104"/>
  <c r="E16" i="105" s="1"/>
  <c r="I9" i="104"/>
  <c r="E8" i="105" s="1"/>
  <c r="K30" i="104"/>
  <c r="K22" i="104"/>
  <c r="K13" i="104"/>
  <c r="P30" i="104"/>
  <c r="P22" i="104"/>
  <c r="P13" i="104"/>
  <c r="R17" i="104"/>
  <c r="G16" i="105" s="1"/>
  <c r="H16" i="105" s="1"/>
  <c r="H37" i="104"/>
  <c r="H10" i="104"/>
  <c r="P37" i="104"/>
  <c r="H23" i="104"/>
  <c r="H29" i="104"/>
  <c r="H21" i="104"/>
  <c r="H12" i="104"/>
  <c r="I34" i="104"/>
  <c r="E33" i="105" s="1"/>
  <c r="I25" i="104"/>
  <c r="E24" i="105" s="1"/>
  <c r="I16" i="104"/>
  <c r="E15" i="105" s="1"/>
  <c r="I8" i="104"/>
  <c r="E7" i="105" s="1"/>
  <c r="K29" i="104"/>
  <c r="K21" i="104"/>
  <c r="K12" i="104"/>
  <c r="P29" i="104"/>
  <c r="P21" i="104"/>
  <c r="P12" i="104"/>
  <c r="I23" i="104"/>
  <c r="E22" i="105" s="1"/>
  <c r="H31" i="104"/>
  <c r="P6" i="104"/>
  <c r="H28" i="104"/>
  <c r="H20" i="104"/>
  <c r="H11" i="104"/>
  <c r="I33" i="104"/>
  <c r="E32" i="105" s="1"/>
  <c r="I24" i="104"/>
  <c r="E23" i="105" s="1"/>
  <c r="I15" i="104"/>
  <c r="E14" i="105" s="1"/>
  <c r="I7" i="104"/>
  <c r="E6" i="105" s="1"/>
  <c r="K28" i="104"/>
  <c r="K20" i="104"/>
  <c r="K11" i="104"/>
  <c r="P28" i="104"/>
  <c r="P20" i="104"/>
  <c r="P11" i="104"/>
  <c r="O37" i="92"/>
  <c r="R37" i="104"/>
  <c r="G36" i="105" s="1"/>
  <c r="H36" i="105" s="1"/>
  <c r="O31" i="92"/>
  <c r="R31" i="104"/>
  <c r="G30" i="105" s="1"/>
  <c r="H30" i="105" s="1"/>
  <c r="O27" i="92"/>
  <c r="R27" i="104"/>
  <c r="G26" i="105" s="1"/>
  <c r="H26" i="105" s="1"/>
  <c r="O23" i="92"/>
  <c r="R23" i="104"/>
  <c r="G22" i="105" s="1"/>
  <c r="H22" i="105" s="1"/>
  <c r="O19" i="92"/>
  <c r="R19" i="104"/>
  <c r="G18" i="105" s="1"/>
  <c r="H18" i="105" s="1"/>
  <c r="Q14" i="92"/>
  <c r="R14" i="104"/>
  <c r="G13" i="105" s="1"/>
  <c r="H13" i="105" s="1"/>
  <c r="Q10" i="92"/>
  <c r="R10" i="104"/>
  <c r="G9" i="105" s="1"/>
  <c r="H9" i="105" s="1"/>
  <c r="O35" i="92"/>
  <c r="R35" i="104"/>
  <c r="G34" i="105" s="1"/>
  <c r="H34" i="105" s="1"/>
  <c r="Q30" i="92"/>
  <c r="R30" i="104"/>
  <c r="G29" i="105" s="1"/>
  <c r="H29" i="105" s="1"/>
  <c r="Q26" i="92"/>
  <c r="R26" i="104"/>
  <c r="G25" i="105" s="1"/>
  <c r="H25" i="105" s="1"/>
  <c r="Q22" i="92"/>
  <c r="R22" i="104"/>
  <c r="G21" i="105" s="1"/>
  <c r="H21" i="105" s="1"/>
  <c r="Q13" i="92"/>
  <c r="R13" i="104"/>
  <c r="G12" i="105" s="1"/>
  <c r="H12" i="105" s="1"/>
  <c r="Q9" i="92"/>
  <c r="R9" i="104"/>
  <c r="G8" i="105" s="1"/>
  <c r="H8" i="105" s="1"/>
  <c r="Q34" i="92"/>
  <c r="R34" i="104"/>
  <c r="G33" i="105" s="1"/>
  <c r="H33" i="105" s="1"/>
  <c r="O29" i="92"/>
  <c r="R29" i="104"/>
  <c r="G28" i="105" s="1"/>
  <c r="H28" i="105" s="1"/>
  <c r="Q25" i="92"/>
  <c r="R25" i="104"/>
  <c r="G24" i="105" s="1"/>
  <c r="H24" i="105" s="1"/>
  <c r="O21" i="92"/>
  <c r="R21" i="104"/>
  <c r="G20" i="105" s="1"/>
  <c r="H20" i="105" s="1"/>
  <c r="O16" i="92"/>
  <c r="R16" i="104"/>
  <c r="G15" i="105" s="1"/>
  <c r="H15" i="105" s="1"/>
  <c r="O12" i="92"/>
  <c r="R12" i="104"/>
  <c r="G11" i="105" s="1"/>
  <c r="H11" i="105" s="1"/>
  <c r="O8" i="92"/>
  <c r="R8" i="104"/>
  <c r="G7" i="105" s="1"/>
  <c r="H7" i="105" s="1"/>
  <c r="O6" i="92"/>
  <c r="R6" i="104"/>
  <c r="G5" i="105" s="1"/>
  <c r="H5" i="105" s="1"/>
  <c r="O33" i="92"/>
  <c r="R33" i="104"/>
  <c r="G32" i="105" s="1"/>
  <c r="H32" i="105" s="1"/>
  <c r="O28" i="92"/>
  <c r="R28" i="104"/>
  <c r="G27" i="105" s="1"/>
  <c r="H27" i="105" s="1"/>
  <c r="O24" i="92"/>
  <c r="R24" i="104"/>
  <c r="G23" i="105" s="1"/>
  <c r="H23" i="105" s="1"/>
  <c r="O20" i="92"/>
  <c r="R20" i="104"/>
  <c r="G19" i="105" s="1"/>
  <c r="H19" i="105" s="1"/>
  <c r="O15" i="92"/>
  <c r="R15" i="104"/>
  <c r="G14" i="105" s="1"/>
  <c r="H14" i="105" s="1"/>
  <c r="O11" i="92"/>
  <c r="R11" i="104"/>
  <c r="G10" i="105" s="1"/>
  <c r="H10" i="105" s="1"/>
  <c r="O7" i="92"/>
  <c r="R7" i="104"/>
  <c r="G6" i="105" s="1"/>
  <c r="H6" i="105" s="1"/>
  <c r="O10" i="92"/>
  <c r="O9" i="92"/>
  <c r="Q17" i="92"/>
  <c r="J37" i="92"/>
  <c r="L37" i="93"/>
  <c r="J31" i="92"/>
  <c r="L31" i="93"/>
  <c r="J27" i="92"/>
  <c r="L27" i="93"/>
  <c r="J23" i="92"/>
  <c r="L23" i="93"/>
  <c r="J19" i="92"/>
  <c r="L19" i="93"/>
  <c r="J15" i="92"/>
  <c r="L15" i="93"/>
  <c r="J11" i="92"/>
  <c r="L11" i="93"/>
  <c r="J7" i="92"/>
  <c r="L7" i="93"/>
  <c r="J35" i="92"/>
  <c r="L35" i="93"/>
  <c r="J30" i="92"/>
  <c r="L30" i="93"/>
  <c r="J26" i="92"/>
  <c r="L26" i="93"/>
  <c r="J22" i="92"/>
  <c r="L22" i="93"/>
  <c r="J14" i="92"/>
  <c r="L14" i="93"/>
  <c r="J10" i="92"/>
  <c r="L10" i="93"/>
  <c r="L6" i="93"/>
  <c r="J34" i="92"/>
  <c r="L34" i="93"/>
  <c r="J29" i="92"/>
  <c r="L29" i="93"/>
  <c r="J25" i="92"/>
  <c r="L25" i="93"/>
  <c r="J21" i="92"/>
  <c r="L21" i="93"/>
  <c r="J17" i="92"/>
  <c r="L17" i="93"/>
  <c r="J13" i="92"/>
  <c r="L13" i="93"/>
  <c r="J9" i="92"/>
  <c r="L9" i="93"/>
  <c r="J33" i="92"/>
  <c r="L33" i="93"/>
  <c r="J28" i="92"/>
  <c r="L28" i="93"/>
  <c r="J24" i="92"/>
  <c r="L24" i="93"/>
  <c r="J20" i="92"/>
  <c r="L20" i="93"/>
  <c r="J16" i="92"/>
  <c r="L16" i="93"/>
  <c r="J12" i="92"/>
  <c r="L12" i="93"/>
  <c r="J8" i="92"/>
  <c r="L8" i="93"/>
  <c r="O34" i="92"/>
  <c r="O25" i="92"/>
  <c r="Q21" i="92"/>
  <c r="O17" i="92"/>
  <c r="Q35" i="92"/>
  <c r="O26" i="92"/>
  <c r="O14" i="92"/>
  <c r="O22" i="92"/>
  <c r="O30" i="92"/>
  <c r="Q29" i="92"/>
  <c r="O13" i="92"/>
  <c r="Q33" i="92"/>
  <c r="Q28" i="92"/>
  <c r="Q24" i="92"/>
  <c r="Q20" i="92"/>
  <c r="Q16" i="92"/>
  <c r="Q12" i="92"/>
  <c r="Q8" i="92"/>
  <c r="Q37" i="92"/>
  <c r="Q31" i="92"/>
  <c r="Q27" i="92"/>
  <c r="Q23" i="92"/>
  <c r="Q19" i="92"/>
  <c r="Q15" i="92"/>
  <c r="Q11" i="92"/>
  <c r="Q7" i="92"/>
  <c r="R40" i="92"/>
  <c r="H40" i="92"/>
  <c r="J6" i="92"/>
  <c r="I40" i="92"/>
  <c r="K40" i="92"/>
  <c r="P40" i="92"/>
  <c r="Q6" i="92"/>
  <c r="H40" i="104" l="1"/>
  <c r="K40" i="104"/>
  <c r="I40" i="104"/>
  <c r="R42" i="104" s="1"/>
  <c r="P40" i="104"/>
  <c r="Q26" i="104"/>
  <c r="F25" i="105" s="1"/>
  <c r="Q14" i="104"/>
  <c r="F13" i="105" s="1"/>
  <c r="Q31" i="104"/>
  <c r="F30" i="105" s="1"/>
  <c r="Q21" i="104"/>
  <c r="F20" i="105" s="1"/>
  <c r="Q25" i="104"/>
  <c r="F24" i="105" s="1"/>
  <c r="Q9" i="104"/>
  <c r="F8" i="105" s="1"/>
  <c r="Q30" i="104"/>
  <c r="F29" i="105" s="1"/>
  <c r="Q7" i="104"/>
  <c r="F6" i="105" s="1"/>
  <c r="Q29" i="104"/>
  <c r="F28" i="105" s="1"/>
  <c r="Q12" i="104"/>
  <c r="F11" i="105" s="1"/>
  <c r="Q33" i="104"/>
  <c r="F32" i="105" s="1"/>
  <c r="Q37" i="104"/>
  <c r="F36" i="105" s="1"/>
  <c r="Q6" i="104"/>
  <c r="F5" i="105" s="1"/>
  <c r="Q8" i="104"/>
  <c r="F7" i="105" s="1"/>
  <c r="Q11" i="104"/>
  <c r="F10" i="105" s="1"/>
  <c r="Q15" i="104"/>
  <c r="F14" i="105" s="1"/>
  <c r="Q16" i="104"/>
  <c r="F15" i="105" s="1"/>
  <c r="Q13" i="104"/>
  <c r="F12" i="105" s="1"/>
  <c r="Q19" i="104"/>
  <c r="F18" i="105" s="1"/>
  <c r="Q34" i="104"/>
  <c r="F33" i="105" s="1"/>
  <c r="Q20" i="104"/>
  <c r="F19" i="105" s="1"/>
  <c r="Q23" i="104"/>
  <c r="F22" i="105" s="1"/>
  <c r="Q24" i="104"/>
  <c r="F23" i="105" s="1"/>
  <c r="Q22" i="104"/>
  <c r="F21" i="105" s="1"/>
  <c r="Q10" i="104"/>
  <c r="F9" i="105" s="1"/>
  <c r="Q17" i="104"/>
  <c r="F16" i="105" s="1"/>
  <c r="Q27" i="104"/>
  <c r="F26" i="105" s="1"/>
  <c r="Q28" i="104"/>
  <c r="F27" i="105" s="1"/>
  <c r="Q35" i="104"/>
  <c r="F34" i="105" s="1"/>
  <c r="L12" i="104"/>
  <c r="L20" i="104"/>
  <c r="L28" i="104"/>
  <c r="L9" i="104"/>
  <c r="L17" i="104"/>
  <c r="L25" i="104"/>
  <c r="L34" i="104"/>
  <c r="L30" i="104"/>
  <c r="L15" i="104"/>
  <c r="L31" i="104"/>
  <c r="L14" i="104"/>
  <c r="L26" i="104"/>
  <c r="L35" i="104"/>
  <c r="L11" i="104"/>
  <c r="L19" i="104"/>
  <c r="L27" i="104"/>
  <c r="L37" i="104"/>
  <c r="L10" i="104"/>
  <c r="L22" i="104"/>
  <c r="L7" i="104"/>
  <c r="L23" i="104"/>
  <c r="L8" i="104"/>
  <c r="L16" i="104"/>
  <c r="L24" i="104"/>
  <c r="L33" i="104"/>
  <c r="L13" i="104"/>
  <c r="L21" i="104"/>
  <c r="L29" i="104"/>
  <c r="L6" i="104"/>
  <c r="R40" i="104"/>
  <c r="L40" i="94"/>
  <c r="L40" i="93"/>
  <c r="J40" i="92"/>
  <c r="I44" i="92"/>
  <c r="O40" i="92"/>
  <c r="I43" i="92"/>
  <c r="O43" i="92"/>
  <c r="M43" i="92"/>
  <c r="Q40" i="92"/>
  <c r="H43" i="92"/>
  <c r="H44" i="92"/>
  <c r="O43" i="104" l="1"/>
  <c r="M43" i="104"/>
  <c r="Q40" i="104"/>
  <c r="L40" i="104"/>
  <c r="R44" i="104"/>
  <c r="I46" i="92"/>
  <c r="H46" i="92"/>
  <c r="R46" i="104" l="1"/>
  <c r="T32" i="104" l="1"/>
  <c r="I31" i="105" s="1"/>
  <c r="T18" i="104"/>
  <c r="I17" i="105" s="1"/>
  <c r="T28" i="104"/>
  <c r="I27" i="105" s="1"/>
  <c r="T10" i="104"/>
  <c r="I9" i="105" s="1"/>
  <c r="T14" i="104"/>
  <c r="I13" i="105" s="1"/>
  <c r="T24" i="104"/>
  <c r="I23" i="105" s="1"/>
  <c r="T23" i="104"/>
  <c r="I22" i="105" s="1"/>
  <c r="T31" i="104"/>
  <c r="I30" i="105" s="1"/>
  <c r="T22" i="104"/>
  <c r="I21" i="105" s="1"/>
  <c r="T27" i="104"/>
  <c r="I26" i="105" s="1"/>
  <c r="T33" i="104"/>
  <c r="I32" i="105" s="1"/>
  <c r="T37" i="104"/>
  <c r="I36" i="105" s="1"/>
  <c r="T20" i="104"/>
  <c r="I19" i="105" s="1"/>
  <c r="T19" i="104"/>
  <c r="I18" i="105" s="1"/>
  <c r="T30" i="104"/>
  <c r="I29" i="105" s="1"/>
  <c r="T29" i="104"/>
  <c r="I28" i="105" s="1"/>
  <c r="T15" i="104"/>
  <c r="I14" i="105" s="1"/>
  <c r="T17" i="104"/>
  <c r="I16" i="105" s="1"/>
  <c r="T21" i="104"/>
  <c r="I20" i="105" s="1"/>
  <c r="T12" i="104"/>
  <c r="I11" i="105" s="1"/>
  <c r="T11" i="104"/>
  <c r="I10" i="105" s="1"/>
  <c r="T16" i="104"/>
  <c r="I15" i="105" s="1"/>
  <c r="T9" i="104"/>
  <c r="I8" i="105" s="1"/>
  <c r="T13" i="104"/>
  <c r="I12" i="105" s="1"/>
  <c r="T8" i="104"/>
  <c r="I7" i="105" s="1"/>
  <c r="T7" i="104"/>
  <c r="I6" i="105" s="1"/>
  <c r="T26" i="104"/>
  <c r="I25" i="105" s="1"/>
  <c r="T25" i="104"/>
  <c r="I24" i="105" s="1"/>
  <c r="T34" i="104"/>
  <c r="I33" i="105" s="1"/>
  <c r="T6" i="104"/>
  <c r="T36" i="104"/>
  <c r="I35" i="105" s="1"/>
  <c r="T35" i="104"/>
  <c r="I34" i="105" s="1"/>
  <c r="I5" i="105" l="1"/>
  <c r="T39" i="104"/>
  <c r="W39" i="104" s="1"/>
  <c r="I38" i="105"/>
  <c r="F22" i="50"/>
  <c r="C20" i="50"/>
  <c r="C6" i="50"/>
  <c r="D6" i="50" s="1"/>
  <c r="C5" i="50"/>
  <c r="D5" i="50" s="1"/>
  <c r="H5" i="50" s="1"/>
  <c r="J5" i="50" s="1"/>
  <c r="C7" i="50"/>
  <c r="D7" i="50" s="1"/>
  <c r="C4" i="50"/>
  <c r="D4" i="50" s="1"/>
  <c r="D23" i="50" l="1"/>
  <c r="G9" i="50"/>
  <c r="F9" i="50"/>
  <c r="E9" i="50"/>
  <c r="H7" i="50"/>
  <c r="H6" i="50" l="1"/>
  <c r="H4" i="50"/>
  <c r="D9" i="50"/>
  <c r="C9" i="50"/>
  <c r="H9" i="50" l="1"/>
  <c r="G43" i="104" l="1"/>
  <c r="N40" i="104"/>
  <c r="G44" i="104"/>
  <c r="J44" i="104" s="1"/>
  <c r="J43" i="104" l="1"/>
  <c r="J46" i="104" s="1"/>
  <c r="G46" i="104"/>
  <c r="M50" i="104" l="1"/>
  <c r="O50" i="104" s="1"/>
  <c r="F13" i="103" l="1"/>
  <c r="F32" i="103"/>
  <c r="F26" i="103"/>
  <c r="F27" i="103"/>
  <c r="F15" i="103"/>
  <c r="F17" i="103"/>
  <c r="F37" i="103"/>
  <c r="F24" i="103"/>
  <c r="F28" i="103"/>
  <c r="F30" i="103"/>
  <c r="F34" i="103"/>
  <c r="F12" i="103"/>
  <c r="F21" i="103"/>
  <c r="F16" i="103"/>
  <c r="F31" i="103"/>
  <c r="F33" i="103" l="1"/>
  <c r="F29" i="103"/>
  <c r="F23" i="103"/>
  <c r="F19" i="103"/>
  <c r="F18" i="103"/>
  <c r="F22" i="103"/>
  <c r="F11" i="103"/>
  <c r="F8" i="103"/>
  <c r="F7" i="103"/>
  <c r="F6" i="103" l="1"/>
  <c r="F36" i="103"/>
  <c r="F35" i="103"/>
  <c r="F20" i="103"/>
  <c r="F14" i="103"/>
  <c r="F9" i="103"/>
  <c r="F10" i="103"/>
  <c r="F25" i="103"/>
  <c r="F40" i="103" l="1"/>
  <c r="M37" i="92" l="1"/>
  <c r="M36" i="92"/>
  <c r="M35" i="92"/>
  <c r="M34" i="92"/>
  <c r="M33" i="92"/>
  <c r="M32" i="92"/>
  <c r="M31" i="92"/>
  <c r="M30" i="92"/>
  <c r="M29" i="92"/>
  <c r="M28" i="92"/>
  <c r="M27" i="92"/>
  <c r="M26" i="92"/>
  <c r="M25" i="92"/>
  <c r="M24" i="92"/>
  <c r="M23" i="92"/>
  <c r="M22" i="92"/>
  <c r="M21" i="92"/>
  <c r="M20" i="92"/>
  <c r="M19" i="92"/>
  <c r="M18" i="92"/>
  <c r="M17" i="92"/>
  <c r="M16" i="92"/>
  <c r="M15" i="92"/>
  <c r="M14" i="92"/>
  <c r="M13" i="92"/>
  <c r="M12" i="92"/>
  <c r="M11" i="92"/>
  <c r="M10" i="92"/>
  <c r="M9" i="92"/>
  <c r="M8" i="92"/>
  <c r="M7" i="92"/>
  <c r="M6" i="92"/>
  <c r="N13" i="92" l="1"/>
  <c r="N8" i="92"/>
  <c r="N16" i="92"/>
  <c r="N24" i="92"/>
  <c r="N32" i="92"/>
  <c r="N19" i="92"/>
  <c r="N27" i="92"/>
  <c r="N35" i="92"/>
  <c r="N11" i="92"/>
  <c r="M40" i="92"/>
  <c r="N6" i="92"/>
  <c r="N14" i="92"/>
  <c r="N22" i="92"/>
  <c r="N30" i="92"/>
  <c r="N9" i="92"/>
  <c r="N17" i="92"/>
  <c r="N25" i="92"/>
  <c r="N33" i="92"/>
  <c r="N20" i="92"/>
  <c r="N28" i="92"/>
  <c r="N36" i="92"/>
  <c r="N12" i="92"/>
  <c r="N7" i="92"/>
  <c r="N15" i="92"/>
  <c r="N23" i="92"/>
  <c r="N31" i="92"/>
  <c r="N10" i="92"/>
  <c r="N18" i="92"/>
  <c r="N26" i="92"/>
  <c r="N34" i="92"/>
  <c r="N21" i="92"/>
  <c r="N29" i="92"/>
  <c r="N37" i="92"/>
  <c r="G44" i="92" l="1"/>
  <c r="G43" i="92"/>
  <c r="G46" i="92" s="1"/>
  <c r="M50" i="92" s="1"/>
  <c r="N40" i="92"/>
  <c r="G6" i="97" l="1"/>
  <c r="D6" i="97" l="1"/>
  <c r="F6" i="97" l="1"/>
  <c r="E6" i="97" s="1"/>
  <c r="B6" i="97"/>
  <c r="M19" i="96" l="1"/>
  <c r="N19" i="96" s="1"/>
  <c r="M27" i="96"/>
  <c r="N27" i="96" s="1"/>
  <c r="M25" i="96"/>
  <c r="N25" i="96" s="1"/>
  <c r="M35" i="96"/>
  <c r="N35" i="96" s="1"/>
  <c r="M6" i="96"/>
  <c r="M21" i="96"/>
  <c r="N21" i="96" s="1"/>
  <c r="M29" i="96"/>
  <c r="N29" i="96" s="1"/>
  <c r="M24" i="96"/>
  <c r="N24" i="96" s="1"/>
  <c r="M32" i="96"/>
  <c r="N32" i="96" s="1"/>
  <c r="M11" i="96"/>
  <c r="N11" i="96" s="1"/>
  <c r="M10" i="96"/>
  <c r="M33" i="96"/>
  <c r="N33" i="96" s="1"/>
  <c r="M16" i="96"/>
  <c r="N16" i="96" s="1"/>
  <c r="M12" i="96"/>
  <c r="N12" i="96" s="1"/>
  <c r="M37" i="96"/>
  <c r="N37" i="96" s="1"/>
  <c r="M8" i="96"/>
  <c r="N8" i="96" s="1"/>
  <c r="M18" i="96"/>
  <c r="N18" i="96" s="1"/>
  <c r="M26" i="96"/>
  <c r="N26" i="96" s="1"/>
  <c r="M34" i="96"/>
  <c r="N34" i="96" s="1"/>
  <c r="M17" i="96"/>
  <c r="N17" i="96" s="1"/>
  <c r="M23" i="96"/>
  <c r="N23" i="96" s="1"/>
  <c r="M31" i="96"/>
  <c r="N31" i="96" s="1"/>
  <c r="M14" i="96"/>
  <c r="N14" i="96" s="1"/>
  <c r="M20" i="96"/>
  <c r="N20" i="96" s="1"/>
  <c r="M28" i="96"/>
  <c r="N28" i="96" s="1"/>
  <c r="M36" i="96"/>
  <c r="N36" i="96" s="1"/>
  <c r="M7" i="96"/>
  <c r="N7" i="96" s="1"/>
  <c r="M15" i="96"/>
  <c r="N15" i="96" s="1"/>
  <c r="M22" i="96"/>
  <c r="N22" i="96" s="1"/>
  <c r="M30" i="96"/>
  <c r="N30" i="96" s="1"/>
  <c r="M13" i="96"/>
  <c r="N13" i="96" s="1"/>
  <c r="M9" i="96"/>
  <c r="N9" i="96" s="1"/>
  <c r="M13" i="103"/>
  <c r="N13" i="103" s="1"/>
  <c r="M23" i="102"/>
  <c r="N23" i="102" s="1"/>
  <c r="M22" i="101"/>
  <c r="N22" i="101" s="1"/>
  <c r="M15" i="102"/>
  <c r="N15" i="102" s="1"/>
  <c r="M35" i="102"/>
  <c r="N35" i="102" s="1"/>
  <c r="M26" i="99"/>
  <c r="N26" i="99" s="1"/>
  <c r="M21" i="103"/>
  <c r="N21" i="103" s="1"/>
  <c r="M23" i="100"/>
  <c r="N23" i="100" s="1"/>
  <c r="M37" i="103"/>
  <c r="N37" i="103" s="1"/>
  <c r="M17" i="99"/>
  <c r="N17" i="99" s="1"/>
  <c r="M26" i="103"/>
  <c r="N26" i="103" s="1"/>
  <c r="M36" i="102"/>
  <c r="N36" i="102" s="1"/>
  <c r="M23" i="97"/>
  <c r="N23" i="97" s="1"/>
  <c r="M18" i="99"/>
  <c r="N18" i="99" s="1"/>
  <c r="M18" i="101"/>
  <c r="N18" i="101" s="1"/>
  <c r="M20" i="103"/>
  <c r="N20" i="103" s="1"/>
  <c r="M13" i="97"/>
  <c r="N13" i="97" s="1"/>
  <c r="M29" i="103"/>
  <c r="N29" i="103" s="1"/>
  <c r="M24" i="100"/>
  <c r="N24" i="100" s="1"/>
  <c r="M27" i="98"/>
  <c r="N27" i="98" s="1"/>
  <c r="M31" i="98"/>
  <c r="N31" i="98" s="1"/>
  <c r="M26" i="98"/>
  <c r="N26" i="98" s="1"/>
  <c r="M36" i="103"/>
  <c r="N36" i="103" s="1"/>
  <c r="M10" i="103"/>
  <c r="N10" i="103" s="1"/>
  <c r="M30" i="98"/>
  <c r="N30" i="98" s="1"/>
  <c r="M6" i="99"/>
  <c r="M8" i="101"/>
  <c r="N8" i="101" s="1"/>
  <c r="M21" i="102"/>
  <c r="N21" i="102" s="1"/>
  <c r="M16" i="97"/>
  <c r="M18" i="98"/>
  <c r="N18" i="98" s="1"/>
  <c r="M12" i="101"/>
  <c r="N12" i="101" s="1"/>
  <c r="M20" i="102"/>
  <c r="N20" i="102" s="1"/>
  <c r="M19" i="102"/>
  <c r="N19" i="102" s="1"/>
  <c r="M15" i="100"/>
  <c r="N15" i="100" s="1"/>
  <c r="M27" i="97"/>
  <c r="N27" i="97" s="1"/>
  <c r="M12" i="98"/>
  <c r="N12" i="98" s="1"/>
  <c r="M7" i="97"/>
  <c r="N7" i="97" s="1"/>
  <c r="M11" i="97"/>
  <c r="N11" i="97" s="1"/>
  <c r="M33" i="97"/>
  <c r="N33" i="97" s="1"/>
  <c r="M31" i="100"/>
  <c r="N31" i="100" s="1"/>
  <c r="M8" i="103"/>
  <c r="N8" i="103" s="1"/>
  <c r="M27" i="100"/>
  <c r="N27" i="100" s="1"/>
  <c r="M16" i="101"/>
  <c r="N16" i="101" s="1"/>
  <c r="M24" i="103"/>
  <c r="N24" i="103" s="1"/>
  <c r="M21" i="100"/>
  <c r="N21" i="100" s="1"/>
  <c r="M25" i="100"/>
  <c r="M6" i="101"/>
  <c r="M28" i="101"/>
  <c r="N28" i="101" s="1"/>
  <c r="M37" i="101"/>
  <c r="N37" i="101" s="1"/>
  <c r="M34" i="99"/>
  <c r="N34" i="99" s="1"/>
  <c r="M24" i="98"/>
  <c r="M24" i="101"/>
  <c r="N24" i="101" s="1"/>
  <c r="M17" i="102"/>
  <c r="N17" i="102" s="1"/>
  <c r="M27" i="102"/>
  <c r="N27" i="102" s="1"/>
  <c r="M31" i="102"/>
  <c r="N31" i="102" s="1"/>
  <c r="M28" i="103"/>
  <c r="M24" i="97"/>
  <c r="N24" i="97" s="1"/>
  <c r="M10" i="99"/>
  <c r="N10" i="99" s="1"/>
  <c r="M34" i="101"/>
  <c r="N34" i="101" s="1"/>
  <c r="M29" i="97"/>
  <c r="N29" i="97" s="1"/>
  <c r="M30" i="101"/>
  <c r="M16" i="98"/>
  <c r="N16" i="98" s="1"/>
  <c r="M9" i="98"/>
  <c r="M34" i="98"/>
  <c r="N34" i="98" s="1"/>
  <c r="M36" i="99"/>
  <c r="N36" i="99" s="1"/>
  <c r="M13" i="100"/>
  <c r="N13" i="100" s="1"/>
  <c r="M32" i="103"/>
  <c r="N32" i="103" s="1"/>
  <c r="M33" i="103"/>
  <c r="N33" i="103" s="1"/>
  <c r="M30" i="99"/>
  <c r="N30" i="99" s="1"/>
  <c r="M16" i="100"/>
  <c r="M28" i="102"/>
  <c r="M34" i="103"/>
  <c r="N34" i="103" s="1"/>
  <c r="M8" i="98"/>
  <c r="N8" i="98" s="1"/>
  <c r="M8" i="99"/>
  <c r="N8" i="99" s="1"/>
  <c r="M14" i="99"/>
  <c r="N14" i="99" s="1"/>
  <c r="M7" i="100"/>
  <c r="N7" i="100" s="1"/>
  <c r="M11" i="100"/>
  <c r="N11" i="100" s="1"/>
  <c r="M14" i="100"/>
  <c r="N14" i="100" s="1"/>
  <c r="M28" i="100"/>
  <c r="M33" i="100"/>
  <c r="N33" i="100" s="1"/>
  <c r="M36" i="100"/>
  <c r="N36" i="100" s="1"/>
  <c r="M11" i="102"/>
  <c r="N11" i="102" s="1"/>
  <c r="M32" i="102"/>
  <c r="N32" i="102" s="1"/>
  <c r="M33" i="102"/>
  <c r="N33" i="102" s="1"/>
  <c r="M22" i="97"/>
  <c r="N22" i="97" s="1"/>
  <c r="M25" i="99"/>
  <c r="N25" i="99" s="1"/>
  <c r="M19" i="100"/>
  <c r="N19" i="100" s="1"/>
  <c r="M29" i="100"/>
  <c r="N29" i="100" s="1"/>
  <c r="M14" i="101"/>
  <c r="N14" i="101" s="1"/>
  <c r="M12" i="102"/>
  <c r="N12" i="102" s="1"/>
  <c r="M37" i="102"/>
  <c r="N37" i="102" s="1"/>
  <c r="M16" i="103"/>
  <c r="N16" i="103" s="1"/>
  <c r="M17" i="100"/>
  <c r="N17" i="100" s="1"/>
  <c r="M32" i="101"/>
  <c r="N32" i="101" s="1"/>
  <c r="M36" i="101"/>
  <c r="N36" i="101" s="1"/>
  <c r="M18" i="103"/>
  <c r="N18" i="103" s="1"/>
  <c r="M19" i="97"/>
  <c r="N19" i="97" s="1"/>
  <c r="M36" i="97"/>
  <c r="N36" i="97" s="1"/>
  <c r="M7" i="98"/>
  <c r="N7" i="98" s="1"/>
  <c r="M19" i="98"/>
  <c r="M20" i="98"/>
  <c r="N20" i="98" s="1"/>
  <c r="M29" i="99"/>
  <c r="N29" i="99" s="1"/>
  <c r="M20" i="101"/>
  <c r="N20" i="101" s="1"/>
  <c r="M9" i="97"/>
  <c r="N9" i="97" s="1"/>
  <c r="M31" i="97"/>
  <c r="N31" i="97" s="1"/>
  <c r="M28" i="97"/>
  <c r="N28" i="97" s="1"/>
  <c r="M32" i="98"/>
  <c r="N32" i="98" s="1"/>
  <c r="M22" i="98"/>
  <c r="N22" i="98" s="1"/>
  <c r="M10" i="98"/>
  <c r="M33" i="99"/>
  <c r="N33" i="99" s="1"/>
  <c r="M22" i="99"/>
  <c r="N22" i="99" s="1"/>
  <c r="M9" i="99"/>
  <c r="N9" i="99" s="1"/>
  <c r="M9" i="100"/>
  <c r="M26" i="101"/>
  <c r="N26" i="101" s="1"/>
  <c r="M23" i="98"/>
  <c r="N23" i="98" s="1"/>
  <c r="M16" i="99"/>
  <c r="N16" i="99" s="1"/>
  <c r="M20" i="99"/>
  <c r="N20" i="99" s="1"/>
  <c r="M32" i="99"/>
  <c r="N32" i="99" s="1"/>
  <c r="M26" i="100"/>
  <c r="N26" i="100" s="1"/>
  <c r="M11" i="101"/>
  <c r="N11" i="101" s="1"/>
  <c r="M13" i="101"/>
  <c r="N13" i="101" s="1"/>
  <c r="M31" i="101"/>
  <c r="N31" i="101" s="1"/>
  <c r="M35" i="101"/>
  <c r="N35" i="101" s="1"/>
  <c r="M12" i="103"/>
  <c r="N12" i="103" s="1"/>
  <c r="M14" i="97"/>
  <c r="N14" i="97" s="1"/>
  <c r="M15" i="97"/>
  <c r="N15" i="97" s="1"/>
  <c r="M21" i="97"/>
  <c r="N21" i="97" s="1"/>
  <c r="M35" i="97"/>
  <c r="N35" i="97" s="1"/>
  <c r="M12" i="99"/>
  <c r="N12" i="99" s="1"/>
  <c r="M32" i="100"/>
  <c r="N32" i="100" s="1"/>
  <c r="M6" i="97"/>
  <c r="M12" i="97"/>
  <c r="N12" i="97" s="1"/>
  <c r="M26" i="97"/>
  <c r="N26" i="97" s="1"/>
  <c r="M30" i="97"/>
  <c r="N30" i="97" s="1"/>
  <c r="M32" i="97"/>
  <c r="N32" i="97" s="1"/>
  <c r="M8" i="97"/>
  <c r="N8" i="97" s="1"/>
  <c r="M21" i="99"/>
  <c r="N21" i="99" s="1"/>
  <c r="M35" i="100"/>
  <c r="N35" i="100" s="1"/>
  <c r="M25" i="97"/>
  <c r="M34" i="97"/>
  <c r="N34" i="97" s="1"/>
  <c r="M37" i="97"/>
  <c r="N37" i="97" s="1"/>
  <c r="M7" i="102"/>
  <c r="N7" i="102" s="1"/>
  <c r="M10" i="97"/>
  <c r="N10" i="97" s="1"/>
  <c r="M18" i="97"/>
  <c r="N18" i="97" s="1"/>
  <c r="M20" i="97"/>
  <c r="N20" i="97" s="1"/>
  <c r="M37" i="99"/>
  <c r="N37" i="99" s="1"/>
  <c r="M37" i="100"/>
  <c r="N37" i="100" s="1"/>
  <c r="M17" i="97"/>
  <c r="N17" i="97" s="1"/>
  <c r="M28" i="98"/>
  <c r="N28" i="98" s="1"/>
  <c r="M10" i="100"/>
  <c r="N10" i="100" s="1"/>
  <c r="M6" i="98"/>
  <c r="M14" i="98"/>
  <c r="N14" i="98" s="1"/>
  <c r="M11" i="98"/>
  <c r="N11" i="98" s="1"/>
  <c r="M15" i="98"/>
  <c r="N15" i="98" s="1"/>
  <c r="M21" i="98"/>
  <c r="N21" i="98" s="1"/>
  <c r="M25" i="98"/>
  <c r="M33" i="98"/>
  <c r="N33" i="98" s="1"/>
  <c r="M37" i="98"/>
  <c r="N37" i="98" s="1"/>
  <c r="M22" i="100"/>
  <c r="N22" i="100" s="1"/>
  <c r="M13" i="98"/>
  <c r="N13" i="98" s="1"/>
  <c r="M17" i="98"/>
  <c r="N17" i="98" s="1"/>
  <c r="M29" i="98"/>
  <c r="N29" i="98" s="1"/>
  <c r="M35" i="98"/>
  <c r="N35" i="98" s="1"/>
  <c r="M36" i="98"/>
  <c r="N36" i="98" s="1"/>
  <c r="M13" i="99"/>
  <c r="N13" i="99" s="1"/>
  <c r="M12" i="100"/>
  <c r="N12" i="100" s="1"/>
  <c r="M18" i="100"/>
  <c r="N18" i="100" s="1"/>
  <c r="M9" i="101"/>
  <c r="M15" i="101"/>
  <c r="N15" i="101" s="1"/>
  <c r="M17" i="101"/>
  <c r="N17" i="101" s="1"/>
  <c r="M23" i="101"/>
  <c r="N23" i="101" s="1"/>
  <c r="M25" i="101"/>
  <c r="M16" i="102"/>
  <c r="N16" i="102" s="1"/>
  <c r="M24" i="99"/>
  <c r="M28" i="99"/>
  <c r="M6" i="100"/>
  <c r="M8" i="100"/>
  <c r="N8" i="100" s="1"/>
  <c r="M20" i="100"/>
  <c r="N20" i="100" s="1"/>
  <c r="M30" i="100"/>
  <c r="N30" i="100" s="1"/>
  <c r="M34" i="100"/>
  <c r="N34" i="100" s="1"/>
  <c r="M7" i="101"/>
  <c r="N7" i="101" s="1"/>
  <c r="M19" i="101"/>
  <c r="M29" i="101"/>
  <c r="N29" i="101" s="1"/>
  <c r="M27" i="101"/>
  <c r="N27" i="101" s="1"/>
  <c r="M33" i="101"/>
  <c r="N33" i="101" s="1"/>
  <c r="M24" i="102"/>
  <c r="N24" i="102" s="1"/>
  <c r="M6" i="103"/>
  <c r="M9" i="103"/>
  <c r="M14" i="103"/>
  <c r="N14" i="103" s="1"/>
  <c r="M17" i="103"/>
  <c r="N17" i="103" s="1"/>
  <c r="M25" i="103"/>
  <c r="N25" i="103" s="1"/>
  <c r="M21" i="101"/>
  <c r="N21" i="101" s="1"/>
  <c r="M8" i="102"/>
  <c r="N8" i="102" s="1"/>
  <c r="M19" i="103"/>
  <c r="M27" i="103"/>
  <c r="N27" i="103" s="1"/>
  <c r="M35" i="103"/>
  <c r="N35" i="103" s="1"/>
  <c r="M22" i="103"/>
  <c r="N22" i="103" s="1"/>
  <c r="M11" i="103"/>
  <c r="M7" i="103"/>
  <c r="N7" i="103" s="1"/>
  <c r="M15" i="103"/>
  <c r="N15" i="103" s="1"/>
  <c r="M23" i="103"/>
  <c r="N23" i="103" s="1"/>
  <c r="M31" i="103"/>
  <c r="N31" i="103" s="1"/>
  <c r="M30" i="103"/>
  <c r="N30" i="103" s="1"/>
  <c r="M14" i="102"/>
  <c r="N14" i="102" s="1"/>
  <c r="M22" i="102"/>
  <c r="N22" i="102" s="1"/>
  <c r="M30" i="102"/>
  <c r="N30" i="102" s="1"/>
  <c r="M25" i="102"/>
  <c r="N25" i="102" s="1"/>
  <c r="M9" i="102"/>
  <c r="M10" i="102"/>
  <c r="N10" i="102" s="1"/>
  <c r="M18" i="102"/>
  <c r="N18" i="102" s="1"/>
  <c r="M26" i="102"/>
  <c r="N26" i="102" s="1"/>
  <c r="M34" i="102"/>
  <c r="N34" i="102" s="1"/>
  <c r="M29" i="102"/>
  <c r="N29" i="102" s="1"/>
  <c r="M13" i="102"/>
  <c r="N13" i="102" s="1"/>
  <c r="M6" i="102"/>
  <c r="M10" i="101"/>
  <c r="N10" i="101" s="1"/>
  <c r="M35" i="99"/>
  <c r="N35" i="99" s="1"/>
  <c r="M31" i="99"/>
  <c r="N31" i="99" s="1"/>
  <c r="M27" i="99"/>
  <c r="N27" i="99" s="1"/>
  <c r="M23" i="99"/>
  <c r="N23" i="99" s="1"/>
  <c r="M19" i="99"/>
  <c r="N19" i="99" s="1"/>
  <c r="M15" i="99"/>
  <c r="N15" i="99" s="1"/>
  <c r="M11" i="99"/>
  <c r="N11" i="99" s="1"/>
  <c r="M7" i="99"/>
  <c r="N7" i="99" s="1"/>
  <c r="M40" i="100" l="1"/>
  <c r="N6" i="102"/>
  <c r="M40" i="102"/>
  <c r="M40" i="98"/>
  <c r="N6" i="98"/>
  <c r="N6" i="101"/>
  <c r="M40" i="101"/>
  <c r="M40" i="96"/>
  <c r="N6" i="96"/>
  <c r="M40" i="97"/>
  <c r="N6" i="97"/>
  <c r="N6" i="103"/>
  <c r="M40" i="103"/>
  <c r="N6" i="99"/>
  <c r="M40" i="99"/>
  <c r="M7" i="95" l="1"/>
  <c r="N7" i="95" s="1"/>
  <c r="M9" i="95"/>
  <c r="M10" i="95"/>
  <c r="M6" i="95"/>
  <c r="N6" i="95" l="1"/>
  <c r="M37" i="95"/>
  <c r="N37" i="95" s="1"/>
  <c r="M29" i="95"/>
  <c r="N29" i="95" s="1"/>
  <c r="M21" i="95"/>
  <c r="N21" i="95" s="1"/>
  <c r="M13" i="95"/>
  <c r="N13" i="95" s="1"/>
  <c r="M36" i="95"/>
  <c r="N36" i="95" s="1"/>
  <c r="M28" i="95"/>
  <c r="M20" i="95"/>
  <c r="N20" i="95" s="1"/>
  <c r="M35" i="95"/>
  <c r="N35" i="95" s="1"/>
  <c r="M34" i="95"/>
  <c r="N34" i="95" s="1"/>
  <c r="M30" i="95"/>
  <c r="N30" i="95" s="1"/>
  <c r="M26" i="95"/>
  <c r="N26" i="95" s="1"/>
  <c r="M22" i="95"/>
  <c r="N22" i="95" s="1"/>
  <c r="M18" i="95"/>
  <c r="N18" i="95" s="1"/>
  <c r="M14" i="95"/>
  <c r="N14" i="95" s="1"/>
  <c r="M33" i="95"/>
  <c r="N33" i="95" s="1"/>
  <c r="M25" i="95"/>
  <c r="N25" i="95" s="1"/>
  <c r="M17" i="95"/>
  <c r="N17" i="95" s="1"/>
  <c r="M32" i="95"/>
  <c r="N32" i="95" s="1"/>
  <c r="M24" i="95"/>
  <c r="N24" i="95" s="1"/>
  <c r="M16" i="95"/>
  <c r="N16" i="95" s="1"/>
  <c r="M12" i="95"/>
  <c r="N12" i="95" s="1"/>
  <c r="M8" i="95"/>
  <c r="N8" i="95" s="1"/>
  <c r="M31" i="95"/>
  <c r="N31" i="95" s="1"/>
  <c r="M27" i="95"/>
  <c r="N27" i="95" s="1"/>
  <c r="M23" i="95"/>
  <c r="N23" i="95" s="1"/>
  <c r="M19" i="95"/>
  <c r="N19" i="95" s="1"/>
  <c r="M15" i="95"/>
  <c r="N15" i="95" s="1"/>
  <c r="M11" i="95"/>
  <c r="N11" i="95" s="1"/>
  <c r="M40" i="95" l="1"/>
  <c r="M31" i="94" l="1"/>
  <c r="N31" i="94" s="1"/>
  <c r="M35" i="94"/>
  <c r="N35" i="94" s="1"/>
  <c r="M8" i="94"/>
  <c r="N8" i="94" s="1"/>
  <c r="M12" i="94"/>
  <c r="N12" i="94" s="1"/>
  <c r="M16" i="94"/>
  <c r="N16" i="94" s="1"/>
  <c r="M19" i="94"/>
  <c r="N19" i="94" s="1"/>
  <c r="M6" i="94"/>
  <c r="M10" i="94"/>
  <c r="N10" i="94" s="1"/>
  <c r="M14" i="94"/>
  <c r="N14" i="94" s="1"/>
  <c r="M21" i="94"/>
  <c r="N21" i="94" s="1"/>
  <c r="M25" i="94"/>
  <c r="N25" i="94" s="1"/>
  <c r="M29" i="94"/>
  <c r="N29" i="94" s="1"/>
  <c r="M33" i="94"/>
  <c r="N33" i="94" s="1"/>
  <c r="M37" i="94"/>
  <c r="N37" i="94" s="1"/>
  <c r="M22" i="94"/>
  <c r="N22" i="94" s="1"/>
  <c r="M26" i="94"/>
  <c r="N26" i="94" s="1"/>
  <c r="M24" i="94"/>
  <c r="N24" i="94" s="1"/>
  <c r="M7" i="94"/>
  <c r="N7" i="94" s="1"/>
  <c r="M11" i="94"/>
  <c r="N11" i="94" s="1"/>
  <c r="M15" i="94"/>
  <c r="N15" i="94" s="1"/>
  <c r="M18" i="94"/>
  <c r="N18" i="94" s="1"/>
  <c r="M30" i="94"/>
  <c r="N30" i="94" s="1"/>
  <c r="M34" i="94"/>
  <c r="N34" i="94" s="1"/>
  <c r="M23" i="94"/>
  <c r="N23" i="94" s="1"/>
  <c r="M27" i="94"/>
  <c r="N27" i="94" s="1"/>
  <c r="M9" i="94"/>
  <c r="M13" i="94"/>
  <c r="N13" i="94" s="1"/>
  <c r="M17" i="94"/>
  <c r="N17" i="94" s="1"/>
  <c r="M20" i="94"/>
  <c r="N20" i="94" s="1"/>
  <c r="M28" i="94"/>
  <c r="M32" i="94"/>
  <c r="N32" i="94" s="1"/>
  <c r="M36" i="94"/>
  <c r="N36" i="94" s="1"/>
  <c r="M40" i="94" l="1"/>
  <c r="M18" i="93"/>
  <c r="N18" i="93" l="1"/>
  <c r="M18" i="104"/>
  <c r="M32" i="93" l="1"/>
  <c r="M36" i="93"/>
  <c r="N36" i="93" l="1"/>
  <c r="M36" i="104"/>
  <c r="N32" i="93"/>
  <c r="M32" i="104"/>
  <c r="M37" i="93" l="1"/>
  <c r="M31" i="93"/>
  <c r="M27" i="93"/>
  <c r="M23" i="93"/>
  <c r="M19" i="93"/>
  <c r="M15" i="93"/>
  <c r="M11" i="93"/>
  <c r="M7" i="93"/>
  <c r="M35" i="93"/>
  <c r="M30" i="93"/>
  <c r="M26" i="93"/>
  <c r="M22" i="93"/>
  <c r="M14" i="93"/>
  <c r="M10" i="93"/>
  <c r="M6" i="93"/>
  <c r="M34" i="93"/>
  <c r="M29" i="93"/>
  <c r="M25" i="93"/>
  <c r="M21" i="93"/>
  <c r="M17" i="93"/>
  <c r="M13" i="93"/>
  <c r="M9" i="93"/>
  <c r="M33" i="93"/>
  <c r="M28" i="93"/>
  <c r="M24" i="93"/>
  <c r="M20" i="93"/>
  <c r="M16" i="93"/>
  <c r="M12" i="93"/>
  <c r="M8" i="93"/>
  <c r="N29" i="93" l="1"/>
  <c r="M29" i="104"/>
  <c r="N34" i="93"/>
  <c r="M34" i="104"/>
  <c r="N7" i="93"/>
  <c r="M7" i="104"/>
  <c r="N25" i="93"/>
  <c r="M25" i="104"/>
  <c r="N33" i="93"/>
  <c r="M33" i="104"/>
  <c r="M40" i="93"/>
  <c r="N6" i="93"/>
  <c r="M6" i="104"/>
  <c r="N11" i="93"/>
  <c r="M11" i="104"/>
  <c r="N16" i="93"/>
  <c r="M16" i="104"/>
  <c r="N28" i="93"/>
  <c r="M28" i="104"/>
  <c r="N9" i="93"/>
  <c r="M9" i="104"/>
  <c r="N10" i="93"/>
  <c r="M10" i="104"/>
  <c r="N15" i="93"/>
  <c r="M15" i="104"/>
  <c r="N24" i="93"/>
  <c r="M24" i="104"/>
  <c r="N8" i="93"/>
  <c r="M8" i="104"/>
  <c r="N13" i="93"/>
  <c r="M13" i="104"/>
  <c r="N14" i="93"/>
  <c r="M14" i="104"/>
  <c r="N19" i="93"/>
  <c r="M19" i="104"/>
  <c r="N12" i="93"/>
  <c r="M12" i="104"/>
  <c r="N17" i="93"/>
  <c r="M17" i="104"/>
  <c r="N22" i="93"/>
  <c r="M22" i="104"/>
  <c r="N23" i="93"/>
  <c r="M23" i="104"/>
  <c r="N21" i="93"/>
  <c r="M21" i="104"/>
  <c r="N26" i="93"/>
  <c r="M26" i="104"/>
  <c r="N27" i="93"/>
  <c r="M27" i="104"/>
  <c r="N20" i="93"/>
  <c r="M20" i="104"/>
  <c r="N30" i="93"/>
  <c r="M30" i="104"/>
  <c r="N31" i="93"/>
  <c r="M31" i="104"/>
  <c r="N35" i="93"/>
  <c r="M35" i="104"/>
  <c r="N37" i="93"/>
  <c r="M37" i="104"/>
  <c r="M40" i="104" l="1"/>
  <c r="G44" i="93"/>
  <c r="N40" i="93"/>
  <c r="G43" i="93"/>
  <c r="G46" i="93" l="1"/>
  <c r="M50" i="93" s="1"/>
  <c r="O50" i="93" s="1"/>
  <c r="G22" i="101" l="1"/>
  <c r="D22" i="101" s="1"/>
  <c r="B22" i="101" s="1"/>
  <c r="G32" i="101"/>
  <c r="D32" i="101" s="1"/>
  <c r="B32" i="101" s="1"/>
  <c r="G16" i="101"/>
  <c r="D16" i="101" s="1"/>
  <c r="G17" i="101"/>
  <c r="D17" i="101" s="1"/>
  <c r="G8" i="101"/>
  <c r="D8" i="101" s="1"/>
  <c r="G29" i="101"/>
  <c r="D29" i="101" s="1"/>
  <c r="B29" i="101" s="1"/>
  <c r="G24" i="101"/>
  <c r="D24" i="101" s="1"/>
  <c r="B24" i="101" s="1"/>
  <c r="G10" i="101"/>
  <c r="D10" i="101" s="1"/>
  <c r="B10" i="101" s="1"/>
  <c r="G15" i="101"/>
  <c r="D15" i="101" s="1"/>
  <c r="B15" i="101" s="1"/>
  <c r="G31" i="101"/>
  <c r="D31" i="101" s="1"/>
  <c r="B31" i="101" s="1"/>
  <c r="G11" i="101"/>
  <c r="D11" i="101" s="1"/>
  <c r="B11" i="101" s="1"/>
  <c r="B8" i="101"/>
  <c r="G30" i="101"/>
  <c r="D30" i="101" s="1"/>
  <c r="B30" i="101" s="1"/>
  <c r="N30" i="101"/>
  <c r="B16" i="101"/>
  <c r="G9" i="101"/>
  <c r="D9" i="101" s="1"/>
  <c r="B9" i="101" s="1"/>
  <c r="N9" i="101"/>
  <c r="G25" i="101"/>
  <c r="D25" i="101" s="1"/>
  <c r="N25" i="101"/>
  <c r="G19" i="101"/>
  <c r="D19" i="101" s="1"/>
  <c r="B19" i="101" s="1"/>
  <c r="N19" i="101"/>
  <c r="B17" i="101"/>
  <c r="F31" i="101" l="1"/>
  <c r="E31" i="101" s="1"/>
  <c r="F22" i="101"/>
  <c r="E22" i="101" s="1"/>
  <c r="G43" i="101"/>
  <c r="G44" i="101"/>
  <c r="N40" i="101"/>
  <c r="F11" i="101"/>
  <c r="E11" i="101" s="1"/>
  <c r="F17" i="101"/>
  <c r="E17" i="101" s="1"/>
  <c r="F30" i="101"/>
  <c r="E30" i="101" s="1"/>
  <c r="F16" i="101"/>
  <c r="E16" i="101" s="1"/>
  <c r="F15" i="101"/>
  <c r="E15" i="101" s="1"/>
  <c r="F9" i="101"/>
  <c r="E9" i="101" s="1"/>
  <c r="F8" i="101"/>
  <c r="E8" i="101" s="1"/>
  <c r="F32" i="101"/>
  <c r="E32" i="101" s="1"/>
  <c r="F29" i="101"/>
  <c r="E29" i="101" s="1"/>
  <c r="F10" i="101"/>
  <c r="E10" i="101" s="1"/>
  <c r="F25" i="101"/>
  <c r="E25" i="101" s="1"/>
  <c r="F19" i="101"/>
  <c r="E19" i="101" s="1"/>
  <c r="F24" i="101"/>
  <c r="E24" i="101" s="1"/>
  <c r="B25" i="101"/>
  <c r="G46" i="101" l="1"/>
  <c r="M50" i="101" s="1"/>
  <c r="O50" i="101" s="1"/>
  <c r="G15" i="99"/>
  <c r="D15" i="99" s="1"/>
  <c r="B15" i="99" s="1"/>
  <c r="G24" i="99"/>
  <c r="D24" i="99" s="1"/>
  <c r="N24" i="99"/>
  <c r="G28" i="98"/>
  <c r="D28" i="98" s="1"/>
  <c r="B28" i="98" s="1"/>
  <c r="G20" i="98"/>
  <c r="D20" i="98" s="1"/>
  <c r="G35" i="98"/>
  <c r="D35" i="98" s="1"/>
  <c r="B35" i="98" s="1"/>
  <c r="G34" i="98"/>
  <c r="D34" i="98" s="1"/>
  <c r="B34" i="98" s="1"/>
  <c r="G26" i="98"/>
  <c r="D26" i="98" s="1"/>
  <c r="B26" i="98" s="1"/>
  <c r="G18" i="98"/>
  <c r="D18" i="98" s="1"/>
  <c r="B18" i="98" s="1"/>
  <c r="G33" i="98"/>
  <c r="D33" i="98" s="1"/>
  <c r="G12" i="98"/>
  <c r="D12" i="98" s="1"/>
  <c r="B12" i="98" s="1"/>
  <c r="G6" i="98"/>
  <c r="G13" i="98"/>
  <c r="D13" i="98" s="1"/>
  <c r="B13" i="98" s="1"/>
  <c r="G36" i="98" l="1"/>
  <c r="D36" i="98" s="1"/>
  <c r="G22" i="98"/>
  <c r="D22" i="98" s="1"/>
  <c r="B22" i="98" s="1"/>
  <c r="G16" i="98"/>
  <c r="D16" i="98" s="1"/>
  <c r="B16" i="98" s="1"/>
  <c r="G8" i="98"/>
  <c r="D8" i="98" s="1"/>
  <c r="B8" i="98" s="1"/>
  <c r="G30" i="98"/>
  <c r="D30" i="98" s="1"/>
  <c r="B30" i="98" s="1"/>
  <c r="G29" i="98"/>
  <c r="D29" i="98" s="1"/>
  <c r="B29" i="98" s="1"/>
  <c r="G32" i="98"/>
  <c r="D32" i="98" s="1"/>
  <c r="B32" i="98" s="1"/>
  <c r="G27" i="98"/>
  <c r="D27" i="98" s="1"/>
  <c r="B27" i="98" s="1"/>
  <c r="G11" i="98"/>
  <c r="D11" i="98" s="1"/>
  <c r="B11" i="98" s="1"/>
  <c r="G23" i="98"/>
  <c r="D23" i="98" s="1"/>
  <c r="B23" i="98" s="1"/>
  <c r="G21" i="98"/>
  <c r="D21" i="98" s="1"/>
  <c r="G14" i="98"/>
  <c r="D14" i="98" s="1"/>
  <c r="B14" i="98" s="1"/>
  <c r="G31" i="98"/>
  <c r="D31" i="98" s="1"/>
  <c r="B31" i="98" s="1"/>
  <c r="G7" i="98"/>
  <c r="D7" i="98" s="1"/>
  <c r="B7" i="98" s="1"/>
  <c r="G37" i="98"/>
  <c r="D37" i="98" s="1"/>
  <c r="B37" i="98" s="1"/>
  <c r="G15" i="98"/>
  <c r="D15" i="98" s="1"/>
  <c r="B15" i="98" s="1"/>
  <c r="D6" i="98"/>
  <c r="G25" i="98"/>
  <c r="D25" i="98" s="1"/>
  <c r="B25" i="98" s="1"/>
  <c r="N25" i="98"/>
  <c r="F15" i="99"/>
  <c r="E15" i="99" s="1"/>
  <c r="G9" i="98"/>
  <c r="D9" i="98" s="1"/>
  <c r="N9" i="98"/>
  <c r="G19" i="98"/>
  <c r="D19" i="98" s="1"/>
  <c r="N19" i="98"/>
  <c r="G10" i="98"/>
  <c r="D10" i="98" s="1"/>
  <c r="B10" i="98" s="1"/>
  <c r="N10" i="98"/>
  <c r="F24" i="99"/>
  <c r="B21" i="98"/>
  <c r="B20" i="98"/>
  <c r="B36" i="98"/>
  <c r="B33" i="98"/>
  <c r="G24" i="98"/>
  <c r="D24" i="98" s="1"/>
  <c r="N24" i="98"/>
  <c r="B24" i="99"/>
  <c r="E24" i="99"/>
  <c r="F13" i="98" l="1"/>
  <c r="E13" i="98" s="1"/>
  <c r="F6" i="98"/>
  <c r="E6" i="98" s="1"/>
  <c r="F31" i="98"/>
  <c r="E31" i="98" s="1"/>
  <c r="B9" i="98"/>
  <c r="F27" i="98"/>
  <c r="E27" i="98" s="1"/>
  <c r="F8" i="98"/>
  <c r="E8" i="98" s="1"/>
  <c r="F22" i="98"/>
  <c r="E22" i="98" s="1"/>
  <c r="F25" i="98"/>
  <c r="E25" i="98" s="1"/>
  <c r="F10" i="98"/>
  <c r="E10" i="98" s="1"/>
  <c r="F11" i="98"/>
  <c r="E11" i="98" s="1"/>
  <c r="F35" i="98"/>
  <c r="E35" i="98" s="1"/>
  <c r="F37" i="98"/>
  <c r="E37" i="98" s="1"/>
  <c r="F26" i="98"/>
  <c r="E26" i="98" s="1"/>
  <c r="F28" i="98"/>
  <c r="E28" i="98" s="1"/>
  <c r="F7" i="98"/>
  <c r="E7" i="98" s="1"/>
  <c r="F14" i="98"/>
  <c r="E14" i="98" s="1"/>
  <c r="F18" i="98"/>
  <c r="E18" i="98" s="1"/>
  <c r="F21" i="98"/>
  <c r="E21" i="98" s="1"/>
  <c r="B24" i="98"/>
  <c r="F20" i="98"/>
  <c r="E20" i="98" s="1"/>
  <c r="F9" i="98"/>
  <c r="E9" i="98" s="1"/>
  <c r="F12" i="98"/>
  <c r="E12" i="98" s="1"/>
  <c r="F29" i="98"/>
  <c r="E29" i="98" s="1"/>
  <c r="F34" i="98"/>
  <c r="E34" i="98" s="1"/>
  <c r="F23" i="98"/>
  <c r="E23" i="98" s="1"/>
  <c r="F19" i="98"/>
  <c r="E19" i="98" s="1"/>
  <c r="F32" i="98"/>
  <c r="E32" i="98" s="1"/>
  <c r="F30" i="98"/>
  <c r="E30" i="98" s="1"/>
  <c r="B19" i="98"/>
  <c r="F16" i="98"/>
  <c r="E16" i="98" s="1"/>
  <c r="F24" i="98"/>
  <c r="E24" i="98" s="1"/>
  <c r="F36" i="98"/>
  <c r="E36" i="98" s="1"/>
  <c r="F33" i="98"/>
  <c r="E33" i="98" s="1"/>
  <c r="F15" i="98"/>
  <c r="E15" i="98" s="1"/>
  <c r="G43" i="98"/>
  <c r="G44" i="98"/>
  <c r="N40" i="98"/>
  <c r="B6" i="98"/>
  <c r="G46" i="98" l="1"/>
  <c r="M50" i="98" s="1"/>
  <c r="O50" i="98" s="1"/>
  <c r="G6" i="92" l="1"/>
  <c r="G6" i="93"/>
  <c r="D6" i="92" l="1"/>
  <c r="D6" i="93"/>
  <c r="G30" i="97" l="1"/>
  <c r="D30" i="97" s="1"/>
  <c r="B30" i="97" s="1"/>
  <c r="F6" i="92"/>
  <c r="B6" i="93"/>
  <c r="F6" i="93"/>
  <c r="B6" i="92"/>
  <c r="G29" i="97" l="1"/>
  <c r="D29" i="97" s="1"/>
  <c r="B29" i="97" s="1"/>
  <c r="G24" i="97"/>
  <c r="D24" i="97" s="1"/>
  <c r="B24" i="97" s="1"/>
  <c r="G10" i="97"/>
  <c r="D10" i="97" s="1"/>
  <c r="B10" i="97" s="1"/>
  <c r="E6" i="93"/>
  <c r="F30" i="97"/>
  <c r="E30" i="97" s="1"/>
  <c r="E6" i="92"/>
  <c r="G20" i="97"/>
  <c r="D20" i="97" s="1"/>
  <c r="B20" i="97" s="1"/>
  <c r="G17" i="97" l="1"/>
  <c r="D17" i="97" s="1"/>
  <c r="B17" i="97" s="1"/>
  <c r="G8" i="97"/>
  <c r="D8" i="97" s="1"/>
  <c r="G32" i="97"/>
  <c r="D32" i="97" s="1"/>
  <c r="B32" i="97" s="1"/>
  <c r="G19" i="97"/>
  <c r="D19" i="97" s="1"/>
  <c r="B19" i="97" s="1"/>
  <c r="G23" i="97"/>
  <c r="D23" i="97" s="1"/>
  <c r="B23" i="97" s="1"/>
  <c r="G31" i="97"/>
  <c r="D31" i="97" s="1"/>
  <c r="B31" i="97" s="1"/>
  <c r="G7" i="97"/>
  <c r="D7" i="97" s="1"/>
  <c r="G11" i="97"/>
  <c r="D11" i="97" s="1"/>
  <c r="B11" i="97" s="1"/>
  <c r="G25" i="97"/>
  <c r="D25" i="97" s="1"/>
  <c r="N25" i="97"/>
  <c r="F10" i="97"/>
  <c r="E10" i="97" s="1"/>
  <c r="F24" i="97"/>
  <c r="E24" i="97" s="1"/>
  <c r="G16" i="97"/>
  <c r="D16" i="97" s="1"/>
  <c r="B16" i="97" s="1"/>
  <c r="N16" i="97"/>
  <c r="F29" i="97"/>
  <c r="E29" i="97" s="1"/>
  <c r="G10" i="96"/>
  <c r="D10" i="96" s="1"/>
  <c r="N10" i="96"/>
  <c r="B8" i="97"/>
  <c r="G19" i="96" l="1"/>
  <c r="D19" i="96" s="1"/>
  <c r="B19" i="96" s="1"/>
  <c r="G31" i="96"/>
  <c r="D31" i="96" s="1"/>
  <c r="B31" i="96" s="1"/>
  <c r="G23" i="96"/>
  <c r="D23" i="96" s="1"/>
  <c r="B23" i="96" s="1"/>
  <c r="F23" i="97"/>
  <c r="E23" i="97" s="1"/>
  <c r="N40" i="97"/>
  <c r="G43" i="97"/>
  <c r="G46" i="97" s="1"/>
  <c r="M50" i="97" s="1"/>
  <c r="O50" i="97" s="1"/>
  <c r="G44" i="97"/>
  <c r="F17" i="97"/>
  <c r="E17" i="97" s="1"/>
  <c r="F19" i="97"/>
  <c r="E19" i="97" s="1"/>
  <c r="F20" i="97"/>
  <c r="E20" i="97" s="1"/>
  <c r="F31" i="97"/>
  <c r="E31" i="97" s="1"/>
  <c r="B7" i="97"/>
  <c r="F10" i="96"/>
  <c r="E10" i="96" s="1"/>
  <c r="N40" i="96"/>
  <c r="G43" i="96"/>
  <c r="G44" i="96"/>
  <c r="F32" i="97"/>
  <c r="E32" i="97" s="1"/>
  <c r="B10" i="96"/>
  <c r="F16" i="97"/>
  <c r="E16" i="97" s="1"/>
  <c r="F8" i="97"/>
  <c r="E8" i="97" s="1"/>
  <c r="F7" i="97"/>
  <c r="F25" i="97"/>
  <c r="E25" i="97" s="1"/>
  <c r="F11" i="97"/>
  <c r="E11" i="97" s="1"/>
  <c r="B25" i="97"/>
  <c r="G17" i="96" l="1"/>
  <c r="D17" i="96" s="1"/>
  <c r="B17" i="96" s="1"/>
  <c r="G22" i="96"/>
  <c r="D22" i="96" s="1"/>
  <c r="B22" i="96" s="1"/>
  <c r="G32" i="96"/>
  <c r="D32" i="96" s="1"/>
  <c r="B32" i="96" s="1"/>
  <c r="G9" i="96"/>
  <c r="D9" i="96" s="1"/>
  <c r="B9" i="96" s="1"/>
  <c r="G24" i="96"/>
  <c r="D24" i="96" s="1"/>
  <c r="B24" i="96" s="1"/>
  <c r="F23" i="96"/>
  <c r="E23" i="96" s="1"/>
  <c r="E7" i="97"/>
  <c r="F31" i="96"/>
  <c r="E31" i="96" s="1"/>
  <c r="G46" i="96"/>
  <c r="M50" i="96" s="1"/>
  <c r="O50" i="96" s="1"/>
  <c r="F19" i="96"/>
  <c r="E19" i="96" s="1"/>
  <c r="G11" i="96" l="1"/>
  <c r="D11" i="96" s="1"/>
  <c r="B11" i="96" s="1"/>
  <c r="F22" i="96"/>
  <c r="E22" i="96" s="1"/>
  <c r="F24" i="96"/>
  <c r="E24" i="96" s="1"/>
  <c r="F17" i="96"/>
  <c r="E17" i="96" s="1"/>
  <c r="F9" i="96"/>
  <c r="E9" i="96" s="1"/>
  <c r="F32" i="96"/>
  <c r="E32" i="96" s="1"/>
  <c r="G17" i="95" l="1"/>
  <c r="D17" i="95" s="1"/>
  <c r="B17" i="95" s="1"/>
  <c r="G19" i="95"/>
  <c r="D19" i="95" s="1"/>
  <c r="B19" i="95" s="1"/>
  <c r="G28" i="95"/>
  <c r="D28" i="95" s="1"/>
  <c r="N28" i="95"/>
  <c r="F11" i="96"/>
  <c r="E11" i="96" s="1"/>
  <c r="G9" i="95"/>
  <c r="D9" i="95" s="1"/>
  <c r="N9" i="95"/>
  <c r="G25" i="95"/>
  <c r="D25" i="95" s="1"/>
  <c r="B25" i="95" s="1"/>
  <c r="G30" i="95" l="1"/>
  <c r="D30" i="95" s="1"/>
  <c r="B30" i="95" s="1"/>
  <c r="G32" i="95"/>
  <c r="D32" i="95" s="1"/>
  <c r="B32" i="95" s="1"/>
  <c r="G8" i="95"/>
  <c r="D8" i="95" s="1"/>
  <c r="B8" i="95" s="1"/>
  <c r="G22" i="95"/>
  <c r="D22" i="95" s="1"/>
  <c r="B22" i="95" s="1"/>
  <c r="G31" i="95"/>
  <c r="D31" i="95" s="1"/>
  <c r="B31" i="95" s="1"/>
  <c r="G24" i="95"/>
  <c r="D24" i="95" s="1"/>
  <c r="B24" i="95" s="1"/>
  <c r="B9" i="95"/>
  <c r="F28" i="95"/>
  <c r="E28" i="95" s="1"/>
  <c r="G10" i="95"/>
  <c r="D10" i="95" s="1"/>
  <c r="B10" i="95" s="1"/>
  <c r="N10" i="95"/>
  <c r="G44" i="95" s="1"/>
  <c r="F17" i="95"/>
  <c r="E17" i="95" s="1"/>
  <c r="F9" i="95"/>
  <c r="E9" i="95" s="1"/>
  <c r="F19" i="95"/>
  <c r="E19" i="95" s="1"/>
  <c r="B28" i="95"/>
  <c r="G20" i="99"/>
  <c r="D20" i="99" s="1"/>
  <c r="G12" i="103"/>
  <c r="D12" i="103" s="1"/>
  <c r="G13" i="95"/>
  <c r="D13" i="95" s="1"/>
  <c r="G6" i="96"/>
  <c r="G18" i="96"/>
  <c r="D18" i="96" s="1"/>
  <c r="B18" i="96" s="1"/>
  <c r="G34" i="96"/>
  <c r="D34" i="96" s="1"/>
  <c r="G35" i="97"/>
  <c r="D35" i="97" s="1"/>
  <c r="B35" i="97" s="1"/>
  <c r="G12" i="99"/>
  <c r="D12" i="99" s="1"/>
  <c r="B12" i="99" s="1"/>
  <c r="G25" i="99"/>
  <c r="D25" i="99" s="1"/>
  <c r="B25" i="99" s="1"/>
  <c r="G33" i="99"/>
  <c r="D33" i="99" s="1"/>
  <c r="B33" i="99" s="1"/>
  <c r="G18" i="100"/>
  <c r="D18" i="100" s="1"/>
  <c r="B18" i="100" s="1"/>
  <c r="G26" i="100"/>
  <c r="D26" i="100" s="1"/>
  <c r="B26" i="100" s="1"/>
  <c r="G34" i="100"/>
  <c r="D34" i="100" s="1"/>
  <c r="G13" i="101"/>
  <c r="D13" i="101" s="1"/>
  <c r="G28" i="101"/>
  <c r="D28" i="101" s="1"/>
  <c r="G26" i="95"/>
  <c r="D26" i="95" s="1"/>
  <c r="G26" i="96"/>
  <c r="D26" i="96" s="1"/>
  <c r="B26" i="96" s="1"/>
  <c r="G12" i="95"/>
  <c r="D12" i="95" s="1"/>
  <c r="B12" i="95" s="1"/>
  <c r="G35" i="101"/>
  <c r="D35" i="101" s="1"/>
  <c r="G12" i="102"/>
  <c r="D12" i="102" s="1"/>
  <c r="G20" i="102"/>
  <c r="D20" i="102" s="1"/>
  <c r="B20" i="102" s="1"/>
  <c r="G13" i="103"/>
  <c r="D13" i="103" s="1"/>
  <c r="G13" i="97"/>
  <c r="D13" i="97" s="1"/>
  <c r="G18" i="101"/>
  <c r="D18" i="101" s="1"/>
  <c r="B18" i="101" s="1"/>
  <c r="G35" i="96"/>
  <c r="D35" i="96" s="1"/>
  <c r="B35" i="96" s="1"/>
  <c r="G26" i="97"/>
  <c r="D26" i="97" s="1"/>
  <c r="B26" i="97" s="1"/>
  <c r="G13" i="99"/>
  <c r="D13" i="99" s="1"/>
  <c r="B13" i="99" s="1"/>
  <c r="G26" i="99"/>
  <c r="D26" i="99" s="1"/>
  <c r="B26" i="99" s="1"/>
  <c r="G34" i="99"/>
  <c r="D34" i="99" s="1"/>
  <c r="B34" i="99" s="1"/>
  <c r="G35" i="100"/>
  <c r="D35" i="100" s="1"/>
  <c r="B35" i="100" s="1"/>
  <c r="G20" i="101"/>
  <c r="D20" i="101" s="1"/>
  <c r="B20" i="101" s="1"/>
  <c r="G20" i="93"/>
  <c r="D20" i="93" s="1"/>
  <c r="B20" i="93" s="1"/>
  <c r="G18" i="97"/>
  <c r="D18" i="97" s="1"/>
  <c r="B18" i="97" s="1"/>
  <c r="G35" i="102"/>
  <c r="D35" i="102" s="1"/>
  <c r="B35" i="102" s="1"/>
  <c r="G35" i="95"/>
  <c r="D35" i="95" s="1"/>
  <c r="B35" i="95" s="1"/>
  <c r="G20" i="95"/>
  <c r="D20" i="95" s="1"/>
  <c r="B20" i="95" s="1"/>
  <c r="G18" i="99"/>
  <c r="D18" i="99" s="1"/>
  <c r="G26" i="101"/>
  <c r="D26" i="101" s="1"/>
  <c r="G13" i="102"/>
  <c r="D13" i="102" s="1"/>
  <c r="G25" i="102"/>
  <c r="D25" i="102" s="1"/>
  <c r="G33" i="102"/>
  <c r="D33" i="102" s="1"/>
  <c r="B33" i="102" s="1"/>
  <c r="G26" i="103"/>
  <c r="D26" i="103" s="1"/>
  <c r="G34" i="103"/>
  <c r="D34" i="103" s="1"/>
  <c r="G34" i="95"/>
  <c r="D34" i="95" s="1"/>
  <c r="B34" i="95" s="1"/>
  <c r="G20" i="96"/>
  <c r="D20" i="96" s="1"/>
  <c r="B20" i="96" s="1"/>
  <c r="G28" i="96"/>
  <c r="D28" i="96" s="1"/>
  <c r="B28" i="96" s="1"/>
  <c r="G33" i="97"/>
  <c r="D33" i="97" s="1"/>
  <c r="B33" i="97" s="1"/>
  <c r="G6" i="99"/>
  <c r="G35" i="99"/>
  <c r="D35" i="99" s="1"/>
  <c r="B35" i="99" s="1"/>
  <c r="G12" i="100"/>
  <c r="D12" i="100" s="1"/>
  <c r="G20" i="100"/>
  <c r="D20" i="100" s="1"/>
  <c r="B20" i="100" s="1"/>
  <c r="G34" i="101"/>
  <c r="D34" i="101" s="1"/>
  <c r="B34" i="101" s="1"/>
  <c r="G18" i="95"/>
  <c r="D18" i="95" s="1"/>
  <c r="B18" i="95" s="1"/>
  <c r="G6" i="95"/>
  <c r="G12" i="96"/>
  <c r="D12" i="96" s="1"/>
  <c r="G33" i="95"/>
  <c r="D33" i="95" s="1"/>
  <c r="B33" i="95" s="1"/>
  <c r="G12" i="97"/>
  <c r="D12" i="97" s="1"/>
  <c r="B12" i="97" s="1"/>
  <c r="G33" i="101"/>
  <c r="D33" i="101" s="1"/>
  <c r="B33" i="101" s="1"/>
  <c r="G6" i="102"/>
  <c r="G18" i="102"/>
  <c r="D18" i="102" s="1"/>
  <c r="B18" i="102" s="1"/>
  <c r="G26" i="102"/>
  <c r="D26" i="102" s="1"/>
  <c r="B26" i="102" s="1"/>
  <c r="G34" i="102"/>
  <c r="D34" i="102" s="1"/>
  <c r="B34" i="102" s="1"/>
  <c r="G13" i="96"/>
  <c r="D13" i="96" s="1"/>
  <c r="G25" i="96"/>
  <c r="D25" i="96" s="1"/>
  <c r="G33" i="96"/>
  <c r="D33" i="96" s="1"/>
  <c r="G28" i="97"/>
  <c r="D28" i="97" s="1"/>
  <c r="G34" i="97"/>
  <c r="D34" i="97" s="1"/>
  <c r="B34" i="97" s="1"/>
  <c r="G13" i="100"/>
  <c r="D13" i="100" s="1"/>
  <c r="G33" i="100"/>
  <c r="D33" i="100" s="1"/>
  <c r="B33" i="100" s="1"/>
  <c r="G6" i="101"/>
  <c r="G12" i="101"/>
  <c r="D12" i="101" s="1"/>
  <c r="B12" i="101" s="1"/>
  <c r="G22" i="102" l="1"/>
  <c r="D22" i="102" s="1"/>
  <c r="G36" i="96"/>
  <c r="D36" i="96" s="1"/>
  <c r="B36" i="96" s="1"/>
  <c r="G17" i="102"/>
  <c r="D17" i="102" s="1"/>
  <c r="G32" i="99"/>
  <c r="D32" i="99" s="1"/>
  <c r="G36" i="100"/>
  <c r="D36" i="100" s="1"/>
  <c r="B36" i="100" s="1"/>
  <c r="G22" i="99"/>
  <c r="D22" i="99" s="1"/>
  <c r="B22" i="99" s="1"/>
  <c r="G30" i="99"/>
  <c r="D30" i="99" s="1"/>
  <c r="G29" i="96"/>
  <c r="D29" i="96" s="1"/>
  <c r="B29" i="96" s="1"/>
  <c r="G30" i="102"/>
  <c r="D30" i="102" s="1"/>
  <c r="G17" i="100"/>
  <c r="D17" i="100" s="1"/>
  <c r="B17" i="100" s="1"/>
  <c r="G29" i="95"/>
  <c r="D29" i="95" s="1"/>
  <c r="B29" i="95" s="1"/>
  <c r="G22" i="97"/>
  <c r="D22" i="97" s="1"/>
  <c r="B22" i="97" s="1"/>
  <c r="G16" i="95"/>
  <c r="D16" i="95" s="1"/>
  <c r="G17" i="99"/>
  <c r="D17" i="99" s="1"/>
  <c r="B17" i="99" s="1"/>
  <c r="G36" i="99"/>
  <c r="D36" i="99" s="1"/>
  <c r="B36" i="99" s="1"/>
  <c r="G8" i="96"/>
  <c r="D8" i="96" s="1"/>
  <c r="B8" i="96" s="1"/>
  <c r="G36" i="97"/>
  <c r="D36" i="97" s="1"/>
  <c r="B36" i="97" s="1"/>
  <c r="G30" i="96"/>
  <c r="D30" i="96" s="1"/>
  <c r="B30" i="96" s="1"/>
  <c r="G17" i="103"/>
  <c r="D17" i="103" s="1"/>
  <c r="B17" i="103" s="1"/>
  <c r="G32" i="100"/>
  <c r="D32" i="100" s="1"/>
  <c r="B32" i="100" s="1"/>
  <c r="G36" i="101"/>
  <c r="D36" i="101" s="1"/>
  <c r="G30" i="103"/>
  <c r="D30" i="103" s="1"/>
  <c r="B30" i="103" s="1"/>
  <c r="G29" i="102"/>
  <c r="D29" i="102" s="1"/>
  <c r="G32" i="102"/>
  <c r="D32" i="102" s="1"/>
  <c r="B32" i="102" s="1"/>
  <c r="G16" i="102"/>
  <c r="D16" i="102" s="1"/>
  <c r="B16" i="102" s="1"/>
  <c r="G8" i="102"/>
  <c r="D8" i="102" s="1"/>
  <c r="B8" i="102" s="1"/>
  <c r="G32" i="103"/>
  <c r="D32" i="103" s="1"/>
  <c r="B32" i="103" s="1"/>
  <c r="G29" i="99"/>
  <c r="D29" i="99" s="1"/>
  <c r="B29" i="99" s="1"/>
  <c r="G29" i="100"/>
  <c r="D29" i="100" s="1"/>
  <c r="B29" i="100" s="1"/>
  <c r="G8" i="100"/>
  <c r="D8" i="100" s="1"/>
  <c r="B8" i="100" s="1"/>
  <c r="G16" i="96"/>
  <c r="D16" i="96" s="1"/>
  <c r="B16" i="96" s="1"/>
  <c r="G16" i="99"/>
  <c r="D16" i="99" s="1"/>
  <c r="G36" i="95"/>
  <c r="D36" i="95" s="1"/>
  <c r="G36" i="102"/>
  <c r="D36" i="102" s="1"/>
  <c r="G16" i="103"/>
  <c r="D16" i="103" s="1"/>
  <c r="B16" i="103" s="1"/>
  <c r="G30" i="100"/>
  <c r="D30" i="100" s="1"/>
  <c r="G22" i="100"/>
  <c r="D22" i="100" s="1"/>
  <c r="B22" i="100" s="1"/>
  <c r="G8" i="99"/>
  <c r="D8" i="99" s="1"/>
  <c r="B8" i="99" s="1"/>
  <c r="G31" i="103"/>
  <c r="D31" i="103" s="1"/>
  <c r="B31" i="103" s="1"/>
  <c r="G7" i="96"/>
  <c r="D7" i="96" s="1"/>
  <c r="B7" i="96" s="1"/>
  <c r="G14" i="96"/>
  <c r="D14" i="96" s="1"/>
  <c r="B14" i="96" s="1"/>
  <c r="G31" i="102"/>
  <c r="D31" i="102" s="1"/>
  <c r="B31" i="102" s="1"/>
  <c r="G21" i="95"/>
  <c r="D21" i="95" s="1"/>
  <c r="B21" i="95" s="1"/>
  <c r="G7" i="100"/>
  <c r="G23" i="102"/>
  <c r="D23" i="102" s="1"/>
  <c r="B23" i="102" s="1"/>
  <c r="G21" i="102"/>
  <c r="D21" i="102" s="1"/>
  <c r="B21" i="102" s="1"/>
  <c r="G7" i="99"/>
  <c r="G19" i="102"/>
  <c r="D19" i="102" s="1"/>
  <c r="B19" i="102" s="1"/>
  <c r="G15" i="102"/>
  <c r="D15" i="102" s="1"/>
  <c r="B15" i="102" s="1"/>
  <c r="G19" i="100"/>
  <c r="D19" i="100" s="1"/>
  <c r="B19" i="100" s="1"/>
  <c r="G9" i="97"/>
  <c r="D9" i="97" s="1"/>
  <c r="G14" i="100"/>
  <c r="D14" i="100" s="1"/>
  <c r="B14" i="100" s="1"/>
  <c r="G11" i="102"/>
  <c r="D11" i="102" s="1"/>
  <c r="B11" i="102" s="1"/>
  <c r="G7" i="95"/>
  <c r="G14" i="99"/>
  <c r="D14" i="99" s="1"/>
  <c r="B14" i="99" s="1"/>
  <c r="G11" i="100"/>
  <c r="D11" i="100" s="1"/>
  <c r="B11" i="100" s="1"/>
  <c r="G9" i="99"/>
  <c r="D9" i="99" s="1"/>
  <c r="B9" i="99" s="1"/>
  <c r="G37" i="103"/>
  <c r="D37" i="103" s="1"/>
  <c r="B37" i="103" s="1"/>
  <c r="G14" i="97"/>
  <c r="D14" i="97" s="1"/>
  <c r="B14" i="97" s="1"/>
  <c r="G21" i="97"/>
  <c r="D21" i="97" s="1"/>
  <c r="B21" i="97" s="1"/>
  <c r="G23" i="101"/>
  <c r="D23" i="101" s="1"/>
  <c r="B23" i="101" s="1"/>
  <c r="G27" i="100"/>
  <c r="D27" i="100" s="1"/>
  <c r="B27" i="100" s="1"/>
  <c r="G37" i="101"/>
  <c r="D37" i="101" s="1"/>
  <c r="B37" i="101" s="1"/>
  <c r="G19" i="99"/>
  <c r="D19" i="99" s="1"/>
  <c r="B19" i="99" s="1"/>
  <c r="G21" i="101"/>
  <c r="D21" i="101" s="1"/>
  <c r="B21" i="101" s="1"/>
  <c r="G24" i="100"/>
  <c r="D24" i="100" s="1"/>
  <c r="B24" i="100" s="1"/>
  <c r="G31" i="99"/>
  <c r="D31" i="99" s="1"/>
  <c r="B31" i="99" s="1"/>
  <c r="G37" i="102"/>
  <c r="D37" i="102" s="1"/>
  <c r="B37" i="102" s="1"/>
  <c r="G15" i="97"/>
  <c r="D15" i="97" s="1"/>
  <c r="B15" i="97" s="1"/>
  <c r="G31" i="100"/>
  <c r="D31" i="100" s="1"/>
  <c r="B31" i="100" s="1"/>
  <c r="G24" i="102"/>
  <c r="D24" i="102" s="1"/>
  <c r="G21" i="99"/>
  <c r="D21" i="99" s="1"/>
  <c r="G37" i="95"/>
  <c r="D37" i="95" s="1"/>
  <c r="B37" i="95" s="1"/>
  <c r="G10" i="100"/>
  <c r="D10" i="100" s="1"/>
  <c r="B10" i="100" s="1"/>
  <c r="G15" i="95"/>
  <c r="D15" i="95" s="1"/>
  <c r="B15" i="95" s="1"/>
  <c r="G37" i="96"/>
  <c r="D37" i="96" s="1"/>
  <c r="B37" i="96" s="1"/>
  <c r="G23" i="99"/>
  <c r="D23" i="99" s="1"/>
  <c r="B23" i="99" s="1"/>
  <c r="G27" i="99"/>
  <c r="D27" i="99" s="1"/>
  <c r="B27" i="99" s="1"/>
  <c r="G10" i="99"/>
  <c r="D10" i="99" s="1"/>
  <c r="B10" i="99" s="1"/>
  <c r="G37" i="97"/>
  <c r="D37" i="97" s="1"/>
  <c r="B37" i="97" s="1"/>
  <c r="G27" i="97"/>
  <c r="D27" i="97" s="1"/>
  <c r="B27" i="97" s="1"/>
  <c r="G15" i="96"/>
  <c r="D15" i="96" s="1"/>
  <c r="B15" i="96" s="1"/>
  <c r="G14" i="101"/>
  <c r="D14" i="101" s="1"/>
  <c r="B14" i="101" s="1"/>
  <c r="G23" i="100"/>
  <c r="D23" i="100" s="1"/>
  <c r="B23" i="100" s="1"/>
  <c r="G15" i="100"/>
  <c r="D15" i="100" s="1"/>
  <c r="B15" i="100" s="1"/>
  <c r="G27" i="96"/>
  <c r="D27" i="96" s="1"/>
  <c r="B27" i="96" s="1"/>
  <c r="G21" i="103"/>
  <c r="D21" i="103" s="1"/>
  <c r="G27" i="95"/>
  <c r="D27" i="95" s="1"/>
  <c r="B27" i="95" s="1"/>
  <c r="G27" i="101"/>
  <c r="D27" i="101" s="1"/>
  <c r="G27" i="102"/>
  <c r="D27" i="102" s="1"/>
  <c r="B27" i="102" s="1"/>
  <c r="G37" i="99"/>
  <c r="D37" i="99" s="1"/>
  <c r="B37" i="99" s="1"/>
  <c r="G10" i="102"/>
  <c r="D10" i="102" s="1"/>
  <c r="B10" i="102" s="1"/>
  <c r="G21" i="96"/>
  <c r="D21" i="96" s="1"/>
  <c r="B21" i="96" s="1"/>
  <c r="G37" i="100"/>
  <c r="D37" i="100" s="1"/>
  <c r="B37" i="100" s="1"/>
  <c r="G21" i="100"/>
  <c r="D21" i="100" s="1"/>
  <c r="B21" i="100" s="1"/>
  <c r="G11" i="99"/>
  <c r="D11" i="99" s="1"/>
  <c r="G27" i="103"/>
  <c r="D27" i="103" s="1"/>
  <c r="B27" i="103" s="1"/>
  <c r="G14" i="102"/>
  <c r="D14" i="102" s="1"/>
  <c r="B14" i="102" s="1"/>
  <c r="G14" i="95"/>
  <c r="D14" i="95" s="1"/>
  <c r="B14" i="95" s="1"/>
  <c r="G11" i="95"/>
  <c r="D11" i="95" s="1"/>
  <c r="B11" i="95" s="1"/>
  <c r="G24" i="103"/>
  <c r="D24" i="103" s="1"/>
  <c r="B24" i="103" s="1"/>
  <c r="G7" i="102"/>
  <c r="D7" i="102" s="1"/>
  <c r="G23" i="95"/>
  <c r="D23" i="95" s="1"/>
  <c r="B23" i="95" s="1"/>
  <c r="G7" i="101"/>
  <c r="D7" i="101" s="1"/>
  <c r="B28" i="97"/>
  <c r="B21" i="103"/>
  <c r="B36" i="102"/>
  <c r="B12" i="102"/>
  <c r="B35" i="101"/>
  <c r="B26" i="95"/>
  <c r="B30" i="100"/>
  <c r="B22" i="102"/>
  <c r="B17" i="102"/>
  <c r="B18" i="99"/>
  <c r="B13" i="103"/>
  <c r="B28" i="101"/>
  <c r="B34" i="96"/>
  <c r="F24" i="95"/>
  <c r="E24" i="95" s="1"/>
  <c r="B11" i="99"/>
  <c r="B32" i="99"/>
  <c r="D6" i="102"/>
  <c r="G28" i="100"/>
  <c r="D28" i="100" s="1"/>
  <c r="B28" i="100" s="1"/>
  <c r="N28" i="100"/>
  <c r="B12" i="100"/>
  <c r="F32" i="95"/>
  <c r="E32" i="95" s="1"/>
  <c r="G9" i="102"/>
  <c r="D9" i="102" s="1"/>
  <c r="N9" i="102"/>
  <c r="D7" i="100"/>
  <c r="B30" i="99"/>
  <c r="B13" i="97"/>
  <c r="F30" i="95"/>
  <c r="E30" i="95" s="1"/>
  <c r="G28" i="102"/>
  <c r="D28" i="102" s="1"/>
  <c r="N28" i="102"/>
  <c r="B13" i="95"/>
  <c r="B13" i="100"/>
  <c r="B30" i="102"/>
  <c r="G25" i="100"/>
  <c r="D25" i="100" s="1"/>
  <c r="B25" i="100" s="1"/>
  <c r="N25" i="100"/>
  <c r="G9" i="100"/>
  <c r="D9" i="100" s="1"/>
  <c r="N9" i="100"/>
  <c r="D7" i="99"/>
  <c r="B7" i="99" s="1"/>
  <c r="B16" i="95"/>
  <c r="B12" i="96"/>
  <c r="B34" i="103"/>
  <c r="G6" i="100"/>
  <c r="N6" i="100"/>
  <c r="B12" i="103"/>
  <c r="B33" i="96"/>
  <c r="B25" i="96"/>
  <c r="B13" i="96"/>
  <c r="B27" i="101"/>
  <c r="B26" i="103"/>
  <c r="B25" i="102"/>
  <c r="F25" i="95"/>
  <c r="E25" i="95" s="1"/>
  <c r="F22" i="95"/>
  <c r="E22" i="95" s="1"/>
  <c r="B36" i="101"/>
  <c r="D7" i="95"/>
  <c r="B7" i="95" s="1"/>
  <c r="F31" i="95"/>
  <c r="E31" i="95" s="1"/>
  <c r="B34" i="100"/>
  <c r="G28" i="103"/>
  <c r="D28" i="103" s="1"/>
  <c r="N28" i="103"/>
  <c r="G28" i="99"/>
  <c r="D28" i="99" s="1"/>
  <c r="N28" i="99"/>
  <c r="G16" i="100"/>
  <c r="D16" i="100" s="1"/>
  <c r="B16" i="100" s="1"/>
  <c r="N16" i="100"/>
  <c r="F8" i="95"/>
  <c r="E8" i="95" s="1"/>
  <c r="B29" i="102"/>
  <c r="B13" i="102"/>
  <c r="F10" i="95"/>
  <c r="E10" i="95" s="1"/>
  <c r="B13" i="101"/>
  <c r="D6" i="96"/>
  <c r="B20" i="99"/>
  <c r="G43" i="95"/>
  <c r="G46" i="95" s="1"/>
  <c r="M50" i="95" s="1"/>
  <c r="O50" i="95" s="1"/>
  <c r="D6" i="101"/>
  <c r="D6" i="95"/>
  <c r="D6" i="99"/>
  <c r="B16" i="99"/>
  <c r="B26" i="101"/>
  <c r="B36" i="95"/>
  <c r="B24" i="102"/>
  <c r="B21" i="99"/>
  <c r="N40" i="95"/>
  <c r="D43" i="101" l="1"/>
  <c r="G40" i="97"/>
  <c r="M49" i="95"/>
  <c r="O49" i="95" s="1"/>
  <c r="D44" i="99"/>
  <c r="B7" i="101"/>
  <c r="D44" i="101"/>
  <c r="J44" i="101" s="1"/>
  <c r="M49" i="97"/>
  <c r="O49" i="97" s="1"/>
  <c r="G40" i="99"/>
  <c r="D44" i="97"/>
  <c r="J44" i="97" s="1"/>
  <c r="G40" i="95"/>
  <c r="D44" i="102"/>
  <c r="E16" i="103"/>
  <c r="M49" i="102"/>
  <c r="O49" i="102" s="1"/>
  <c r="D43" i="95"/>
  <c r="J43" i="95" s="1"/>
  <c r="E17" i="103"/>
  <c r="D44" i="95"/>
  <c r="J44" i="95" s="1"/>
  <c r="D43" i="96"/>
  <c r="G40" i="96"/>
  <c r="M49" i="96"/>
  <c r="O49" i="96" s="1"/>
  <c r="E31" i="103"/>
  <c r="M49" i="101"/>
  <c r="O49" i="101" s="1"/>
  <c r="G40" i="101"/>
  <c r="D44" i="96"/>
  <c r="J44" i="96" s="1"/>
  <c r="F12" i="101"/>
  <c r="E12" i="101" s="1"/>
  <c r="F13" i="95"/>
  <c r="E13" i="95" s="1"/>
  <c r="F30" i="99"/>
  <c r="E30" i="99" s="1"/>
  <c r="F6" i="95"/>
  <c r="F19" i="99"/>
  <c r="E19" i="99" s="1"/>
  <c r="F20" i="95"/>
  <c r="E20" i="95" s="1"/>
  <c r="F14" i="97"/>
  <c r="E14" i="97" s="1"/>
  <c r="F36" i="99"/>
  <c r="E36" i="99" s="1"/>
  <c r="F9" i="97"/>
  <c r="E9" i="97" s="1"/>
  <c r="F25" i="100"/>
  <c r="E25" i="100" s="1"/>
  <c r="F6" i="100"/>
  <c r="F37" i="99"/>
  <c r="E37" i="99" s="1"/>
  <c r="F20" i="100"/>
  <c r="E20" i="100" s="1"/>
  <c r="F25" i="99"/>
  <c r="E25" i="99" s="1"/>
  <c r="F31" i="102"/>
  <c r="E31" i="102" s="1"/>
  <c r="F7" i="102"/>
  <c r="F34" i="101"/>
  <c r="E34" i="101" s="1"/>
  <c r="F32" i="99"/>
  <c r="E32" i="99" s="1"/>
  <c r="F12" i="102"/>
  <c r="E12" i="102" s="1"/>
  <c r="F33" i="102"/>
  <c r="E33" i="102" s="1"/>
  <c r="F11" i="99"/>
  <c r="E11" i="99" s="1"/>
  <c r="F23" i="100"/>
  <c r="E23" i="100" s="1"/>
  <c r="F37" i="96"/>
  <c r="E37" i="96" s="1"/>
  <c r="F36" i="97"/>
  <c r="E36" i="97" s="1"/>
  <c r="F37" i="100"/>
  <c r="E37" i="100" s="1"/>
  <c r="F28" i="100"/>
  <c r="E28" i="100" s="1"/>
  <c r="F12" i="99"/>
  <c r="E12" i="99" s="1"/>
  <c r="F21" i="97"/>
  <c r="E21" i="97" s="1"/>
  <c r="F13" i="102"/>
  <c r="E13" i="102" s="1"/>
  <c r="D40" i="95"/>
  <c r="B6" i="95"/>
  <c r="B39" i="95" s="1"/>
  <c r="B40" i="95"/>
  <c r="J43" i="96"/>
  <c r="G44" i="100"/>
  <c r="G43" i="100"/>
  <c r="N40" i="100"/>
  <c r="E34" i="103"/>
  <c r="M49" i="99"/>
  <c r="O49" i="99" s="1"/>
  <c r="E13" i="103"/>
  <c r="F27" i="99"/>
  <c r="E27" i="99" s="1"/>
  <c r="F34" i="100"/>
  <c r="E34" i="100" s="1"/>
  <c r="F27" i="97"/>
  <c r="E27" i="97" s="1"/>
  <c r="F6" i="102"/>
  <c r="E6" i="102" s="1"/>
  <c r="F26" i="96"/>
  <c r="E26" i="96" s="1"/>
  <c r="F18" i="99"/>
  <c r="E18" i="99" s="1"/>
  <c r="F24" i="100"/>
  <c r="E24" i="100" s="1"/>
  <c r="F23" i="99"/>
  <c r="E23" i="99" s="1"/>
  <c r="F14" i="102"/>
  <c r="E14" i="102" s="1"/>
  <c r="F34" i="96"/>
  <c r="E34" i="96" s="1"/>
  <c r="F26" i="95"/>
  <c r="E26" i="95" s="1"/>
  <c r="F30" i="102"/>
  <c r="E30" i="102" s="1"/>
  <c r="F22" i="100"/>
  <c r="E22" i="100" s="1"/>
  <c r="F24" i="102"/>
  <c r="E24" i="102" s="1"/>
  <c r="F20" i="93"/>
  <c r="E20" i="93" s="1"/>
  <c r="F30" i="100"/>
  <c r="E30" i="100" s="1"/>
  <c r="F13" i="99"/>
  <c r="E13" i="99" s="1"/>
  <c r="F33" i="95"/>
  <c r="E33" i="95" s="1"/>
  <c r="F36" i="96"/>
  <c r="E36" i="96" s="1"/>
  <c r="F15" i="95"/>
  <c r="E15" i="95" s="1"/>
  <c r="D43" i="99"/>
  <c r="D6" i="100"/>
  <c r="D43" i="100" s="1"/>
  <c r="D44" i="100"/>
  <c r="J44" i="100" s="1"/>
  <c r="G40" i="100"/>
  <c r="D40" i="102"/>
  <c r="B6" i="102"/>
  <c r="B40" i="102"/>
  <c r="F17" i="99"/>
  <c r="E17" i="99" s="1"/>
  <c r="F33" i="97"/>
  <c r="E33" i="97" s="1"/>
  <c r="F36" i="102"/>
  <c r="E36" i="102" s="1"/>
  <c r="F15" i="96"/>
  <c r="E15" i="96" s="1"/>
  <c r="F21" i="101"/>
  <c r="E21" i="101" s="1"/>
  <c r="F37" i="95"/>
  <c r="E37" i="95" s="1"/>
  <c r="F37" i="102"/>
  <c r="E37" i="102" s="1"/>
  <c r="F29" i="99"/>
  <c r="E29" i="99" s="1"/>
  <c r="F28" i="101"/>
  <c r="E28" i="101" s="1"/>
  <c r="F34" i="95"/>
  <c r="E34" i="95" s="1"/>
  <c r="F28" i="96"/>
  <c r="E28" i="96" s="1"/>
  <c r="F13" i="96"/>
  <c r="E13" i="96" s="1"/>
  <c r="F26" i="97"/>
  <c r="E26" i="97" s="1"/>
  <c r="F33" i="101"/>
  <c r="E33" i="101" s="1"/>
  <c r="F8" i="96"/>
  <c r="E8" i="96" s="1"/>
  <c r="F14" i="99"/>
  <c r="E14" i="99" s="1"/>
  <c r="F26" i="101"/>
  <c r="E26" i="101" s="1"/>
  <c r="F32" i="100"/>
  <c r="E32" i="100" s="1"/>
  <c r="F21" i="100"/>
  <c r="E21" i="100" s="1"/>
  <c r="F34" i="99"/>
  <c r="E34" i="99" s="1"/>
  <c r="F16" i="102"/>
  <c r="E16" i="102" s="1"/>
  <c r="F27" i="101"/>
  <c r="E27" i="101" s="1"/>
  <c r="F29" i="100"/>
  <c r="E29" i="100" s="1"/>
  <c r="F12" i="100"/>
  <c r="E12" i="100" s="1"/>
  <c r="F9" i="99"/>
  <c r="E9" i="99" s="1"/>
  <c r="F29" i="102"/>
  <c r="E29" i="102" s="1"/>
  <c r="F14" i="95"/>
  <c r="E14" i="95" s="1"/>
  <c r="D40" i="96"/>
  <c r="B6" i="96"/>
  <c r="B39" i="96" s="1"/>
  <c r="B40" i="96"/>
  <c r="B28" i="99"/>
  <c r="B9" i="100"/>
  <c r="B7" i="102"/>
  <c r="E7" i="102"/>
  <c r="F23" i="102"/>
  <c r="E23" i="102" s="1"/>
  <c r="F19" i="100"/>
  <c r="E19" i="100" s="1"/>
  <c r="F8" i="100"/>
  <c r="E8" i="100" s="1"/>
  <c r="F28" i="102"/>
  <c r="F21" i="95"/>
  <c r="E21" i="95" s="1"/>
  <c r="F11" i="95"/>
  <c r="E11" i="95" s="1"/>
  <c r="F35" i="102"/>
  <c r="E35" i="102" s="1"/>
  <c r="F20" i="96"/>
  <c r="E20" i="96" s="1"/>
  <c r="F15" i="100"/>
  <c r="E15" i="100" s="1"/>
  <c r="F14" i="101"/>
  <c r="E14" i="101" s="1"/>
  <c r="F26" i="102"/>
  <c r="E26" i="102" s="1"/>
  <c r="F35" i="95"/>
  <c r="E35" i="95" s="1"/>
  <c r="F6" i="96"/>
  <c r="F31" i="100"/>
  <c r="E31" i="100" s="1"/>
  <c r="F19" i="102"/>
  <c r="E19" i="102" s="1"/>
  <c r="F28" i="99"/>
  <c r="E28" i="99" s="1"/>
  <c r="F7" i="95"/>
  <c r="E7" i="95" s="1"/>
  <c r="F36" i="101"/>
  <c r="E36" i="101" s="1"/>
  <c r="B40" i="99"/>
  <c r="D40" i="99"/>
  <c r="B6" i="99"/>
  <c r="B40" i="101"/>
  <c r="B6" i="101"/>
  <c r="B39" i="101" s="1"/>
  <c r="D40" i="101"/>
  <c r="E37" i="103"/>
  <c r="E30" i="103"/>
  <c r="M49" i="100"/>
  <c r="O49" i="100" s="1"/>
  <c r="E24" i="103"/>
  <c r="E21" i="103"/>
  <c r="F37" i="97"/>
  <c r="E37" i="97" s="1"/>
  <c r="F22" i="102"/>
  <c r="E22" i="102" s="1"/>
  <c r="F13" i="100"/>
  <c r="E13" i="100" s="1"/>
  <c r="F18" i="97"/>
  <c r="E18" i="97" s="1"/>
  <c r="F33" i="99"/>
  <c r="E33" i="99" s="1"/>
  <c r="F26" i="100"/>
  <c r="E26" i="100" s="1"/>
  <c r="F16" i="96"/>
  <c r="E16" i="96" s="1"/>
  <c r="F6" i="99"/>
  <c r="E6" i="99" s="1"/>
  <c r="F18" i="95"/>
  <c r="E18" i="95" s="1"/>
  <c r="F9" i="102"/>
  <c r="F35" i="101"/>
  <c r="E35" i="101" s="1"/>
  <c r="F20" i="102"/>
  <c r="E20" i="102" s="1"/>
  <c r="F27" i="96"/>
  <c r="E27" i="96" s="1"/>
  <c r="F37" i="101"/>
  <c r="E37" i="101" s="1"/>
  <c r="F33" i="100"/>
  <c r="E33" i="100" s="1"/>
  <c r="F21" i="99"/>
  <c r="E21" i="99" s="1"/>
  <c r="F15" i="102"/>
  <c r="E15" i="102" s="1"/>
  <c r="F12" i="97"/>
  <c r="E12" i="97" s="1"/>
  <c r="F29" i="96"/>
  <c r="E29" i="96" s="1"/>
  <c r="F18" i="102"/>
  <c r="E18" i="102" s="1"/>
  <c r="F11" i="100"/>
  <c r="E11" i="100" s="1"/>
  <c r="F22" i="97"/>
  <c r="E22" i="97" s="1"/>
  <c r="B28" i="103"/>
  <c r="E28" i="103"/>
  <c r="D43" i="97"/>
  <c r="B9" i="97"/>
  <c r="B39" i="97" s="1"/>
  <c r="D40" i="97"/>
  <c r="B40" i="97"/>
  <c r="E28" i="102"/>
  <c r="B28" i="102"/>
  <c r="B7" i="100"/>
  <c r="F23" i="95"/>
  <c r="E23" i="95" s="1"/>
  <c r="F36" i="100"/>
  <c r="E36" i="100" s="1"/>
  <c r="F35" i="96"/>
  <c r="E35" i="96" s="1"/>
  <c r="F21" i="96"/>
  <c r="E21" i="96" s="1"/>
  <c r="F12" i="96"/>
  <c r="E12" i="96" s="1"/>
  <c r="F7" i="96"/>
  <c r="E7" i="96" s="1"/>
  <c r="J43" i="101"/>
  <c r="F30" i="96"/>
  <c r="E30" i="96" s="1"/>
  <c r="F18" i="100"/>
  <c r="E18" i="100" s="1"/>
  <c r="F18" i="96"/>
  <c r="E18" i="96" s="1"/>
  <c r="F14" i="100"/>
  <c r="E14" i="100" s="1"/>
  <c r="F17" i="100"/>
  <c r="E17" i="100" s="1"/>
  <c r="F11" i="102"/>
  <c r="E11" i="102" s="1"/>
  <c r="F29" i="95"/>
  <c r="E29" i="95" s="1"/>
  <c r="F35" i="100"/>
  <c r="E35" i="100" s="1"/>
  <c r="F6" i="101"/>
  <c r="E6" i="101" s="1"/>
  <c r="F22" i="99"/>
  <c r="E22" i="99" s="1"/>
  <c r="F7" i="100"/>
  <c r="E7" i="100" s="1"/>
  <c r="F31" i="99"/>
  <c r="E31" i="99" s="1"/>
  <c r="F9" i="100"/>
  <c r="E9" i="100" s="1"/>
  <c r="F27" i="95"/>
  <c r="E27" i="95" s="1"/>
  <c r="F8" i="99"/>
  <c r="E8" i="99" s="1"/>
  <c r="F17" i="102"/>
  <c r="E17" i="102" s="1"/>
  <c r="F7" i="101"/>
  <c r="E7" i="101" s="1"/>
  <c r="F23" i="101"/>
  <c r="E23" i="101" s="1"/>
  <c r="F15" i="97"/>
  <c r="E15" i="97" s="1"/>
  <c r="F35" i="99"/>
  <c r="E35" i="99" s="1"/>
  <c r="F32" i="102"/>
  <c r="E32" i="102" s="1"/>
  <c r="F34" i="102"/>
  <c r="E34" i="102" s="1"/>
  <c r="F35" i="97"/>
  <c r="E35" i="97" s="1"/>
  <c r="F16" i="95"/>
  <c r="E16" i="95" s="1"/>
  <c r="F33" i="96"/>
  <c r="E33" i="96" s="1"/>
  <c r="F10" i="100"/>
  <c r="E10" i="100" s="1"/>
  <c r="F14" i="96"/>
  <c r="E14" i="96" s="1"/>
  <c r="F18" i="101"/>
  <c r="E18" i="101" s="1"/>
  <c r="F28" i="97"/>
  <c r="E28" i="97" s="1"/>
  <c r="E32" i="103"/>
  <c r="E26" i="103"/>
  <c r="E12" i="103"/>
  <c r="G44" i="102"/>
  <c r="J44" i="102" s="1"/>
  <c r="N40" i="102"/>
  <c r="G43" i="102"/>
  <c r="G40" i="102"/>
  <c r="E27" i="103"/>
  <c r="F27" i="102"/>
  <c r="E27" i="102" s="1"/>
  <c r="F34" i="97"/>
  <c r="E34" i="97" s="1"/>
  <c r="G44" i="99"/>
  <c r="J44" i="99" s="1"/>
  <c r="N40" i="99"/>
  <c r="G43" i="99"/>
  <c r="F25" i="102"/>
  <c r="E25" i="102" s="1"/>
  <c r="F16" i="99"/>
  <c r="E16" i="99" s="1"/>
  <c r="F25" i="96"/>
  <c r="E25" i="96" s="1"/>
  <c r="F13" i="97"/>
  <c r="E13" i="97" s="1"/>
  <c r="F10" i="99"/>
  <c r="E10" i="99" s="1"/>
  <c r="F7" i="99"/>
  <c r="E7" i="99" s="1"/>
  <c r="F16" i="100"/>
  <c r="E16" i="100" s="1"/>
  <c r="F36" i="95"/>
  <c r="E36" i="95" s="1"/>
  <c r="F13" i="101"/>
  <c r="E13" i="101" s="1"/>
  <c r="F27" i="100"/>
  <c r="E27" i="100" s="1"/>
  <c r="F21" i="102"/>
  <c r="E21" i="102" s="1"/>
  <c r="F20" i="99"/>
  <c r="E20" i="99" s="1"/>
  <c r="F12" i="95"/>
  <c r="E12" i="95" s="1"/>
  <c r="F8" i="102"/>
  <c r="E8" i="102" s="1"/>
  <c r="F10" i="102"/>
  <c r="E10" i="102" s="1"/>
  <c r="F26" i="99"/>
  <c r="E26" i="99" s="1"/>
  <c r="F20" i="101"/>
  <c r="E20" i="101" s="1"/>
  <c r="B9" i="102"/>
  <c r="E9" i="102"/>
  <c r="D43" i="102"/>
  <c r="J46" i="95" l="1"/>
  <c r="B39" i="99"/>
  <c r="D46" i="101"/>
  <c r="J46" i="96"/>
  <c r="J46" i="101"/>
  <c r="D46" i="96"/>
  <c r="D46" i="95"/>
  <c r="G7" i="94"/>
  <c r="D7" i="94" s="1"/>
  <c r="B7" i="94" s="1"/>
  <c r="B39" i="102"/>
  <c r="G46" i="99"/>
  <c r="M50" i="99" s="1"/>
  <c r="O50" i="99" s="1"/>
  <c r="F40" i="99"/>
  <c r="D46" i="99"/>
  <c r="J43" i="99"/>
  <c r="J46" i="99" s="1"/>
  <c r="F40" i="100"/>
  <c r="G46" i="102"/>
  <c r="M50" i="102" s="1"/>
  <c r="O50" i="102" s="1"/>
  <c r="F40" i="101"/>
  <c r="D46" i="97"/>
  <c r="J43" i="97"/>
  <c r="J46" i="97" s="1"/>
  <c r="F40" i="102"/>
  <c r="J43" i="102"/>
  <c r="J46" i="102" s="1"/>
  <c r="D46" i="102"/>
  <c r="D46" i="100"/>
  <c r="J43" i="100"/>
  <c r="J46" i="100" s="1"/>
  <c r="F40" i="97"/>
  <c r="G46" i="100"/>
  <c r="M50" i="100" s="1"/>
  <c r="O50" i="100" s="1"/>
  <c r="E6" i="96"/>
  <c r="F40" i="96"/>
  <c r="E6" i="100"/>
  <c r="B40" i="100"/>
  <c r="D40" i="100"/>
  <c r="B6" i="100"/>
  <c r="B39" i="100" s="1"/>
  <c r="E6" i="95"/>
  <c r="F40" i="95"/>
  <c r="G33" i="94"/>
  <c r="D33" i="94" s="1"/>
  <c r="B33" i="94" s="1"/>
  <c r="G17" i="94" l="1"/>
  <c r="D17" i="94" s="1"/>
  <c r="B17" i="94" s="1"/>
  <c r="G19" i="94"/>
  <c r="D19" i="94" s="1"/>
  <c r="B19" i="94" s="1"/>
  <c r="G23" i="94"/>
  <c r="D23" i="94" s="1"/>
  <c r="B23" i="94" s="1"/>
  <c r="G24" i="94"/>
  <c r="D24" i="94" s="1"/>
  <c r="B24" i="94" s="1"/>
  <c r="G11" i="94"/>
  <c r="D11" i="94" s="1"/>
  <c r="B11" i="94" s="1"/>
  <c r="G28" i="94"/>
  <c r="D28" i="94" s="1"/>
  <c r="B28" i="94" s="1"/>
  <c r="N28" i="94"/>
  <c r="G9" i="94"/>
  <c r="D9" i="94" s="1"/>
  <c r="N9" i="94"/>
  <c r="F7" i="94"/>
  <c r="E7" i="94" s="1"/>
  <c r="G18" i="94"/>
  <c r="D18" i="94" s="1"/>
  <c r="B18" i="94" s="1"/>
  <c r="G26" i="94"/>
  <c r="D26" i="94" s="1"/>
  <c r="B26" i="94" s="1"/>
  <c r="G34" i="94"/>
  <c r="D34" i="94" s="1"/>
  <c r="B34" i="94" s="1"/>
  <c r="G25" i="94"/>
  <c r="D25" i="94" s="1"/>
  <c r="G13" i="94"/>
  <c r="D13" i="94" s="1"/>
  <c r="G20" i="94"/>
  <c r="D20" i="94" s="1"/>
  <c r="G12" i="94"/>
  <c r="D12" i="94" s="1"/>
  <c r="B12" i="94" s="1"/>
  <c r="G35" i="94"/>
  <c r="D35" i="94" s="1"/>
  <c r="B35" i="94" s="1"/>
  <c r="G32" i="94" l="1"/>
  <c r="D32" i="94" s="1"/>
  <c r="G36" i="94"/>
  <c r="D36" i="94" s="1"/>
  <c r="B36" i="94" s="1"/>
  <c r="G8" i="94"/>
  <c r="G29" i="94"/>
  <c r="D29" i="94" s="1"/>
  <c r="B29" i="94" s="1"/>
  <c r="G16" i="94"/>
  <c r="D16" i="94" s="1"/>
  <c r="B16" i="94" s="1"/>
  <c r="G30" i="94"/>
  <c r="D30" i="94" s="1"/>
  <c r="G22" i="94"/>
  <c r="D22" i="94" s="1"/>
  <c r="B22" i="94" s="1"/>
  <c r="G27" i="94"/>
  <c r="D27" i="94" s="1"/>
  <c r="B27" i="94" s="1"/>
  <c r="G15" i="94"/>
  <c r="D15" i="94" s="1"/>
  <c r="B15" i="94" s="1"/>
  <c r="G14" i="94"/>
  <c r="D14" i="94" s="1"/>
  <c r="B14" i="94" s="1"/>
  <c r="G31" i="94"/>
  <c r="D31" i="94" s="1"/>
  <c r="B31" i="94" s="1"/>
  <c r="G10" i="94"/>
  <c r="D10" i="94" s="1"/>
  <c r="B10" i="94" s="1"/>
  <c r="G37" i="94"/>
  <c r="D37" i="94" s="1"/>
  <c r="B37" i="94" s="1"/>
  <c r="G21" i="94"/>
  <c r="D21" i="94" s="1"/>
  <c r="B21" i="94" s="1"/>
  <c r="F19" i="94"/>
  <c r="E19" i="94" s="1"/>
  <c r="F17" i="94"/>
  <c r="E17" i="94" s="1"/>
  <c r="D8" i="94"/>
  <c r="B8" i="94" s="1"/>
  <c r="F24" i="94"/>
  <c r="E24" i="94" s="1"/>
  <c r="F11" i="94"/>
  <c r="E11" i="94" s="1"/>
  <c r="F23" i="94"/>
  <c r="E23" i="94" s="1"/>
  <c r="B20" i="94"/>
  <c r="B25" i="94"/>
  <c r="F28" i="94"/>
  <c r="E28" i="94" s="1"/>
  <c r="G6" i="94"/>
  <c r="N6" i="94"/>
  <c r="F9" i="94"/>
  <c r="E9" i="94" s="1"/>
  <c r="B9" i="94"/>
  <c r="B13" i="94"/>
  <c r="F33" i="94"/>
  <c r="E33" i="94" s="1"/>
  <c r="B32" i="94"/>
  <c r="B30" i="94"/>
  <c r="M49" i="94" l="1"/>
  <c r="O49" i="94" s="1"/>
  <c r="F30" i="94"/>
  <c r="E30" i="94" s="1"/>
  <c r="F26" i="94"/>
  <c r="E26" i="94" s="1"/>
  <c r="F13" i="94"/>
  <c r="E13" i="94" s="1"/>
  <c r="F12" i="94"/>
  <c r="E12" i="94" s="1"/>
  <c r="F8" i="94"/>
  <c r="E8" i="94" s="1"/>
  <c r="F35" i="94"/>
  <c r="E35" i="94" s="1"/>
  <c r="F16" i="94"/>
  <c r="E16" i="94" s="1"/>
  <c r="F36" i="94"/>
  <c r="E36" i="94" s="1"/>
  <c r="F29" i="94"/>
  <c r="E29" i="94" s="1"/>
  <c r="F37" i="94"/>
  <c r="E37" i="94" s="1"/>
  <c r="F10" i="94"/>
  <c r="E10" i="94" s="1"/>
  <c r="F15" i="94"/>
  <c r="E15" i="94" s="1"/>
  <c r="G43" i="94"/>
  <c r="N40" i="94"/>
  <c r="G44" i="94"/>
  <c r="F22" i="94"/>
  <c r="E22" i="94" s="1"/>
  <c r="F32" i="94"/>
  <c r="E32" i="94" s="1"/>
  <c r="F31" i="94"/>
  <c r="E31" i="94" s="1"/>
  <c r="D6" i="94"/>
  <c r="G40" i="94"/>
  <c r="D43" i="94"/>
  <c r="F18" i="94"/>
  <c r="E18" i="94" s="1"/>
  <c r="F14" i="94"/>
  <c r="E14" i="94" s="1"/>
  <c r="F20" i="94"/>
  <c r="E20" i="94" s="1"/>
  <c r="F25" i="94"/>
  <c r="E25" i="94" s="1"/>
  <c r="F6" i="94"/>
  <c r="F34" i="94"/>
  <c r="E34" i="94" s="1"/>
  <c r="F21" i="94"/>
  <c r="E21" i="94" s="1"/>
  <c r="F27" i="94"/>
  <c r="E27" i="94" s="1"/>
  <c r="F40" i="94" l="1"/>
  <c r="F6" i="104"/>
  <c r="J43" i="94"/>
  <c r="D44" i="94"/>
  <c r="J44" i="94" s="1"/>
  <c r="B6" i="94"/>
  <c r="B39" i="94" s="1"/>
  <c r="B40" i="94"/>
  <c r="D40" i="94"/>
  <c r="E6" i="94"/>
  <c r="G46" i="94"/>
  <c r="M50" i="94" s="1"/>
  <c r="O50" i="94" s="1"/>
  <c r="G10" i="93" l="1"/>
  <c r="D10" i="93" s="1"/>
  <c r="B10" i="93" s="1"/>
  <c r="G19" i="93"/>
  <c r="D19" i="93" s="1"/>
  <c r="B19" i="93" s="1"/>
  <c r="D46" i="94"/>
  <c r="J46" i="94"/>
  <c r="D5" i="105"/>
  <c r="G23" i="93" l="1"/>
  <c r="D23" i="93" s="1"/>
  <c r="B23" i="93" s="1"/>
  <c r="G24" i="93"/>
  <c r="D24" i="93" s="1"/>
  <c r="B24" i="93" s="1"/>
  <c r="G7" i="93"/>
  <c r="D7" i="93" s="1"/>
  <c r="F10" i="93"/>
  <c r="E10" i="93" s="1"/>
  <c r="F19" i="93"/>
  <c r="E19" i="93" s="1"/>
  <c r="G28" i="92"/>
  <c r="D28" i="92" s="1"/>
  <c r="G30" i="93" l="1"/>
  <c r="D30" i="93" s="1"/>
  <c r="B30" i="93" s="1"/>
  <c r="G32" i="93"/>
  <c r="D32" i="93" s="1"/>
  <c r="B32" i="93" s="1"/>
  <c r="G16" i="93"/>
  <c r="D16" i="93" s="1"/>
  <c r="B16" i="93" s="1"/>
  <c r="G17" i="93"/>
  <c r="D17" i="93" s="1"/>
  <c r="B17" i="93" s="1"/>
  <c r="G32" i="92"/>
  <c r="D32" i="92" s="1"/>
  <c r="B32" i="92" s="1"/>
  <c r="B28" i="92"/>
  <c r="F7" i="93"/>
  <c r="E7" i="93" s="1"/>
  <c r="F24" i="93"/>
  <c r="E24" i="93" s="1"/>
  <c r="F23" i="93"/>
  <c r="E23" i="93" s="1"/>
  <c r="B7" i="93"/>
  <c r="G35" i="93"/>
  <c r="D35" i="93" s="1"/>
  <c r="B35" i="93" s="1"/>
  <c r="G26" i="93"/>
  <c r="D26" i="93" s="1"/>
  <c r="B26" i="93" s="1"/>
  <c r="G12" i="93"/>
  <c r="D12" i="93" s="1"/>
  <c r="B12" i="93" s="1"/>
  <c r="G28" i="93"/>
  <c r="D28" i="93" s="1"/>
  <c r="D28" i="104" s="1"/>
  <c r="C27" i="105" s="1"/>
  <c r="G33" i="93"/>
  <c r="D33" i="93" s="1"/>
  <c r="B33" i="93" s="1"/>
  <c r="G13" i="93"/>
  <c r="D13" i="93" s="1"/>
  <c r="B13" i="93" s="1"/>
  <c r="G18" i="93"/>
  <c r="D18" i="93" s="1"/>
  <c r="B18" i="93" s="1"/>
  <c r="G25" i="93"/>
  <c r="D25" i="93" s="1"/>
  <c r="B25" i="93" s="1"/>
  <c r="G34" i="93"/>
  <c r="D34" i="93" s="1"/>
  <c r="B34" i="93" s="1"/>
  <c r="B32" i="104" l="1"/>
  <c r="D32" i="104"/>
  <c r="C31" i="105" s="1"/>
  <c r="G22" i="93"/>
  <c r="D22" i="93" s="1"/>
  <c r="B22" i="93" s="1"/>
  <c r="G29" i="93"/>
  <c r="D29" i="93" s="1"/>
  <c r="G36" i="93"/>
  <c r="D36" i="93" s="1"/>
  <c r="B36" i="93" s="1"/>
  <c r="G8" i="93"/>
  <c r="G31" i="93"/>
  <c r="D31" i="93" s="1"/>
  <c r="B31" i="93" s="1"/>
  <c r="G27" i="93"/>
  <c r="D27" i="93" s="1"/>
  <c r="B27" i="93" s="1"/>
  <c r="G21" i="93"/>
  <c r="D21" i="93" s="1"/>
  <c r="B21" i="93" s="1"/>
  <c r="G11" i="93"/>
  <c r="D11" i="93" s="1"/>
  <c r="G15" i="93"/>
  <c r="D15" i="93" s="1"/>
  <c r="B15" i="93" s="1"/>
  <c r="G14" i="93"/>
  <c r="D14" i="93" s="1"/>
  <c r="B14" i="93" s="1"/>
  <c r="G9" i="93"/>
  <c r="D9" i="93" s="1"/>
  <c r="B9" i="93" s="1"/>
  <c r="G37" i="93"/>
  <c r="D37" i="93" s="1"/>
  <c r="B37" i="93" s="1"/>
  <c r="F16" i="93"/>
  <c r="E16" i="93" s="1"/>
  <c r="F28" i="92"/>
  <c r="E28" i="92" s="1"/>
  <c r="F17" i="93"/>
  <c r="E17" i="93" s="1"/>
  <c r="B11" i="93"/>
  <c r="F32" i="93"/>
  <c r="E32" i="93" s="1"/>
  <c r="B29" i="93"/>
  <c r="D8" i="93"/>
  <c r="B28" i="93"/>
  <c r="B28" i="104" s="1"/>
  <c r="F30" i="93"/>
  <c r="E30" i="93" s="1"/>
  <c r="F32" i="92"/>
  <c r="G18" i="92"/>
  <c r="D18" i="92" s="1"/>
  <c r="M49" i="93" l="1"/>
  <c r="O49" i="93" s="1"/>
  <c r="D44" i="93"/>
  <c r="J44" i="93" s="1"/>
  <c r="G40" i="93"/>
  <c r="D43" i="93"/>
  <c r="F14" i="93"/>
  <c r="E14" i="93" s="1"/>
  <c r="F8" i="93"/>
  <c r="F11" i="93"/>
  <c r="E11" i="93" s="1"/>
  <c r="F12" i="93"/>
  <c r="E12" i="93" s="1"/>
  <c r="F22" i="93"/>
  <c r="E22" i="93" s="1"/>
  <c r="F21" i="93"/>
  <c r="E21" i="93" s="1"/>
  <c r="F9" i="93"/>
  <c r="E9" i="93" s="1"/>
  <c r="F37" i="93"/>
  <c r="E37" i="93" s="1"/>
  <c r="F31" i="93"/>
  <c r="E31" i="93" s="1"/>
  <c r="F34" i="93"/>
  <c r="E34" i="93" s="1"/>
  <c r="F18" i="93"/>
  <c r="E18" i="93" s="1"/>
  <c r="F28" i="93"/>
  <c r="J43" i="93"/>
  <c r="J46" i="93" s="1"/>
  <c r="D46" i="93"/>
  <c r="F35" i="93"/>
  <c r="E35" i="93" s="1"/>
  <c r="F36" i="93"/>
  <c r="E36" i="93" s="1"/>
  <c r="F26" i="93"/>
  <c r="E26" i="93" s="1"/>
  <c r="F32" i="104"/>
  <c r="D31" i="105" s="1"/>
  <c r="E32" i="92"/>
  <c r="E32" i="104" s="1"/>
  <c r="B18" i="92"/>
  <c r="F13" i="93"/>
  <c r="E13" i="93" s="1"/>
  <c r="F25" i="93"/>
  <c r="E25" i="93" s="1"/>
  <c r="B8" i="93"/>
  <c r="B39" i="93" s="1"/>
  <c r="D40" i="93"/>
  <c r="B40" i="93"/>
  <c r="F15" i="93"/>
  <c r="E15" i="93" s="1"/>
  <c r="F33" i="93"/>
  <c r="E33" i="93" s="1"/>
  <c r="F27" i="93"/>
  <c r="E27" i="93" s="1"/>
  <c r="F29" i="93"/>
  <c r="E29" i="93" s="1"/>
  <c r="G33" i="92"/>
  <c r="D33" i="92" s="1"/>
  <c r="G30" i="92" l="1"/>
  <c r="D30" i="92" s="1"/>
  <c r="B30" i="92" s="1"/>
  <c r="B30" i="104" s="1"/>
  <c r="G36" i="92"/>
  <c r="D36" i="92" s="1"/>
  <c r="B36" i="92" s="1"/>
  <c r="F28" i="104"/>
  <c r="D27" i="105" s="1"/>
  <c r="E28" i="93"/>
  <c r="E28" i="104" s="1"/>
  <c r="F18" i="92"/>
  <c r="E8" i="93"/>
  <c r="F40" i="93"/>
  <c r="B33" i="92"/>
  <c r="G25" i="92"/>
  <c r="D25" i="92" s="1"/>
  <c r="G13" i="92"/>
  <c r="D13" i="92" s="1"/>
  <c r="G26" i="92"/>
  <c r="D26" i="92" s="1"/>
  <c r="G20" i="92"/>
  <c r="D20" i="92" s="1"/>
  <c r="G34" i="92"/>
  <c r="D34" i="92" s="1"/>
  <c r="G12" i="92"/>
  <c r="D12" i="92" s="1"/>
  <c r="G35" i="92"/>
  <c r="D35" i="92" s="1"/>
  <c r="D30" i="104" l="1"/>
  <c r="C29" i="105" s="1"/>
  <c r="G29" i="92"/>
  <c r="D29" i="92" s="1"/>
  <c r="B29" i="92" s="1"/>
  <c r="G22" i="92"/>
  <c r="D22" i="92" s="1"/>
  <c r="G8" i="92"/>
  <c r="D8" i="92" s="1"/>
  <c r="G16" i="92"/>
  <c r="D16" i="92" s="1"/>
  <c r="G17" i="92"/>
  <c r="D17" i="92" s="1"/>
  <c r="B17" i="92" s="1"/>
  <c r="G27" i="92"/>
  <c r="D27" i="92" s="1"/>
  <c r="G37" i="92"/>
  <c r="D37" i="92" s="1"/>
  <c r="B37" i="92" s="1"/>
  <c r="B37" i="104" s="1"/>
  <c r="G31" i="92"/>
  <c r="D31" i="92" s="1"/>
  <c r="B31" i="92" s="1"/>
  <c r="B31" i="104" s="1"/>
  <c r="G19" i="92"/>
  <c r="D19" i="92" s="1"/>
  <c r="B19" i="92" s="1"/>
  <c r="G23" i="92"/>
  <c r="D23" i="92" s="1"/>
  <c r="B23" i="92" s="1"/>
  <c r="G14" i="92"/>
  <c r="D14" i="92" s="1"/>
  <c r="G11" i="92"/>
  <c r="D11" i="92" s="1"/>
  <c r="B11" i="92" s="1"/>
  <c r="G21" i="92"/>
  <c r="D21" i="92" s="1"/>
  <c r="D21" i="104" s="1"/>
  <c r="C20" i="105" s="1"/>
  <c r="G7" i="92"/>
  <c r="D7" i="92" s="1"/>
  <c r="G10" i="92"/>
  <c r="D10" i="92" s="1"/>
  <c r="B10" i="92" s="1"/>
  <c r="G15" i="92"/>
  <c r="D15" i="92" s="1"/>
  <c r="B15" i="92" s="1"/>
  <c r="G9" i="92"/>
  <c r="D9" i="92" s="1"/>
  <c r="B9" i="92" s="1"/>
  <c r="G24" i="92"/>
  <c r="D24" i="92" s="1"/>
  <c r="D24" i="104" s="1"/>
  <c r="C23" i="105" s="1"/>
  <c r="F33" i="92"/>
  <c r="B25" i="92"/>
  <c r="B34" i="92"/>
  <c r="B34" i="104" s="1"/>
  <c r="D34" i="104"/>
  <c r="C33" i="105" s="1"/>
  <c r="B35" i="92"/>
  <c r="F30" i="92"/>
  <c r="B20" i="92"/>
  <c r="B26" i="92"/>
  <c r="B26" i="104" s="1"/>
  <c r="D26" i="104"/>
  <c r="C25" i="105" s="1"/>
  <c r="F36" i="92"/>
  <c r="B22" i="92"/>
  <c r="D31" i="104"/>
  <c r="C30" i="105" s="1"/>
  <c r="B8" i="92"/>
  <c r="D16" i="104"/>
  <c r="C15" i="105" s="1"/>
  <c r="B16" i="92"/>
  <c r="B16" i="104" s="1"/>
  <c r="B14" i="92"/>
  <c r="F18" i="104"/>
  <c r="D17" i="105" s="1"/>
  <c r="E18" i="92"/>
  <c r="D12" i="104"/>
  <c r="C11" i="105" s="1"/>
  <c r="B12" i="92"/>
  <c r="B12" i="104" s="1"/>
  <c r="B13" i="92"/>
  <c r="B13" i="104" s="1"/>
  <c r="D13" i="104"/>
  <c r="C12" i="105" s="1"/>
  <c r="B27" i="92"/>
  <c r="B27" i="104" s="1"/>
  <c r="D27" i="104"/>
  <c r="C26" i="105" s="1"/>
  <c r="B21" i="92" l="1"/>
  <c r="B21" i="104" s="1"/>
  <c r="D37" i="104"/>
  <c r="C36" i="105" s="1"/>
  <c r="D43" i="92"/>
  <c r="D44" i="92"/>
  <c r="J44" i="92" s="1"/>
  <c r="G40" i="92"/>
  <c r="M49" i="92"/>
  <c r="B24" i="92"/>
  <c r="B24" i="104" s="1"/>
  <c r="F35" i="92"/>
  <c r="F17" i="92"/>
  <c r="F29" i="92"/>
  <c r="F23" i="92"/>
  <c r="F19" i="92"/>
  <c r="F30" i="104"/>
  <c r="D29" i="105" s="1"/>
  <c r="E30" i="92"/>
  <c r="E30" i="104" s="1"/>
  <c r="J43" i="92"/>
  <c r="D46" i="92"/>
  <c r="M42" i="92" s="1"/>
  <c r="F15" i="92"/>
  <c r="F10" i="92"/>
  <c r="F21" i="92"/>
  <c r="F9" i="92"/>
  <c r="F26" i="92"/>
  <c r="F16" i="92"/>
  <c r="F11" i="92"/>
  <c r="F8" i="92"/>
  <c r="F13" i="92"/>
  <c r="F20" i="92"/>
  <c r="F22" i="92"/>
  <c r="B7" i="92"/>
  <c r="D40" i="92"/>
  <c r="B40" i="92"/>
  <c r="F12" i="92"/>
  <c r="F37" i="92"/>
  <c r="F31" i="92"/>
  <c r="F34" i="92"/>
  <c r="F7" i="92"/>
  <c r="E7" i="92" s="1"/>
  <c r="F36" i="104"/>
  <c r="D35" i="105" s="1"/>
  <c r="E36" i="92"/>
  <c r="E33" i="92"/>
  <c r="F33" i="104"/>
  <c r="D32" i="105" s="1"/>
  <c r="F14" i="92"/>
  <c r="F27" i="92"/>
  <c r="F24" i="92"/>
  <c r="F25" i="92"/>
  <c r="J46" i="92" l="1"/>
  <c r="F26" i="104"/>
  <c r="D25" i="105" s="1"/>
  <c r="E26" i="92"/>
  <c r="E26" i="104" s="1"/>
  <c r="F15" i="104"/>
  <c r="D14" i="105" s="1"/>
  <c r="E15" i="92"/>
  <c r="E23" i="92"/>
  <c r="F23" i="104"/>
  <c r="D22" i="105" s="1"/>
  <c r="F24" i="104"/>
  <c r="D23" i="105" s="1"/>
  <c r="E24" i="92"/>
  <c r="E24" i="104" s="1"/>
  <c r="F37" i="104"/>
  <c r="D36" i="105" s="1"/>
  <c r="E37" i="92"/>
  <c r="E37" i="104" s="1"/>
  <c r="F8" i="104"/>
  <c r="D7" i="105" s="1"/>
  <c r="E8" i="92"/>
  <c r="E29" i="92"/>
  <c r="F29" i="104"/>
  <c r="D28" i="105" s="1"/>
  <c r="F27" i="104"/>
  <c r="D26" i="105" s="1"/>
  <c r="E27" i="92"/>
  <c r="E27" i="104" s="1"/>
  <c r="F7" i="104"/>
  <c r="F40" i="92"/>
  <c r="F22" i="104"/>
  <c r="D21" i="105" s="1"/>
  <c r="E22" i="92"/>
  <c r="E11" i="92"/>
  <c r="F11" i="104"/>
  <c r="D10" i="105" s="1"/>
  <c r="F9" i="104"/>
  <c r="D8" i="105" s="1"/>
  <c r="E9" i="92"/>
  <c r="F12" i="104"/>
  <c r="D11" i="105" s="1"/>
  <c r="E12" i="92"/>
  <c r="E12" i="104" s="1"/>
  <c r="F21" i="104"/>
  <c r="D20" i="105" s="1"/>
  <c r="E21" i="92"/>
  <c r="E21" i="104" s="1"/>
  <c r="E17" i="92"/>
  <c r="B39" i="92"/>
  <c r="E14" i="92"/>
  <c r="F14" i="104"/>
  <c r="D13" i="105" s="1"/>
  <c r="F34" i="104"/>
  <c r="D33" i="105" s="1"/>
  <c r="E34" i="92"/>
  <c r="E34" i="104" s="1"/>
  <c r="E20" i="92"/>
  <c r="F20" i="104"/>
  <c r="D19" i="105" s="1"/>
  <c r="F16" i="104"/>
  <c r="D15" i="105" s="1"/>
  <c r="E16" i="92"/>
  <c r="E16" i="104" s="1"/>
  <c r="M45" i="92"/>
  <c r="M47" i="92" s="1"/>
  <c r="O47" i="92" s="1"/>
  <c r="M42" i="93" s="1"/>
  <c r="D3" i="92"/>
  <c r="N43" i="92" s="1"/>
  <c r="F10" i="104"/>
  <c r="D9" i="105" s="1"/>
  <c r="E10" i="92"/>
  <c r="F19" i="104"/>
  <c r="D18" i="105" s="1"/>
  <c r="E19" i="92"/>
  <c r="F35" i="104"/>
  <c r="D34" i="105" s="1"/>
  <c r="E35" i="92"/>
  <c r="F25" i="104"/>
  <c r="D24" i="105" s="1"/>
  <c r="E25" i="92"/>
  <c r="F31" i="104"/>
  <c r="D30" i="105" s="1"/>
  <c r="E31" i="92"/>
  <c r="E31" i="104" s="1"/>
  <c r="F13" i="104"/>
  <c r="D12" i="105" s="1"/>
  <c r="E13" i="92"/>
  <c r="E13" i="104" s="1"/>
  <c r="D3" i="93" l="1"/>
  <c r="N43" i="93" s="1"/>
  <c r="M45" i="93"/>
  <c r="M47" i="93" s="1"/>
  <c r="O47" i="93" s="1"/>
  <c r="D6" i="105"/>
  <c r="M42" i="104" l="1"/>
  <c r="M42" i="94"/>
  <c r="G18" i="103"/>
  <c r="D18" i="103" s="1"/>
  <c r="G22" i="103" l="1"/>
  <c r="D22" i="103" s="1"/>
  <c r="D22" i="104" s="1"/>
  <c r="C21" i="105" s="1"/>
  <c r="G8" i="103"/>
  <c r="D8" i="103" s="1"/>
  <c r="B8" i="103" s="1"/>
  <c r="B8" i="104" s="1"/>
  <c r="G29" i="103"/>
  <c r="D29" i="103" s="1"/>
  <c r="D29" i="104" s="1"/>
  <c r="C28" i="105" s="1"/>
  <c r="G7" i="103"/>
  <c r="D7" i="103" s="1"/>
  <c r="G15" i="103"/>
  <c r="D15" i="103" s="1"/>
  <c r="D15" i="104" s="1"/>
  <c r="C14" i="105" s="1"/>
  <c r="G23" i="103"/>
  <c r="D23" i="103" s="1"/>
  <c r="B23" i="103" s="1"/>
  <c r="B23" i="104" s="1"/>
  <c r="G19" i="103"/>
  <c r="D19" i="103" s="1"/>
  <c r="N19" i="103"/>
  <c r="B18" i="103"/>
  <c r="B18" i="104" s="1"/>
  <c r="D18" i="104"/>
  <c r="C17" i="105" s="1"/>
  <c r="G11" i="103"/>
  <c r="D11" i="103" s="1"/>
  <c r="N11" i="103"/>
  <c r="M45" i="94"/>
  <c r="M47" i="94" s="1"/>
  <c r="O47" i="94" s="1"/>
  <c r="M42" i="95" s="1"/>
  <c r="D3" i="94"/>
  <c r="N43" i="94" s="1"/>
  <c r="M45" i="104"/>
  <c r="M47" i="104" s="1"/>
  <c r="O47" i="104" s="1"/>
  <c r="D3" i="104"/>
  <c r="N43" i="104" s="1"/>
  <c r="B29" i="103" l="1"/>
  <c r="B29" i="104" s="1"/>
  <c r="B22" i="103"/>
  <c r="B22" i="104" s="1"/>
  <c r="D8" i="104"/>
  <c r="C7" i="105" s="1"/>
  <c r="B15" i="103"/>
  <c r="B15" i="104" s="1"/>
  <c r="D23" i="104"/>
  <c r="C22" i="105" s="1"/>
  <c r="E29" i="103"/>
  <c r="E29" i="104" s="1"/>
  <c r="E15" i="103"/>
  <c r="E15" i="104" s="1"/>
  <c r="E8" i="103"/>
  <c r="E8" i="104" s="1"/>
  <c r="B11" i="103"/>
  <c r="B11" i="104" s="1"/>
  <c r="E11" i="103"/>
  <c r="E11" i="104" s="1"/>
  <c r="D11" i="104"/>
  <c r="C10" i="105" s="1"/>
  <c r="E23" i="103"/>
  <c r="E23" i="104" s="1"/>
  <c r="B19" i="103"/>
  <c r="B19" i="104" s="1"/>
  <c r="E19" i="103"/>
  <c r="E19" i="104" s="1"/>
  <c r="D19" i="104"/>
  <c r="C18" i="105" s="1"/>
  <c r="D3" i="95"/>
  <c r="N43" i="95" s="1"/>
  <c r="M45" i="95"/>
  <c r="M47" i="95" s="1"/>
  <c r="O47" i="95" s="1"/>
  <c r="M42" i="96" s="1"/>
  <c r="E22" i="103"/>
  <c r="E22" i="104" s="1"/>
  <c r="E18" i="103"/>
  <c r="E18" i="104" s="1"/>
  <c r="E7" i="103"/>
  <c r="E7" i="104" s="1"/>
  <c r="B7" i="103"/>
  <c r="B7" i="104" s="1"/>
  <c r="D7" i="104"/>
  <c r="C6" i="105" s="1"/>
  <c r="D3" i="96" l="1"/>
  <c r="N43" i="96" s="1"/>
  <c r="M45" i="96"/>
  <c r="M47" i="96" s="1"/>
  <c r="O47" i="96" s="1"/>
  <c r="M42" i="97" s="1"/>
  <c r="G17" i="98" l="1"/>
  <c r="M49" i="98" s="1"/>
  <c r="O49" i="98" s="1"/>
  <c r="M45" i="97"/>
  <c r="M47" i="97" s="1"/>
  <c r="O47" i="97" s="1"/>
  <c r="D3" i="97"/>
  <c r="N43" i="97" s="1"/>
  <c r="G40" i="98" l="1"/>
  <c r="D43" i="98"/>
  <c r="J43" i="98" s="1"/>
  <c r="D17" i="98"/>
  <c r="D17" i="104" s="1"/>
  <c r="C16" i="105" s="1"/>
  <c r="F17" i="98"/>
  <c r="E17" i="98" s="1"/>
  <c r="E17" i="104" s="1"/>
  <c r="D44" i="98"/>
  <c r="J44" i="98" s="1"/>
  <c r="B40" i="98"/>
  <c r="D40" i="98" l="1"/>
  <c r="B17" i="98"/>
  <c r="B17" i="104" s="1"/>
  <c r="D46" i="98"/>
  <c r="M42" i="98" s="1"/>
  <c r="J46" i="98"/>
  <c r="F40" i="98"/>
  <c r="F17" i="104"/>
  <c r="B39" i="98" l="1"/>
  <c r="D16" i="105"/>
  <c r="F40" i="104"/>
  <c r="M45" i="98"/>
  <c r="M47" i="98" s="1"/>
  <c r="O47" i="98" s="1"/>
  <c r="M42" i="99" s="1"/>
  <c r="D3" i="98"/>
  <c r="N43" i="98" s="1"/>
  <c r="M45" i="99" l="1"/>
  <c r="M47" i="99" s="1"/>
  <c r="O47" i="99" s="1"/>
  <c r="M42" i="100" s="1"/>
  <c r="D3" i="99"/>
  <c r="N43" i="99" s="1"/>
  <c r="D3" i="100" l="1"/>
  <c r="N43" i="100" s="1"/>
  <c r="M45" i="100"/>
  <c r="M47" i="100" s="1"/>
  <c r="O47" i="100" s="1"/>
  <c r="M42" i="101" s="1"/>
  <c r="G33" i="103"/>
  <c r="D33" i="103" s="1"/>
  <c r="G6" i="103"/>
  <c r="G35" i="103"/>
  <c r="D35" i="103" s="1"/>
  <c r="G20" i="103"/>
  <c r="D20" i="103" s="1"/>
  <c r="G25" i="103"/>
  <c r="D25" i="103" s="1"/>
  <c r="G36" i="103" l="1"/>
  <c r="D36" i="103" s="1"/>
  <c r="B36" i="103" s="1"/>
  <c r="B36" i="104" s="1"/>
  <c r="G10" i="103"/>
  <c r="D10" i="103" s="1"/>
  <c r="D10" i="104" s="1"/>
  <c r="C9" i="105" s="1"/>
  <c r="G14" i="103"/>
  <c r="D14" i="103" s="1"/>
  <c r="B14" i="103" s="1"/>
  <c r="B14" i="104" s="1"/>
  <c r="B25" i="103"/>
  <c r="B25" i="104" s="1"/>
  <c r="D25" i="104"/>
  <c r="C24" i="105" s="1"/>
  <c r="B35" i="103"/>
  <c r="B35" i="104" s="1"/>
  <c r="D35" i="104"/>
  <c r="C34" i="105" s="1"/>
  <c r="G9" i="103"/>
  <c r="N9" i="103"/>
  <c r="D6" i="103"/>
  <c r="B33" i="103"/>
  <c r="B33" i="104" s="1"/>
  <c r="D33" i="104"/>
  <c r="C32" i="105" s="1"/>
  <c r="D3" i="101"/>
  <c r="N43" i="101" s="1"/>
  <c r="M45" i="101"/>
  <c r="M47" i="101" s="1"/>
  <c r="O47" i="101" s="1"/>
  <c r="M42" i="102" s="1"/>
  <c r="B20" i="103"/>
  <c r="B20" i="104" s="1"/>
  <c r="D20" i="104"/>
  <c r="C19" i="105" s="1"/>
  <c r="B10" i="103" l="1"/>
  <c r="B10" i="104" s="1"/>
  <c r="D36" i="104"/>
  <c r="C35" i="105" s="1"/>
  <c r="D14" i="104"/>
  <c r="C13" i="105" s="1"/>
  <c r="E20" i="103"/>
  <c r="E20" i="104" s="1"/>
  <c r="E35" i="103"/>
  <c r="E35" i="104" s="1"/>
  <c r="E36" i="103"/>
  <c r="E36" i="104" s="1"/>
  <c r="B6" i="103"/>
  <c r="E6" i="103"/>
  <c r="E6" i="104" s="1"/>
  <c r="D6" i="104"/>
  <c r="E14" i="103"/>
  <c r="E14" i="104" s="1"/>
  <c r="E33" i="103"/>
  <c r="E33" i="104" s="1"/>
  <c r="N40" i="103"/>
  <c r="G43" i="103"/>
  <c r="G44" i="103"/>
  <c r="D9" i="103"/>
  <c r="B40" i="103" s="1"/>
  <c r="M49" i="103"/>
  <c r="O49" i="103" s="1"/>
  <c r="D3" i="102"/>
  <c r="N43" i="102" s="1"/>
  <c r="M45" i="102"/>
  <c r="M47" i="102" s="1"/>
  <c r="O47" i="102" s="1"/>
  <c r="E25" i="103"/>
  <c r="E25" i="104" s="1"/>
  <c r="G40" i="103"/>
  <c r="E10" i="103"/>
  <c r="E10" i="104" s="1"/>
  <c r="D44" i="103"/>
  <c r="D43" i="103" l="1"/>
  <c r="J43" i="103" s="1"/>
  <c r="J44" i="103"/>
  <c r="C5" i="105"/>
  <c r="B9" i="103"/>
  <c r="B9" i="104" s="1"/>
  <c r="E9" i="103"/>
  <c r="E9" i="104" s="1"/>
  <c r="D9" i="104"/>
  <c r="C8" i="105" s="1"/>
  <c r="D40" i="103"/>
  <c r="G46" i="103"/>
  <c r="M50" i="103" s="1"/>
  <c r="O50" i="103" s="1"/>
  <c r="B6" i="104"/>
  <c r="D46" i="103" l="1"/>
  <c r="M42" i="103" s="1"/>
  <c r="J46" i="103"/>
  <c r="D40" i="104"/>
  <c r="B39" i="103"/>
  <c r="B40" i="104"/>
  <c r="B39" i="104"/>
  <c r="M45" i="103" l="1"/>
  <c r="M47" i="103" s="1"/>
  <c r="O47" i="103" s="1"/>
  <c r="D3" i="103"/>
  <c r="N43" i="103" s="1"/>
  <c r="C38" i="105" l="1"/>
  <c r="D38" i="105"/>
  <c r="F38" i="105"/>
  <c r="E38" i="105"/>
  <c r="G38" i="105"/>
</calcChain>
</file>

<file path=xl/sharedStrings.xml><?xml version="1.0" encoding="utf-8"?>
<sst xmlns="http://schemas.openxmlformats.org/spreadsheetml/2006/main" count="1100" uniqueCount="101">
  <si>
    <t>ASSOCIATION</t>
  </si>
  <si>
    <t>ASELBY</t>
  </si>
  <si>
    <t>ANNEE</t>
  </si>
  <si>
    <t>MATRICULE</t>
  </si>
  <si>
    <t>NOM ET PRENOM</t>
  </si>
  <si>
    <t>MONTANT TONTINE</t>
  </si>
  <si>
    <t>MODE VERSEMENT</t>
  </si>
  <si>
    <t>MONTANT VERSE</t>
  </si>
  <si>
    <t>ECHEC</t>
  </si>
  <si>
    <t>AS201602</t>
  </si>
  <si>
    <t>AS201604</t>
  </si>
  <si>
    <t>AS201605</t>
  </si>
  <si>
    <t>AS201608</t>
  </si>
  <si>
    <t>AS201609</t>
  </si>
  <si>
    <t>AS201611</t>
  </si>
  <si>
    <t>AS201613</t>
  </si>
  <si>
    <t>AS201617</t>
  </si>
  <si>
    <t>AS201619</t>
  </si>
  <si>
    <t>AS201621</t>
  </si>
  <si>
    <t>AS201622</t>
  </si>
  <si>
    <t>AS201624</t>
  </si>
  <si>
    <t>AS201626</t>
  </si>
  <si>
    <t>AS201628</t>
  </si>
  <si>
    <t>AS201633</t>
  </si>
  <si>
    <t>AS201638</t>
  </si>
  <si>
    <t>AS201639</t>
  </si>
  <si>
    <t>AS201641</t>
  </si>
  <si>
    <t>AS201646</t>
  </si>
  <si>
    <t>AS201647</t>
  </si>
  <si>
    <t>TOTAL</t>
  </si>
  <si>
    <t>RESTE</t>
  </si>
  <si>
    <t>ESPECES</t>
  </si>
  <si>
    <t>BANQUE</t>
  </si>
  <si>
    <t>TONTINE</t>
  </si>
  <si>
    <t>MODE VERSEMENT REMBOURSEMENT</t>
  </si>
  <si>
    <t>REMBOURSEMENT PETIT LOT</t>
  </si>
  <si>
    <t>INTERET PETIT LOT</t>
  </si>
  <si>
    <t>MODE VERSEMENTLOT PRINCIPAL</t>
  </si>
  <si>
    <t>INTERET LOT PRINCIPAL</t>
  </si>
  <si>
    <t>VENTE PETIT LOT</t>
  </si>
  <si>
    <t>MODE VERSEMENT VENTE PETIT LOT</t>
  </si>
  <si>
    <t>VENTE LOT PRINCIPAL</t>
  </si>
  <si>
    <t>SOLDE EN CAISSE</t>
  </si>
  <si>
    <t>PENALITE VERSEMENT ESPECES</t>
  </si>
  <si>
    <t>AS201649</t>
  </si>
  <si>
    <t>AS201651</t>
  </si>
  <si>
    <t>AS201653</t>
  </si>
  <si>
    <t>PETIT LOT</t>
  </si>
  <si>
    <t>TONTINE + REMB + INTERET VENTE</t>
  </si>
  <si>
    <t>NUMERO CHEQUE</t>
  </si>
  <si>
    <t>RELIQUAT</t>
  </si>
  <si>
    <t>TOTAL+DEPOT</t>
  </si>
  <si>
    <t>AS201654</t>
  </si>
  <si>
    <t>CUMUL</t>
  </si>
  <si>
    <t>ECHEC REMBOURSEMENT MOIS</t>
  </si>
  <si>
    <t>ECHEC TONTINE MOIS</t>
  </si>
  <si>
    <t>DEFAILLANCE TONTINE</t>
  </si>
  <si>
    <t>PENALITE</t>
  </si>
  <si>
    <t>REMBOURSEMENT</t>
  </si>
  <si>
    <t>AVANCE</t>
  </si>
  <si>
    <t>NKEHEP DAVID</t>
  </si>
  <si>
    <t>TYAM ERNEST</t>
  </si>
  <si>
    <t>SIME FOGANG</t>
  </si>
  <si>
    <t>FOTSO THOMAS</t>
  </si>
  <si>
    <t>NANGUEN MARTIN</t>
  </si>
  <si>
    <t>SIME BRICE</t>
  </si>
  <si>
    <t>HENGUE PAUL</t>
  </si>
  <si>
    <t>KEPSEU FRANCIS</t>
  </si>
  <si>
    <t>ATTENDU</t>
  </si>
  <si>
    <t>TONTINE DECEMBRE</t>
  </si>
  <si>
    <t>RESTITUTION NGUIEMENI</t>
  </si>
  <si>
    <t>KOUAMOU VICTOR</t>
  </si>
  <si>
    <t>KEHE DAVID</t>
  </si>
  <si>
    <t>SIME FOGANG ERIC</t>
  </si>
  <si>
    <t>BENEFICIAIRE DECEMBRE</t>
  </si>
  <si>
    <t>NBRE PART</t>
  </si>
  <si>
    <t>NBREPART</t>
  </si>
  <si>
    <t>MONTANT A REMBOURSER PETIT LOT</t>
  </si>
  <si>
    <t>MONTANT  LOT PRINCIPAL</t>
  </si>
  <si>
    <t>LOT PRINCIPAL</t>
  </si>
  <si>
    <t>TONIINE</t>
  </si>
  <si>
    <t xml:space="preserve">TAUX TONTINE </t>
  </si>
  <si>
    <t>NBRE ADHERENT</t>
  </si>
  <si>
    <t>TOTAL PART</t>
  </si>
  <si>
    <t>PART VENDUE</t>
  </si>
  <si>
    <t>AS201656</t>
  </si>
  <si>
    <t>AS201657</t>
  </si>
  <si>
    <t>AS201643</t>
  </si>
  <si>
    <t>AS201601</t>
  </si>
  <si>
    <t>AS201658</t>
  </si>
  <si>
    <t>MOIS OBTENTION</t>
  </si>
  <si>
    <t>REPARTITION INTERET</t>
  </si>
  <si>
    <t>INTERET A REPARTIR</t>
  </si>
  <si>
    <t>INTERET/ADHERENT</t>
  </si>
  <si>
    <t>AS201659</t>
  </si>
  <si>
    <t>AS201660</t>
  </si>
  <si>
    <t>AS201661</t>
  </si>
  <si>
    <t>RECAPITULATION</t>
  </si>
  <si>
    <t>INTERET PERCU PAR ADHERENT</t>
  </si>
  <si>
    <t>BILAN MI PARCOURS TONTINE 25 000</t>
  </si>
  <si>
    <t>MONTANT  LOT PRINCIPAL PERCU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</si>
</sst>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\-mmm;@"/>
    <numFmt numFmtId="165" formatCode="[$-40C]mmmm\-yy;@"/>
    <numFmt numFmtId="166" formatCode="[$-40C]mmm\-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4"/>
      <color theme="1"/>
      <name val="Britannic Bold"/>
      <family val="2"/>
    </font>
    <font>
      <b/>
      <sz val="18"/>
      <color theme="1"/>
      <name val="Calibri"/>
      <family val="2"/>
      <scheme val="minor"/>
    </font>
    <font>
      <b/>
      <sz val="16"/>
      <name val="Arial"/>
      <family val="2"/>
    </font>
    <font>
      <sz val="14"/>
      <color rgb="FF0070C0"/>
      <name val="Britannic Bold"/>
      <family val="2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B050"/>
      <name val="Britannic Bold"/>
      <family val="2"/>
    </font>
    <font>
      <b/>
      <sz val="11"/>
      <color theme="1"/>
      <name val="Castellar"/>
      <family val="1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Fill="1" applyBorder="1" applyAlignment="1">
      <alignment horizontal="left"/>
    </xf>
    <xf numFmtId="164" fontId="0" fillId="0" borderId="0" xfId="0" applyNumberFormat="1"/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6" fillId="0" borderId="0" xfId="0" applyNumberFormat="1" applyFont="1"/>
    <xf numFmtId="0" fontId="1" fillId="0" borderId="1" xfId="0" applyFont="1" applyBorder="1"/>
    <xf numFmtId="166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0" fontId="1" fillId="0" borderId="5" xfId="0" applyFont="1" applyBorder="1"/>
    <xf numFmtId="166" fontId="7" fillId="0" borderId="5" xfId="0" applyNumberFormat="1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3" fontId="0" fillId="0" borderId="5" xfId="0" applyNumberFormat="1" applyBorder="1"/>
    <xf numFmtId="0" fontId="1" fillId="0" borderId="7" xfId="0" applyFont="1" applyBorder="1"/>
    <xf numFmtId="3" fontId="3" fillId="0" borderId="8" xfId="0" applyNumberFormat="1" applyFont="1" applyBorder="1"/>
    <xf numFmtId="3" fontId="0" fillId="0" borderId="8" xfId="0" applyNumberFormat="1" applyBorder="1"/>
    <xf numFmtId="3" fontId="3" fillId="0" borderId="9" xfId="0" applyNumberFormat="1" applyFont="1" applyBorder="1"/>
    <xf numFmtId="3" fontId="10" fillId="0" borderId="5" xfId="0" applyNumberFormat="1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4" xfId="0" applyNumberFormat="1" applyFont="1" applyFill="1" applyBorder="1" applyAlignment="1">
      <alignment wrapText="1"/>
    </xf>
    <xf numFmtId="3" fontId="1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ONTINE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4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5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227000</v>
          </cell>
          <cell r="BA6">
            <v>27000</v>
          </cell>
          <cell r="BD6">
            <v>200000</v>
          </cell>
          <cell r="BE6" t="str">
            <v>OK</v>
          </cell>
          <cell r="BF6">
            <v>0</v>
          </cell>
          <cell r="BG6">
            <v>11</v>
          </cell>
          <cell r="BH6">
            <v>27000</v>
          </cell>
          <cell r="BI6">
            <v>200000</v>
          </cell>
          <cell r="BJ6">
            <v>0</v>
          </cell>
          <cell r="BN6">
            <v>300000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600000</v>
          </cell>
          <cell r="BD7">
            <v>0</v>
          </cell>
          <cell r="BF7">
            <v>6000</v>
          </cell>
          <cell r="BG7">
            <v>11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E9">
            <v>115000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1085000</v>
          </cell>
          <cell r="AZ9">
            <v>1085000</v>
          </cell>
          <cell r="BA9">
            <v>500000</v>
          </cell>
          <cell r="BD9">
            <v>585000</v>
          </cell>
          <cell r="BE9" t="str">
            <v>OK</v>
          </cell>
          <cell r="BF9">
            <v>0</v>
          </cell>
          <cell r="BG9">
            <v>11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J10">
            <v>100000</v>
          </cell>
          <cell r="AM10">
            <v>2000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100000</v>
          </cell>
          <cell r="AY10">
            <v>0</v>
          </cell>
          <cell r="AZ10">
            <v>100000</v>
          </cell>
          <cell r="BD10">
            <v>100000</v>
          </cell>
          <cell r="BE10" t="str">
            <v>OK</v>
          </cell>
          <cell r="BF10">
            <v>0</v>
          </cell>
          <cell r="BG10">
            <v>11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U11">
            <v>125000</v>
          </cell>
          <cell r="AJ11">
            <v>100000</v>
          </cell>
          <cell r="AM11">
            <v>2000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11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D12">
            <v>60000</v>
          </cell>
          <cell r="AF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840000</v>
          </cell>
          <cell r="AY12">
            <v>0</v>
          </cell>
          <cell r="AZ12">
            <v>840000</v>
          </cell>
          <cell r="BD12">
            <v>840000</v>
          </cell>
          <cell r="BE12" t="str">
            <v>OK</v>
          </cell>
          <cell r="BF12">
            <v>0</v>
          </cell>
          <cell r="BG12">
            <v>11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11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G14">
            <v>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11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C16">
            <v>12000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288000</v>
          </cell>
          <cell r="AX16">
            <v>0</v>
          </cell>
          <cell r="AY16">
            <v>0</v>
          </cell>
          <cell r="AZ16">
            <v>288000</v>
          </cell>
          <cell r="BD16">
            <v>288000</v>
          </cell>
          <cell r="BE16" t="str">
            <v>OK</v>
          </cell>
          <cell r="BF16">
            <v>0</v>
          </cell>
          <cell r="BG16">
            <v>11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150000</v>
          </cell>
          <cell r="Z17">
            <v>1000000</v>
          </cell>
          <cell r="AK17">
            <v>100000</v>
          </cell>
          <cell r="AN17">
            <v>1000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100000</v>
          </cell>
          <cell r="AZ17">
            <v>1150000</v>
          </cell>
          <cell r="BA17">
            <v>100000</v>
          </cell>
          <cell r="BD17">
            <v>1050000</v>
          </cell>
          <cell r="BE17" t="str">
            <v>OK</v>
          </cell>
          <cell r="BF17">
            <v>110000</v>
          </cell>
          <cell r="BG17">
            <v>11</v>
          </cell>
          <cell r="BK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AC18">
            <v>13000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287000</v>
          </cell>
          <cell r="AX18">
            <v>0</v>
          </cell>
          <cell r="AY18">
            <v>0</v>
          </cell>
          <cell r="AZ18">
            <v>287000</v>
          </cell>
          <cell r="BD18">
            <v>287000</v>
          </cell>
          <cell r="BE18" t="str">
            <v>OK</v>
          </cell>
          <cell r="BF18">
            <v>0</v>
          </cell>
          <cell r="BG18">
            <v>11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25000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75000</v>
          </cell>
          <cell r="W19">
            <v>25000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E20">
            <v>115000</v>
          </cell>
          <cell r="AF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1085000</v>
          </cell>
          <cell r="AZ20">
            <v>1085000</v>
          </cell>
          <cell r="BD20">
            <v>1085000</v>
          </cell>
          <cell r="BE20" t="str">
            <v>OK</v>
          </cell>
          <cell r="BF20">
            <v>0</v>
          </cell>
          <cell r="BG20">
            <v>11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11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56000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11</v>
          </cell>
          <cell r="BO24" t="str">
            <v>GRATIFICATION BUREAU 2023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D25">
            <v>65000</v>
          </cell>
          <cell r="AE25">
            <v>125000</v>
          </cell>
          <cell r="AF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835000</v>
          </cell>
          <cell r="AY25">
            <v>1075000</v>
          </cell>
          <cell r="AZ25">
            <v>1910000</v>
          </cell>
          <cell r="BD25">
            <v>1910000</v>
          </cell>
          <cell r="BE25" t="str">
            <v>OK</v>
          </cell>
          <cell r="BF25">
            <v>0</v>
          </cell>
          <cell r="BG25">
            <v>11</v>
          </cell>
          <cell r="BO25" t="str">
            <v>DOSSIER TECHNIQUE NGIEMENI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50000</v>
          </cell>
          <cell r="E26">
            <v>50000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C26">
            <v>13000</v>
          </cell>
          <cell r="AF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287000</v>
          </cell>
          <cell r="AX26">
            <v>0</v>
          </cell>
          <cell r="AY26">
            <v>0</v>
          </cell>
          <cell r="AZ26">
            <v>287000</v>
          </cell>
          <cell r="BA26">
            <v>7000</v>
          </cell>
          <cell r="BD26">
            <v>280000</v>
          </cell>
          <cell r="BE26" t="str">
            <v>OK</v>
          </cell>
          <cell r="BF26">
            <v>0</v>
          </cell>
          <cell r="BG26">
            <v>11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11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11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450000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500000</v>
          </cell>
          <cell r="AQ29">
            <v>0</v>
          </cell>
          <cell r="AR29">
            <v>0</v>
          </cell>
          <cell r="AS29">
            <v>475000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11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940000</v>
          </cell>
          <cell r="BD32">
            <v>940000</v>
          </cell>
          <cell r="BE32" t="str">
            <v>OK</v>
          </cell>
          <cell r="BF32">
            <v>60000</v>
          </cell>
          <cell r="BG32">
            <v>6</v>
          </cell>
        </row>
        <row r="33">
          <cell r="A33" t="str">
            <v>AS201660</v>
          </cell>
          <cell r="B33" t="str">
            <v>TCHOUATEU AUGUSTIN</v>
          </cell>
          <cell r="C33">
            <v>120000</v>
          </cell>
          <cell r="D33">
            <v>540000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245000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420000</v>
          </cell>
          <cell r="W33">
            <v>25000</v>
          </cell>
          <cell r="AQ33">
            <v>0</v>
          </cell>
          <cell r="AR33">
            <v>0</v>
          </cell>
          <cell r="AS33">
            <v>270000</v>
          </cell>
          <cell r="AT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11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11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11</v>
          </cell>
        </row>
        <row r="36">
          <cell r="A36" t="str">
            <v>AS201646</v>
          </cell>
          <cell r="B36" t="str">
            <v>YEPMOU JEAN JACQUES</v>
          </cell>
          <cell r="C36">
            <v>53000</v>
          </cell>
          <cell r="D36">
            <v>50000</v>
          </cell>
          <cell r="E36">
            <v>50000</v>
          </cell>
          <cell r="F36">
            <v>0</v>
          </cell>
          <cell r="G36">
            <v>-3000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47000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11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25000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175000</v>
          </cell>
          <cell r="W37">
            <v>25000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229000</v>
          </cell>
          <cell r="D40">
            <v>5456000</v>
          </cell>
          <cell r="E40">
            <v>200000</v>
          </cell>
          <cell r="F40">
            <v>0</v>
          </cell>
          <cell r="G40">
            <v>-3000</v>
          </cell>
          <cell r="H40">
            <v>0</v>
          </cell>
          <cell r="I40">
            <v>755000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5427000</v>
          </cell>
          <cell r="V40">
            <v>0</v>
          </cell>
          <cell r="W40">
            <v>75000</v>
          </cell>
          <cell r="X40">
            <v>0</v>
          </cell>
          <cell r="Y40">
            <v>0</v>
          </cell>
          <cell r="Z40">
            <v>2000000</v>
          </cell>
          <cell r="AA40">
            <v>0</v>
          </cell>
          <cell r="AC40">
            <v>38000</v>
          </cell>
          <cell r="AD40">
            <v>125000</v>
          </cell>
          <cell r="AE40">
            <v>355000</v>
          </cell>
          <cell r="AF40">
            <v>0</v>
          </cell>
          <cell r="AG40">
            <v>0</v>
          </cell>
          <cell r="AI40">
            <v>0</v>
          </cell>
          <cell r="AJ40">
            <v>200000</v>
          </cell>
          <cell r="AK40">
            <v>100000</v>
          </cell>
          <cell r="AL40">
            <v>0</v>
          </cell>
          <cell r="AM40">
            <v>4000</v>
          </cell>
          <cell r="AN40">
            <v>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1555000</v>
          </cell>
          <cell r="AT40">
            <v>120000</v>
          </cell>
          <cell r="AU40">
            <v>0</v>
          </cell>
          <cell r="AV40">
            <v>0</v>
          </cell>
          <cell r="AW40">
            <v>862000</v>
          </cell>
          <cell r="AX40">
            <v>1875000</v>
          </cell>
          <cell r="AY40">
            <v>3345000</v>
          </cell>
          <cell r="AZ40">
            <v>8899000</v>
          </cell>
          <cell r="BA40">
            <v>790000</v>
          </cell>
          <cell r="BB40">
            <v>0</v>
          </cell>
          <cell r="BC40">
            <v>0</v>
          </cell>
          <cell r="BD40">
            <v>7565000</v>
          </cell>
          <cell r="BE40">
            <v>0</v>
          </cell>
          <cell r="BF40">
            <v>176000</v>
          </cell>
          <cell r="BH40">
            <v>27000</v>
          </cell>
          <cell r="BI40">
            <v>200000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EN COMPTE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OPERATIONS DU JOUR</v>
          </cell>
          <cell r="C47">
            <v>7565000</v>
          </cell>
          <cell r="D47">
            <v>5456000</v>
          </cell>
          <cell r="E47">
            <v>2109000</v>
          </cell>
          <cell r="F47">
            <v>200000</v>
          </cell>
          <cell r="G47">
            <v>790000</v>
          </cell>
          <cell r="H47">
            <v>-590000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127000</v>
          </cell>
          <cell r="BD6">
            <v>127000</v>
          </cell>
          <cell r="BE6" t="str">
            <v>OK</v>
          </cell>
          <cell r="BF6">
            <v>0</v>
          </cell>
          <cell r="BG6">
            <v>10</v>
          </cell>
          <cell r="BH6">
            <v>27000</v>
          </cell>
          <cell r="BI6">
            <v>0</v>
          </cell>
          <cell r="BJ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60000</v>
          </cell>
          <cell r="AL7">
            <v>1000</v>
          </cell>
          <cell r="AQ7">
            <v>0</v>
          </cell>
          <cell r="AR7">
            <v>0</v>
          </cell>
          <cell r="AS7">
            <v>25000</v>
          </cell>
          <cell r="AW7">
            <v>60000</v>
          </cell>
          <cell r="AX7">
            <v>0</v>
          </cell>
          <cell r="AY7">
            <v>0</v>
          </cell>
          <cell r="AZ7">
            <v>60000</v>
          </cell>
          <cell r="BD7">
            <v>60000</v>
          </cell>
          <cell r="BE7" t="str">
            <v>OK</v>
          </cell>
          <cell r="BF7">
            <v>6000</v>
          </cell>
          <cell r="BG7">
            <v>10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100000</v>
          </cell>
          <cell r="E8">
            <v>25000</v>
          </cell>
          <cell r="F8">
            <v>0</v>
          </cell>
          <cell r="G8">
            <v>3000</v>
          </cell>
          <cell r="H8" t="str">
            <v>BANQUE</v>
          </cell>
          <cell r="I8">
            <v>-3000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105000</v>
          </cell>
          <cell r="F10">
            <v>0</v>
          </cell>
          <cell r="G10">
            <v>3000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102000</v>
          </cell>
          <cell r="R10">
            <v>0</v>
          </cell>
          <cell r="U10">
            <v>230000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D10">
            <v>0</v>
          </cell>
          <cell r="BF10">
            <v>0</v>
          </cell>
          <cell r="BG10">
            <v>10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227000</v>
          </cell>
          <cell r="E11">
            <v>0</v>
          </cell>
          <cell r="F11">
            <v>1000000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102000</v>
          </cell>
          <cell r="R11">
            <v>0</v>
          </cell>
          <cell r="S11">
            <v>1000000</v>
          </cell>
          <cell r="U11">
            <v>1227000</v>
          </cell>
          <cell r="Z11">
            <v>1000000</v>
          </cell>
          <cell r="AC11">
            <v>16000</v>
          </cell>
          <cell r="AD11">
            <v>16000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284000</v>
          </cell>
          <cell r="AX11">
            <v>884000</v>
          </cell>
          <cell r="AY11">
            <v>0</v>
          </cell>
          <cell r="AZ11">
            <v>1148000</v>
          </cell>
          <cell r="BA11">
            <v>168000</v>
          </cell>
          <cell r="BD11">
            <v>878000</v>
          </cell>
          <cell r="BE11" t="str">
            <v>OK</v>
          </cell>
          <cell r="BF11">
            <v>20000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K12">
            <v>131000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131000</v>
          </cell>
          <cell r="AZ12">
            <v>131000</v>
          </cell>
          <cell r="BA12">
            <v>66700</v>
          </cell>
          <cell r="BD12">
            <v>69300</v>
          </cell>
          <cell r="BE12" t="str">
            <v>OK</v>
          </cell>
          <cell r="BF12">
            <v>0</v>
          </cell>
          <cell r="BG12">
            <v>10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10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10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251000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251000</v>
          </cell>
          <cell r="AC17">
            <v>17000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283000</v>
          </cell>
          <cell r="AX17">
            <v>0</v>
          </cell>
          <cell r="AY17">
            <v>0</v>
          </cell>
          <cell r="AZ17">
            <v>283000</v>
          </cell>
          <cell r="BD17">
            <v>283000</v>
          </cell>
          <cell r="BE17" t="str">
            <v>OK</v>
          </cell>
          <cell r="BF17">
            <v>0</v>
          </cell>
          <cell r="BG17">
            <v>10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E18">
            <v>40000</v>
          </cell>
          <cell r="AF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1160000</v>
          </cell>
          <cell r="AZ18">
            <v>1160000</v>
          </cell>
          <cell r="BD18">
            <v>1160000</v>
          </cell>
          <cell r="BE18" t="str">
            <v>OK</v>
          </cell>
          <cell r="BF18">
            <v>0</v>
          </cell>
          <cell r="BG18">
            <v>10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D20">
            <v>16000</v>
          </cell>
          <cell r="AF20" t="str">
            <v>BANQUE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884000</v>
          </cell>
          <cell r="AY20">
            <v>200000</v>
          </cell>
          <cell r="AZ20">
            <v>1084000</v>
          </cell>
          <cell r="BA20">
            <v>140000</v>
          </cell>
          <cell r="BD20">
            <v>944000</v>
          </cell>
          <cell r="BE20" t="str">
            <v>OK</v>
          </cell>
          <cell r="BF20">
            <v>0</v>
          </cell>
          <cell r="BG20">
            <v>10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10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0</v>
          </cell>
          <cell r="AZ24">
            <v>100000</v>
          </cell>
          <cell r="BD24">
            <v>100000</v>
          </cell>
          <cell r="BE24" t="str">
            <v>OK</v>
          </cell>
          <cell r="BF24">
            <v>0</v>
          </cell>
          <cell r="BG24">
            <v>10</v>
          </cell>
          <cell r="BK24">
            <v>100000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K25">
            <v>100000</v>
          </cell>
          <cell r="AN25">
            <v>1500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100000</v>
          </cell>
          <cell r="BD25">
            <v>0</v>
          </cell>
          <cell r="BF25">
            <v>0</v>
          </cell>
          <cell r="BG25">
            <v>10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10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10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51000</v>
          </cell>
          <cell r="AL29">
            <v>1000</v>
          </cell>
          <cell r="AQ29">
            <v>0</v>
          </cell>
          <cell r="AR29">
            <v>0</v>
          </cell>
          <cell r="AS29">
            <v>25000</v>
          </cell>
          <cell r="AW29">
            <v>51000</v>
          </cell>
          <cell r="AX29">
            <v>0</v>
          </cell>
          <cell r="AY29">
            <v>0</v>
          </cell>
          <cell r="AZ29">
            <v>51000</v>
          </cell>
          <cell r="BD29">
            <v>51000</v>
          </cell>
          <cell r="BE29" t="str">
            <v>OK</v>
          </cell>
          <cell r="BF29">
            <v>0</v>
          </cell>
          <cell r="BG29">
            <v>10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E30">
            <v>35000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1165000</v>
          </cell>
          <cell r="AZ30">
            <v>1165000</v>
          </cell>
          <cell r="BD30">
            <v>1165000</v>
          </cell>
          <cell r="BE30" t="str">
            <v>OK</v>
          </cell>
          <cell r="BF30">
            <v>0</v>
          </cell>
          <cell r="BG30">
            <v>10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10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180000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30000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180000</v>
          </cell>
          <cell r="AQ33">
            <v>0</v>
          </cell>
          <cell r="AR33">
            <v>0</v>
          </cell>
          <cell r="AS33">
            <v>55000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10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10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10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10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6000</v>
          </cell>
          <cell r="D40">
            <v>4749000</v>
          </cell>
          <cell r="E40">
            <v>534700</v>
          </cell>
          <cell r="F40">
            <v>1000000</v>
          </cell>
          <cell r="G40">
            <v>9000</v>
          </cell>
          <cell r="H40">
            <v>0</v>
          </cell>
          <cell r="I40">
            <v>112000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204000</v>
          </cell>
          <cell r="R40">
            <v>101000</v>
          </cell>
          <cell r="S40">
            <v>1000000</v>
          </cell>
          <cell r="U40">
            <v>6026000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33000</v>
          </cell>
          <cell r="AD40">
            <v>32000</v>
          </cell>
          <cell r="AE40">
            <v>75000</v>
          </cell>
          <cell r="AF40">
            <v>0</v>
          </cell>
          <cell r="AG40">
            <v>0</v>
          </cell>
          <cell r="AI40">
            <v>171000</v>
          </cell>
          <cell r="AJ40">
            <v>0</v>
          </cell>
          <cell r="AK40">
            <v>431000</v>
          </cell>
          <cell r="AL40">
            <v>3000</v>
          </cell>
          <cell r="AM40">
            <v>0</v>
          </cell>
          <cell r="AN40">
            <v>4500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912000</v>
          </cell>
          <cell r="AT40">
            <v>0</v>
          </cell>
          <cell r="AU40">
            <v>0</v>
          </cell>
          <cell r="AV40">
            <v>0</v>
          </cell>
          <cell r="AW40">
            <v>738000</v>
          </cell>
          <cell r="AX40">
            <v>1768000</v>
          </cell>
          <cell r="AY40">
            <v>2756000</v>
          </cell>
          <cell r="AZ40">
            <v>5469000</v>
          </cell>
          <cell r="BA40">
            <v>534700</v>
          </cell>
          <cell r="BB40">
            <v>0</v>
          </cell>
          <cell r="BC40">
            <v>0</v>
          </cell>
          <cell r="BD40">
            <v>4837300</v>
          </cell>
          <cell r="BE40">
            <v>0</v>
          </cell>
          <cell r="BF40">
            <v>26000</v>
          </cell>
          <cell r="BH40">
            <v>27000</v>
          </cell>
          <cell r="BI40">
            <v>0</v>
          </cell>
          <cell r="BJ40">
            <v>100000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5469000</v>
          </cell>
          <cell r="D47">
            <v>4518000</v>
          </cell>
          <cell r="F47">
            <v>534700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48000</v>
          </cell>
          <cell r="BD6">
            <v>48000</v>
          </cell>
          <cell r="BE6" t="str">
            <v>OK</v>
          </cell>
          <cell r="BF6">
            <v>0</v>
          </cell>
          <cell r="BG6">
            <v>9</v>
          </cell>
          <cell r="BH6">
            <v>48000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78000</v>
          </cell>
          <cell r="E7">
            <v>61000</v>
          </cell>
          <cell r="F7">
            <v>0</v>
          </cell>
          <cell r="G7">
            <v>0</v>
          </cell>
          <cell r="H7" t="str">
            <v>BANQUE</v>
          </cell>
          <cell r="I7">
            <v>22000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61000</v>
          </cell>
          <cell r="U7">
            <v>133000</v>
          </cell>
          <cell r="AC7">
            <v>10000</v>
          </cell>
          <cell r="AF7" t="str">
            <v>BANQUE</v>
          </cell>
          <cell r="AQ7">
            <v>0</v>
          </cell>
          <cell r="AR7">
            <v>0</v>
          </cell>
          <cell r="AS7">
            <v>47000</v>
          </cell>
          <cell r="AW7">
            <v>290000</v>
          </cell>
          <cell r="AX7">
            <v>0</v>
          </cell>
          <cell r="AY7">
            <v>0</v>
          </cell>
          <cell r="AZ7">
            <v>284000</v>
          </cell>
          <cell r="BD7">
            <v>290000</v>
          </cell>
          <cell r="BE7" t="str">
            <v>OK</v>
          </cell>
          <cell r="BF7">
            <v>6000</v>
          </cell>
          <cell r="BG7">
            <v>9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25000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25000</v>
          </cell>
          <cell r="BG8">
            <v>9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C9">
            <v>18000</v>
          </cell>
          <cell r="AF9" t="str">
            <v>BANQUE</v>
          </cell>
          <cell r="AK9">
            <v>205500</v>
          </cell>
          <cell r="AN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282000</v>
          </cell>
          <cell r="AX9">
            <v>0</v>
          </cell>
          <cell r="AY9">
            <v>205500</v>
          </cell>
          <cell r="AZ9">
            <v>487500</v>
          </cell>
          <cell r="BA9">
            <v>282000</v>
          </cell>
          <cell r="BD9">
            <v>205500</v>
          </cell>
          <cell r="BE9" t="str">
            <v>OK</v>
          </cell>
          <cell r="BF9">
            <v>0</v>
          </cell>
          <cell r="BG9">
            <v>9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180000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-6000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0</v>
          </cell>
          <cell r="U10">
            <v>180000</v>
          </cell>
          <cell r="AD10">
            <v>28000</v>
          </cell>
          <cell r="AF10" t="str">
            <v>BANQUE</v>
          </cell>
          <cell r="AI10">
            <v>39000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19000</v>
          </cell>
          <cell r="AW10">
            <v>39000</v>
          </cell>
          <cell r="AX10">
            <v>872000</v>
          </cell>
          <cell r="AY10">
            <v>0</v>
          </cell>
          <cell r="AZ10">
            <v>911000</v>
          </cell>
          <cell r="BA10">
            <v>39000</v>
          </cell>
          <cell r="BD10">
            <v>872000</v>
          </cell>
          <cell r="BE10" t="str">
            <v>OK</v>
          </cell>
          <cell r="BF10">
            <v>0</v>
          </cell>
          <cell r="BG10">
            <v>9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125000</v>
          </cell>
          <cell r="AI11">
            <v>40000</v>
          </cell>
          <cell r="AJ11">
            <v>100000</v>
          </cell>
          <cell r="AL11">
            <v>1000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40000</v>
          </cell>
          <cell r="AX11">
            <v>100000</v>
          </cell>
          <cell r="AY11">
            <v>0</v>
          </cell>
          <cell r="AZ11">
            <v>140000</v>
          </cell>
          <cell r="BA11">
            <v>100000</v>
          </cell>
          <cell r="BD11">
            <v>40000</v>
          </cell>
          <cell r="BE11" t="str">
            <v>OK</v>
          </cell>
          <cell r="BF11">
            <v>0</v>
          </cell>
          <cell r="BG11">
            <v>9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132000</v>
          </cell>
          <cell r="U12">
            <v>462000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9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9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9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9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9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500000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500000</v>
          </cell>
          <cell r="T17" t="str">
            <v>BANQUE</v>
          </cell>
          <cell r="U17">
            <v>650000</v>
          </cell>
          <cell r="AE17">
            <v>70000</v>
          </cell>
          <cell r="AF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1130000</v>
          </cell>
          <cell r="AZ17">
            <v>630000</v>
          </cell>
          <cell r="BD17">
            <v>630000</v>
          </cell>
          <cell r="BE17" t="str">
            <v>OK</v>
          </cell>
          <cell r="BF17">
            <v>0</v>
          </cell>
          <cell r="BG17">
            <v>9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9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9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427000</v>
          </cell>
          <cell r="AJ20">
            <v>89000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89000</v>
          </cell>
          <cell r="AY20">
            <v>200000</v>
          </cell>
          <cell r="AZ20">
            <v>289000</v>
          </cell>
          <cell r="BA20">
            <v>145500</v>
          </cell>
          <cell r="BD20">
            <v>143500</v>
          </cell>
          <cell r="BE20" t="str">
            <v>OK</v>
          </cell>
          <cell r="BF20">
            <v>0</v>
          </cell>
          <cell r="BG20">
            <v>9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9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C22">
            <v>17000</v>
          </cell>
          <cell r="AF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283000</v>
          </cell>
          <cell r="AX22">
            <v>0</v>
          </cell>
          <cell r="AY22">
            <v>0</v>
          </cell>
          <cell r="AZ22">
            <v>283000</v>
          </cell>
          <cell r="BD22">
            <v>283000</v>
          </cell>
          <cell r="BE22" t="str">
            <v>OK</v>
          </cell>
          <cell r="BF22">
            <v>0</v>
          </cell>
          <cell r="BG22">
            <v>9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170000</v>
          </cell>
          <cell r="BE23" t="str">
            <v>OK</v>
          </cell>
          <cell r="BF23">
            <v>0</v>
          </cell>
          <cell r="BG23">
            <v>9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K24">
            <v>100000</v>
          </cell>
          <cell r="AN24">
            <v>1000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100000</v>
          </cell>
          <cell r="AZ24">
            <v>0</v>
          </cell>
          <cell r="BD24">
            <v>0</v>
          </cell>
          <cell r="BF24">
            <v>0</v>
          </cell>
          <cell r="BG24">
            <v>9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104500</v>
          </cell>
          <cell r="F25">
            <v>0</v>
          </cell>
          <cell r="G25">
            <v>3000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101500</v>
          </cell>
          <cell r="U25">
            <v>479500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 t="str">
            <v>OK</v>
          </cell>
          <cell r="BF25">
            <v>0</v>
          </cell>
          <cell r="BG25">
            <v>9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30000</v>
          </cell>
          <cell r="BG26">
            <v>9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Z27">
            <v>50000</v>
          </cell>
          <cell r="AA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48500</v>
          </cell>
          <cell r="BD27">
            <v>48500</v>
          </cell>
          <cell r="BE27" t="str">
            <v>OK</v>
          </cell>
          <cell r="BF27">
            <v>1500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9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52000</v>
          </cell>
          <cell r="U29">
            <v>102000</v>
          </cell>
          <cell r="AI29">
            <v>40000</v>
          </cell>
          <cell r="AL29">
            <v>2500</v>
          </cell>
          <cell r="AQ29">
            <v>0</v>
          </cell>
          <cell r="AR29">
            <v>0</v>
          </cell>
          <cell r="AS29">
            <v>25000</v>
          </cell>
          <cell r="AW29">
            <v>40000</v>
          </cell>
          <cell r="AX29">
            <v>0</v>
          </cell>
          <cell r="AY29">
            <v>0</v>
          </cell>
          <cell r="AZ29">
            <v>40000</v>
          </cell>
          <cell r="BA29">
            <v>40000</v>
          </cell>
          <cell r="BD29">
            <v>0</v>
          </cell>
          <cell r="BE29">
            <v>2889015</v>
          </cell>
          <cell r="BF29">
            <v>0</v>
          </cell>
          <cell r="BG29">
            <v>9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9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400000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S31">
            <v>250000</v>
          </cell>
          <cell r="U31">
            <v>400000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1000000</v>
          </cell>
          <cell r="BD31">
            <v>970000</v>
          </cell>
          <cell r="BE31" t="str">
            <v>OK</v>
          </cell>
          <cell r="BF31">
            <v>30000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9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200000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50000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200000</v>
          </cell>
          <cell r="AQ33">
            <v>0</v>
          </cell>
          <cell r="AR33">
            <v>0</v>
          </cell>
          <cell r="AS33">
            <v>75000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9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9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9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9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9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100000</v>
          </cell>
          <cell r="BD38">
            <v>100000</v>
          </cell>
          <cell r="BE38" t="str">
            <v>OK</v>
          </cell>
          <cell r="BF38">
            <v>0</v>
          </cell>
          <cell r="BG38">
            <v>9</v>
          </cell>
          <cell r="BK38">
            <v>100000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31000</v>
          </cell>
          <cell r="D40">
            <v>5329000</v>
          </cell>
          <cell r="E40">
            <v>318500</v>
          </cell>
          <cell r="F40">
            <v>500000</v>
          </cell>
          <cell r="G40">
            <v>6000</v>
          </cell>
          <cell r="H40">
            <v>0</v>
          </cell>
          <cell r="I40">
            <v>151000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174000</v>
          </cell>
          <cell r="Q40">
            <v>0</v>
          </cell>
          <cell r="R40">
            <v>435500</v>
          </cell>
          <cell r="S40">
            <v>750000</v>
          </cell>
          <cell r="U40">
            <v>6116500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1050000</v>
          </cell>
          <cell r="AA40">
            <v>0</v>
          </cell>
          <cell r="AC40">
            <v>45000</v>
          </cell>
          <cell r="AD40">
            <v>28000</v>
          </cell>
          <cell r="AE40">
            <v>70000</v>
          </cell>
          <cell r="AF40">
            <v>0</v>
          </cell>
          <cell r="AG40">
            <v>0</v>
          </cell>
          <cell r="AI40">
            <v>119000</v>
          </cell>
          <cell r="AJ40">
            <v>189000</v>
          </cell>
          <cell r="AK40">
            <v>1105500</v>
          </cell>
          <cell r="AL40">
            <v>4500</v>
          </cell>
          <cell r="AM40">
            <v>5000</v>
          </cell>
          <cell r="AN40">
            <v>11000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951000</v>
          </cell>
          <cell r="AT40">
            <v>0</v>
          </cell>
          <cell r="AU40">
            <v>0</v>
          </cell>
          <cell r="AV40">
            <v>0</v>
          </cell>
          <cell r="AW40">
            <v>974000</v>
          </cell>
          <cell r="AX40">
            <v>1061000</v>
          </cell>
          <cell r="AY40">
            <v>2235500</v>
          </cell>
          <cell r="AZ40">
            <v>4861000</v>
          </cell>
          <cell r="BA40">
            <v>606500</v>
          </cell>
          <cell r="BB40">
            <v>0</v>
          </cell>
          <cell r="BC40">
            <v>0</v>
          </cell>
          <cell r="BD40">
            <v>4200500</v>
          </cell>
          <cell r="BE40">
            <v>2889015</v>
          </cell>
          <cell r="BF40">
            <v>92500</v>
          </cell>
          <cell r="BH40">
            <v>48000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4861000</v>
          </cell>
          <cell r="D47">
            <v>5076000</v>
          </cell>
          <cell r="F47">
            <v>318500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221000</v>
          </cell>
          <cell r="BD6">
            <v>221000</v>
          </cell>
          <cell r="BE6" t="str">
            <v>OK</v>
          </cell>
          <cell r="BF6">
            <v>0</v>
          </cell>
          <cell r="BG6">
            <v>8</v>
          </cell>
          <cell r="BH6">
            <v>21000</v>
          </cell>
          <cell r="BI6">
            <v>100000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8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8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-2500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207500</v>
          </cell>
          <cell r="U9">
            <v>455000</v>
          </cell>
          <cell r="AP9" t="str">
            <v>BANQUE</v>
          </cell>
          <cell r="AQ9">
            <v>0</v>
          </cell>
          <cell r="AR9">
            <v>0</v>
          </cell>
          <cell r="AS9">
            <v>22500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8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165000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40000</v>
          </cell>
          <cell r="Q10">
            <v>0</v>
          </cell>
          <cell r="U10">
            <v>165000</v>
          </cell>
          <cell r="AJ10">
            <v>101500</v>
          </cell>
          <cell r="AM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101500</v>
          </cell>
          <cell r="AY10">
            <v>0</v>
          </cell>
          <cell r="AZ10">
            <v>101500</v>
          </cell>
          <cell r="BA10">
            <v>100000</v>
          </cell>
          <cell r="BD10">
            <v>1500</v>
          </cell>
          <cell r="BE10" t="str">
            <v>OK</v>
          </cell>
          <cell r="BF10">
            <v>0</v>
          </cell>
          <cell r="BG10">
            <v>8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-41000</v>
          </cell>
          <cell r="D11">
            <v>238000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10000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41000</v>
          </cell>
          <cell r="Q11">
            <v>103000</v>
          </cell>
          <cell r="U11">
            <v>279000</v>
          </cell>
          <cell r="AI11">
            <v>41000</v>
          </cell>
          <cell r="AJ11">
            <v>200000</v>
          </cell>
          <cell r="AL11">
            <v>2000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35000</v>
          </cell>
          <cell r="AW11">
            <v>41000</v>
          </cell>
          <cell r="AX11">
            <v>200000</v>
          </cell>
          <cell r="AY11">
            <v>0</v>
          </cell>
          <cell r="AZ11">
            <v>200000</v>
          </cell>
          <cell r="BA11">
            <v>200000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8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8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8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C15">
            <v>10000</v>
          </cell>
          <cell r="AF15" t="str">
            <v>BANQUE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290000</v>
          </cell>
          <cell r="AX15">
            <v>0</v>
          </cell>
          <cell r="AY15">
            <v>0</v>
          </cell>
          <cell r="AZ15">
            <v>290000</v>
          </cell>
          <cell r="BD15">
            <v>290000</v>
          </cell>
          <cell r="BE15" t="str">
            <v>OK</v>
          </cell>
          <cell r="BF15">
            <v>0</v>
          </cell>
          <cell r="BG15">
            <v>8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E16">
            <v>15000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1185000</v>
          </cell>
          <cell r="AZ16">
            <v>1185000</v>
          </cell>
          <cell r="BD16">
            <v>1185000</v>
          </cell>
          <cell r="BE16" t="str">
            <v>OK</v>
          </cell>
          <cell r="BF16">
            <v>0</v>
          </cell>
          <cell r="BG16">
            <v>8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8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202000</v>
          </cell>
          <cell r="U18">
            <v>362000</v>
          </cell>
          <cell r="AK18">
            <v>200000</v>
          </cell>
          <cell r="AN18">
            <v>5000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8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8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517000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-1000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91000</v>
          </cell>
          <cell r="R20">
            <v>202000</v>
          </cell>
          <cell r="U20">
            <v>517000</v>
          </cell>
          <cell r="AJ20">
            <v>100000</v>
          </cell>
          <cell r="AK20">
            <v>70500</v>
          </cell>
          <cell r="AM20">
            <v>1500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24000</v>
          </cell>
          <cell r="AW20">
            <v>0</v>
          </cell>
          <cell r="AX20">
            <v>100000</v>
          </cell>
          <cell r="AY20">
            <v>70500</v>
          </cell>
          <cell r="AZ20">
            <v>170500</v>
          </cell>
          <cell r="BA20">
            <v>80000</v>
          </cell>
          <cell r="BD20">
            <v>90500</v>
          </cell>
          <cell r="BE20" t="str">
            <v>OK</v>
          </cell>
          <cell r="BF20">
            <v>0</v>
          </cell>
          <cell r="BG20">
            <v>8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8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8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462000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-101000</v>
          </cell>
          <cell r="D24">
            <v>0</v>
          </cell>
          <cell r="E24">
            <v>250000</v>
          </cell>
          <cell r="F24">
            <v>0</v>
          </cell>
          <cell r="G24">
            <v>3000</v>
          </cell>
          <cell r="H24" t="str">
            <v>ESPECES</v>
          </cell>
          <cell r="I24">
            <v>22000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101000</v>
          </cell>
          <cell r="U24">
            <v>351000</v>
          </cell>
          <cell r="AK24">
            <v>101500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47000</v>
          </cell>
          <cell r="AW24">
            <v>0</v>
          </cell>
          <cell r="AX24">
            <v>0</v>
          </cell>
          <cell r="AY24">
            <v>101500</v>
          </cell>
          <cell r="AZ24">
            <v>101500</v>
          </cell>
          <cell r="BD24">
            <v>0</v>
          </cell>
          <cell r="BF24">
            <v>0</v>
          </cell>
          <cell r="BG24">
            <v>8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-2000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575000</v>
          </cell>
          <cell r="AC25">
            <v>11000</v>
          </cell>
          <cell r="AF25" t="str">
            <v>BANQUE</v>
          </cell>
          <cell r="AK25">
            <v>200000</v>
          </cell>
          <cell r="AN25">
            <v>5500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289000</v>
          </cell>
          <cell r="AX25">
            <v>0</v>
          </cell>
          <cell r="AY25">
            <v>200000</v>
          </cell>
          <cell r="AZ25">
            <v>489000</v>
          </cell>
          <cell r="BD25">
            <v>489000</v>
          </cell>
          <cell r="BE25" t="str">
            <v>OK</v>
          </cell>
          <cell r="BF25">
            <v>0</v>
          </cell>
          <cell r="BG25">
            <v>8</v>
          </cell>
          <cell r="BO25" t="str">
            <v>INSTALLATION CHEF LA AGWE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8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8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8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92500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42500</v>
          </cell>
          <cell r="U29">
            <v>92500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8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E31">
            <v>40000</v>
          </cell>
          <cell r="AF31" t="str">
            <v>BANQUE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1160000</v>
          </cell>
          <cell r="AZ31">
            <v>1160000</v>
          </cell>
          <cell r="BD31">
            <v>1160000</v>
          </cell>
          <cell r="BE31" t="str">
            <v>OK</v>
          </cell>
          <cell r="BF31">
            <v>0</v>
          </cell>
          <cell r="BG31">
            <v>8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C32">
            <v>10500</v>
          </cell>
          <cell r="AD32">
            <v>7500</v>
          </cell>
          <cell r="AF32" t="str">
            <v>BANQUE</v>
          </cell>
          <cell r="AJ32">
            <v>100000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289500</v>
          </cell>
          <cell r="AX32">
            <v>992500</v>
          </cell>
          <cell r="AY32">
            <v>0</v>
          </cell>
          <cell r="AZ32">
            <v>1282000</v>
          </cell>
          <cell r="BA32">
            <v>20000</v>
          </cell>
          <cell r="BD32">
            <v>1262000</v>
          </cell>
          <cell r="BE32" t="str">
            <v>OK</v>
          </cell>
          <cell r="BF32">
            <v>0</v>
          </cell>
          <cell r="BG32">
            <v>8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80000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230000</v>
          </cell>
          <cell r="AQ33">
            <v>0</v>
          </cell>
          <cell r="AR33">
            <v>0</v>
          </cell>
          <cell r="AS33">
            <v>105000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8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50000</v>
          </cell>
          <cell r="F34">
            <v>0</v>
          </cell>
          <cell r="G34">
            <v>3000</v>
          </cell>
          <cell r="H34" t="str">
            <v>ESPECES</v>
          </cell>
          <cell r="I34">
            <v>-3000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22000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8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8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8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8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8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-142000</v>
          </cell>
          <cell r="D40">
            <v>5671500</v>
          </cell>
          <cell r="E40">
            <v>403000</v>
          </cell>
          <cell r="F40">
            <v>0</v>
          </cell>
          <cell r="G40">
            <v>12000</v>
          </cell>
          <cell r="H40">
            <v>0</v>
          </cell>
          <cell r="I40">
            <v>170500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194000</v>
          </cell>
          <cell r="R40">
            <v>1116500</v>
          </cell>
          <cell r="S40">
            <v>0</v>
          </cell>
          <cell r="U40">
            <v>6216500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31500</v>
          </cell>
          <cell r="AD40">
            <v>7500</v>
          </cell>
          <cell r="AE40">
            <v>55000</v>
          </cell>
          <cell r="AF40">
            <v>0</v>
          </cell>
          <cell r="AG40">
            <v>0</v>
          </cell>
          <cell r="AI40">
            <v>41000</v>
          </cell>
          <cell r="AJ40">
            <v>501500</v>
          </cell>
          <cell r="AK40">
            <v>572000</v>
          </cell>
          <cell r="AL40">
            <v>2000</v>
          </cell>
          <cell r="AM40">
            <v>8000</v>
          </cell>
          <cell r="AN40">
            <v>13500</v>
          </cell>
          <cell r="AO40">
            <v>0</v>
          </cell>
          <cell r="AQ40">
            <v>0</v>
          </cell>
          <cell r="AR40">
            <v>0</v>
          </cell>
          <cell r="AS40">
            <v>970500</v>
          </cell>
          <cell r="AT40">
            <v>0</v>
          </cell>
          <cell r="AU40">
            <v>0</v>
          </cell>
          <cell r="AV40">
            <v>0</v>
          </cell>
          <cell r="AW40">
            <v>909500</v>
          </cell>
          <cell r="AX40">
            <v>1394000</v>
          </cell>
          <cell r="AY40">
            <v>2917000</v>
          </cell>
          <cell r="AZ40">
            <v>5400500</v>
          </cell>
          <cell r="BA40">
            <v>400000</v>
          </cell>
          <cell r="BB40">
            <v>0</v>
          </cell>
          <cell r="BC40">
            <v>0</v>
          </cell>
          <cell r="BD40">
            <v>4899000</v>
          </cell>
          <cell r="BE40">
            <v>0</v>
          </cell>
          <cell r="BF40">
            <v>0</v>
          </cell>
          <cell r="BH40">
            <v>21000</v>
          </cell>
          <cell r="BI40">
            <v>100000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5400500</v>
          </cell>
          <cell r="D47">
            <v>5496500</v>
          </cell>
          <cell r="F47">
            <v>403000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119000</v>
          </cell>
          <cell r="BA6">
            <v>19000</v>
          </cell>
          <cell r="BD6">
            <v>100000</v>
          </cell>
          <cell r="BF6">
            <v>0</v>
          </cell>
          <cell r="BG6">
            <v>7</v>
          </cell>
          <cell r="BH6">
            <v>19000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7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7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7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227000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-2000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104000</v>
          </cell>
          <cell r="U10">
            <v>227000</v>
          </cell>
          <cell r="AP10" t="str">
            <v>BANQUE</v>
          </cell>
          <cell r="AQ10">
            <v>0</v>
          </cell>
          <cell r="AR10">
            <v>0</v>
          </cell>
          <cell r="AS10">
            <v>23000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7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376000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43000</v>
          </cell>
          <cell r="Q11">
            <v>203000</v>
          </cell>
          <cell r="U11">
            <v>376000</v>
          </cell>
          <cell r="AJ11">
            <v>150000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0</v>
          </cell>
          <cell r="AX11">
            <v>150000</v>
          </cell>
          <cell r="AY11">
            <v>0</v>
          </cell>
          <cell r="AZ11">
            <v>150000</v>
          </cell>
          <cell r="BA11">
            <v>100000</v>
          </cell>
          <cell r="BD11">
            <v>0</v>
          </cell>
          <cell r="BF11">
            <v>0</v>
          </cell>
          <cell r="BG11">
            <v>7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825000</v>
          </cell>
          <cell r="E12">
            <v>5000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500000</v>
          </cell>
          <cell r="T12" t="str">
            <v>BANQUE</v>
          </cell>
          <cell r="U12">
            <v>830000</v>
          </cell>
          <cell r="AE12">
            <v>10000</v>
          </cell>
          <cell r="AF12" t="str">
            <v>BANQUE</v>
          </cell>
          <cell r="AJ12">
            <v>100000</v>
          </cell>
          <cell r="AM12">
            <v>1000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100000</v>
          </cell>
          <cell r="AY12">
            <v>1190000</v>
          </cell>
          <cell r="AZ12">
            <v>1190000</v>
          </cell>
          <cell r="BD12">
            <v>1190000</v>
          </cell>
          <cell r="BE12" t="str">
            <v>OK</v>
          </cell>
          <cell r="BF12">
            <v>0</v>
          </cell>
          <cell r="BG12">
            <v>7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7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7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Z15">
            <v>1000000</v>
          </cell>
          <cell r="AA15" t="str">
            <v>BQNAUE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930000</v>
          </cell>
          <cell r="BD15">
            <v>930000</v>
          </cell>
          <cell r="BE15" t="str">
            <v>OK</v>
          </cell>
          <cell r="BF15">
            <v>70000</v>
          </cell>
          <cell r="BG15">
            <v>7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7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I17">
            <v>50000</v>
          </cell>
          <cell r="AL17">
            <v>500</v>
          </cell>
          <cell r="AQ17">
            <v>0</v>
          </cell>
          <cell r="AR17">
            <v>0</v>
          </cell>
          <cell r="AS17">
            <v>25000</v>
          </cell>
          <cell r="AW17">
            <v>50000</v>
          </cell>
          <cell r="AX17">
            <v>0</v>
          </cell>
          <cell r="AY17">
            <v>0</v>
          </cell>
          <cell r="AZ17">
            <v>50000</v>
          </cell>
          <cell r="BA17">
            <v>50000</v>
          </cell>
          <cell r="BD17">
            <v>0</v>
          </cell>
          <cell r="BF17">
            <v>0</v>
          </cell>
          <cell r="BG17">
            <v>7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365000</v>
          </cell>
          <cell r="E18">
            <v>1003000</v>
          </cell>
          <cell r="F18">
            <v>0</v>
          </cell>
          <cell r="G18">
            <v>3000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205000</v>
          </cell>
          <cell r="S18">
            <v>1000000</v>
          </cell>
          <cell r="T18" t="str">
            <v>BANQUE</v>
          </cell>
          <cell r="U18">
            <v>1368000</v>
          </cell>
          <cell r="Z18">
            <v>350000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336000</v>
          </cell>
          <cell r="BA18">
            <v>336000</v>
          </cell>
          <cell r="BD18">
            <v>0</v>
          </cell>
          <cell r="BF18">
            <v>14000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7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296000</v>
          </cell>
          <cell r="E20">
            <v>101000</v>
          </cell>
          <cell r="F20">
            <v>0</v>
          </cell>
          <cell r="G20">
            <v>0</v>
          </cell>
          <cell r="H20" t="str">
            <v>BANQUE</v>
          </cell>
          <cell r="I20">
            <v>-500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101500</v>
          </cell>
          <cell r="R20">
            <v>71500</v>
          </cell>
          <cell r="U20">
            <v>397500</v>
          </cell>
          <cell r="AJ20">
            <v>200000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24500</v>
          </cell>
          <cell r="AW20">
            <v>0</v>
          </cell>
          <cell r="AX20">
            <v>200000</v>
          </cell>
          <cell r="AY20">
            <v>0</v>
          </cell>
          <cell r="AZ20">
            <v>200000</v>
          </cell>
          <cell r="BA20">
            <v>200000</v>
          </cell>
          <cell r="BD20">
            <v>0</v>
          </cell>
          <cell r="BF20">
            <v>0</v>
          </cell>
          <cell r="BG20">
            <v>7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C21">
            <v>3000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297000</v>
          </cell>
          <cell r="AX21">
            <v>0</v>
          </cell>
          <cell r="AY21">
            <v>0</v>
          </cell>
          <cell r="AZ21">
            <v>297000</v>
          </cell>
          <cell r="BA21">
            <v>297000</v>
          </cell>
          <cell r="BD21">
            <v>0</v>
          </cell>
          <cell r="BF21">
            <v>0</v>
          </cell>
          <cell r="BG21">
            <v>7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7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270000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270000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E23" t="str">
            <v>OK</v>
          </cell>
          <cell r="BF23">
            <v>0</v>
          </cell>
          <cell r="BG23">
            <v>7</v>
          </cell>
        </row>
        <row r="24">
          <cell r="A24" t="str">
            <v>AS201624</v>
          </cell>
          <cell r="B24" t="str">
            <v>NGONDIEP CLAUDE</v>
          </cell>
          <cell r="C24">
            <v>-500</v>
          </cell>
          <cell r="D24">
            <v>250000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25000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500</v>
          </cell>
          <cell r="U24">
            <v>250500</v>
          </cell>
          <cell r="AK24">
            <v>103000</v>
          </cell>
          <cell r="AN24">
            <v>0</v>
          </cell>
          <cell r="AP24" t="str">
            <v>BANQUE</v>
          </cell>
          <cell r="AQ24">
            <v>0</v>
          </cell>
          <cell r="AR24">
            <v>0</v>
          </cell>
          <cell r="AS24">
            <v>50000</v>
          </cell>
          <cell r="AW24">
            <v>0</v>
          </cell>
          <cell r="AX24">
            <v>0</v>
          </cell>
          <cell r="AY24">
            <v>103000</v>
          </cell>
          <cell r="AZ24">
            <v>103000</v>
          </cell>
          <cell r="BD24">
            <v>0</v>
          </cell>
          <cell r="BF24">
            <v>0</v>
          </cell>
          <cell r="BG24">
            <v>7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205500</v>
          </cell>
          <cell r="U25">
            <v>580000</v>
          </cell>
          <cell r="AD25">
            <v>25000</v>
          </cell>
          <cell r="AF25" t="str">
            <v>BANQUE</v>
          </cell>
          <cell r="AJ25">
            <v>34000</v>
          </cell>
          <cell r="AM25">
            <v>500</v>
          </cell>
          <cell r="AP25" t="str">
            <v>BANQUE</v>
          </cell>
          <cell r="AQ25">
            <v>0</v>
          </cell>
          <cell r="AR25">
            <v>0</v>
          </cell>
          <cell r="AS25">
            <v>24500</v>
          </cell>
          <cell r="AW25">
            <v>0</v>
          </cell>
          <cell r="AX25">
            <v>909000</v>
          </cell>
          <cell r="AY25">
            <v>0</v>
          </cell>
          <cell r="AZ25">
            <v>909000</v>
          </cell>
          <cell r="BA25">
            <v>34000</v>
          </cell>
          <cell r="BD25">
            <v>875000</v>
          </cell>
          <cell r="BE25" t="str">
            <v>OK</v>
          </cell>
          <cell r="BF25">
            <v>0</v>
          </cell>
          <cell r="BG25">
            <v>7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I26">
            <v>50000</v>
          </cell>
          <cell r="AL26">
            <v>500</v>
          </cell>
          <cell r="AQ26">
            <v>0</v>
          </cell>
          <cell r="AR26">
            <v>0</v>
          </cell>
          <cell r="AS26">
            <v>25000</v>
          </cell>
          <cell r="AW26">
            <v>50000</v>
          </cell>
          <cell r="AX26">
            <v>0</v>
          </cell>
          <cell r="AY26">
            <v>0</v>
          </cell>
          <cell r="AZ26">
            <v>50000</v>
          </cell>
          <cell r="BA26">
            <v>50000</v>
          </cell>
          <cell r="BD26">
            <v>0</v>
          </cell>
          <cell r="BF26">
            <v>0</v>
          </cell>
          <cell r="BG26">
            <v>7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7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7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7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C31">
            <v>3500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296500</v>
          </cell>
          <cell r="AX31">
            <v>0</v>
          </cell>
          <cell r="AY31">
            <v>0</v>
          </cell>
          <cell r="AZ31">
            <v>296500</v>
          </cell>
          <cell r="BA31">
            <v>29500</v>
          </cell>
          <cell r="BD31">
            <v>267000</v>
          </cell>
          <cell r="BE31" t="str">
            <v>OK</v>
          </cell>
          <cell r="BF31">
            <v>0</v>
          </cell>
          <cell r="BG31">
            <v>7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A32">
            <v>200000</v>
          </cell>
          <cell r="BD32">
            <v>0</v>
          </cell>
          <cell r="BF32">
            <v>0</v>
          </cell>
          <cell r="BG32">
            <v>7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7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7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7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7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7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7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-1000</v>
          </cell>
          <cell r="D40">
            <v>5945000</v>
          </cell>
          <cell r="E40">
            <v>1315000</v>
          </cell>
          <cell r="F40">
            <v>0</v>
          </cell>
          <cell r="G40">
            <v>9000</v>
          </cell>
          <cell r="H40">
            <v>0</v>
          </cell>
          <cell r="I40">
            <v>117000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43000</v>
          </cell>
          <cell r="Q40">
            <v>509500</v>
          </cell>
          <cell r="R40">
            <v>482500</v>
          </cell>
          <cell r="S40">
            <v>1500000</v>
          </cell>
          <cell r="U40">
            <v>7261000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1350000</v>
          </cell>
          <cell r="AA40">
            <v>0</v>
          </cell>
          <cell r="AC40">
            <v>6500</v>
          </cell>
          <cell r="AD40">
            <v>25000</v>
          </cell>
          <cell r="AE40">
            <v>10000</v>
          </cell>
          <cell r="AF40">
            <v>0</v>
          </cell>
          <cell r="AG40">
            <v>0</v>
          </cell>
          <cell r="AI40">
            <v>100000</v>
          </cell>
          <cell r="AJ40">
            <v>684000</v>
          </cell>
          <cell r="AK40">
            <v>103000</v>
          </cell>
          <cell r="AL40">
            <v>1000</v>
          </cell>
          <cell r="AM40">
            <v>7500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917000</v>
          </cell>
          <cell r="AT40">
            <v>0</v>
          </cell>
          <cell r="AU40">
            <v>0</v>
          </cell>
          <cell r="AV40">
            <v>0</v>
          </cell>
          <cell r="AW40">
            <v>693500</v>
          </cell>
          <cell r="AX40">
            <v>1559000</v>
          </cell>
          <cell r="AY40">
            <v>1293000</v>
          </cell>
          <cell r="AZ40">
            <v>4830500</v>
          </cell>
          <cell r="BA40">
            <v>1315500</v>
          </cell>
          <cell r="BB40">
            <v>0</v>
          </cell>
          <cell r="BC40">
            <v>0</v>
          </cell>
          <cell r="BD40">
            <v>3362000</v>
          </cell>
          <cell r="BE40">
            <v>0</v>
          </cell>
          <cell r="BF40">
            <v>84000</v>
          </cell>
          <cell r="BH40">
            <v>19000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4830500</v>
          </cell>
          <cell r="D47">
            <v>5720000</v>
          </cell>
          <cell r="F47">
            <v>1315000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A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6</v>
          </cell>
          <cell r="BH6">
            <v>12000</v>
          </cell>
          <cell r="BI6">
            <v>0</v>
          </cell>
          <cell r="BJ6">
            <v>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54000</v>
          </cell>
          <cell r="D7">
            <v>50000</v>
          </cell>
          <cell r="E7">
            <v>50000</v>
          </cell>
          <cell r="F7">
            <v>0</v>
          </cell>
          <cell r="G7">
            <v>0</v>
          </cell>
          <cell r="H7" t="str">
            <v>BANQUE</v>
          </cell>
          <cell r="I7">
            <v>-4000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46000</v>
          </cell>
          <cell r="AQ7">
            <v>0</v>
          </cell>
          <cell r="AR7">
            <v>0</v>
          </cell>
          <cell r="AS7">
            <v>21000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6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6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6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128000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128000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A10">
            <v>30000</v>
          </cell>
          <cell r="BD10">
            <v>0</v>
          </cell>
          <cell r="BF10">
            <v>0</v>
          </cell>
          <cell r="BG10">
            <v>6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122000</v>
          </cell>
          <cell r="D11">
            <v>404000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152000</v>
          </cell>
          <cell r="U11">
            <v>282000</v>
          </cell>
          <cell r="AI11">
            <v>30000</v>
          </cell>
          <cell r="AJ11">
            <v>56500</v>
          </cell>
          <cell r="AL11">
            <v>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30000</v>
          </cell>
          <cell r="AX11">
            <v>56500</v>
          </cell>
          <cell r="AY11">
            <v>0</v>
          </cell>
          <cell r="AZ11">
            <v>86500</v>
          </cell>
          <cell r="BA11">
            <v>86500</v>
          </cell>
          <cell r="BD11">
            <v>0</v>
          </cell>
          <cell r="BF11">
            <v>20000</v>
          </cell>
          <cell r="BG11">
            <v>6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795000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9000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101000</v>
          </cell>
          <cell r="R12">
            <v>0</v>
          </cell>
          <cell r="S12">
            <v>360000</v>
          </cell>
          <cell r="T12" t="str">
            <v>BANQUE</v>
          </cell>
          <cell r="U12">
            <v>795000</v>
          </cell>
          <cell r="AQ12">
            <v>0</v>
          </cell>
          <cell r="AR12">
            <v>0</v>
          </cell>
          <cell r="AS12">
            <v>34000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6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6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D15">
            <v>7500</v>
          </cell>
          <cell r="AF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892500</v>
          </cell>
          <cell r="AY15">
            <v>0</v>
          </cell>
          <cell r="AZ15">
            <v>892500</v>
          </cell>
          <cell r="BD15">
            <v>892500</v>
          </cell>
          <cell r="BE15" t="str">
            <v>OK</v>
          </cell>
          <cell r="BF15">
            <v>0</v>
          </cell>
          <cell r="BG15">
            <v>6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D16">
            <v>7500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892500</v>
          </cell>
          <cell r="AY16">
            <v>0</v>
          </cell>
          <cell r="AZ16">
            <v>892500</v>
          </cell>
          <cell r="BD16">
            <v>892500</v>
          </cell>
          <cell r="BE16" t="str">
            <v>OK</v>
          </cell>
          <cell r="BF16">
            <v>0</v>
          </cell>
          <cell r="BG16">
            <v>6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50500</v>
          </cell>
          <cell r="R17">
            <v>0</v>
          </cell>
          <cell r="U17">
            <v>201000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100000</v>
          </cell>
          <cell r="AZ17">
            <v>100000</v>
          </cell>
          <cell r="BD17">
            <v>100000</v>
          </cell>
          <cell r="BE17" t="str">
            <v>OK</v>
          </cell>
          <cell r="BF17">
            <v>0</v>
          </cell>
          <cell r="BG17">
            <v>6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6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6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0</v>
          </cell>
          <cell r="U20">
            <v>427000</v>
          </cell>
          <cell r="AI20">
            <v>30000</v>
          </cell>
          <cell r="AJ20">
            <v>100000</v>
          </cell>
          <cell r="AK20">
            <v>100000</v>
          </cell>
          <cell r="AL20">
            <v>500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30000</v>
          </cell>
          <cell r="AX20">
            <v>100000</v>
          </cell>
          <cell r="AY20">
            <v>100000</v>
          </cell>
          <cell r="AZ20">
            <v>230000</v>
          </cell>
          <cell r="BA20">
            <v>100000</v>
          </cell>
          <cell r="BD20">
            <v>100000</v>
          </cell>
          <cell r="BE20" t="str">
            <v>OK</v>
          </cell>
          <cell r="BF20">
            <v>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128000</v>
          </cell>
          <cell r="F22">
            <v>0</v>
          </cell>
          <cell r="G22">
            <v>3000</v>
          </cell>
          <cell r="H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128000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6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C23">
            <v>3000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297000</v>
          </cell>
          <cell r="AX23">
            <v>0</v>
          </cell>
          <cell r="AY23">
            <v>200000</v>
          </cell>
          <cell r="AZ23">
            <v>497000</v>
          </cell>
          <cell r="BA23">
            <v>100000</v>
          </cell>
          <cell r="BD23">
            <v>397000</v>
          </cell>
          <cell r="BE23" t="str">
            <v>OK</v>
          </cell>
          <cell r="BF23">
            <v>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343000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103000</v>
          </cell>
          <cell r="U24">
            <v>343000</v>
          </cell>
          <cell r="AC24">
            <v>3000</v>
          </cell>
          <cell r="AE24">
            <v>15000</v>
          </cell>
          <cell r="AF24" t="str">
            <v>BANQUE</v>
          </cell>
          <cell r="AK24">
            <v>100000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297000</v>
          </cell>
          <cell r="AX24">
            <v>0</v>
          </cell>
          <cell r="AY24">
            <v>1285000</v>
          </cell>
          <cell r="AZ24">
            <v>1582000</v>
          </cell>
          <cell r="BD24">
            <v>1582000</v>
          </cell>
          <cell r="BE24" t="str">
            <v>OK</v>
          </cell>
          <cell r="BF24">
            <v>0</v>
          </cell>
          <cell r="BG24">
            <v>6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415000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5500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34500</v>
          </cell>
          <cell r="R25">
            <v>0</v>
          </cell>
          <cell r="U25">
            <v>415000</v>
          </cell>
          <cell r="AI25">
            <v>60000</v>
          </cell>
          <cell r="AL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30500</v>
          </cell>
          <cell r="AW25">
            <v>60000</v>
          </cell>
          <cell r="AX25">
            <v>0</v>
          </cell>
          <cell r="AY25">
            <v>0</v>
          </cell>
          <cell r="AZ25">
            <v>60000</v>
          </cell>
          <cell r="BD25">
            <v>60000</v>
          </cell>
          <cell r="BE25" t="str">
            <v>OK</v>
          </cell>
          <cell r="BF25">
            <v>0</v>
          </cell>
          <cell r="BG25">
            <v>6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500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50500</v>
          </cell>
          <cell r="U26">
            <v>101000</v>
          </cell>
          <cell r="AI26">
            <v>23500</v>
          </cell>
          <cell r="AL26">
            <v>500</v>
          </cell>
          <cell r="AP26" t="str">
            <v>BANQUE</v>
          </cell>
          <cell r="AQ26">
            <v>0</v>
          </cell>
          <cell r="AR26">
            <v>0</v>
          </cell>
          <cell r="AS26">
            <v>25500</v>
          </cell>
          <cell r="AW26">
            <v>23500</v>
          </cell>
          <cell r="AX26">
            <v>0</v>
          </cell>
          <cell r="AY26">
            <v>0</v>
          </cell>
          <cell r="AZ26">
            <v>23500</v>
          </cell>
          <cell r="BA26">
            <v>2500</v>
          </cell>
          <cell r="BD26">
            <v>21000</v>
          </cell>
          <cell r="BE26" t="str">
            <v>OK</v>
          </cell>
          <cell r="BF26">
            <v>0</v>
          </cell>
          <cell r="BG26">
            <v>6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6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6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C30">
            <v>3000</v>
          </cell>
          <cell r="AE30">
            <v>15000</v>
          </cell>
          <cell r="AF30" t="str">
            <v>BANQUE</v>
          </cell>
          <cell r="AK30">
            <v>125000</v>
          </cell>
          <cell r="AN30">
            <v>1000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297000</v>
          </cell>
          <cell r="AX30">
            <v>0</v>
          </cell>
          <cell r="AY30">
            <v>1310000</v>
          </cell>
          <cell r="AZ30">
            <v>1607000</v>
          </cell>
          <cell r="BA30">
            <v>125000</v>
          </cell>
          <cell r="BD30">
            <v>1482000</v>
          </cell>
          <cell r="BE30" t="str">
            <v>OK</v>
          </cell>
          <cell r="BF30">
            <v>30000</v>
          </cell>
          <cell r="BG30">
            <v>6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60000</v>
          </cell>
          <cell r="D31">
            <v>200000</v>
          </cell>
          <cell r="E31">
            <v>10000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</v>
          </cell>
          <cell r="BD31">
            <v>100000</v>
          </cell>
          <cell r="BE31" t="str">
            <v>OK</v>
          </cell>
          <cell r="BF31">
            <v>60000</v>
          </cell>
          <cell r="BG31">
            <v>6</v>
          </cell>
          <cell r="BK31">
            <v>100000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U32">
            <v>327000</v>
          </cell>
          <cell r="AJ32">
            <v>100000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100000</v>
          </cell>
          <cell r="BD32">
            <v>0</v>
          </cell>
          <cell r="BF32">
            <v>0</v>
          </cell>
          <cell r="BG32">
            <v>6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170000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170000</v>
          </cell>
          <cell r="AQ33">
            <v>0</v>
          </cell>
          <cell r="AR33">
            <v>0</v>
          </cell>
          <cell r="AS33">
            <v>45000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6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6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6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6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6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6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236000</v>
          </cell>
          <cell r="D40">
            <v>5888000</v>
          </cell>
          <cell r="E40">
            <v>326000</v>
          </cell>
          <cell r="F40">
            <v>0</v>
          </cell>
          <cell r="G40">
            <v>6000</v>
          </cell>
          <cell r="H40">
            <v>0</v>
          </cell>
          <cell r="I40">
            <v>116500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101000</v>
          </cell>
          <cell r="Q40">
            <v>691500</v>
          </cell>
          <cell r="R40">
            <v>103000</v>
          </cell>
          <cell r="S40">
            <v>360000</v>
          </cell>
          <cell r="U40">
            <v>5978000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9000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173500</v>
          </cell>
          <cell r="AJ40">
            <v>256500</v>
          </cell>
          <cell r="AK40">
            <v>625000</v>
          </cell>
          <cell r="AL40">
            <v>3000</v>
          </cell>
          <cell r="AM40">
            <v>5000</v>
          </cell>
          <cell r="AN40">
            <v>7000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916500</v>
          </cell>
          <cell r="AT40">
            <v>0</v>
          </cell>
          <cell r="AU40">
            <v>0</v>
          </cell>
          <cell r="AV40">
            <v>0</v>
          </cell>
          <cell r="AW40">
            <v>1064500</v>
          </cell>
          <cell r="AX40">
            <v>2041500</v>
          </cell>
          <cell r="AY40">
            <v>2995000</v>
          </cell>
          <cell r="AZ40">
            <v>6213000</v>
          </cell>
          <cell r="BA40">
            <v>550000</v>
          </cell>
          <cell r="BB40">
            <v>0</v>
          </cell>
          <cell r="BC40">
            <v>0</v>
          </cell>
          <cell r="BD40">
            <v>5633000</v>
          </cell>
          <cell r="BE40">
            <v>0</v>
          </cell>
          <cell r="BF40">
            <v>110000</v>
          </cell>
          <cell r="BH40">
            <v>12000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6213000</v>
          </cell>
          <cell r="D47">
            <v>5663000</v>
          </cell>
          <cell r="F47">
            <v>326000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651500</v>
          </cell>
          <cell r="BA6">
            <v>36000</v>
          </cell>
          <cell r="BD6">
            <v>56000</v>
          </cell>
          <cell r="BE6" t="str">
            <v>OK</v>
          </cell>
          <cell r="BF6">
            <v>0</v>
          </cell>
          <cell r="BG6">
            <v>5</v>
          </cell>
          <cell r="BH6">
            <v>42000</v>
          </cell>
          <cell r="BI6">
            <v>609500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5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5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5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159000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3500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159000</v>
          </cell>
          <cell r="AP10" t="str">
            <v>BANQUE</v>
          </cell>
          <cell r="AQ10">
            <v>0</v>
          </cell>
          <cell r="AR10">
            <v>0</v>
          </cell>
          <cell r="AS10">
            <v>28500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5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216000</v>
          </cell>
          <cell r="E11">
            <v>0</v>
          </cell>
          <cell r="F11">
            <v>0</v>
          </cell>
          <cell r="G11">
            <v>3000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30500</v>
          </cell>
          <cell r="Q11">
            <v>57500</v>
          </cell>
          <cell r="R11">
            <v>0</v>
          </cell>
          <cell r="U11">
            <v>216000</v>
          </cell>
          <cell r="AJ11">
            <v>169000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169000</v>
          </cell>
          <cell r="AY11">
            <v>0</v>
          </cell>
          <cell r="AZ11">
            <v>169000</v>
          </cell>
          <cell r="BD11">
            <v>109000</v>
          </cell>
          <cell r="BE11" t="str">
            <v>OK</v>
          </cell>
          <cell r="BF11">
            <v>0</v>
          </cell>
          <cell r="BG11">
            <v>5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8400</v>
          </cell>
          <cell r="D12">
            <v>340000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6600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331600</v>
          </cell>
          <cell r="AC12">
            <v>3000</v>
          </cell>
          <cell r="AE12">
            <v>10000</v>
          </cell>
          <cell r="AF12" t="str">
            <v>BANQUE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31600</v>
          </cell>
          <cell r="AW12">
            <v>297000</v>
          </cell>
          <cell r="AX12">
            <v>0</v>
          </cell>
          <cell r="AY12">
            <v>1290000</v>
          </cell>
          <cell r="AZ12">
            <v>1578600</v>
          </cell>
          <cell r="BD12">
            <v>1587000</v>
          </cell>
          <cell r="BE12" t="str">
            <v>OK</v>
          </cell>
          <cell r="BF12">
            <v>8400</v>
          </cell>
          <cell r="BG12">
            <v>5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C13">
            <v>2500</v>
          </cell>
          <cell r="AF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297500</v>
          </cell>
          <cell r="AX13">
            <v>0</v>
          </cell>
          <cell r="AY13">
            <v>0</v>
          </cell>
          <cell r="AZ13">
            <v>297500</v>
          </cell>
          <cell r="BA13">
            <v>100000</v>
          </cell>
          <cell r="BD13">
            <v>197500</v>
          </cell>
          <cell r="BE13" t="str">
            <v>OK</v>
          </cell>
          <cell r="BF13">
            <v>0</v>
          </cell>
          <cell r="BG13">
            <v>5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5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5</v>
          </cell>
        </row>
        <row r="16">
          <cell r="A16" t="str">
            <v>AS201613</v>
          </cell>
          <cell r="B16" t="str">
            <v>HOTCHO BENJAMIN</v>
          </cell>
          <cell r="C16">
            <v>-238500</v>
          </cell>
          <cell r="D16">
            <v>240000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238500</v>
          </cell>
          <cell r="U16">
            <v>478500</v>
          </cell>
          <cell r="AK16">
            <v>100000</v>
          </cell>
          <cell r="AN16">
            <v>1000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100000</v>
          </cell>
          <cell r="AZ16">
            <v>100000</v>
          </cell>
          <cell r="BD16">
            <v>100000</v>
          </cell>
          <cell r="BE16" t="str">
            <v>OK</v>
          </cell>
          <cell r="BF16">
            <v>0</v>
          </cell>
          <cell r="BG16">
            <v>5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-4000</v>
          </cell>
          <cell r="D17">
            <v>150000</v>
          </cell>
          <cell r="E17">
            <v>100000</v>
          </cell>
          <cell r="F17">
            <v>0</v>
          </cell>
          <cell r="G17">
            <v>3000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254000</v>
          </cell>
          <cell r="AK17">
            <v>54000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54000</v>
          </cell>
          <cell r="AZ17">
            <v>54000</v>
          </cell>
          <cell r="BD17">
            <v>0</v>
          </cell>
          <cell r="BF17">
            <v>0</v>
          </cell>
          <cell r="BG17">
            <v>5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5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5</v>
          </cell>
        </row>
        <row r="20">
          <cell r="A20" t="str">
            <v>AS201649</v>
          </cell>
          <cell r="B20" t="str">
            <v>MBOGNING TUGMA GUY</v>
          </cell>
          <cell r="C20">
            <v>57500</v>
          </cell>
          <cell r="D20">
            <v>516000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30500</v>
          </cell>
          <cell r="Q20">
            <v>102000</v>
          </cell>
          <cell r="R20">
            <v>101000</v>
          </cell>
          <cell r="U20">
            <v>458500</v>
          </cell>
          <cell r="AC20">
            <v>2500</v>
          </cell>
          <cell r="AF20" t="str">
            <v>BANQUE</v>
          </cell>
          <cell r="AJ20">
            <v>200000</v>
          </cell>
          <cell r="AK20">
            <v>200000</v>
          </cell>
          <cell r="AM20">
            <v>2500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297500</v>
          </cell>
          <cell r="AX20">
            <v>200000</v>
          </cell>
          <cell r="AY20">
            <v>200000</v>
          </cell>
          <cell r="AZ20">
            <v>695000</v>
          </cell>
          <cell r="BA20">
            <v>23500</v>
          </cell>
          <cell r="BD20">
            <v>671500</v>
          </cell>
          <cell r="BF20">
            <v>60000</v>
          </cell>
          <cell r="BG20">
            <v>5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5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5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30000</v>
          </cell>
          <cell r="D23">
            <v>502000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472000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1390000</v>
          </cell>
          <cell r="AZ23">
            <v>1360000</v>
          </cell>
          <cell r="BD23">
            <v>1390000</v>
          </cell>
          <cell r="BE23" t="str">
            <v>OK</v>
          </cell>
          <cell r="BF23">
            <v>30000</v>
          </cell>
          <cell r="BG23">
            <v>5</v>
          </cell>
        </row>
        <row r="24">
          <cell r="A24" t="str">
            <v>AS201624</v>
          </cell>
          <cell r="B24" t="str">
            <v>NGONDIEP CLAUDE</v>
          </cell>
          <cell r="C24">
            <v>-102000</v>
          </cell>
          <cell r="D24">
            <v>240000</v>
          </cell>
          <cell r="E24">
            <v>0</v>
          </cell>
          <cell r="F24">
            <v>500000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102000</v>
          </cell>
          <cell r="S24">
            <v>500000</v>
          </cell>
          <cell r="T24" t="str">
            <v>BANQUE</v>
          </cell>
          <cell r="U24">
            <v>842000</v>
          </cell>
          <cell r="AD24">
            <v>7500</v>
          </cell>
          <cell r="AF24" t="str">
            <v>BANQUE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892500</v>
          </cell>
          <cell r="AY24">
            <v>200000</v>
          </cell>
          <cell r="AZ24">
            <v>490500</v>
          </cell>
          <cell r="BD24">
            <v>490500</v>
          </cell>
          <cell r="BE24" t="str">
            <v>OK</v>
          </cell>
          <cell r="BF24">
            <v>0</v>
          </cell>
          <cell r="BG24">
            <v>5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436000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61000</v>
          </cell>
          <cell r="Q25">
            <v>0</v>
          </cell>
          <cell r="R25">
            <v>0</v>
          </cell>
          <cell r="U25">
            <v>436000</v>
          </cell>
          <cell r="AI25">
            <v>30000</v>
          </cell>
          <cell r="AJ25">
            <v>100000</v>
          </cell>
          <cell r="AK25">
            <v>100000</v>
          </cell>
          <cell r="AL25">
            <v>1000</v>
          </cell>
          <cell r="AM25">
            <v>1500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30000</v>
          </cell>
          <cell r="AX25">
            <v>100000</v>
          </cell>
          <cell r="AY25">
            <v>100000</v>
          </cell>
          <cell r="AZ25">
            <v>230000</v>
          </cell>
          <cell r="BA25">
            <v>4000</v>
          </cell>
          <cell r="BD25">
            <v>200000</v>
          </cell>
          <cell r="BE25" t="str">
            <v>OK</v>
          </cell>
          <cell r="BF25">
            <v>0</v>
          </cell>
          <cell r="BG25">
            <v>5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74000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24000</v>
          </cell>
          <cell r="Q26">
            <v>0</v>
          </cell>
          <cell r="R26">
            <v>0</v>
          </cell>
          <cell r="U26">
            <v>74000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-30000</v>
          </cell>
          <cell r="BD26">
            <v>0</v>
          </cell>
          <cell r="BF26">
            <v>30000</v>
          </cell>
          <cell r="BG26">
            <v>5</v>
          </cell>
          <cell r="BO26" t="str">
            <v>REMB DETTE NGONDIEP PLAQUETTE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5</v>
          </cell>
          <cell r="BO27" t="str">
            <v>REMBOURSEMENT DETTE HOTCHO</v>
          </cell>
          <cell r="BP27" t="str">
            <v>FRAIS EXEPTIONNEL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5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54500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54500</v>
          </cell>
          <cell r="AX29">
            <v>0</v>
          </cell>
          <cell r="AY29">
            <v>0</v>
          </cell>
          <cell r="AZ29">
            <v>54500</v>
          </cell>
          <cell r="BD29">
            <v>54500</v>
          </cell>
          <cell r="BE29" t="str">
            <v>OK</v>
          </cell>
          <cell r="BF29">
            <v>0</v>
          </cell>
          <cell r="BG29">
            <v>5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379000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3000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126000</v>
          </cell>
          <cell r="U30">
            <v>379000</v>
          </cell>
          <cell r="AP30" t="str">
            <v>BANQUE</v>
          </cell>
          <cell r="AQ30">
            <v>0</v>
          </cell>
          <cell r="AR30">
            <v>0</v>
          </cell>
          <cell r="AS30">
            <v>28000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5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5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1000000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R32">
            <v>0</v>
          </cell>
          <cell r="S32">
            <v>1000000</v>
          </cell>
          <cell r="T32" t="str">
            <v>BANQUE</v>
          </cell>
          <cell r="U32">
            <v>2227000</v>
          </cell>
          <cell r="AJ32">
            <v>100000</v>
          </cell>
          <cell r="AM32">
            <v>1000</v>
          </cell>
          <cell r="AQ32">
            <v>0</v>
          </cell>
          <cell r="AR32">
            <v>0</v>
          </cell>
          <cell r="AS32">
            <v>1025000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20000</v>
          </cell>
          <cell r="BD32">
            <v>50000</v>
          </cell>
          <cell r="BE32" t="str">
            <v>OK</v>
          </cell>
          <cell r="BF32">
            <v>0</v>
          </cell>
          <cell r="BG32">
            <v>5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5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5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5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D36">
            <v>100000</v>
          </cell>
          <cell r="BE36" t="str">
            <v>OK</v>
          </cell>
          <cell r="BF36">
            <v>0</v>
          </cell>
          <cell r="BG36">
            <v>5</v>
          </cell>
          <cell r="BK36">
            <v>100000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5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5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-248600</v>
          </cell>
          <cell r="D40">
            <v>7609000</v>
          </cell>
          <cell r="E40">
            <v>150000</v>
          </cell>
          <cell r="F40">
            <v>500000</v>
          </cell>
          <cell r="G40">
            <v>9000</v>
          </cell>
          <cell r="H40">
            <v>0</v>
          </cell>
          <cell r="I40">
            <v>1090100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176500</v>
          </cell>
          <cell r="Q40">
            <v>261500</v>
          </cell>
          <cell r="R40">
            <v>632000</v>
          </cell>
          <cell r="S40">
            <v>1738500</v>
          </cell>
          <cell r="U40">
            <v>8507600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8000</v>
          </cell>
          <cell r="AD40">
            <v>7500</v>
          </cell>
          <cell r="AE40">
            <v>20000</v>
          </cell>
          <cell r="AF40">
            <v>0</v>
          </cell>
          <cell r="AG40">
            <v>0</v>
          </cell>
          <cell r="AI40">
            <v>84500</v>
          </cell>
          <cell r="AJ40">
            <v>569000</v>
          </cell>
          <cell r="AK40">
            <v>1154000</v>
          </cell>
          <cell r="AL40">
            <v>2500</v>
          </cell>
          <cell r="AM40">
            <v>7000</v>
          </cell>
          <cell r="AN40">
            <v>12000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1890100</v>
          </cell>
          <cell r="AT40">
            <v>0</v>
          </cell>
          <cell r="AU40">
            <v>0</v>
          </cell>
          <cell r="AV40">
            <v>0</v>
          </cell>
          <cell r="AW40">
            <v>976500</v>
          </cell>
          <cell r="AX40">
            <v>1461500</v>
          </cell>
          <cell r="AY40">
            <v>3534000</v>
          </cell>
          <cell r="AZ40">
            <v>6050600</v>
          </cell>
          <cell r="BA40">
            <v>183500</v>
          </cell>
          <cell r="BB40">
            <v>0</v>
          </cell>
          <cell r="BC40">
            <v>0</v>
          </cell>
          <cell r="BD40">
            <v>5206000</v>
          </cell>
          <cell r="BE40">
            <v>0</v>
          </cell>
          <cell r="BF40">
            <v>128400</v>
          </cell>
          <cell r="BH40">
            <v>42000</v>
          </cell>
          <cell r="BI40">
            <v>609500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2">
          <cell r="BD42">
            <v>5208500</v>
          </cell>
        </row>
        <row r="43">
          <cell r="B43" t="str">
            <v>AS201643</v>
          </cell>
          <cell r="BD43">
            <v>-2500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6050600</v>
          </cell>
          <cell r="D47">
            <v>7434000</v>
          </cell>
          <cell r="F47">
            <v>150000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3000</v>
          </cell>
          <cell r="H7" t="str">
            <v>BANQUE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57000</v>
          </cell>
          <cell r="AL7">
            <v>1000</v>
          </cell>
          <cell r="AQ7">
            <v>0</v>
          </cell>
          <cell r="AR7">
            <v>0</v>
          </cell>
          <cell r="AS7">
            <v>22000</v>
          </cell>
          <cell r="AW7">
            <v>57000</v>
          </cell>
          <cell r="AX7">
            <v>0</v>
          </cell>
          <cell r="AY7">
            <v>0</v>
          </cell>
          <cell r="AZ7">
            <v>57000</v>
          </cell>
          <cell r="BA7">
            <v>10000</v>
          </cell>
          <cell r="BD7">
            <v>47000</v>
          </cell>
          <cell r="BE7" t="str">
            <v>OK</v>
          </cell>
          <cell r="BF7">
            <v>0</v>
          </cell>
          <cell r="BG7">
            <v>4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-12250</v>
          </cell>
          <cell r="BD8">
            <v>-12250</v>
          </cell>
          <cell r="BF8">
            <v>20000</v>
          </cell>
          <cell r="BG8">
            <v>4</v>
          </cell>
          <cell r="BL8">
            <v>7750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10000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-10000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240000</v>
          </cell>
          <cell r="AK9">
            <v>100000</v>
          </cell>
          <cell r="AN9">
            <v>1000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D9">
            <v>100000</v>
          </cell>
          <cell r="BE9" t="str">
            <v>OK</v>
          </cell>
          <cell r="BF9">
            <v>0</v>
          </cell>
          <cell r="BG9">
            <v>4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C10">
            <v>2500</v>
          </cell>
          <cell r="AI10">
            <v>60000</v>
          </cell>
          <cell r="AJ10">
            <v>100000</v>
          </cell>
          <cell r="AL10">
            <v>1000</v>
          </cell>
          <cell r="AM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357500</v>
          </cell>
          <cell r="AX10">
            <v>100000</v>
          </cell>
          <cell r="AY10">
            <v>0</v>
          </cell>
          <cell r="AZ10">
            <v>457500</v>
          </cell>
          <cell r="BA10">
            <v>40000</v>
          </cell>
          <cell r="BD10">
            <v>417500</v>
          </cell>
          <cell r="BE10" t="str">
            <v>OK</v>
          </cell>
          <cell r="BF10">
            <v>0</v>
          </cell>
          <cell r="BG10">
            <v>4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-2000</v>
          </cell>
          <cell r="D11">
            <v>294000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171000</v>
          </cell>
          <cell r="R11">
            <v>0</v>
          </cell>
          <cell r="U11">
            <v>296000</v>
          </cell>
          <cell r="AJ11">
            <v>101500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101500</v>
          </cell>
          <cell r="AY11">
            <v>0</v>
          </cell>
          <cell r="AZ11">
            <v>101500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431000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431000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4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4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4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4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360000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34000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101000</v>
          </cell>
          <cell r="U16">
            <v>360000</v>
          </cell>
          <cell r="AJ16">
            <v>200000</v>
          </cell>
          <cell r="AM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59000</v>
          </cell>
          <cell r="AW16">
            <v>0</v>
          </cell>
          <cell r="AX16">
            <v>200000</v>
          </cell>
          <cell r="AY16">
            <v>0</v>
          </cell>
          <cell r="AZ16">
            <v>200000</v>
          </cell>
          <cell r="BD16">
            <v>200000</v>
          </cell>
          <cell r="BE16" t="str">
            <v>OK</v>
          </cell>
          <cell r="BF16">
            <v>0</v>
          </cell>
          <cell r="BG16">
            <v>4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-5000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55000</v>
          </cell>
          <cell r="U17">
            <v>200000</v>
          </cell>
          <cell r="AI17">
            <v>30000</v>
          </cell>
          <cell r="AK17">
            <v>200000</v>
          </cell>
          <cell r="AL17">
            <v>500</v>
          </cell>
          <cell r="AN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30000</v>
          </cell>
          <cell r="AX17">
            <v>0</v>
          </cell>
          <cell r="AY17">
            <v>200000</v>
          </cell>
          <cell r="AZ17">
            <v>230000</v>
          </cell>
          <cell r="BD17">
            <v>230000</v>
          </cell>
          <cell r="BE17" t="str">
            <v>OK</v>
          </cell>
          <cell r="BF17">
            <v>0</v>
          </cell>
          <cell r="BG17">
            <v>4</v>
          </cell>
        </row>
        <row r="18">
          <cell r="A18" t="str">
            <v>AS201619</v>
          </cell>
          <cell r="B18" t="str">
            <v>KOUATCHO MESSACK</v>
          </cell>
          <cell r="C18">
            <v>-10000</v>
          </cell>
          <cell r="D18">
            <v>350000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8000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33000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4</v>
          </cell>
        </row>
        <row r="20">
          <cell r="A20" t="str">
            <v>AS201649</v>
          </cell>
          <cell r="B20" t="str">
            <v>MBOGNING TUGMA GUY</v>
          </cell>
          <cell r="C20">
            <v>-101500</v>
          </cell>
          <cell r="D20">
            <v>528000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202500</v>
          </cell>
          <cell r="R20">
            <v>202000</v>
          </cell>
          <cell r="U20">
            <v>629500</v>
          </cell>
          <cell r="AJ20">
            <v>200000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200000</v>
          </cell>
          <cell r="AY20">
            <v>200000</v>
          </cell>
          <cell r="AZ20">
            <v>400000</v>
          </cell>
          <cell r="BD20">
            <v>400000</v>
          </cell>
          <cell r="BE20" t="str">
            <v>OK</v>
          </cell>
          <cell r="BF20">
            <v>0</v>
          </cell>
          <cell r="BG20">
            <v>4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4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4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200000</v>
          </cell>
          <cell r="BE23" t="str">
            <v>OK</v>
          </cell>
          <cell r="BF23">
            <v>0</v>
          </cell>
          <cell r="BG23">
            <v>4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442000</v>
          </cell>
          <cell r="AK24">
            <v>202000</v>
          </cell>
          <cell r="AN24">
            <v>4000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D24">
            <v>0</v>
          </cell>
          <cell r="BF24">
            <v>0</v>
          </cell>
          <cell r="BG24">
            <v>4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-3500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31000</v>
          </cell>
          <cell r="Q25">
            <v>101500</v>
          </cell>
          <cell r="R25">
            <v>101000</v>
          </cell>
          <cell r="U25">
            <v>605000</v>
          </cell>
          <cell r="AJ25">
            <v>82000</v>
          </cell>
          <cell r="AM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21500</v>
          </cell>
          <cell r="AW25">
            <v>0</v>
          </cell>
          <cell r="AX25">
            <v>82000</v>
          </cell>
          <cell r="AY25">
            <v>0</v>
          </cell>
          <cell r="AZ25">
            <v>82000</v>
          </cell>
          <cell r="BD25">
            <v>82000</v>
          </cell>
          <cell r="BE25" t="str">
            <v>OK</v>
          </cell>
          <cell r="BF25">
            <v>0</v>
          </cell>
          <cell r="BG25">
            <v>4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I26">
            <v>60000</v>
          </cell>
          <cell r="AL26">
            <v>1000</v>
          </cell>
          <cell r="AQ26">
            <v>0</v>
          </cell>
          <cell r="AR26">
            <v>0</v>
          </cell>
          <cell r="AS26">
            <v>25000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D26">
            <v>60000</v>
          </cell>
          <cell r="BE26" t="str">
            <v>OK</v>
          </cell>
          <cell r="BF26">
            <v>0</v>
          </cell>
          <cell r="BG26">
            <v>4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100000</v>
          </cell>
          <cell r="BD27">
            <v>100000</v>
          </cell>
          <cell r="BE27" t="str">
            <v>OK</v>
          </cell>
          <cell r="BF27">
            <v>0</v>
          </cell>
          <cell r="BG27">
            <v>4</v>
          </cell>
          <cell r="BK27">
            <v>100000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C28">
            <v>2500</v>
          </cell>
          <cell r="AD28">
            <v>7500</v>
          </cell>
          <cell r="AQ28">
            <v>0</v>
          </cell>
          <cell r="AR28">
            <v>0</v>
          </cell>
          <cell r="AS28">
            <v>25000</v>
          </cell>
          <cell r="AW28">
            <v>297500</v>
          </cell>
          <cell r="AX28">
            <v>892500</v>
          </cell>
          <cell r="AY28">
            <v>0</v>
          </cell>
          <cell r="AZ28">
            <v>1190000</v>
          </cell>
          <cell r="BD28">
            <v>1190000</v>
          </cell>
          <cell r="BE28" t="str">
            <v>OK</v>
          </cell>
          <cell r="BF28">
            <v>0</v>
          </cell>
          <cell r="BG28">
            <v>4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56000</v>
          </cell>
          <cell r="Q29">
            <v>0</v>
          </cell>
          <cell r="R29">
            <v>0</v>
          </cell>
          <cell r="U29">
            <v>105000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24000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D29">
            <v>60000</v>
          </cell>
          <cell r="BE29" t="str">
            <v>OK</v>
          </cell>
          <cell r="BF29">
            <v>0</v>
          </cell>
          <cell r="BG29">
            <v>4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4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4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R32">
            <v>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4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4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4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4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4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4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4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-103500</v>
          </cell>
          <cell r="D40">
            <v>6348000</v>
          </cell>
          <cell r="E40">
            <v>0</v>
          </cell>
          <cell r="F40">
            <v>0</v>
          </cell>
          <cell r="G40">
            <v>3000</v>
          </cell>
          <cell r="H40">
            <v>0</v>
          </cell>
          <cell r="I40">
            <v>69500</v>
          </cell>
          <cell r="J40">
            <v>32</v>
          </cell>
          <cell r="K40">
            <v>1550000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87000</v>
          </cell>
          <cell r="Q40">
            <v>576000</v>
          </cell>
          <cell r="R40">
            <v>1166000</v>
          </cell>
          <cell r="S40">
            <v>0</v>
          </cell>
          <cell r="U40">
            <v>6451500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267000</v>
          </cell>
          <cell r="AJ40">
            <v>883500</v>
          </cell>
          <cell r="AK40">
            <v>1302000</v>
          </cell>
          <cell r="AL40">
            <v>4500</v>
          </cell>
          <cell r="AM40">
            <v>9000</v>
          </cell>
          <cell r="AN40">
            <v>15000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844500</v>
          </cell>
          <cell r="AT40">
            <v>0</v>
          </cell>
          <cell r="AU40">
            <v>0</v>
          </cell>
          <cell r="AV40">
            <v>0</v>
          </cell>
          <cell r="AW40">
            <v>862000</v>
          </cell>
          <cell r="AX40">
            <v>1776000</v>
          </cell>
          <cell r="AY40">
            <v>1302000</v>
          </cell>
          <cell r="AZ40">
            <v>4033750</v>
          </cell>
          <cell r="BA40">
            <v>50000</v>
          </cell>
          <cell r="BB40">
            <v>0</v>
          </cell>
          <cell r="BC40">
            <v>0</v>
          </cell>
          <cell r="BD40">
            <v>3680250</v>
          </cell>
          <cell r="BE40">
            <v>0</v>
          </cell>
          <cell r="BF40">
            <v>20000</v>
          </cell>
          <cell r="BH40">
            <v>6000</v>
          </cell>
          <cell r="BI40">
            <v>0</v>
          </cell>
          <cell r="BJ40">
            <v>0</v>
          </cell>
          <cell r="BK40">
            <v>100000</v>
          </cell>
          <cell r="BL40">
            <v>7750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4033750</v>
          </cell>
          <cell r="D47">
            <v>6123000</v>
          </cell>
          <cell r="F47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3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110000</v>
          </cell>
          <cell r="F7">
            <v>0</v>
          </cell>
          <cell r="G7">
            <v>3000</v>
          </cell>
          <cell r="H7" t="str">
            <v>ESPECES</v>
          </cell>
          <cell r="I7">
            <v>-1000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58000</v>
          </cell>
          <cell r="Q7">
            <v>0</v>
          </cell>
          <cell r="R7">
            <v>0</v>
          </cell>
          <cell r="U7">
            <v>110000</v>
          </cell>
          <cell r="AQ7">
            <v>0</v>
          </cell>
          <cell r="AR7">
            <v>0</v>
          </cell>
          <cell r="AS7">
            <v>24000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3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128000</v>
          </cell>
          <cell r="F8">
            <v>0</v>
          </cell>
          <cell r="G8">
            <v>3000</v>
          </cell>
          <cell r="H8" t="str">
            <v>ESPECES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128000</v>
          </cell>
          <cell r="AD8">
            <v>7500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892500</v>
          </cell>
          <cell r="AY8">
            <v>0</v>
          </cell>
          <cell r="AZ8">
            <v>892500</v>
          </cell>
          <cell r="BD8">
            <v>892500</v>
          </cell>
          <cell r="BF8">
            <v>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356000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U9">
            <v>356000</v>
          </cell>
          <cell r="AK9">
            <v>200000</v>
          </cell>
          <cell r="AN9">
            <v>3000</v>
          </cell>
          <cell r="AP9" t="str">
            <v>BANQUE</v>
          </cell>
          <cell r="AQ9">
            <v>0</v>
          </cell>
          <cell r="AR9">
            <v>0</v>
          </cell>
          <cell r="AS9">
            <v>30000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 t="str">
            <v>OK</v>
          </cell>
          <cell r="BF9">
            <v>0</v>
          </cell>
          <cell r="BG9">
            <v>3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290000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101000</v>
          </cell>
          <cell r="R10">
            <v>0</v>
          </cell>
          <cell r="U10">
            <v>290000</v>
          </cell>
          <cell r="AI10">
            <v>60000</v>
          </cell>
          <cell r="AJ10">
            <v>50000</v>
          </cell>
          <cell r="AL10">
            <v>1000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50000</v>
          </cell>
          <cell r="AY10">
            <v>0</v>
          </cell>
          <cell r="AZ10">
            <v>110000</v>
          </cell>
          <cell r="BA10">
            <v>110000</v>
          </cell>
          <cell r="BD10">
            <v>0</v>
          </cell>
          <cell r="BF10">
            <v>0</v>
          </cell>
          <cell r="BG10">
            <v>3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230000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2500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102500</v>
          </cell>
          <cell r="R11">
            <v>0</v>
          </cell>
          <cell r="U11">
            <v>230000</v>
          </cell>
          <cell r="AJ11">
            <v>50000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27500</v>
          </cell>
          <cell r="AW11">
            <v>0</v>
          </cell>
          <cell r="AX11">
            <v>50000</v>
          </cell>
          <cell r="AY11">
            <v>0</v>
          </cell>
          <cell r="AZ11">
            <v>50000</v>
          </cell>
          <cell r="BA11">
            <v>50000</v>
          </cell>
          <cell r="BD11">
            <v>0</v>
          </cell>
          <cell r="BF11">
            <v>0</v>
          </cell>
          <cell r="BG11">
            <v>3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532000</v>
          </cell>
          <cell r="AK12">
            <v>200000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3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3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3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452000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25000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0</v>
          </cell>
          <cell r="U16">
            <v>452000</v>
          </cell>
          <cell r="Z16">
            <v>1000000</v>
          </cell>
          <cell r="AA16" t="str">
            <v>BANQUE</v>
          </cell>
          <cell r="AK16">
            <v>200000</v>
          </cell>
          <cell r="AN16">
            <v>3500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1180000</v>
          </cell>
          <cell r="BD16">
            <v>1180000</v>
          </cell>
          <cell r="BE16" t="str">
            <v>OK</v>
          </cell>
          <cell r="BF16">
            <v>20000</v>
          </cell>
          <cell r="BG16">
            <v>2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170000</v>
          </cell>
          <cell r="E17">
            <v>210000</v>
          </cell>
          <cell r="F17">
            <v>0</v>
          </cell>
          <cell r="G17">
            <v>3000</v>
          </cell>
          <cell r="H17" t="str">
            <v>BANQUE</v>
          </cell>
          <cell r="I17">
            <v>-5500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30500</v>
          </cell>
          <cell r="Q17">
            <v>0</v>
          </cell>
          <cell r="R17">
            <v>202000</v>
          </cell>
          <cell r="U17">
            <v>380000</v>
          </cell>
          <cell r="AK17">
            <v>200000</v>
          </cell>
          <cell r="AN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19500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A17">
            <v>200000</v>
          </cell>
          <cell r="BD17">
            <v>0</v>
          </cell>
          <cell r="BF17">
            <v>0</v>
          </cell>
          <cell r="BG17">
            <v>3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362000</v>
          </cell>
          <cell r="AK18">
            <v>100000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3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3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202000</v>
          </cell>
          <cell r="U20">
            <v>629000</v>
          </cell>
          <cell r="AI20">
            <v>60000</v>
          </cell>
          <cell r="AJ20">
            <v>50000</v>
          </cell>
          <cell r="AK20">
            <v>200000</v>
          </cell>
          <cell r="AL20">
            <v>1000</v>
          </cell>
          <cell r="AM20">
            <v>1000</v>
          </cell>
          <cell r="AN20">
            <v>2500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60000</v>
          </cell>
          <cell r="AX20">
            <v>50000</v>
          </cell>
          <cell r="AY20">
            <v>200000</v>
          </cell>
          <cell r="AZ20">
            <v>310000</v>
          </cell>
          <cell r="BA20">
            <v>150000</v>
          </cell>
          <cell r="BD20">
            <v>160000</v>
          </cell>
          <cell r="BE20" t="str">
            <v>OK</v>
          </cell>
          <cell r="BF20">
            <v>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3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3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2500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1390000</v>
          </cell>
          <cell r="AZ23">
            <v>1390000</v>
          </cell>
          <cell r="BD23">
            <v>1390000</v>
          </cell>
          <cell r="BE23" t="str">
            <v>OK</v>
          </cell>
          <cell r="BF23">
            <v>0</v>
          </cell>
          <cell r="BG23">
            <v>3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209000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206000</v>
          </cell>
          <cell r="U24">
            <v>449000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0</v>
          </cell>
          <cell r="BE24" t="str">
            <v>OK</v>
          </cell>
          <cell r="BF24">
            <v>0</v>
          </cell>
          <cell r="BG24">
            <v>3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83000</v>
          </cell>
          <cell r="R25">
            <v>0</v>
          </cell>
          <cell r="U25">
            <v>458000</v>
          </cell>
          <cell r="AD25">
            <v>7500</v>
          </cell>
          <cell r="AF25" t="str">
            <v>BANQUE</v>
          </cell>
          <cell r="AJ25">
            <v>50000</v>
          </cell>
          <cell r="AK25">
            <v>200000</v>
          </cell>
          <cell r="AM25">
            <v>1000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942500</v>
          </cell>
          <cell r="AY25">
            <v>200000</v>
          </cell>
          <cell r="AZ25">
            <v>1142500</v>
          </cell>
          <cell r="BA25">
            <v>150000</v>
          </cell>
          <cell r="BD25">
            <v>992500</v>
          </cell>
          <cell r="BE25" t="str">
            <v>OK</v>
          </cell>
          <cell r="BF25">
            <v>0</v>
          </cell>
          <cell r="BG25">
            <v>3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112000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1000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112000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26000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3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112000</v>
          </cell>
          <cell r="AC29">
            <v>3000</v>
          </cell>
          <cell r="AP29" t="str">
            <v>BANQUE</v>
          </cell>
          <cell r="AQ29">
            <v>0</v>
          </cell>
          <cell r="AR29">
            <v>0</v>
          </cell>
          <cell r="AS29">
            <v>26000</v>
          </cell>
          <cell r="AW29">
            <v>297000</v>
          </cell>
          <cell r="AX29">
            <v>0</v>
          </cell>
          <cell r="AY29">
            <v>0</v>
          </cell>
          <cell r="AZ29">
            <v>297000</v>
          </cell>
          <cell r="BD29">
            <v>297000</v>
          </cell>
          <cell r="BE29" t="str">
            <v>OK</v>
          </cell>
          <cell r="BF29">
            <v>0</v>
          </cell>
          <cell r="BG29">
            <v>3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3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I31">
            <v>29500</v>
          </cell>
          <cell r="AL31">
            <v>500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29500</v>
          </cell>
          <cell r="AX31">
            <v>0</v>
          </cell>
          <cell r="AY31">
            <v>0</v>
          </cell>
          <cell r="AZ31">
            <v>29500</v>
          </cell>
          <cell r="BA31">
            <v>29500</v>
          </cell>
          <cell r="BD31">
            <v>0</v>
          </cell>
          <cell r="BE31" t="str">
            <v>OK</v>
          </cell>
          <cell r="BF31">
            <v>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AI32">
            <v>0</v>
          </cell>
          <cell r="AJ32">
            <v>107500</v>
          </cell>
          <cell r="AL32">
            <v>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107500</v>
          </cell>
          <cell r="AY32">
            <v>0</v>
          </cell>
          <cell r="AZ32">
            <v>107500</v>
          </cell>
          <cell r="BA32">
            <v>60500</v>
          </cell>
          <cell r="BD32">
            <v>47000</v>
          </cell>
          <cell r="BE32" t="str">
            <v>OK</v>
          </cell>
          <cell r="BF32">
            <v>0</v>
          </cell>
          <cell r="BG32">
            <v>3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-304000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174000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324000</v>
          </cell>
          <cell r="AC33">
            <v>6000</v>
          </cell>
          <cell r="AE33">
            <v>10000</v>
          </cell>
          <cell r="AF33" t="str">
            <v>BANQUE</v>
          </cell>
          <cell r="AQ33">
            <v>0</v>
          </cell>
          <cell r="AR33">
            <v>0</v>
          </cell>
          <cell r="AS33">
            <v>199000</v>
          </cell>
          <cell r="AW33">
            <v>294000</v>
          </cell>
          <cell r="AX33">
            <v>0</v>
          </cell>
          <cell r="AY33">
            <v>1190000</v>
          </cell>
          <cell r="AZ33">
            <v>1484000</v>
          </cell>
          <cell r="BB33">
            <v>140000</v>
          </cell>
          <cell r="BD33">
            <v>1180000</v>
          </cell>
          <cell r="BE33" t="str">
            <v>OK</v>
          </cell>
          <cell r="BF33">
            <v>0</v>
          </cell>
          <cell r="BG33">
            <v>3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3750</v>
          </cell>
          <cell r="D34">
            <v>110000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6250</v>
          </cell>
          <cell r="J34">
            <v>1</v>
          </cell>
          <cell r="K34">
            <v>100000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106250</v>
          </cell>
          <cell r="AQ34">
            <v>0</v>
          </cell>
          <cell r="AR34">
            <v>3750</v>
          </cell>
          <cell r="AS34">
            <v>56250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3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100000</v>
          </cell>
          <cell r="BD35">
            <v>100000</v>
          </cell>
          <cell r="BE35" t="str">
            <v>OK</v>
          </cell>
          <cell r="BF35">
            <v>0</v>
          </cell>
          <cell r="BG35">
            <v>3</v>
          </cell>
          <cell r="BK35">
            <v>100000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3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-940000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I37">
            <v>700000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853000</v>
          </cell>
          <cell r="AC37">
            <v>4000</v>
          </cell>
          <cell r="AE37">
            <v>10000</v>
          </cell>
          <cell r="AF37" t="str">
            <v>BANQUE</v>
          </cell>
          <cell r="AQ37">
            <v>0</v>
          </cell>
          <cell r="AR37">
            <v>0</v>
          </cell>
          <cell r="AS37">
            <v>725000</v>
          </cell>
          <cell r="AT37">
            <v>120000</v>
          </cell>
          <cell r="AW37">
            <v>296000</v>
          </cell>
          <cell r="AX37">
            <v>0</v>
          </cell>
          <cell r="AY37">
            <v>1190000</v>
          </cell>
          <cell r="AZ37">
            <v>1486000</v>
          </cell>
          <cell r="BB37">
            <v>240000</v>
          </cell>
          <cell r="BD37">
            <v>426000</v>
          </cell>
          <cell r="BE37" t="str">
            <v>OK</v>
          </cell>
          <cell r="BF37">
            <v>0</v>
          </cell>
          <cell r="BG37">
            <v>3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3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-1240250</v>
          </cell>
          <cell r="D40">
            <v>6147000</v>
          </cell>
          <cell r="E40">
            <v>1100000</v>
          </cell>
          <cell r="F40">
            <v>0</v>
          </cell>
          <cell r="G40">
            <v>18000</v>
          </cell>
          <cell r="H40">
            <v>0</v>
          </cell>
          <cell r="I40">
            <v>958250</v>
          </cell>
          <cell r="J40">
            <v>32</v>
          </cell>
          <cell r="K40">
            <v>1650000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271500</v>
          </cell>
          <cell r="Q40">
            <v>892500</v>
          </cell>
          <cell r="R40">
            <v>1317000</v>
          </cell>
          <cell r="S40">
            <v>0</v>
          </cell>
          <cell r="U40">
            <v>8107250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13000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209500</v>
          </cell>
          <cell r="AJ40">
            <v>307500</v>
          </cell>
          <cell r="AK40">
            <v>1900000</v>
          </cell>
          <cell r="AL40">
            <v>3500</v>
          </cell>
          <cell r="AM40">
            <v>6000</v>
          </cell>
          <cell r="AN40">
            <v>25000</v>
          </cell>
          <cell r="AO40">
            <v>0</v>
          </cell>
          <cell r="AP40">
            <v>0</v>
          </cell>
          <cell r="AQ40">
            <v>0</v>
          </cell>
          <cell r="AR40">
            <v>3750</v>
          </cell>
          <cell r="AS40">
            <v>1783250</v>
          </cell>
          <cell r="AT40">
            <v>120000</v>
          </cell>
          <cell r="AU40">
            <v>0</v>
          </cell>
          <cell r="AV40">
            <v>0</v>
          </cell>
          <cell r="AW40">
            <v>1096500</v>
          </cell>
          <cell r="AX40">
            <v>2092500</v>
          </cell>
          <cell r="AY40">
            <v>5470000</v>
          </cell>
          <cell r="AZ40">
            <v>9745000</v>
          </cell>
          <cell r="BA40">
            <v>910000</v>
          </cell>
          <cell r="BB40">
            <v>380000</v>
          </cell>
          <cell r="BC40">
            <v>0</v>
          </cell>
          <cell r="BD40">
            <v>7271000</v>
          </cell>
          <cell r="BE40">
            <v>0</v>
          </cell>
          <cell r="BF40">
            <v>20000</v>
          </cell>
          <cell r="BH40">
            <v>6000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9745000</v>
          </cell>
          <cell r="D47">
            <v>5972000</v>
          </cell>
          <cell r="F47">
            <v>1100000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1257000</v>
          </cell>
          <cell r="BF6">
            <v>0</v>
          </cell>
          <cell r="BG6">
            <v>2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C8">
            <v>2500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0</v>
          </cell>
          <cell r="AY8">
            <v>0</v>
          </cell>
          <cell r="AZ8">
            <v>297500</v>
          </cell>
          <cell r="BD8">
            <v>297500</v>
          </cell>
          <cell r="BE8" t="str">
            <v>OK</v>
          </cell>
          <cell r="BF8">
            <v>0</v>
          </cell>
          <cell r="BG8">
            <v>2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-1000</v>
          </cell>
          <cell r="D9">
            <v>452000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203000</v>
          </cell>
          <cell r="U9">
            <v>453000</v>
          </cell>
          <cell r="AE9">
            <v>10000</v>
          </cell>
          <cell r="AF9" t="str">
            <v>BANQUE</v>
          </cell>
          <cell r="AK9">
            <v>150000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1340000</v>
          </cell>
          <cell r="AZ9">
            <v>1340000</v>
          </cell>
          <cell r="BA9">
            <v>150000</v>
          </cell>
          <cell r="BD9">
            <v>1190000</v>
          </cell>
          <cell r="BE9" t="str">
            <v>OK</v>
          </cell>
          <cell r="BF9">
            <v>0</v>
          </cell>
          <cell r="BG9">
            <v>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238000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51000</v>
          </cell>
          <cell r="R10">
            <v>0</v>
          </cell>
          <cell r="U10">
            <v>238000</v>
          </cell>
          <cell r="AI10">
            <v>60500</v>
          </cell>
          <cell r="AJ10">
            <v>100000</v>
          </cell>
          <cell r="AL10">
            <v>1500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26000</v>
          </cell>
          <cell r="AW10">
            <v>60500</v>
          </cell>
          <cell r="AX10">
            <v>100000</v>
          </cell>
          <cell r="AY10">
            <v>0</v>
          </cell>
          <cell r="AZ10">
            <v>160500</v>
          </cell>
          <cell r="BA10">
            <v>60500</v>
          </cell>
          <cell r="BD10">
            <v>100000</v>
          </cell>
          <cell r="BE10" t="str">
            <v>OK</v>
          </cell>
          <cell r="BF10">
            <v>0</v>
          </cell>
          <cell r="BG10">
            <v>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176500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51000</v>
          </cell>
          <cell r="R11">
            <v>0</v>
          </cell>
          <cell r="U11">
            <v>176500</v>
          </cell>
          <cell r="AJ11">
            <v>100000</v>
          </cell>
          <cell r="AM11">
            <v>1000</v>
          </cell>
          <cell r="AN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25500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-1000</v>
          </cell>
          <cell r="D12">
            <v>632000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203000</v>
          </cell>
          <cell r="S12">
            <v>100000</v>
          </cell>
          <cell r="T12" t="str">
            <v>BANQUE</v>
          </cell>
          <cell r="U12">
            <v>633000</v>
          </cell>
          <cell r="AK12">
            <v>400000</v>
          </cell>
          <cell r="AN12">
            <v>4000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400000</v>
          </cell>
          <cell r="AZ12">
            <v>400000</v>
          </cell>
          <cell r="BD12">
            <v>400000</v>
          </cell>
          <cell r="BE12" t="str">
            <v>OK</v>
          </cell>
          <cell r="BF12">
            <v>0</v>
          </cell>
          <cell r="BG12">
            <v>2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2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2</v>
          </cell>
        </row>
        <row r="16">
          <cell r="A16" t="str">
            <v>AS201613</v>
          </cell>
          <cell r="B16" t="str">
            <v>HOTCHO BENJAMIN</v>
          </cell>
          <cell r="C16">
            <v>-1500</v>
          </cell>
          <cell r="D16">
            <v>442000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203500</v>
          </cell>
          <cell r="U16">
            <v>443500</v>
          </cell>
          <cell r="AK16">
            <v>300000</v>
          </cell>
          <cell r="AN16">
            <v>3000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300000</v>
          </cell>
          <cell r="AZ16">
            <v>300000</v>
          </cell>
          <cell r="BD16">
            <v>300000</v>
          </cell>
          <cell r="BE16" t="str">
            <v>OK</v>
          </cell>
          <cell r="BF16">
            <v>0</v>
          </cell>
          <cell r="BG16">
            <v>2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353000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202500</v>
          </cell>
          <cell r="U17">
            <v>353000</v>
          </cell>
          <cell r="AK17">
            <v>150000</v>
          </cell>
          <cell r="AN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150000</v>
          </cell>
          <cell r="AZ17">
            <v>150000</v>
          </cell>
          <cell r="BA17">
            <v>100000</v>
          </cell>
          <cell r="BD17">
            <v>50000</v>
          </cell>
          <cell r="BE17" t="str">
            <v>OK</v>
          </cell>
          <cell r="BF17">
            <v>0</v>
          </cell>
          <cell r="BG17">
            <v>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251000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U18">
            <v>251000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2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2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539000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61000</v>
          </cell>
          <cell r="Q20">
            <v>51000</v>
          </cell>
          <cell r="R20">
            <v>202500</v>
          </cell>
          <cell r="U20">
            <v>539500</v>
          </cell>
          <cell r="AJ20">
            <v>50000</v>
          </cell>
          <cell r="AK20">
            <v>400000</v>
          </cell>
          <cell r="AM20">
            <v>1000</v>
          </cell>
          <cell r="AN20">
            <v>4000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50000</v>
          </cell>
          <cell r="AY20">
            <v>400000</v>
          </cell>
          <cell r="AZ20">
            <v>450000</v>
          </cell>
          <cell r="BA20">
            <v>62500</v>
          </cell>
          <cell r="BD20">
            <v>387500</v>
          </cell>
          <cell r="BE20" t="str">
            <v>OK</v>
          </cell>
          <cell r="BF20">
            <v>0</v>
          </cell>
          <cell r="BG20">
            <v>2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2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-500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202500</v>
          </cell>
          <cell r="U23">
            <v>462500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100000</v>
          </cell>
          <cell r="BD23">
            <v>100000</v>
          </cell>
          <cell r="BE23" t="str">
            <v>OK</v>
          </cell>
          <cell r="BF23">
            <v>0</v>
          </cell>
          <cell r="BG23">
            <v>2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430000</v>
          </cell>
          <cell r="F24">
            <v>0</v>
          </cell>
          <cell r="G24">
            <v>3000</v>
          </cell>
          <cell r="H24" t="str">
            <v>ESPECES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430000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521000</v>
          </cell>
          <cell r="BE24" t="str">
            <v>OK</v>
          </cell>
          <cell r="BF24">
            <v>0</v>
          </cell>
          <cell r="BG24">
            <v>2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618000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-11000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51000</v>
          </cell>
          <cell r="R25">
            <v>203000</v>
          </cell>
          <cell r="U25">
            <v>618000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14000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D25">
            <v>100000</v>
          </cell>
          <cell r="BE25" t="str">
            <v>OK</v>
          </cell>
          <cell r="BF25">
            <v>0</v>
          </cell>
          <cell r="BG25">
            <v>2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111000</v>
          </cell>
          <cell r="AP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2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-20000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C27">
            <v>2500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297500</v>
          </cell>
          <cell r="AX27">
            <v>0</v>
          </cell>
          <cell r="AY27">
            <v>0</v>
          </cell>
          <cell r="AZ27">
            <v>297500</v>
          </cell>
          <cell r="BB27">
            <v>20000</v>
          </cell>
          <cell r="BD27">
            <v>277500</v>
          </cell>
          <cell r="BE27" t="str">
            <v>OK</v>
          </cell>
          <cell r="BF27">
            <v>0</v>
          </cell>
          <cell r="BG27">
            <v>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2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60000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A29">
            <v>60000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U30">
            <v>452000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2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180000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30000</v>
          </cell>
          <cell r="Q31">
            <v>0</v>
          </cell>
          <cell r="R31">
            <v>0</v>
          </cell>
          <cell r="U31">
            <v>180000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2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234500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109500</v>
          </cell>
          <cell r="R32">
            <v>0</v>
          </cell>
          <cell r="U32">
            <v>234500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2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-85000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95000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245000</v>
          </cell>
          <cell r="AQ33">
            <v>0</v>
          </cell>
          <cell r="AR33">
            <v>0</v>
          </cell>
          <cell r="AS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2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2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2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2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2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C38">
            <v>2500</v>
          </cell>
          <cell r="AD38">
            <v>7500</v>
          </cell>
          <cell r="AF38" t="str">
            <v>BANQUE</v>
          </cell>
          <cell r="AQ38">
            <v>0</v>
          </cell>
          <cell r="AR38">
            <v>0</v>
          </cell>
          <cell r="AS38">
            <v>25000</v>
          </cell>
          <cell r="AW38">
            <v>297500</v>
          </cell>
          <cell r="AX38">
            <v>892500</v>
          </cell>
          <cell r="AY38">
            <v>0</v>
          </cell>
          <cell r="AZ38">
            <v>1190000</v>
          </cell>
          <cell r="BD38">
            <v>1190000</v>
          </cell>
          <cell r="BE38" t="str">
            <v>OK</v>
          </cell>
          <cell r="BF38">
            <v>0</v>
          </cell>
          <cell r="BG38">
            <v>2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-109500</v>
          </cell>
          <cell r="D40">
            <v>6561000</v>
          </cell>
          <cell r="E40">
            <v>633000</v>
          </cell>
          <cell r="F40">
            <v>0</v>
          </cell>
          <cell r="G40">
            <v>6000</v>
          </cell>
          <cell r="H40">
            <v>0</v>
          </cell>
          <cell r="I40">
            <v>126000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213000</v>
          </cell>
          <cell r="Q40">
            <v>313500</v>
          </cell>
          <cell r="R40">
            <v>1925000</v>
          </cell>
          <cell r="S40">
            <v>100000</v>
          </cell>
          <cell r="U40">
            <v>7283500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120500</v>
          </cell>
          <cell r="AJ40">
            <v>250000</v>
          </cell>
          <cell r="AK40">
            <v>1900000</v>
          </cell>
          <cell r="AL40">
            <v>3000</v>
          </cell>
          <cell r="AM40">
            <v>3000</v>
          </cell>
          <cell r="AN40">
            <v>21000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926000</v>
          </cell>
          <cell r="AT40">
            <v>0</v>
          </cell>
          <cell r="AU40">
            <v>0</v>
          </cell>
          <cell r="AV40">
            <v>0</v>
          </cell>
          <cell r="AW40">
            <v>1013000</v>
          </cell>
          <cell r="AX40">
            <v>1142500</v>
          </cell>
          <cell r="AY40">
            <v>3090000</v>
          </cell>
          <cell r="AZ40">
            <v>5351500</v>
          </cell>
          <cell r="BA40">
            <v>633000</v>
          </cell>
          <cell r="BB40">
            <v>20000</v>
          </cell>
          <cell r="BC40">
            <v>0</v>
          </cell>
          <cell r="BD40">
            <v>6170500</v>
          </cell>
          <cell r="BE40">
            <v>0</v>
          </cell>
          <cell r="BF40">
            <v>0</v>
          </cell>
          <cell r="BH40">
            <v>6000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5351500</v>
          </cell>
          <cell r="D47">
            <v>6386000</v>
          </cell>
          <cell r="F47">
            <v>633000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156000</v>
          </cell>
          <cell r="BD6">
            <v>156000</v>
          </cell>
          <cell r="BF6">
            <v>0</v>
          </cell>
          <cell r="BG6">
            <v>1</v>
          </cell>
          <cell r="BH6">
            <v>56000</v>
          </cell>
          <cell r="BI6">
            <v>0</v>
          </cell>
          <cell r="BJ6">
            <v>100000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401500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151500</v>
          </cell>
          <cell r="U9">
            <v>401500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A9">
            <v>100000</v>
          </cell>
          <cell r="BD9">
            <v>0</v>
          </cell>
          <cell r="BF9">
            <v>0</v>
          </cell>
          <cell r="BG9">
            <v>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285000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-3000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62000</v>
          </cell>
          <cell r="Q10">
            <v>101000</v>
          </cell>
          <cell r="R10">
            <v>0</v>
          </cell>
          <cell r="U10">
            <v>285000</v>
          </cell>
          <cell r="AI10">
            <v>60000</v>
          </cell>
          <cell r="AJ10">
            <v>130000</v>
          </cell>
          <cell r="AL10">
            <v>1000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60000</v>
          </cell>
          <cell r="AX10">
            <v>130000</v>
          </cell>
          <cell r="AY10">
            <v>0</v>
          </cell>
          <cell r="AZ10">
            <v>190000</v>
          </cell>
          <cell r="BD10">
            <v>190000</v>
          </cell>
          <cell r="BE10" t="str">
            <v>OK</v>
          </cell>
          <cell r="BF10">
            <v>0</v>
          </cell>
          <cell r="BG10">
            <v>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-101000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101000</v>
          </cell>
          <cell r="R11">
            <v>0</v>
          </cell>
          <cell r="U11">
            <v>226000</v>
          </cell>
          <cell r="AJ11">
            <v>101000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101000</v>
          </cell>
          <cell r="AY11">
            <v>0</v>
          </cell>
          <cell r="AZ11">
            <v>101000</v>
          </cell>
          <cell r="BD11">
            <v>0</v>
          </cell>
          <cell r="BF11">
            <v>0</v>
          </cell>
          <cell r="BG11">
            <v>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736000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7000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404000</v>
          </cell>
          <cell r="U12">
            <v>736000</v>
          </cell>
          <cell r="AI12">
            <v>60000</v>
          </cell>
          <cell r="AJ12">
            <v>100500</v>
          </cell>
          <cell r="AK12">
            <v>500000</v>
          </cell>
          <cell r="AL12">
            <v>1000</v>
          </cell>
          <cell r="AM12">
            <v>1000</v>
          </cell>
          <cell r="AN12">
            <v>5000</v>
          </cell>
          <cell r="AP12" t="str">
            <v>BANQUE</v>
          </cell>
          <cell r="AQ12">
            <v>0</v>
          </cell>
          <cell r="AR12">
            <v>0</v>
          </cell>
          <cell r="AS12">
            <v>32000</v>
          </cell>
          <cell r="AW12">
            <v>60000</v>
          </cell>
          <cell r="AX12">
            <v>100500</v>
          </cell>
          <cell r="AY12">
            <v>500000</v>
          </cell>
          <cell r="AZ12">
            <v>660500</v>
          </cell>
          <cell r="BA12">
            <v>60000</v>
          </cell>
          <cell r="BD12">
            <v>600500</v>
          </cell>
          <cell r="BE12" t="str">
            <v>OK</v>
          </cell>
          <cell r="BF12">
            <v>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P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-3000</v>
          </cell>
          <cell r="D14">
            <v>0</v>
          </cell>
          <cell r="E14">
            <v>50000</v>
          </cell>
          <cell r="F14">
            <v>0</v>
          </cell>
          <cell r="G14">
            <v>3000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53000</v>
          </cell>
          <cell r="AC14">
            <v>2500</v>
          </cell>
          <cell r="AP14" t="str">
            <v>BANQUE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D14">
            <v>297500</v>
          </cell>
          <cell r="BE14" t="str">
            <v>OK</v>
          </cell>
          <cell r="BF14">
            <v>0</v>
          </cell>
          <cell r="BG14">
            <v>1</v>
          </cell>
          <cell r="BO14" t="str">
            <v>AGENCE ASSOCIATION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</v>
          </cell>
        </row>
        <row r="16">
          <cell r="A16" t="str">
            <v>AS201613</v>
          </cell>
          <cell r="B16" t="str">
            <v>HOTCHO BENJAMIN</v>
          </cell>
          <cell r="C16">
            <v>10000</v>
          </cell>
          <cell r="D16">
            <v>543000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303000</v>
          </cell>
          <cell r="U16">
            <v>533000</v>
          </cell>
          <cell r="AJ16">
            <v>200000</v>
          </cell>
          <cell r="AK16">
            <v>200000</v>
          </cell>
          <cell r="AM16">
            <v>2000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30000</v>
          </cell>
          <cell r="AW16">
            <v>0</v>
          </cell>
          <cell r="AX16">
            <v>200000</v>
          </cell>
          <cell r="AY16">
            <v>200000</v>
          </cell>
          <cell r="AZ16">
            <v>400000</v>
          </cell>
          <cell r="BD16">
            <v>400000</v>
          </cell>
          <cell r="BE16" t="str">
            <v>OK</v>
          </cell>
          <cell r="BF16">
            <v>0</v>
          </cell>
          <cell r="BG16">
            <v>1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-101500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151500</v>
          </cell>
          <cell r="U17">
            <v>301500</v>
          </cell>
          <cell r="AK17">
            <v>101500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101500</v>
          </cell>
          <cell r="AZ17">
            <v>101500</v>
          </cell>
          <cell r="BD17">
            <v>0</v>
          </cell>
          <cell r="BF17">
            <v>0</v>
          </cell>
          <cell r="BG17">
            <v>1</v>
          </cell>
        </row>
        <row r="18">
          <cell r="A18" t="str">
            <v>AS201619</v>
          </cell>
          <cell r="B18" t="str">
            <v>KOUATCHO MESSACK</v>
          </cell>
          <cell r="C18">
            <v>3000</v>
          </cell>
          <cell r="D18">
            <v>0</v>
          </cell>
          <cell r="E18">
            <v>160000</v>
          </cell>
          <cell r="F18">
            <v>0</v>
          </cell>
          <cell r="G18">
            <v>3000</v>
          </cell>
          <cell r="H18" t="str">
            <v>ESPECES</v>
          </cell>
          <cell r="I18">
            <v>4000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157000</v>
          </cell>
          <cell r="AK18">
            <v>100000</v>
          </cell>
          <cell r="AN18">
            <v>1000</v>
          </cell>
          <cell r="AQ18">
            <v>0</v>
          </cell>
          <cell r="AR18">
            <v>0</v>
          </cell>
          <cell r="AS18">
            <v>29000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1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51000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51000</v>
          </cell>
          <cell r="R20">
            <v>404000</v>
          </cell>
          <cell r="U20">
            <v>680000</v>
          </cell>
          <cell r="AI20">
            <v>130000</v>
          </cell>
          <cell r="AJ20">
            <v>200000</v>
          </cell>
          <cell r="AK20">
            <v>200000</v>
          </cell>
          <cell r="AL20">
            <v>2000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130000</v>
          </cell>
          <cell r="AX20">
            <v>200000</v>
          </cell>
          <cell r="AY20">
            <v>200000</v>
          </cell>
          <cell r="AZ20">
            <v>536000</v>
          </cell>
          <cell r="BA20">
            <v>147000</v>
          </cell>
          <cell r="BD20">
            <v>389000</v>
          </cell>
          <cell r="BE20" t="str">
            <v>OK</v>
          </cell>
          <cell r="BF20">
            <v>0</v>
          </cell>
          <cell r="BG20">
            <v>1</v>
          </cell>
          <cell r="BK20">
            <v>6000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892500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892500</v>
          </cell>
          <cell r="T22" t="str">
            <v>BANQUE</v>
          </cell>
          <cell r="U22">
            <v>1017500</v>
          </cell>
          <cell r="AD22">
            <v>7500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892500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400000</v>
          </cell>
          <cell r="AN23">
            <v>4000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400000</v>
          </cell>
          <cell r="AZ23">
            <v>400000</v>
          </cell>
          <cell r="BD23">
            <v>400000</v>
          </cell>
          <cell r="BE23" t="str">
            <v>OK</v>
          </cell>
          <cell r="BF23">
            <v>0</v>
          </cell>
          <cell r="BG23">
            <v>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205000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445000</v>
          </cell>
          <cell r="AK24">
            <v>202000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A24">
            <v>202000</v>
          </cell>
          <cell r="BD24">
            <v>0</v>
          </cell>
          <cell r="BF24">
            <v>0</v>
          </cell>
          <cell r="BG24">
            <v>1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4000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480000</v>
          </cell>
          <cell r="AP25" t="str">
            <v>BANQUE</v>
          </cell>
          <cell r="AQ25">
            <v>0</v>
          </cell>
          <cell r="AR25">
            <v>0</v>
          </cell>
          <cell r="AS25">
            <v>29000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D25">
            <v>2000000</v>
          </cell>
          <cell r="BE25" t="str">
            <v>OK</v>
          </cell>
          <cell r="BF25">
            <v>0</v>
          </cell>
          <cell r="BG25">
            <v>1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</v>
          </cell>
          <cell r="BO27" t="str">
            <v>ASCOBA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120000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8500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61500</v>
          </cell>
          <cell r="Q29">
            <v>0</v>
          </cell>
          <cell r="R29">
            <v>0</v>
          </cell>
          <cell r="U29">
            <v>120000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33500</v>
          </cell>
          <cell r="AW29">
            <v>60000</v>
          </cell>
          <cell r="AX29">
            <v>0</v>
          </cell>
          <cell r="AY29">
            <v>0</v>
          </cell>
          <cell r="AZ29">
            <v>160000</v>
          </cell>
          <cell r="BA29">
            <v>60000</v>
          </cell>
          <cell r="BD29">
            <v>100000</v>
          </cell>
          <cell r="BE29" t="str">
            <v>OK</v>
          </cell>
          <cell r="BF29">
            <v>0</v>
          </cell>
          <cell r="BG29">
            <v>1</v>
          </cell>
          <cell r="BK29">
            <v>100000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1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J32">
            <v>200000</v>
          </cell>
          <cell r="AM32">
            <v>2000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1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297500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297500</v>
          </cell>
          <cell r="T35" t="str">
            <v>BANQUE</v>
          </cell>
          <cell r="U35">
            <v>357500</v>
          </cell>
          <cell r="AC35">
            <v>2500</v>
          </cell>
          <cell r="AQ35">
            <v>0</v>
          </cell>
          <cell r="AR35">
            <v>0</v>
          </cell>
          <cell r="AS35">
            <v>35000</v>
          </cell>
          <cell r="AW35">
            <v>297500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-192500</v>
          </cell>
          <cell r="D40">
            <v>6116500</v>
          </cell>
          <cell r="E40">
            <v>669000</v>
          </cell>
          <cell r="F40">
            <v>1190000</v>
          </cell>
          <cell r="G40">
            <v>12000</v>
          </cell>
          <cell r="H40">
            <v>0</v>
          </cell>
          <cell r="I40">
            <v>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253000</v>
          </cell>
          <cell r="R40">
            <v>1919000</v>
          </cell>
          <cell r="S40">
            <v>1190000</v>
          </cell>
          <cell r="U40">
            <v>8168000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310000</v>
          </cell>
          <cell r="AJ40">
            <v>931500</v>
          </cell>
          <cell r="AK40">
            <v>2003500</v>
          </cell>
          <cell r="AL40">
            <v>5000</v>
          </cell>
          <cell r="AM40">
            <v>11000</v>
          </cell>
          <cell r="AN40">
            <v>22000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870500</v>
          </cell>
          <cell r="AT40">
            <v>0</v>
          </cell>
          <cell r="AU40">
            <v>0</v>
          </cell>
          <cell r="AV40">
            <v>0</v>
          </cell>
          <cell r="AW40">
            <v>905000</v>
          </cell>
          <cell r="AX40">
            <v>1824000</v>
          </cell>
          <cell r="AY40">
            <v>2003500</v>
          </cell>
          <cell r="AZ40">
            <v>3804500</v>
          </cell>
          <cell r="BA40">
            <v>669000</v>
          </cell>
          <cell r="BB40">
            <v>0</v>
          </cell>
          <cell r="BC40">
            <v>0</v>
          </cell>
          <cell r="BD40">
            <v>4933000</v>
          </cell>
          <cell r="BE40">
            <v>0</v>
          </cell>
          <cell r="BF40">
            <v>0</v>
          </cell>
          <cell r="BH40">
            <v>56000</v>
          </cell>
          <cell r="BI40">
            <v>0</v>
          </cell>
          <cell r="BJ40">
            <v>100000</v>
          </cell>
          <cell r="BK40">
            <v>106000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3804500</v>
          </cell>
          <cell r="D47">
            <v>5941500</v>
          </cell>
          <cell r="F47">
            <v>669000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-61000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61000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236000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4031000</v>
          </cell>
          <cell r="BA6">
            <v>31000</v>
          </cell>
          <cell r="BD6">
            <v>5026618</v>
          </cell>
          <cell r="BF6">
            <v>0</v>
          </cell>
          <cell r="BG6">
            <v>12</v>
          </cell>
          <cell r="BH6">
            <v>4031000</v>
          </cell>
          <cell r="BI6">
            <v>0</v>
          </cell>
          <cell r="BJ6">
            <v>0</v>
          </cell>
          <cell r="BN6">
            <v>1026618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93000</v>
          </cell>
          <cell r="BG7">
            <v>12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U8">
            <v>625000</v>
          </cell>
          <cell r="Z8">
            <v>500000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440000</v>
          </cell>
          <cell r="BA8">
            <v>440000</v>
          </cell>
          <cell r="BD8">
            <v>0</v>
          </cell>
          <cell r="BF8">
            <v>60000</v>
          </cell>
          <cell r="BG8">
            <v>12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500000</v>
          </cell>
          <cell r="D9">
            <v>250000</v>
          </cell>
          <cell r="E9">
            <v>1600000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S9">
            <v>1000000</v>
          </cell>
          <cell r="U9">
            <v>1351000</v>
          </cell>
          <cell r="Z9">
            <v>1000000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D9">
            <v>0</v>
          </cell>
          <cell r="BF9">
            <v>120000</v>
          </cell>
          <cell r="BG9">
            <v>12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-11000</v>
          </cell>
          <cell r="D10">
            <v>0</v>
          </cell>
          <cell r="E10">
            <v>1307000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132000</v>
          </cell>
          <cell r="R10">
            <v>0</v>
          </cell>
          <cell r="S10">
            <v>1000000</v>
          </cell>
          <cell r="U10">
            <v>1318000</v>
          </cell>
          <cell r="Z10">
            <v>1000000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880000</v>
          </cell>
          <cell r="BE10" t="str">
            <v>OK</v>
          </cell>
          <cell r="BF10">
            <v>120000</v>
          </cell>
          <cell r="BG10">
            <v>12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228000</v>
          </cell>
          <cell r="F11">
            <v>0</v>
          </cell>
          <cell r="G11">
            <v>0</v>
          </cell>
          <cell r="H11" t="str">
            <v>ESPECES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103000</v>
          </cell>
          <cell r="R11">
            <v>0</v>
          </cell>
          <cell r="U11">
            <v>228000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400000</v>
          </cell>
          <cell r="E12">
            <v>637500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61000</v>
          </cell>
          <cell r="Q12">
            <v>101500</v>
          </cell>
          <cell r="R12">
            <v>505000</v>
          </cell>
          <cell r="S12">
            <v>40000</v>
          </cell>
          <cell r="U12">
            <v>1037500</v>
          </cell>
          <cell r="Z12">
            <v>1000000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A12">
            <v>940000</v>
          </cell>
          <cell r="BD12">
            <v>0</v>
          </cell>
          <cell r="BF12">
            <v>60000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U13">
            <v>1050000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12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125000</v>
          </cell>
          <cell r="F15">
            <v>0</v>
          </cell>
          <cell r="G15">
            <v>0</v>
          </cell>
          <cell r="H15" t="str">
            <v>ESPECES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</row>
        <row r="16">
          <cell r="A16" t="str">
            <v>AS201613</v>
          </cell>
          <cell r="B16" t="str">
            <v>HOTCHO BENJAMIN</v>
          </cell>
          <cell r="C16">
            <v>-530000</v>
          </cell>
          <cell r="D16">
            <v>952000</v>
          </cell>
          <cell r="E16">
            <v>202000</v>
          </cell>
          <cell r="F16">
            <v>0</v>
          </cell>
          <cell r="G16">
            <v>0</v>
          </cell>
          <cell r="H16" t="str">
            <v>BANQUE</v>
          </cell>
          <cell r="I16">
            <v>55000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202000</v>
          </cell>
          <cell r="S16">
            <v>1000000</v>
          </cell>
          <cell r="U16">
            <v>1684000</v>
          </cell>
          <cell r="AQ16">
            <v>0</v>
          </cell>
          <cell r="AR16">
            <v>0</v>
          </cell>
          <cell r="AS16">
            <v>80000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12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-170000</v>
          </cell>
          <cell r="D17">
            <v>260000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104500</v>
          </cell>
          <cell r="S17">
            <v>170000</v>
          </cell>
          <cell r="U17">
            <v>430000</v>
          </cell>
          <cell r="AQ17">
            <v>0</v>
          </cell>
          <cell r="AR17">
            <v>0</v>
          </cell>
          <cell r="AS17">
            <v>30500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350000</v>
          </cell>
          <cell r="U18">
            <v>611000</v>
          </cell>
          <cell r="Z18">
            <v>1000000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880000</v>
          </cell>
          <cell r="BD18">
            <v>880000</v>
          </cell>
          <cell r="BE18" t="str">
            <v>OK</v>
          </cell>
          <cell r="BF18">
            <v>120000</v>
          </cell>
          <cell r="BG18">
            <v>12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-297500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297500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347500</v>
          </cell>
          <cell r="AC19">
            <v>2500</v>
          </cell>
          <cell r="AQ19">
            <v>0</v>
          </cell>
          <cell r="AR19">
            <v>0</v>
          </cell>
          <cell r="AS19">
            <v>322500</v>
          </cell>
          <cell r="AW19">
            <v>297500</v>
          </cell>
          <cell r="AX19">
            <v>0</v>
          </cell>
          <cell r="AY19">
            <v>0</v>
          </cell>
          <cell r="AZ19">
            <v>297500</v>
          </cell>
          <cell r="BA19">
            <v>297500</v>
          </cell>
          <cell r="BB19">
            <v>190000</v>
          </cell>
          <cell r="BD19">
            <v>0</v>
          </cell>
          <cell r="BF19">
            <v>0</v>
          </cell>
          <cell r="BG19">
            <v>12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1536000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132000</v>
          </cell>
          <cell r="Q20">
            <v>202000</v>
          </cell>
          <cell r="R20">
            <v>202000</v>
          </cell>
          <cell r="S20">
            <v>1000000</v>
          </cell>
          <cell r="U20">
            <v>1761000</v>
          </cell>
          <cell r="Z20">
            <v>1000000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0</v>
          </cell>
          <cell r="AZ20">
            <v>970000</v>
          </cell>
          <cell r="BA20">
            <v>970000</v>
          </cell>
          <cell r="BB20">
            <v>66700</v>
          </cell>
          <cell r="BD20">
            <v>0</v>
          </cell>
          <cell r="BF20">
            <v>30000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-283500</v>
          </cell>
          <cell r="D21">
            <v>0</v>
          </cell>
          <cell r="E21">
            <v>66500</v>
          </cell>
          <cell r="F21">
            <v>0</v>
          </cell>
          <cell r="G21">
            <v>0</v>
          </cell>
          <cell r="H21" t="str">
            <v>ESPECES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U21">
            <v>350000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46500</v>
          </cell>
          <cell r="BG21">
            <v>12</v>
          </cell>
        </row>
        <row r="22">
          <cell r="A22" t="str">
            <v>AS201621</v>
          </cell>
          <cell r="B22" t="str">
            <v>NANKAM APPOLINAIRE</v>
          </cell>
          <cell r="C22">
            <v>-107500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107500</v>
          </cell>
          <cell r="U22">
            <v>232500</v>
          </cell>
          <cell r="Z22">
            <v>900000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792000</v>
          </cell>
          <cell r="BD22">
            <v>792000</v>
          </cell>
          <cell r="BE22" t="str">
            <v>OK</v>
          </cell>
          <cell r="BF22">
            <v>108000</v>
          </cell>
          <cell r="BG22">
            <v>12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1164000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404000</v>
          </cell>
          <cell r="S23">
            <v>500000</v>
          </cell>
          <cell r="U23">
            <v>1164000</v>
          </cell>
          <cell r="Z23">
            <v>500000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470000</v>
          </cell>
          <cell r="BE23" t="str">
            <v>OK</v>
          </cell>
          <cell r="BF23">
            <v>30000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500000</v>
          </cell>
          <cell r="F24">
            <v>0</v>
          </cell>
          <cell r="G24">
            <v>0</v>
          </cell>
          <cell r="H24" t="str">
            <v>BANQUE</v>
          </cell>
          <cell r="I24">
            <v>13000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204000</v>
          </cell>
          <cell r="S24">
            <v>500000</v>
          </cell>
          <cell r="U24">
            <v>942000</v>
          </cell>
          <cell r="AQ24">
            <v>0</v>
          </cell>
          <cell r="AR24">
            <v>0</v>
          </cell>
          <cell r="AS24">
            <v>38000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12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-1000000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U25">
            <v>1375000</v>
          </cell>
          <cell r="Z25">
            <v>1000000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880000</v>
          </cell>
          <cell r="BE25" t="str">
            <v>OK</v>
          </cell>
          <cell r="BF25">
            <v>120000</v>
          </cell>
          <cell r="BG25">
            <v>12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1050000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U26">
            <v>1050000</v>
          </cell>
          <cell r="Z26">
            <v>1000000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A26">
            <v>144500</v>
          </cell>
          <cell r="BD26">
            <v>825500</v>
          </cell>
          <cell r="BE26" t="str">
            <v>OK</v>
          </cell>
          <cell r="BF26">
            <v>30000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-50000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50000</v>
          </cell>
          <cell r="U27">
            <v>100000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7750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-27000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27000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152000</v>
          </cell>
          <cell r="AQ28">
            <v>0</v>
          </cell>
          <cell r="AR28">
            <v>0</v>
          </cell>
          <cell r="AS28">
            <v>52000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110000</v>
          </cell>
          <cell r="Z29">
            <v>1000000</v>
          </cell>
          <cell r="AQ29">
            <v>0</v>
          </cell>
          <cell r="AR29">
            <v>0</v>
          </cell>
          <cell r="AS29">
            <v>24000</v>
          </cell>
          <cell r="AW29">
            <v>0</v>
          </cell>
          <cell r="AX29">
            <v>0</v>
          </cell>
          <cell r="AY29">
            <v>0</v>
          </cell>
          <cell r="AZ29">
            <v>980000</v>
          </cell>
          <cell r="BA29">
            <v>980000</v>
          </cell>
          <cell r="BB29">
            <v>115000</v>
          </cell>
          <cell r="BD29">
            <v>0</v>
          </cell>
          <cell r="BF29">
            <v>120000</v>
          </cell>
          <cell r="BG29">
            <v>12</v>
          </cell>
          <cell r="BK29">
            <v>100000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1000000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S30">
            <v>1000000</v>
          </cell>
          <cell r="U30">
            <v>1452000</v>
          </cell>
          <cell r="Z30">
            <v>1000000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880000</v>
          </cell>
          <cell r="BA30">
            <v>880000</v>
          </cell>
          <cell r="BD30">
            <v>0</v>
          </cell>
          <cell r="BF30">
            <v>120000</v>
          </cell>
          <cell r="BG30">
            <v>12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U31">
            <v>1150000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880000</v>
          </cell>
          <cell r="BD31">
            <v>880000</v>
          </cell>
          <cell r="BE31" t="str">
            <v>OK</v>
          </cell>
          <cell r="BF31">
            <v>120000</v>
          </cell>
          <cell r="BG31">
            <v>12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E32" t="str">
            <v>OK</v>
          </cell>
          <cell r="BF32">
            <v>120000</v>
          </cell>
          <cell r="BG32">
            <v>12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Z33">
            <v>1000000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880000</v>
          </cell>
          <cell r="BA33">
            <v>880000</v>
          </cell>
          <cell r="BD33">
            <v>0</v>
          </cell>
          <cell r="BF33">
            <v>120000</v>
          </cell>
          <cell r="BG33">
            <v>12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-297500</v>
          </cell>
          <cell r="D34">
            <v>0</v>
          </cell>
          <cell r="E34">
            <v>50000</v>
          </cell>
          <cell r="F34">
            <v>0</v>
          </cell>
          <cell r="G34">
            <v>0</v>
          </cell>
          <cell r="H34" t="str">
            <v>ESPECES</v>
          </cell>
          <cell r="I34">
            <v>297500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347500</v>
          </cell>
          <cell r="AC34">
            <v>2500</v>
          </cell>
          <cell r="AQ34">
            <v>0</v>
          </cell>
          <cell r="AR34">
            <v>0</v>
          </cell>
          <cell r="AS34">
            <v>322500</v>
          </cell>
          <cell r="AW34">
            <v>297500</v>
          </cell>
          <cell r="AX34">
            <v>0</v>
          </cell>
          <cell r="AY34">
            <v>0</v>
          </cell>
          <cell r="AZ34">
            <v>297500</v>
          </cell>
          <cell r="BA34">
            <v>297500</v>
          </cell>
          <cell r="BD34">
            <v>0</v>
          </cell>
          <cell r="BF34">
            <v>0</v>
          </cell>
          <cell r="BG34">
            <v>12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350000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300000</v>
          </cell>
          <cell r="U35">
            <v>350000</v>
          </cell>
          <cell r="Z35">
            <v>1000000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880000</v>
          </cell>
          <cell r="BD35">
            <v>880000</v>
          </cell>
          <cell r="BE35" t="str">
            <v>OK</v>
          </cell>
          <cell r="BF35">
            <v>120000</v>
          </cell>
          <cell r="BG35">
            <v>12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50000</v>
          </cell>
          <cell r="F36">
            <v>0</v>
          </cell>
          <cell r="G36">
            <v>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C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0</v>
          </cell>
          <cell r="AZ36">
            <v>297500</v>
          </cell>
          <cell r="BA36">
            <v>297500</v>
          </cell>
          <cell r="BD36">
            <v>0</v>
          </cell>
          <cell r="BF36">
            <v>0</v>
          </cell>
          <cell r="BG36">
            <v>12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150000</v>
          </cell>
          <cell r="F37">
            <v>0</v>
          </cell>
          <cell r="G37">
            <v>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12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Z38">
            <v>500000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485000</v>
          </cell>
          <cell r="BA38">
            <v>485000</v>
          </cell>
          <cell r="BD38">
            <v>0</v>
          </cell>
          <cell r="BF38">
            <v>15000</v>
          </cell>
          <cell r="BG38">
            <v>3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-2335000</v>
          </cell>
          <cell r="D40">
            <v>9103000</v>
          </cell>
          <cell r="E40">
            <v>9052000</v>
          </cell>
          <cell r="F40">
            <v>0</v>
          </cell>
          <cell r="G40">
            <v>0</v>
          </cell>
          <cell r="H40">
            <v>0</v>
          </cell>
          <cell r="I40">
            <v>790500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315000</v>
          </cell>
          <cell r="Q40">
            <v>942500</v>
          </cell>
          <cell r="R40">
            <v>2025500</v>
          </cell>
          <cell r="S40">
            <v>11817500</v>
          </cell>
          <cell r="U40">
            <v>20491000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15400000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1529500</v>
          </cell>
          <cell r="AT40">
            <v>0</v>
          </cell>
          <cell r="AU40">
            <v>0</v>
          </cell>
          <cell r="AV40">
            <v>0</v>
          </cell>
          <cell r="AW40">
            <v>892500</v>
          </cell>
          <cell r="AX40">
            <v>892500</v>
          </cell>
          <cell r="AY40">
            <v>1190000</v>
          </cell>
          <cell r="AZ40">
            <v>18890500</v>
          </cell>
          <cell r="BA40">
            <v>7523000</v>
          </cell>
          <cell r="BB40">
            <v>0</v>
          </cell>
          <cell r="BC40">
            <v>0</v>
          </cell>
          <cell r="BD40">
            <v>12394118</v>
          </cell>
          <cell r="BE40">
            <v>0</v>
          </cell>
          <cell r="BF40">
            <v>1680250</v>
          </cell>
          <cell r="BH40">
            <v>4031000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18890500</v>
          </cell>
          <cell r="D47">
            <v>8928000</v>
          </cell>
          <cell r="F47">
            <v>9052000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655592631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699984782</v>
          </cell>
          <cell r="G6"/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>
            <v>677911165</v>
          </cell>
          <cell r="G30"/>
          <cell r="H30"/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>
            <v>696585018</v>
          </cell>
          <cell r="G35"/>
          <cell r="H35"/>
        </row>
        <row r="36">
          <cell r="A36" t="str">
            <v>AS201629</v>
          </cell>
          <cell r="B36"/>
          <cell r="C36" t="str">
            <v>NKEPSEU DIEUDONNE</v>
          </cell>
          <cell r="D36"/>
          <cell r="E36"/>
          <cell r="F36"/>
          <cell r="G36"/>
          <cell r="H36"/>
        </row>
        <row r="37">
          <cell r="A37" t="str">
            <v>AS201659</v>
          </cell>
          <cell r="B37">
            <v>32</v>
          </cell>
          <cell r="C37" t="str">
            <v>YIALA ALAIN OSCAR</v>
          </cell>
          <cell r="D37"/>
          <cell r="E37"/>
          <cell r="F37"/>
          <cell r="G37"/>
          <cell r="H37"/>
        </row>
        <row r="38">
          <cell r="A38" t="str">
            <v>AS201660</v>
          </cell>
          <cell r="B38">
            <v>33</v>
          </cell>
          <cell r="C38" t="str">
            <v>TCHOUATEU AUGUSTIN</v>
          </cell>
          <cell r="D38"/>
          <cell r="E38"/>
          <cell r="F38"/>
          <cell r="G38"/>
          <cell r="H38"/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  <cell r="D39"/>
          <cell r="E39"/>
          <cell r="F39"/>
          <cell r="G39"/>
          <cell r="H39"/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I5" sqref="I5"/>
    </sheetView>
  </sheetViews>
  <sheetFormatPr baseColWidth="10" defaultColWidth="11" defaultRowHeight="14.5" x14ac:dyDescent="0.35"/>
  <sheetData>
    <row r="1" spans="1:1" x14ac:dyDescent="0.35">
      <c r="A1" t="s">
        <v>32</v>
      </c>
    </row>
    <row r="2" spans="1:1" x14ac:dyDescent="0.35">
      <c r="A2" t="s">
        <v>31</v>
      </c>
    </row>
    <row r="3" spans="1:1" x14ac:dyDescent="0.35">
      <c r="A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"/>
  <sheetViews>
    <sheetView workbookViewId="0">
      <pane xSplit="3" ySplit="5" topLeftCell="L24" activePane="bottomRight" state="frozen"/>
      <selection activeCell="G6" sqref="G6:G39"/>
      <selection pane="topRight" activeCell="G6" sqref="G6:G39"/>
      <selection pane="bottomLeft" activeCell="G6" sqref="G6:G39"/>
      <selection pane="bottomRight" activeCell="M42" sqref="M42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2</v>
      </c>
      <c r="E3" s="1"/>
      <c r="F3" s="1"/>
      <c r="G3" s="1"/>
      <c r="N3" s="1"/>
      <c r="O3" s="1"/>
    </row>
    <row r="4" spans="1:19" s="13" customFormat="1" ht="17.5" x14ac:dyDescent="0.35">
      <c r="B4" s="14"/>
      <c r="C4" s="38">
        <v>45304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IF(D6=0,0,VLOOKUP($A6,[6]HISTOJANV24!$A$6:$BP$44,10,0))</f>
        <v>1</v>
      </c>
      <c r="C6" s="1" t="str">
        <f>VLOOKUP(A6,[7]LISTADHERENT!A$5:H$60,3,0)</f>
        <v>BAKOP ACHILLE</v>
      </c>
      <c r="D6" s="7">
        <f t="shared" ref="D6:D37" si="0">IF(G6="ECHEC",0,B$3)</f>
        <v>25000</v>
      </c>
      <c r="E6" s="7">
        <f>D6+VLOOKUP($A6,[6]HISTOJANV24!$A$7:$AU$42,45,0)+F6</f>
        <v>50000</v>
      </c>
      <c r="F6" s="7">
        <f>VLOOKUP($A6,[6]HISTOJANV24!$A$6:$AV$48,7,0)</f>
        <v>0</v>
      </c>
      <c r="G6" s="7" t="str">
        <f>VLOOKUP($A6,[6]HISTOJANV24!$A$6:$AV$49,8,0)</f>
        <v>BANQUE</v>
      </c>
      <c r="H6" s="7">
        <f>VLOOKUP($A6,[6]HISTOJANV24!$A$6:$AV$49,35,0)</f>
        <v>0</v>
      </c>
      <c r="I6" s="7">
        <f>VLOOKUP($A6,[6]HISTOJANV24!$A$6:$AV$49,38,0)</f>
        <v>0</v>
      </c>
      <c r="J6" s="7">
        <f>IF(H6=0,0,VLOOKUP($A6,[6]HISTOJANV24!$A$6:$AV$49,42,0))</f>
        <v>0</v>
      </c>
      <c r="K6" s="7">
        <f>VLOOKUP($A6,[6]HISTOJANV24!$A$6:$AV$49,41,0)</f>
        <v>0</v>
      </c>
      <c r="L6"/>
      <c r="M6" s="7">
        <f>VLOOKUP($A6,[6]HISTOJANV24!$A$6:$AV$49,16,0)</f>
        <v>0</v>
      </c>
      <c r="N6" s="7" t="str">
        <f>IF(M6&lt;&gt;0,VLOOKUP($A6,[6]HISTOJANV24!$A$6:$AV$49,8,0),"ECHEC")</f>
        <v>ECHEC</v>
      </c>
      <c r="O6" s="7">
        <f>IF(R6=0,0,VLOOKUP($A6,[6]HISTOJANV24!$A$6:$AV$49,32,0))</f>
        <v>0</v>
      </c>
      <c r="P6" s="7">
        <f>VLOOKUP($A6,[6]HISTOJANV24!$A$6:$AV$49,33,0)</f>
        <v>0</v>
      </c>
      <c r="Q6" s="7">
        <f t="shared" ref="Q6:Q37" si="1">IF(R6=0,0,($C$3-R6))</f>
        <v>0</v>
      </c>
      <c r="R6" s="7">
        <f>VLOOKUP($A6,[6]HISTOJANV24!$A$6:$AV$49,29,0)</f>
        <v>0</v>
      </c>
    </row>
    <row r="7" spans="1:19" x14ac:dyDescent="0.35">
      <c r="A7" s="1" t="s">
        <v>9</v>
      </c>
      <c r="B7" s="7">
        <f>IF(D7=0,0,VLOOKUP($A7,[6]HISTOJANV24!$A$6:$BP$44,10,0))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D7+VLOOKUP($A7,[6]HISTOJANV24!$A$7:$AU$42,45,0)+F7</f>
        <v>50000</v>
      </c>
      <c r="F7" s="7">
        <f>VLOOKUP($A7,[6]HISTOJANV24!$A$6:$AV$48,7,0)</f>
        <v>0</v>
      </c>
      <c r="G7" s="7" t="str">
        <f>VLOOKUP($A7,[6]HISTOJANV24!$A$6:$AV$49,8,0)</f>
        <v>BANQUE</v>
      </c>
      <c r="H7" s="7">
        <f>VLOOKUP($A7,[6]HISTOJANV24!$A$6:$AV$49,35,0)</f>
        <v>0</v>
      </c>
      <c r="I7" s="7">
        <f>VLOOKUP($A7,[6]HISTOJANV24!$A$6:$AV$49,38,0)</f>
        <v>0</v>
      </c>
      <c r="J7" s="7">
        <f>IF(H7=0,0,VLOOKUP($A7,[6]HISTOJANV24!$A$6:$AV$49,42,0))</f>
        <v>0</v>
      </c>
      <c r="K7" s="7">
        <f>VLOOKUP($A7,[6]HISTOJANV24!$A$6:$AV$49,41,0)</f>
        <v>0</v>
      </c>
      <c r="L7"/>
      <c r="M7" s="7">
        <f>VLOOKUP($A7,[6]HISTOJANV24!$A$6:$AV$49,16,0)</f>
        <v>0</v>
      </c>
      <c r="N7" s="7" t="str">
        <f>IF(M7&lt;&gt;0,VLOOKUP($A7,[6]HISTOJANV24!$A$6:$AV$49,8,0),"ECHEC")</f>
        <v>ECHEC</v>
      </c>
      <c r="O7" s="7">
        <f>IF(R7=0,0,VLOOKUP($A7,[6]HISTOJANV24!$A$6:$AV$49,32,0))</f>
        <v>0</v>
      </c>
      <c r="P7" s="7">
        <f>VLOOKUP($A7,[6]HISTOJANV24!$A$6:$AV$49,33,0)</f>
        <v>0</v>
      </c>
      <c r="Q7" s="7">
        <f t="shared" si="1"/>
        <v>0</v>
      </c>
      <c r="R7" s="7">
        <f>VLOOKUP($A7,[6]HISTOJANV24!$A$6:$AV$49,29,0)</f>
        <v>0</v>
      </c>
    </row>
    <row r="8" spans="1:19" x14ac:dyDescent="0.35">
      <c r="A8" s="1" t="s">
        <v>10</v>
      </c>
      <c r="B8" s="7">
        <f>IF(D8=0,0,VLOOKUP($A8,[6]HISTOJANV24!$A$6:$BP$44,10,0))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D8+VLOOKUP($A8,[6]HISTOJANV24!$A$7:$AU$42,45,0)+F8</f>
        <v>50000</v>
      </c>
      <c r="F8" s="7">
        <f>VLOOKUP($A8,[6]HISTOJANV24!$A$6:$AV$48,7,0)</f>
        <v>0</v>
      </c>
      <c r="G8" s="7" t="str">
        <f>VLOOKUP($A8,[6]HISTOJANV24!$A$6:$AV$49,8,0)</f>
        <v>BANQUE</v>
      </c>
      <c r="H8" s="7">
        <f>VLOOKUP($A8,[6]HISTOJANV24!$A$6:$AV$49,35,0)</f>
        <v>0</v>
      </c>
      <c r="I8" s="7">
        <f>VLOOKUP($A8,[6]HISTOJANV24!$A$6:$AV$49,38,0)</f>
        <v>0</v>
      </c>
      <c r="J8" s="7">
        <f>IF(H8=0,0,VLOOKUP($A8,[6]HISTOJANV24!$A$6:$AV$49,42,0))</f>
        <v>0</v>
      </c>
      <c r="K8" s="7">
        <f>VLOOKUP($A8,[6]HISTOJANV24!$A$6:$AV$49,41,0)</f>
        <v>0</v>
      </c>
      <c r="L8"/>
      <c r="M8" s="7">
        <f>VLOOKUP($A8,[6]HISTOJANV24!$A$6:$AV$49,16,0)</f>
        <v>0</v>
      </c>
      <c r="N8" s="7" t="str">
        <f>IF(M8&lt;&gt;0,VLOOKUP($A8,[6]HISTOJANV24!$A$6:$AV$49,8,0),"ECHEC")</f>
        <v>ECHEC</v>
      </c>
      <c r="O8" s="7">
        <f>IF(R8=0,0,VLOOKUP($A8,[6]HISTOJANV24!$A$6:$AV$49,32,0))</f>
        <v>0</v>
      </c>
      <c r="P8" s="7">
        <f>VLOOKUP($A8,[6]HISTOJANV24!$A$6:$AV$49,33,0)</f>
        <v>0</v>
      </c>
      <c r="Q8" s="7">
        <f t="shared" si="1"/>
        <v>0</v>
      </c>
      <c r="R8" s="7">
        <f>VLOOKUP($A8,[6]HISTOJANV24!$A$6:$AV$49,29,0)</f>
        <v>0</v>
      </c>
    </row>
    <row r="9" spans="1:19" x14ac:dyDescent="0.35">
      <c r="A9" s="1" t="s">
        <v>52</v>
      </c>
      <c r="B9" s="7">
        <f>IF(D9=0,0,VLOOKUP($A9,[6]HISTOJANV24!$A$6:$BP$44,10,0))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D9+VLOOKUP($A9,[6]HISTOJANV24!$A$7:$AU$42,45,0)+F9</f>
        <v>50000</v>
      </c>
      <c r="F9" s="7">
        <f>VLOOKUP($A9,[6]HISTOJANV24!$A$6:$AV$48,7,0)</f>
        <v>0</v>
      </c>
      <c r="G9" s="7" t="str">
        <f>VLOOKUP($A9,[6]HISTOJANV24!$A$6:$AV$49,8,0)</f>
        <v>BANQUE</v>
      </c>
      <c r="H9" s="7">
        <f>VLOOKUP($A9,[6]HISTOJANV24!$A$6:$AV$49,35,0)</f>
        <v>0</v>
      </c>
      <c r="I9" s="7">
        <f>VLOOKUP($A9,[6]HISTOJANV24!$A$6:$AV$49,38,0)</f>
        <v>0</v>
      </c>
      <c r="J9" s="7">
        <f>IF(H9=0,0,VLOOKUP($A9,[6]HISTOJANV24!$A$6:$AV$49,42,0))</f>
        <v>0</v>
      </c>
      <c r="K9" s="7">
        <f>VLOOKUP($A9,[6]HISTOJANV24!$A$6:$AV$49,41,0)</f>
        <v>0</v>
      </c>
      <c r="L9"/>
      <c r="M9" s="7">
        <f>VLOOKUP($A9,[6]HISTOJANV24!$A$6:$AV$49,16,0)</f>
        <v>0</v>
      </c>
      <c r="N9" s="7" t="str">
        <f>IF(M9&lt;&gt;0,VLOOKUP($A9,[6]HISTOJANV24!$A$6:$AV$49,8,0),"ECHEC")</f>
        <v>ECHEC</v>
      </c>
      <c r="O9" s="7">
        <f>IF(R9=0,0,VLOOKUP($A9,[6]HISTOJANV24!$A$6:$AV$49,32,0))</f>
        <v>0</v>
      </c>
      <c r="P9" s="7">
        <f>VLOOKUP($A9,[6]HISTOJANV24!$A$6:$AV$49,33,0)</f>
        <v>0</v>
      </c>
      <c r="Q9" s="7">
        <f t="shared" si="1"/>
        <v>0</v>
      </c>
      <c r="R9" s="7">
        <f>VLOOKUP($A9,[6]HISTOJANV24!$A$6:$AV$49,29,0)</f>
        <v>0</v>
      </c>
    </row>
    <row r="10" spans="1:19" x14ac:dyDescent="0.35">
      <c r="A10" s="1" t="s">
        <v>11</v>
      </c>
      <c r="B10" s="7">
        <f>IF(D10=0,0,VLOOKUP($A10,[6]HISTOJANV24!$A$6:$BP$44,10,0))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D10+VLOOKUP($A10,[6]HISTOJANV24!$A$7:$AU$42,45,0)+F10</f>
        <v>50000</v>
      </c>
      <c r="F10" s="7">
        <f>VLOOKUP($A10,[6]HISTOJANV24!$A$6:$AV$48,7,0)</f>
        <v>0</v>
      </c>
      <c r="G10" s="7" t="str">
        <f>VLOOKUP($A10,[6]HISTOJANV24!$A$6:$AV$49,8,0)</f>
        <v>BANQUE</v>
      </c>
      <c r="H10" s="7">
        <f>VLOOKUP($A10,[6]HISTOJANV24!$A$6:$AV$49,35,0)</f>
        <v>0</v>
      </c>
      <c r="I10" s="7">
        <f>VLOOKUP($A10,[6]HISTOJANV24!$A$6:$AV$49,38,0)</f>
        <v>0</v>
      </c>
      <c r="J10" s="7">
        <f>IF(H10=0,0,VLOOKUP($A10,[6]HISTOJANV24!$A$6:$AV$49,42,0))</f>
        <v>0</v>
      </c>
      <c r="K10" s="7">
        <f>VLOOKUP($A10,[6]HISTOJANV24!$A$6:$AV$49,41,0)</f>
        <v>0</v>
      </c>
      <c r="L10"/>
      <c r="M10" s="7">
        <f>VLOOKUP($A10,[6]HISTOJANV24!$A$6:$AV$49,16,0)</f>
        <v>0</v>
      </c>
      <c r="N10" s="7" t="str">
        <f>IF(M10&lt;&gt;0,VLOOKUP($A10,[6]HISTOJANV24!$A$6:$AV$49,8,0),"ECHEC")</f>
        <v>ECHEC</v>
      </c>
      <c r="O10" s="7">
        <f>IF(R10=0,0,VLOOKUP($A10,[6]HISTOJANV24!$A$6:$AV$49,32,0))</f>
        <v>0</v>
      </c>
      <c r="P10" s="7">
        <f>VLOOKUP($A10,[6]HISTOJANV24!$A$6:$AV$49,33,0)</f>
        <v>0</v>
      </c>
      <c r="Q10" s="7">
        <f t="shared" si="1"/>
        <v>0</v>
      </c>
      <c r="R10" s="7">
        <f>VLOOKUP($A10,[6]HISTOJANV24!$A$6:$AV$49,29,0)</f>
        <v>0</v>
      </c>
    </row>
    <row r="11" spans="1:19" x14ac:dyDescent="0.35">
      <c r="A11" s="1" t="s">
        <v>12</v>
      </c>
      <c r="B11" s="7">
        <f>IF(D11=0,0,VLOOKUP($A11,[6]HISTOJANV24!$A$6:$BP$44,10,0))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D11+VLOOKUP($A11,[6]HISTOJANV24!$A$7:$AU$42,45,0)+F11</f>
        <v>55000</v>
      </c>
      <c r="F11" s="7">
        <f>VLOOKUP($A11,[6]HISTOJANV24!$A$6:$AV$48,7,0)</f>
        <v>0</v>
      </c>
      <c r="G11" s="7" t="str">
        <f>VLOOKUP($A11,[6]HISTOJANV24!$A$6:$AV$49,8,0)</f>
        <v>BANQUE</v>
      </c>
      <c r="H11" s="7">
        <f>VLOOKUP($A11,[6]HISTOJANV24!$A$6:$AV$49,35,0)</f>
        <v>0</v>
      </c>
      <c r="I11" s="7">
        <f>VLOOKUP($A11,[6]HISTOJANV24!$A$6:$AV$49,38,0)</f>
        <v>0</v>
      </c>
      <c r="J11" s="7">
        <f>IF(H11=0,0,VLOOKUP($A11,[6]HISTOJANV24!$A$6:$AV$49,42,0))</f>
        <v>0</v>
      </c>
      <c r="K11" s="7">
        <f>VLOOKUP($A11,[6]HISTOJANV24!$A$6:$AV$49,41,0)</f>
        <v>0</v>
      </c>
      <c r="L11"/>
      <c r="M11" s="7">
        <f>VLOOKUP($A11,[6]HISTOJANV24!$A$6:$AV$49,16,0)</f>
        <v>0</v>
      </c>
      <c r="N11" s="7" t="str">
        <f>IF(M11&lt;&gt;0,VLOOKUP($A11,[6]HISTOJANV24!$A$6:$AV$49,8,0),"ECHEC")</f>
        <v>ECHEC</v>
      </c>
      <c r="O11" s="7">
        <f>IF(R11=0,0,VLOOKUP($A11,[6]HISTOJANV24!$A$6:$AV$49,32,0))</f>
        <v>0</v>
      </c>
      <c r="P11" s="7">
        <f>VLOOKUP($A11,[6]HISTOJANV24!$A$6:$AV$49,33,0)</f>
        <v>0</v>
      </c>
      <c r="Q11" s="7">
        <f t="shared" si="1"/>
        <v>0</v>
      </c>
      <c r="R11" s="7">
        <f>VLOOKUP($A11,[6]HISTOJANV24!$A$6:$AV$49,29,0)</f>
        <v>0</v>
      </c>
    </row>
    <row r="12" spans="1:19" x14ac:dyDescent="0.35">
      <c r="A12" s="1" t="s">
        <v>45</v>
      </c>
      <c r="B12" s="7">
        <f>IF(D12=0,0,VLOOKUP($A12,[6]HISTOJANV24!$A$6:$BP$44,10,0))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D12+VLOOKUP($A12,[6]HISTOJANV24!$A$7:$AU$42,45,0)+F12</f>
        <v>50000</v>
      </c>
      <c r="F12" s="7">
        <f>VLOOKUP($A12,[6]HISTOJANV24!$A$6:$AV$48,7,0)</f>
        <v>0</v>
      </c>
      <c r="G12" s="7" t="str">
        <f>VLOOKUP($A12,[6]HISTOJANV24!$A$6:$AV$49,8,0)</f>
        <v>BANQUE</v>
      </c>
      <c r="H12" s="7">
        <f>VLOOKUP($A12,[6]HISTOJANV24!$A$6:$AV$49,35,0)</f>
        <v>0</v>
      </c>
      <c r="I12" s="7">
        <f>VLOOKUP($A12,[6]HISTOJANV24!$A$6:$AV$49,38,0)</f>
        <v>0</v>
      </c>
      <c r="J12" s="7">
        <f>IF(H12=0,0,VLOOKUP($A12,[6]HISTOJANV24!$A$6:$AV$49,42,0))</f>
        <v>0</v>
      </c>
      <c r="K12" s="7">
        <f>VLOOKUP($A12,[6]HISTOJANV24!$A$6:$AV$49,41,0)</f>
        <v>0</v>
      </c>
      <c r="L12"/>
      <c r="M12" s="7">
        <f>VLOOKUP($A12,[6]HISTOJANV24!$A$6:$AV$49,16,0)</f>
        <v>0</v>
      </c>
      <c r="N12" s="7" t="str">
        <f>IF(M12&lt;&gt;0,VLOOKUP($A12,[6]HISTOJANV24!$A$6:$AV$49,8,0),"ECHEC")</f>
        <v>ECHEC</v>
      </c>
      <c r="O12" s="7">
        <f>IF(R12=0,0,VLOOKUP($A12,[6]HISTOJANV24!$A$6:$AV$49,32,0))</f>
        <v>0</v>
      </c>
      <c r="P12" s="7">
        <f>VLOOKUP($A12,[6]HISTOJANV24!$A$6:$AV$49,33,0)</f>
        <v>0</v>
      </c>
      <c r="Q12" s="7">
        <f t="shared" si="1"/>
        <v>0</v>
      </c>
      <c r="R12" s="7">
        <f>VLOOKUP($A12,[6]HISTOJANV24!$A$6:$AV$49,29,0)</f>
        <v>0</v>
      </c>
    </row>
    <row r="13" spans="1:19" x14ac:dyDescent="0.35">
      <c r="A13" s="1" t="s">
        <v>13</v>
      </c>
      <c r="B13" s="7">
        <f>IF(D13=0,0,VLOOKUP($A13,[6]HISTOJANV24!$A$6:$BP$44,10,0))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D13+VLOOKUP($A13,[6]HISTOJANV24!$A$7:$AU$42,45,0)+F13</f>
        <v>50000</v>
      </c>
      <c r="F13" s="7">
        <f>VLOOKUP($A13,[6]HISTOJANV24!$A$6:$AV$48,7,0)</f>
        <v>0</v>
      </c>
      <c r="G13" s="7" t="str">
        <f>VLOOKUP($A13,[6]HISTOJANV24!$A$6:$AV$49,8,0)</f>
        <v>ESPECES</v>
      </c>
      <c r="H13" s="7">
        <f>VLOOKUP($A13,[6]HISTOJANV24!$A$6:$AV$49,35,0)</f>
        <v>0</v>
      </c>
      <c r="I13" s="7">
        <f>VLOOKUP($A13,[6]HISTOJANV24!$A$6:$AV$49,38,0)</f>
        <v>0</v>
      </c>
      <c r="J13" s="7">
        <f>IF(H13=0,0,VLOOKUP($A13,[6]HISTOJANV24!$A$6:$AV$49,42,0))</f>
        <v>0</v>
      </c>
      <c r="K13" s="7">
        <f>VLOOKUP($A13,[6]HISTOJANV24!$A$6:$AV$49,41,0)</f>
        <v>0</v>
      </c>
      <c r="L13"/>
      <c r="M13" s="7">
        <f>VLOOKUP($A13,[6]HISTOJANV24!$A$6:$AV$49,16,0)</f>
        <v>0</v>
      </c>
      <c r="N13" s="7" t="str">
        <f>IF(M13&lt;&gt;0,VLOOKUP($A13,[6]HISTOJANV24!$A$6:$AV$49,8,0),"ECHEC")</f>
        <v>ECHEC</v>
      </c>
      <c r="O13" s="7">
        <f>IF(R13=0,0,VLOOKUP($A13,[6]HISTOJANV24!$A$6:$AV$49,32,0))</f>
        <v>0</v>
      </c>
      <c r="P13" s="7">
        <f>VLOOKUP($A13,[6]HISTOJANV24!$A$6:$AV$49,33,0)</f>
        <v>0</v>
      </c>
      <c r="Q13" s="7">
        <f t="shared" si="1"/>
        <v>0</v>
      </c>
      <c r="R13" s="7">
        <f>VLOOKUP($A13,[6]HISTOJANV24!$A$6:$AV$49,29,0)</f>
        <v>0</v>
      </c>
    </row>
    <row r="14" spans="1:19" x14ac:dyDescent="0.35">
      <c r="A14" s="1" t="s">
        <v>14</v>
      </c>
      <c r="B14" s="7">
        <f>IF(D14=0,0,VLOOKUP($A14,[6]HISTOJANV24!$A$6:$BP$44,10,0))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D14+VLOOKUP($A14,[6]HISTOJANV24!$A$7:$AU$42,45,0)+F14</f>
        <v>50000</v>
      </c>
      <c r="F14" s="7">
        <f>VLOOKUP($A14,[6]HISTOJANV24!$A$6:$AV$48,7,0)</f>
        <v>0</v>
      </c>
      <c r="G14" s="7" t="str">
        <f>VLOOKUP($A14,[6]HISTOJANV24!$A$6:$AV$49,8,0)</f>
        <v>BANQUE</v>
      </c>
      <c r="H14" s="7">
        <f>VLOOKUP($A14,[6]HISTOJANV24!$A$6:$AV$49,35,0)</f>
        <v>0</v>
      </c>
      <c r="I14" s="7">
        <f>VLOOKUP($A14,[6]HISTOJANV24!$A$6:$AV$49,38,0)</f>
        <v>0</v>
      </c>
      <c r="J14" s="7">
        <f>IF(H14=0,0,VLOOKUP($A14,[6]HISTOJANV24!$A$6:$AV$49,42,0))</f>
        <v>0</v>
      </c>
      <c r="K14" s="7">
        <f>VLOOKUP($A14,[6]HISTOJANV24!$A$6:$AV$49,41,0)</f>
        <v>0</v>
      </c>
      <c r="L14"/>
      <c r="M14" s="7">
        <f>VLOOKUP($A14,[6]HISTOJANV24!$A$6:$AV$49,16,0)</f>
        <v>0</v>
      </c>
      <c r="N14" s="7" t="str">
        <f>IF(M14&lt;&gt;0,VLOOKUP($A14,[6]HISTOJANV24!$A$6:$AV$49,8,0),"ECHEC")</f>
        <v>ECHEC</v>
      </c>
      <c r="O14" s="7">
        <f>IF(R14=0,0,VLOOKUP($A14,[6]HISTOJANV24!$A$6:$AV$49,32,0))</f>
        <v>0</v>
      </c>
      <c r="P14" s="7">
        <f>VLOOKUP($A14,[6]HISTOJANV24!$A$6:$AV$49,33,0)</f>
        <v>0</v>
      </c>
      <c r="Q14" s="7">
        <f t="shared" si="1"/>
        <v>0</v>
      </c>
      <c r="R14" s="7">
        <f>VLOOKUP($A14,[6]HISTOJANV24!$A$6:$AV$49,29,0)</f>
        <v>0</v>
      </c>
      <c r="S14" s="1"/>
    </row>
    <row r="15" spans="1:19" x14ac:dyDescent="0.35">
      <c r="A15" s="1" t="s">
        <v>15</v>
      </c>
      <c r="B15" s="7">
        <f>IF(D15=0,0,VLOOKUP($A15,[6]HISTOJANV24!$A$6:$BP$44,10,0))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D15+VLOOKUP($A15,[6]HISTOJANV24!$A$7:$AU$42,45,0)+F15</f>
        <v>85000</v>
      </c>
      <c r="F15" s="7">
        <f>VLOOKUP($A15,[6]HISTOJANV24!$A$6:$AV$48,7,0)</f>
        <v>0</v>
      </c>
      <c r="G15" s="7" t="str">
        <f>VLOOKUP($A15,[6]HISTOJANV24!$A$6:$AV$49,8,0)</f>
        <v>BANQUE</v>
      </c>
      <c r="H15" s="7">
        <f>VLOOKUP($A15,[6]HISTOJANV24!$A$6:$AV$49,35,0)</f>
        <v>0</v>
      </c>
      <c r="I15" s="7">
        <f>VLOOKUP($A15,[6]HISTOJANV24!$A$6:$AV$49,38,0)</f>
        <v>0</v>
      </c>
      <c r="J15" s="7">
        <f>IF(H15=0,0,VLOOKUP($A15,[6]HISTOJANV24!$A$6:$AV$49,42,0))</f>
        <v>0</v>
      </c>
      <c r="K15" s="7">
        <f>VLOOKUP($A15,[6]HISTOJANV24!$A$6:$AV$49,41,0)</f>
        <v>0</v>
      </c>
      <c r="L15"/>
      <c r="M15" s="7">
        <f>VLOOKUP($A15,[6]HISTOJANV24!$A$6:$AV$49,16,0)</f>
        <v>0</v>
      </c>
      <c r="N15" s="7" t="str">
        <f>IF(M15&lt;&gt;0,VLOOKUP($A15,[6]HISTOJANV24!$A$6:$AV$49,8,0),"ECHEC")</f>
        <v>ECHEC</v>
      </c>
      <c r="O15" s="7" t="str">
        <f>IF(R15=0,0,VLOOKUP($A15,[6]HISTOJANV24!$A$6:$AV$49,32,0))</f>
        <v>BANQUE</v>
      </c>
      <c r="P15" s="7">
        <f>VLOOKUP($A15,[6]HISTOJANV24!$A$6:$AV$49,33,0)</f>
        <v>0</v>
      </c>
      <c r="Q15" s="7">
        <f t="shared" si="1"/>
        <v>288000</v>
      </c>
      <c r="R15" s="7">
        <f>VLOOKUP($A15,[6]HISTOJANV24!$A$6:$AV$49,29,0)</f>
        <v>12000</v>
      </c>
      <c r="S15" s="1"/>
    </row>
    <row r="16" spans="1:19" x14ac:dyDescent="0.35">
      <c r="A16" s="1" t="s">
        <v>16</v>
      </c>
      <c r="B16" s="7">
        <f>IF(D16=0,0,VLOOKUP($A16,[6]HISTOJANV24!$A$6:$BP$44,10,0))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D16+VLOOKUP($A16,[6]HISTOJANV24!$A$7:$AU$42,45,0)+F16</f>
        <v>50000</v>
      </c>
      <c r="F16" s="7">
        <f>VLOOKUP($A16,[6]HISTOJANV24!$A$6:$AV$48,7,0)</f>
        <v>0</v>
      </c>
      <c r="G16" s="7" t="str">
        <f>VLOOKUP($A16,[6]HISTOJANV24!$A$6:$AV$49,8,0)</f>
        <v>BANQUE</v>
      </c>
      <c r="H16" s="7">
        <f>VLOOKUP($A16,[6]HISTOJANV24!$A$6:$AV$49,35,0)</f>
        <v>0</v>
      </c>
      <c r="I16" s="7">
        <f>VLOOKUP($A16,[6]HISTOJANV24!$A$6:$AV$49,38,0)</f>
        <v>0</v>
      </c>
      <c r="J16" s="7">
        <f>IF(H16=0,0,VLOOKUP($A16,[6]HISTOJANV24!$A$6:$AV$49,42,0))</f>
        <v>0</v>
      </c>
      <c r="K16" s="7">
        <f>VLOOKUP($A16,[6]HISTOJANV24!$A$6:$AV$49,41,0)</f>
        <v>0</v>
      </c>
      <c r="L16"/>
      <c r="M16" s="7">
        <f>VLOOKUP($A16,[6]HISTOJANV24!$A$6:$AV$49,16,0)</f>
        <v>0</v>
      </c>
      <c r="N16" s="7" t="str">
        <f>IF(M16&lt;&gt;0,VLOOKUP($A16,[6]HISTOJANV24!$A$6:$AV$49,8,0),"ECHEC")</f>
        <v>ECHEC</v>
      </c>
      <c r="O16" s="7">
        <f>IF(R16=0,0,VLOOKUP($A16,[6]HISTOJANV24!$A$6:$AV$49,32,0))</f>
        <v>0</v>
      </c>
      <c r="P16" s="7">
        <f>VLOOKUP($A16,[6]HISTOJANV24!$A$6:$AV$49,33,0)</f>
        <v>0</v>
      </c>
      <c r="Q16" s="7">
        <f t="shared" si="1"/>
        <v>0</v>
      </c>
      <c r="R16" s="7">
        <f>VLOOKUP($A16,[6]HISTOJANV24!$A$6:$AV$49,29,0)</f>
        <v>0</v>
      </c>
      <c r="S16" s="1"/>
    </row>
    <row r="17" spans="1:19" x14ac:dyDescent="0.35">
      <c r="A17" s="1" t="s">
        <v>17</v>
      </c>
      <c r="B17" s="7">
        <f>IF(D17=0,0,VLOOKUP($A17,[6]HISTOJANV24!$A$6:$BP$44,10,0))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D17+VLOOKUP($A17,[6]HISTOJANV24!$A$7:$AU$42,45,0)+F17</f>
        <v>50000</v>
      </c>
      <c r="F17" s="7">
        <f>VLOOKUP($A17,[6]HISTOJANV24!$A$6:$AV$48,7,0)</f>
        <v>0</v>
      </c>
      <c r="G17" s="7" t="str">
        <f>VLOOKUP($A17,[6]HISTOJANV24!$A$6:$AV$49,8,0)</f>
        <v>BANQUE</v>
      </c>
      <c r="H17" s="7">
        <f>VLOOKUP($A17,[6]HISTOJANV24!$A$6:$AV$49,35,0)</f>
        <v>0</v>
      </c>
      <c r="I17" s="7">
        <f>VLOOKUP($A17,[6]HISTOJANV24!$A$6:$AV$49,38,0)</f>
        <v>0</v>
      </c>
      <c r="J17" s="7">
        <f>IF(H17=0,0,VLOOKUP($A17,[6]HISTOJANV24!$A$6:$AV$49,42,0))</f>
        <v>0</v>
      </c>
      <c r="K17" s="7">
        <f>VLOOKUP($A17,[6]HISTOJANV24!$A$6:$AV$49,41,0)</f>
        <v>0</v>
      </c>
      <c r="L17"/>
      <c r="M17" s="7">
        <f>VLOOKUP($A17,[6]HISTOJANV24!$A$6:$AV$49,16,0)</f>
        <v>0</v>
      </c>
      <c r="N17" s="7" t="str">
        <f>IF(M17&lt;&gt;0,VLOOKUP($A17,[6]HISTOJANV24!$A$6:$AV$49,8,0),"ECHEC")</f>
        <v>ECHEC</v>
      </c>
      <c r="O17" s="7" t="str">
        <f>IF(R17=0,0,VLOOKUP($A17,[6]HISTOJANV24!$A$6:$AV$49,32,0))</f>
        <v>BANQUE</v>
      </c>
      <c r="P17" s="7">
        <f>VLOOKUP($A17,[6]HISTOJANV24!$A$6:$AV$49,33,0)</f>
        <v>0</v>
      </c>
      <c r="Q17" s="7">
        <f t="shared" si="1"/>
        <v>287000</v>
      </c>
      <c r="R17" s="7">
        <f>VLOOKUP($A17,[6]HISTOJANV24!$A$6:$AV$49,29,0)</f>
        <v>13000</v>
      </c>
      <c r="S17" s="1"/>
    </row>
    <row r="18" spans="1:19" x14ac:dyDescent="0.35">
      <c r="A18" s="1" t="s">
        <v>96</v>
      </c>
      <c r="B18" s="7">
        <f>IF(D18=0,0,VLOOKUP($A18,[6]HISTOJANV24!$A$6:$BP$44,10,0))</f>
        <v>1</v>
      </c>
      <c r="C18" s="1" t="str">
        <f>VLOOKUP(A18,[7]LISTADHERENT!A$5:H$60,3,0)</f>
        <v>MASSEUNGOUE DAGOBERT</v>
      </c>
      <c r="D18" s="7">
        <f t="shared" ref="D18" si="2">IF(G18="ECHEC",0,B$3)</f>
        <v>25000</v>
      </c>
      <c r="E18" s="7">
        <f>D18+VLOOKUP($A18,[6]HISTOJANV24!$A$7:$AU$42,45,0)+F18</f>
        <v>50000</v>
      </c>
      <c r="F18" s="7">
        <f>VLOOKUP($A18,[6]HISTOJANV24!$A$6:$AV$48,7,0)</f>
        <v>0</v>
      </c>
      <c r="G18" s="7" t="str">
        <f>VLOOKUP($A18,[6]HISTOJANV24!$A$6:$AV$49,8,0)</f>
        <v>BANQUE</v>
      </c>
      <c r="H18" s="7">
        <f>VLOOKUP($A18,[6]HISTOJANV24!$A$6:$AV$49,35,0)</f>
        <v>0</v>
      </c>
      <c r="I18" s="7">
        <f>VLOOKUP($A18,[6]HISTOJANV24!$A$6:$AV$49,38,0)</f>
        <v>0</v>
      </c>
      <c r="J18" s="7">
        <f>IF(H18=0,0,VLOOKUP($A18,[6]HISTOJANV24!$A$6:$AV$49,42,0))</f>
        <v>0</v>
      </c>
      <c r="K18" s="7">
        <f>VLOOKUP($A18,[6]HISTOJANV24!$A$6:$AV$49,41,0)</f>
        <v>0</v>
      </c>
      <c r="L18"/>
      <c r="M18" s="7">
        <f>VLOOKUP($A18,[6]HISTOJANV24!$A$6:$AV$49,16,0)</f>
        <v>0</v>
      </c>
      <c r="N18" s="7" t="str">
        <f>IF(M18&lt;&gt;0,VLOOKUP($A18,[6]HISTOJANV24!$A$6:$AV$49,8,0),"ECHEC")</f>
        <v>ECHEC</v>
      </c>
      <c r="O18" s="7">
        <f>IF(R18=0,0,VLOOKUP($A18,[6]HISTOJANV24!$A$6:$AV$49,32,0))</f>
        <v>0</v>
      </c>
      <c r="P18" s="7">
        <f>VLOOKUP($A18,[6]HISTOJANV24!$A$6:$AV$49,33,0)</f>
        <v>0</v>
      </c>
      <c r="Q18" s="7">
        <f t="shared" ref="Q18" si="3">IF(R18=0,0,($C$3-R18))</f>
        <v>0</v>
      </c>
      <c r="R18" s="7">
        <f>VLOOKUP($A18,[6]HISTOJANV24!$A$6:$AV$49,29,0)</f>
        <v>0</v>
      </c>
      <c r="S18" s="1"/>
    </row>
    <row r="19" spans="1:19" x14ac:dyDescent="0.35">
      <c r="A19" s="1" t="s">
        <v>44</v>
      </c>
      <c r="B19" s="7">
        <f>IF(D19=0,0,VLOOKUP($A19,[6]HISTOJANV24!$A$6:$BP$44,10,0))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D19+VLOOKUP($A19,[6]HISTOJANV24!$A$7:$AU$42,45,0)+F19</f>
        <v>50000</v>
      </c>
      <c r="F19" s="7">
        <f>VLOOKUP($A19,[6]HISTOJANV24!$A$6:$AV$48,7,0)</f>
        <v>0</v>
      </c>
      <c r="G19" s="7" t="str">
        <f>VLOOKUP($A19,[6]HISTOJANV24!$A$6:$AV$49,8,0)</f>
        <v>BANQUE</v>
      </c>
      <c r="H19" s="7">
        <f>VLOOKUP($A19,[6]HISTOJANV24!$A$6:$AV$49,35,0)</f>
        <v>0</v>
      </c>
      <c r="I19" s="7">
        <f>VLOOKUP($A19,[6]HISTOJANV24!$A$6:$AV$49,38,0)</f>
        <v>0</v>
      </c>
      <c r="J19" s="7">
        <f>IF(H19=0,0,VLOOKUP($A19,[6]HISTOJANV24!$A$6:$AV$49,42,0))</f>
        <v>0</v>
      </c>
      <c r="K19" s="7">
        <f>VLOOKUP($A19,[6]HISTOJANV24!$A$6:$AV$49,41,0)</f>
        <v>0</v>
      </c>
      <c r="L19"/>
      <c r="M19" s="7">
        <f>VLOOKUP($A19,[6]HISTOJANV24!$A$6:$AV$49,16,0)</f>
        <v>0</v>
      </c>
      <c r="N19" s="7" t="str">
        <f>IF(M19&lt;&gt;0,VLOOKUP($A19,[6]HISTOJANV24!$A$6:$AV$49,8,0),"ECHEC")</f>
        <v>ECHEC</v>
      </c>
      <c r="O19" s="7">
        <f>IF(R19=0,0,VLOOKUP($A19,[6]HISTOJANV24!$A$6:$AV$49,32,0))</f>
        <v>0</v>
      </c>
      <c r="P19" s="7">
        <f>VLOOKUP($A19,[6]HISTOJANV24!$A$6:$AV$49,33,0)</f>
        <v>0</v>
      </c>
      <c r="Q19" s="7">
        <f t="shared" si="1"/>
        <v>0</v>
      </c>
      <c r="R19" s="7">
        <f>VLOOKUP($A19,[6]HISTOJANV24!$A$6:$AV$49,29,0)</f>
        <v>0</v>
      </c>
      <c r="S19" s="1"/>
    </row>
    <row r="20" spans="1:19" x14ac:dyDescent="0.35">
      <c r="A20" s="1" t="s">
        <v>25</v>
      </c>
      <c r="B20" s="7">
        <f>IF(D20=0,0,VLOOKUP($A20,[6]HISTOJANV24!$A$6:$BP$44,10,0))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D20+VLOOKUP($A20,[6]HISTOJANV24!$A$7:$AU$42,45,0)+F20</f>
        <v>50000</v>
      </c>
      <c r="F20" s="7">
        <f>VLOOKUP($A20,[6]HISTOJANV24!$A$6:$AV$48,7,0)</f>
        <v>0</v>
      </c>
      <c r="G20" s="7" t="str">
        <f>VLOOKUP($A20,[6]HISTOJANV24!$A$6:$AV$49,8,0)</f>
        <v>BANQUE</v>
      </c>
      <c r="H20" s="7">
        <f>VLOOKUP($A20,[6]HISTOJANV24!$A$6:$AV$49,35,0)</f>
        <v>0</v>
      </c>
      <c r="I20" s="7">
        <f>VLOOKUP($A20,[6]HISTOJANV24!$A$6:$AV$49,38,0)</f>
        <v>0</v>
      </c>
      <c r="J20" s="7">
        <f>IF(H20=0,0,VLOOKUP($A20,[6]HISTOJANV24!$A$6:$AV$49,42,0))</f>
        <v>0</v>
      </c>
      <c r="K20" s="7">
        <f>VLOOKUP($A20,[6]HISTOJANV24!$A$6:$AV$49,41,0)</f>
        <v>0</v>
      </c>
      <c r="L20"/>
      <c r="M20" s="7">
        <f>VLOOKUP($A20,[6]HISTOJANV24!$A$6:$AV$49,16,0)</f>
        <v>0</v>
      </c>
      <c r="N20" s="7" t="str">
        <f>IF(M20&lt;&gt;0,VLOOKUP($A20,[6]HISTOJANV24!$A$6:$AV$49,8,0),"ECHEC")</f>
        <v>ECHEC</v>
      </c>
      <c r="O20" s="7">
        <f>IF(R20=0,0,VLOOKUP($A20,[6]HISTOJANV24!$A$6:$AV$49,32,0))</f>
        <v>0</v>
      </c>
      <c r="P20" s="7">
        <f>VLOOKUP($A20,[6]HISTOJANV24!$A$6:$AV$49,33,0)</f>
        <v>0</v>
      </c>
      <c r="Q20" s="7">
        <f t="shared" si="1"/>
        <v>0</v>
      </c>
      <c r="R20" s="7">
        <f>VLOOKUP($A20,[6]HISTOJANV24!$A$6:$AV$49,29,0)</f>
        <v>0</v>
      </c>
      <c r="S20" s="1"/>
    </row>
    <row r="21" spans="1:19" x14ac:dyDescent="0.35">
      <c r="A21" s="1" t="s">
        <v>18</v>
      </c>
      <c r="B21" s="7">
        <f>IF(D21=0,0,VLOOKUP($A21,[6]HISTOJANV24!$A$6:$BP$44,10,0))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D21+VLOOKUP($A21,[6]HISTOJANV24!$A$7:$AU$42,45,0)+F21</f>
        <v>50000</v>
      </c>
      <c r="F21" s="7">
        <f>VLOOKUP($A21,[6]HISTOJANV24!$A$6:$AV$48,7,0)</f>
        <v>0</v>
      </c>
      <c r="G21" s="7" t="str">
        <f>VLOOKUP($A21,[6]HISTOJANV24!$A$6:$AV$49,8,0)</f>
        <v>BANQUE</v>
      </c>
      <c r="H21" s="7">
        <f>VLOOKUP($A21,[6]HISTOJANV24!$A$6:$AV$49,35,0)</f>
        <v>0</v>
      </c>
      <c r="I21" s="7">
        <f>VLOOKUP($A21,[6]HISTOJANV24!$A$6:$AV$49,38,0)</f>
        <v>0</v>
      </c>
      <c r="J21" s="7">
        <f>IF(H21=0,0,VLOOKUP($A21,[6]HISTOJANV24!$A$6:$AV$49,42,0))</f>
        <v>0</v>
      </c>
      <c r="K21" s="7">
        <f>VLOOKUP($A21,[6]HISTOJANV24!$A$6:$AV$49,41,0)</f>
        <v>0</v>
      </c>
      <c r="L21"/>
      <c r="M21" s="7">
        <f>VLOOKUP($A21,[6]HISTOJANV24!$A$6:$AV$49,16,0)</f>
        <v>0</v>
      </c>
      <c r="N21" s="7" t="str">
        <f>IF(M21&lt;&gt;0,VLOOKUP($A21,[6]HISTOJANV24!$A$6:$AV$49,8,0),"ECHEC")</f>
        <v>ECHEC</v>
      </c>
      <c r="O21" s="7">
        <f>IF(R21=0,0,VLOOKUP($A21,[6]HISTOJANV24!$A$6:$AV$49,32,0))</f>
        <v>0</v>
      </c>
      <c r="P21" s="7">
        <f>VLOOKUP($A21,[6]HISTOJANV24!$A$6:$AV$49,33,0)</f>
        <v>0</v>
      </c>
      <c r="Q21" s="7">
        <f t="shared" si="1"/>
        <v>0</v>
      </c>
      <c r="R21" s="7">
        <f>VLOOKUP($A21,[6]HISTOJANV24!$A$6:$AV$49,29,0)</f>
        <v>0</v>
      </c>
      <c r="S21" s="1"/>
    </row>
    <row r="22" spans="1:19" x14ac:dyDescent="0.35">
      <c r="A22" s="1" t="s">
        <v>19</v>
      </c>
      <c r="B22" s="7">
        <f>IF(D22=0,0,VLOOKUP($A22,[6]HISTOJANV24!$A$6:$BP$44,10,0))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D22+VLOOKUP($A22,[6]HISTOJANV24!$A$7:$AU$42,45,0)+F22</f>
        <v>60000</v>
      </c>
      <c r="F22" s="7">
        <f>VLOOKUP($A22,[6]HISTOJANV24!$A$6:$AV$48,7,0)</f>
        <v>0</v>
      </c>
      <c r="G22" s="7" t="str">
        <f>VLOOKUP($A22,[6]HISTOJANV24!$A$6:$AV$49,8,0)</f>
        <v>BANQUE</v>
      </c>
      <c r="H22" s="7">
        <f>VLOOKUP($A22,[6]HISTOJANV24!$A$6:$AV$49,35,0)</f>
        <v>0</v>
      </c>
      <c r="I22" s="7">
        <f>VLOOKUP($A22,[6]HISTOJANV24!$A$6:$AV$49,38,0)</f>
        <v>0</v>
      </c>
      <c r="J22" s="7">
        <f>IF(H22=0,0,VLOOKUP($A22,[6]HISTOJANV24!$A$6:$AV$49,42,0))</f>
        <v>0</v>
      </c>
      <c r="K22" s="7">
        <f>VLOOKUP($A22,[6]HISTOJANV24!$A$6:$AV$49,41,0)</f>
        <v>0</v>
      </c>
      <c r="L22"/>
      <c r="M22" s="7">
        <f>VLOOKUP($A22,[6]HISTOJANV24!$A$6:$AV$49,16,0)</f>
        <v>0</v>
      </c>
      <c r="N22" s="7" t="str">
        <f>IF(M22&lt;&gt;0,VLOOKUP($A22,[6]HISTOJANV24!$A$6:$AV$49,8,0),"ECHEC")</f>
        <v>ECHEC</v>
      </c>
      <c r="O22" s="7">
        <f>IF(R22=0,0,VLOOKUP($A22,[6]HISTOJANV24!$A$6:$AV$49,32,0))</f>
        <v>0</v>
      </c>
      <c r="P22" s="7">
        <f>VLOOKUP($A22,[6]HISTOJANV24!$A$6:$AV$49,33,0)</f>
        <v>0</v>
      </c>
      <c r="Q22" s="7">
        <f t="shared" si="1"/>
        <v>0</v>
      </c>
      <c r="R22" s="7">
        <f>VLOOKUP($A22,[6]HISTOJANV24!$A$6:$AV$49,29,0)</f>
        <v>0</v>
      </c>
      <c r="S22" s="1"/>
    </row>
    <row r="23" spans="1:19" x14ac:dyDescent="0.35">
      <c r="A23" s="1" t="s">
        <v>20</v>
      </c>
      <c r="B23" s="7">
        <f>IF(D23=0,0,VLOOKUP($A23,[6]HISTOJANV24!$A$6:$BP$44,10,0))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D23+VLOOKUP($A23,[6]HISTOJANV24!$A$7:$AU$42,45,0)+F23</f>
        <v>50000</v>
      </c>
      <c r="F23" s="7">
        <f>VLOOKUP($A23,[6]HISTOJANV24!$A$6:$AV$48,7,0)</f>
        <v>0</v>
      </c>
      <c r="G23" s="7" t="str">
        <f>VLOOKUP($A23,[6]HISTOJANV24!$A$6:$AV$49,8,0)</f>
        <v>BANQUE</v>
      </c>
      <c r="H23" s="7">
        <f>VLOOKUP($A23,[6]HISTOJANV24!$A$6:$AV$49,35,0)</f>
        <v>0</v>
      </c>
      <c r="I23" s="7">
        <f>VLOOKUP($A23,[6]HISTOJANV24!$A$6:$AV$49,38,0)</f>
        <v>0</v>
      </c>
      <c r="J23" s="7">
        <f>IF(H23=0,0,VLOOKUP($A23,[6]HISTOJANV24!$A$6:$AV$49,42,0))</f>
        <v>0</v>
      </c>
      <c r="K23" s="7">
        <f>VLOOKUP($A23,[6]HISTOJANV24!$A$6:$AV$49,41,0)</f>
        <v>0</v>
      </c>
      <c r="L23"/>
      <c r="M23" s="7">
        <f>VLOOKUP($A23,[6]HISTOJANV24!$A$6:$AV$49,16,0)</f>
        <v>0</v>
      </c>
      <c r="N23" s="7" t="str">
        <f>IF(M23&lt;&gt;0,VLOOKUP($A23,[6]HISTOJANV24!$A$6:$AV$49,8,0),"ECHEC")</f>
        <v>ECHEC</v>
      </c>
      <c r="O23" s="7">
        <f>IF(R23=0,0,VLOOKUP($A23,[6]HISTOJANV24!$A$6:$AV$49,32,0))</f>
        <v>0</v>
      </c>
      <c r="P23" s="7">
        <f>VLOOKUP($A23,[6]HISTOJANV24!$A$6:$AV$49,33,0)</f>
        <v>0</v>
      </c>
      <c r="Q23" s="7">
        <f t="shared" si="1"/>
        <v>0</v>
      </c>
      <c r="R23" s="7">
        <f>VLOOKUP($A23,[6]HISTOJANV24!$A$6:$AV$49,29,0)</f>
        <v>0</v>
      </c>
      <c r="S23" s="1"/>
    </row>
    <row r="24" spans="1:19" x14ac:dyDescent="0.35">
      <c r="A24" s="1" t="s">
        <v>21</v>
      </c>
      <c r="B24" s="7">
        <f>IF(D24=0,0,VLOOKUP($A24,[6]HISTOJANV24!$A$6:$BP$44,10,0))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D24+VLOOKUP($A24,[6]HISTOJANV24!$A$7:$AU$42,45,0)+F24</f>
        <v>50000</v>
      </c>
      <c r="F24" s="7">
        <f>VLOOKUP($A24,[6]HISTOJANV24!$A$6:$AV$48,7,0)</f>
        <v>0</v>
      </c>
      <c r="G24" s="7" t="str">
        <f>VLOOKUP($A24,[6]HISTOJANV24!$A$6:$AV$49,8,0)</f>
        <v>BANQUE</v>
      </c>
      <c r="H24" s="7">
        <f>VLOOKUP($A24,[6]HISTOJANV24!$A$6:$AV$49,35,0)</f>
        <v>0</v>
      </c>
      <c r="I24" s="7">
        <f>VLOOKUP($A24,[6]HISTOJANV24!$A$6:$AV$49,38,0)</f>
        <v>0</v>
      </c>
      <c r="J24" s="7">
        <f>IF(H24=0,0,VLOOKUP($A24,[6]HISTOJANV24!$A$6:$AV$49,42,0))</f>
        <v>0</v>
      </c>
      <c r="K24" s="7">
        <f>VLOOKUP($A24,[6]HISTOJANV24!$A$6:$AV$49,41,0)</f>
        <v>0</v>
      </c>
      <c r="L24"/>
      <c r="M24" s="7">
        <f>VLOOKUP($A24,[6]HISTOJANV24!$A$6:$AV$49,16,0)</f>
        <v>0</v>
      </c>
      <c r="N24" s="7" t="str">
        <f>IF(M24&lt;&gt;0,VLOOKUP($A24,[6]HISTOJANV24!$A$6:$AV$49,8,0),"ECHEC")</f>
        <v>ECHEC</v>
      </c>
      <c r="O24" s="7">
        <f>IF(R24=0,0,VLOOKUP($A24,[6]HISTOJANV24!$A$6:$AV$49,32,0))</f>
        <v>0</v>
      </c>
      <c r="P24" s="7">
        <f>VLOOKUP($A24,[6]HISTOJANV24!$A$6:$AV$49,33,0)</f>
        <v>0</v>
      </c>
      <c r="Q24" s="7">
        <f t="shared" si="1"/>
        <v>0</v>
      </c>
      <c r="R24" s="7">
        <f>VLOOKUP($A24,[6]HISTOJANV24!$A$6:$AV$49,29,0)</f>
        <v>0</v>
      </c>
      <c r="S24" s="1"/>
    </row>
    <row r="25" spans="1:19" x14ac:dyDescent="0.35">
      <c r="A25" s="1" t="s">
        <v>22</v>
      </c>
      <c r="B25" s="7">
        <f>IF(D25=0,0,VLOOKUP($A25,[6]HISTOJANV24!$A$6:$BP$44,10,0))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D25+VLOOKUP($A25,[6]HISTOJANV24!$A$7:$AU$42,45,0)+F25</f>
        <v>50000</v>
      </c>
      <c r="F25" s="7">
        <f>VLOOKUP($A25,[6]HISTOJANV24!$A$6:$AV$48,7,0)</f>
        <v>0</v>
      </c>
      <c r="G25" s="7" t="str">
        <f>VLOOKUP($A25,[6]HISTOJANV24!$A$6:$AV$49,8,0)</f>
        <v>BANQUE</v>
      </c>
      <c r="H25" s="7">
        <f>VLOOKUP($A25,[6]HISTOJANV24!$A$6:$AV$49,35,0)</f>
        <v>0</v>
      </c>
      <c r="I25" s="7">
        <f>VLOOKUP($A25,[6]HISTOJANV24!$A$6:$AV$49,38,0)</f>
        <v>0</v>
      </c>
      <c r="J25" s="7">
        <f>IF(H25=0,0,VLOOKUP($A25,[6]HISTOJANV24!$A$6:$AV$49,42,0))</f>
        <v>0</v>
      </c>
      <c r="K25" s="7">
        <f>VLOOKUP($A25,[6]HISTOJANV24!$A$6:$AV$49,41,0)</f>
        <v>0</v>
      </c>
      <c r="L25"/>
      <c r="M25" s="7">
        <f>VLOOKUP($A25,[6]HISTOJANV24!$A$6:$AV$49,16,0)</f>
        <v>0</v>
      </c>
      <c r="N25" s="7" t="str">
        <f>IF(M25&lt;&gt;0,VLOOKUP($A25,[6]HISTOJANV24!$A$6:$AV$49,8,0),"ECHEC")</f>
        <v>ECHEC</v>
      </c>
      <c r="O25" s="7" t="str">
        <f>IF(R25=0,0,VLOOKUP($A25,[6]HISTOJANV24!$A$6:$AV$49,32,0))</f>
        <v>BANQUE</v>
      </c>
      <c r="P25" s="7">
        <f>VLOOKUP($A25,[6]HISTOJANV24!$A$6:$AV$49,33,0)</f>
        <v>0</v>
      </c>
      <c r="Q25" s="7">
        <f t="shared" si="1"/>
        <v>287000</v>
      </c>
      <c r="R25" s="7">
        <f>VLOOKUP($A25,[6]HISTOJANV24!$A$6:$AV$49,29,0)</f>
        <v>13000</v>
      </c>
      <c r="S25" s="1"/>
    </row>
    <row r="26" spans="1:19" x14ac:dyDescent="0.35">
      <c r="A26" s="1" t="s">
        <v>85</v>
      </c>
      <c r="B26" s="7">
        <f>IF(D26=0,0,VLOOKUP($A26,[6]HISTOJANV24!$A$6:$BP$44,10,0))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D26+VLOOKUP($A26,[6]HISTOJANV24!$A$7:$AU$42,45,0)+F26</f>
        <v>50000</v>
      </c>
      <c r="F26" s="7">
        <f>VLOOKUP($A26,[6]HISTOJANV24!$A$6:$AV$48,7,0)</f>
        <v>0</v>
      </c>
      <c r="G26" s="7" t="str">
        <f>VLOOKUP($A26,[6]HISTOJANV24!$A$6:$AV$49,8,0)</f>
        <v>BANQUE</v>
      </c>
      <c r="H26" s="7">
        <f>VLOOKUP($A26,[6]HISTOJANV24!$A$6:$AV$49,35,0)</f>
        <v>0</v>
      </c>
      <c r="I26" s="7">
        <f>VLOOKUP($A26,[6]HISTOJANV24!$A$6:$AV$49,38,0)</f>
        <v>0</v>
      </c>
      <c r="J26" s="7">
        <f>IF(H26=0,0,VLOOKUP($A26,[6]HISTOJANV24!$A$6:$AV$49,42,0))</f>
        <v>0</v>
      </c>
      <c r="K26" s="7">
        <f>VLOOKUP($A26,[6]HISTOJANV24!$A$6:$AV$49,41,0)</f>
        <v>0</v>
      </c>
      <c r="L26"/>
      <c r="M26" s="7">
        <f>VLOOKUP($A26,[6]HISTOJANV24!$A$6:$AV$49,16,0)</f>
        <v>0</v>
      </c>
      <c r="N26" s="7" t="str">
        <f>IF(M26&lt;&gt;0,VLOOKUP($A26,[6]HISTOJANV24!$A$6:$AV$49,8,0),"ECHEC")</f>
        <v>ECHEC</v>
      </c>
      <c r="O26" s="7">
        <f>IF(R26=0,0,VLOOKUP($A26,[6]HISTOJANV24!$A$6:$AV$49,32,0))</f>
        <v>0</v>
      </c>
      <c r="P26" s="7">
        <f>VLOOKUP($A26,[6]HISTOJANV24!$A$6:$AV$49,33,0)</f>
        <v>0</v>
      </c>
      <c r="Q26" s="7">
        <f t="shared" si="1"/>
        <v>0</v>
      </c>
      <c r="R26" s="7">
        <f>VLOOKUP($A26,[6]HISTOJANV24!$A$6:$AV$49,29,0)</f>
        <v>0</v>
      </c>
    </row>
    <row r="27" spans="1:19" x14ac:dyDescent="0.35">
      <c r="A27" s="1" t="s">
        <v>23</v>
      </c>
      <c r="B27" s="7">
        <f>IF(D27=0,0,VLOOKUP($A27,[6]HISTOJANV24!$A$6:$BP$44,10,0))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D27+VLOOKUP($A27,[6]HISTOJANV24!$A$7:$AU$42,45,0)+F27</f>
        <v>50000</v>
      </c>
      <c r="F27" s="7">
        <f>VLOOKUP($A27,[6]HISTOJANV24!$A$6:$AV$48,7,0)</f>
        <v>0</v>
      </c>
      <c r="G27" s="7" t="str">
        <f>VLOOKUP($A27,[6]HISTOJANV24!$A$6:$AV$49,8,0)</f>
        <v>BANQUE</v>
      </c>
      <c r="H27" s="7">
        <f>VLOOKUP($A27,[6]HISTOJANV24!$A$6:$AV$49,35,0)</f>
        <v>0</v>
      </c>
      <c r="I27" s="7">
        <f>VLOOKUP($A27,[6]HISTOJANV24!$A$6:$AV$49,38,0)</f>
        <v>0</v>
      </c>
      <c r="J27" s="7">
        <f>IF(H27=0,0,VLOOKUP($A27,[6]HISTOJANV24!$A$6:$AV$49,42,0))</f>
        <v>0</v>
      </c>
      <c r="K27" s="7">
        <f>VLOOKUP($A27,[6]HISTOJANV24!$A$6:$AV$49,41,0)</f>
        <v>0</v>
      </c>
      <c r="L27"/>
      <c r="M27" s="7">
        <f>VLOOKUP($A27,[6]HISTOJANV24!$A$6:$AV$49,16,0)</f>
        <v>0</v>
      </c>
      <c r="N27" s="7" t="str">
        <f>IF(M27&lt;&gt;0,VLOOKUP($A27,[6]HISTOJANV24!$A$6:$AV$49,8,0),"ECHEC")</f>
        <v>ECHEC</v>
      </c>
      <c r="O27" s="7">
        <f>IF(R27=0,0,VLOOKUP($A27,[6]HISTOJANV24!$A$6:$AV$49,32,0))</f>
        <v>0</v>
      </c>
      <c r="P27" s="7">
        <f>VLOOKUP($A27,[6]HISTOJANV24!$A$6:$AV$49,33,0)</f>
        <v>0</v>
      </c>
      <c r="Q27" s="7">
        <f t="shared" si="1"/>
        <v>0</v>
      </c>
      <c r="R27" s="7">
        <f>VLOOKUP($A27,[6]HISTOJANV24!$A$6:$AV$49,29,0)</f>
        <v>0</v>
      </c>
    </row>
    <row r="28" spans="1:19" x14ac:dyDescent="0.35">
      <c r="A28" s="1" t="s">
        <v>86</v>
      </c>
      <c r="B28" s="7">
        <f>IF(D28=0,0,VLOOKUP($A28,[6]HISTOJANV24!$A$6:$BP$44,10,0))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D28+VLOOKUP($A28,[6]HISTOJANV24!$A$7:$AU$42,45,0)+F28</f>
        <v>500000</v>
      </c>
      <c r="F28" s="7">
        <f>VLOOKUP($A28,[6]HISTOJANV24!$A$6:$AV$48,7,0)</f>
        <v>0</v>
      </c>
      <c r="G28" s="7" t="str">
        <f>VLOOKUP($A28,[6]HISTOJANV24!$A$6:$AV$49,8,0)</f>
        <v>BANQUE</v>
      </c>
      <c r="H28" s="7">
        <f>VLOOKUP($A28,[6]HISTOJANV24!$A$6:$AV$49,35,0)</f>
        <v>0</v>
      </c>
      <c r="I28" s="7">
        <f>VLOOKUP($A28,[6]HISTOJANV24!$A$6:$AV$49,38,0)</f>
        <v>0</v>
      </c>
      <c r="J28" s="7">
        <f>IF(H28=0,0,VLOOKUP($A28,[6]HISTOJANV24!$A$6:$AV$49,42,0))</f>
        <v>0</v>
      </c>
      <c r="K28" s="7">
        <f>VLOOKUP($A28,[6]HISTOJANV24!$A$6:$AV$49,41,0)</f>
        <v>0</v>
      </c>
      <c r="L28"/>
      <c r="M28" s="7">
        <f>VLOOKUP($A28,[6]HISTOJANV24!$A$6:$AV$49,16,0)</f>
        <v>0</v>
      </c>
      <c r="N28" s="7" t="str">
        <f>IF(M28&lt;&gt;0,VLOOKUP($A28,[6]HISTOJANV24!$A$6:$AV$49,8,0),"ECHEC")</f>
        <v>ECHEC</v>
      </c>
      <c r="O28" s="7">
        <f>IF(R28=0,0,VLOOKUP($A28,[6]HISTOJANV24!$A$6:$AV$49,32,0))</f>
        <v>0</v>
      </c>
      <c r="P28" s="7">
        <f>VLOOKUP($A28,[6]HISTOJANV24!$A$6:$AV$49,33,0)</f>
        <v>0</v>
      </c>
      <c r="Q28" s="7">
        <f t="shared" si="1"/>
        <v>0</v>
      </c>
      <c r="R28" s="7">
        <f>VLOOKUP($A28,[6]HISTOJANV24!$A$6:$AV$49,29,0)</f>
        <v>0</v>
      </c>
    </row>
    <row r="29" spans="1:19" x14ac:dyDescent="0.35">
      <c r="A29" s="1" t="s">
        <v>46</v>
      </c>
      <c r="B29" s="7">
        <f>IF(D29=0,0,VLOOKUP($A29,[6]HISTOJANV24!$A$6:$BP$44,10,0))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D29+VLOOKUP($A29,[6]HISTOJANV24!$A$7:$AU$42,45,0)+F29</f>
        <v>50000</v>
      </c>
      <c r="F29" s="7">
        <f>VLOOKUP($A29,[6]HISTOJANV24!$A$6:$AV$48,7,0)</f>
        <v>0</v>
      </c>
      <c r="G29" s="7" t="str">
        <f>VLOOKUP($A29,[6]HISTOJANV24!$A$6:$AV$49,8,0)</f>
        <v>BANQUE</v>
      </c>
      <c r="H29" s="7">
        <f>VLOOKUP($A29,[6]HISTOJANV24!$A$6:$AV$49,35,0)</f>
        <v>0</v>
      </c>
      <c r="I29" s="7">
        <f>VLOOKUP($A29,[6]HISTOJANV24!$A$6:$AV$49,38,0)</f>
        <v>0</v>
      </c>
      <c r="J29" s="7">
        <f>IF(H29=0,0,VLOOKUP($A29,[6]HISTOJANV24!$A$6:$AV$49,42,0))</f>
        <v>0</v>
      </c>
      <c r="K29" s="7">
        <f>VLOOKUP($A29,[6]HISTOJANV24!$A$6:$AV$49,41,0)</f>
        <v>0</v>
      </c>
      <c r="L29"/>
      <c r="M29" s="7">
        <f>VLOOKUP($A29,[6]HISTOJANV24!$A$6:$AV$49,16,0)</f>
        <v>0</v>
      </c>
      <c r="N29" s="7" t="str">
        <f>IF(M29&lt;&gt;0,VLOOKUP($A29,[6]HISTOJANV24!$A$6:$AV$49,8,0),"ECHEC")</f>
        <v>ECHEC</v>
      </c>
      <c r="O29" s="7">
        <f>IF(R29=0,0,VLOOKUP($A29,[6]HISTOJANV24!$A$6:$AV$49,32,0))</f>
        <v>0</v>
      </c>
      <c r="P29" s="7">
        <f>VLOOKUP($A29,[6]HISTOJANV24!$A$6:$AV$49,33,0)</f>
        <v>0</v>
      </c>
      <c r="Q29" s="7">
        <f t="shared" si="1"/>
        <v>0</v>
      </c>
      <c r="R29" s="7">
        <f>VLOOKUP($A29,[6]HISTOJANV24!$A$6:$AV$49,29,0)</f>
        <v>0</v>
      </c>
    </row>
    <row r="30" spans="1:19" x14ac:dyDescent="0.35">
      <c r="A30" s="1" t="s">
        <v>24</v>
      </c>
      <c r="B30" s="7">
        <f>IF(D30=0,0,VLOOKUP($A30,[6]HISTOJANV24!$A$6:$BP$44,10,0))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D30+VLOOKUP($A30,[6]HISTOJANV24!$A$7:$AU$42,45,0)+F30</f>
        <v>50000</v>
      </c>
      <c r="F30" s="7">
        <f>VLOOKUP($A30,[6]HISTOJANV24!$A$6:$AV$48,7,0)</f>
        <v>0</v>
      </c>
      <c r="G30" s="7" t="str">
        <f>VLOOKUP($A30,[6]HISTOJANV24!$A$6:$AV$49,8,0)</f>
        <v>BANQUE</v>
      </c>
      <c r="H30" s="7">
        <f>VLOOKUP($A30,[6]HISTOJANV24!$A$6:$AV$49,35,0)</f>
        <v>0</v>
      </c>
      <c r="I30" s="7">
        <f>VLOOKUP($A30,[6]HISTOJANV24!$A$6:$AV$49,38,0)</f>
        <v>0</v>
      </c>
      <c r="J30" s="7">
        <f>IF(H30=0,0,VLOOKUP($A30,[6]HISTOJANV24!$A$6:$AV$49,42,0))</f>
        <v>0</v>
      </c>
      <c r="K30" s="7">
        <f>VLOOKUP($A30,[6]HISTOJANV24!$A$6:$AV$49,41,0)</f>
        <v>0</v>
      </c>
      <c r="L30"/>
      <c r="M30" s="7">
        <f>VLOOKUP($A30,[6]HISTOJANV24!$A$6:$AV$49,16,0)</f>
        <v>0</v>
      </c>
      <c r="N30" s="7" t="str">
        <f>IF(M30&lt;&gt;0,VLOOKUP($A30,[6]HISTOJANV24!$A$6:$AV$49,8,0),"ECHEC")</f>
        <v>ECHEC</v>
      </c>
      <c r="O30" s="7">
        <f>IF(R30=0,0,VLOOKUP($A30,[6]HISTOJANV24!$A$6:$AV$49,32,0))</f>
        <v>0</v>
      </c>
      <c r="P30" s="7">
        <f>VLOOKUP($A30,[6]HISTOJANV24!$A$6:$AV$49,33,0)</f>
        <v>0</v>
      </c>
      <c r="Q30" s="7">
        <f t="shared" si="1"/>
        <v>0</v>
      </c>
      <c r="R30" s="7">
        <f>VLOOKUP($A30,[6]HISTOJANV24!$A$6:$AV$49,29,0)</f>
        <v>0</v>
      </c>
    </row>
    <row r="31" spans="1:19" x14ac:dyDescent="0.35">
      <c r="A31" s="1" t="s">
        <v>26</v>
      </c>
      <c r="B31" s="7">
        <f>IF(D31=0,0,VLOOKUP($A31,[6]HISTOJANV24!$A$6:$BP$44,10,0))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D31+VLOOKUP($A31,[6]HISTOJANV24!$A$7:$AU$42,45,0)+F31</f>
        <v>50000</v>
      </c>
      <c r="F31" s="7">
        <f>VLOOKUP($A31,[6]HISTOJANV24!$A$6:$AV$48,7,0)</f>
        <v>0</v>
      </c>
      <c r="G31" s="7" t="str">
        <f>VLOOKUP($A31,[6]HISTOJANV24!$A$6:$AV$49,8,0)</f>
        <v>BANQUE</v>
      </c>
      <c r="H31" s="7">
        <f>VLOOKUP($A31,[6]HISTOJANV24!$A$6:$AV$49,35,0)</f>
        <v>0</v>
      </c>
      <c r="I31" s="7">
        <f>VLOOKUP($A31,[6]HISTOJANV24!$A$6:$AV$49,38,0)</f>
        <v>0</v>
      </c>
      <c r="J31" s="7">
        <f>IF(H31=0,0,VLOOKUP($A31,[6]HISTOJANV24!$A$6:$AV$49,42,0))</f>
        <v>0</v>
      </c>
      <c r="K31" s="7">
        <f>VLOOKUP($A31,[6]HISTOJANV24!$A$6:$AV$49,41,0)</f>
        <v>0</v>
      </c>
      <c r="L31"/>
      <c r="M31" s="7">
        <f>VLOOKUP($A31,[6]HISTOJANV24!$A$6:$AV$49,16,0)</f>
        <v>0</v>
      </c>
      <c r="N31" s="7" t="str">
        <f>IF(M31&lt;&gt;0,VLOOKUP($A31,[6]HISTOJANV24!$A$6:$AV$49,8,0),"ECHEC")</f>
        <v>ECHEC</v>
      </c>
      <c r="O31" s="7">
        <f>IF(R31=0,0,VLOOKUP($A31,[6]HISTOJANV24!$A$6:$AV$49,32,0))</f>
        <v>0</v>
      </c>
      <c r="P31" s="7">
        <f>VLOOKUP($A31,[6]HISTOJANV24!$A$6:$AV$49,33,0)</f>
        <v>0</v>
      </c>
      <c r="Q31" s="7">
        <f t="shared" si="1"/>
        <v>0</v>
      </c>
      <c r="R31" s="7">
        <f>VLOOKUP($A31,[6]HISTOJANV24!$A$6:$AV$49,29,0)</f>
        <v>0</v>
      </c>
    </row>
    <row r="32" spans="1:19" x14ac:dyDescent="0.35">
      <c r="A32" s="1" t="s">
        <v>95</v>
      </c>
      <c r="B32" s="7">
        <f>IF(D32=0,0,VLOOKUP($A32,[6]HISTOJANV24!$A$6:$BP$44,10,0))</f>
        <v>1</v>
      </c>
      <c r="C32" s="1" t="str">
        <f>VLOOKUP(A32,[7]LISTADHERENT!A$5:H$60,3,0)</f>
        <v>TCHOUATEU AUGUSTIN</v>
      </c>
      <c r="D32" s="7">
        <f t="shared" ref="D32" si="4">IF(G32="ECHEC",0,B$3)</f>
        <v>25000</v>
      </c>
      <c r="E32" s="7">
        <f>D32+VLOOKUP($A32,[6]HISTOJANV24!$A$7:$AU$42,45,0)+F32</f>
        <v>295000</v>
      </c>
      <c r="F32" s="7">
        <f>VLOOKUP($A32,[6]HISTOJANV24!$A$6:$AV$48,7,0)</f>
        <v>0</v>
      </c>
      <c r="G32" s="7" t="str">
        <f>VLOOKUP($A32,[6]HISTOJANV24!$A$6:$AV$49,8,0)</f>
        <v>BANQUE</v>
      </c>
      <c r="H32" s="7">
        <f>VLOOKUP($A32,[6]HISTOJANV24!$A$6:$AV$49,35,0)</f>
        <v>0</v>
      </c>
      <c r="I32" s="7">
        <f>VLOOKUP($A32,[6]HISTOJANV24!$A$6:$AV$49,38,0)</f>
        <v>0</v>
      </c>
      <c r="J32" s="7">
        <f>IF(H32=0,0,VLOOKUP($A32,[6]HISTOJANV24!$A$6:$AV$49,42,0))</f>
        <v>0</v>
      </c>
      <c r="K32" s="7">
        <f>VLOOKUP($A32,[6]HISTOJANV24!$A$6:$AV$49,41,0)</f>
        <v>0</v>
      </c>
      <c r="L32"/>
      <c r="M32" s="7">
        <f>VLOOKUP($A32,[6]HISTOJANV24!$A$6:$AV$49,16,0)</f>
        <v>0</v>
      </c>
      <c r="N32" s="7" t="str">
        <f>IF(M32&lt;&gt;0,VLOOKUP($A32,[6]HISTOJANV24!$A$6:$AV$49,8,0),"ECHEC")</f>
        <v>ECHEC</v>
      </c>
      <c r="O32" s="7">
        <f>IF(R32=0,0,VLOOKUP($A32,[6]HISTOJANV24!$A$6:$AV$49,32,0))</f>
        <v>0</v>
      </c>
      <c r="P32" s="7">
        <f>VLOOKUP($A32,[6]HISTOJANV24!$A$6:$AV$49,33,0)</f>
        <v>0</v>
      </c>
      <c r="Q32" s="7">
        <f t="shared" ref="Q32" si="5">IF(R32=0,0,($C$3-R32))</f>
        <v>0</v>
      </c>
      <c r="R32" s="7">
        <f>VLOOKUP($A32,[6]HISTOJANV24!$A$6:$AV$49,29,0)</f>
        <v>0</v>
      </c>
    </row>
    <row r="33" spans="1:18" x14ac:dyDescent="0.35">
      <c r="A33" s="1" t="s">
        <v>87</v>
      </c>
      <c r="B33" s="7">
        <f>IF(D33=0,0,VLOOKUP($A33,[6]HISTOJANV24!$A$6:$BP$44,10,0))</f>
        <v>1</v>
      </c>
      <c r="C33" s="1" t="str">
        <f>VLOOKUP(A33,[7]LISTADHERENT!A$5:H$60,3,0)</f>
        <v>TCHOUTOU NANA CLAUDE</v>
      </c>
      <c r="D33" s="7">
        <f t="shared" si="0"/>
        <v>25000</v>
      </c>
      <c r="E33" s="7">
        <f>D33+VLOOKUP($A33,[6]HISTOJANV24!$A$7:$AU$42,45,0)+F33</f>
        <v>50000</v>
      </c>
      <c r="F33" s="7">
        <f>VLOOKUP($A33,[6]HISTOJANV24!$A$6:$AV$48,7,0)</f>
        <v>0</v>
      </c>
      <c r="G33" s="7" t="str">
        <f>VLOOKUP($A33,[6]HISTOJANV24!$A$6:$AV$49,8,0)</f>
        <v>BANQUE</v>
      </c>
      <c r="H33" s="7">
        <f>VLOOKUP($A33,[6]HISTOJANV24!$A$6:$AV$49,35,0)</f>
        <v>0</v>
      </c>
      <c r="I33" s="7">
        <f>VLOOKUP($A33,[6]HISTOJANV24!$A$6:$AV$49,38,0)</f>
        <v>0</v>
      </c>
      <c r="J33" s="7">
        <f>IF(H33=0,0,VLOOKUP($A33,[6]HISTOJANV24!$A$6:$AV$49,42,0))</f>
        <v>0</v>
      </c>
      <c r="K33" s="7">
        <f>VLOOKUP($A33,[6]HISTOJANV24!$A$6:$AV$49,41,0)</f>
        <v>0</v>
      </c>
      <c r="L33"/>
      <c r="M33" s="7">
        <f>VLOOKUP($A33,[6]HISTOJANV24!$A$6:$AV$49,16,0)</f>
        <v>0</v>
      </c>
      <c r="N33" s="7" t="str">
        <f>IF(M33&lt;&gt;0,VLOOKUP($A33,[6]HISTOJANV24!$A$6:$AV$49,8,0),"ECHEC")</f>
        <v>ECHEC</v>
      </c>
      <c r="O33" s="7">
        <f>IF(R33=0,0,VLOOKUP($A33,[6]HISTOJANV24!$A$6:$AV$49,32,0))</f>
        <v>0</v>
      </c>
      <c r="P33" s="7">
        <f>VLOOKUP($A33,[6]HISTOJANV24!$A$6:$AV$49,33,0)</f>
        <v>0</v>
      </c>
      <c r="Q33" s="7">
        <f t="shared" si="1"/>
        <v>0</v>
      </c>
      <c r="R33" s="7">
        <f>VLOOKUP($A33,[6]HISTOJANV24!$A$6:$AV$49,29,0)</f>
        <v>0</v>
      </c>
    </row>
    <row r="34" spans="1:18" x14ac:dyDescent="0.35">
      <c r="A34" s="17" t="s">
        <v>89</v>
      </c>
      <c r="B34" s="7">
        <f>IF(D34=0,0,VLOOKUP($A34,[6]HISTOJANV24!$A$6:$BP$44,10,0))</f>
        <v>1</v>
      </c>
      <c r="C34" s="1" t="str">
        <f>VLOOKUP(A34,[7]LISTADHERENT!A$5:H$60,3,0)</f>
        <v>YANTCHOU GERVAIS</v>
      </c>
      <c r="D34" s="7">
        <f t="shared" si="0"/>
        <v>25000</v>
      </c>
      <c r="E34" s="7">
        <f>D34+VLOOKUP($A34,[6]HISTOJANV24!$A$7:$AU$42,45,0)+F34</f>
        <v>60000</v>
      </c>
      <c r="F34" s="7">
        <f>VLOOKUP($A34,[6]HISTOJANV24!$A$6:$AV$48,7,0)</f>
        <v>0</v>
      </c>
      <c r="G34" s="7" t="str">
        <f>VLOOKUP($A34,[6]HISTOJANV24!$A$6:$AV$49,8,0)</f>
        <v>BANQUE</v>
      </c>
      <c r="H34" s="7">
        <f>VLOOKUP($A34,[6]HISTOJANV24!$A$6:$AV$49,35,0)</f>
        <v>0</v>
      </c>
      <c r="I34" s="7">
        <f>VLOOKUP($A34,[6]HISTOJANV24!$A$6:$AV$49,38,0)</f>
        <v>0</v>
      </c>
      <c r="J34" s="7">
        <f>IF(H34=0,0,VLOOKUP($A34,[6]HISTOJANV24!$A$6:$AV$49,42,0))</f>
        <v>0</v>
      </c>
      <c r="K34" s="7">
        <f>VLOOKUP($A34,[6]HISTOJANV24!$A$6:$AV$49,41,0)</f>
        <v>0</v>
      </c>
      <c r="L34"/>
      <c r="M34" s="7">
        <f>VLOOKUP($A34,[6]HISTOJANV24!$A$6:$AV$49,16,0)</f>
        <v>0</v>
      </c>
      <c r="N34" s="7" t="str">
        <f>IF(M34&lt;&gt;0,VLOOKUP($A34,[6]HISTOJANV24!$A$6:$AV$49,8,0),"ECHEC")</f>
        <v>ECHEC</v>
      </c>
      <c r="O34" s="7">
        <f>IF(R34=0,0,VLOOKUP($A34,[6]HISTOJANV24!$A$6:$AV$49,32,0))</f>
        <v>0</v>
      </c>
      <c r="P34" s="7">
        <f>VLOOKUP($A34,[6]HISTOJANV24!$A$6:$AV$49,33,0)</f>
        <v>0</v>
      </c>
      <c r="Q34" s="7">
        <f t="shared" si="1"/>
        <v>0</v>
      </c>
      <c r="R34" s="7">
        <f>VLOOKUP($A34,[6]HISTOJANV24!$A$6:$AV$49,29,0)</f>
        <v>0</v>
      </c>
    </row>
    <row r="35" spans="1:18" x14ac:dyDescent="0.35">
      <c r="A35" s="1" t="s">
        <v>27</v>
      </c>
      <c r="B35" s="7">
        <f>IF(D35=0,0,VLOOKUP($A35,[6]HISTOJANV24!$A$6:$BP$44,10,0))</f>
        <v>1</v>
      </c>
      <c r="C35" s="1" t="str">
        <f>VLOOKUP(A35,[7]LISTADHERENT!A$5:H$60,3,0)</f>
        <v>YEPMOU JEAN JACQUES</v>
      </c>
      <c r="D35" s="7">
        <f t="shared" si="0"/>
        <v>25000</v>
      </c>
      <c r="E35" s="7">
        <f>D35+VLOOKUP($A35,[6]HISTOJANV24!$A$7:$AU$42,45,0)+F35</f>
        <v>47000</v>
      </c>
      <c r="F35" s="7">
        <f>VLOOKUP($A35,[6]HISTOJANV24!$A$6:$AV$48,7,0)</f>
        <v>-3000</v>
      </c>
      <c r="G35" s="7" t="str">
        <f>VLOOKUP($A35,[6]HISTOJANV24!$A$6:$AV$49,8,0)</f>
        <v>BANQUE</v>
      </c>
      <c r="H35" s="7">
        <f>VLOOKUP($A35,[6]HISTOJANV24!$A$6:$AV$49,35,0)</f>
        <v>0</v>
      </c>
      <c r="I35" s="7">
        <f>VLOOKUP($A35,[6]HISTOJANV24!$A$6:$AV$49,38,0)</f>
        <v>0</v>
      </c>
      <c r="J35" s="7">
        <f>IF(H35=0,0,VLOOKUP($A35,[6]HISTOJANV24!$A$6:$AV$49,42,0))</f>
        <v>0</v>
      </c>
      <c r="K35" s="7">
        <f>VLOOKUP($A35,[6]HISTOJANV24!$A$6:$AV$49,41,0)</f>
        <v>0</v>
      </c>
      <c r="L35"/>
      <c r="M35" s="7">
        <f>VLOOKUP($A35,[6]HISTOJANV24!$A$6:$AV$49,16,0)</f>
        <v>0</v>
      </c>
      <c r="N35" s="7" t="str">
        <f>IF(M35&lt;&gt;0,VLOOKUP($A35,[6]HISTOJANV24!$A$6:$AV$49,8,0),"ECHEC")</f>
        <v>ECHEC</v>
      </c>
      <c r="O35" s="7">
        <f>IF(R35=0,0,VLOOKUP($A35,[6]HISTOJANV24!$A$6:$AV$49,32,0))</f>
        <v>0</v>
      </c>
      <c r="P35" s="7">
        <f>VLOOKUP($A35,[6]HISTOJANV24!$A$6:$AV$49,33,0)</f>
        <v>0</v>
      </c>
      <c r="Q35" s="7">
        <f t="shared" si="1"/>
        <v>0</v>
      </c>
      <c r="R35" s="7">
        <f>VLOOKUP($A35,[6]HISTOJANV24!$A$6:$AV$49,29,0)</f>
        <v>0</v>
      </c>
    </row>
    <row r="36" spans="1:18" x14ac:dyDescent="0.35">
      <c r="A36" s="1" t="s">
        <v>94</v>
      </c>
      <c r="B36" s="7">
        <f>IF(D36=0,0,VLOOKUP($A36,[6]HISTOJANV24!$A$6:$BP$44,10,0))</f>
        <v>1</v>
      </c>
      <c r="C36" s="1" t="str">
        <f>VLOOKUP(A36,[7]LISTADHERENT!A$5:H$60,3,0)</f>
        <v>YIALA ALAIN OSCAR</v>
      </c>
      <c r="D36" s="7">
        <f t="shared" ref="D36" si="6">IF(G36="ECHEC",0,B$3)</f>
        <v>25000</v>
      </c>
      <c r="E36" s="7">
        <f>D36+VLOOKUP($A36,[6]HISTOJANV24!$A$7:$AU$42,45,0)+F36</f>
        <v>50000</v>
      </c>
      <c r="F36" s="7">
        <f>VLOOKUP($A36,[6]HISTOJANV24!$A$6:$AV$48,7,0)</f>
        <v>0</v>
      </c>
      <c r="G36" s="7" t="str">
        <f>VLOOKUP($A36,[6]HISTOJANV24!$A$6:$AV$49,8,0)</f>
        <v>BANQUE</v>
      </c>
      <c r="H36" s="7">
        <f>VLOOKUP($A36,[6]HISTOJANV24!$A$6:$AV$49,35,0)</f>
        <v>0</v>
      </c>
      <c r="I36" s="7">
        <f>VLOOKUP($A36,[6]HISTOJANV24!$A$6:$AV$49,38,0)</f>
        <v>0</v>
      </c>
      <c r="J36" s="7">
        <f>IF(H36=0,0,VLOOKUP($A36,[6]HISTOJANV24!$A$6:$AV$49,42,0))</f>
        <v>0</v>
      </c>
      <c r="K36" s="7">
        <f>VLOOKUP($A36,[6]HISTOJANV24!$A$6:$AV$49,41,0)</f>
        <v>0</v>
      </c>
      <c r="L36"/>
      <c r="M36" s="7">
        <f>VLOOKUP($A36,[6]HISTOJANV24!$A$6:$AV$49,16,0)</f>
        <v>0</v>
      </c>
      <c r="N36" s="7" t="str">
        <f>IF(M36&lt;&gt;0,VLOOKUP($A36,[6]HISTOJANV24!$A$6:$AV$49,8,0),"ECHEC")</f>
        <v>ECHEC</v>
      </c>
      <c r="O36" s="7">
        <f>IF(R36=0,0,VLOOKUP($A36,[6]HISTOJANV24!$A$6:$AV$49,32,0))</f>
        <v>0</v>
      </c>
      <c r="P36" s="7">
        <f>VLOOKUP($A36,[6]HISTOJANV24!$A$6:$AV$49,33,0)</f>
        <v>0</v>
      </c>
      <c r="Q36" s="7">
        <f t="shared" ref="Q36" si="7">IF(R36=0,0,($C$3-R36))</f>
        <v>0</v>
      </c>
      <c r="R36" s="7">
        <f>VLOOKUP($A36,[6]HISTOJANV24!$A$6:$AV$49,29,0)</f>
        <v>0</v>
      </c>
    </row>
    <row r="37" spans="1:18" x14ac:dyDescent="0.35">
      <c r="A37" s="1" t="s">
        <v>28</v>
      </c>
      <c r="B37" s="7">
        <f>IF(D37=0,0,VLOOKUP($A37,[6]HISTOJANV24!$A$6:$BP$44,10,0))</f>
        <v>1</v>
      </c>
      <c r="C37" s="1" t="str">
        <f>VLOOKUP(A37,[7]LISTADHERENT!A$5:H$60,3,0)</f>
        <v>YOUMBI EMMANUEL</v>
      </c>
      <c r="D37" s="7">
        <f t="shared" si="0"/>
        <v>25000</v>
      </c>
      <c r="E37" s="7">
        <f>D37+VLOOKUP($A37,[6]HISTOJANV24!$A$7:$AU$42,45,0)+F37</f>
        <v>50000</v>
      </c>
      <c r="F37" s="7">
        <f>VLOOKUP($A37,[6]HISTOJANV24!$A$6:$AV$48,7,0)</f>
        <v>0</v>
      </c>
      <c r="G37" s="7" t="str">
        <f>VLOOKUP($A37,[6]HISTOJANV24!$A$6:$AV$49,8,0)</f>
        <v>BANQUE</v>
      </c>
      <c r="H37" s="7">
        <f>VLOOKUP($A37,[6]HISTOJANV24!$A$6:$AV$49,35,0)</f>
        <v>0</v>
      </c>
      <c r="I37" s="7">
        <f>VLOOKUP($A37,[6]HISTOJANV24!$A$6:$AV$49,38,0)</f>
        <v>0</v>
      </c>
      <c r="J37" s="7">
        <f>IF(H37=0,0,VLOOKUP($A37,[6]HISTOJANV24!$A$6:$AV$49,42,0))</f>
        <v>0</v>
      </c>
      <c r="K37" s="7">
        <f>VLOOKUP($A37,[6]HISTOJANV24!$A$6:$AV$49,41,0)</f>
        <v>0</v>
      </c>
      <c r="L37"/>
      <c r="M37" s="7">
        <f>VLOOKUP($A37,[6]HISTOJANV24!$A$6:$AV$49,16,0)</f>
        <v>0</v>
      </c>
      <c r="N37" s="7" t="str">
        <f>IF(M37&lt;&gt;0,VLOOKUP($A37,[6]HISTOJANV24!$A$6:$AV$49,8,0),"ECHEC")</f>
        <v>ECHEC</v>
      </c>
      <c r="O37" s="7">
        <f>IF(R37=0,0,VLOOKUP($A37,[6]HISTOJANV24!$A$6:$AV$49,32,0))</f>
        <v>0</v>
      </c>
      <c r="P37" s="7">
        <f>VLOOKUP($A37,[6]HISTOJANV24!$A$6:$AV$49,33,0)</f>
        <v>0</v>
      </c>
      <c r="Q37" s="7">
        <f t="shared" si="1"/>
        <v>0</v>
      </c>
      <c r="R37" s="7">
        <f>VLOOKUP($A37,[6]HISTOJANV24!$A$6:$AV$49,29,0)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8">SUM(F6:F39)</f>
        <v>-3000</v>
      </c>
      <c r="G40" s="8">
        <f t="shared" si="8"/>
        <v>0</v>
      </c>
      <c r="H40" s="8">
        <f t="shared" si="8"/>
        <v>0</v>
      </c>
      <c r="I40" s="8">
        <f t="shared" si="8"/>
        <v>0</v>
      </c>
      <c r="J40" s="8">
        <f t="shared" si="8"/>
        <v>0</v>
      </c>
      <c r="K40" s="8">
        <f t="shared" si="8"/>
        <v>0</v>
      </c>
      <c r="L40" s="8">
        <f t="shared" si="8"/>
        <v>0</v>
      </c>
      <c r="M40" s="8">
        <f t="shared" si="8"/>
        <v>0</v>
      </c>
      <c r="N40" s="8">
        <f t="shared" si="8"/>
        <v>0</v>
      </c>
      <c r="O40" s="8">
        <f t="shared" si="8"/>
        <v>0</v>
      </c>
      <c r="P40" s="8">
        <f t="shared" si="8"/>
        <v>0</v>
      </c>
      <c r="Q40" s="8">
        <f t="shared" si="8"/>
        <v>862000</v>
      </c>
      <c r="R40" s="8">
        <f t="shared" si="8"/>
        <v>38000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</f>
        <v>838000</v>
      </c>
      <c r="N42" s="4"/>
      <c r="O42"/>
      <c r="P42" s="4"/>
    </row>
    <row r="43" spans="1:18" s="2" customFormat="1" ht="17.5" x14ac:dyDescent="0.35">
      <c r="D43" s="8">
        <f>SUMIFS(D6:D39,G6:G39,"ESPECES")</f>
        <v>25000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25000</v>
      </c>
      <c r="K43" s="8"/>
      <c r="L43" s="8" t="s">
        <v>79</v>
      </c>
      <c r="M43" s="8">
        <f>C3*COUNTIF(Q7:Q39,"&gt;0")</f>
        <v>900000</v>
      </c>
      <c r="N43" s="8">
        <f>D3</f>
        <v>2</v>
      </c>
      <c r="O43" s="8">
        <f>COUNTIF(Q7:Q33,"&gt;0")</f>
        <v>3</v>
      </c>
      <c r="P43" s="8"/>
    </row>
    <row r="44" spans="1:18" s="2" customFormat="1" ht="17.5" x14ac:dyDescent="0.35">
      <c r="D44" s="8">
        <f>SUMIFS(D6:D39,G6:G39,"BANQUE")</f>
        <v>775000</v>
      </c>
      <c r="E44" s="8"/>
      <c r="F44" s="8" t="s">
        <v>32</v>
      </c>
      <c r="G44" s="8">
        <f>SUMIFS(M6:M33,N6:N33,"BANQUE")</f>
        <v>0</v>
      </c>
      <c r="H44" s="8">
        <f>SUMIFS(H6:H39,J6:J39,"BANQUE")</f>
        <v>0</v>
      </c>
      <c r="I44" s="8">
        <f>SUMIFS(Q6:Q39,O6:O39,"BANQUE")</f>
        <v>862000</v>
      </c>
      <c r="J44" s="8">
        <f>D44+G44-H44-I44</f>
        <v>-87000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-62000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0</v>
      </c>
      <c r="H46" s="8">
        <f>H43+H44</f>
        <v>0</v>
      </c>
      <c r="I46" s="8">
        <f t="shared" ref="I46:J46" si="9">I43+I44</f>
        <v>862000</v>
      </c>
      <c r="J46" s="8">
        <f t="shared" si="9"/>
        <v>-62000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-62000</v>
      </c>
      <c r="N47"/>
      <c r="O47" s="8">
        <f>M47</f>
        <v>-62000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/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/>
      <c r="P50" s="8" t="s">
        <v>53</v>
      </c>
    </row>
  </sheetData>
  <autoFilter ref="A5:R25" xr:uid="{00000000-0009-0000-0000-000001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"/>
  <sheetViews>
    <sheetView workbookViewId="0">
      <pane xSplit="3" ySplit="5" topLeftCell="M33" activePane="bottomRight" state="frozen"/>
      <selection activeCell="G6" sqref="G6:G39"/>
      <selection pane="topRight" activeCell="G6" sqref="G6:G39"/>
      <selection pane="bottomLeft" activeCell="G6" sqref="G6:G39"/>
      <selection pane="bottomRight" activeCell="M42" sqref="M42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2</v>
      </c>
      <c r="E3" s="1"/>
      <c r="F3" s="1"/>
      <c r="G3" s="1"/>
      <c r="N3" s="1"/>
      <c r="O3" s="1"/>
    </row>
    <row r="4" spans="1:19" s="13" customFormat="1" ht="17.5" x14ac:dyDescent="0.35">
      <c r="B4" s="14"/>
      <c r="C4" s="38">
        <v>45335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IF(D6=0,0,VLOOKUP($A6,[6]HISTOFEV24!$A$6:$BP$44,10,0))</f>
        <v>1</v>
      </c>
      <c r="C6" s="1" t="str">
        <f>VLOOKUP(A6,[7]LISTADHERENT!A$5:H$60,3,0)</f>
        <v>BAKOP ACHILLE</v>
      </c>
      <c r="D6" s="7">
        <f t="shared" ref="D6:D37" si="0">IF(G6="ECHEC",0,B$3)</f>
        <v>25000</v>
      </c>
      <c r="E6" s="7">
        <f>D6+VLOOKUP($A6,[6]HISTOFEV24!$A$7:$AU$42,45,0)+F6</f>
        <v>50000</v>
      </c>
      <c r="F6" s="7">
        <f>VLOOKUP($A6,[6]HISTOFEV24!$A$6:$AV$48,7,0)</f>
        <v>0</v>
      </c>
      <c r="G6" s="7" t="str">
        <f>VLOOKUP($A6,[6]HISTOFEV24!$A$6:$AV$49,8,0)</f>
        <v>BANQUE</v>
      </c>
      <c r="H6" s="7">
        <f>VLOOKUP($A6,[6]HISTOFEV24!$A$6:$AV$49,35,0)</f>
        <v>60000</v>
      </c>
      <c r="I6" s="7">
        <f>VLOOKUP($A6,[6]HISTOFEV24!$A$6:$AV$49,38,0)</f>
        <v>1000</v>
      </c>
      <c r="J6" s="7">
        <f>IF(H6=0,0,VLOOKUP($A6,[6]HISTOFEV24!$A$6:$AV$49,42,0))</f>
        <v>0</v>
      </c>
      <c r="K6" s="7">
        <f>VLOOKUP($A6,[6]HISTOFEV24!$A$6:$AV$49,41,0)</f>
        <v>0</v>
      </c>
      <c r="L6" s="7">
        <f>TONTJANV24!H6+TONTJANV24!I6</f>
        <v>0</v>
      </c>
      <c r="M6" s="7">
        <f>VLOOKUP($A6,[6]HISTOFEV24!$A$6:$AV$49,16,0)</f>
        <v>0</v>
      </c>
      <c r="N6" s="7" t="str">
        <f>IF(M6&lt;&gt;0,VLOOKUP($A6,[6]HISTOFEV24!$A$6:$AV$49,8,0),"ECHEC")</f>
        <v>ECHEC</v>
      </c>
      <c r="O6" s="7">
        <f>IF(R6=0,0,VLOOKUP($A6,[6]HISTOFEV24!$A$6:$AV$49,32,0))</f>
        <v>0</v>
      </c>
      <c r="P6" s="7">
        <f>VLOOKUP($A6,[6]HISTOFEV24!$A$6:$AV$49,33,0)</f>
        <v>0</v>
      </c>
      <c r="Q6" s="7">
        <f t="shared" ref="Q6:Q37" si="1">IF(R6=0,0,($C$3-R6))</f>
        <v>0</v>
      </c>
      <c r="R6" s="7">
        <f>VLOOKUP($A6,[6]HISTOFEV24!$A$6:$AV$49,29,0)</f>
        <v>0</v>
      </c>
    </row>
    <row r="7" spans="1:19" x14ac:dyDescent="0.35">
      <c r="A7" s="1" t="s">
        <v>9</v>
      </c>
      <c r="B7" s="7">
        <f>IF(D7=0,0,VLOOKUP($A7,[6]HISTOFEV24!$A$6:$BP$44,10,0))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D7+VLOOKUP($A7,[6]HISTOFEV24!$A$7:$AU$42,45,0)+F7</f>
        <v>50000</v>
      </c>
      <c r="F7" s="7">
        <f>VLOOKUP($A7,[6]HISTOFEV24!$A$6:$AV$48,7,0)</f>
        <v>3000</v>
      </c>
      <c r="G7" s="7" t="str">
        <f>VLOOKUP($A7,[6]HISTOFEV24!$A$6:$AV$49,8,0)</f>
        <v>BANQUE</v>
      </c>
      <c r="H7" s="7">
        <f>VLOOKUP($A7,[6]HISTOFEV24!$A$6:$AV$49,35,0)</f>
        <v>0</v>
      </c>
      <c r="I7" s="7">
        <f>VLOOKUP($A7,[6]HISTOFEV24!$A$6:$AV$49,38,0)</f>
        <v>0</v>
      </c>
      <c r="J7" s="7">
        <f>IF(H7=0,0,VLOOKUP($A7,[6]HISTOFEV24!$A$6:$AV$49,42,0))</f>
        <v>0</v>
      </c>
      <c r="K7" s="7">
        <f>VLOOKUP($A7,[6]HISTOFEV24!$A$6:$AV$49,41,0)</f>
        <v>0</v>
      </c>
      <c r="L7" s="7">
        <f>TONTJANV24!H7+TONTJANV24!I7</f>
        <v>0</v>
      </c>
      <c r="M7" s="7">
        <f>VLOOKUP($A7,[6]HISTOFEV24!$A$6:$AV$49,16,0)</f>
        <v>0</v>
      </c>
      <c r="N7" s="7" t="str">
        <f>IF(M7&lt;&gt;0,VLOOKUP($A7,[6]HISTOFEV24!$A$6:$AV$49,8,0),"ECHEC")</f>
        <v>ECHEC</v>
      </c>
      <c r="O7" s="7">
        <f>IF(R7=0,0,VLOOKUP($A7,[6]HISTOFEV24!$A$6:$AV$49,32,0))</f>
        <v>0</v>
      </c>
      <c r="P7" s="7">
        <f>VLOOKUP($A7,[6]HISTOFEV24!$A$6:$AV$49,33,0)</f>
        <v>0</v>
      </c>
      <c r="Q7" s="7">
        <f t="shared" si="1"/>
        <v>0</v>
      </c>
      <c r="R7" s="7">
        <f>VLOOKUP($A7,[6]HISTOFEV24!$A$6:$AV$49,29,0)</f>
        <v>0</v>
      </c>
    </row>
    <row r="8" spans="1:19" x14ac:dyDescent="0.35">
      <c r="A8" s="1" t="s">
        <v>10</v>
      </c>
      <c r="B8" s="7">
        <f>IF(D8=0,0,VLOOKUP($A8,[6]HISTOFEV24!$A$6:$BP$44,10,0))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D8+VLOOKUP($A8,[6]HISTOFEV24!$A$7:$AU$42,45,0)+F8</f>
        <v>50000</v>
      </c>
      <c r="F8" s="7">
        <f>VLOOKUP($A8,[6]HISTOFEV24!$A$6:$AV$48,7,0)</f>
        <v>0</v>
      </c>
      <c r="G8" s="7" t="str">
        <f>VLOOKUP($A8,[6]HISTOFEV24!$A$6:$AV$49,8,0)</f>
        <v>BANQUE</v>
      </c>
      <c r="H8" s="7">
        <f>VLOOKUP($A8,[6]HISTOFEV24!$A$6:$AV$49,35,0)</f>
        <v>0</v>
      </c>
      <c r="I8" s="7">
        <f>VLOOKUP($A8,[6]HISTOFEV24!$A$6:$AV$49,38,0)</f>
        <v>0</v>
      </c>
      <c r="J8" s="7">
        <f>IF(H8=0,0,VLOOKUP($A8,[6]HISTOFEV24!$A$6:$AV$49,42,0))</f>
        <v>0</v>
      </c>
      <c r="K8" s="7">
        <f>VLOOKUP($A8,[6]HISTOFEV24!$A$6:$AV$49,41,0)</f>
        <v>0</v>
      </c>
      <c r="L8" s="7">
        <f>TONTJANV24!H8+TONTJANV24!I8</f>
        <v>0</v>
      </c>
      <c r="M8" s="7">
        <f>VLOOKUP($A8,[6]HISTOFEV24!$A$6:$AV$49,16,0)</f>
        <v>0</v>
      </c>
      <c r="N8" s="7" t="str">
        <f>IF(M8&lt;&gt;0,VLOOKUP($A8,[6]HISTOFEV24!$A$6:$AV$49,8,0),"ECHEC")</f>
        <v>ECHEC</v>
      </c>
      <c r="O8" s="7">
        <f>IF(R8=0,0,VLOOKUP($A8,[6]HISTOFEV24!$A$6:$AV$49,32,0))</f>
        <v>0</v>
      </c>
      <c r="P8" s="7">
        <f>VLOOKUP($A8,[6]HISTOFEV24!$A$6:$AV$49,33,0)</f>
        <v>0</v>
      </c>
      <c r="Q8" s="7">
        <f t="shared" si="1"/>
        <v>0</v>
      </c>
      <c r="R8" s="7">
        <f>VLOOKUP($A8,[6]HISTOFEV24!$A$6:$AV$49,29,0)</f>
        <v>0</v>
      </c>
    </row>
    <row r="9" spans="1:19" x14ac:dyDescent="0.35">
      <c r="A9" s="1" t="s">
        <v>52</v>
      </c>
      <c r="B9" s="7">
        <f>IF(D9=0,0,VLOOKUP($A9,[6]HISTOFEV24!$A$6:$BP$44,10,0))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D9+VLOOKUP($A9,[6]HISTOFEV24!$A$7:$AU$42,45,0)+F9</f>
        <v>53000</v>
      </c>
      <c r="F9" s="7">
        <f>VLOOKUP($A9,[6]HISTOFEV24!$A$6:$AV$48,7,0)</f>
        <v>3000</v>
      </c>
      <c r="G9" s="7" t="str">
        <f>VLOOKUP($A9,[6]HISTOFEV24!$A$6:$AV$49,8,0)</f>
        <v>BANQUE</v>
      </c>
      <c r="H9" s="7">
        <f>VLOOKUP($A9,[6]HISTOFEV24!$A$6:$AV$49,35,0)</f>
        <v>60000</v>
      </c>
      <c r="I9" s="7">
        <f>VLOOKUP($A9,[6]HISTOFEV24!$A$6:$AV$49,38,0)</f>
        <v>1000</v>
      </c>
      <c r="J9" s="7" t="str">
        <f>IF(H9=0,0,VLOOKUP($A9,[6]HISTOFEV24!$A$6:$AV$49,42,0))</f>
        <v>BANQUE</v>
      </c>
      <c r="K9" s="7">
        <f>VLOOKUP($A9,[6]HISTOFEV24!$A$6:$AV$49,41,0)</f>
        <v>0</v>
      </c>
      <c r="L9" s="7">
        <f>TONTJANV24!H9+TONTJANV24!I9</f>
        <v>0</v>
      </c>
      <c r="M9" s="7">
        <f>VLOOKUP($A9,[6]HISTOFEV24!$A$6:$AV$49,16,0)</f>
        <v>0</v>
      </c>
      <c r="N9" s="7" t="str">
        <f>IF(M9&lt;&gt;0,VLOOKUP($A9,[6]HISTOFEV24!$A$6:$AV$49,8,0),"ECHEC")</f>
        <v>ECHEC</v>
      </c>
      <c r="O9" s="7">
        <f>IF(R9=0,0,VLOOKUP($A9,[6]HISTOFEV24!$A$6:$AV$49,32,0))</f>
        <v>0</v>
      </c>
      <c r="P9" s="7">
        <f>VLOOKUP($A9,[6]HISTOFEV24!$A$6:$AV$49,33,0)</f>
        <v>0</v>
      </c>
      <c r="Q9" s="7">
        <f t="shared" si="1"/>
        <v>0</v>
      </c>
      <c r="R9" s="7">
        <f>VLOOKUP($A9,[6]HISTOFEV24!$A$6:$AV$49,29,0)</f>
        <v>0</v>
      </c>
    </row>
    <row r="10" spans="1:19" x14ac:dyDescent="0.35">
      <c r="A10" s="1" t="s">
        <v>11</v>
      </c>
      <c r="B10" s="7">
        <f>IF(D10=0,0,VLOOKUP($A10,[6]HISTOFEV24!$A$6:$BP$44,10,0))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D10+VLOOKUP($A10,[6]HISTOFEV24!$A$7:$AU$42,45,0)+F10</f>
        <v>50000</v>
      </c>
      <c r="F10" s="7">
        <f>VLOOKUP($A10,[6]HISTOFEV24!$A$6:$AV$48,7,0)</f>
        <v>0</v>
      </c>
      <c r="G10" s="7" t="str">
        <f>VLOOKUP($A10,[6]HISTOFEV24!$A$6:$AV$49,8,0)</f>
        <v>BANQUE</v>
      </c>
      <c r="H10" s="7">
        <f>VLOOKUP($A10,[6]HISTOFEV24!$A$6:$AV$49,35,0)</f>
        <v>0</v>
      </c>
      <c r="I10" s="7">
        <f>VLOOKUP($A10,[6]HISTOFEV24!$A$6:$AV$49,38,0)</f>
        <v>0</v>
      </c>
      <c r="J10" s="7">
        <f>IF(H10=0,0,VLOOKUP($A10,[6]HISTOFEV24!$A$6:$AV$49,42,0))</f>
        <v>0</v>
      </c>
      <c r="K10" s="7">
        <f>VLOOKUP($A10,[6]HISTOFEV24!$A$6:$AV$49,41,0)</f>
        <v>0</v>
      </c>
      <c r="L10" s="7">
        <f>TONTJANV24!H10+TONTJANV24!I10</f>
        <v>0</v>
      </c>
      <c r="M10" s="7">
        <f>VLOOKUP($A10,[6]HISTOFEV24!$A$6:$AV$49,16,0)</f>
        <v>0</v>
      </c>
      <c r="N10" s="7" t="str">
        <f>IF(M10&lt;&gt;0,VLOOKUP($A10,[6]HISTOFEV24!$A$6:$AV$49,8,0),"ECHEC")</f>
        <v>ECHEC</v>
      </c>
      <c r="O10" s="7" t="str">
        <f>IF(R10=0,0,VLOOKUP($A10,[6]HISTOFEV24!$A$6:$AV$49,32,0))</f>
        <v>BANQUE</v>
      </c>
      <c r="P10" s="7">
        <f>VLOOKUP($A10,[6]HISTOFEV24!$A$6:$AV$49,33,0)</f>
        <v>0</v>
      </c>
      <c r="Q10" s="7">
        <f t="shared" si="1"/>
        <v>284000</v>
      </c>
      <c r="R10" s="7">
        <f>VLOOKUP($A10,[6]HISTOFEV24!$A$6:$AV$49,29,0)</f>
        <v>16000</v>
      </c>
    </row>
    <row r="11" spans="1:19" x14ac:dyDescent="0.35">
      <c r="A11" s="1" t="s">
        <v>12</v>
      </c>
      <c r="B11" s="7">
        <f>IF(D11=0,0,VLOOKUP($A11,[6]HISTOFEV24!$A$6:$BP$44,10,0))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D11+VLOOKUP($A11,[6]HISTOFEV24!$A$7:$AU$42,45,0)+F11</f>
        <v>55000</v>
      </c>
      <c r="F11" s="7">
        <f>VLOOKUP($A11,[6]HISTOFEV24!$A$6:$AV$48,7,0)</f>
        <v>0</v>
      </c>
      <c r="G11" s="7" t="str">
        <f>VLOOKUP($A11,[6]HISTOFEV24!$A$6:$AV$49,8,0)</f>
        <v>BANQUE</v>
      </c>
      <c r="H11" s="7">
        <f>VLOOKUP($A11,[6]HISTOFEV24!$A$6:$AV$49,35,0)</f>
        <v>0</v>
      </c>
      <c r="I11" s="7">
        <f>VLOOKUP($A11,[6]HISTOFEV24!$A$6:$AV$49,38,0)</f>
        <v>0</v>
      </c>
      <c r="J11" s="7">
        <f>IF(H11=0,0,VLOOKUP($A11,[6]HISTOFEV24!$A$6:$AV$49,42,0))</f>
        <v>0</v>
      </c>
      <c r="K11" s="7">
        <f>VLOOKUP($A11,[6]HISTOFEV24!$A$6:$AV$49,41,0)</f>
        <v>0</v>
      </c>
      <c r="L11" s="7">
        <f>TONTJANV24!H11+TONTJANV24!I11</f>
        <v>0</v>
      </c>
      <c r="M11" s="7">
        <f>VLOOKUP($A11,[6]HISTOFEV24!$A$6:$AV$49,16,0)</f>
        <v>0</v>
      </c>
      <c r="N11" s="7" t="str">
        <f>IF(M11&lt;&gt;0,VLOOKUP($A11,[6]HISTOFEV24!$A$6:$AV$49,8,0),"ECHEC")</f>
        <v>ECHEC</v>
      </c>
      <c r="O11" s="7">
        <f>IF(R11=0,0,VLOOKUP($A11,[6]HISTOFEV24!$A$6:$AV$49,32,0))</f>
        <v>0</v>
      </c>
      <c r="P11" s="7">
        <f>VLOOKUP($A11,[6]HISTOFEV24!$A$6:$AV$49,33,0)</f>
        <v>0</v>
      </c>
      <c r="Q11" s="7">
        <f t="shared" si="1"/>
        <v>0</v>
      </c>
      <c r="R11" s="7">
        <f>VLOOKUP($A11,[6]HISTOFEV24!$A$6:$AV$49,29,0)</f>
        <v>0</v>
      </c>
    </row>
    <row r="12" spans="1:19" x14ac:dyDescent="0.35">
      <c r="A12" s="1" t="s">
        <v>45</v>
      </c>
      <c r="B12" s="7">
        <f>IF(D12=0,0,VLOOKUP($A12,[6]HISTOFEV24!$A$6:$BP$44,10,0))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D12+VLOOKUP($A12,[6]HISTOFEV24!$A$7:$AU$42,45,0)+F12</f>
        <v>50000</v>
      </c>
      <c r="F12" s="7">
        <f>VLOOKUP($A12,[6]HISTOFEV24!$A$6:$AV$48,7,0)</f>
        <v>0</v>
      </c>
      <c r="G12" s="7" t="str">
        <f>VLOOKUP($A12,[6]HISTOFEV24!$A$6:$AV$49,8,0)</f>
        <v>BANQUE</v>
      </c>
      <c r="H12" s="7">
        <f>VLOOKUP($A12,[6]HISTOFEV24!$A$6:$AV$49,35,0)</f>
        <v>0</v>
      </c>
      <c r="I12" s="7">
        <f>VLOOKUP($A12,[6]HISTOFEV24!$A$6:$AV$49,38,0)</f>
        <v>0</v>
      </c>
      <c r="J12" s="7">
        <f>IF(H12=0,0,VLOOKUP($A12,[6]HISTOFEV24!$A$6:$AV$49,42,0))</f>
        <v>0</v>
      </c>
      <c r="K12" s="7">
        <f>VLOOKUP($A12,[6]HISTOFEV24!$A$6:$AV$49,41,0)</f>
        <v>0</v>
      </c>
      <c r="L12" s="7">
        <f>TONTJANV24!H12+TONTJANV24!I12</f>
        <v>0</v>
      </c>
      <c r="M12" s="7">
        <f>VLOOKUP($A12,[6]HISTOFEV24!$A$6:$AV$49,16,0)</f>
        <v>0</v>
      </c>
      <c r="N12" s="7" t="str">
        <f>IF(M12&lt;&gt;0,VLOOKUP($A12,[6]HISTOFEV24!$A$6:$AV$49,8,0),"ECHEC")</f>
        <v>ECHEC</v>
      </c>
      <c r="O12" s="7">
        <f>IF(R12=0,0,VLOOKUP($A12,[6]HISTOFEV24!$A$6:$AV$49,32,0))</f>
        <v>0</v>
      </c>
      <c r="P12" s="7">
        <f>VLOOKUP($A12,[6]HISTOFEV24!$A$6:$AV$49,33,0)</f>
        <v>0</v>
      </c>
      <c r="Q12" s="7">
        <f t="shared" si="1"/>
        <v>0</v>
      </c>
      <c r="R12" s="7">
        <f>VLOOKUP($A12,[6]HISTOFEV24!$A$6:$AV$49,29,0)</f>
        <v>0</v>
      </c>
    </row>
    <row r="13" spans="1:19" x14ac:dyDescent="0.35">
      <c r="A13" s="1" t="s">
        <v>13</v>
      </c>
      <c r="B13" s="7">
        <f>IF(D13=0,0,VLOOKUP($A13,[6]HISTOFEV24!$A$6:$BP$44,10,0))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D13+VLOOKUP($A13,[6]HISTOFEV24!$A$7:$AU$42,45,0)+F13</f>
        <v>50000</v>
      </c>
      <c r="F13" s="7">
        <f>VLOOKUP($A13,[6]HISTOFEV24!$A$6:$AV$48,7,0)</f>
        <v>0</v>
      </c>
      <c r="G13" s="7" t="str">
        <f>VLOOKUP($A13,[6]HISTOFEV24!$A$6:$AV$49,8,0)</f>
        <v>BANQUE</v>
      </c>
      <c r="H13" s="7">
        <f>VLOOKUP($A13,[6]HISTOFEV24!$A$6:$AV$49,35,0)</f>
        <v>0</v>
      </c>
      <c r="I13" s="7">
        <f>VLOOKUP($A13,[6]HISTOFEV24!$A$6:$AV$49,38,0)</f>
        <v>0</v>
      </c>
      <c r="J13" s="7">
        <f>IF(H13=0,0,VLOOKUP($A13,[6]HISTOFEV24!$A$6:$AV$49,42,0))</f>
        <v>0</v>
      </c>
      <c r="K13" s="7">
        <f>VLOOKUP($A13,[6]HISTOFEV24!$A$6:$AV$49,41,0)</f>
        <v>0</v>
      </c>
      <c r="L13" s="7">
        <f>TONTJANV24!H13+TONTJANV24!I13</f>
        <v>0</v>
      </c>
      <c r="M13" s="7">
        <f>VLOOKUP($A13,[6]HISTOFEV24!$A$6:$AV$49,16,0)</f>
        <v>0</v>
      </c>
      <c r="N13" s="7" t="str">
        <f>IF(M13&lt;&gt;0,VLOOKUP($A13,[6]HISTOFEV24!$A$6:$AV$49,8,0),"ECHEC")</f>
        <v>ECHEC</v>
      </c>
      <c r="O13" s="7">
        <f>IF(R13=0,0,VLOOKUP($A13,[6]HISTOFEV24!$A$6:$AV$49,32,0))</f>
        <v>0</v>
      </c>
      <c r="P13" s="7">
        <f>VLOOKUP($A13,[6]HISTOFEV24!$A$6:$AV$49,33,0)</f>
        <v>0</v>
      </c>
      <c r="Q13" s="7">
        <f t="shared" si="1"/>
        <v>0</v>
      </c>
      <c r="R13" s="7">
        <f>VLOOKUP($A13,[6]HISTOFEV24!$A$6:$AV$49,29,0)</f>
        <v>0</v>
      </c>
    </row>
    <row r="14" spans="1:19" x14ac:dyDescent="0.35">
      <c r="A14" s="1" t="s">
        <v>14</v>
      </c>
      <c r="B14" s="7">
        <f>IF(D14=0,0,VLOOKUP($A14,[6]HISTOFEV24!$A$6:$BP$44,10,0))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D14+VLOOKUP($A14,[6]HISTOFEV24!$A$7:$AU$42,45,0)+F14</f>
        <v>50000</v>
      </c>
      <c r="F14" s="7">
        <f>VLOOKUP($A14,[6]HISTOFEV24!$A$6:$AV$48,7,0)</f>
        <v>0</v>
      </c>
      <c r="G14" s="7" t="str">
        <f>VLOOKUP($A14,[6]HISTOFEV24!$A$6:$AV$49,8,0)</f>
        <v>BANQUE</v>
      </c>
      <c r="H14" s="7">
        <f>VLOOKUP($A14,[6]HISTOFEV24!$A$6:$AV$49,35,0)</f>
        <v>0</v>
      </c>
      <c r="I14" s="7">
        <f>VLOOKUP($A14,[6]HISTOFEV24!$A$6:$AV$49,38,0)</f>
        <v>0</v>
      </c>
      <c r="J14" s="7">
        <f>IF(H14=0,0,VLOOKUP($A14,[6]HISTOFEV24!$A$6:$AV$49,42,0))</f>
        <v>0</v>
      </c>
      <c r="K14" s="7">
        <f>VLOOKUP($A14,[6]HISTOFEV24!$A$6:$AV$49,41,0)</f>
        <v>0</v>
      </c>
      <c r="L14" s="7">
        <f>TONTJANV24!H14+TONTJANV24!I14</f>
        <v>0</v>
      </c>
      <c r="M14" s="7">
        <f>VLOOKUP($A14,[6]HISTOFEV24!$A$6:$AV$49,16,0)</f>
        <v>0</v>
      </c>
      <c r="N14" s="7" t="str">
        <f>IF(M14&lt;&gt;0,VLOOKUP($A14,[6]HISTOFEV24!$A$6:$AV$49,8,0),"ECHEC")</f>
        <v>ECHEC</v>
      </c>
      <c r="O14" s="7">
        <f>IF(R14=0,0,VLOOKUP($A14,[6]HISTOFEV24!$A$6:$AV$49,32,0))</f>
        <v>0</v>
      </c>
      <c r="P14" s="7">
        <f>VLOOKUP($A14,[6]HISTOFEV24!$A$6:$AV$49,33,0)</f>
        <v>0</v>
      </c>
      <c r="Q14" s="7">
        <f t="shared" si="1"/>
        <v>0</v>
      </c>
      <c r="R14" s="7">
        <f>VLOOKUP($A14,[6]HISTOFEV24!$A$6:$AV$49,29,0)</f>
        <v>0</v>
      </c>
      <c r="S14" s="1"/>
    </row>
    <row r="15" spans="1:19" x14ac:dyDescent="0.35">
      <c r="A15" s="1" t="s">
        <v>15</v>
      </c>
      <c r="B15" s="7">
        <f>IF(D15=0,0,VLOOKUP($A15,[6]HISTOFEV24!$A$6:$BP$44,10,0))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D15+VLOOKUP($A15,[6]HISTOFEV24!$A$7:$AU$42,45,0)+F15</f>
        <v>85000</v>
      </c>
      <c r="F15" s="7">
        <f>VLOOKUP($A15,[6]HISTOFEV24!$A$6:$AV$48,7,0)</f>
        <v>0</v>
      </c>
      <c r="G15" s="7" t="str">
        <f>VLOOKUP($A15,[6]HISTOFEV24!$A$6:$AV$49,8,0)</f>
        <v>BANQUE</v>
      </c>
      <c r="H15" s="7">
        <f>VLOOKUP($A15,[6]HISTOFEV24!$A$6:$AV$49,35,0)</f>
        <v>0</v>
      </c>
      <c r="I15" s="7">
        <f>VLOOKUP($A15,[6]HISTOFEV24!$A$6:$AV$49,38,0)</f>
        <v>0</v>
      </c>
      <c r="J15" s="7">
        <f>IF(H15=0,0,VLOOKUP($A15,[6]HISTOFEV24!$A$6:$AV$49,42,0))</f>
        <v>0</v>
      </c>
      <c r="K15" s="7">
        <f>VLOOKUP($A15,[6]HISTOFEV24!$A$6:$AV$49,41,0)</f>
        <v>0</v>
      </c>
      <c r="L15" s="7">
        <f>TONTJANV24!H15+TONTJANV24!I15</f>
        <v>0</v>
      </c>
      <c r="M15" s="7">
        <f>VLOOKUP($A15,[6]HISTOFEV24!$A$6:$AV$49,16,0)</f>
        <v>0</v>
      </c>
      <c r="N15" s="7" t="str">
        <f>IF(M15&lt;&gt;0,VLOOKUP($A15,[6]HISTOFEV24!$A$6:$AV$49,8,0),"ECHEC")</f>
        <v>ECHEC</v>
      </c>
      <c r="O15" s="7">
        <f>IF(R15=0,0,VLOOKUP($A15,[6]HISTOFEV24!$A$6:$AV$49,32,0))</f>
        <v>0</v>
      </c>
      <c r="P15" s="7">
        <f>VLOOKUP($A15,[6]HISTOFEV24!$A$6:$AV$49,33,0)</f>
        <v>0</v>
      </c>
      <c r="Q15" s="7">
        <f t="shared" si="1"/>
        <v>0</v>
      </c>
      <c r="R15" s="7">
        <f>VLOOKUP($A15,[6]HISTOFEV24!$A$6:$AV$49,29,0)</f>
        <v>0</v>
      </c>
      <c r="S15" s="1"/>
    </row>
    <row r="16" spans="1:19" x14ac:dyDescent="0.35">
      <c r="A16" s="1" t="s">
        <v>16</v>
      </c>
      <c r="B16" s="7">
        <f>IF(D16=0,0,VLOOKUP($A16,[6]HISTOFEV24!$A$6:$BP$44,10,0))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D16+VLOOKUP($A16,[6]HISTOFEV24!$A$7:$AU$42,45,0)+F16</f>
        <v>50000</v>
      </c>
      <c r="F16" s="7">
        <f>VLOOKUP($A16,[6]HISTOFEV24!$A$6:$AV$48,7,0)</f>
        <v>0</v>
      </c>
      <c r="G16" s="7" t="str">
        <f>VLOOKUP($A16,[6]HISTOFEV24!$A$6:$AV$49,8,0)</f>
        <v>BANQUE</v>
      </c>
      <c r="H16" s="7">
        <f>VLOOKUP($A16,[6]HISTOFEV24!$A$6:$AV$49,35,0)</f>
        <v>0</v>
      </c>
      <c r="I16" s="7">
        <f>VLOOKUP($A16,[6]HISTOFEV24!$A$6:$AV$49,38,0)</f>
        <v>0</v>
      </c>
      <c r="J16" s="7">
        <f>IF(H16=0,0,VLOOKUP($A16,[6]HISTOFEV24!$A$6:$AV$49,42,0))</f>
        <v>0</v>
      </c>
      <c r="K16" s="7">
        <f>VLOOKUP($A16,[6]HISTOFEV24!$A$6:$AV$49,41,0)</f>
        <v>0</v>
      </c>
      <c r="L16" s="7">
        <f>TONTJANV24!H16+TONTJANV24!I16</f>
        <v>0</v>
      </c>
      <c r="M16" s="7">
        <f>VLOOKUP($A16,[6]HISTOFEV24!$A$6:$AV$49,16,0)</f>
        <v>0</v>
      </c>
      <c r="N16" s="7" t="str">
        <f>IF(M16&lt;&gt;0,VLOOKUP($A16,[6]HISTOFEV24!$A$6:$AV$49,8,0),"ECHEC")</f>
        <v>ECHEC</v>
      </c>
      <c r="O16" s="7" t="str">
        <f>IF(R16=0,0,VLOOKUP($A16,[6]HISTOFEV24!$A$6:$AV$49,32,0))</f>
        <v>BANQUE</v>
      </c>
      <c r="P16" s="7">
        <f>VLOOKUP($A16,[6]HISTOFEV24!$A$6:$AV$49,33,0)</f>
        <v>0</v>
      </c>
      <c r="Q16" s="7">
        <f t="shared" si="1"/>
        <v>283000</v>
      </c>
      <c r="R16" s="7">
        <f>VLOOKUP($A16,[6]HISTOFEV24!$A$6:$AV$49,29,0)</f>
        <v>17000</v>
      </c>
      <c r="S16" s="1"/>
    </row>
    <row r="17" spans="1:19" x14ac:dyDescent="0.35">
      <c r="A17" s="1" t="s">
        <v>17</v>
      </c>
      <c r="B17" s="7">
        <f>IF(D17=0,0,VLOOKUP($A17,[6]HISTOFEV24!$A$6:$BP$44,10,0))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D17+VLOOKUP($A17,[6]HISTOFEV24!$A$7:$AU$42,45,0)+F17</f>
        <v>60000</v>
      </c>
      <c r="F17" s="7">
        <f>VLOOKUP($A17,[6]HISTOFEV24!$A$6:$AV$48,7,0)</f>
        <v>0</v>
      </c>
      <c r="G17" s="7" t="str">
        <f>VLOOKUP($A17,[6]HISTOFEV24!$A$6:$AV$49,8,0)</f>
        <v>BANQUE</v>
      </c>
      <c r="H17" s="7">
        <f>VLOOKUP($A17,[6]HISTOFEV24!$A$6:$AV$49,35,0)</f>
        <v>0</v>
      </c>
      <c r="I17" s="7">
        <f>VLOOKUP($A17,[6]HISTOFEV24!$A$6:$AV$49,38,0)</f>
        <v>0</v>
      </c>
      <c r="J17" s="7">
        <f>IF(H17=0,0,VLOOKUP($A17,[6]HISTOFEV24!$A$6:$AV$49,42,0))</f>
        <v>0</v>
      </c>
      <c r="K17" s="7">
        <f>VLOOKUP($A17,[6]HISTOFEV24!$A$6:$AV$49,41,0)</f>
        <v>0</v>
      </c>
      <c r="L17" s="7">
        <f>TONTJANV24!H17+TONTJANV24!I17</f>
        <v>0</v>
      </c>
      <c r="M17" s="7">
        <f>VLOOKUP($A17,[6]HISTOFEV24!$A$6:$AV$49,16,0)</f>
        <v>0</v>
      </c>
      <c r="N17" s="7" t="str">
        <f>IF(M17&lt;&gt;0,VLOOKUP($A17,[6]HISTOFEV24!$A$6:$AV$49,8,0),"ECHEC")</f>
        <v>ECHEC</v>
      </c>
      <c r="O17" s="7">
        <f>IF(R17=0,0,VLOOKUP($A17,[6]HISTOFEV24!$A$6:$AV$49,32,0))</f>
        <v>0</v>
      </c>
      <c r="P17" s="7">
        <f>VLOOKUP($A17,[6]HISTOFEV24!$A$6:$AV$49,33,0)</f>
        <v>0</v>
      </c>
      <c r="Q17" s="7">
        <f t="shared" si="1"/>
        <v>0</v>
      </c>
      <c r="R17" s="7">
        <f>VLOOKUP($A17,[6]HISTOFEV24!$A$6:$AV$49,29,0)</f>
        <v>0</v>
      </c>
      <c r="S17" s="1"/>
    </row>
    <row r="18" spans="1:19" x14ac:dyDescent="0.35">
      <c r="A18" s="1" t="s">
        <v>96</v>
      </c>
      <c r="B18" s="7">
        <f>IF(D18=0,0,VLOOKUP($A18,[6]HISTOFEV24!$A$6:$BP$44,10,0))</f>
        <v>1</v>
      </c>
      <c r="C18" s="1" t="str">
        <f>VLOOKUP(A18,[7]LISTADHERENT!A$5:H$60,3,0)</f>
        <v>MASSEUNGOUE DAGOBERT</v>
      </c>
      <c r="D18" s="7">
        <f t="shared" si="0"/>
        <v>25000</v>
      </c>
      <c r="E18" s="7">
        <f>D18+VLOOKUP($A18,[6]HISTOFEV24!$A$7:$AU$42,45,0)+F18</f>
        <v>50000</v>
      </c>
      <c r="F18" s="7">
        <f>VLOOKUP($A18,[6]HISTOFEV24!$A$6:$AV$48,7,0)</f>
        <v>0</v>
      </c>
      <c r="G18" s="7" t="str">
        <f>VLOOKUP($A18,[6]HISTOFEV24!$A$6:$AV$49,8,0)</f>
        <v>BANQUE</v>
      </c>
      <c r="H18" s="7">
        <f>VLOOKUP($A18,[6]HISTOFEV24!$A$6:$AV$49,35,0)</f>
        <v>0</v>
      </c>
      <c r="I18" s="7">
        <f>VLOOKUP($A18,[6]HISTOFEV24!$A$6:$AV$49,38,0)</f>
        <v>0</v>
      </c>
      <c r="J18" s="7">
        <f>IF(H18=0,0,VLOOKUP($A18,[6]HISTOFEV24!$A$6:$AV$49,42,0))</f>
        <v>0</v>
      </c>
      <c r="K18" s="7">
        <f>VLOOKUP($A18,[6]HISTOFEV24!$A$6:$AV$49,41,0)</f>
        <v>0</v>
      </c>
      <c r="L18" s="7">
        <f>TONTJANV24!H18+TONTJANV24!I18</f>
        <v>0</v>
      </c>
      <c r="M18" s="7">
        <f>VLOOKUP($A18,[6]HISTOFEV24!$A$6:$AV$49,16,0)</f>
        <v>0</v>
      </c>
      <c r="N18" s="7" t="str">
        <f>IF(M18&lt;&gt;0,VLOOKUP($A18,[6]HISTOFEV24!$A$6:$AV$49,8,0),"ECHEC")</f>
        <v>ECHEC</v>
      </c>
      <c r="O18" s="7">
        <f>IF(R18=0,0,VLOOKUP($A18,[6]HISTOFEV24!$A$6:$AV$49,32,0))</f>
        <v>0</v>
      </c>
      <c r="P18" s="7">
        <f>VLOOKUP($A18,[6]HISTOFEV24!$A$6:$AV$49,33,0)</f>
        <v>0</v>
      </c>
      <c r="Q18" s="7">
        <f t="shared" si="1"/>
        <v>0</v>
      </c>
      <c r="R18" s="7">
        <f>VLOOKUP($A18,[6]HISTOFEV24!$A$6:$AV$49,29,0)</f>
        <v>0</v>
      </c>
      <c r="S18" s="1"/>
    </row>
    <row r="19" spans="1:19" x14ac:dyDescent="0.35">
      <c r="A19" s="1" t="s">
        <v>44</v>
      </c>
      <c r="B19" s="7">
        <f>IF(D19=0,0,VLOOKUP($A19,[6]HISTOFEV24!$A$6:$BP$44,10,0))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D19+VLOOKUP($A19,[6]HISTOFEV24!$A$7:$AU$42,45,0)+F19</f>
        <v>50000</v>
      </c>
      <c r="F19" s="7">
        <f>VLOOKUP($A19,[6]HISTOFEV24!$A$6:$AV$48,7,0)</f>
        <v>0</v>
      </c>
      <c r="G19" s="7" t="str">
        <f>VLOOKUP($A19,[6]HISTOFEV24!$A$6:$AV$49,8,0)</f>
        <v>BANQUE</v>
      </c>
      <c r="H19" s="7">
        <f>VLOOKUP($A19,[6]HISTOFEV24!$A$6:$AV$49,35,0)</f>
        <v>0</v>
      </c>
      <c r="I19" s="7">
        <f>VLOOKUP($A19,[6]HISTOFEV24!$A$6:$AV$49,38,0)</f>
        <v>0</v>
      </c>
      <c r="J19" s="7">
        <f>IF(H19=0,0,VLOOKUP($A19,[6]HISTOFEV24!$A$6:$AV$49,42,0))</f>
        <v>0</v>
      </c>
      <c r="K19" s="7">
        <f>VLOOKUP($A19,[6]HISTOFEV24!$A$6:$AV$49,41,0)</f>
        <v>0</v>
      </c>
      <c r="L19" s="7">
        <f>TONTJANV24!H19+TONTJANV24!I19</f>
        <v>0</v>
      </c>
      <c r="M19" s="7">
        <f>VLOOKUP($A19,[6]HISTOFEV24!$A$6:$AV$49,16,0)</f>
        <v>0</v>
      </c>
      <c r="N19" s="7" t="str">
        <f>IF(M19&lt;&gt;0,VLOOKUP($A19,[6]HISTOFEV24!$A$6:$AV$49,8,0),"ECHEC")</f>
        <v>ECHEC</v>
      </c>
      <c r="O19" s="7">
        <f>IF(R19=0,0,VLOOKUP($A19,[6]HISTOFEV24!$A$6:$AV$49,32,0))</f>
        <v>0</v>
      </c>
      <c r="P19" s="7">
        <f>VLOOKUP($A19,[6]HISTOFEV24!$A$6:$AV$49,33,0)</f>
        <v>0</v>
      </c>
      <c r="Q19" s="7">
        <f t="shared" si="1"/>
        <v>0</v>
      </c>
      <c r="R19" s="7">
        <f>VLOOKUP($A19,[6]HISTOFEV24!$A$6:$AV$49,29,0)</f>
        <v>0</v>
      </c>
      <c r="S19" s="1"/>
    </row>
    <row r="20" spans="1:19" x14ac:dyDescent="0.35">
      <c r="A20" s="1" t="s">
        <v>25</v>
      </c>
      <c r="B20" s="7">
        <f>IF(D20=0,0,VLOOKUP($A20,[6]HISTOFEV24!$A$6:$BP$44,10,0))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D20+VLOOKUP($A20,[6]HISTOFEV24!$A$7:$AU$42,45,0)+F20</f>
        <v>50000</v>
      </c>
      <c r="F20" s="7">
        <f>VLOOKUP($A20,[6]HISTOFEV24!$A$6:$AV$48,7,0)</f>
        <v>0</v>
      </c>
      <c r="G20" s="7" t="str">
        <f>VLOOKUP($A20,[6]HISTOFEV24!$A$6:$AV$49,8,0)</f>
        <v>BANQUE</v>
      </c>
      <c r="H20" s="7">
        <f>VLOOKUP($A20,[6]HISTOFEV24!$A$6:$AV$49,35,0)</f>
        <v>0</v>
      </c>
      <c r="I20" s="7">
        <f>VLOOKUP($A20,[6]HISTOFEV24!$A$6:$AV$49,38,0)</f>
        <v>0</v>
      </c>
      <c r="J20" s="7">
        <f>IF(H20=0,0,VLOOKUP($A20,[6]HISTOFEV24!$A$6:$AV$49,42,0))</f>
        <v>0</v>
      </c>
      <c r="K20" s="7">
        <f>VLOOKUP($A20,[6]HISTOFEV24!$A$6:$AV$49,41,0)</f>
        <v>0</v>
      </c>
      <c r="L20" s="7">
        <f>TONTJANV24!H20+TONTJANV24!I20</f>
        <v>0</v>
      </c>
      <c r="M20" s="7">
        <f>VLOOKUP($A20,[6]HISTOFEV24!$A$6:$AV$49,16,0)</f>
        <v>0</v>
      </c>
      <c r="N20" s="7" t="str">
        <f>IF(M20&lt;&gt;0,VLOOKUP($A20,[6]HISTOFEV24!$A$6:$AV$49,8,0),"ECHEC")</f>
        <v>ECHEC</v>
      </c>
      <c r="O20" s="7">
        <f>IF(R20=0,0,VLOOKUP($A20,[6]HISTOFEV24!$A$6:$AV$49,32,0))</f>
        <v>0</v>
      </c>
      <c r="P20" s="7">
        <f>VLOOKUP($A20,[6]HISTOFEV24!$A$6:$AV$49,33,0)</f>
        <v>0</v>
      </c>
      <c r="Q20" s="7">
        <f t="shared" si="1"/>
        <v>0</v>
      </c>
      <c r="R20" s="7">
        <f>VLOOKUP($A20,[6]HISTOFEV24!$A$6:$AV$49,29,0)</f>
        <v>0</v>
      </c>
      <c r="S20" s="1"/>
    </row>
    <row r="21" spans="1:19" x14ac:dyDescent="0.35">
      <c r="A21" s="1" t="s">
        <v>18</v>
      </c>
      <c r="B21" s="7">
        <f>IF(D21=0,0,VLOOKUP($A21,[6]HISTOFEV24!$A$6:$BP$44,10,0))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D21+VLOOKUP($A21,[6]HISTOFEV24!$A$7:$AU$42,45,0)+F21</f>
        <v>50000</v>
      </c>
      <c r="F21" s="7">
        <f>VLOOKUP($A21,[6]HISTOFEV24!$A$6:$AV$48,7,0)</f>
        <v>0</v>
      </c>
      <c r="G21" s="7" t="str">
        <f>VLOOKUP($A21,[6]HISTOFEV24!$A$6:$AV$49,8,0)</f>
        <v>BANQUE</v>
      </c>
      <c r="H21" s="7">
        <f>VLOOKUP($A21,[6]HISTOFEV24!$A$6:$AV$49,35,0)</f>
        <v>0</v>
      </c>
      <c r="I21" s="7">
        <f>VLOOKUP($A21,[6]HISTOFEV24!$A$6:$AV$49,38,0)</f>
        <v>0</v>
      </c>
      <c r="J21" s="7">
        <f>IF(H21=0,0,VLOOKUP($A21,[6]HISTOFEV24!$A$6:$AV$49,42,0))</f>
        <v>0</v>
      </c>
      <c r="K21" s="7">
        <f>VLOOKUP($A21,[6]HISTOFEV24!$A$6:$AV$49,41,0)</f>
        <v>0</v>
      </c>
      <c r="L21" s="7">
        <f>TONTJANV24!H21+TONTJANV24!I21</f>
        <v>0</v>
      </c>
      <c r="M21" s="7">
        <f>VLOOKUP($A21,[6]HISTOFEV24!$A$6:$AV$49,16,0)</f>
        <v>0</v>
      </c>
      <c r="N21" s="7" t="str">
        <f>IF(M21&lt;&gt;0,VLOOKUP($A21,[6]HISTOFEV24!$A$6:$AV$49,8,0),"ECHEC")</f>
        <v>ECHEC</v>
      </c>
      <c r="O21" s="7">
        <f>IF(R21=0,0,VLOOKUP($A21,[6]HISTOFEV24!$A$6:$AV$49,32,0))</f>
        <v>0</v>
      </c>
      <c r="P21" s="7">
        <f>VLOOKUP($A21,[6]HISTOFEV24!$A$6:$AV$49,33,0)</f>
        <v>0</v>
      </c>
      <c r="Q21" s="7">
        <f t="shared" si="1"/>
        <v>0</v>
      </c>
      <c r="R21" s="7">
        <f>VLOOKUP($A21,[6]HISTOFEV24!$A$6:$AV$49,29,0)</f>
        <v>0</v>
      </c>
      <c r="S21" s="1"/>
    </row>
    <row r="22" spans="1:19" x14ac:dyDescent="0.35">
      <c r="A22" s="1" t="s">
        <v>19</v>
      </c>
      <c r="B22" s="7">
        <f>IF(D22=0,0,VLOOKUP($A22,[6]HISTOFEV24!$A$6:$BP$44,10,0))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D22+VLOOKUP($A22,[6]HISTOFEV24!$A$7:$AU$42,45,0)+F22</f>
        <v>60000</v>
      </c>
      <c r="F22" s="7">
        <f>VLOOKUP($A22,[6]HISTOFEV24!$A$6:$AV$48,7,0)</f>
        <v>0</v>
      </c>
      <c r="G22" s="7" t="str">
        <f>VLOOKUP($A22,[6]HISTOFEV24!$A$6:$AV$49,8,0)</f>
        <v>BANQUE</v>
      </c>
      <c r="H22" s="7">
        <f>VLOOKUP($A22,[6]HISTOFEV24!$A$6:$AV$49,35,0)</f>
        <v>0</v>
      </c>
      <c r="I22" s="7">
        <f>VLOOKUP($A22,[6]HISTOFEV24!$A$6:$AV$49,38,0)</f>
        <v>0</v>
      </c>
      <c r="J22" s="7">
        <f>IF(H22=0,0,VLOOKUP($A22,[6]HISTOFEV24!$A$6:$AV$49,42,0))</f>
        <v>0</v>
      </c>
      <c r="K22" s="7">
        <f>VLOOKUP($A22,[6]HISTOFEV24!$A$6:$AV$49,41,0)</f>
        <v>0</v>
      </c>
      <c r="L22" s="7">
        <f>TONTJANV24!H22+TONTJANV24!I22</f>
        <v>0</v>
      </c>
      <c r="M22" s="7">
        <f>VLOOKUP($A22,[6]HISTOFEV24!$A$6:$AV$49,16,0)</f>
        <v>0</v>
      </c>
      <c r="N22" s="7" t="str">
        <f>IF(M22&lt;&gt;0,VLOOKUP($A22,[6]HISTOFEV24!$A$6:$AV$49,8,0),"ECHEC")</f>
        <v>ECHEC</v>
      </c>
      <c r="O22" s="7">
        <f>IF(R22=0,0,VLOOKUP($A22,[6]HISTOFEV24!$A$6:$AV$49,32,0))</f>
        <v>0</v>
      </c>
      <c r="P22" s="7">
        <f>VLOOKUP($A22,[6]HISTOFEV24!$A$6:$AV$49,33,0)</f>
        <v>0</v>
      </c>
      <c r="Q22" s="7">
        <f t="shared" si="1"/>
        <v>0</v>
      </c>
      <c r="R22" s="7">
        <f>VLOOKUP($A22,[6]HISTOFEV24!$A$6:$AV$49,29,0)</f>
        <v>0</v>
      </c>
      <c r="S22" s="1"/>
    </row>
    <row r="23" spans="1:19" x14ac:dyDescent="0.35">
      <c r="A23" s="1" t="s">
        <v>20</v>
      </c>
      <c r="B23" s="7">
        <f>IF(D23=0,0,VLOOKUP($A23,[6]HISTOFEV24!$A$6:$BP$44,10,0))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D23+VLOOKUP($A23,[6]HISTOFEV24!$A$7:$AU$42,45,0)+F23</f>
        <v>65000</v>
      </c>
      <c r="F23" s="7">
        <f>VLOOKUP($A23,[6]HISTOFEV24!$A$6:$AV$48,7,0)</f>
        <v>0</v>
      </c>
      <c r="G23" s="7" t="str">
        <f>VLOOKUP($A23,[6]HISTOFEV24!$A$6:$AV$49,8,0)</f>
        <v>BANQUE</v>
      </c>
      <c r="H23" s="7">
        <f>VLOOKUP($A23,[6]HISTOFEV24!$A$6:$AV$49,35,0)</f>
        <v>0</v>
      </c>
      <c r="I23" s="7">
        <f>VLOOKUP($A23,[6]HISTOFEV24!$A$6:$AV$49,38,0)</f>
        <v>0</v>
      </c>
      <c r="J23" s="7">
        <f>IF(H23=0,0,VLOOKUP($A23,[6]HISTOFEV24!$A$6:$AV$49,42,0))</f>
        <v>0</v>
      </c>
      <c r="K23" s="7">
        <f>VLOOKUP($A23,[6]HISTOFEV24!$A$6:$AV$49,41,0)</f>
        <v>0</v>
      </c>
      <c r="L23" s="7">
        <f>TONTJANV24!H23+TONTJANV24!I23</f>
        <v>0</v>
      </c>
      <c r="M23" s="7">
        <f>VLOOKUP($A23,[6]HISTOFEV24!$A$6:$AV$49,16,0)</f>
        <v>0</v>
      </c>
      <c r="N23" s="7" t="str">
        <f>IF(M23&lt;&gt;0,VLOOKUP($A23,[6]HISTOFEV24!$A$6:$AV$49,8,0),"ECHEC")</f>
        <v>ECHEC</v>
      </c>
      <c r="O23" s="7">
        <f>IF(R23=0,0,VLOOKUP($A23,[6]HISTOFEV24!$A$6:$AV$49,32,0))</f>
        <v>0</v>
      </c>
      <c r="P23" s="7">
        <f>VLOOKUP($A23,[6]HISTOFEV24!$A$6:$AV$49,33,0)</f>
        <v>0</v>
      </c>
      <c r="Q23" s="7">
        <f t="shared" si="1"/>
        <v>0</v>
      </c>
      <c r="R23" s="7">
        <f>VLOOKUP($A23,[6]HISTOFEV24!$A$6:$AV$49,29,0)</f>
        <v>0</v>
      </c>
      <c r="S23" s="1"/>
    </row>
    <row r="24" spans="1:19" x14ac:dyDescent="0.35">
      <c r="A24" s="1" t="s">
        <v>21</v>
      </c>
      <c r="B24" s="7">
        <f>IF(D24=0,0,VLOOKUP($A24,[6]HISTOFEV24!$A$6:$BP$44,10,0))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D24+VLOOKUP($A24,[6]HISTOFEV24!$A$7:$AU$42,45,0)+F24</f>
        <v>50000</v>
      </c>
      <c r="F24" s="7">
        <f>VLOOKUP($A24,[6]HISTOFEV24!$A$6:$AV$48,7,0)</f>
        <v>0</v>
      </c>
      <c r="G24" s="7" t="str">
        <f>VLOOKUP($A24,[6]HISTOFEV24!$A$6:$AV$49,8,0)</f>
        <v>BANQUE</v>
      </c>
      <c r="H24" s="7">
        <f>VLOOKUP($A24,[6]HISTOFEV24!$A$6:$AV$49,35,0)</f>
        <v>0</v>
      </c>
      <c r="I24" s="7">
        <f>VLOOKUP($A24,[6]HISTOFEV24!$A$6:$AV$49,38,0)</f>
        <v>0</v>
      </c>
      <c r="J24" s="7">
        <f>IF(H24=0,0,VLOOKUP($A24,[6]HISTOFEV24!$A$6:$AV$49,42,0))</f>
        <v>0</v>
      </c>
      <c r="K24" s="7">
        <f>VLOOKUP($A24,[6]HISTOFEV24!$A$6:$AV$49,41,0)</f>
        <v>0</v>
      </c>
      <c r="L24" s="7">
        <f>TONTJANV24!H24+TONTJANV24!I24</f>
        <v>0</v>
      </c>
      <c r="M24" s="7">
        <f>VLOOKUP($A24,[6]HISTOFEV24!$A$6:$AV$49,16,0)</f>
        <v>0</v>
      </c>
      <c r="N24" s="7" t="str">
        <f>IF(M24&lt;&gt;0,VLOOKUP($A24,[6]HISTOFEV24!$A$6:$AV$49,8,0),"ECHEC")</f>
        <v>ECHEC</v>
      </c>
      <c r="O24" s="7">
        <f>IF(R24=0,0,VLOOKUP($A24,[6]HISTOFEV24!$A$6:$AV$49,32,0))</f>
        <v>0</v>
      </c>
      <c r="P24" s="7">
        <f>VLOOKUP($A24,[6]HISTOFEV24!$A$6:$AV$49,33,0)</f>
        <v>0</v>
      </c>
      <c r="Q24" s="7">
        <f t="shared" si="1"/>
        <v>0</v>
      </c>
      <c r="R24" s="7">
        <f>VLOOKUP($A24,[6]HISTOFEV24!$A$6:$AV$49,29,0)</f>
        <v>0</v>
      </c>
      <c r="S24" s="1"/>
    </row>
    <row r="25" spans="1:19" x14ac:dyDescent="0.35">
      <c r="A25" s="1" t="s">
        <v>22</v>
      </c>
      <c r="B25" s="7">
        <f>IF(D25=0,0,VLOOKUP($A25,[6]HISTOFEV24!$A$6:$BP$44,10,0))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D25+VLOOKUP($A25,[6]HISTOFEV24!$A$7:$AU$42,45,0)+F25</f>
        <v>50000</v>
      </c>
      <c r="F25" s="7">
        <f>VLOOKUP($A25,[6]HISTOFEV24!$A$6:$AV$48,7,0)</f>
        <v>0</v>
      </c>
      <c r="G25" s="7" t="str">
        <f>VLOOKUP($A25,[6]HISTOFEV24!$A$6:$AV$49,8,0)</f>
        <v>BANQUE</v>
      </c>
      <c r="H25" s="7">
        <f>VLOOKUP($A25,[6]HISTOFEV24!$A$6:$AV$49,35,0)</f>
        <v>0</v>
      </c>
      <c r="I25" s="7">
        <f>VLOOKUP($A25,[6]HISTOFEV24!$A$6:$AV$49,38,0)</f>
        <v>0</v>
      </c>
      <c r="J25" s="7">
        <f>IF(H25=0,0,VLOOKUP($A25,[6]HISTOFEV24!$A$6:$AV$49,42,0))</f>
        <v>0</v>
      </c>
      <c r="K25" s="7">
        <f>VLOOKUP($A25,[6]HISTOFEV24!$A$6:$AV$49,41,0)</f>
        <v>0</v>
      </c>
      <c r="L25" s="7">
        <f>TONTJANV24!H25+TONTJANV24!I25</f>
        <v>0</v>
      </c>
      <c r="M25" s="7">
        <f>VLOOKUP($A25,[6]HISTOFEV24!$A$6:$AV$49,16,0)</f>
        <v>0</v>
      </c>
      <c r="N25" s="7" t="str">
        <f>IF(M25&lt;&gt;0,VLOOKUP($A25,[6]HISTOFEV24!$A$6:$AV$49,8,0),"ECHEC")</f>
        <v>ECHEC</v>
      </c>
      <c r="O25" s="7">
        <f>IF(R25=0,0,VLOOKUP($A25,[6]HISTOFEV24!$A$6:$AV$49,32,0))</f>
        <v>0</v>
      </c>
      <c r="P25" s="7">
        <f>VLOOKUP($A25,[6]HISTOFEV24!$A$6:$AV$49,33,0)</f>
        <v>0</v>
      </c>
      <c r="Q25" s="7">
        <f t="shared" si="1"/>
        <v>0</v>
      </c>
      <c r="R25" s="7">
        <f>VLOOKUP($A25,[6]HISTOFEV24!$A$6:$AV$49,29,0)</f>
        <v>0</v>
      </c>
      <c r="S25" s="1"/>
    </row>
    <row r="26" spans="1:19" x14ac:dyDescent="0.35">
      <c r="A26" s="1" t="s">
        <v>85</v>
      </c>
      <c r="B26" s="7">
        <f>IF(D26=0,0,VLOOKUP($A26,[6]HISTOFEV24!$A$6:$BP$44,10,0))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D26+VLOOKUP($A26,[6]HISTOFEV24!$A$7:$AU$42,45,0)+F26</f>
        <v>50000</v>
      </c>
      <c r="F26" s="7">
        <f>VLOOKUP($A26,[6]HISTOFEV24!$A$6:$AV$48,7,0)</f>
        <v>0</v>
      </c>
      <c r="G26" s="7" t="str">
        <f>VLOOKUP($A26,[6]HISTOFEV24!$A$6:$AV$49,8,0)</f>
        <v>BANQUE</v>
      </c>
      <c r="H26" s="7">
        <f>VLOOKUP($A26,[6]HISTOFEV24!$A$6:$AV$49,35,0)</f>
        <v>0</v>
      </c>
      <c r="I26" s="7">
        <f>VLOOKUP($A26,[6]HISTOFEV24!$A$6:$AV$49,38,0)</f>
        <v>0</v>
      </c>
      <c r="J26" s="7">
        <f>IF(H26=0,0,VLOOKUP($A26,[6]HISTOFEV24!$A$6:$AV$49,42,0))</f>
        <v>0</v>
      </c>
      <c r="K26" s="7">
        <f>VLOOKUP($A26,[6]HISTOFEV24!$A$6:$AV$49,41,0)</f>
        <v>0</v>
      </c>
      <c r="L26" s="7">
        <f>TONTJANV24!H26+TONTJANV24!I26</f>
        <v>0</v>
      </c>
      <c r="M26" s="7">
        <f>VLOOKUP($A26,[6]HISTOFEV24!$A$6:$AV$49,16,0)</f>
        <v>0</v>
      </c>
      <c r="N26" s="7" t="str">
        <f>IF(M26&lt;&gt;0,VLOOKUP($A26,[6]HISTOFEV24!$A$6:$AV$49,8,0),"ECHEC")</f>
        <v>ECHEC</v>
      </c>
      <c r="O26" s="7">
        <f>IF(R26=0,0,VLOOKUP($A26,[6]HISTOFEV24!$A$6:$AV$49,32,0))</f>
        <v>0</v>
      </c>
      <c r="P26" s="7">
        <f>VLOOKUP($A26,[6]HISTOFEV24!$A$6:$AV$49,33,0)</f>
        <v>0</v>
      </c>
      <c r="Q26" s="7">
        <f t="shared" si="1"/>
        <v>0</v>
      </c>
      <c r="R26" s="7">
        <f>VLOOKUP($A26,[6]HISTOFEV24!$A$6:$AV$49,29,0)</f>
        <v>0</v>
      </c>
    </row>
    <row r="27" spans="1:19" x14ac:dyDescent="0.35">
      <c r="A27" s="1" t="s">
        <v>23</v>
      </c>
      <c r="B27" s="7">
        <f>IF(D27=0,0,VLOOKUP($A27,[6]HISTOFEV24!$A$6:$BP$44,10,0))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D27+VLOOKUP($A27,[6]HISTOFEV24!$A$7:$AU$42,45,0)+F27</f>
        <v>50000</v>
      </c>
      <c r="F27" s="7">
        <f>VLOOKUP($A27,[6]HISTOFEV24!$A$6:$AV$48,7,0)</f>
        <v>0</v>
      </c>
      <c r="G27" s="7" t="str">
        <f>VLOOKUP($A27,[6]HISTOFEV24!$A$6:$AV$49,8,0)</f>
        <v>BANQUE</v>
      </c>
      <c r="H27" s="7">
        <f>VLOOKUP($A27,[6]HISTOFEV24!$A$6:$AV$49,35,0)</f>
        <v>0</v>
      </c>
      <c r="I27" s="7">
        <f>VLOOKUP($A27,[6]HISTOFEV24!$A$6:$AV$49,38,0)</f>
        <v>0</v>
      </c>
      <c r="J27" s="7">
        <f>IF(H27=0,0,VLOOKUP($A27,[6]HISTOFEV24!$A$6:$AV$49,42,0))</f>
        <v>0</v>
      </c>
      <c r="K27" s="7">
        <f>VLOOKUP($A27,[6]HISTOFEV24!$A$6:$AV$49,41,0)</f>
        <v>0</v>
      </c>
      <c r="L27" s="7">
        <f>TONTJANV24!H27+TONTJANV24!I27</f>
        <v>0</v>
      </c>
      <c r="M27" s="7">
        <f>VLOOKUP($A27,[6]HISTOFEV24!$A$6:$AV$49,16,0)</f>
        <v>0</v>
      </c>
      <c r="N27" s="7" t="str">
        <f>IF(M27&lt;&gt;0,VLOOKUP($A27,[6]HISTOFEV24!$A$6:$AV$49,8,0),"ECHEC")</f>
        <v>ECHEC</v>
      </c>
      <c r="O27" s="7">
        <f>IF(R27=0,0,VLOOKUP($A27,[6]HISTOFEV24!$A$6:$AV$49,32,0))</f>
        <v>0</v>
      </c>
      <c r="P27" s="7">
        <f>VLOOKUP($A27,[6]HISTOFEV24!$A$6:$AV$49,33,0)</f>
        <v>0</v>
      </c>
      <c r="Q27" s="7">
        <f t="shared" si="1"/>
        <v>0</v>
      </c>
      <c r="R27" s="7">
        <f>VLOOKUP($A27,[6]HISTOFEV24!$A$6:$AV$49,29,0)</f>
        <v>0</v>
      </c>
    </row>
    <row r="28" spans="1:19" x14ac:dyDescent="0.35">
      <c r="A28" s="1" t="s">
        <v>86</v>
      </c>
      <c r="B28" s="7">
        <f>IF(D28=0,0,VLOOKUP($A28,[6]HISTOFEV24!$A$6:$BP$44,10,0))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D28+VLOOKUP($A28,[6]HISTOFEV24!$A$7:$AU$42,45,0)+F28</f>
        <v>50000</v>
      </c>
      <c r="F28" s="7">
        <f>VLOOKUP($A28,[6]HISTOFEV24!$A$6:$AV$48,7,0)</f>
        <v>0</v>
      </c>
      <c r="G28" s="7" t="str">
        <f>VLOOKUP($A28,[6]HISTOFEV24!$A$6:$AV$49,8,0)</f>
        <v>BANQUE</v>
      </c>
      <c r="H28" s="7">
        <f>VLOOKUP($A28,[6]HISTOFEV24!$A$6:$AV$49,35,0)</f>
        <v>51000</v>
      </c>
      <c r="I28" s="7">
        <f>VLOOKUP($A28,[6]HISTOFEV24!$A$6:$AV$49,38,0)</f>
        <v>1000</v>
      </c>
      <c r="J28" s="7">
        <f>IF(H28=0,0,VLOOKUP($A28,[6]HISTOFEV24!$A$6:$AV$49,42,0))</f>
        <v>0</v>
      </c>
      <c r="K28" s="7">
        <f>VLOOKUP($A28,[6]HISTOFEV24!$A$6:$AV$49,41,0)</f>
        <v>0</v>
      </c>
      <c r="L28" s="7">
        <f>TONTJANV24!H28+TONTJANV24!I28</f>
        <v>0</v>
      </c>
      <c r="M28" s="7">
        <f>VLOOKUP($A28,[6]HISTOFEV24!$A$6:$AV$49,16,0)</f>
        <v>0</v>
      </c>
      <c r="N28" s="7" t="str">
        <f>IF(M28&lt;&gt;0,VLOOKUP($A28,[6]HISTOFEV24!$A$6:$AV$49,8,0),"ECHEC")</f>
        <v>ECHEC</v>
      </c>
      <c r="O28" s="7">
        <f>IF(R28=0,0,VLOOKUP($A28,[6]HISTOFEV24!$A$6:$AV$49,32,0))</f>
        <v>0</v>
      </c>
      <c r="P28" s="7">
        <f>VLOOKUP($A28,[6]HISTOFEV24!$A$6:$AV$49,33,0)</f>
        <v>0</v>
      </c>
      <c r="Q28" s="7">
        <f t="shared" si="1"/>
        <v>0</v>
      </c>
      <c r="R28" s="7">
        <f>VLOOKUP($A28,[6]HISTOFEV24!$A$6:$AV$49,29,0)</f>
        <v>0</v>
      </c>
    </row>
    <row r="29" spans="1:19" x14ac:dyDescent="0.35">
      <c r="A29" s="1" t="s">
        <v>46</v>
      </c>
      <c r="B29" s="7">
        <f>IF(D29=0,0,VLOOKUP($A29,[6]HISTOFEV24!$A$6:$BP$44,10,0))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D29+VLOOKUP($A29,[6]HISTOFEV24!$A$7:$AU$42,45,0)+F29</f>
        <v>50000</v>
      </c>
      <c r="F29" s="7">
        <f>VLOOKUP($A29,[6]HISTOFEV24!$A$6:$AV$48,7,0)</f>
        <v>0</v>
      </c>
      <c r="G29" s="7" t="str">
        <f>VLOOKUP($A29,[6]HISTOFEV24!$A$6:$AV$49,8,0)</f>
        <v>BANQUE</v>
      </c>
      <c r="H29" s="7">
        <f>VLOOKUP($A29,[6]HISTOFEV24!$A$6:$AV$49,35,0)</f>
        <v>0</v>
      </c>
      <c r="I29" s="7">
        <f>VLOOKUP($A29,[6]HISTOFEV24!$A$6:$AV$49,38,0)</f>
        <v>0</v>
      </c>
      <c r="J29" s="7">
        <f>IF(H29=0,0,VLOOKUP($A29,[6]HISTOFEV24!$A$6:$AV$49,42,0))</f>
        <v>0</v>
      </c>
      <c r="K29" s="7">
        <f>VLOOKUP($A29,[6]HISTOFEV24!$A$6:$AV$49,41,0)</f>
        <v>0</v>
      </c>
      <c r="L29" s="7">
        <f>TONTJANV24!H29+TONTJANV24!I29</f>
        <v>0</v>
      </c>
      <c r="M29" s="7">
        <f>VLOOKUP($A29,[6]HISTOFEV24!$A$6:$AV$49,16,0)</f>
        <v>0</v>
      </c>
      <c r="N29" s="7" t="str">
        <f>IF(M29&lt;&gt;0,VLOOKUP($A29,[6]HISTOFEV24!$A$6:$AV$49,8,0),"ECHEC")</f>
        <v>ECHEC</v>
      </c>
      <c r="O29" s="7">
        <f>IF(R29=0,0,VLOOKUP($A29,[6]HISTOFEV24!$A$6:$AV$49,32,0))</f>
        <v>0</v>
      </c>
      <c r="P29" s="7">
        <f>VLOOKUP($A29,[6]HISTOFEV24!$A$6:$AV$49,33,0)</f>
        <v>0</v>
      </c>
      <c r="Q29" s="7">
        <f t="shared" si="1"/>
        <v>0</v>
      </c>
      <c r="R29" s="7">
        <f>VLOOKUP($A29,[6]HISTOFEV24!$A$6:$AV$49,29,0)</f>
        <v>0</v>
      </c>
    </row>
    <row r="30" spans="1:19" x14ac:dyDescent="0.35">
      <c r="A30" s="1" t="s">
        <v>24</v>
      </c>
      <c r="B30" s="7">
        <f>IF(D30=0,0,VLOOKUP($A30,[6]HISTOFEV24!$A$6:$BP$44,10,0))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D30+VLOOKUP($A30,[6]HISTOFEV24!$A$7:$AU$42,45,0)+F30</f>
        <v>50000</v>
      </c>
      <c r="F30" s="7">
        <f>VLOOKUP($A30,[6]HISTOFEV24!$A$6:$AV$48,7,0)</f>
        <v>0</v>
      </c>
      <c r="G30" s="7" t="str">
        <f>VLOOKUP($A30,[6]HISTOFEV24!$A$6:$AV$49,8,0)</f>
        <v>BANQUE</v>
      </c>
      <c r="H30" s="7">
        <f>VLOOKUP($A30,[6]HISTOFEV24!$A$6:$AV$49,35,0)</f>
        <v>0</v>
      </c>
      <c r="I30" s="7">
        <f>VLOOKUP($A30,[6]HISTOFEV24!$A$6:$AV$49,38,0)</f>
        <v>0</v>
      </c>
      <c r="J30" s="7">
        <f>IF(H30=0,0,VLOOKUP($A30,[6]HISTOFEV24!$A$6:$AV$49,42,0))</f>
        <v>0</v>
      </c>
      <c r="K30" s="7">
        <f>VLOOKUP($A30,[6]HISTOFEV24!$A$6:$AV$49,41,0)</f>
        <v>0</v>
      </c>
      <c r="L30" s="7">
        <f>TONTJANV24!H30+TONTJANV24!I30</f>
        <v>0</v>
      </c>
      <c r="M30" s="7">
        <f>VLOOKUP($A30,[6]HISTOFEV24!$A$6:$AV$49,16,0)</f>
        <v>0</v>
      </c>
      <c r="N30" s="7" t="str">
        <f>IF(M30&lt;&gt;0,VLOOKUP($A30,[6]HISTOFEV24!$A$6:$AV$49,8,0),"ECHEC")</f>
        <v>ECHEC</v>
      </c>
      <c r="O30" s="7">
        <f>IF(R30=0,0,VLOOKUP($A30,[6]HISTOFEV24!$A$6:$AV$49,32,0))</f>
        <v>0</v>
      </c>
      <c r="P30" s="7">
        <f>VLOOKUP($A30,[6]HISTOFEV24!$A$6:$AV$49,33,0)</f>
        <v>0</v>
      </c>
      <c r="Q30" s="7">
        <f t="shared" si="1"/>
        <v>0</v>
      </c>
      <c r="R30" s="7">
        <f>VLOOKUP($A30,[6]HISTOFEV24!$A$6:$AV$49,29,0)</f>
        <v>0</v>
      </c>
    </row>
    <row r="31" spans="1:19" x14ac:dyDescent="0.35">
      <c r="A31" s="1" t="s">
        <v>26</v>
      </c>
      <c r="B31" s="7">
        <f>IF(D31=0,0,VLOOKUP($A31,[6]HISTOFEV24!$A$6:$BP$44,10,0))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D31+VLOOKUP($A31,[6]HISTOFEV24!$A$7:$AU$42,45,0)+F31</f>
        <v>50000</v>
      </c>
      <c r="F31" s="7">
        <f>VLOOKUP($A31,[6]HISTOFEV24!$A$6:$AV$48,7,0)</f>
        <v>0</v>
      </c>
      <c r="G31" s="7" t="str">
        <f>VLOOKUP($A31,[6]HISTOFEV24!$A$6:$AV$49,8,0)</f>
        <v>BANQUE</v>
      </c>
      <c r="H31" s="7">
        <f>VLOOKUP($A31,[6]HISTOFEV24!$A$6:$AV$49,35,0)</f>
        <v>0</v>
      </c>
      <c r="I31" s="7">
        <f>VLOOKUP($A31,[6]HISTOFEV24!$A$6:$AV$49,38,0)</f>
        <v>0</v>
      </c>
      <c r="J31" s="7">
        <f>IF(H31=0,0,VLOOKUP($A31,[6]HISTOFEV24!$A$6:$AV$49,42,0))</f>
        <v>0</v>
      </c>
      <c r="K31" s="7">
        <f>VLOOKUP($A31,[6]HISTOFEV24!$A$6:$AV$49,41,0)</f>
        <v>0</v>
      </c>
      <c r="L31" s="7">
        <f>TONTJANV24!H31+TONTJANV24!I31</f>
        <v>0</v>
      </c>
      <c r="M31" s="7">
        <f>VLOOKUP($A31,[6]HISTOFEV24!$A$6:$AV$49,16,0)</f>
        <v>0</v>
      </c>
      <c r="N31" s="7" t="str">
        <f>IF(M31&lt;&gt;0,VLOOKUP($A31,[6]HISTOFEV24!$A$6:$AV$49,8,0),"ECHEC")</f>
        <v>ECHEC</v>
      </c>
      <c r="O31" s="7">
        <f>IF(R31=0,0,VLOOKUP($A31,[6]HISTOFEV24!$A$6:$AV$49,32,0))</f>
        <v>0</v>
      </c>
      <c r="P31" s="7">
        <f>VLOOKUP($A31,[6]HISTOFEV24!$A$6:$AV$49,33,0)</f>
        <v>0</v>
      </c>
      <c r="Q31" s="7">
        <f t="shared" si="1"/>
        <v>0</v>
      </c>
      <c r="R31" s="7">
        <f>VLOOKUP($A31,[6]HISTOFEV24!$A$6:$AV$49,29,0)</f>
        <v>0</v>
      </c>
    </row>
    <row r="32" spans="1:19" x14ac:dyDescent="0.35">
      <c r="A32" s="1" t="s">
        <v>95</v>
      </c>
      <c r="B32" s="7">
        <f>IF(D32=0,0,VLOOKUP($A32,[6]HISTOFEV24!$A$6:$BP$44,10,0))</f>
        <v>1</v>
      </c>
      <c r="C32" s="1" t="str">
        <f>VLOOKUP(A32,[7]LISTADHERENT!A$5:H$60,3,0)</f>
        <v>TCHOUATEU AUGUSTIN</v>
      </c>
      <c r="D32" s="7">
        <f t="shared" si="0"/>
        <v>25000</v>
      </c>
      <c r="E32" s="7">
        <f>D32+VLOOKUP($A32,[6]HISTOFEV24!$A$7:$AU$42,45,0)+F32</f>
        <v>80000</v>
      </c>
      <c r="F32" s="7">
        <f>VLOOKUP($A32,[6]HISTOFEV24!$A$6:$AV$48,7,0)</f>
        <v>0</v>
      </c>
      <c r="G32" s="7" t="str">
        <f>VLOOKUP($A32,[6]HISTOFEV24!$A$6:$AV$49,8,0)</f>
        <v>BANQUE</v>
      </c>
      <c r="H32" s="7">
        <f>VLOOKUP($A32,[6]HISTOFEV24!$A$6:$AV$49,35,0)</f>
        <v>0</v>
      </c>
      <c r="I32" s="7">
        <f>VLOOKUP($A32,[6]HISTOFEV24!$A$6:$AV$49,38,0)</f>
        <v>0</v>
      </c>
      <c r="J32" s="7">
        <f>IF(H32=0,0,VLOOKUP($A32,[6]HISTOFEV24!$A$6:$AV$49,42,0))</f>
        <v>0</v>
      </c>
      <c r="K32" s="7">
        <f>VLOOKUP($A32,[6]HISTOFEV24!$A$6:$AV$49,41,0)</f>
        <v>0</v>
      </c>
      <c r="L32" s="7">
        <f>TONTJANV24!H32+TONTJANV24!I32</f>
        <v>0</v>
      </c>
      <c r="M32" s="7">
        <f>VLOOKUP($A32,[6]HISTOFEV24!$A$6:$AV$49,16,0)</f>
        <v>0</v>
      </c>
      <c r="N32" s="7" t="str">
        <f>IF(M32&lt;&gt;0,VLOOKUP($A32,[6]HISTOFEV24!$A$6:$AV$49,8,0),"ECHEC")</f>
        <v>ECHEC</v>
      </c>
      <c r="O32" s="7">
        <f>IF(R32=0,0,VLOOKUP($A32,[6]HISTOFEV24!$A$6:$AV$49,32,0))</f>
        <v>0</v>
      </c>
      <c r="P32" s="7">
        <f>VLOOKUP($A32,[6]HISTOFEV24!$A$6:$AV$49,33,0)</f>
        <v>0</v>
      </c>
      <c r="Q32" s="7">
        <f t="shared" si="1"/>
        <v>0</v>
      </c>
      <c r="R32" s="7">
        <f>VLOOKUP($A32,[6]HISTOFEV24!$A$6:$AV$49,29,0)</f>
        <v>0</v>
      </c>
    </row>
    <row r="33" spans="1:18" x14ac:dyDescent="0.35">
      <c r="A33" s="1" t="s">
        <v>87</v>
      </c>
      <c r="B33" s="7">
        <f>IF(D33=0,0,VLOOKUP($A33,[6]HISTOFEV24!$A$6:$BP$44,10,0))</f>
        <v>1</v>
      </c>
      <c r="C33" s="1" t="str">
        <f>VLOOKUP(A33,[7]LISTADHERENT!A$5:H$60,3,0)</f>
        <v>TCHOUTOU NANA CLAUDE</v>
      </c>
      <c r="D33" s="7">
        <f t="shared" si="0"/>
        <v>25000</v>
      </c>
      <c r="E33" s="7">
        <f>D33+VLOOKUP($A33,[6]HISTOFEV24!$A$7:$AU$42,45,0)+F33</f>
        <v>50000</v>
      </c>
      <c r="F33" s="7">
        <f>VLOOKUP($A33,[6]HISTOFEV24!$A$6:$AV$48,7,0)</f>
        <v>0</v>
      </c>
      <c r="G33" s="7" t="str">
        <f>VLOOKUP($A33,[6]HISTOFEV24!$A$6:$AV$49,8,0)</f>
        <v>BANQUE</v>
      </c>
      <c r="H33" s="7">
        <f>VLOOKUP($A33,[6]HISTOFEV24!$A$6:$AV$49,35,0)</f>
        <v>0</v>
      </c>
      <c r="I33" s="7">
        <f>VLOOKUP($A33,[6]HISTOFEV24!$A$6:$AV$49,38,0)</f>
        <v>0</v>
      </c>
      <c r="J33" s="7">
        <f>IF(H33=0,0,VLOOKUP($A33,[6]HISTOFEV24!$A$6:$AV$49,42,0))</f>
        <v>0</v>
      </c>
      <c r="K33" s="7">
        <f>VLOOKUP($A33,[6]HISTOFEV24!$A$6:$AV$49,41,0)</f>
        <v>0</v>
      </c>
      <c r="L33" s="7">
        <f>TONTJANV24!H33+TONTJANV24!I33</f>
        <v>0</v>
      </c>
      <c r="M33" s="7">
        <f>VLOOKUP($A33,[6]HISTOFEV24!$A$6:$AV$49,16,0)</f>
        <v>0</v>
      </c>
      <c r="N33" s="7" t="str">
        <f>IF(M33&lt;&gt;0,VLOOKUP($A33,[6]HISTOFEV24!$A$6:$AV$49,8,0),"ECHEC")</f>
        <v>ECHEC</v>
      </c>
      <c r="O33" s="7">
        <f>IF(R33=0,0,VLOOKUP($A33,[6]HISTOFEV24!$A$6:$AV$49,32,0))</f>
        <v>0</v>
      </c>
      <c r="P33" s="7">
        <f>VLOOKUP($A33,[6]HISTOFEV24!$A$6:$AV$49,33,0)</f>
        <v>0</v>
      </c>
      <c r="Q33" s="7">
        <f t="shared" si="1"/>
        <v>0</v>
      </c>
      <c r="R33" s="7">
        <f>VLOOKUP($A33,[6]HISTOFEV24!$A$6:$AV$49,29,0)</f>
        <v>0</v>
      </c>
    </row>
    <row r="34" spans="1:18" x14ac:dyDescent="0.35">
      <c r="A34" s="17" t="s">
        <v>89</v>
      </c>
      <c r="B34" s="7">
        <f>IF(D34=0,0,VLOOKUP($A34,[6]HISTOFEV24!$A$6:$BP$44,10,0))</f>
        <v>1</v>
      </c>
      <c r="C34" s="1" t="str">
        <f>VLOOKUP(A34,[7]LISTADHERENT!A$5:H$60,3,0)</f>
        <v>YANTCHOU GERVAIS</v>
      </c>
      <c r="D34" s="7">
        <f t="shared" si="0"/>
        <v>25000</v>
      </c>
      <c r="E34" s="7">
        <f>D34+VLOOKUP($A34,[6]HISTOFEV24!$A$7:$AU$42,45,0)+F34</f>
        <v>60000</v>
      </c>
      <c r="F34" s="7">
        <f>VLOOKUP($A34,[6]HISTOFEV24!$A$6:$AV$48,7,0)</f>
        <v>0</v>
      </c>
      <c r="G34" s="7" t="str">
        <f>VLOOKUP($A34,[6]HISTOFEV24!$A$6:$AV$49,8,0)</f>
        <v>BANQUE</v>
      </c>
      <c r="H34" s="7">
        <f>VLOOKUP($A34,[6]HISTOFEV24!$A$6:$AV$49,35,0)</f>
        <v>0</v>
      </c>
      <c r="I34" s="7">
        <f>VLOOKUP($A34,[6]HISTOFEV24!$A$6:$AV$49,38,0)</f>
        <v>0</v>
      </c>
      <c r="J34" s="7">
        <f>IF(H34=0,0,VLOOKUP($A34,[6]HISTOFEV24!$A$6:$AV$49,42,0))</f>
        <v>0</v>
      </c>
      <c r="K34" s="7">
        <f>VLOOKUP($A34,[6]HISTOFEV24!$A$6:$AV$49,41,0)</f>
        <v>0</v>
      </c>
      <c r="L34" s="7">
        <f>TONTJANV24!H34+TONTJANV24!I34</f>
        <v>0</v>
      </c>
      <c r="M34" s="7">
        <f>VLOOKUP($A34,[6]HISTOFEV24!$A$6:$AV$49,16,0)</f>
        <v>0</v>
      </c>
      <c r="N34" s="7" t="str">
        <f>IF(M34&lt;&gt;0,VLOOKUP($A34,[6]HISTOFEV24!$A$6:$AV$49,8,0),"ECHEC")</f>
        <v>ECHEC</v>
      </c>
      <c r="O34" s="7">
        <f>IF(R34=0,0,VLOOKUP($A34,[6]HISTOFEV24!$A$6:$AV$49,32,0))</f>
        <v>0</v>
      </c>
      <c r="P34" s="7">
        <f>VLOOKUP($A34,[6]HISTOFEV24!$A$6:$AV$49,33,0)</f>
        <v>0</v>
      </c>
      <c r="Q34" s="7">
        <f t="shared" si="1"/>
        <v>0</v>
      </c>
      <c r="R34" s="7">
        <f>VLOOKUP($A34,[6]HISTOFEV24!$A$6:$AV$49,29,0)</f>
        <v>0</v>
      </c>
    </row>
    <row r="35" spans="1:18" x14ac:dyDescent="0.35">
      <c r="A35" s="1" t="s">
        <v>27</v>
      </c>
      <c r="B35" s="7">
        <f>IF(D35=0,0,VLOOKUP($A35,[6]HISTOFEV24!$A$6:$BP$44,10,0))</f>
        <v>1</v>
      </c>
      <c r="C35" s="1" t="str">
        <f>VLOOKUP(A35,[7]LISTADHERENT!A$5:H$60,3,0)</f>
        <v>YEPMOU JEAN JACQUES</v>
      </c>
      <c r="D35" s="7">
        <f t="shared" si="0"/>
        <v>25000</v>
      </c>
      <c r="E35" s="7">
        <f>D35+VLOOKUP($A35,[6]HISTOFEV24!$A$7:$AU$42,45,0)+F35</f>
        <v>50000</v>
      </c>
      <c r="F35" s="7">
        <f>VLOOKUP($A35,[6]HISTOFEV24!$A$6:$AV$48,7,0)</f>
        <v>0</v>
      </c>
      <c r="G35" s="7" t="str">
        <f>VLOOKUP($A35,[6]HISTOFEV24!$A$6:$AV$49,8,0)</f>
        <v>BANQUE</v>
      </c>
      <c r="H35" s="7">
        <f>VLOOKUP($A35,[6]HISTOFEV24!$A$6:$AV$49,35,0)</f>
        <v>0</v>
      </c>
      <c r="I35" s="7">
        <f>VLOOKUP($A35,[6]HISTOFEV24!$A$6:$AV$49,38,0)</f>
        <v>0</v>
      </c>
      <c r="J35" s="7">
        <f>IF(H35=0,0,VLOOKUP($A35,[6]HISTOFEV24!$A$6:$AV$49,42,0))</f>
        <v>0</v>
      </c>
      <c r="K35" s="7">
        <f>VLOOKUP($A35,[6]HISTOFEV24!$A$6:$AV$49,41,0)</f>
        <v>0</v>
      </c>
      <c r="L35" s="7">
        <f>TONTJANV24!H35+TONTJANV24!I35</f>
        <v>0</v>
      </c>
      <c r="M35" s="7">
        <f>VLOOKUP($A35,[6]HISTOFEV24!$A$6:$AV$49,16,0)</f>
        <v>0</v>
      </c>
      <c r="N35" s="7" t="str">
        <f>IF(M35&lt;&gt;0,VLOOKUP($A35,[6]HISTOFEV24!$A$6:$AV$49,8,0),"ECHEC")</f>
        <v>ECHEC</v>
      </c>
      <c r="O35" s="7">
        <f>IF(R35=0,0,VLOOKUP($A35,[6]HISTOFEV24!$A$6:$AV$49,32,0))</f>
        <v>0</v>
      </c>
      <c r="P35" s="7">
        <f>VLOOKUP($A35,[6]HISTOFEV24!$A$6:$AV$49,33,0)</f>
        <v>0</v>
      </c>
      <c r="Q35" s="7">
        <f t="shared" si="1"/>
        <v>0</v>
      </c>
      <c r="R35" s="7">
        <f>VLOOKUP($A35,[6]HISTOFEV24!$A$6:$AV$49,29,0)</f>
        <v>0</v>
      </c>
    </row>
    <row r="36" spans="1:18" x14ac:dyDescent="0.35">
      <c r="A36" s="1" t="s">
        <v>94</v>
      </c>
      <c r="B36" s="7">
        <f>IF(D36=0,0,VLOOKUP($A36,[6]HISTOFEV24!$A$6:$BP$44,10,0))</f>
        <v>1</v>
      </c>
      <c r="C36" s="1" t="str">
        <f>VLOOKUP(A36,[7]LISTADHERENT!A$5:H$60,3,0)</f>
        <v>YIALA ALAIN OSCAR</v>
      </c>
      <c r="D36" s="7">
        <f t="shared" si="0"/>
        <v>25000</v>
      </c>
      <c r="E36" s="7">
        <f>D36+VLOOKUP($A36,[6]HISTOFEV24!$A$7:$AU$42,45,0)+F36</f>
        <v>53000</v>
      </c>
      <c r="F36" s="7">
        <f>VLOOKUP($A36,[6]HISTOFEV24!$A$6:$AV$48,7,0)</f>
        <v>3000</v>
      </c>
      <c r="G36" s="7" t="str">
        <f>VLOOKUP($A36,[6]HISTOFEV24!$A$6:$AV$49,8,0)</f>
        <v>ESPECES</v>
      </c>
      <c r="H36" s="7">
        <f>VLOOKUP($A36,[6]HISTOFEV24!$A$6:$AV$49,35,0)</f>
        <v>0</v>
      </c>
      <c r="I36" s="7">
        <f>VLOOKUP($A36,[6]HISTOFEV24!$A$6:$AV$49,38,0)</f>
        <v>0</v>
      </c>
      <c r="J36" s="7">
        <f>IF(H36=0,0,VLOOKUP($A36,[6]HISTOFEV24!$A$6:$AV$49,42,0))</f>
        <v>0</v>
      </c>
      <c r="K36" s="7">
        <f>VLOOKUP($A36,[6]HISTOFEV24!$A$6:$AV$49,41,0)</f>
        <v>0</v>
      </c>
      <c r="L36" s="7">
        <f>TONTJANV24!H36+TONTJANV24!I36</f>
        <v>0</v>
      </c>
      <c r="M36" s="7">
        <f>VLOOKUP($A36,[6]HISTOFEV24!$A$6:$AV$49,16,0)</f>
        <v>0</v>
      </c>
      <c r="N36" s="7" t="str">
        <f>IF(M36&lt;&gt;0,VLOOKUP($A36,[6]HISTOFEV24!$A$6:$AV$49,8,0),"ECHEC")</f>
        <v>ECHEC</v>
      </c>
      <c r="O36" s="7">
        <f>IF(R36=0,0,VLOOKUP($A36,[6]HISTOFEV24!$A$6:$AV$49,32,0))</f>
        <v>0</v>
      </c>
      <c r="P36" s="7">
        <f>VLOOKUP($A36,[6]HISTOFEV24!$A$6:$AV$49,33,0)</f>
        <v>0</v>
      </c>
      <c r="Q36" s="7">
        <f t="shared" si="1"/>
        <v>0</v>
      </c>
      <c r="R36" s="7">
        <f>VLOOKUP($A36,[6]HISTOFEV24!$A$6:$AV$49,29,0)</f>
        <v>0</v>
      </c>
    </row>
    <row r="37" spans="1:18" x14ac:dyDescent="0.35">
      <c r="A37" s="1" t="s">
        <v>28</v>
      </c>
      <c r="B37" s="7">
        <f>IF(D37=0,0,VLOOKUP($A37,[6]HISTOFEV24!$A$6:$BP$44,10,0))</f>
        <v>1</v>
      </c>
      <c r="C37" s="1" t="str">
        <f>VLOOKUP(A37,[7]LISTADHERENT!A$5:H$60,3,0)</f>
        <v>YOUMBI EMMANUEL</v>
      </c>
      <c r="D37" s="7">
        <f t="shared" si="0"/>
        <v>25000</v>
      </c>
      <c r="E37" s="7">
        <f>D37+VLOOKUP($A37,[6]HISTOFEV24!$A$7:$AU$42,45,0)+F37</f>
        <v>50000</v>
      </c>
      <c r="F37" s="7">
        <f>VLOOKUP($A37,[6]HISTOFEV24!$A$6:$AV$48,7,0)</f>
        <v>0</v>
      </c>
      <c r="G37" s="7" t="str">
        <f>VLOOKUP($A37,[6]HISTOFEV24!$A$6:$AV$49,8,0)</f>
        <v>BANQUE</v>
      </c>
      <c r="H37" s="7">
        <f>VLOOKUP($A37,[6]HISTOFEV24!$A$6:$AV$49,35,0)</f>
        <v>0</v>
      </c>
      <c r="I37" s="7">
        <f>VLOOKUP($A37,[6]HISTOFEV24!$A$6:$AV$49,38,0)</f>
        <v>0</v>
      </c>
      <c r="J37" s="7">
        <f>IF(H37=0,0,VLOOKUP($A37,[6]HISTOFEV24!$A$6:$AV$49,42,0))</f>
        <v>0</v>
      </c>
      <c r="K37" s="7">
        <f>VLOOKUP($A37,[6]HISTOFEV24!$A$6:$AV$49,41,0)</f>
        <v>0</v>
      </c>
      <c r="L37" s="7">
        <f>TONTJANV24!H37+TONTJANV24!I37</f>
        <v>0</v>
      </c>
      <c r="M37" s="7">
        <f>VLOOKUP($A37,[6]HISTOFEV24!$A$6:$AV$49,16,0)</f>
        <v>0</v>
      </c>
      <c r="N37" s="7" t="str">
        <f>IF(M37&lt;&gt;0,VLOOKUP($A37,[6]HISTOFEV24!$A$6:$AV$49,8,0),"ECHEC")</f>
        <v>ECHEC</v>
      </c>
      <c r="O37" s="7">
        <f>IF(R37=0,0,VLOOKUP($A37,[6]HISTOFEV24!$A$6:$AV$49,32,0))</f>
        <v>0</v>
      </c>
      <c r="P37" s="7">
        <f>VLOOKUP($A37,[6]HISTOFEV24!$A$6:$AV$49,33,0)</f>
        <v>0</v>
      </c>
      <c r="Q37" s="7">
        <f t="shared" si="1"/>
        <v>0</v>
      </c>
      <c r="R37" s="7">
        <f>VLOOKUP($A37,[6]HISTOFEV24!$A$6:$AV$49,29,0)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9000</v>
      </c>
      <c r="G40" s="8">
        <f t="shared" si="2"/>
        <v>0</v>
      </c>
      <c r="H40" s="8">
        <f t="shared" si="2"/>
        <v>171000</v>
      </c>
      <c r="I40" s="8">
        <f t="shared" si="2"/>
        <v>3000</v>
      </c>
      <c r="J40" s="8">
        <f t="shared" si="2"/>
        <v>0</v>
      </c>
      <c r="K40" s="8">
        <f t="shared" si="2"/>
        <v>0</v>
      </c>
      <c r="L40" s="8">
        <f t="shared" si="2"/>
        <v>0</v>
      </c>
      <c r="M40" s="8">
        <f t="shared" si="2"/>
        <v>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567000</v>
      </c>
      <c r="R40" s="8">
        <f t="shared" si="2"/>
        <v>33000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D46+G46+R40+TONTJANV24!O47</f>
        <v>771000</v>
      </c>
      <c r="N42" s="4"/>
      <c r="O42"/>
      <c r="P42" s="4"/>
    </row>
    <row r="43" spans="1:18" s="2" customFormat="1" ht="17.5" x14ac:dyDescent="0.35">
      <c r="D43" s="8">
        <f>SUMIFS(D6:D39,G6:G39,"ESPECES")</f>
        <v>25000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25000</v>
      </c>
      <c r="K43" s="8"/>
      <c r="L43" s="8" t="s">
        <v>79</v>
      </c>
      <c r="M43" s="8">
        <f>C3*COUNTIF(Q7:Q39,"&gt;0")</f>
        <v>600000</v>
      </c>
      <c r="N43" s="8">
        <f>D3</f>
        <v>2</v>
      </c>
      <c r="O43" s="8">
        <f>COUNTIF(Q7:Q33,"&gt;0")</f>
        <v>2</v>
      </c>
      <c r="P43" s="8"/>
    </row>
    <row r="44" spans="1:18" s="2" customFormat="1" ht="17.5" x14ac:dyDescent="0.35">
      <c r="D44" s="8">
        <f>SUMIFS(D6:D39,G6:G39,"BANQUE")</f>
        <v>775000</v>
      </c>
      <c r="E44" s="8"/>
      <c r="F44" s="8" t="s">
        <v>32</v>
      </c>
      <c r="G44" s="8">
        <f>SUMIFS(M6:M33,N6:N33,"BANQUE")</f>
        <v>0</v>
      </c>
      <c r="H44" s="8">
        <f>SUMIFS(H6:H39,J6:J39,"BANQUE")</f>
        <v>60000</v>
      </c>
      <c r="I44" s="8">
        <f>SUMIFS(Q6:Q39,O6:O39,"BANQUE")</f>
        <v>567000</v>
      </c>
      <c r="J44" s="8">
        <f>D44+G44-H44-I44</f>
        <v>148000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171000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0</v>
      </c>
      <c r="H46" s="8">
        <f>H43+H44</f>
        <v>60000</v>
      </c>
      <c r="I46" s="8">
        <f t="shared" ref="I46:J46" si="3">I43+I44</f>
        <v>567000</v>
      </c>
      <c r="J46" s="8">
        <f t="shared" si="3"/>
        <v>173000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TONTFEV24!M47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TONTFEV24!M49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TONTFEV24!M50</f>
        <v>0</v>
      </c>
      <c r="P50" s="8" t="s">
        <v>53</v>
      </c>
    </row>
  </sheetData>
  <autoFilter ref="A5:R25" xr:uid="{00000000-0009-0000-0000-000002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"/>
  <sheetViews>
    <sheetView workbookViewId="0">
      <pane xSplit="3" ySplit="5" topLeftCell="M33" activePane="bottomRight" state="frozen"/>
      <selection activeCell="G6" sqref="G6:G39"/>
      <selection pane="topRight" activeCell="G6" sqref="G6:G39"/>
      <selection pane="bottomLeft" activeCell="G6" sqref="G6:G39"/>
      <selection pane="bottomRight" activeCell="H9" sqref="H9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8">
        <v>45364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IF(D6=0,0,VLOOKUP($A6,[6]HISTOMARS24!$A$6:$BP$44,10,0))</f>
        <v>1</v>
      </c>
      <c r="C6" s="1" t="str">
        <f>VLOOKUP(A6,[7]LISTADHERENT!A$5:H$60,3,0)</f>
        <v>BAKOP ACHILLE</v>
      </c>
      <c r="D6" s="7">
        <f t="shared" ref="D6:D37" si="0">IF(G6="ECHEC",0,B$3)</f>
        <v>25000</v>
      </c>
      <c r="E6" s="7">
        <f>D6+VLOOKUP($A6,[6]HISTOMARS24!$A$7:$AU$42,45,0)+F6</f>
        <v>72000</v>
      </c>
      <c r="F6" s="7">
        <f>VLOOKUP($A6,[6]HISTOMARS24!$A$6:$AV$48,7,0)</f>
        <v>0</v>
      </c>
      <c r="G6" s="7" t="str">
        <f>VLOOKUP($A6,[6]HISTOMARS24!$A$6:$AV$49,8,0)</f>
        <v>BANQUE</v>
      </c>
      <c r="H6" s="7">
        <f>VLOOKUP($A6,[6]HISTOMARS24!$A$6:$AV$49,35,0)</f>
        <v>0</v>
      </c>
      <c r="I6" s="7">
        <f>VLOOKUP($A6,[6]HISTOMARS24!$A$6:$AV$49,38,0)</f>
        <v>0</v>
      </c>
      <c r="J6" s="7">
        <f>IF(H6=0,0,VLOOKUP($A6,[6]HISTOMARS24!$A$6:$AV$49,42,0))</f>
        <v>0</v>
      </c>
      <c r="K6" s="7">
        <f>VLOOKUP($A6,[6]HISTOMARS24!$A$6:$AV$49,41,0)</f>
        <v>0</v>
      </c>
      <c r="L6" s="7">
        <f>TONTFEV24!H6+TONTFEV24!I6</f>
        <v>61000</v>
      </c>
      <c r="M6" s="7">
        <f>VLOOKUP($A6,[6]HISTOMARS24!$A$6:$AV$49,16,0)</f>
        <v>61000</v>
      </c>
      <c r="N6" s="7" t="str">
        <f>IF(M6&lt;&gt;0,VLOOKUP($A6,[6]HISTOMARS24!$A$6:$AV$49,8,0),"ECHEC")</f>
        <v>BANQUE</v>
      </c>
      <c r="O6" s="7" t="str">
        <f>IF(R6=0,0,VLOOKUP($A6,[6]HISTOMARS24!$A$6:$AV$49,32,0))</f>
        <v>BANQUE</v>
      </c>
      <c r="P6" s="7">
        <f>VLOOKUP($A6,[6]HISTOMARS24!$A$6:$AV$49,33,0)</f>
        <v>0</v>
      </c>
      <c r="Q6" s="7">
        <f t="shared" ref="Q6:Q37" si="1">IF(R6=0,0,($C$3-R6))</f>
        <v>290000</v>
      </c>
      <c r="R6" s="7">
        <f>VLOOKUP($A6,[6]HISTOMARS24!$A$6:$AV$49,29,0)</f>
        <v>10000</v>
      </c>
    </row>
    <row r="7" spans="1:19" x14ac:dyDescent="0.35">
      <c r="A7" s="1" t="s">
        <v>9</v>
      </c>
      <c r="B7" s="7">
        <f>IF(D7=0,0,VLOOKUP($A7,[6]HISTOMARS24!$A$6:$BP$44,10,0))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D7+VLOOKUP($A7,[6]HISTOMARS24!$A$7:$AU$42,45,0)+F7</f>
        <v>50000</v>
      </c>
      <c r="F7" s="7">
        <f>VLOOKUP($A7,[6]HISTOMARS24!$A$6:$AV$48,7,0)</f>
        <v>0</v>
      </c>
      <c r="G7" s="7" t="str">
        <f>VLOOKUP($A7,[6]HISTOMARS24!$A$6:$AV$49,8,0)</f>
        <v>BANQUE</v>
      </c>
      <c r="H7" s="7">
        <f>VLOOKUP($A7,[6]HISTOMARS24!$A$6:$AV$49,35,0)</f>
        <v>0</v>
      </c>
      <c r="I7" s="7">
        <f>VLOOKUP($A7,[6]HISTOMARS24!$A$6:$AV$49,38,0)</f>
        <v>0</v>
      </c>
      <c r="J7" s="7">
        <f>IF(H7=0,0,VLOOKUP($A7,[6]HISTOMARS24!$A$6:$AV$49,42,0))</f>
        <v>0</v>
      </c>
      <c r="K7" s="7">
        <f>VLOOKUP($A7,[6]HISTOMARS24!$A$6:$AV$49,41,0)</f>
        <v>0</v>
      </c>
      <c r="L7" s="7">
        <f>TONTFEV24!H7+TONTFEV24!I7</f>
        <v>0</v>
      </c>
      <c r="M7" s="7">
        <f>VLOOKUP($A7,[6]HISTOMARS24!$A$6:$AV$49,16,0)</f>
        <v>0</v>
      </c>
      <c r="N7" s="7" t="str">
        <f>IF(M7&lt;&gt;0,VLOOKUP($A7,[6]HISTOMARS24!$A$6:$AV$49,8,0),"ECHEC")</f>
        <v>ECHEC</v>
      </c>
      <c r="O7" s="7">
        <f>IF(R7=0,0,VLOOKUP($A7,[6]HISTOMARS24!$A$6:$AV$49,32,0))</f>
        <v>0</v>
      </c>
      <c r="P7" s="7">
        <f>VLOOKUP($A7,[6]HISTOMARS24!$A$6:$AV$49,33,0)</f>
        <v>0</v>
      </c>
      <c r="Q7" s="7">
        <f t="shared" si="1"/>
        <v>0</v>
      </c>
      <c r="R7" s="7">
        <f>VLOOKUP($A7,[6]HISTOMARS24!$A$6:$AV$49,29,0)</f>
        <v>0</v>
      </c>
    </row>
    <row r="8" spans="1:19" x14ac:dyDescent="0.35">
      <c r="A8" s="1" t="s">
        <v>10</v>
      </c>
      <c r="B8" s="7">
        <f>IF(D8=0,0,VLOOKUP($A8,[6]HISTOMARS24!$A$6:$BP$44,10,0))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D8+VLOOKUP($A8,[6]HISTOMARS24!$A$7:$AU$42,45,0)+F8</f>
        <v>50000</v>
      </c>
      <c r="F8" s="7">
        <f>VLOOKUP($A8,[6]HISTOMARS24!$A$6:$AV$48,7,0)</f>
        <v>0</v>
      </c>
      <c r="G8" s="7" t="str">
        <f>VLOOKUP($A8,[6]HISTOMARS24!$A$6:$AV$49,8,0)</f>
        <v>BANQUE</v>
      </c>
      <c r="H8" s="7">
        <f>VLOOKUP($A8,[6]HISTOMARS24!$A$6:$AV$49,35,0)</f>
        <v>0</v>
      </c>
      <c r="I8" s="7">
        <f>VLOOKUP($A8,[6]HISTOMARS24!$A$6:$AV$49,38,0)</f>
        <v>0</v>
      </c>
      <c r="J8" s="7">
        <f>IF(H8=0,0,VLOOKUP($A8,[6]HISTOMARS24!$A$6:$AV$49,42,0))</f>
        <v>0</v>
      </c>
      <c r="K8" s="7">
        <f>VLOOKUP($A8,[6]HISTOMARS24!$A$6:$AV$49,41,0)</f>
        <v>0</v>
      </c>
      <c r="L8" s="7">
        <f>TONTFEV24!H8+TONTFEV24!I8</f>
        <v>0</v>
      </c>
      <c r="M8" s="7">
        <f>VLOOKUP($A8,[6]HISTOMARS24!$A$6:$AV$49,16,0)</f>
        <v>0</v>
      </c>
      <c r="N8" s="7" t="str">
        <f>IF(M8&lt;&gt;0,VLOOKUP($A8,[6]HISTOMARS24!$A$6:$AV$49,8,0),"ECHEC")</f>
        <v>ECHEC</v>
      </c>
      <c r="O8" s="7" t="str">
        <f>IF(R8=0,0,VLOOKUP($A8,[6]HISTOMARS24!$A$6:$AV$49,32,0))</f>
        <v>BANQUE</v>
      </c>
      <c r="P8" s="7">
        <f>VLOOKUP($A8,[6]HISTOMARS24!$A$6:$AV$49,33,0)</f>
        <v>0</v>
      </c>
      <c r="Q8" s="7">
        <f t="shared" si="1"/>
        <v>282000</v>
      </c>
      <c r="R8" s="7">
        <f>VLOOKUP($A8,[6]HISTOMARS24!$A$6:$AV$49,29,0)</f>
        <v>18000</v>
      </c>
    </row>
    <row r="9" spans="1:19" x14ac:dyDescent="0.35">
      <c r="A9" s="1" t="s">
        <v>52</v>
      </c>
      <c r="B9" s="7">
        <f>IF(D9=0,0,VLOOKUP($A9,[6]HISTOMARS24!$A$6:$BP$44,10,0))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D9+VLOOKUP($A9,[6]HISTOMARS24!$A$7:$AU$42,45,0)+F9</f>
        <v>44000</v>
      </c>
      <c r="F9" s="7">
        <f>VLOOKUP($A9,[6]HISTOMARS24!$A$6:$AV$48,7,0)</f>
        <v>0</v>
      </c>
      <c r="G9" s="7" t="str">
        <f>VLOOKUP($A9,[6]HISTOMARS24!$A$6:$AV$49,8,0)</f>
        <v>BANQUE</v>
      </c>
      <c r="H9" s="7">
        <f>VLOOKUP($A9,[6]HISTOMARS24!$A$6:$AV$49,35,0)</f>
        <v>39000</v>
      </c>
      <c r="I9" s="7">
        <f>VLOOKUP($A9,[6]HISTOMARS24!$A$6:$AV$49,38,0)</f>
        <v>1000</v>
      </c>
      <c r="J9" s="7" t="str">
        <f>IF(H9=0,0,VLOOKUP($A9,[6]HISTOMARS24!$A$6:$AV$49,42,0))</f>
        <v>BANQUE</v>
      </c>
      <c r="K9" s="7">
        <f>VLOOKUP($A9,[6]HISTOMARS24!$A$6:$AV$49,41,0)</f>
        <v>0</v>
      </c>
      <c r="L9" s="7">
        <f>TONTFEV24!H9+TONTFEV24!I9</f>
        <v>61000</v>
      </c>
      <c r="M9" s="7">
        <f>VLOOKUP($A9,[6]HISTOMARS24!$A$6:$AV$49,16,0)</f>
        <v>61000</v>
      </c>
      <c r="N9" s="7" t="str">
        <f>IF(M9&lt;&gt;0,VLOOKUP($A9,[6]HISTOMARS24!$A$6:$AV$49,8,0),"ECHEC")</f>
        <v>BANQUE</v>
      </c>
      <c r="O9" s="7">
        <f>IF(R9=0,0,VLOOKUP($A9,[6]HISTOMARS24!$A$6:$AV$49,32,0))</f>
        <v>0</v>
      </c>
      <c r="P9" s="7">
        <f>VLOOKUP($A9,[6]HISTOMARS24!$A$6:$AV$49,33,0)</f>
        <v>0</v>
      </c>
      <c r="Q9" s="7">
        <f t="shared" si="1"/>
        <v>0</v>
      </c>
      <c r="R9" s="7">
        <f>VLOOKUP($A9,[6]HISTOMARS24!$A$6:$AV$49,29,0)</f>
        <v>0</v>
      </c>
    </row>
    <row r="10" spans="1:19" x14ac:dyDescent="0.35">
      <c r="A10" s="1" t="s">
        <v>11</v>
      </c>
      <c r="B10" s="7">
        <f>IF(D10=0,0,VLOOKUP($A10,[6]HISTOMARS24!$A$6:$BP$44,10,0))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D10+VLOOKUP($A10,[6]HISTOMARS24!$A$7:$AU$42,45,0)+F10</f>
        <v>50000</v>
      </c>
      <c r="F10" s="7">
        <f>VLOOKUP($A10,[6]HISTOMARS24!$A$6:$AV$48,7,0)</f>
        <v>0</v>
      </c>
      <c r="G10" s="7" t="str">
        <f>VLOOKUP($A10,[6]HISTOMARS24!$A$6:$AV$49,8,0)</f>
        <v>BANQUE</v>
      </c>
      <c r="H10" s="7">
        <f>VLOOKUP($A10,[6]HISTOMARS24!$A$6:$AV$49,35,0)</f>
        <v>40000</v>
      </c>
      <c r="I10" s="7">
        <f>VLOOKUP($A10,[6]HISTOMARS24!$A$6:$AV$49,38,0)</f>
        <v>1000</v>
      </c>
      <c r="J10" s="7" t="str">
        <f>IF(H10=0,0,VLOOKUP($A10,[6]HISTOMARS24!$A$6:$AV$49,42,0))</f>
        <v>BANQUE</v>
      </c>
      <c r="K10" s="7">
        <f>VLOOKUP($A10,[6]HISTOMARS24!$A$6:$AV$49,41,0)</f>
        <v>0</v>
      </c>
      <c r="L10" s="7">
        <f>TONTFEV24!H10+TONTFEV24!I10</f>
        <v>0</v>
      </c>
      <c r="M10" s="7">
        <f>VLOOKUP($A10,[6]HISTOMARS24!$A$6:$AV$49,16,0)</f>
        <v>0</v>
      </c>
      <c r="N10" s="7" t="str">
        <f>IF(M10&lt;&gt;0,VLOOKUP($A10,[6]HISTOMARS24!$A$6:$AV$49,8,0),"ECHEC")</f>
        <v>ECHEC</v>
      </c>
      <c r="O10" s="7">
        <f>IF(R10=0,0,VLOOKUP($A10,[6]HISTOMARS24!$A$6:$AV$49,32,0))</f>
        <v>0</v>
      </c>
      <c r="P10" s="7">
        <f>VLOOKUP($A10,[6]HISTOMARS24!$A$6:$AV$49,33,0)</f>
        <v>0</v>
      </c>
      <c r="Q10" s="7">
        <f t="shared" si="1"/>
        <v>0</v>
      </c>
      <c r="R10" s="7">
        <f>VLOOKUP($A10,[6]HISTOMARS24!$A$6:$AV$49,29,0)</f>
        <v>0</v>
      </c>
    </row>
    <row r="11" spans="1:19" x14ac:dyDescent="0.35">
      <c r="A11" s="1" t="s">
        <v>12</v>
      </c>
      <c r="B11" s="7">
        <f>IF(D11=0,0,VLOOKUP($A11,[6]HISTOMARS24!$A$6:$BP$44,10,0))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D11+VLOOKUP($A11,[6]HISTOMARS24!$A$7:$AU$42,45,0)+F11</f>
        <v>55000</v>
      </c>
      <c r="F11" s="7">
        <f>VLOOKUP($A11,[6]HISTOMARS24!$A$6:$AV$48,7,0)</f>
        <v>0</v>
      </c>
      <c r="G11" s="7" t="str">
        <f>VLOOKUP($A11,[6]HISTOMARS24!$A$6:$AV$49,8,0)</f>
        <v>BANQUE</v>
      </c>
      <c r="H11" s="7">
        <f>VLOOKUP($A11,[6]HISTOMARS24!$A$6:$AV$49,35,0)</f>
        <v>0</v>
      </c>
      <c r="I11" s="7">
        <f>VLOOKUP($A11,[6]HISTOMARS24!$A$6:$AV$49,38,0)</f>
        <v>0</v>
      </c>
      <c r="J11" s="7">
        <f>IF(H11=0,0,VLOOKUP($A11,[6]HISTOMARS24!$A$6:$AV$49,42,0))</f>
        <v>0</v>
      </c>
      <c r="K11" s="7">
        <f>VLOOKUP($A11,[6]HISTOMARS24!$A$6:$AV$49,41,0)</f>
        <v>0</v>
      </c>
      <c r="L11" s="7">
        <f>TONTFEV24!H11+TONTFEV24!I11</f>
        <v>0</v>
      </c>
      <c r="M11" s="7">
        <f>VLOOKUP($A11,[6]HISTOMARS24!$A$6:$AV$49,16,0)</f>
        <v>0</v>
      </c>
      <c r="N11" s="7" t="str">
        <f>IF(M11&lt;&gt;0,VLOOKUP($A11,[6]HISTOMARS24!$A$6:$AV$49,8,0),"ECHEC")</f>
        <v>ECHEC</v>
      </c>
      <c r="O11" s="7">
        <f>IF(R11=0,0,VLOOKUP($A11,[6]HISTOMARS24!$A$6:$AV$49,32,0))</f>
        <v>0</v>
      </c>
      <c r="P11" s="7">
        <f>VLOOKUP($A11,[6]HISTOMARS24!$A$6:$AV$49,33,0)</f>
        <v>0</v>
      </c>
      <c r="Q11" s="7">
        <f t="shared" si="1"/>
        <v>0</v>
      </c>
      <c r="R11" s="7">
        <f>VLOOKUP($A11,[6]HISTOMARS24!$A$6:$AV$49,29,0)</f>
        <v>0</v>
      </c>
    </row>
    <row r="12" spans="1:19" x14ac:dyDescent="0.35">
      <c r="A12" s="1" t="s">
        <v>45</v>
      </c>
      <c r="B12" s="7">
        <f>IF(D12=0,0,VLOOKUP($A12,[6]HISTOMARS24!$A$6:$BP$44,10,0))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D12+VLOOKUP($A12,[6]HISTOMARS24!$A$7:$AU$42,45,0)+F12</f>
        <v>50000</v>
      </c>
      <c r="F12" s="7">
        <f>VLOOKUP($A12,[6]HISTOMARS24!$A$6:$AV$48,7,0)</f>
        <v>0</v>
      </c>
      <c r="G12" s="7" t="str">
        <f>VLOOKUP($A12,[6]HISTOMARS24!$A$6:$AV$49,8,0)</f>
        <v>BANQUE</v>
      </c>
      <c r="H12" s="7">
        <f>VLOOKUP($A12,[6]HISTOMARS24!$A$6:$AV$49,35,0)</f>
        <v>0</v>
      </c>
      <c r="I12" s="7">
        <f>VLOOKUP($A12,[6]HISTOMARS24!$A$6:$AV$49,38,0)</f>
        <v>0</v>
      </c>
      <c r="J12" s="7">
        <f>IF(H12=0,0,VLOOKUP($A12,[6]HISTOMARS24!$A$6:$AV$49,42,0))</f>
        <v>0</v>
      </c>
      <c r="K12" s="7">
        <f>VLOOKUP($A12,[6]HISTOMARS24!$A$6:$AV$49,41,0)</f>
        <v>0</v>
      </c>
      <c r="L12" s="7">
        <f>TONTFEV24!H12+TONTFEV24!I12</f>
        <v>0</v>
      </c>
      <c r="M12" s="7">
        <f>VLOOKUP($A12,[6]HISTOMARS24!$A$6:$AV$49,16,0)</f>
        <v>0</v>
      </c>
      <c r="N12" s="7" t="str">
        <f>IF(M12&lt;&gt;0,VLOOKUP($A12,[6]HISTOMARS24!$A$6:$AV$49,8,0),"ECHEC")</f>
        <v>ECHEC</v>
      </c>
      <c r="O12" s="7">
        <f>IF(R12=0,0,VLOOKUP($A12,[6]HISTOMARS24!$A$6:$AV$49,32,0))</f>
        <v>0</v>
      </c>
      <c r="P12" s="7">
        <f>VLOOKUP($A12,[6]HISTOMARS24!$A$6:$AV$49,33,0)</f>
        <v>0</v>
      </c>
      <c r="Q12" s="7">
        <f t="shared" si="1"/>
        <v>0</v>
      </c>
      <c r="R12" s="7">
        <f>VLOOKUP($A12,[6]HISTOMARS24!$A$6:$AV$49,29,0)</f>
        <v>0</v>
      </c>
    </row>
    <row r="13" spans="1:19" x14ac:dyDescent="0.35">
      <c r="A13" s="1" t="s">
        <v>13</v>
      </c>
      <c r="B13" s="7">
        <f>IF(D13=0,0,VLOOKUP($A13,[6]HISTOMARS24!$A$6:$BP$44,10,0))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D13+VLOOKUP($A13,[6]HISTOMARS24!$A$7:$AU$42,45,0)+F13</f>
        <v>50000</v>
      </c>
      <c r="F13" s="7">
        <f>VLOOKUP($A13,[6]HISTOMARS24!$A$6:$AV$48,7,0)</f>
        <v>0</v>
      </c>
      <c r="G13" s="7" t="str">
        <f>VLOOKUP($A13,[6]HISTOMARS24!$A$6:$AV$49,8,0)</f>
        <v>BANQUE</v>
      </c>
      <c r="H13" s="7">
        <f>VLOOKUP($A13,[6]HISTOMARS24!$A$6:$AV$49,35,0)</f>
        <v>0</v>
      </c>
      <c r="I13" s="7">
        <f>VLOOKUP($A13,[6]HISTOMARS24!$A$6:$AV$49,38,0)</f>
        <v>0</v>
      </c>
      <c r="J13" s="7">
        <f>IF(H13=0,0,VLOOKUP($A13,[6]HISTOMARS24!$A$6:$AV$49,42,0))</f>
        <v>0</v>
      </c>
      <c r="K13" s="7">
        <f>VLOOKUP($A13,[6]HISTOMARS24!$A$6:$AV$49,41,0)</f>
        <v>0</v>
      </c>
      <c r="L13" s="7">
        <f>TONTFEV24!H13+TONTFEV24!I13</f>
        <v>0</v>
      </c>
      <c r="M13" s="7">
        <f>VLOOKUP($A13,[6]HISTOMARS24!$A$6:$AV$49,16,0)</f>
        <v>0</v>
      </c>
      <c r="N13" s="7" t="str">
        <f>IF(M13&lt;&gt;0,VLOOKUP($A13,[6]HISTOMARS24!$A$6:$AV$49,8,0),"ECHEC")</f>
        <v>ECHEC</v>
      </c>
      <c r="O13" s="7">
        <f>IF(R13=0,0,VLOOKUP($A13,[6]HISTOMARS24!$A$6:$AV$49,32,0))</f>
        <v>0</v>
      </c>
      <c r="P13" s="7">
        <f>VLOOKUP($A13,[6]HISTOMARS24!$A$6:$AV$49,33,0)</f>
        <v>0</v>
      </c>
      <c r="Q13" s="7">
        <f t="shared" si="1"/>
        <v>0</v>
      </c>
      <c r="R13" s="7">
        <f>VLOOKUP($A13,[6]HISTOMARS24!$A$6:$AV$49,29,0)</f>
        <v>0</v>
      </c>
    </row>
    <row r="14" spans="1:19" x14ac:dyDescent="0.35">
      <c r="A14" s="1" t="s">
        <v>14</v>
      </c>
      <c r="B14" s="7">
        <f>IF(D14=0,0,VLOOKUP($A14,[6]HISTOMARS24!$A$6:$BP$44,10,0))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D14+VLOOKUP($A14,[6]HISTOMARS24!$A$7:$AU$42,45,0)+F14</f>
        <v>50000</v>
      </c>
      <c r="F14" s="7">
        <f>VLOOKUP($A14,[6]HISTOMARS24!$A$6:$AV$48,7,0)</f>
        <v>0</v>
      </c>
      <c r="G14" s="7" t="str">
        <f>VLOOKUP($A14,[6]HISTOMARS24!$A$6:$AV$49,8,0)</f>
        <v>BANQUE</v>
      </c>
      <c r="H14" s="7">
        <f>VLOOKUP($A14,[6]HISTOMARS24!$A$6:$AV$49,35,0)</f>
        <v>0</v>
      </c>
      <c r="I14" s="7">
        <f>VLOOKUP($A14,[6]HISTOMARS24!$A$6:$AV$49,38,0)</f>
        <v>0</v>
      </c>
      <c r="J14" s="7">
        <f>IF(H14=0,0,VLOOKUP($A14,[6]HISTOMARS24!$A$6:$AV$49,42,0))</f>
        <v>0</v>
      </c>
      <c r="K14" s="7">
        <f>VLOOKUP($A14,[6]HISTOMARS24!$A$6:$AV$49,41,0)</f>
        <v>0</v>
      </c>
      <c r="L14" s="7">
        <f>TONTFEV24!H14+TONTFEV24!I14</f>
        <v>0</v>
      </c>
      <c r="M14" s="7">
        <f>VLOOKUP($A14,[6]HISTOMARS24!$A$6:$AV$49,16,0)</f>
        <v>0</v>
      </c>
      <c r="N14" s="7" t="str">
        <f>IF(M14&lt;&gt;0,VLOOKUP($A14,[6]HISTOMARS24!$A$6:$AV$49,8,0),"ECHEC")</f>
        <v>ECHEC</v>
      </c>
      <c r="O14" s="7">
        <f>IF(R14=0,0,VLOOKUP($A14,[6]HISTOMARS24!$A$6:$AV$49,32,0))</f>
        <v>0</v>
      </c>
      <c r="P14" s="7">
        <f>VLOOKUP($A14,[6]HISTOMARS24!$A$6:$AV$49,33,0)</f>
        <v>0</v>
      </c>
      <c r="Q14" s="7">
        <f t="shared" si="1"/>
        <v>0</v>
      </c>
      <c r="R14" s="7">
        <f>VLOOKUP($A14,[6]HISTOMARS24!$A$6:$AV$49,29,0)</f>
        <v>0</v>
      </c>
      <c r="S14" s="1"/>
    </row>
    <row r="15" spans="1:19" x14ac:dyDescent="0.35">
      <c r="A15" s="1" t="s">
        <v>15</v>
      </c>
      <c r="B15" s="7">
        <f>IF(D15=0,0,VLOOKUP($A15,[6]HISTOMARS24!$A$6:$BP$44,10,0))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D15+VLOOKUP($A15,[6]HISTOMARS24!$A$7:$AU$42,45,0)+F15</f>
        <v>85000</v>
      </c>
      <c r="F15" s="7">
        <f>VLOOKUP($A15,[6]HISTOMARS24!$A$6:$AV$48,7,0)</f>
        <v>0</v>
      </c>
      <c r="G15" s="7" t="str">
        <f>VLOOKUP($A15,[6]HISTOMARS24!$A$6:$AV$49,8,0)</f>
        <v>BANQUE</v>
      </c>
      <c r="H15" s="7">
        <f>VLOOKUP($A15,[6]HISTOMARS24!$A$6:$AV$49,35,0)</f>
        <v>0</v>
      </c>
      <c r="I15" s="7">
        <f>VLOOKUP($A15,[6]HISTOMARS24!$A$6:$AV$49,38,0)</f>
        <v>0</v>
      </c>
      <c r="J15" s="7">
        <f>IF(H15=0,0,VLOOKUP($A15,[6]HISTOMARS24!$A$6:$AV$49,42,0))</f>
        <v>0</v>
      </c>
      <c r="K15" s="7">
        <f>VLOOKUP($A15,[6]HISTOMARS24!$A$6:$AV$49,41,0)</f>
        <v>0</v>
      </c>
      <c r="L15" s="7">
        <f>TONTFEV24!H15+TONTFEV24!I15</f>
        <v>0</v>
      </c>
      <c r="M15" s="7">
        <f>VLOOKUP($A15,[6]HISTOMARS24!$A$6:$AV$49,16,0)</f>
        <v>0</v>
      </c>
      <c r="N15" s="7" t="str">
        <f>IF(M15&lt;&gt;0,VLOOKUP($A15,[6]HISTOMARS24!$A$6:$AV$49,8,0),"ECHEC")</f>
        <v>ECHEC</v>
      </c>
      <c r="O15" s="7">
        <f>IF(R15=0,0,VLOOKUP($A15,[6]HISTOMARS24!$A$6:$AV$49,32,0))</f>
        <v>0</v>
      </c>
      <c r="P15" s="7">
        <f>VLOOKUP($A15,[6]HISTOMARS24!$A$6:$AV$49,33,0)</f>
        <v>0</v>
      </c>
      <c r="Q15" s="7">
        <f t="shared" si="1"/>
        <v>0</v>
      </c>
      <c r="R15" s="7">
        <f>VLOOKUP($A15,[6]HISTOMARS24!$A$6:$AV$49,29,0)</f>
        <v>0</v>
      </c>
      <c r="S15" s="1"/>
    </row>
    <row r="16" spans="1:19" x14ac:dyDescent="0.35">
      <c r="A16" s="1" t="s">
        <v>16</v>
      </c>
      <c r="B16" s="7">
        <f>IF(D16=0,0,VLOOKUP($A16,[6]HISTOMARS24!$A$6:$BP$44,10,0))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D16+VLOOKUP($A16,[6]HISTOMARS24!$A$7:$AU$42,45,0)+F16</f>
        <v>50000</v>
      </c>
      <c r="F16" s="7">
        <f>VLOOKUP($A16,[6]HISTOMARS24!$A$6:$AV$48,7,0)</f>
        <v>0</v>
      </c>
      <c r="G16" s="7" t="str">
        <f>VLOOKUP($A16,[6]HISTOMARS24!$A$6:$AV$49,8,0)</f>
        <v>BANQUE</v>
      </c>
      <c r="H16" s="7">
        <f>VLOOKUP($A16,[6]HISTOMARS24!$A$6:$AV$49,35,0)</f>
        <v>0</v>
      </c>
      <c r="I16" s="7">
        <f>VLOOKUP($A16,[6]HISTOMARS24!$A$6:$AV$49,38,0)</f>
        <v>0</v>
      </c>
      <c r="J16" s="7">
        <f>IF(H16=0,0,VLOOKUP($A16,[6]HISTOMARS24!$A$6:$AV$49,42,0))</f>
        <v>0</v>
      </c>
      <c r="K16" s="7">
        <f>VLOOKUP($A16,[6]HISTOMARS24!$A$6:$AV$49,41,0)</f>
        <v>0</v>
      </c>
      <c r="L16" s="7">
        <f>TONTFEV24!H16+TONTFEV24!I16</f>
        <v>0</v>
      </c>
      <c r="M16" s="7">
        <f>VLOOKUP($A16,[6]HISTOMARS24!$A$6:$AV$49,16,0)</f>
        <v>0</v>
      </c>
      <c r="N16" s="7" t="str">
        <f>IF(M16&lt;&gt;0,VLOOKUP($A16,[6]HISTOMARS24!$A$6:$AV$49,8,0),"ECHEC")</f>
        <v>ECHEC</v>
      </c>
      <c r="O16" s="7">
        <f>IF(R16=0,0,VLOOKUP($A16,[6]HISTOMARS24!$A$6:$AV$49,32,0))</f>
        <v>0</v>
      </c>
      <c r="P16" s="7">
        <f>VLOOKUP($A16,[6]HISTOMARS24!$A$6:$AV$49,33,0)</f>
        <v>0</v>
      </c>
      <c r="Q16" s="7">
        <f t="shared" si="1"/>
        <v>0</v>
      </c>
      <c r="R16" s="7">
        <f>VLOOKUP($A16,[6]HISTOMARS24!$A$6:$AV$49,29,0)</f>
        <v>0</v>
      </c>
      <c r="S16" s="1"/>
    </row>
    <row r="17" spans="1:19" x14ac:dyDescent="0.35">
      <c r="A17" s="1" t="s">
        <v>17</v>
      </c>
      <c r="B17" s="7">
        <f>IF(D17=0,0,VLOOKUP($A17,[6]HISTOMARS24!$A$6:$BP$44,10,0))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D17+VLOOKUP($A17,[6]HISTOMARS24!$A$7:$AU$42,45,0)+F17</f>
        <v>60000</v>
      </c>
      <c r="F17" s="7">
        <f>VLOOKUP($A17,[6]HISTOMARS24!$A$6:$AV$48,7,0)</f>
        <v>0</v>
      </c>
      <c r="G17" s="7" t="str">
        <f>VLOOKUP($A17,[6]HISTOMARS24!$A$6:$AV$49,8,0)</f>
        <v>BANQUE</v>
      </c>
      <c r="H17" s="7">
        <f>VLOOKUP($A17,[6]HISTOMARS24!$A$6:$AV$49,35,0)</f>
        <v>0</v>
      </c>
      <c r="I17" s="7">
        <f>VLOOKUP($A17,[6]HISTOMARS24!$A$6:$AV$49,38,0)</f>
        <v>0</v>
      </c>
      <c r="J17" s="7">
        <f>IF(H17=0,0,VLOOKUP($A17,[6]HISTOMARS24!$A$6:$AV$49,42,0))</f>
        <v>0</v>
      </c>
      <c r="K17" s="7">
        <f>VLOOKUP($A17,[6]HISTOMARS24!$A$6:$AV$49,41,0)</f>
        <v>0</v>
      </c>
      <c r="L17" s="7">
        <f>TONTFEV24!H17+TONTFEV24!I17</f>
        <v>0</v>
      </c>
      <c r="M17" s="7">
        <f>VLOOKUP($A17,[6]HISTOMARS24!$A$6:$AV$49,16,0)</f>
        <v>0</v>
      </c>
      <c r="N17" s="7" t="str">
        <f>IF(M17&lt;&gt;0,VLOOKUP($A17,[6]HISTOMARS24!$A$6:$AV$49,8,0),"ECHEC")</f>
        <v>ECHEC</v>
      </c>
      <c r="O17" s="7">
        <f>IF(R17=0,0,VLOOKUP($A17,[6]HISTOMARS24!$A$6:$AV$49,32,0))</f>
        <v>0</v>
      </c>
      <c r="P17" s="7">
        <f>VLOOKUP($A17,[6]HISTOMARS24!$A$6:$AV$49,33,0)</f>
        <v>0</v>
      </c>
      <c r="Q17" s="7">
        <f t="shared" si="1"/>
        <v>0</v>
      </c>
      <c r="R17" s="7">
        <f>VLOOKUP($A17,[6]HISTOMARS24!$A$6:$AV$49,29,0)</f>
        <v>0</v>
      </c>
      <c r="S17" s="1"/>
    </row>
    <row r="18" spans="1:19" x14ac:dyDescent="0.35">
      <c r="A18" s="1" t="s">
        <v>96</v>
      </c>
      <c r="B18" s="7">
        <f>IF(D18=0,0,VLOOKUP($A18,[6]HISTOMARS24!$A$6:$BP$44,10,0))</f>
        <v>1</v>
      </c>
      <c r="C18" s="1" t="str">
        <f>VLOOKUP(A18,[7]LISTADHERENT!A$5:H$60,3,0)</f>
        <v>MASSEUNGOUE DAGOBERT</v>
      </c>
      <c r="D18" s="7">
        <f t="shared" si="0"/>
        <v>25000</v>
      </c>
      <c r="E18" s="7">
        <f>D18+VLOOKUP($A18,[6]HISTOMARS24!$A$7:$AU$42,45,0)+F18</f>
        <v>50000</v>
      </c>
      <c r="F18" s="7">
        <f>VLOOKUP($A18,[6]HISTOMARS24!$A$6:$AV$48,7,0)</f>
        <v>0</v>
      </c>
      <c r="G18" s="7" t="str">
        <f>VLOOKUP($A18,[6]HISTOMARS24!$A$6:$AV$49,8,0)</f>
        <v>BANQUE</v>
      </c>
      <c r="H18" s="7">
        <f>VLOOKUP($A18,[6]HISTOMARS24!$A$6:$AV$49,35,0)</f>
        <v>0</v>
      </c>
      <c r="I18" s="7">
        <f>VLOOKUP($A18,[6]HISTOMARS24!$A$6:$AV$49,38,0)</f>
        <v>0</v>
      </c>
      <c r="J18" s="7">
        <f>IF(H18=0,0,VLOOKUP($A18,[6]HISTOMARS24!$A$6:$AV$49,42,0))</f>
        <v>0</v>
      </c>
      <c r="K18" s="7">
        <f>VLOOKUP($A18,[6]HISTOMARS24!$A$6:$AV$49,41,0)</f>
        <v>0</v>
      </c>
      <c r="L18" s="7">
        <f>TONTFEV24!H18+TONTFEV24!I18</f>
        <v>0</v>
      </c>
      <c r="M18" s="7">
        <f>VLOOKUP($A18,[6]HISTOMARS24!$A$6:$AV$49,16,0)</f>
        <v>0</v>
      </c>
      <c r="N18" s="7" t="str">
        <f>IF(M18&lt;&gt;0,VLOOKUP($A18,[6]HISTOMARS24!$A$6:$AV$49,8,0),"ECHEC")</f>
        <v>ECHEC</v>
      </c>
      <c r="O18" s="7">
        <f>IF(R18=0,0,VLOOKUP($A18,[6]HISTOMARS24!$A$6:$AV$49,32,0))</f>
        <v>0</v>
      </c>
      <c r="P18" s="7">
        <f>VLOOKUP($A18,[6]HISTOMARS24!$A$6:$AV$49,33,0)</f>
        <v>0</v>
      </c>
      <c r="Q18" s="7">
        <f t="shared" si="1"/>
        <v>0</v>
      </c>
      <c r="R18" s="7">
        <f>VLOOKUP($A18,[6]HISTOMARS24!$A$6:$AV$49,29,0)</f>
        <v>0</v>
      </c>
      <c r="S18" s="1"/>
    </row>
    <row r="19" spans="1:19" x14ac:dyDescent="0.35">
      <c r="A19" s="1" t="s">
        <v>44</v>
      </c>
      <c r="B19" s="7">
        <f>IF(D19=0,0,VLOOKUP($A19,[6]HISTOMARS24!$A$6:$BP$44,10,0))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D19+VLOOKUP($A19,[6]HISTOMARS24!$A$7:$AU$42,45,0)+F19</f>
        <v>50000</v>
      </c>
      <c r="F19" s="7">
        <f>VLOOKUP($A19,[6]HISTOMARS24!$A$6:$AV$48,7,0)</f>
        <v>0</v>
      </c>
      <c r="G19" s="7" t="str">
        <f>VLOOKUP($A19,[6]HISTOMARS24!$A$6:$AV$49,8,0)</f>
        <v>BANQUE</v>
      </c>
      <c r="H19" s="7">
        <f>VLOOKUP($A19,[6]HISTOMARS24!$A$6:$AV$49,35,0)</f>
        <v>0</v>
      </c>
      <c r="I19" s="7">
        <f>VLOOKUP($A19,[6]HISTOMARS24!$A$6:$AV$49,38,0)</f>
        <v>0</v>
      </c>
      <c r="J19" s="7">
        <f>IF(H19=0,0,VLOOKUP($A19,[6]HISTOMARS24!$A$6:$AV$49,42,0))</f>
        <v>0</v>
      </c>
      <c r="K19" s="7">
        <f>VLOOKUP($A19,[6]HISTOMARS24!$A$6:$AV$49,41,0)</f>
        <v>0</v>
      </c>
      <c r="L19" s="7">
        <f>TONTFEV24!H19+TONTFEV24!I19</f>
        <v>0</v>
      </c>
      <c r="M19" s="7">
        <f>VLOOKUP($A19,[6]HISTOMARS24!$A$6:$AV$49,16,0)</f>
        <v>0</v>
      </c>
      <c r="N19" s="7" t="str">
        <f>IF(M19&lt;&gt;0,VLOOKUP($A19,[6]HISTOMARS24!$A$6:$AV$49,8,0),"ECHEC")</f>
        <v>ECHEC</v>
      </c>
      <c r="O19" s="7">
        <f>IF(R19=0,0,VLOOKUP($A19,[6]HISTOMARS24!$A$6:$AV$49,32,0))</f>
        <v>0</v>
      </c>
      <c r="P19" s="7">
        <f>VLOOKUP($A19,[6]HISTOMARS24!$A$6:$AV$49,33,0)</f>
        <v>0</v>
      </c>
      <c r="Q19" s="7">
        <f t="shared" si="1"/>
        <v>0</v>
      </c>
      <c r="R19" s="7">
        <f>VLOOKUP($A19,[6]HISTOMARS24!$A$6:$AV$49,29,0)</f>
        <v>0</v>
      </c>
      <c r="S19" s="1"/>
    </row>
    <row r="20" spans="1:19" x14ac:dyDescent="0.35">
      <c r="A20" s="1" t="s">
        <v>25</v>
      </c>
      <c r="B20" s="7">
        <f>IF(D20=0,0,VLOOKUP($A20,[6]HISTOMARS24!$A$6:$BP$44,10,0))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D20+VLOOKUP($A20,[6]HISTOMARS24!$A$7:$AU$42,45,0)+F20</f>
        <v>50000</v>
      </c>
      <c r="F20" s="7">
        <f>VLOOKUP($A20,[6]HISTOMARS24!$A$6:$AV$48,7,0)</f>
        <v>0</v>
      </c>
      <c r="G20" s="7" t="str">
        <f>VLOOKUP($A20,[6]HISTOMARS24!$A$6:$AV$49,8,0)</f>
        <v>BANQUE</v>
      </c>
      <c r="H20" s="7">
        <f>VLOOKUP($A20,[6]HISTOMARS24!$A$6:$AV$49,35,0)</f>
        <v>0</v>
      </c>
      <c r="I20" s="7">
        <f>VLOOKUP($A20,[6]HISTOMARS24!$A$6:$AV$49,38,0)</f>
        <v>0</v>
      </c>
      <c r="J20" s="7">
        <f>IF(H20=0,0,VLOOKUP($A20,[6]HISTOMARS24!$A$6:$AV$49,42,0))</f>
        <v>0</v>
      </c>
      <c r="K20" s="7">
        <f>VLOOKUP($A20,[6]HISTOMARS24!$A$6:$AV$49,41,0)</f>
        <v>0</v>
      </c>
      <c r="L20" s="7">
        <f>TONTFEV24!H20+TONTFEV24!I20</f>
        <v>0</v>
      </c>
      <c r="M20" s="7">
        <f>VLOOKUP($A20,[6]HISTOMARS24!$A$6:$AV$49,16,0)</f>
        <v>0</v>
      </c>
      <c r="N20" s="7" t="str">
        <f>IF(M20&lt;&gt;0,VLOOKUP($A20,[6]HISTOMARS24!$A$6:$AV$49,8,0),"ECHEC")</f>
        <v>ECHEC</v>
      </c>
      <c r="O20" s="7">
        <f>IF(R20=0,0,VLOOKUP($A20,[6]HISTOMARS24!$A$6:$AV$49,32,0))</f>
        <v>0</v>
      </c>
      <c r="P20" s="7">
        <f>VLOOKUP($A20,[6]HISTOMARS24!$A$6:$AV$49,33,0)</f>
        <v>0</v>
      </c>
      <c r="Q20" s="7">
        <f t="shared" si="1"/>
        <v>0</v>
      </c>
      <c r="R20" s="7">
        <f>VLOOKUP($A20,[6]HISTOMARS24!$A$6:$AV$49,29,0)</f>
        <v>0</v>
      </c>
      <c r="S20" s="1"/>
    </row>
    <row r="21" spans="1:19" x14ac:dyDescent="0.35">
      <c r="A21" s="1" t="s">
        <v>18</v>
      </c>
      <c r="B21" s="7">
        <f>IF(D21=0,0,VLOOKUP($A21,[6]HISTOMARS24!$A$6:$BP$44,10,0))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D21+VLOOKUP($A21,[6]HISTOMARS24!$A$7:$AU$42,45,0)+F21</f>
        <v>50000</v>
      </c>
      <c r="F21" s="7">
        <f>VLOOKUP($A21,[6]HISTOMARS24!$A$6:$AV$48,7,0)</f>
        <v>0</v>
      </c>
      <c r="G21" s="7" t="str">
        <f>VLOOKUP($A21,[6]HISTOMARS24!$A$6:$AV$49,8,0)</f>
        <v>BANQUE</v>
      </c>
      <c r="H21" s="7">
        <f>VLOOKUP($A21,[6]HISTOMARS24!$A$6:$AV$49,35,0)</f>
        <v>0</v>
      </c>
      <c r="I21" s="7">
        <f>VLOOKUP($A21,[6]HISTOMARS24!$A$6:$AV$49,38,0)</f>
        <v>0</v>
      </c>
      <c r="J21" s="7">
        <f>IF(H21=0,0,VLOOKUP($A21,[6]HISTOMARS24!$A$6:$AV$49,42,0))</f>
        <v>0</v>
      </c>
      <c r="K21" s="7">
        <f>VLOOKUP($A21,[6]HISTOMARS24!$A$6:$AV$49,41,0)</f>
        <v>0</v>
      </c>
      <c r="L21" s="7">
        <f>TONTFEV24!H21+TONTFEV24!I21</f>
        <v>0</v>
      </c>
      <c r="M21" s="7">
        <f>VLOOKUP($A21,[6]HISTOMARS24!$A$6:$AV$49,16,0)</f>
        <v>0</v>
      </c>
      <c r="N21" s="7" t="str">
        <f>IF(M21&lt;&gt;0,VLOOKUP($A21,[6]HISTOMARS24!$A$6:$AV$49,8,0),"ECHEC")</f>
        <v>ECHEC</v>
      </c>
      <c r="O21" s="7" t="str">
        <f>IF(R21=0,0,VLOOKUP($A21,[6]HISTOMARS24!$A$6:$AV$49,32,0))</f>
        <v>BANQUE</v>
      </c>
      <c r="P21" s="7">
        <f>VLOOKUP($A21,[6]HISTOMARS24!$A$6:$AV$49,33,0)</f>
        <v>0</v>
      </c>
      <c r="Q21" s="7">
        <f t="shared" si="1"/>
        <v>283000</v>
      </c>
      <c r="R21" s="7">
        <f>VLOOKUP($A21,[6]HISTOMARS24!$A$6:$AV$49,29,0)</f>
        <v>17000</v>
      </c>
      <c r="S21" s="1"/>
    </row>
    <row r="22" spans="1:19" x14ac:dyDescent="0.35">
      <c r="A22" s="1" t="s">
        <v>19</v>
      </c>
      <c r="B22" s="7">
        <f>IF(D22=0,0,VLOOKUP($A22,[6]HISTOMARS24!$A$6:$BP$44,10,0))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D22+VLOOKUP($A22,[6]HISTOMARS24!$A$7:$AU$42,45,0)+F22</f>
        <v>60000</v>
      </c>
      <c r="F22" s="7">
        <f>VLOOKUP($A22,[6]HISTOMARS24!$A$6:$AV$48,7,0)</f>
        <v>0</v>
      </c>
      <c r="G22" s="7" t="str">
        <f>VLOOKUP($A22,[6]HISTOMARS24!$A$6:$AV$49,8,0)</f>
        <v>BANQUE</v>
      </c>
      <c r="H22" s="7">
        <f>VLOOKUP($A22,[6]HISTOMARS24!$A$6:$AV$49,35,0)</f>
        <v>0</v>
      </c>
      <c r="I22" s="7">
        <f>VLOOKUP($A22,[6]HISTOMARS24!$A$6:$AV$49,38,0)</f>
        <v>0</v>
      </c>
      <c r="J22" s="7">
        <f>IF(H22=0,0,VLOOKUP($A22,[6]HISTOMARS24!$A$6:$AV$49,42,0))</f>
        <v>0</v>
      </c>
      <c r="K22" s="7">
        <f>VLOOKUP($A22,[6]HISTOMARS24!$A$6:$AV$49,41,0)</f>
        <v>0</v>
      </c>
      <c r="L22" s="7">
        <f>TONTFEV24!H22+TONTFEV24!I22</f>
        <v>0</v>
      </c>
      <c r="M22" s="7">
        <f>VLOOKUP($A22,[6]HISTOMARS24!$A$6:$AV$49,16,0)</f>
        <v>0</v>
      </c>
      <c r="N22" s="7" t="str">
        <f>IF(M22&lt;&gt;0,VLOOKUP($A22,[6]HISTOMARS24!$A$6:$AV$49,8,0),"ECHEC")</f>
        <v>ECHEC</v>
      </c>
      <c r="O22" s="7">
        <f>IF(R22=0,0,VLOOKUP($A22,[6]HISTOMARS24!$A$6:$AV$49,32,0))</f>
        <v>0</v>
      </c>
      <c r="P22" s="7">
        <f>VLOOKUP($A22,[6]HISTOMARS24!$A$6:$AV$49,33,0)</f>
        <v>0</v>
      </c>
      <c r="Q22" s="7">
        <f t="shared" si="1"/>
        <v>0</v>
      </c>
      <c r="R22" s="7">
        <f>VLOOKUP($A22,[6]HISTOMARS24!$A$6:$AV$49,29,0)</f>
        <v>0</v>
      </c>
      <c r="S22" s="1"/>
    </row>
    <row r="23" spans="1:19" x14ac:dyDescent="0.35">
      <c r="A23" s="1" t="s">
        <v>20</v>
      </c>
      <c r="B23" s="7">
        <f>IF(D23=0,0,VLOOKUP($A23,[6]HISTOMARS24!$A$6:$BP$44,10,0))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D23+VLOOKUP($A23,[6]HISTOMARS24!$A$7:$AU$42,45,0)+F23</f>
        <v>65000</v>
      </c>
      <c r="F23" s="7">
        <f>VLOOKUP($A23,[6]HISTOMARS24!$A$6:$AV$48,7,0)</f>
        <v>0</v>
      </c>
      <c r="G23" s="7" t="str">
        <f>VLOOKUP($A23,[6]HISTOMARS24!$A$6:$AV$49,8,0)</f>
        <v>BANQUE</v>
      </c>
      <c r="H23" s="7">
        <f>VLOOKUP($A23,[6]HISTOMARS24!$A$6:$AV$49,35,0)</f>
        <v>0</v>
      </c>
      <c r="I23" s="7">
        <f>VLOOKUP($A23,[6]HISTOMARS24!$A$6:$AV$49,38,0)</f>
        <v>0</v>
      </c>
      <c r="J23" s="7">
        <f>IF(H23=0,0,VLOOKUP($A23,[6]HISTOMARS24!$A$6:$AV$49,42,0))</f>
        <v>0</v>
      </c>
      <c r="K23" s="7">
        <f>VLOOKUP($A23,[6]HISTOMARS24!$A$6:$AV$49,41,0)</f>
        <v>0</v>
      </c>
      <c r="L23" s="7">
        <f>TONTFEV24!H23+TONTFEV24!I23</f>
        <v>0</v>
      </c>
      <c r="M23" s="7">
        <f>VLOOKUP($A23,[6]HISTOMARS24!$A$6:$AV$49,16,0)</f>
        <v>0</v>
      </c>
      <c r="N23" s="7" t="str">
        <f>IF(M23&lt;&gt;0,VLOOKUP($A23,[6]HISTOMARS24!$A$6:$AV$49,8,0),"ECHEC")</f>
        <v>ECHEC</v>
      </c>
      <c r="O23" s="7">
        <f>IF(R23=0,0,VLOOKUP($A23,[6]HISTOMARS24!$A$6:$AV$49,32,0))</f>
        <v>0</v>
      </c>
      <c r="P23" s="7">
        <f>VLOOKUP($A23,[6]HISTOMARS24!$A$6:$AV$49,33,0)</f>
        <v>0</v>
      </c>
      <c r="Q23" s="7">
        <f t="shared" si="1"/>
        <v>0</v>
      </c>
      <c r="R23" s="7">
        <f>VLOOKUP($A23,[6]HISTOMARS24!$A$6:$AV$49,29,0)</f>
        <v>0</v>
      </c>
      <c r="S23" s="1"/>
    </row>
    <row r="24" spans="1:19" x14ac:dyDescent="0.35">
      <c r="A24" s="1" t="s">
        <v>21</v>
      </c>
      <c r="B24" s="7">
        <f>IF(D24=0,0,VLOOKUP($A24,[6]HISTOMARS24!$A$6:$BP$44,10,0))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D24+VLOOKUP($A24,[6]HISTOMARS24!$A$7:$AU$42,45,0)+F24</f>
        <v>53000</v>
      </c>
      <c r="F24" s="7">
        <f>VLOOKUP($A24,[6]HISTOMARS24!$A$6:$AV$48,7,0)</f>
        <v>3000</v>
      </c>
      <c r="G24" s="7" t="str">
        <f>VLOOKUP($A24,[6]HISTOMARS24!$A$6:$AV$49,8,0)</f>
        <v>BANQUE</v>
      </c>
      <c r="H24" s="7">
        <f>VLOOKUP($A24,[6]HISTOMARS24!$A$6:$AV$49,35,0)</f>
        <v>0</v>
      </c>
      <c r="I24" s="7">
        <f>VLOOKUP($A24,[6]HISTOMARS24!$A$6:$AV$49,38,0)</f>
        <v>0</v>
      </c>
      <c r="J24" s="7">
        <f>IF(H24=0,0,VLOOKUP($A24,[6]HISTOMARS24!$A$6:$AV$49,42,0))</f>
        <v>0</v>
      </c>
      <c r="K24" s="7">
        <f>VLOOKUP($A24,[6]HISTOMARS24!$A$6:$AV$49,41,0)</f>
        <v>0</v>
      </c>
      <c r="L24" s="7">
        <f>TONTFEV24!H24+TONTFEV24!I24</f>
        <v>0</v>
      </c>
      <c r="M24" s="7">
        <f>VLOOKUP($A24,[6]HISTOMARS24!$A$6:$AV$49,16,0)</f>
        <v>0</v>
      </c>
      <c r="N24" s="7" t="str">
        <f>IF(M24&lt;&gt;0,VLOOKUP($A24,[6]HISTOMARS24!$A$6:$AV$49,8,0),"ECHEC")</f>
        <v>ECHEC</v>
      </c>
      <c r="O24" s="7">
        <f>IF(R24=0,0,VLOOKUP($A24,[6]HISTOMARS24!$A$6:$AV$49,32,0))</f>
        <v>0</v>
      </c>
      <c r="P24" s="7">
        <f>VLOOKUP($A24,[6]HISTOMARS24!$A$6:$AV$49,33,0)</f>
        <v>0</v>
      </c>
      <c r="Q24" s="7">
        <f t="shared" si="1"/>
        <v>0</v>
      </c>
      <c r="R24" s="7">
        <f>VLOOKUP($A24,[6]HISTOMARS24!$A$6:$AV$49,29,0)</f>
        <v>0</v>
      </c>
      <c r="S24" s="1"/>
    </row>
    <row r="25" spans="1:19" x14ac:dyDescent="0.35">
      <c r="A25" s="1" t="s">
        <v>22</v>
      </c>
      <c r="B25" s="7">
        <f>IF(D25=0,0,VLOOKUP($A25,[6]HISTOMARS24!$A$6:$BP$44,10,0))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D25+VLOOKUP($A25,[6]HISTOMARS24!$A$7:$AU$42,45,0)+F25</f>
        <v>50000</v>
      </c>
      <c r="F25" s="7">
        <f>VLOOKUP($A25,[6]HISTOMARS24!$A$6:$AV$48,7,0)</f>
        <v>0</v>
      </c>
      <c r="G25" s="7" t="str">
        <f>VLOOKUP($A25,[6]HISTOMARS24!$A$6:$AV$49,8,0)</f>
        <v>BANQUE</v>
      </c>
      <c r="H25" s="7">
        <f>VLOOKUP($A25,[6]HISTOMARS24!$A$6:$AV$49,35,0)</f>
        <v>0</v>
      </c>
      <c r="I25" s="7">
        <f>VLOOKUP($A25,[6]HISTOMARS24!$A$6:$AV$49,38,0)</f>
        <v>0</v>
      </c>
      <c r="J25" s="7">
        <f>IF(H25=0,0,VLOOKUP($A25,[6]HISTOMARS24!$A$6:$AV$49,42,0))</f>
        <v>0</v>
      </c>
      <c r="K25" s="7">
        <f>VLOOKUP($A25,[6]HISTOMARS24!$A$6:$AV$49,41,0)</f>
        <v>0</v>
      </c>
      <c r="L25" s="7">
        <f>TONTFEV24!H25+TONTFEV24!I25</f>
        <v>0</v>
      </c>
      <c r="M25" s="7">
        <f>VLOOKUP($A25,[6]HISTOMARS24!$A$6:$AV$49,16,0)</f>
        <v>0</v>
      </c>
      <c r="N25" s="7" t="str">
        <f>IF(M25&lt;&gt;0,VLOOKUP($A25,[6]HISTOMARS24!$A$6:$AV$49,8,0),"ECHEC")</f>
        <v>ECHEC</v>
      </c>
      <c r="O25" s="7">
        <f>IF(R25=0,0,VLOOKUP($A25,[6]HISTOMARS24!$A$6:$AV$49,32,0))</f>
        <v>0</v>
      </c>
      <c r="P25" s="7">
        <f>VLOOKUP($A25,[6]HISTOMARS24!$A$6:$AV$49,33,0)</f>
        <v>0</v>
      </c>
      <c r="Q25" s="7">
        <f t="shared" si="1"/>
        <v>0</v>
      </c>
      <c r="R25" s="7">
        <f>VLOOKUP($A25,[6]HISTOMARS24!$A$6:$AV$49,29,0)</f>
        <v>0</v>
      </c>
      <c r="S25" s="1"/>
    </row>
    <row r="26" spans="1:19" x14ac:dyDescent="0.35">
      <c r="A26" s="1" t="s">
        <v>85</v>
      </c>
      <c r="B26" s="7">
        <f>IF(D26=0,0,VLOOKUP($A26,[6]HISTOMARS24!$A$6:$BP$44,10,0))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D26+VLOOKUP($A26,[6]HISTOMARS24!$A$7:$AU$42,45,0)+F26</f>
        <v>50000</v>
      </c>
      <c r="F26" s="7">
        <f>VLOOKUP($A26,[6]HISTOMARS24!$A$6:$AV$48,7,0)</f>
        <v>0</v>
      </c>
      <c r="G26" s="7" t="str">
        <f>VLOOKUP($A26,[6]HISTOMARS24!$A$6:$AV$49,8,0)</f>
        <v>BANQUE</v>
      </c>
      <c r="H26" s="7">
        <f>VLOOKUP($A26,[6]HISTOMARS24!$A$6:$AV$49,35,0)</f>
        <v>0</v>
      </c>
      <c r="I26" s="7">
        <f>VLOOKUP($A26,[6]HISTOMARS24!$A$6:$AV$49,38,0)</f>
        <v>0</v>
      </c>
      <c r="J26" s="7">
        <f>IF(H26=0,0,VLOOKUP($A26,[6]HISTOMARS24!$A$6:$AV$49,42,0))</f>
        <v>0</v>
      </c>
      <c r="K26" s="7">
        <f>VLOOKUP($A26,[6]HISTOMARS24!$A$6:$AV$49,41,0)</f>
        <v>0</v>
      </c>
      <c r="L26" s="7">
        <f>TONTFEV24!H26+TONTFEV24!I26</f>
        <v>0</v>
      </c>
      <c r="M26" s="7">
        <f>VLOOKUP($A26,[6]HISTOMARS24!$A$6:$AV$49,16,0)</f>
        <v>0</v>
      </c>
      <c r="N26" s="7" t="str">
        <f>IF(M26&lt;&gt;0,VLOOKUP($A26,[6]HISTOMARS24!$A$6:$AV$49,8,0),"ECHEC")</f>
        <v>ECHEC</v>
      </c>
      <c r="O26" s="7">
        <f>IF(R26=0,0,VLOOKUP($A26,[6]HISTOMARS24!$A$6:$AV$49,32,0))</f>
        <v>0</v>
      </c>
      <c r="P26" s="7">
        <f>VLOOKUP($A26,[6]HISTOMARS24!$A$6:$AV$49,33,0)</f>
        <v>0</v>
      </c>
      <c r="Q26" s="7">
        <f t="shared" si="1"/>
        <v>0</v>
      </c>
      <c r="R26" s="7">
        <f>VLOOKUP($A26,[6]HISTOMARS24!$A$6:$AV$49,29,0)</f>
        <v>0</v>
      </c>
    </row>
    <row r="27" spans="1:19" x14ac:dyDescent="0.35">
      <c r="A27" s="1" t="s">
        <v>23</v>
      </c>
      <c r="B27" s="7">
        <f>IF(D27=0,0,VLOOKUP($A27,[6]HISTOMARS24!$A$6:$BP$44,10,0))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D27+VLOOKUP($A27,[6]HISTOMARS24!$A$7:$AU$42,45,0)+F27</f>
        <v>50000</v>
      </c>
      <c r="F27" s="7">
        <f>VLOOKUP($A27,[6]HISTOMARS24!$A$6:$AV$48,7,0)</f>
        <v>0</v>
      </c>
      <c r="G27" s="7" t="str">
        <f>VLOOKUP($A27,[6]HISTOMARS24!$A$6:$AV$49,8,0)</f>
        <v>BANQUE</v>
      </c>
      <c r="H27" s="7">
        <f>VLOOKUP($A27,[6]HISTOMARS24!$A$6:$AV$49,35,0)</f>
        <v>0</v>
      </c>
      <c r="I27" s="7">
        <f>VLOOKUP($A27,[6]HISTOMARS24!$A$6:$AV$49,38,0)</f>
        <v>0</v>
      </c>
      <c r="J27" s="7">
        <f>IF(H27=0,0,VLOOKUP($A27,[6]HISTOMARS24!$A$6:$AV$49,42,0))</f>
        <v>0</v>
      </c>
      <c r="K27" s="7">
        <f>VLOOKUP($A27,[6]HISTOMARS24!$A$6:$AV$49,41,0)</f>
        <v>0</v>
      </c>
      <c r="L27" s="7">
        <f>TONTFEV24!H27+TONTFEV24!I27</f>
        <v>0</v>
      </c>
      <c r="M27" s="7">
        <f>VLOOKUP($A27,[6]HISTOMARS24!$A$6:$AV$49,16,0)</f>
        <v>0</v>
      </c>
      <c r="N27" s="7" t="str">
        <f>IF(M27&lt;&gt;0,VLOOKUP($A27,[6]HISTOMARS24!$A$6:$AV$49,8,0),"ECHEC")</f>
        <v>ECHEC</v>
      </c>
      <c r="O27" s="7">
        <f>IF(R27=0,0,VLOOKUP($A27,[6]HISTOMARS24!$A$6:$AV$49,32,0))</f>
        <v>0</v>
      </c>
      <c r="P27" s="7">
        <f>VLOOKUP($A27,[6]HISTOMARS24!$A$6:$AV$49,33,0)</f>
        <v>0</v>
      </c>
      <c r="Q27" s="7">
        <f t="shared" si="1"/>
        <v>0</v>
      </c>
      <c r="R27" s="7">
        <f>VLOOKUP($A27,[6]HISTOMARS24!$A$6:$AV$49,29,0)</f>
        <v>0</v>
      </c>
    </row>
    <row r="28" spans="1:19" x14ac:dyDescent="0.35">
      <c r="A28" s="1" t="s">
        <v>86</v>
      </c>
      <c r="B28" s="7">
        <f>IF(D28=0,0,VLOOKUP($A28,[6]HISTOMARS24!$A$6:$BP$44,10,0))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D28+VLOOKUP($A28,[6]HISTOMARS24!$A$7:$AU$42,45,0)+F28</f>
        <v>50000</v>
      </c>
      <c r="F28" s="7">
        <f>VLOOKUP($A28,[6]HISTOMARS24!$A$6:$AV$48,7,0)</f>
        <v>0</v>
      </c>
      <c r="G28" s="7" t="str">
        <f>VLOOKUP($A28,[6]HISTOMARS24!$A$6:$AV$49,8,0)</f>
        <v>BANQUE</v>
      </c>
      <c r="H28" s="7">
        <f>VLOOKUP($A28,[6]HISTOMARS24!$A$6:$AV$49,35,0)</f>
        <v>40000</v>
      </c>
      <c r="I28" s="7">
        <f>VLOOKUP($A28,[6]HISTOMARS24!$A$6:$AV$49,38,0)</f>
        <v>2500</v>
      </c>
      <c r="J28" s="7">
        <f>IF(H28=0,0,VLOOKUP($A28,[6]HISTOMARS24!$A$6:$AV$49,42,0))</f>
        <v>0</v>
      </c>
      <c r="K28" s="7">
        <f>VLOOKUP($A28,[6]HISTOMARS24!$A$6:$AV$49,41,0)</f>
        <v>0</v>
      </c>
      <c r="L28" s="7">
        <f>TONTFEV24!H28+TONTFEV24!I28</f>
        <v>52000</v>
      </c>
      <c r="M28" s="7">
        <f>VLOOKUP($A28,[6]HISTOMARS24!$A$6:$AV$49,16,0)</f>
        <v>52000</v>
      </c>
      <c r="N28" s="7" t="str">
        <f>IF(M28&lt;&gt;0,VLOOKUP($A28,[6]HISTOMARS24!$A$6:$AV$49,8,0),"ECHEC")</f>
        <v>BANQUE</v>
      </c>
      <c r="O28" s="7">
        <f>IF(R28=0,0,VLOOKUP($A28,[6]HISTOMARS24!$A$6:$AV$49,32,0))</f>
        <v>0</v>
      </c>
      <c r="P28" s="7">
        <f>VLOOKUP($A28,[6]HISTOMARS24!$A$6:$AV$49,33,0)</f>
        <v>0</v>
      </c>
      <c r="Q28" s="7">
        <f t="shared" si="1"/>
        <v>0</v>
      </c>
      <c r="R28" s="7">
        <f>VLOOKUP($A28,[6]HISTOMARS24!$A$6:$AV$49,29,0)</f>
        <v>0</v>
      </c>
    </row>
    <row r="29" spans="1:19" x14ac:dyDescent="0.35">
      <c r="A29" s="1" t="s">
        <v>46</v>
      </c>
      <c r="B29" s="7">
        <f>IF(D29=0,0,VLOOKUP($A29,[6]HISTOMARS24!$A$6:$BP$44,10,0))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D29+VLOOKUP($A29,[6]HISTOMARS24!$A$7:$AU$42,45,0)+F29</f>
        <v>50000</v>
      </c>
      <c r="F29" s="7">
        <f>VLOOKUP($A29,[6]HISTOMARS24!$A$6:$AV$48,7,0)</f>
        <v>0</v>
      </c>
      <c r="G29" s="7" t="str">
        <f>VLOOKUP($A29,[6]HISTOMARS24!$A$6:$AV$49,8,0)</f>
        <v>BANQUE</v>
      </c>
      <c r="H29" s="7">
        <f>VLOOKUP($A29,[6]HISTOMARS24!$A$6:$AV$49,35,0)</f>
        <v>0</v>
      </c>
      <c r="I29" s="7">
        <f>VLOOKUP($A29,[6]HISTOMARS24!$A$6:$AV$49,38,0)</f>
        <v>0</v>
      </c>
      <c r="J29" s="7">
        <f>IF(H29=0,0,VLOOKUP($A29,[6]HISTOMARS24!$A$6:$AV$49,42,0))</f>
        <v>0</v>
      </c>
      <c r="K29" s="7">
        <f>VLOOKUP($A29,[6]HISTOMARS24!$A$6:$AV$49,41,0)</f>
        <v>0</v>
      </c>
      <c r="L29" s="7">
        <f>TONTFEV24!H29+TONTFEV24!I29</f>
        <v>0</v>
      </c>
      <c r="M29" s="7">
        <f>VLOOKUP($A29,[6]HISTOMARS24!$A$6:$AV$49,16,0)</f>
        <v>0</v>
      </c>
      <c r="N29" s="7" t="str">
        <f>IF(M29&lt;&gt;0,VLOOKUP($A29,[6]HISTOMARS24!$A$6:$AV$49,8,0),"ECHEC")</f>
        <v>ECHEC</v>
      </c>
      <c r="O29" s="7">
        <f>IF(R29=0,0,VLOOKUP($A29,[6]HISTOMARS24!$A$6:$AV$49,32,0))</f>
        <v>0</v>
      </c>
      <c r="P29" s="7">
        <f>VLOOKUP($A29,[6]HISTOMARS24!$A$6:$AV$49,33,0)</f>
        <v>0</v>
      </c>
      <c r="Q29" s="7">
        <f t="shared" si="1"/>
        <v>0</v>
      </c>
      <c r="R29" s="7">
        <f>VLOOKUP($A29,[6]HISTOMARS24!$A$6:$AV$49,29,0)</f>
        <v>0</v>
      </c>
    </row>
    <row r="30" spans="1:19" x14ac:dyDescent="0.35">
      <c r="A30" s="1" t="s">
        <v>24</v>
      </c>
      <c r="B30" s="7">
        <f>IF(D30=0,0,VLOOKUP($A30,[6]HISTOMARS24!$A$6:$BP$44,10,0))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D30+VLOOKUP($A30,[6]HISTOMARS24!$A$7:$AU$42,45,0)+F30</f>
        <v>50000</v>
      </c>
      <c r="F30" s="7">
        <f>VLOOKUP($A30,[6]HISTOMARS24!$A$6:$AV$48,7,0)</f>
        <v>0</v>
      </c>
      <c r="G30" s="7" t="str">
        <f>VLOOKUP($A30,[6]HISTOMARS24!$A$6:$AV$49,8,0)</f>
        <v>BANQUE</v>
      </c>
      <c r="H30" s="7">
        <f>VLOOKUP($A30,[6]HISTOMARS24!$A$6:$AV$49,35,0)</f>
        <v>0</v>
      </c>
      <c r="I30" s="7">
        <f>VLOOKUP($A30,[6]HISTOMARS24!$A$6:$AV$49,38,0)</f>
        <v>0</v>
      </c>
      <c r="J30" s="7">
        <f>IF(H30=0,0,VLOOKUP($A30,[6]HISTOMARS24!$A$6:$AV$49,42,0))</f>
        <v>0</v>
      </c>
      <c r="K30" s="7">
        <f>VLOOKUP($A30,[6]HISTOMARS24!$A$6:$AV$49,41,0)</f>
        <v>0</v>
      </c>
      <c r="L30" s="7">
        <f>TONTFEV24!H30+TONTFEV24!I30</f>
        <v>0</v>
      </c>
      <c r="M30" s="7">
        <f>VLOOKUP($A30,[6]HISTOMARS24!$A$6:$AV$49,16,0)</f>
        <v>0</v>
      </c>
      <c r="N30" s="7" t="str">
        <f>IF(M30&lt;&gt;0,VLOOKUP($A30,[6]HISTOMARS24!$A$6:$AV$49,8,0),"ECHEC")</f>
        <v>ECHEC</v>
      </c>
      <c r="O30" s="7">
        <f>IF(R30=0,0,VLOOKUP($A30,[6]HISTOMARS24!$A$6:$AV$49,32,0))</f>
        <v>0</v>
      </c>
      <c r="P30" s="7">
        <f>VLOOKUP($A30,[6]HISTOMARS24!$A$6:$AV$49,33,0)</f>
        <v>0</v>
      </c>
      <c r="Q30" s="7">
        <f t="shared" si="1"/>
        <v>0</v>
      </c>
      <c r="R30" s="7">
        <f>VLOOKUP($A30,[6]HISTOMARS24!$A$6:$AV$49,29,0)</f>
        <v>0</v>
      </c>
    </row>
    <row r="31" spans="1:19" x14ac:dyDescent="0.35">
      <c r="A31" s="1" t="s">
        <v>26</v>
      </c>
      <c r="B31" s="7">
        <f>IF(D31=0,0,VLOOKUP($A31,[6]HISTOMARS24!$A$6:$BP$44,10,0))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D31+VLOOKUP($A31,[6]HISTOMARS24!$A$7:$AU$42,45,0)+F31</f>
        <v>50000</v>
      </c>
      <c r="F31" s="7">
        <f>VLOOKUP($A31,[6]HISTOMARS24!$A$6:$AV$48,7,0)</f>
        <v>0</v>
      </c>
      <c r="G31" s="7" t="str">
        <f>VLOOKUP($A31,[6]HISTOMARS24!$A$6:$AV$49,8,0)</f>
        <v>BANQUE</v>
      </c>
      <c r="H31" s="7">
        <f>VLOOKUP($A31,[6]HISTOMARS24!$A$6:$AV$49,35,0)</f>
        <v>0</v>
      </c>
      <c r="I31" s="7">
        <f>VLOOKUP($A31,[6]HISTOMARS24!$A$6:$AV$49,38,0)</f>
        <v>0</v>
      </c>
      <c r="J31" s="7">
        <f>IF(H31=0,0,VLOOKUP($A31,[6]HISTOMARS24!$A$6:$AV$49,42,0))</f>
        <v>0</v>
      </c>
      <c r="K31" s="7">
        <f>VLOOKUP($A31,[6]HISTOMARS24!$A$6:$AV$49,41,0)</f>
        <v>0</v>
      </c>
      <c r="L31" s="7">
        <f>TONTFEV24!H31+TONTFEV24!I31</f>
        <v>0</v>
      </c>
      <c r="M31" s="7">
        <f>VLOOKUP($A31,[6]HISTOMARS24!$A$6:$AV$49,16,0)</f>
        <v>0</v>
      </c>
      <c r="N31" s="7" t="str">
        <f>IF(M31&lt;&gt;0,VLOOKUP($A31,[6]HISTOMARS24!$A$6:$AV$49,8,0),"ECHEC")</f>
        <v>ECHEC</v>
      </c>
      <c r="O31" s="7">
        <f>IF(R31=0,0,VLOOKUP($A31,[6]HISTOMARS24!$A$6:$AV$49,32,0))</f>
        <v>0</v>
      </c>
      <c r="P31" s="7">
        <f>VLOOKUP($A31,[6]HISTOMARS24!$A$6:$AV$49,33,0)</f>
        <v>0</v>
      </c>
      <c r="Q31" s="7">
        <f t="shared" si="1"/>
        <v>0</v>
      </c>
      <c r="R31" s="7">
        <f>VLOOKUP($A31,[6]HISTOMARS24!$A$6:$AV$49,29,0)</f>
        <v>0</v>
      </c>
    </row>
    <row r="32" spans="1:19" x14ac:dyDescent="0.35">
      <c r="A32" s="1" t="s">
        <v>95</v>
      </c>
      <c r="B32" s="7">
        <f>IF(D32=0,0,VLOOKUP($A32,[6]HISTOMARS24!$A$6:$BP$44,10,0))</f>
        <v>1</v>
      </c>
      <c r="C32" s="1" t="str">
        <f>VLOOKUP(A32,[7]LISTADHERENT!A$5:H$60,3,0)</f>
        <v>TCHOUATEU AUGUSTIN</v>
      </c>
      <c r="D32" s="7">
        <f t="shared" si="0"/>
        <v>25000</v>
      </c>
      <c r="E32" s="7">
        <f>D32+VLOOKUP($A32,[6]HISTOMARS24!$A$7:$AU$42,45,0)+F32</f>
        <v>100000</v>
      </c>
      <c r="F32" s="7">
        <f>VLOOKUP($A32,[6]HISTOMARS24!$A$6:$AV$48,7,0)</f>
        <v>0</v>
      </c>
      <c r="G32" s="7" t="str">
        <f>VLOOKUP($A32,[6]HISTOMARS24!$A$6:$AV$49,8,0)</f>
        <v>BANQUE</v>
      </c>
      <c r="H32" s="7">
        <f>VLOOKUP($A32,[6]HISTOMARS24!$A$6:$AV$49,35,0)</f>
        <v>0</v>
      </c>
      <c r="I32" s="7">
        <f>VLOOKUP($A32,[6]HISTOMARS24!$A$6:$AV$49,38,0)</f>
        <v>0</v>
      </c>
      <c r="J32" s="7">
        <f>IF(H32=0,0,VLOOKUP($A32,[6]HISTOMARS24!$A$6:$AV$49,42,0))</f>
        <v>0</v>
      </c>
      <c r="K32" s="7">
        <f>VLOOKUP($A32,[6]HISTOMARS24!$A$6:$AV$49,41,0)</f>
        <v>0</v>
      </c>
      <c r="L32" s="7">
        <f>TONTFEV24!H32+TONTFEV24!I32</f>
        <v>0</v>
      </c>
      <c r="M32" s="7">
        <f>VLOOKUP($A32,[6]HISTOMARS24!$A$6:$AV$49,16,0)</f>
        <v>0</v>
      </c>
      <c r="N32" s="7" t="str">
        <f>IF(M32&lt;&gt;0,VLOOKUP($A32,[6]HISTOMARS24!$A$6:$AV$49,8,0),"ECHEC")</f>
        <v>ECHEC</v>
      </c>
      <c r="O32" s="7">
        <f>IF(R32=0,0,VLOOKUP($A32,[6]HISTOMARS24!$A$6:$AV$49,32,0))</f>
        <v>0</v>
      </c>
      <c r="P32" s="7">
        <f>VLOOKUP($A32,[6]HISTOMARS24!$A$6:$AV$49,33,0)</f>
        <v>0</v>
      </c>
      <c r="Q32" s="7">
        <f t="shared" si="1"/>
        <v>0</v>
      </c>
      <c r="R32" s="7">
        <f>VLOOKUP($A32,[6]HISTOMARS24!$A$6:$AV$49,29,0)</f>
        <v>0</v>
      </c>
    </row>
    <row r="33" spans="1:18" x14ac:dyDescent="0.35">
      <c r="A33" s="1" t="s">
        <v>87</v>
      </c>
      <c r="B33" s="7">
        <f>IF(D33=0,0,VLOOKUP($A33,[6]HISTOMARS24!$A$6:$BP$44,10,0))</f>
        <v>1</v>
      </c>
      <c r="C33" s="1" t="str">
        <f>VLOOKUP(A33,[7]LISTADHERENT!A$5:H$60,3,0)</f>
        <v>TCHOUTOU NANA CLAUDE</v>
      </c>
      <c r="D33" s="7">
        <f t="shared" si="0"/>
        <v>25000</v>
      </c>
      <c r="E33" s="7">
        <f>D33+VLOOKUP($A33,[6]HISTOMARS24!$A$7:$AU$42,45,0)+F33</f>
        <v>50000</v>
      </c>
      <c r="F33" s="7">
        <f>VLOOKUP($A33,[6]HISTOMARS24!$A$6:$AV$48,7,0)</f>
        <v>0</v>
      </c>
      <c r="G33" s="7" t="str">
        <f>VLOOKUP($A33,[6]HISTOMARS24!$A$6:$AV$49,8,0)</f>
        <v>BANQUE</v>
      </c>
      <c r="H33" s="7">
        <f>VLOOKUP($A33,[6]HISTOMARS24!$A$6:$AV$49,35,0)</f>
        <v>0</v>
      </c>
      <c r="I33" s="7">
        <f>VLOOKUP($A33,[6]HISTOMARS24!$A$6:$AV$49,38,0)</f>
        <v>0</v>
      </c>
      <c r="J33" s="7">
        <f>IF(H33=0,0,VLOOKUP($A33,[6]HISTOMARS24!$A$6:$AV$49,42,0))</f>
        <v>0</v>
      </c>
      <c r="K33" s="7">
        <f>VLOOKUP($A33,[6]HISTOMARS24!$A$6:$AV$49,41,0)</f>
        <v>0</v>
      </c>
      <c r="L33" s="7">
        <f>TONTFEV24!H33+TONTFEV24!I33</f>
        <v>0</v>
      </c>
      <c r="M33" s="7">
        <f>VLOOKUP($A33,[6]HISTOMARS24!$A$6:$AV$49,16,0)</f>
        <v>0</v>
      </c>
      <c r="N33" s="7" t="str">
        <f>IF(M33&lt;&gt;0,VLOOKUP($A33,[6]HISTOMARS24!$A$6:$AV$49,8,0),"ECHEC")</f>
        <v>ECHEC</v>
      </c>
      <c r="O33" s="7">
        <f>IF(R33=0,0,VLOOKUP($A33,[6]HISTOMARS24!$A$6:$AV$49,32,0))</f>
        <v>0</v>
      </c>
      <c r="P33" s="7">
        <f>VLOOKUP($A33,[6]HISTOMARS24!$A$6:$AV$49,33,0)</f>
        <v>0</v>
      </c>
      <c r="Q33" s="7">
        <f t="shared" si="1"/>
        <v>0</v>
      </c>
      <c r="R33" s="7">
        <f>VLOOKUP($A33,[6]HISTOMARS24!$A$6:$AV$49,29,0)</f>
        <v>0</v>
      </c>
    </row>
    <row r="34" spans="1:18" x14ac:dyDescent="0.35">
      <c r="A34" s="17" t="s">
        <v>89</v>
      </c>
      <c r="B34" s="7">
        <f>IF(D34=0,0,VLOOKUP($A34,[6]HISTOMARS24!$A$6:$BP$44,10,0))</f>
        <v>1</v>
      </c>
      <c r="C34" s="1" t="str">
        <f>VLOOKUP(A34,[7]LISTADHERENT!A$5:H$60,3,0)</f>
        <v>YANTCHOU GERVAIS</v>
      </c>
      <c r="D34" s="7">
        <f t="shared" si="0"/>
        <v>25000</v>
      </c>
      <c r="E34" s="7">
        <f>D34+VLOOKUP($A34,[6]HISTOMARS24!$A$7:$AU$42,45,0)+F34</f>
        <v>60000</v>
      </c>
      <c r="F34" s="7">
        <f>VLOOKUP($A34,[6]HISTOMARS24!$A$6:$AV$48,7,0)</f>
        <v>0</v>
      </c>
      <c r="G34" s="7" t="str">
        <f>VLOOKUP($A34,[6]HISTOMARS24!$A$6:$AV$49,8,0)</f>
        <v>BANQUE</v>
      </c>
      <c r="H34" s="7">
        <f>VLOOKUP($A34,[6]HISTOMARS24!$A$6:$AV$49,35,0)</f>
        <v>0</v>
      </c>
      <c r="I34" s="7">
        <f>VLOOKUP($A34,[6]HISTOMARS24!$A$6:$AV$49,38,0)</f>
        <v>0</v>
      </c>
      <c r="J34" s="7">
        <f>IF(H34=0,0,VLOOKUP($A34,[6]HISTOMARS24!$A$6:$AV$49,42,0))</f>
        <v>0</v>
      </c>
      <c r="K34" s="7">
        <f>VLOOKUP($A34,[6]HISTOMARS24!$A$6:$AV$49,41,0)</f>
        <v>0</v>
      </c>
      <c r="L34" s="7">
        <f>TONTFEV24!H34+TONTFEV24!I34</f>
        <v>0</v>
      </c>
      <c r="M34" s="7">
        <f>VLOOKUP($A34,[6]HISTOMARS24!$A$6:$AV$49,16,0)</f>
        <v>0</v>
      </c>
      <c r="N34" s="7" t="str">
        <f>IF(M34&lt;&gt;0,VLOOKUP($A34,[6]HISTOMARS24!$A$6:$AV$49,8,0),"ECHEC")</f>
        <v>ECHEC</v>
      </c>
      <c r="O34" s="7">
        <f>IF(R34=0,0,VLOOKUP($A34,[6]HISTOMARS24!$A$6:$AV$49,32,0))</f>
        <v>0</v>
      </c>
      <c r="P34" s="7">
        <f>VLOOKUP($A34,[6]HISTOMARS24!$A$6:$AV$49,33,0)</f>
        <v>0</v>
      </c>
      <c r="Q34" s="7">
        <f t="shared" si="1"/>
        <v>0</v>
      </c>
      <c r="R34" s="7">
        <f>VLOOKUP($A34,[6]HISTOMARS24!$A$6:$AV$49,29,0)</f>
        <v>0</v>
      </c>
    </row>
    <row r="35" spans="1:18" x14ac:dyDescent="0.35">
      <c r="A35" s="1" t="s">
        <v>27</v>
      </c>
      <c r="B35" s="7">
        <f>IF(D35=0,0,VLOOKUP($A35,[6]HISTOMARS24!$A$6:$BP$44,10,0))</f>
        <v>1</v>
      </c>
      <c r="C35" s="1" t="str">
        <f>VLOOKUP(A35,[7]LISTADHERENT!A$5:H$60,3,0)</f>
        <v>YEPMOU JEAN JACQUES</v>
      </c>
      <c r="D35" s="7">
        <f t="shared" si="0"/>
        <v>25000</v>
      </c>
      <c r="E35" s="7">
        <f>D35+VLOOKUP($A35,[6]HISTOMARS24!$A$7:$AU$42,45,0)+F35</f>
        <v>50000</v>
      </c>
      <c r="F35" s="7">
        <f>VLOOKUP($A35,[6]HISTOMARS24!$A$6:$AV$48,7,0)</f>
        <v>0</v>
      </c>
      <c r="G35" s="7" t="str">
        <f>VLOOKUP($A35,[6]HISTOMARS24!$A$6:$AV$49,8,0)</f>
        <v>BANQUE</v>
      </c>
      <c r="H35" s="7">
        <f>VLOOKUP($A35,[6]HISTOMARS24!$A$6:$AV$49,35,0)</f>
        <v>0</v>
      </c>
      <c r="I35" s="7">
        <f>VLOOKUP($A35,[6]HISTOMARS24!$A$6:$AV$49,38,0)</f>
        <v>0</v>
      </c>
      <c r="J35" s="7">
        <f>IF(H35=0,0,VLOOKUP($A35,[6]HISTOMARS24!$A$6:$AV$49,42,0))</f>
        <v>0</v>
      </c>
      <c r="K35" s="7">
        <f>VLOOKUP($A35,[6]HISTOMARS24!$A$6:$AV$49,41,0)</f>
        <v>0</v>
      </c>
      <c r="L35" s="7">
        <f>TONTFEV24!H35+TONTFEV24!I35</f>
        <v>0</v>
      </c>
      <c r="M35" s="7">
        <f>VLOOKUP($A35,[6]HISTOMARS24!$A$6:$AV$49,16,0)</f>
        <v>0</v>
      </c>
      <c r="N35" s="7" t="str">
        <f>IF(M35&lt;&gt;0,VLOOKUP($A35,[6]HISTOMARS24!$A$6:$AV$49,8,0),"ECHEC")</f>
        <v>ECHEC</v>
      </c>
      <c r="O35" s="7">
        <f>IF(R35=0,0,VLOOKUP($A35,[6]HISTOMARS24!$A$6:$AV$49,32,0))</f>
        <v>0</v>
      </c>
      <c r="P35" s="7">
        <f>VLOOKUP($A35,[6]HISTOMARS24!$A$6:$AV$49,33,0)</f>
        <v>0</v>
      </c>
      <c r="Q35" s="7">
        <f t="shared" si="1"/>
        <v>0</v>
      </c>
      <c r="R35" s="7">
        <f>VLOOKUP($A35,[6]HISTOMARS24!$A$6:$AV$49,29,0)</f>
        <v>0</v>
      </c>
    </row>
    <row r="36" spans="1:18" x14ac:dyDescent="0.35">
      <c r="A36" s="1" t="s">
        <v>94</v>
      </c>
      <c r="B36" s="7">
        <f>IF(D36=0,0,VLOOKUP($A36,[6]HISTOMARS24!$A$6:$BP$44,10,0))</f>
        <v>1</v>
      </c>
      <c r="C36" s="1" t="str">
        <f>VLOOKUP(A36,[7]LISTADHERENT!A$5:H$60,3,0)</f>
        <v>YIALA ALAIN OSCAR</v>
      </c>
      <c r="D36" s="7">
        <f t="shared" si="0"/>
        <v>25000</v>
      </c>
      <c r="E36" s="7">
        <f>D36+VLOOKUP($A36,[6]HISTOMARS24!$A$7:$AU$42,45,0)+F36</f>
        <v>53000</v>
      </c>
      <c r="F36" s="7">
        <f>VLOOKUP($A36,[6]HISTOMARS24!$A$6:$AV$48,7,0)</f>
        <v>3000</v>
      </c>
      <c r="G36" s="7" t="str">
        <f>VLOOKUP($A36,[6]HISTOMARS24!$A$6:$AV$49,8,0)</f>
        <v>ESPECES</v>
      </c>
      <c r="H36" s="7">
        <f>VLOOKUP($A36,[6]HISTOMARS24!$A$6:$AV$49,35,0)</f>
        <v>0</v>
      </c>
      <c r="I36" s="7">
        <f>VLOOKUP($A36,[6]HISTOMARS24!$A$6:$AV$49,38,0)</f>
        <v>0</v>
      </c>
      <c r="J36" s="7">
        <f>IF(H36=0,0,VLOOKUP($A36,[6]HISTOMARS24!$A$6:$AV$49,42,0))</f>
        <v>0</v>
      </c>
      <c r="K36" s="7">
        <f>VLOOKUP($A36,[6]HISTOMARS24!$A$6:$AV$49,41,0)</f>
        <v>0</v>
      </c>
      <c r="L36" s="7">
        <f>TONTFEV24!H36+TONTFEV24!I36</f>
        <v>0</v>
      </c>
      <c r="M36" s="7">
        <f>VLOOKUP($A36,[6]HISTOMARS24!$A$6:$AV$49,16,0)</f>
        <v>0</v>
      </c>
      <c r="N36" s="7" t="str">
        <f>IF(M36&lt;&gt;0,VLOOKUP($A36,[6]HISTOMARS24!$A$6:$AV$49,8,0),"ECHEC")</f>
        <v>ECHEC</v>
      </c>
      <c r="O36" s="7">
        <f>IF(R36=0,0,VLOOKUP($A36,[6]HISTOMARS24!$A$6:$AV$49,32,0))</f>
        <v>0</v>
      </c>
      <c r="P36" s="7">
        <f>VLOOKUP($A36,[6]HISTOMARS24!$A$6:$AV$49,33,0)</f>
        <v>0</v>
      </c>
      <c r="Q36" s="7">
        <f t="shared" si="1"/>
        <v>0</v>
      </c>
      <c r="R36" s="7">
        <f>VLOOKUP($A36,[6]HISTOMARS24!$A$6:$AV$49,29,0)</f>
        <v>0</v>
      </c>
    </row>
    <row r="37" spans="1:18" x14ac:dyDescent="0.35">
      <c r="A37" s="1" t="s">
        <v>28</v>
      </c>
      <c r="B37" s="7">
        <f>IF(D37=0,0,VLOOKUP($A37,[6]HISTOMARS24!$A$6:$BP$44,10,0))</f>
        <v>1</v>
      </c>
      <c r="C37" s="1" t="str">
        <f>VLOOKUP(A37,[7]LISTADHERENT!A$5:H$60,3,0)</f>
        <v>YOUMBI EMMANUEL</v>
      </c>
      <c r="D37" s="7">
        <f t="shared" si="0"/>
        <v>25000</v>
      </c>
      <c r="E37" s="7">
        <f>D37+VLOOKUP($A37,[6]HISTOMARS24!$A$7:$AU$42,45,0)+F37</f>
        <v>50000</v>
      </c>
      <c r="F37" s="7">
        <f>VLOOKUP($A37,[6]HISTOMARS24!$A$6:$AV$48,7,0)</f>
        <v>0</v>
      </c>
      <c r="G37" s="7" t="str">
        <f>VLOOKUP($A37,[6]HISTOMARS24!$A$6:$AV$49,8,0)</f>
        <v>BANQUE</v>
      </c>
      <c r="H37" s="7">
        <f>VLOOKUP($A37,[6]HISTOMARS24!$A$6:$AV$49,35,0)</f>
        <v>0</v>
      </c>
      <c r="I37" s="7">
        <f>VLOOKUP($A37,[6]HISTOMARS24!$A$6:$AV$49,38,0)</f>
        <v>0</v>
      </c>
      <c r="J37" s="7">
        <f>IF(H37=0,0,VLOOKUP($A37,[6]HISTOMARS24!$A$6:$AV$49,42,0))</f>
        <v>0</v>
      </c>
      <c r="K37" s="7">
        <f>VLOOKUP($A37,[6]HISTOMARS24!$A$6:$AV$49,41,0)</f>
        <v>0</v>
      </c>
      <c r="L37" s="7">
        <f>TONTFEV24!H37+TONTFEV24!I37</f>
        <v>0</v>
      </c>
      <c r="M37" s="7">
        <f>VLOOKUP($A37,[6]HISTOMARS24!$A$6:$AV$49,16,0)</f>
        <v>0</v>
      </c>
      <c r="N37" s="7" t="str">
        <f>IF(M37&lt;&gt;0,VLOOKUP($A37,[6]HISTOMARS24!$A$6:$AV$49,8,0),"ECHEC")</f>
        <v>ECHEC</v>
      </c>
      <c r="O37" s="7">
        <f>IF(R37=0,0,VLOOKUP($A37,[6]HISTOMARS24!$A$6:$AV$49,32,0))</f>
        <v>0</v>
      </c>
      <c r="P37" s="7">
        <f>VLOOKUP($A37,[6]HISTOMARS24!$A$6:$AV$49,33,0)</f>
        <v>0</v>
      </c>
      <c r="Q37" s="7">
        <f t="shared" si="1"/>
        <v>0</v>
      </c>
      <c r="R37" s="7">
        <f>VLOOKUP($A37,[6]HISTOMARS24!$A$6:$AV$49,29,0)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6000</v>
      </c>
      <c r="G40" s="8">
        <f t="shared" si="2"/>
        <v>0</v>
      </c>
      <c r="H40" s="8">
        <f t="shared" si="2"/>
        <v>119000</v>
      </c>
      <c r="I40" s="8">
        <f t="shared" si="2"/>
        <v>4500</v>
      </c>
      <c r="J40" s="8">
        <f t="shared" si="2"/>
        <v>0</v>
      </c>
      <c r="K40" s="8">
        <f t="shared" si="2"/>
        <v>0</v>
      </c>
      <c r="L40" s="8">
        <f t="shared" si="2"/>
        <v>174000</v>
      </c>
      <c r="M40" s="8">
        <f t="shared" si="2"/>
        <v>174000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855000</v>
      </c>
      <c r="R40" s="8">
        <f t="shared" si="2"/>
        <v>45000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D46+G46+R40+TONTFEV24!O47</f>
        <v>1019000</v>
      </c>
      <c r="N42" s="4"/>
      <c r="O42"/>
      <c r="P42" s="4"/>
    </row>
    <row r="43" spans="1:18" s="2" customFormat="1" ht="17.5" x14ac:dyDescent="0.35">
      <c r="D43" s="8">
        <f>SUMIFS(D6:D39,G6:G39,"ESPECES")</f>
        <v>25000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25000</v>
      </c>
      <c r="K43" s="8"/>
      <c r="L43" s="8" t="s">
        <v>79</v>
      </c>
      <c r="M43" s="8">
        <f>C3*COUNTIF(Q7:Q39,"&gt;0")+300000</f>
        <v>900000</v>
      </c>
      <c r="N43" s="8">
        <f>D3</f>
        <v>3</v>
      </c>
      <c r="O43" s="8">
        <f>COUNTIF(Q6:Q33,"&gt;0")</f>
        <v>3</v>
      </c>
      <c r="P43" s="8"/>
    </row>
    <row r="44" spans="1:18" s="2" customFormat="1" ht="17.5" x14ac:dyDescent="0.35">
      <c r="D44" s="8">
        <f>SUMIFS(D6:D39,G6:G39,"BANQUE")</f>
        <v>775000</v>
      </c>
      <c r="E44" s="8"/>
      <c r="F44" s="8" t="s">
        <v>32</v>
      </c>
      <c r="G44" s="8">
        <f>SUMIFS(M6:M33,N6:N33,"BANQUE")</f>
        <v>174000</v>
      </c>
      <c r="H44" s="8">
        <f>SUMIFS(H6:H39,J6:J39,"BANQUE")</f>
        <v>79000</v>
      </c>
      <c r="I44" s="8">
        <f>SUMIFS(Q6:Q39,O6:O39,"BANQUE")</f>
        <v>855000</v>
      </c>
      <c r="J44" s="8">
        <f>D44+G44-H44-I44</f>
        <v>15000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119000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174000</v>
      </c>
      <c r="H46" s="8">
        <f>H43+H44</f>
        <v>79000</v>
      </c>
      <c r="I46" s="8">
        <f t="shared" ref="I46:J46" si="3">I43+I44</f>
        <v>855000</v>
      </c>
      <c r="J46" s="8">
        <f t="shared" si="3"/>
        <v>40000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TONTMARS24!M47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TONTMARS24!M49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TONTMARS24!M50</f>
        <v>0</v>
      </c>
      <c r="P50" s="8" t="s">
        <v>53</v>
      </c>
    </row>
  </sheetData>
  <autoFilter ref="A5:R25" xr:uid="{00000000-0009-0000-0000-000003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0"/>
  <sheetViews>
    <sheetView workbookViewId="0">
      <pane xSplit="3" ySplit="5" topLeftCell="M36" activePane="bottomRight" state="frozen"/>
      <selection activeCell="G6" sqref="G6:G39"/>
      <selection pane="topRight" activeCell="G6" sqref="G6:G39"/>
      <selection pane="bottomLeft" activeCell="G6" sqref="G6:G39"/>
      <selection pane="bottomRight" activeCell="M7" sqref="M7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8">
        <v>45395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IF(D6=0,0,VLOOKUP($A6,[6]HISTOAVRIL24!$A$6:$BP$44,10,0))</f>
        <v>1</v>
      </c>
      <c r="C6" s="1" t="str">
        <f>VLOOKUP(A6,[7]LISTADHERENT!A$5:H$60,3,0)</f>
        <v>BAKOP ACHILLE</v>
      </c>
      <c r="D6" s="7">
        <f t="shared" ref="D6:D37" si="0">IF(G6="ECHEC",0,B$3)</f>
        <v>25000</v>
      </c>
      <c r="E6" s="7">
        <f>D6+VLOOKUP($A6,[6]HISTOAVRIL24!$A$7:$AU$42,45,0)+F6</f>
        <v>50000</v>
      </c>
      <c r="F6" s="7">
        <f>VLOOKUP($A6,[6]HISTOAVRIL24!$A$6:$AV$48,7,0)</f>
        <v>3000</v>
      </c>
      <c r="G6" s="7" t="str">
        <f>VLOOKUP($A6,[6]HISTOAVRIL24!$A$6:$AV$49,8,0)</f>
        <v>ESPECES</v>
      </c>
      <c r="H6" s="7">
        <f>VLOOKUP($A6,[6]HISTOAVRIL24!$A$6:$AV$49,35,0)</f>
        <v>0</v>
      </c>
      <c r="I6" s="7">
        <f>VLOOKUP($A6,[6]HISTOAVRIL24!$A$6:$AV$49,38,0)</f>
        <v>0</v>
      </c>
      <c r="J6" s="7">
        <f>IF(H6=0,0,VLOOKUP($A6,[6]HISTOAVRIL24!$A$6:$AV$49,42,0))</f>
        <v>0</v>
      </c>
      <c r="K6" s="7">
        <f>VLOOKUP($A6,[6]HISTOAVRIL24!$A$6:$AV$49,41,0)</f>
        <v>0</v>
      </c>
      <c r="L6" s="7">
        <f>TONTMARS24!H6+TONTMARS24!I6</f>
        <v>0</v>
      </c>
      <c r="M6" s="7">
        <f>VLOOKUP($A6,[6]HISTOAVRIL24!$A$6:$AV$49,16,0)</f>
        <v>0</v>
      </c>
      <c r="N6" s="7" t="str">
        <f>IF(M6&lt;&gt;0,VLOOKUP($A6,[6]HISTOAVRIL24!$A$6:$AV$49,8,0),"ECHEC")</f>
        <v>ECHEC</v>
      </c>
      <c r="O6" s="7">
        <f>IF(R6=0,0,VLOOKUP($A6,[6]HISTOAVRIL24!$A$6:$AV$49,32,0))</f>
        <v>0</v>
      </c>
      <c r="P6" s="7">
        <f>VLOOKUP($A6,[6]HISTOAVRIL24!$A$6:$AV$49,33,0)</f>
        <v>0</v>
      </c>
      <c r="Q6" s="7">
        <f t="shared" ref="Q6:Q37" si="1">IF(R6=0,0,($C$3-R6))</f>
        <v>0</v>
      </c>
      <c r="R6" s="7">
        <f>VLOOKUP($A6,[6]HISTOAVRIL24!$A$6:$AV$49,29,0)</f>
        <v>0</v>
      </c>
    </row>
    <row r="7" spans="1:19" x14ac:dyDescent="0.35">
      <c r="A7" s="1" t="s">
        <v>9</v>
      </c>
      <c r="B7" s="7">
        <f>IF(D7=0,0,VLOOKUP($A7,[6]HISTOAVRIL24!$A$6:$BP$44,10,0))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D7+VLOOKUP($A7,[6]HISTOAVRIL24!$A$7:$AU$42,45,0)+F7</f>
        <v>50000</v>
      </c>
      <c r="F7" s="7">
        <f>VLOOKUP($A7,[6]HISTOAVRIL24!$A$6:$AV$48,7,0)</f>
        <v>0</v>
      </c>
      <c r="G7" s="7" t="str">
        <f>VLOOKUP($A7,[6]HISTOAVRIL24!$A$6:$AV$49,8,0)</f>
        <v>BANQUE</v>
      </c>
      <c r="H7" s="7">
        <f>VLOOKUP($A7,[6]HISTOAVRIL24!$A$6:$AV$49,35,0)</f>
        <v>0</v>
      </c>
      <c r="I7" s="7">
        <f>VLOOKUP($A7,[6]HISTOAVRIL24!$A$6:$AV$49,38,0)</f>
        <v>0</v>
      </c>
      <c r="J7" s="7">
        <f>IF(H7=0,0,VLOOKUP($A7,[6]HISTOAVRIL24!$A$6:$AV$49,42,0))</f>
        <v>0</v>
      </c>
      <c r="K7" s="7">
        <f>VLOOKUP($A7,[6]HISTOAVRIL24!$A$6:$AV$49,41,0)</f>
        <v>0</v>
      </c>
      <c r="L7" s="7">
        <f>TONTMARS24!H7+TONTMARS24!I7</f>
        <v>0</v>
      </c>
      <c r="M7" s="7">
        <f>VLOOKUP($A7,[6]HISTOAVRIL24!$A$6:$AV$49,16,0)</f>
        <v>0</v>
      </c>
      <c r="N7" s="7" t="str">
        <f>IF(M7&lt;&gt;0,VLOOKUP($A7,[6]HISTOAVRIL24!$A$6:$AV$49,8,0),"ECHEC")</f>
        <v>ECHEC</v>
      </c>
      <c r="O7" s="7">
        <f>IF(R7=0,0,VLOOKUP($A7,[6]HISTOAVRIL24!$A$6:$AV$49,32,0))</f>
        <v>0</v>
      </c>
      <c r="P7" s="7">
        <f>VLOOKUP($A7,[6]HISTOAVRIL24!$A$6:$AV$49,33,0)</f>
        <v>0</v>
      </c>
      <c r="Q7" s="7">
        <f t="shared" si="1"/>
        <v>0</v>
      </c>
      <c r="R7" s="7">
        <f>VLOOKUP($A7,[6]HISTOAVRIL24!$A$6:$AV$49,29,0)</f>
        <v>0</v>
      </c>
    </row>
    <row r="8" spans="1:19" x14ac:dyDescent="0.35">
      <c r="A8" s="1" t="s">
        <v>10</v>
      </c>
      <c r="B8" s="7">
        <f>IF(D8=0,0,VLOOKUP($A8,[6]HISTOAVRIL24!$A$6:$BP$44,10,0))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D8+VLOOKUP($A8,[6]HISTOAVRIL24!$A$7:$AU$42,45,0)+F8</f>
        <v>47500</v>
      </c>
      <c r="F8" s="7">
        <f>VLOOKUP($A8,[6]HISTOAVRIL24!$A$6:$AV$48,7,0)</f>
        <v>0</v>
      </c>
      <c r="G8" s="7" t="str">
        <f>VLOOKUP($A8,[6]HISTOAVRIL24!$A$6:$AV$49,8,0)</f>
        <v>BANQUE</v>
      </c>
      <c r="H8" s="7">
        <f>VLOOKUP($A8,[6]HISTOAVRIL24!$A$6:$AV$49,35,0)</f>
        <v>0</v>
      </c>
      <c r="I8" s="7">
        <f>VLOOKUP($A8,[6]HISTOAVRIL24!$A$6:$AV$49,38,0)</f>
        <v>0</v>
      </c>
      <c r="J8" s="7">
        <f>IF(H8=0,0,VLOOKUP($A8,[6]HISTOAVRIL24!$A$6:$AV$49,42,0))</f>
        <v>0</v>
      </c>
      <c r="K8" s="7">
        <f>VLOOKUP($A8,[6]HISTOAVRIL24!$A$6:$AV$49,41,0)</f>
        <v>0</v>
      </c>
      <c r="L8" s="7">
        <f>TONTMARS24!H8+TONTMARS24!I8</f>
        <v>0</v>
      </c>
      <c r="M8" s="7">
        <f>VLOOKUP($A8,[6]HISTOAVRIL24!$A$6:$AV$49,16,0)</f>
        <v>0</v>
      </c>
      <c r="N8" s="7" t="str">
        <f>IF(M8&lt;&gt;0,VLOOKUP($A8,[6]HISTOAVRIL24!$A$6:$AV$49,8,0),"ECHEC")</f>
        <v>ECHEC</v>
      </c>
      <c r="O8" s="7">
        <f>IF(R8=0,0,VLOOKUP($A8,[6]HISTOAVRIL24!$A$6:$AV$49,32,0))</f>
        <v>0</v>
      </c>
      <c r="P8" s="7">
        <f>VLOOKUP($A8,[6]HISTOAVRIL24!$A$6:$AV$49,33,0)</f>
        <v>0</v>
      </c>
      <c r="Q8" s="7">
        <f t="shared" si="1"/>
        <v>0</v>
      </c>
      <c r="R8" s="7">
        <f>VLOOKUP($A8,[6]HISTOAVRIL24!$A$6:$AV$49,29,0)</f>
        <v>0</v>
      </c>
    </row>
    <row r="9" spans="1:19" x14ac:dyDescent="0.35">
      <c r="A9" s="1" t="s">
        <v>52</v>
      </c>
      <c r="B9" s="7">
        <f>IF(D9=0,0,VLOOKUP($A9,[6]HISTOAVRIL24!$A$6:$BP$44,10,0))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D9+VLOOKUP($A9,[6]HISTOAVRIL24!$A$7:$AU$42,45,0)+F9</f>
        <v>50000</v>
      </c>
      <c r="F9" s="7">
        <f>VLOOKUP($A9,[6]HISTOAVRIL24!$A$6:$AV$48,7,0)</f>
        <v>0</v>
      </c>
      <c r="G9" s="7" t="str">
        <f>VLOOKUP($A9,[6]HISTOAVRIL24!$A$6:$AV$49,8,0)</f>
        <v>BANQUE</v>
      </c>
      <c r="H9" s="7">
        <f>VLOOKUP($A9,[6]HISTOAVRIL24!$A$6:$AV$49,35,0)</f>
        <v>0</v>
      </c>
      <c r="I9" s="7">
        <f>VLOOKUP($A9,[6]HISTOAVRIL24!$A$6:$AV$49,38,0)</f>
        <v>0</v>
      </c>
      <c r="J9" s="7">
        <f>IF(H9=0,0,VLOOKUP($A9,[6]HISTOAVRIL24!$A$6:$AV$49,42,0))</f>
        <v>0</v>
      </c>
      <c r="K9" s="7">
        <f>VLOOKUP($A9,[6]HISTOAVRIL24!$A$6:$AV$49,41,0)</f>
        <v>0</v>
      </c>
      <c r="L9" s="7">
        <f>TONTMARS24!H9+TONTMARS24!I9</f>
        <v>40000</v>
      </c>
      <c r="M9" s="7">
        <f>VLOOKUP($A9,[6]HISTOAVRIL24!$A$6:$AV$49,16,0)</f>
        <v>40000</v>
      </c>
      <c r="N9" s="7" t="str">
        <f>IF(M9&lt;&gt;0,VLOOKUP($A9,[6]HISTOAVRIL24!$A$6:$AV$49,8,0),"ECHEC")</f>
        <v>BANQUE</v>
      </c>
      <c r="O9" s="7">
        <f>IF(R9=0,0,VLOOKUP($A9,[6]HISTOAVRIL24!$A$6:$AV$49,32,0))</f>
        <v>0</v>
      </c>
      <c r="P9" s="7">
        <f>VLOOKUP($A9,[6]HISTOAVRIL24!$A$6:$AV$49,33,0)</f>
        <v>0</v>
      </c>
      <c r="Q9" s="7">
        <f t="shared" si="1"/>
        <v>0</v>
      </c>
      <c r="R9" s="7">
        <f>VLOOKUP($A9,[6]HISTOAVRIL24!$A$6:$AV$49,29,0)</f>
        <v>0</v>
      </c>
    </row>
    <row r="10" spans="1:19" x14ac:dyDescent="0.35">
      <c r="A10" s="1" t="s">
        <v>11</v>
      </c>
      <c r="B10" s="7">
        <f>IF(D10=0,0,VLOOKUP($A10,[6]HISTOAVRIL24!$A$6:$BP$44,10,0))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D10+VLOOKUP($A10,[6]HISTOAVRIL24!$A$7:$AU$42,45,0)+F10</f>
        <v>60000</v>
      </c>
      <c r="F10" s="7">
        <f>VLOOKUP($A10,[6]HISTOAVRIL24!$A$6:$AV$48,7,0)</f>
        <v>0</v>
      </c>
      <c r="G10" s="7" t="str">
        <f>VLOOKUP($A10,[6]HISTOAVRIL24!$A$6:$AV$49,8,0)</f>
        <v>BANQUE</v>
      </c>
      <c r="H10" s="7">
        <f>VLOOKUP($A10,[6]HISTOAVRIL24!$A$6:$AV$49,35,0)</f>
        <v>41000</v>
      </c>
      <c r="I10" s="7">
        <f>VLOOKUP($A10,[6]HISTOAVRIL24!$A$6:$AV$49,38,0)</f>
        <v>2000</v>
      </c>
      <c r="J10" s="7" t="str">
        <f>IF(H10=0,0,VLOOKUP($A10,[6]HISTOAVRIL24!$A$6:$AV$49,42,0))</f>
        <v>BANQUE</v>
      </c>
      <c r="K10" s="7">
        <f>VLOOKUP($A10,[6]HISTOAVRIL24!$A$6:$AV$49,41,0)</f>
        <v>0</v>
      </c>
      <c r="L10" s="7">
        <f>TONTMARS24!H10+TONTMARS24!I10</f>
        <v>41000</v>
      </c>
      <c r="M10" s="7">
        <f>VLOOKUP($A10,[6]HISTOAVRIL24!$A$6:$AV$49,16,0)</f>
        <v>41000</v>
      </c>
      <c r="N10" s="7" t="str">
        <f>IF(M10&lt;&gt;0,VLOOKUP($A10,[6]HISTOAVRIL24!$A$6:$AV$49,8,0),"ECHEC")</f>
        <v>BANQUE</v>
      </c>
      <c r="O10" s="7">
        <f>IF(R10=0,0,VLOOKUP($A10,[6]HISTOAVRIL24!$A$6:$AV$49,32,0))</f>
        <v>0</v>
      </c>
      <c r="P10" s="7">
        <f>VLOOKUP($A10,[6]HISTOAVRIL24!$A$6:$AV$49,33,0)</f>
        <v>0</v>
      </c>
      <c r="Q10" s="7">
        <f t="shared" si="1"/>
        <v>0</v>
      </c>
      <c r="R10" s="7">
        <f>VLOOKUP($A10,[6]HISTOAVRIL24!$A$6:$AV$49,29,0)</f>
        <v>0</v>
      </c>
    </row>
    <row r="11" spans="1:19" x14ac:dyDescent="0.35">
      <c r="A11" s="1" t="s">
        <v>12</v>
      </c>
      <c r="B11" s="7">
        <f>IF(D11=0,0,VLOOKUP($A11,[6]HISTOAVRIL24!$A$6:$BP$44,10,0))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D11+VLOOKUP($A11,[6]HISTOAVRIL24!$A$7:$AU$42,45,0)+F11</f>
        <v>55000</v>
      </c>
      <c r="F11" s="7">
        <f>VLOOKUP($A11,[6]HISTOAVRIL24!$A$6:$AV$48,7,0)</f>
        <v>0</v>
      </c>
      <c r="G11" s="7" t="str">
        <f>VLOOKUP($A11,[6]HISTOAVRIL24!$A$6:$AV$49,8,0)</f>
        <v>BANQUE</v>
      </c>
      <c r="H11" s="7">
        <f>VLOOKUP($A11,[6]HISTOAVRIL24!$A$6:$AV$49,35,0)</f>
        <v>0</v>
      </c>
      <c r="I11" s="7">
        <f>VLOOKUP($A11,[6]HISTOAVRIL24!$A$6:$AV$49,38,0)</f>
        <v>0</v>
      </c>
      <c r="J11" s="7">
        <f>IF(H11=0,0,VLOOKUP($A11,[6]HISTOAVRIL24!$A$6:$AV$49,42,0))</f>
        <v>0</v>
      </c>
      <c r="K11" s="7">
        <f>VLOOKUP($A11,[6]HISTOAVRIL24!$A$6:$AV$49,41,0)</f>
        <v>0</v>
      </c>
      <c r="L11" s="7">
        <f>TONTMARS24!H11+TONTMARS24!I11</f>
        <v>0</v>
      </c>
      <c r="M11" s="7">
        <f>VLOOKUP($A11,[6]HISTOAVRIL24!$A$6:$AV$49,16,0)</f>
        <v>0</v>
      </c>
      <c r="N11" s="7" t="str">
        <f>IF(M11&lt;&gt;0,VLOOKUP($A11,[6]HISTOAVRIL24!$A$6:$AV$49,8,0),"ECHEC")</f>
        <v>ECHEC</v>
      </c>
      <c r="O11" s="7">
        <f>IF(R11=0,0,VLOOKUP($A11,[6]HISTOAVRIL24!$A$6:$AV$49,32,0))</f>
        <v>0</v>
      </c>
      <c r="P11" s="7">
        <f>VLOOKUP($A11,[6]HISTOAVRIL24!$A$6:$AV$49,33,0)</f>
        <v>0</v>
      </c>
      <c r="Q11" s="7">
        <f t="shared" si="1"/>
        <v>0</v>
      </c>
      <c r="R11" s="7">
        <f>VLOOKUP($A11,[6]HISTOAVRIL24!$A$6:$AV$49,29,0)</f>
        <v>0</v>
      </c>
    </row>
    <row r="12" spans="1:19" x14ac:dyDescent="0.35">
      <c r="A12" s="1" t="s">
        <v>45</v>
      </c>
      <c r="B12" s="7">
        <f>IF(D12=0,0,VLOOKUP($A12,[6]HISTOAVRIL24!$A$6:$BP$44,10,0))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D12+VLOOKUP($A12,[6]HISTOAVRIL24!$A$7:$AU$42,45,0)+F12</f>
        <v>50000</v>
      </c>
      <c r="F12" s="7">
        <f>VLOOKUP($A12,[6]HISTOAVRIL24!$A$6:$AV$48,7,0)</f>
        <v>0</v>
      </c>
      <c r="G12" s="7" t="str">
        <f>VLOOKUP($A12,[6]HISTOAVRIL24!$A$6:$AV$49,8,0)</f>
        <v>BANQUE</v>
      </c>
      <c r="H12" s="7">
        <f>VLOOKUP($A12,[6]HISTOAVRIL24!$A$6:$AV$49,35,0)</f>
        <v>0</v>
      </c>
      <c r="I12" s="7">
        <f>VLOOKUP($A12,[6]HISTOAVRIL24!$A$6:$AV$49,38,0)</f>
        <v>0</v>
      </c>
      <c r="J12" s="7">
        <f>IF(H12=0,0,VLOOKUP($A12,[6]HISTOAVRIL24!$A$6:$AV$49,42,0))</f>
        <v>0</v>
      </c>
      <c r="K12" s="7">
        <f>VLOOKUP($A12,[6]HISTOAVRIL24!$A$6:$AV$49,41,0)</f>
        <v>0</v>
      </c>
      <c r="L12" s="7">
        <f>TONTMARS24!H12+TONTMARS24!I12</f>
        <v>0</v>
      </c>
      <c r="M12" s="7">
        <f>VLOOKUP($A12,[6]HISTOAVRIL24!$A$6:$AV$49,16,0)</f>
        <v>0</v>
      </c>
      <c r="N12" s="7" t="str">
        <f>IF(M12&lt;&gt;0,VLOOKUP($A12,[6]HISTOAVRIL24!$A$6:$AV$49,8,0),"ECHEC")</f>
        <v>ECHEC</v>
      </c>
      <c r="O12" s="7">
        <f>IF(R12=0,0,VLOOKUP($A12,[6]HISTOAVRIL24!$A$6:$AV$49,32,0))</f>
        <v>0</v>
      </c>
      <c r="P12" s="7">
        <f>VLOOKUP($A12,[6]HISTOAVRIL24!$A$6:$AV$49,33,0)</f>
        <v>0</v>
      </c>
      <c r="Q12" s="7">
        <f t="shared" si="1"/>
        <v>0</v>
      </c>
      <c r="R12" s="7">
        <f>VLOOKUP($A12,[6]HISTOAVRIL24!$A$6:$AV$49,29,0)</f>
        <v>0</v>
      </c>
    </row>
    <row r="13" spans="1:19" x14ac:dyDescent="0.35">
      <c r="A13" s="1" t="s">
        <v>13</v>
      </c>
      <c r="B13" s="7">
        <f>IF(D13=0,0,VLOOKUP($A13,[6]HISTOAVRIL24!$A$6:$BP$44,10,0))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D13+VLOOKUP($A13,[6]HISTOAVRIL24!$A$7:$AU$42,45,0)+F13</f>
        <v>50000</v>
      </c>
      <c r="F13" s="7">
        <f>VLOOKUP($A13,[6]HISTOAVRIL24!$A$6:$AV$48,7,0)</f>
        <v>0</v>
      </c>
      <c r="G13" s="7" t="str">
        <f>VLOOKUP($A13,[6]HISTOAVRIL24!$A$6:$AV$49,8,0)</f>
        <v>BANQUE</v>
      </c>
      <c r="H13" s="7">
        <f>VLOOKUP($A13,[6]HISTOAVRIL24!$A$6:$AV$49,35,0)</f>
        <v>0</v>
      </c>
      <c r="I13" s="7">
        <f>VLOOKUP($A13,[6]HISTOAVRIL24!$A$6:$AV$49,38,0)</f>
        <v>0</v>
      </c>
      <c r="J13" s="7">
        <f>IF(H13=0,0,VLOOKUP($A13,[6]HISTOAVRIL24!$A$6:$AV$49,42,0))</f>
        <v>0</v>
      </c>
      <c r="K13" s="7">
        <f>VLOOKUP($A13,[6]HISTOAVRIL24!$A$6:$AV$49,41,0)</f>
        <v>0</v>
      </c>
      <c r="L13" s="7">
        <f>TONTMARS24!H13+TONTMARS24!I13</f>
        <v>0</v>
      </c>
      <c r="M13" s="7">
        <f>VLOOKUP($A13,[6]HISTOAVRIL24!$A$6:$AV$49,16,0)</f>
        <v>0</v>
      </c>
      <c r="N13" s="7" t="str">
        <f>IF(M13&lt;&gt;0,VLOOKUP($A13,[6]HISTOAVRIL24!$A$6:$AV$49,8,0),"ECHEC")</f>
        <v>ECHEC</v>
      </c>
      <c r="O13" s="7">
        <f>IF(R13=0,0,VLOOKUP($A13,[6]HISTOAVRIL24!$A$6:$AV$49,32,0))</f>
        <v>0</v>
      </c>
      <c r="P13" s="7">
        <f>VLOOKUP($A13,[6]HISTOAVRIL24!$A$6:$AV$49,33,0)</f>
        <v>0</v>
      </c>
      <c r="Q13" s="7">
        <f t="shared" si="1"/>
        <v>0</v>
      </c>
      <c r="R13" s="7">
        <f>VLOOKUP($A13,[6]HISTOAVRIL24!$A$6:$AV$49,29,0)</f>
        <v>0</v>
      </c>
    </row>
    <row r="14" spans="1:19" x14ac:dyDescent="0.35">
      <c r="A14" s="1" t="s">
        <v>14</v>
      </c>
      <c r="B14" s="7">
        <f>IF(D14=0,0,VLOOKUP($A14,[6]HISTOAVRIL24!$A$6:$BP$44,10,0))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D14+VLOOKUP($A14,[6]HISTOAVRIL24!$A$7:$AU$42,45,0)+F14</f>
        <v>50000</v>
      </c>
      <c r="F14" s="7">
        <f>VLOOKUP($A14,[6]HISTOAVRIL24!$A$6:$AV$48,7,0)</f>
        <v>0</v>
      </c>
      <c r="G14" s="7" t="str">
        <f>VLOOKUP($A14,[6]HISTOAVRIL24!$A$6:$AV$49,8,0)</f>
        <v>BANQUE</v>
      </c>
      <c r="H14" s="7">
        <f>VLOOKUP($A14,[6]HISTOAVRIL24!$A$6:$AV$49,35,0)</f>
        <v>0</v>
      </c>
      <c r="I14" s="7">
        <f>VLOOKUP($A14,[6]HISTOAVRIL24!$A$6:$AV$49,38,0)</f>
        <v>0</v>
      </c>
      <c r="J14" s="7">
        <f>IF(H14=0,0,VLOOKUP($A14,[6]HISTOAVRIL24!$A$6:$AV$49,42,0))</f>
        <v>0</v>
      </c>
      <c r="K14" s="7">
        <f>VLOOKUP($A14,[6]HISTOAVRIL24!$A$6:$AV$49,41,0)</f>
        <v>0</v>
      </c>
      <c r="L14" s="7">
        <f>TONTMARS24!H14+TONTMARS24!I14</f>
        <v>0</v>
      </c>
      <c r="M14" s="7">
        <f>VLOOKUP($A14,[6]HISTOAVRIL24!$A$6:$AV$49,16,0)</f>
        <v>0</v>
      </c>
      <c r="N14" s="7" t="str">
        <f>IF(M14&lt;&gt;0,VLOOKUP($A14,[6]HISTOAVRIL24!$A$6:$AV$49,8,0),"ECHEC")</f>
        <v>ECHEC</v>
      </c>
      <c r="O14" s="7" t="str">
        <f>IF(R14=0,0,VLOOKUP($A14,[6]HISTOAVRIL24!$A$6:$AV$49,32,0))</f>
        <v>BANQUE</v>
      </c>
      <c r="P14" s="7">
        <f>VLOOKUP($A14,[6]HISTOAVRIL24!$A$6:$AV$49,33,0)</f>
        <v>0</v>
      </c>
      <c r="Q14" s="7">
        <f t="shared" si="1"/>
        <v>290000</v>
      </c>
      <c r="R14" s="7">
        <f>VLOOKUP($A14,[6]HISTOAVRIL24!$A$6:$AV$49,29,0)</f>
        <v>10000</v>
      </c>
      <c r="S14" s="1"/>
    </row>
    <row r="15" spans="1:19" x14ac:dyDescent="0.35">
      <c r="A15" s="1" t="s">
        <v>15</v>
      </c>
      <c r="B15" s="7">
        <f>IF(D15=0,0,VLOOKUP($A15,[6]HISTOAVRIL24!$A$6:$BP$44,10,0))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D15+VLOOKUP($A15,[6]HISTOAVRIL24!$A$7:$AU$42,45,0)+F15</f>
        <v>85000</v>
      </c>
      <c r="F15" s="7">
        <f>VLOOKUP($A15,[6]HISTOAVRIL24!$A$6:$AV$48,7,0)</f>
        <v>0</v>
      </c>
      <c r="G15" s="7" t="str">
        <f>VLOOKUP($A15,[6]HISTOAVRIL24!$A$6:$AV$49,8,0)</f>
        <v>BANQUE</v>
      </c>
      <c r="H15" s="7">
        <f>VLOOKUP($A15,[6]HISTOAVRIL24!$A$6:$AV$49,35,0)</f>
        <v>0</v>
      </c>
      <c r="I15" s="7">
        <f>VLOOKUP($A15,[6]HISTOAVRIL24!$A$6:$AV$49,38,0)</f>
        <v>0</v>
      </c>
      <c r="J15" s="7">
        <f>IF(H15=0,0,VLOOKUP($A15,[6]HISTOAVRIL24!$A$6:$AV$49,42,0))</f>
        <v>0</v>
      </c>
      <c r="K15" s="7">
        <f>VLOOKUP($A15,[6]HISTOAVRIL24!$A$6:$AV$49,41,0)</f>
        <v>0</v>
      </c>
      <c r="L15" s="7">
        <f>TONTMARS24!H15+TONTMARS24!I15</f>
        <v>0</v>
      </c>
      <c r="M15" s="7">
        <f>VLOOKUP($A15,[6]HISTOAVRIL24!$A$6:$AV$49,16,0)</f>
        <v>0</v>
      </c>
      <c r="N15" s="7" t="str">
        <f>IF(M15&lt;&gt;0,VLOOKUP($A15,[6]HISTOAVRIL24!$A$6:$AV$49,8,0),"ECHEC")</f>
        <v>ECHEC</v>
      </c>
      <c r="O15" s="7">
        <f>IF(R15=0,0,VLOOKUP($A15,[6]HISTOAVRIL24!$A$6:$AV$49,32,0))</f>
        <v>0</v>
      </c>
      <c r="P15" s="7">
        <f>VLOOKUP($A15,[6]HISTOAVRIL24!$A$6:$AV$49,33,0)</f>
        <v>0</v>
      </c>
      <c r="Q15" s="7">
        <f t="shared" si="1"/>
        <v>0</v>
      </c>
      <c r="R15" s="7">
        <f>VLOOKUP($A15,[6]HISTOAVRIL24!$A$6:$AV$49,29,0)</f>
        <v>0</v>
      </c>
      <c r="S15" s="1"/>
    </row>
    <row r="16" spans="1:19" x14ac:dyDescent="0.35">
      <c r="A16" s="1" t="s">
        <v>16</v>
      </c>
      <c r="B16" s="7">
        <f>IF(D16=0,0,VLOOKUP($A16,[6]HISTOAVRIL24!$A$6:$BP$44,10,0))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D16+VLOOKUP($A16,[6]HISTOAVRIL24!$A$7:$AU$42,45,0)+F16</f>
        <v>50000</v>
      </c>
      <c r="F16" s="7">
        <f>VLOOKUP($A16,[6]HISTOAVRIL24!$A$6:$AV$48,7,0)</f>
        <v>0</v>
      </c>
      <c r="G16" s="7" t="str">
        <f>VLOOKUP($A16,[6]HISTOAVRIL24!$A$6:$AV$49,8,0)</f>
        <v>BANQUE</v>
      </c>
      <c r="H16" s="7">
        <f>VLOOKUP($A16,[6]HISTOAVRIL24!$A$6:$AV$49,35,0)</f>
        <v>0</v>
      </c>
      <c r="I16" s="7">
        <f>VLOOKUP($A16,[6]HISTOAVRIL24!$A$6:$AV$49,38,0)</f>
        <v>0</v>
      </c>
      <c r="J16" s="7">
        <f>IF(H16=0,0,VLOOKUP($A16,[6]HISTOAVRIL24!$A$6:$AV$49,42,0))</f>
        <v>0</v>
      </c>
      <c r="K16" s="7">
        <f>VLOOKUP($A16,[6]HISTOAVRIL24!$A$6:$AV$49,41,0)</f>
        <v>0</v>
      </c>
      <c r="L16" s="7">
        <f>TONTMARS24!H16+TONTMARS24!I16</f>
        <v>0</v>
      </c>
      <c r="M16" s="7">
        <f>VLOOKUP($A16,[6]HISTOAVRIL24!$A$6:$AV$49,16,0)</f>
        <v>0</v>
      </c>
      <c r="N16" s="7" t="str">
        <f>IF(M16&lt;&gt;0,VLOOKUP($A16,[6]HISTOAVRIL24!$A$6:$AV$49,8,0),"ECHEC")</f>
        <v>ECHEC</v>
      </c>
      <c r="O16" s="7">
        <f>IF(R16=0,0,VLOOKUP($A16,[6]HISTOAVRIL24!$A$6:$AV$49,32,0))</f>
        <v>0</v>
      </c>
      <c r="P16" s="7">
        <f>VLOOKUP($A16,[6]HISTOAVRIL24!$A$6:$AV$49,33,0)</f>
        <v>0</v>
      </c>
      <c r="Q16" s="7">
        <f t="shared" si="1"/>
        <v>0</v>
      </c>
      <c r="R16" s="7">
        <f>VLOOKUP($A16,[6]HISTOAVRIL24!$A$6:$AV$49,29,0)</f>
        <v>0</v>
      </c>
      <c r="S16" s="1"/>
    </row>
    <row r="17" spans="1:19" x14ac:dyDescent="0.35">
      <c r="A17" s="1" t="s">
        <v>17</v>
      </c>
      <c r="B17" s="7">
        <f>IF(D17=0,0,VLOOKUP($A17,[6]HISTOAVRIL24!$A$6:$BP$44,10,0))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D17+VLOOKUP($A17,[6]HISTOAVRIL24!$A$7:$AU$42,45,0)+F17</f>
        <v>60000</v>
      </c>
      <c r="F17" s="7">
        <f>VLOOKUP($A17,[6]HISTOAVRIL24!$A$6:$AV$48,7,0)</f>
        <v>0</v>
      </c>
      <c r="G17" s="7" t="str">
        <f>VLOOKUP($A17,[6]HISTOAVRIL24!$A$6:$AV$49,8,0)</f>
        <v>BANQUE</v>
      </c>
      <c r="H17" s="7">
        <f>VLOOKUP($A17,[6]HISTOAVRIL24!$A$6:$AV$49,35,0)</f>
        <v>0</v>
      </c>
      <c r="I17" s="7">
        <f>VLOOKUP($A17,[6]HISTOAVRIL24!$A$6:$AV$49,38,0)</f>
        <v>0</v>
      </c>
      <c r="J17" s="7">
        <f>IF(H17=0,0,VLOOKUP($A17,[6]HISTOAVRIL24!$A$6:$AV$49,42,0))</f>
        <v>0</v>
      </c>
      <c r="K17" s="7">
        <f>VLOOKUP($A17,[6]HISTOAVRIL24!$A$6:$AV$49,41,0)</f>
        <v>0</v>
      </c>
      <c r="L17" s="7">
        <f>TONTMARS24!H17+TONTMARS24!I17</f>
        <v>0</v>
      </c>
      <c r="M17" s="7">
        <f>VLOOKUP($A17,[6]HISTOAVRIL24!$A$6:$AV$49,16,0)</f>
        <v>0</v>
      </c>
      <c r="N17" s="7" t="str">
        <f>IF(M17&lt;&gt;0,VLOOKUP($A17,[6]HISTOAVRIL24!$A$6:$AV$49,8,0),"ECHEC")</f>
        <v>ECHEC</v>
      </c>
      <c r="O17" s="7">
        <f>IF(R17=0,0,VLOOKUP($A17,[6]HISTOAVRIL24!$A$6:$AV$49,32,0))</f>
        <v>0</v>
      </c>
      <c r="P17" s="7">
        <f>VLOOKUP($A17,[6]HISTOAVRIL24!$A$6:$AV$49,33,0)</f>
        <v>0</v>
      </c>
      <c r="Q17" s="7">
        <f t="shared" si="1"/>
        <v>0</v>
      </c>
      <c r="R17" s="7">
        <f>VLOOKUP($A17,[6]HISTOAVRIL24!$A$6:$AV$49,29,0)</f>
        <v>0</v>
      </c>
      <c r="S17" s="1"/>
    </row>
    <row r="18" spans="1:19" x14ac:dyDescent="0.35">
      <c r="A18" s="1" t="s">
        <v>96</v>
      </c>
      <c r="B18" s="7">
        <f>IF(D18=0,0,VLOOKUP($A18,[6]HISTOAVRIL24!$A$6:$BP$44,10,0))</f>
        <v>1</v>
      </c>
      <c r="C18" s="1" t="str">
        <f>VLOOKUP(A18,[7]LISTADHERENT!A$5:H$60,3,0)</f>
        <v>MASSEUNGOUE DAGOBERT</v>
      </c>
      <c r="D18" s="7">
        <f t="shared" si="0"/>
        <v>25000</v>
      </c>
      <c r="E18" s="7">
        <f>D18+VLOOKUP($A18,[6]HISTOAVRIL24!$A$7:$AU$42,45,0)+F18</f>
        <v>50000</v>
      </c>
      <c r="F18" s="7">
        <f>VLOOKUP($A18,[6]HISTOAVRIL24!$A$6:$AV$48,7,0)</f>
        <v>0</v>
      </c>
      <c r="G18" s="7" t="str">
        <f>VLOOKUP($A18,[6]HISTOAVRIL24!$A$6:$AV$49,8,0)</f>
        <v>BANQUE</v>
      </c>
      <c r="H18" s="7">
        <f>VLOOKUP($A18,[6]HISTOAVRIL24!$A$6:$AV$49,35,0)</f>
        <v>0</v>
      </c>
      <c r="I18" s="7">
        <f>VLOOKUP($A18,[6]HISTOAVRIL24!$A$6:$AV$49,38,0)</f>
        <v>0</v>
      </c>
      <c r="J18" s="7">
        <f>IF(H18=0,0,VLOOKUP($A18,[6]HISTOAVRIL24!$A$6:$AV$49,42,0))</f>
        <v>0</v>
      </c>
      <c r="K18" s="7">
        <f>VLOOKUP($A18,[6]HISTOAVRIL24!$A$6:$AV$49,41,0)</f>
        <v>0</v>
      </c>
      <c r="L18" s="7">
        <f>TONTMARS24!H18+TONTMARS24!I18</f>
        <v>0</v>
      </c>
      <c r="M18" s="7">
        <f>VLOOKUP($A18,[6]HISTOAVRIL24!$A$6:$AV$49,16,0)</f>
        <v>0</v>
      </c>
      <c r="N18" s="7" t="str">
        <f>IF(M18&lt;&gt;0,VLOOKUP($A18,[6]HISTOAVRIL24!$A$6:$AV$49,8,0),"ECHEC")</f>
        <v>ECHEC</v>
      </c>
      <c r="O18" s="7">
        <f>IF(R18=0,0,VLOOKUP($A18,[6]HISTOAVRIL24!$A$6:$AV$49,32,0))</f>
        <v>0</v>
      </c>
      <c r="P18" s="7">
        <f>VLOOKUP($A18,[6]HISTOAVRIL24!$A$6:$AV$49,33,0)</f>
        <v>0</v>
      </c>
      <c r="Q18" s="7">
        <f t="shared" si="1"/>
        <v>0</v>
      </c>
      <c r="R18" s="7">
        <f>VLOOKUP($A18,[6]HISTOAVRIL24!$A$6:$AV$49,29,0)</f>
        <v>0</v>
      </c>
      <c r="S18" s="1"/>
    </row>
    <row r="19" spans="1:19" x14ac:dyDescent="0.35">
      <c r="A19" s="1" t="s">
        <v>44</v>
      </c>
      <c r="B19" s="7">
        <f>IF(D19=0,0,VLOOKUP($A19,[6]HISTOAVRIL24!$A$6:$BP$44,10,0))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D19+VLOOKUP($A19,[6]HISTOAVRIL24!$A$7:$AU$42,45,0)+F19</f>
        <v>49000</v>
      </c>
      <c r="F19" s="7">
        <f>VLOOKUP($A19,[6]HISTOAVRIL24!$A$6:$AV$48,7,0)</f>
        <v>0</v>
      </c>
      <c r="G19" s="7" t="str">
        <f>VLOOKUP($A19,[6]HISTOAVRIL24!$A$6:$AV$49,8,0)</f>
        <v>BANQUE</v>
      </c>
      <c r="H19" s="7">
        <f>VLOOKUP($A19,[6]HISTOAVRIL24!$A$6:$AV$49,35,0)</f>
        <v>0</v>
      </c>
      <c r="I19" s="7">
        <f>VLOOKUP($A19,[6]HISTOAVRIL24!$A$6:$AV$49,38,0)</f>
        <v>0</v>
      </c>
      <c r="J19" s="7">
        <f>IF(H19=0,0,VLOOKUP($A19,[6]HISTOAVRIL24!$A$6:$AV$49,42,0))</f>
        <v>0</v>
      </c>
      <c r="K19" s="7">
        <f>VLOOKUP($A19,[6]HISTOAVRIL24!$A$6:$AV$49,41,0)</f>
        <v>0</v>
      </c>
      <c r="L19" s="7">
        <f>TONTMARS24!H19+TONTMARS24!I19</f>
        <v>0</v>
      </c>
      <c r="M19" s="7">
        <f>VLOOKUP($A19,[6]HISTOAVRIL24!$A$6:$AV$49,16,0)</f>
        <v>0</v>
      </c>
      <c r="N19" s="7" t="str">
        <f>IF(M19&lt;&gt;0,VLOOKUP($A19,[6]HISTOAVRIL24!$A$6:$AV$49,8,0),"ECHEC")</f>
        <v>ECHEC</v>
      </c>
      <c r="O19" s="7">
        <f>IF(R19=0,0,VLOOKUP($A19,[6]HISTOAVRIL24!$A$6:$AV$49,32,0))</f>
        <v>0</v>
      </c>
      <c r="P19" s="7">
        <f>VLOOKUP($A19,[6]HISTOAVRIL24!$A$6:$AV$49,33,0)</f>
        <v>0</v>
      </c>
      <c r="Q19" s="7">
        <f t="shared" si="1"/>
        <v>0</v>
      </c>
      <c r="R19" s="7">
        <f>VLOOKUP($A19,[6]HISTOAVRIL24!$A$6:$AV$49,29,0)</f>
        <v>0</v>
      </c>
      <c r="S19" s="1"/>
    </row>
    <row r="20" spans="1:19" x14ac:dyDescent="0.35">
      <c r="A20" s="1" t="s">
        <v>25</v>
      </c>
      <c r="B20" s="7">
        <f>IF(D20=0,0,VLOOKUP($A20,[6]HISTOAVRIL24!$A$6:$BP$44,10,0))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D20+VLOOKUP($A20,[6]HISTOAVRIL24!$A$7:$AU$42,45,0)+F20</f>
        <v>50000</v>
      </c>
      <c r="F20" s="7">
        <f>VLOOKUP($A20,[6]HISTOAVRIL24!$A$6:$AV$48,7,0)</f>
        <v>0</v>
      </c>
      <c r="G20" s="7" t="str">
        <f>VLOOKUP($A20,[6]HISTOAVRIL24!$A$6:$AV$49,8,0)</f>
        <v>BANQUE</v>
      </c>
      <c r="H20" s="7">
        <f>VLOOKUP($A20,[6]HISTOAVRIL24!$A$6:$AV$49,35,0)</f>
        <v>0</v>
      </c>
      <c r="I20" s="7">
        <f>VLOOKUP($A20,[6]HISTOAVRIL24!$A$6:$AV$49,38,0)</f>
        <v>0</v>
      </c>
      <c r="J20" s="7">
        <f>IF(H20=0,0,VLOOKUP($A20,[6]HISTOAVRIL24!$A$6:$AV$49,42,0))</f>
        <v>0</v>
      </c>
      <c r="K20" s="7">
        <f>VLOOKUP($A20,[6]HISTOAVRIL24!$A$6:$AV$49,41,0)</f>
        <v>0</v>
      </c>
      <c r="L20" s="7">
        <f>TONTMARS24!H20+TONTMARS24!I20</f>
        <v>0</v>
      </c>
      <c r="M20" s="7">
        <f>VLOOKUP($A20,[6]HISTOAVRIL24!$A$6:$AV$49,16,0)</f>
        <v>0</v>
      </c>
      <c r="N20" s="7" t="str">
        <f>IF(M20&lt;&gt;0,VLOOKUP($A20,[6]HISTOAVRIL24!$A$6:$AV$49,8,0),"ECHEC")</f>
        <v>ECHEC</v>
      </c>
      <c r="O20" s="7">
        <f>IF(R20=0,0,VLOOKUP($A20,[6]HISTOAVRIL24!$A$6:$AV$49,32,0))</f>
        <v>0</v>
      </c>
      <c r="P20" s="7">
        <f>VLOOKUP($A20,[6]HISTOAVRIL24!$A$6:$AV$49,33,0)</f>
        <v>0</v>
      </c>
      <c r="Q20" s="7">
        <f t="shared" si="1"/>
        <v>0</v>
      </c>
      <c r="R20" s="7">
        <f>VLOOKUP($A20,[6]HISTOAVRIL24!$A$6:$AV$49,29,0)</f>
        <v>0</v>
      </c>
      <c r="S20" s="1"/>
    </row>
    <row r="21" spans="1:19" x14ac:dyDescent="0.35">
      <c r="A21" s="1" t="s">
        <v>18</v>
      </c>
      <c r="B21" s="7">
        <f>IF(D21=0,0,VLOOKUP($A21,[6]HISTOAVRIL24!$A$6:$BP$44,10,0))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D21+VLOOKUP($A21,[6]HISTOAVRIL24!$A$7:$AU$42,45,0)+F21</f>
        <v>50000</v>
      </c>
      <c r="F21" s="7">
        <f>VLOOKUP($A21,[6]HISTOAVRIL24!$A$6:$AV$48,7,0)</f>
        <v>0</v>
      </c>
      <c r="G21" s="7" t="str">
        <f>VLOOKUP($A21,[6]HISTOAVRIL24!$A$6:$AV$49,8,0)</f>
        <v>BANQUE</v>
      </c>
      <c r="H21" s="7">
        <f>VLOOKUP($A21,[6]HISTOAVRIL24!$A$6:$AV$49,35,0)</f>
        <v>0</v>
      </c>
      <c r="I21" s="7">
        <f>VLOOKUP($A21,[6]HISTOAVRIL24!$A$6:$AV$49,38,0)</f>
        <v>0</v>
      </c>
      <c r="J21" s="7">
        <f>IF(H21=0,0,VLOOKUP($A21,[6]HISTOAVRIL24!$A$6:$AV$49,42,0))</f>
        <v>0</v>
      </c>
      <c r="K21" s="7">
        <f>VLOOKUP($A21,[6]HISTOAVRIL24!$A$6:$AV$49,41,0)</f>
        <v>0</v>
      </c>
      <c r="L21" s="7">
        <f>TONTMARS24!H21+TONTMARS24!I21</f>
        <v>0</v>
      </c>
      <c r="M21" s="7">
        <f>VLOOKUP($A21,[6]HISTOAVRIL24!$A$6:$AV$49,16,0)</f>
        <v>0</v>
      </c>
      <c r="N21" s="7" t="str">
        <f>IF(M21&lt;&gt;0,VLOOKUP($A21,[6]HISTOAVRIL24!$A$6:$AV$49,8,0),"ECHEC")</f>
        <v>ECHEC</v>
      </c>
      <c r="O21" s="7">
        <f>IF(R21=0,0,VLOOKUP($A21,[6]HISTOAVRIL24!$A$6:$AV$49,32,0))</f>
        <v>0</v>
      </c>
      <c r="P21" s="7">
        <f>VLOOKUP($A21,[6]HISTOAVRIL24!$A$6:$AV$49,33,0)</f>
        <v>0</v>
      </c>
      <c r="Q21" s="7">
        <f t="shared" si="1"/>
        <v>0</v>
      </c>
      <c r="R21" s="7">
        <f>VLOOKUP($A21,[6]HISTOAVRIL24!$A$6:$AV$49,29,0)</f>
        <v>0</v>
      </c>
      <c r="S21" s="1"/>
    </row>
    <row r="22" spans="1:19" x14ac:dyDescent="0.35">
      <c r="A22" s="1" t="s">
        <v>19</v>
      </c>
      <c r="B22" s="7">
        <f>IF(D22=0,0,VLOOKUP($A22,[6]HISTOAVRIL24!$A$6:$BP$44,10,0))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D22+VLOOKUP($A22,[6]HISTOAVRIL24!$A$7:$AU$42,45,0)+F22</f>
        <v>60000</v>
      </c>
      <c r="F22" s="7">
        <f>VLOOKUP($A22,[6]HISTOAVRIL24!$A$6:$AV$48,7,0)</f>
        <v>0</v>
      </c>
      <c r="G22" s="7" t="str">
        <f>VLOOKUP($A22,[6]HISTOAVRIL24!$A$6:$AV$49,8,0)</f>
        <v>BANQUE</v>
      </c>
      <c r="H22" s="7">
        <f>VLOOKUP($A22,[6]HISTOAVRIL24!$A$6:$AV$49,35,0)</f>
        <v>0</v>
      </c>
      <c r="I22" s="7">
        <f>VLOOKUP($A22,[6]HISTOAVRIL24!$A$6:$AV$49,38,0)</f>
        <v>0</v>
      </c>
      <c r="J22" s="7">
        <f>IF(H22=0,0,VLOOKUP($A22,[6]HISTOAVRIL24!$A$6:$AV$49,42,0))</f>
        <v>0</v>
      </c>
      <c r="K22" s="7">
        <f>VLOOKUP($A22,[6]HISTOAVRIL24!$A$6:$AV$49,41,0)</f>
        <v>0</v>
      </c>
      <c r="L22" s="7">
        <f>TONTMARS24!H22+TONTMARS24!I22</f>
        <v>0</v>
      </c>
      <c r="M22" s="7">
        <f>VLOOKUP($A22,[6]HISTOAVRIL24!$A$6:$AV$49,16,0)</f>
        <v>0</v>
      </c>
      <c r="N22" s="7" t="str">
        <f>IF(M22&lt;&gt;0,VLOOKUP($A22,[6]HISTOAVRIL24!$A$6:$AV$49,8,0),"ECHEC")</f>
        <v>ECHEC</v>
      </c>
      <c r="O22" s="7">
        <f>IF(R22=0,0,VLOOKUP($A22,[6]HISTOAVRIL24!$A$6:$AV$49,32,0))</f>
        <v>0</v>
      </c>
      <c r="P22" s="7">
        <f>VLOOKUP($A22,[6]HISTOAVRIL24!$A$6:$AV$49,33,0)</f>
        <v>0</v>
      </c>
      <c r="Q22" s="7">
        <f t="shared" si="1"/>
        <v>0</v>
      </c>
      <c r="R22" s="7">
        <f>VLOOKUP($A22,[6]HISTOAVRIL24!$A$6:$AV$49,29,0)</f>
        <v>0</v>
      </c>
      <c r="S22" s="1"/>
    </row>
    <row r="23" spans="1:19" x14ac:dyDescent="0.35">
      <c r="A23" s="1" t="s">
        <v>20</v>
      </c>
      <c r="B23" s="7">
        <f>IF(D23=0,0,VLOOKUP($A23,[6]HISTOAVRIL24!$A$6:$BP$44,10,0))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D23+VLOOKUP($A23,[6]HISTOAVRIL24!$A$7:$AU$42,45,0)+F23</f>
        <v>75000</v>
      </c>
      <c r="F23" s="7">
        <f>VLOOKUP($A23,[6]HISTOAVRIL24!$A$6:$AV$48,7,0)</f>
        <v>3000</v>
      </c>
      <c r="G23" s="7" t="str">
        <f>VLOOKUP($A23,[6]HISTOAVRIL24!$A$6:$AV$49,8,0)</f>
        <v>ESPECES</v>
      </c>
      <c r="H23" s="7">
        <f>VLOOKUP($A23,[6]HISTOAVRIL24!$A$6:$AV$49,35,0)</f>
        <v>0</v>
      </c>
      <c r="I23" s="7">
        <f>VLOOKUP($A23,[6]HISTOAVRIL24!$A$6:$AV$49,38,0)</f>
        <v>0</v>
      </c>
      <c r="J23" s="7">
        <f>IF(H23=0,0,VLOOKUP($A23,[6]HISTOAVRIL24!$A$6:$AV$49,42,0))</f>
        <v>0</v>
      </c>
      <c r="K23" s="7">
        <f>VLOOKUP($A23,[6]HISTOAVRIL24!$A$6:$AV$49,41,0)</f>
        <v>0</v>
      </c>
      <c r="L23" s="7">
        <f>TONTMARS24!H23+TONTMARS24!I23</f>
        <v>0</v>
      </c>
      <c r="M23" s="7">
        <f>VLOOKUP($A23,[6]HISTOAVRIL24!$A$6:$AV$49,16,0)</f>
        <v>0</v>
      </c>
      <c r="N23" s="7" t="str">
        <f>IF(M23&lt;&gt;0,VLOOKUP($A23,[6]HISTOAVRIL24!$A$6:$AV$49,8,0),"ECHEC")</f>
        <v>ECHEC</v>
      </c>
      <c r="O23" s="7">
        <f>IF(R23=0,0,VLOOKUP($A23,[6]HISTOAVRIL24!$A$6:$AV$49,32,0))</f>
        <v>0</v>
      </c>
      <c r="P23" s="7">
        <f>VLOOKUP($A23,[6]HISTOAVRIL24!$A$6:$AV$49,33,0)</f>
        <v>0</v>
      </c>
      <c r="Q23" s="7">
        <f t="shared" si="1"/>
        <v>0</v>
      </c>
      <c r="R23" s="7">
        <f>VLOOKUP($A23,[6]HISTOAVRIL24!$A$6:$AV$49,29,0)</f>
        <v>0</v>
      </c>
      <c r="S23" s="1"/>
    </row>
    <row r="24" spans="1:19" x14ac:dyDescent="0.35">
      <c r="A24" s="1" t="s">
        <v>21</v>
      </c>
      <c r="B24" s="7">
        <f>IF(D24=0,0,VLOOKUP($A24,[6]HISTOAVRIL24!$A$6:$BP$44,10,0))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D24+VLOOKUP($A24,[6]HISTOAVRIL24!$A$7:$AU$42,45,0)+F24</f>
        <v>48000</v>
      </c>
      <c r="F24" s="7">
        <f>VLOOKUP($A24,[6]HISTOAVRIL24!$A$6:$AV$48,7,0)</f>
        <v>0</v>
      </c>
      <c r="G24" s="7" t="str">
        <f>VLOOKUP($A24,[6]HISTOAVRIL24!$A$6:$AV$49,8,0)</f>
        <v>BANQUE</v>
      </c>
      <c r="H24" s="7">
        <f>VLOOKUP($A24,[6]HISTOAVRIL24!$A$6:$AV$49,35,0)</f>
        <v>0</v>
      </c>
      <c r="I24" s="7">
        <f>VLOOKUP($A24,[6]HISTOAVRIL24!$A$6:$AV$49,38,0)</f>
        <v>0</v>
      </c>
      <c r="J24" s="7">
        <f>IF(H24=0,0,VLOOKUP($A24,[6]HISTOAVRIL24!$A$6:$AV$49,42,0))</f>
        <v>0</v>
      </c>
      <c r="K24" s="7">
        <f>VLOOKUP($A24,[6]HISTOAVRIL24!$A$6:$AV$49,41,0)</f>
        <v>0</v>
      </c>
      <c r="L24" s="7">
        <f>TONTMARS24!H24+TONTMARS24!I24</f>
        <v>0</v>
      </c>
      <c r="M24" s="7">
        <f>VLOOKUP($A24,[6]HISTOAVRIL24!$A$6:$AV$49,16,0)</f>
        <v>0</v>
      </c>
      <c r="N24" s="7" t="str">
        <f>IF(M24&lt;&gt;0,VLOOKUP($A24,[6]HISTOAVRIL24!$A$6:$AV$49,8,0),"ECHEC")</f>
        <v>ECHEC</v>
      </c>
      <c r="O24" s="7" t="str">
        <f>IF(R24=0,0,VLOOKUP($A24,[6]HISTOAVRIL24!$A$6:$AV$49,32,0))</f>
        <v>BANQUE</v>
      </c>
      <c r="P24" s="7">
        <f>VLOOKUP($A24,[6]HISTOAVRIL24!$A$6:$AV$49,33,0)</f>
        <v>0</v>
      </c>
      <c r="Q24" s="7">
        <f t="shared" si="1"/>
        <v>289000</v>
      </c>
      <c r="R24" s="7">
        <f>VLOOKUP($A24,[6]HISTOAVRIL24!$A$6:$AV$49,29,0)</f>
        <v>11000</v>
      </c>
      <c r="S24" s="1"/>
    </row>
    <row r="25" spans="1:19" x14ac:dyDescent="0.35">
      <c r="A25" s="1" t="s">
        <v>22</v>
      </c>
      <c r="B25" s="7">
        <f>IF(D25=0,0,VLOOKUP($A25,[6]HISTOAVRIL24!$A$6:$BP$44,10,0))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D25+VLOOKUP($A25,[6]HISTOAVRIL24!$A$7:$AU$42,45,0)+F25</f>
        <v>50000</v>
      </c>
      <c r="F25" s="7">
        <f>VLOOKUP($A25,[6]HISTOAVRIL24!$A$6:$AV$48,7,0)</f>
        <v>0</v>
      </c>
      <c r="G25" s="7" t="str">
        <f>VLOOKUP($A25,[6]HISTOAVRIL24!$A$6:$AV$49,8,0)</f>
        <v>BANQUE</v>
      </c>
      <c r="H25" s="7">
        <f>VLOOKUP($A25,[6]HISTOAVRIL24!$A$6:$AV$49,35,0)</f>
        <v>0</v>
      </c>
      <c r="I25" s="7">
        <f>VLOOKUP($A25,[6]HISTOAVRIL24!$A$6:$AV$49,38,0)</f>
        <v>0</v>
      </c>
      <c r="J25" s="7">
        <f>IF(H25=0,0,VLOOKUP($A25,[6]HISTOAVRIL24!$A$6:$AV$49,42,0))</f>
        <v>0</v>
      </c>
      <c r="K25" s="7">
        <f>VLOOKUP($A25,[6]HISTOAVRIL24!$A$6:$AV$49,41,0)</f>
        <v>0</v>
      </c>
      <c r="L25" s="7">
        <f>TONTMARS24!H25+TONTMARS24!I25</f>
        <v>0</v>
      </c>
      <c r="M25" s="7">
        <f>VLOOKUP($A25,[6]HISTOAVRIL24!$A$6:$AV$49,16,0)</f>
        <v>0</v>
      </c>
      <c r="N25" s="7" t="str">
        <f>IF(M25&lt;&gt;0,VLOOKUP($A25,[6]HISTOAVRIL24!$A$6:$AV$49,8,0),"ECHEC")</f>
        <v>ECHEC</v>
      </c>
      <c r="O25" s="7">
        <f>IF(R25=0,0,VLOOKUP($A25,[6]HISTOAVRIL24!$A$6:$AV$49,32,0))</f>
        <v>0</v>
      </c>
      <c r="P25" s="7">
        <f>VLOOKUP($A25,[6]HISTOAVRIL24!$A$6:$AV$49,33,0)</f>
        <v>0</v>
      </c>
      <c r="Q25" s="7">
        <f t="shared" si="1"/>
        <v>0</v>
      </c>
      <c r="R25" s="7">
        <f>VLOOKUP($A25,[6]HISTOAVRIL24!$A$6:$AV$49,29,0)</f>
        <v>0</v>
      </c>
      <c r="S25" s="1"/>
    </row>
    <row r="26" spans="1:19" x14ac:dyDescent="0.35">
      <c r="A26" s="1" t="s">
        <v>85</v>
      </c>
      <c r="B26" s="7">
        <f>IF(D26=0,0,VLOOKUP($A26,[6]HISTOAVRIL24!$A$6:$BP$44,10,0))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D26+VLOOKUP($A26,[6]HISTOAVRIL24!$A$7:$AU$42,45,0)+F26</f>
        <v>50000</v>
      </c>
      <c r="F26" s="7">
        <f>VLOOKUP($A26,[6]HISTOAVRIL24!$A$6:$AV$48,7,0)</f>
        <v>0</v>
      </c>
      <c r="G26" s="7" t="str">
        <f>VLOOKUP($A26,[6]HISTOAVRIL24!$A$6:$AV$49,8,0)</f>
        <v>BANQUE</v>
      </c>
      <c r="H26" s="7">
        <f>VLOOKUP($A26,[6]HISTOAVRIL24!$A$6:$AV$49,35,0)</f>
        <v>0</v>
      </c>
      <c r="I26" s="7">
        <f>VLOOKUP($A26,[6]HISTOAVRIL24!$A$6:$AV$49,38,0)</f>
        <v>0</v>
      </c>
      <c r="J26" s="7">
        <f>IF(H26=0,0,VLOOKUP($A26,[6]HISTOAVRIL24!$A$6:$AV$49,42,0))</f>
        <v>0</v>
      </c>
      <c r="K26" s="7">
        <f>VLOOKUP($A26,[6]HISTOAVRIL24!$A$6:$AV$49,41,0)</f>
        <v>0</v>
      </c>
      <c r="L26" s="7">
        <f>TONTMARS24!H26+TONTMARS24!I26</f>
        <v>0</v>
      </c>
      <c r="M26" s="7">
        <f>VLOOKUP($A26,[6]HISTOAVRIL24!$A$6:$AV$49,16,0)</f>
        <v>0</v>
      </c>
      <c r="N26" s="7" t="str">
        <f>IF(M26&lt;&gt;0,VLOOKUP($A26,[6]HISTOAVRIL24!$A$6:$AV$49,8,0),"ECHEC")</f>
        <v>ECHEC</v>
      </c>
      <c r="O26" s="7">
        <f>IF(R26=0,0,VLOOKUP($A26,[6]HISTOAVRIL24!$A$6:$AV$49,32,0))</f>
        <v>0</v>
      </c>
      <c r="P26" s="7">
        <f>VLOOKUP($A26,[6]HISTOAVRIL24!$A$6:$AV$49,33,0)</f>
        <v>0</v>
      </c>
      <c r="Q26" s="7">
        <f t="shared" si="1"/>
        <v>0</v>
      </c>
      <c r="R26" s="7">
        <f>VLOOKUP($A26,[6]HISTOAVRIL24!$A$6:$AV$49,29,0)</f>
        <v>0</v>
      </c>
    </row>
    <row r="27" spans="1:19" x14ac:dyDescent="0.35">
      <c r="A27" s="1" t="s">
        <v>23</v>
      </c>
      <c r="B27" s="7">
        <f>IF(D27=0,0,VLOOKUP($A27,[6]HISTOAVRIL24!$A$6:$BP$44,10,0))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D27+VLOOKUP($A27,[6]HISTOAVRIL24!$A$7:$AU$42,45,0)+F27</f>
        <v>50000</v>
      </c>
      <c r="F27" s="7">
        <f>VLOOKUP($A27,[6]HISTOAVRIL24!$A$6:$AV$48,7,0)</f>
        <v>0</v>
      </c>
      <c r="G27" s="7" t="str">
        <f>VLOOKUP($A27,[6]HISTOAVRIL24!$A$6:$AV$49,8,0)</f>
        <v>BANQUE</v>
      </c>
      <c r="H27" s="7">
        <f>VLOOKUP($A27,[6]HISTOAVRIL24!$A$6:$AV$49,35,0)</f>
        <v>0</v>
      </c>
      <c r="I27" s="7">
        <f>VLOOKUP($A27,[6]HISTOAVRIL24!$A$6:$AV$49,38,0)</f>
        <v>0</v>
      </c>
      <c r="J27" s="7">
        <f>IF(H27=0,0,VLOOKUP($A27,[6]HISTOAVRIL24!$A$6:$AV$49,42,0))</f>
        <v>0</v>
      </c>
      <c r="K27" s="7">
        <f>VLOOKUP($A27,[6]HISTOAVRIL24!$A$6:$AV$49,41,0)</f>
        <v>0</v>
      </c>
      <c r="L27" s="7">
        <f>TONTMARS24!H27+TONTMARS24!I27</f>
        <v>0</v>
      </c>
      <c r="M27" s="7">
        <f>VLOOKUP($A27,[6]HISTOAVRIL24!$A$6:$AV$49,16,0)</f>
        <v>0</v>
      </c>
      <c r="N27" s="7" t="str">
        <f>IF(M27&lt;&gt;0,VLOOKUP($A27,[6]HISTOAVRIL24!$A$6:$AV$49,8,0),"ECHEC")</f>
        <v>ECHEC</v>
      </c>
      <c r="O27" s="7">
        <f>IF(R27=0,0,VLOOKUP($A27,[6]HISTOAVRIL24!$A$6:$AV$49,32,0))</f>
        <v>0</v>
      </c>
      <c r="P27" s="7">
        <f>VLOOKUP($A27,[6]HISTOAVRIL24!$A$6:$AV$49,33,0)</f>
        <v>0</v>
      </c>
      <c r="Q27" s="7">
        <f t="shared" si="1"/>
        <v>0</v>
      </c>
      <c r="R27" s="7">
        <f>VLOOKUP($A27,[6]HISTOAVRIL24!$A$6:$AV$49,29,0)</f>
        <v>0</v>
      </c>
    </row>
    <row r="28" spans="1:19" x14ac:dyDescent="0.35">
      <c r="A28" s="1" t="s">
        <v>86</v>
      </c>
      <c r="B28" s="7">
        <f>IF(D28=0,0,VLOOKUP($A28,[6]HISTOAVRIL24!$A$6:$BP$44,10,0))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D28+VLOOKUP($A28,[6]HISTOAVRIL24!$A$7:$AU$42,45,0)+F28</f>
        <v>50000</v>
      </c>
      <c r="F28" s="7">
        <f>VLOOKUP($A28,[6]HISTOAVRIL24!$A$6:$AV$48,7,0)</f>
        <v>0</v>
      </c>
      <c r="G28" s="7" t="str">
        <f>VLOOKUP($A28,[6]HISTOAVRIL24!$A$6:$AV$49,8,0)</f>
        <v>BANQUE</v>
      </c>
      <c r="H28" s="7">
        <f>VLOOKUP($A28,[6]HISTOAVRIL24!$A$6:$AV$49,35,0)</f>
        <v>0</v>
      </c>
      <c r="I28" s="7">
        <f>VLOOKUP($A28,[6]HISTOAVRIL24!$A$6:$AV$49,38,0)</f>
        <v>0</v>
      </c>
      <c r="J28" s="7">
        <f>IF(H28=0,0,VLOOKUP($A28,[6]HISTOAVRIL24!$A$6:$AV$49,42,0))</f>
        <v>0</v>
      </c>
      <c r="K28" s="7">
        <f>VLOOKUP($A28,[6]HISTOAVRIL24!$A$6:$AV$49,41,0)</f>
        <v>0</v>
      </c>
      <c r="L28" s="7">
        <f>TONTMARS24!H28+TONTMARS24!I28</f>
        <v>42500</v>
      </c>
      <c r="M28" s="7">
        <f>VLOOKUP($A28,[6]HISTOAVRIL24!$A$6:$AV$49,16,0)</f>
        <v>42500</v>
      </c>
      <c r="N28" s="7" t="str">
        <f>IF(M28&lt;&gt;0,VLOOKUP($A28,[6]HISTOAVRIL24!$A$6:$AV$49,8,0),"ECHEC")</f>
        <v>BANQUE</v>
      </c>
      <c r="O28" s="7">
        <f>IF(R28=0,0,VLOOKUP($A28,[6]HISTOAVRIL24!$A$6:$AV$49,32,0))</f>
        <v>0</v>
      </c>
      <c r="P28" s="7">
        <f>VLOOKUP($A28,[6]HISTOAVRIL24!$A$6:$AV$49,33,0)</f>
        <v>0</v>
      </c>
      <c r="Q28" s="7">
        <f t="shared" si="1"/>
        <v>0</v>
      </c>
      <c r="R28" s="7">
        <f>VLOOKUP($A28,[6]HISTOAVRIL24!$A$6:$AV$49,29,0)</f>
        <v>0</v>
      </c>
    </row>
    <row r="29" spans="1:19" x14ac:dyDescent="0.35">
      <c r="A29" s="1" t="s">
        <v>46</v>
      </c>
      <c r="B29" s="7">
        <f>IF(D29=0,0,VLOOKUP($A29,[6]HISTOAVRIL24!$A$6:$BP$44,10,0))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D29+VLOOKUP($A29,[6]HISTOAVRIL24!$A$7:$AU$42,45,0)+F29</f>
        <v>50000</v>
      </c>
      <c r="F29" s="7">
        <f>VLOOKUP($A29,[6]HISTOAVRIL24!$A$6:$AV$48,7,0)</f>
        <v>0</v>
      </c>
      <c r="G29" s="7" t="str">
        <f>VLOOKUP($A29,[6]HISTOAVRIL24!$A$6:$AV$49,8,0)</f>
        <v>BANQUE</v>
      </c>
      <c r="H29" s="7">
        <f>VLOOKUP($A29,[6]HISTOAVRIL24!$A$6:$AV$49,35,0)</f>
        <v>0</v>
      </c>
      <c r="I29" s="7">
        <f>VLOOKUP($A29,[6]HISTOAVRIL24!$A$6:$AV$49,38,0)</f>
        <v>0</v>
      </c>
      <c r="J29" s="7">
        <f>IF(H29=0,0,VLOOKUP($A29,[6]HISTOAVRIL24!$A$6:$AV$49,42,0))</f>
        <v>0</v>
      </c>
      <c r="K29" s="7">
        <f>VLOOKUP($A29,[6]HISTOAVRIL24!$A$6:$AV$49,41,0)</f>
        <v>0</v>
      </c>
      <c r="L29" s="7">
        <f>TONTMARS24!H29+TONTMARS24!I29</f>
        <v>0</v>
      </c>
      <c r="M29" s="7">
        <f>VLOOKUP($A29,[6]HISTOAVRIL24!$A$6:$AV$49,16,0)</f>
        <v>0</v>
      </c>
      <c r="N29" s="7" t="str">
        <f>IF(M29&lt;&gt;0,VLOOKUP($A29,[6]HISTOAVRIL24!$A$6:$AV$49,8,0),"ECHEC")</f>
        <v>ECHEC</v>
      </c>
      <c r="O29" s="7">
        <f>IF(R29=0,0,VLOOKUP($A29,[6]HISTOAVRIL24!$A$6:$AV$49,32,0))</f>
        <v>0</v>
      </c>
      <c r="P29" s="7">
        <f>VLOOKUP($A29,[6]HISTOAVRIL24!$A$6:$AV$49,33,0)</f>
        <v>0</v>
      </c>
      <c r="Q29" s="7">
        <f t="shared" si="1"/>
        <v>0</v>
      </c>
      <c r="R29" s="7">
        <f>VLOOKUP($A29,[6]HISTOAVRIL24!$A$6:$AV$49,29,0)</f>
        <v>0</v>
      </c>
    </row>
    <row r="30" spans="1:19" x14ac:dyDescent="0.35">
      <c r="A30" s="1" t="s">
        <v>24</v>
      </c>
      <c r="B30" s="7">
        <f>IF(D30=0,0,VLOOKUP($A30,[6]HISTOAVRIL24!$A$6:$BP$44,10,0))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D30+VLOOKUP($A30,[6]HISTOAVRIL24!$A$7:$AU$42,45,0)+F30</f>
        <v>50000</v>
      </c>
      <c r="F30" s="7">
        <f>VLOOKUP($A30,[6]HISTOAVRIL24!$A$6:$AV$48,7,0)</f>
        <v>0</v>
      </c>
      <c r="G30" s="7" t="str">
        <f>VLOOKUP($A30,[6]HISTOAVRIL24!$A$6:$AV$49,8,0)</f>
        <v>BANQUE</v>
      </c>
      <c r="H30" s="7">
        <f>VLOOKUP($A30,[6]HISTOAVRIL24!$A$6:$AV$49,35,0)</f>
        <v>0</v>
      </c>
      <c r="I30" s="7">
        <f>VLOOKUP($A30,[6]HISTOAVRIL24!$A$6:$AV$49,38,0)</f>
        <v>0</v>
      </c>
      <c r="J30" s="7">
        <f>IF(H30=0,0,VLOOKUP($A30,[6]HISTOAVRIL24!$A$6:$AV$49,42,0))</f>
        <v>0</v>
      </c>
      <c r="K30" s="7">
        <f>VLOOKUP($A30,[6]HISTOAVRIL24!$A$6:$AV$49,41,0)</f>
        <v>0</v>
      </c>
      <c r="L30" s="7">
        <f>TONTMARS24!H30+TONTMARS24!I30</f>
        <v>0</v>
      </c>
      <c r="M30" s="7">
        <f>VLOOKUP($A30,[6]HISTOAVRIL24!$A$6:$AV$49,16,0)</f>
        <v>0</v>
      </c>
      <c r="N30" s="7" t="str">
        <f>IF(M30&lt;&gt;0,VLOOKUP($A30,[6]HISTOAVRIL24!$A$6:$AV$49,8,0),"ECHEC")</f>
        <v>ECHEC</v>
      </c>
      <c r="O30" s="7">
        <f>IF(R30=0,0,VLOOKUP($A30,[6]HISTOAVRIL24!$A$6:$AV$49,32,0))</f>
        <v>0</v>
      </c>
      <c r="P30" s="7">
        <f>VLOOKUP($A30,[6]HISTOAVRIL24!$A$6:$AV$49,33,0)</f>
        <v>0</v>
      </c>
      <c r="Q30" s="7">
        <f t="shared" si="1"/>
        <v>0</v>
      </c>
      <c r="R30" s="7">
        <f>VLOOKUP($A30,[6]HISTOAVRIL24!$A$6:$AV$49,29,0)</f>
        <v>0</v>
      </c>
    </row>
    <row r="31" spans="1:19" x14ac:dyDescent="0.35">
      <c r="A31" s="1" t="s">
        <v>26</v>
      </c>
      <c r="B31" s="7">
        <f>IF(D31=0,0,VLOOKUP($A31,[6]HISTOAVRIL24!$A$6:$BP$44,10,0))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D31+VLOOKUP($A31,[6]HISTOAVRIL24!$A$7:$AU$42,45,0)+F31</f>
        <v>50000</v>
      </c>
      <c r="F31" s="7">
        <f>VLOOKUP($A31,[6]HISTOAVRIL24!$A$6:$AV$48,7,0)</f>
        <v>0</v>
      </c>
      <c r="G31" s="7" t="str">
        <f>VLOOKUP($A31,[6]HISTOAVRIL24!$A$6:$AV$49,8,0)</f>
        <v>BANQUE</v>
      </c>
      <c r="H31" s="7">
        <f>VLOOKUP($A31,[6]HISTOAVRIL24!$A$6:$AV$49,35,0)</f>
        <v>0</v>
      </c>
      <c r="I31" s="7">
        <f>VLOOKUP($A31,[6]HISTOAVRIL24!$A$6:$AV$49,38,0)</f>
        <v>0</v>
      </c>
      <c r="J31" s="7">
        <f>IF(H31=0,0,VLOOKUP($A31,[6]HISTOAVRIL24!$A$6:$AV$49,42,0))</f>
        <v>0</v>
      </c>
      <c r="K31" s="7">
        <f>VLOOKUP($A31,[6]HISTOAVRIL24!$A$6:$AV$49,41,0)</f>
        <v>0</v>
      </c>
      <c r="L31" s="7">
        <f>TONTMARS24!H31+TONTMARS24!I31</f>
        <v>0</v>
      </c>
      <c r="M31" s="7">
        <f>VLOOKUP($A31,[6]HISTOAVRIL24!$A$6:$AV$49,16,0)</f>
        <v>0</v>
      </c>
      <c r="N31" s="7" t="str">
        <f>IF(M31&lt;&gt;0,VLOOKUP($A31,[6]HISTOAVRIL24!$A$6:$AV$49,8,0),"ECHEC")</f>
        <v>ECHEC</v>
      </c>
      <c r="O31" s="7" t="str">
        <f>IF(R31=0,0,VLOOKUP($A31,[6]HISTOAVRIL24!$A$6:$AV$49,32,0))</f>
        <v>BANQUE</v>
      </c>
      <c r="P31" s="7">
        <f>VLOOKUP($A31,[6]HISTOAVRIL24!$A$6:$AV$49,33,0)</f>
        <v>0</v>
      </c>
      <c r="Q31" s="7">
        <f t="shared" si="1"/>
        <v>289500</v>
      </c>
      <c r="R31" s="7">
        <f>VLOOKUP($A31,[6]HISTOAVRIL24!$A$6:$AV$49,29,0)</f>
        <v>10500</v>
      </c>
    </row>
    <row r="32" spans="1:19" x14ac:dyDescent="0.35">
      <c r="A32" s="1" t="s">
        <v>95</v>
      </c>
      <c r="B32" s="7">
        <f>IF(D32=0,0,VLOOKUP($A32,[6]HISTOAVRIL24!$A$6:$BP$44,10,0))</f>
        <v>1</v>
      </c>
      <c r="C32" s="1" t="str">
        <f>VLOOKUP(A32,[7]LISTADHERENT!A$5:H$60,3,0)</f>
        <v>TCHOUATEU AUGUSTIN</v>
      </c>
      <c r="D32" s="7">
        <f t="shared" si="0"/>
        <v>25000</v>
      </c>
      <c r="E32" s="7">
        <f>D32+VLOOKUP($A32,[6]HISTOAVRIL24!$A$7:$AU$42,45,0)+F32</f>
        <v>130000</v>
      </c>
      <c r="F32" s="7">
        <f>VLOOKUP($A32,[6]HISTOAVRIL24!$A$6:$AV$48,7,0)</f>
        <v>0</v>
      </c>
      <c r="G32" s="7" t="str">
        <f>VLOOKUP($A32,[6]HISTOAVRIL24!$A$6:$AV$49,8,0)</f>
        <v>BANQUE</v>
      </c>
      <c r="H32" s="7">
        <f>VLOOKUP($A32,[6]HISTOAVRIL24!$A$6:$AV$49,35,0)</f>
        <v>0</v>
      </c>
      <c r="I32" s="7">
        <f>VLOOKUP($A32,[6]HISTOAVRIL24!$A$6:$AV$49,38,0)</f>
        <v>0</v>
      </c>
      <c r="J32" s="7">
        <f>IF(H32=0,0,VLOOKUP($A32,[6]HISTOAVRIL24!$A$6:$AV$49,42,0))</f>
        <v>0</v>
      </c>
      <c r="K32" s="7">
        <f>VLOOKUP($A32,[6]HISTOAVRIL24!$A$6:$AV$49,41,0)</f>
        <v>0</v>
      </c>
      <c r="L32" s="7">
        <f>TONTMARS24!H32+TONTMARS24!I32</f>
        <v>0</v>
      </c>
      <c r="M32" s="7">
        <f>VLOOKUP($A32,[6]HISTOAVRIL24!$A$6:$AV$49,16,0)</f>
        <v>0</v>
      </c>
      <c r="N32" s="7" t="str">
        <f>IF(M32&lt;&gt;0,VLOOKUP($A32,[6]HISTOAVRIL24!$A$6:$AV$49,8,0),"ECHEC")</f>
        <v>ECHEC</v>
      </c>
      <c r="O32" s="7">
        <f>IF(R32=0,0,VLOOKUP($A32,[6]HISTOAVRIL24!$A$6:$AV$49,32,0))</f>
        <v>0</v>
      </c>
      <c r="P32" s="7">
        <f>VLOOKUP($A32,[6]HISTOAVRIL24!$A$6:$AV$49,33,0)</f>
        <v>0</v>
      </c>
      <c r="Q32" s="7">
        <f t="shared" si="1"/>
        <v>0</v>
      </c>
      <c r="R32" s="7">
        <f>VLOOKUP($A32,[6]HISTOAVRIL24!$A$6:$AV$49,29,0)</f>
        <v>0</v>
      </c>
    </row>
    <row r="33" spans="1:18" x14ac:dyDescent="0.35">
      <c r="A33" s="1" t="s">
        <v>87</v>
      </c>
      <c r="B33" s="7">
        <f>IF(D33=0,0,VLOOKUP($A33,[6]HISTOAVRIL24!$A$6:$BP$44,10,0))</f>
        <v>1</v>
      </c>
      <c r="C33" s="1" t="str">
        <f>VLOOKUP(A33,[7]LISTADHERENT!A$5:H$60,3,0)</f>
        <v>TCHOUTOU NANA CLAUDE</v>
      </c>
      <c r="D33" s="7">
        <f t="shared" si="0"/>
        <v>25000</v>
      </c>
      <c r="E33" s="7">
        <f>D33+VLOOKUP($A33,[6]HISTOAVRIL24!$A$7:$AU$42,45,0)+F33</f>
        <v>50000</v>
      </c>
      <c r="F33" s="7">
        <f>VLOOKUP($A33,[6]HISTOAVRIL24!$A$6:$AV$48,7,0)</f>
        <v>3000</v>
      </c>
      <c r="G33" s="7" t="str">
        <f>VLOOKUP($A33,[6]HISTOAVRIL24!$A$6:$AV$49,8,0)</f>
        <v>ESPECES</v>
      </c>
      <c r="H33" s="7">
        <f>VLOOKUP($A33,[6]HISTOAVRIL24!$A$6:$AV$49,35,0)</f>
        <v>0</v>
      </c>
      <c r="I33" s="7">
        <f>VLOOKUP($A33,[6]HISTOAVRIL24!$A$6:$AV$49,38,0)</f>
        <v>0</v>
      </c>
      <c r="J33" s="7">
        <f>IF(H33=0,0,VLOOKUP($A33,[6]HISTOAVRIL24!$A$6:$AV$49,42,0))</f>
        <v>0</v>
      </c>
      <c r="K33" s="7">
        <f>VLOOKUP($A33,[6]HISTOAVRIL24!$A$6:$AV$49,41,0)</f>
        <v>0</v>
      </c>
      <c r="L33" s="7">
        <f>TONTMARS24!H33+TONTMARS24!I33</f>
        <v>0</v>
      </c>
      <c r="M33" s="7">
        <f>VLOOKUP($A33,[6]HISTOAVRIL24!$A$6:$AV$49,16,0)</f>
        <v>0</v>
      </c>
      <c r="N33" s="7" t="str">
        <f>IF(M33&lt;&gt;0,VLOOKUP($A33,[6]HISTOAVRIL24!$A$6:$AV$49,8,0),"ECHEC")</f>
        <v>ECHEC</v>
      </c>
      <c r="O33" s="7">
        <f>IF(R33=0,0,VLOOKUP($A33,[6]HISTOAVRIL24!$A$6:$AV$49,32,0))</f>
        <v>0</v>
      </c>
      <c r="P33" s="7">
        <f>VLOOKUP($A33,[6]HISTOAVRIL24!$A$6:$AV$49,33,0)</f>
        <v>0</v>
      </c>
      <c r="Q33" s="7">
        <f t="shared" si="1"/>
        <v>0</v>
      </c>
      <c r="R33" s="7">
        <f>VLOOKUP($A33,[6]HISTOAVRIL24!$A$6:$AV$49,29,0)</f>
        <v>0</v>
      </c>
    </row>
    <row r="34" spans="1:18" x14ac:dyDescent="0.35">
      <c r="A34" s="17" t="s">
        <v>89</v>
      </c>
      <c r="B34" s="7">
        <f>IF(D34=0,0,VLOOKUP($A34,[6]HISTOAVRIL24!$A$6:$BP$44,10,0))</f>
        <v>1</v>
      </c>
      <c r="C34" s="1" t="str">
        <f>VLOOKUP(A34,[7]LISTADHERENT!A$5:H$60,3,0)</f>
        <v>YANTCHOU GERVAIS</v>
      </c>
      <c r="D34" s="7">
        <f t="shared" si="0"/>
        <v>25000</v>
      </c>
      <c r="E34" s="7">
        <f>D34+VLOOKUP($A34,[6]HISTOAVRIL24!$A$7:$AU$42,45,0)+F34</f>
        <v>60000</v>
      </c>
      <c r="F34" s="7">
        <f>VLOOKUP($A34,[6]HISTOAVRIL24!$A$6:$AV$48,7,0)</f>
        <v>0</v>
      </c>
      <c r="G34" s="7" t="str">
        <f>VLOOKUP($A34,[6]HISTOAVRIL24!$A$6:$AV$49,8,0)</f>
        <v>BANQUE</v>
      </c>
      <c r="H34" s="7">
        <f>VLOOKUP($A34,[6]HISTOAVRIL24!$A$6:$AV$49,35,0)</f>
        <v>0</v>
      </c>
      <c r="I34" s="7">
        <f>VLOOKUP($A34,[6]HISTOAVRIL24!$A$6:$AV$49,38,0)</f>
        <v>0</v>
      </c>
      <c r="J34" s="7">
        <f>IF(H34=0,0,VLOOKUP($A34,[6]HISTOAVRIL24!$A$6:$AV$49,42,0))</f>
        <v>0</v>
      </c>
      <c r="K34" s="7">
        <f>VLOOKUP($A34,[6]HISTOAVRIL24!$A$6:$AV$49,41,0)</f>
        <v>0</v>
      </c>
      <c r="L34" s="7">
        <f>TONTMARS24!H34+TONTMARS24!I34</f>
        <v>0</v>
      </c>
      <c r="M34" s="7">
        <f>VLOOKUP($A34,[6]HISTOAVRIL24!$A$6:$AV$49,16,0)</f>
        <v>0</v>
      </c>
      <c r="N34" s="7" t="str">
        <f>IF(M34&lt;&gt;0,VLOOKUP($A34,[6]HISTOAVRIL24!$A$6:$AV$49,8,0),"ECHEC")</f>
        <v>ECHEC</v>
      </c>
      <c r="O34" s="7">
        <f>IF(R34=0,0,VLOOKUP($A34,[6]HISTOAVRIL24!$A$6:$AV$49,32,0))</f>
        <v>0</v>
      </c>
      <c r="P34" s="7">
        <f>VLOOKUP($A34,[6]HISTOAVRIL24!$A$6:$AV$49,33,0)</f>
        <v>0</v>
      </c>
      <c r="Q34" s="7">
        <f t="shared" si="1"/>
        <v>0</v>
      </c>
      <c r="R34" s="7">
        <f>VLOOKUP($A34,[6]HISTOAVRIL24!$A$6:$AV$49,29,0)</f>
        <v>0</v>
      </c>
    </row>
    <row r="35" spans="1:18" x14ac:dyDescent="0.35">
      <c r="A35" s="1" t="s">
        <v>27</v>
      </c>
      <c r="B35" s="7">
        <f>IF(D35=0,0,VLOOKUP($A35,[6]HISTOAVRIL24!$A$6:$BP$44,10,0))</f>
        <v>1</v>
      </c>
      <c r="C35" s="1" t="str">
        <f>VLOOKUP(A35,[7]LISTADHERENT!A$5:H$60,3,0)</f>
        <v>YEPMOU JEAN JACQUES</v>
      </c>
      <c r="D35" s="7">
        <f t="shared" si="0"/>
        <v>25000</v>
      </c>
      <c r="E35" s="7">
        <f>D35+VLOOKUP($A35,[6]HISTOAVRIL24!$A$7:$AU$42,45,0)+F35</f>
        <v>53000</v>
      </c>
      <c r="F35" s="7">
        <f>VLOOKUP($A35,[6]HISTOAVRIL24!$A$6:$AV$48,7,0)</f>
        <v>3000</v>
      </c>
      <c r="G35" s="7" t="str">
        <f>VLOOKUP($A35,[6]HISTOAVRIL24!$A$6:$AV$49,8,0)</f>
        <v>ESPECES</v>
      </c>
      <c r="H35" s="7">
        <f>VLOOKUP($A35,[6]HISTOAVRIL24!$A$6:$AV$49,35,0)</f>
        <v>0</v>
      </c>
      <c r="I35" s="7">
        <f>VLOOKUP($A35,[6]HISTOAVRIL24!$A$6:$AV$49,38,0)</f>
        <v>0</v>
      </c>
      <c r="J35" s="7">
        <f>IF(H35=0,0,VLOOKUP($A35,[6]HISTOAVRIL24!$A$6:$AV$49,42,0))</f>
        <v>0</v>
      </c>
      <c r="K35" s="7">
        <f>VLOOKUP($A35,[6]HISTOAVRIL24!$A$6:$AV$49,41,0)</f>
        <v>0</v>
      </c>
      <c r="L35" s="7">
        <f>TONTMARS24!H35+TONTMARS24!I35</f>
        <v>0</v>
      </c>
      <c r="M35" s="7">
        <f>VLOOKUP($A35,[6]HISTOAVRIL24!$A$6:$AV$49,16,0)</f>
        <v>0</v>
      </c>
      <c r="N35" s="7" t="str">
        <f>IF(M35&lt;&gt;0,VLOOKUP($A35,[6]HISTOAVRIL24!$A$6:$AV$49,8,0),"ECHEC")</f>
        <v>ECHEC</v>
      </c>
      <c r="O35" s="7">
        <f>IF(R35=0,0,VLOOKUP($A35,[6]HISTOAVRIL24!$A$6:$AV$49,32,0))</f>
        <v>0</v>
      </c>
      <c r="P35" s="7">
        <f>VLOOKUP($A35,[6]HISTOAVRIL24!$A$6:$AV$49,33,0)</f>
        <v>0</v>
      </c>
      <c r="Q35" s="7">
        <f t="shared" si="1"/>
        <v>0</v>
      </c>
      <c r="R35" s="7">
        <f>VLOOKUP($A35,[6]HISTOAVRIL24!$A$6:$AV$49,29,0)</f>
        <v>0</v>
      </c>
    </row>
    <row r="36" spans="1:18" x14ac:dyDescent="0.35">
      <c r="A36" s="1" t="s">
        <v>94</v>
      </c>
      <c r="B36" s="7">
        <f>IF(D36=0,0,VLOOKUP($A36,[6]HISTOAVRIL24!$A$6:$BP$44,10,0))</f>
        <v>1</v>
      </c>
      <c r="C36" s="1" t="str">
        <f>VLOOKUP(A36,[7]LISTADHERENT!A$5:H$60,3,0)</f>
        <v>YIALA ALAIN OSCAR</v>
      </c>
      <c r="D36" s="7">
        <f t="shared" si="0"/>
        <v>25000</v>
      </c>
      <c r="E36" s="7">
        <f>D36+VLOOKUP($A36,[6]HISTOAVRIL24!$A$7:$AU$42,45,0)+F36</f>
        <v>50000</v>
      </c>
      <c r="F36" s="7">
        <f>VLOOKUP($A36,[6]HISTOAVRIL24!$A$6:$AV$48,7,0)</f>
        <v>0</v>
      </c>
      <c r="G36" s="7" t="str">
        <f>VLOOKUP($A36,[6]HISTOAVRIL24!$A$6:$AV$49,8,0)</f>
        <v>BANQUE</v>
      </c>
      <c r="H36" s="7">
        <f>VLOOKUP($A36,[6]HISTOAVRIL24!$A$6:$AV$49,35,0)</f>
        <v>0</v>
      </c>
      <c r="I36" s="7">
        <f>VLOOKUP($A36,[6]HISTOAVRIL24!$A$6:$AV$49,38,0)</f>
        <v>0</v>
      </c>
      <c r="J36" s="7">
        <f>IF(H36=0,0,VLOOKUP($A36,[6]HISTOAVRIL24!$A$6:$AV$49,42,0))</f>
        <v>0</v>
      </c>
      <c r="K36" s="7">
        <f>VLOOKUP($A36,[6]HISTOAVRIL24!$A$6:$AV$49,41,0)</f>
        <v>0</v>
      </c>
      <c r="L36" s="7">
        <f>TONTMARS24!H36+TONTMARS24!I36</f>
        <v>0</v>
      </c>
      <c r="M36" s="7">
        <f>VLOOKUP($A36,[6]HISTOAVRIL24!$A$6:$AV$49,16,0)</f>
        <v>0</v>
      </c>
      <c r="N36" s="7" t="str">
        <f>IF(M36&lt;&gt;0,VLOOKUP($A36,[6]HISTOAVRIL24!$A$6:$AV$49,8,0),"ECHEC")</f>
        <v>ECHEC</v>
      </c>
      <c r="O36" s="7">
        <f>IF(R36=0,0,VLOOKUP($A36,[6]HISTOAVRIL24!$A$6:$AV$49,32,0))</f>
        <v>0</v>
      </c>
      <c r="P36" s="7">
        <f>VLOOKUP($A36,[6]HISTOAVRIL24!$A$6:$AV$49,33,0)</f>
        <v>0</v>
      </c>
      <c r="Q36" s="7">
        <f t="shared" si="1"/>
        <v>0</v>
      </c>
      <c r="R36" s="7">
        <f>VLOOKUP($A36,[6]HISTOAVRIL24!$A$6:$AV$49,29,0)</f>
        <v>0</v>
      </c>
    </row>
    <row r="37" spans="1:18" x14ac:dyDescent="0.35">
      <c r="A37" s="1" t="s">
        <v>28</v>
      </c>
      <c r="B37" s="7">
        <f>IF(D37=0,0,VLOOKUP($A37,[6]HISTOAVRIL24!$A$6:$BP$44,10,0))</f>
        <v>1</v>
      </c>
      <c r="C37" s="1" t="str">
        <f>VLOOKUP(A37,[7]LISTADHERENT!A$5:H$60,3,0)</f>
        <v>YOUMBI EMMANUEL</v>
      </c>
      <c r="D37" s="7">
        <f t="shared" si="0"/>
        <v>25000</v>
      </c>
      <c r="E37" s="7">
        <f>D37+VLOOKUP($A37,[6]HISTOAVRIL24!$A$7:$AU$42,45,0)+F37</f>
        <v>50000</v>
      </c>
      <c r="F37" s="7">
        <f>VLOOKUP($A37,[6]HISTOAVRIL24!$A$6:$AV$48,7,0)</f>
        <v>0</v>
      </c>
      <c r="G37" s="7" t="str">
        <f>VLOOKUP($A37,[6]HISTOAVRIL24!$A$6:$AV$49,8,0)</f>
        <v>BANQUE</v>
      </c>
      <c r="H37" s="7">
        <f>VLOOKUP($A37,[6]HISTOAVRIL24!$A$6:$AV$49,35,0)</f>
        <v>0</v>
      </c>
      <c r="I37" s="7">
        <f>VLOOKUP($A37,[6]HISTOAVRIL24!$A$6:$AV$49,38,0)</f>
        <v>0</v>
      </c>
      <c r="J37" s="7">
        <f>IF(H37=0,0,VLOOKUP($A37,[6]HISTOAVRIL24!$A$6:$AV$49,42,0))</f>
        <v>0</v>
      </c>
      <c r="K37" s="7">
        <f>VLOOKUP($A37,[6]HISTOAVRIL24!$A$6:$AV$49,41,0)</f>
        <v>0</v>
      </c>
      <c r="L37" s="7">
        <f>TONTMARS24!H37+TONTMARS24!I37</f>
        <v>0</v>
      </c>
      <c r="M37" s="7">
        <f>VLOOKUP($A37,[6]HISTOAVRIL24!$A$6:$AV$49,16,0)</f>
        <v>0</v>
      </c>
      <c r="N37" s="7" t="str">
        <f>IF(M37&lt;&gt;0,VLOOKUP($A37,[6]HISTOAVRIL24!$A$6:$AV$49,8,0),"ECHEC")</f>
        <v>ECHEC</v>
      </c>
      <c r="O37" s="7">
        <f>IF(R37=0,0,VLOOKUP($A37,[6]HISTOAVRIL24!$A$6:$AV$49,32,0))</f>
        <v>0</v>
      </c>
      <c r="P37" s="7">
        <f>VLOOKUP($A37,[6]HISTOAVRIL24!$A$6:$AV$49,33,0)</f>
        <v>0</v>
      </c>
      <c r="Q37" s="7">
        <f t="shared" si="1"/>
        <v>0</v>
      </c>
      <c r="R37" s="7">
        <f>VLOOKUP($A37,[6]HISTOAVRIL24!$A$6:$AV$49,29,0)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12000</v>
      </c>
      <c r="G40" s="8">
        <f t="shared" si="2"/>
        <v>0</v>
      </c>
      <c r="H40" s="8">
        <f t="shared" si="2"/>
        <v>41000</v>
      </c>
      <c r="I40" s="8">
        <f t="shared" si="2"/>
        <v>2000</v>
      </c>
      <c r="J40" s="8">
        <f t="shared" si="2"/>
        <v>0</v>
      </c>
      <c r="K40" s="8">
        <f t="shared" si="2"/>
        <v>0</v>
      </c>
      <c r="L40" s="8">
        <f t="shared" si="2"/>
        <v>123500</v>
      </c>
      <c r="M40" s="8">
        <f t="shared" si="2"/>
        <v>123500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868500</v>
      </c>
      <c r="R40" s="8">
        <f t="shared" si="2"/>
        <v>31500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D46+G46+R40+TONTMARS24!O47</f>
        <v>955000</v>
      </c>
      <c r="N42" s="4"/>
      <c r="O42"/>
      <c r="P42" s="4"/>
    </row>
    <row r="43" spans="1:18" s="2" customFormat="1" ht="17.5" x14ac:dyDescent="0.35">
      <c r="D43" s="8">
        <f>SUMIFS(D6:D39,G6:G39,"ESPECES")</f>
        <v>100000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100000</v>
      </c>
      <c r="K43" s="8"/>
      <c r="L43" s="8" t="s">
        <v>79</v>
      </c>
      <c r="M43" s="8">
        <f>C3*COUNTIF(Q7:Q39,"&gt;0")</f>
        <v>900000</v>
      </c>
      <c r="N43" s="8">
        <f>D3</f>
        <v>3</v>
      </c>
      <c r="O43" s="8">
        <f>COUNTIF(Q6:Q33,"&gt;0")</f>
        <v>3</v>
      </c>
      <c r="P43" s="8"/>
    </row>
    <row r="44" spans="1:18" s="2" customFormat="1" ht="17.5" x14ac:dyDescent="0.35">
      <c r="D44" s="8">
        <f>SUMIFS(D6:D39,G6:G39,"BANQUE")</f>
        <v>700000</v>
      </c>
      <c r="E44" s="8"/>
      <c r="F44" s="8" t="s">
        <v>32</v>
      </c>
      <c r="G44" s="8">
        <f>SUMIFS(M6:M33,N6:N33,"BANQUE")</f>
        <v>123500</v>
      </c>
      <c r="H44" s="8">
        <f>SUMIFS(H6:H39,J6:J39,"BANQUE")</f>
        <v>41000</v>
      </c>
      <c r="I44" s="8">
        <f>SUMIFS(Q6:Q39,O6:O39,"BANQUE")</f>
        <v>868500</v>
      </c>
      <c r="J44" s="8">
        <f>D44+G44-H44-I44</f>
        <v>-86000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55000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123500</v>
      </c>
      <c r="H46" s="8">
        <f>H43+H44</f>
        <v>41000</v>
      </c>
      <c r="I46" s="8">
        <f t="shared" ref="I46:J46" si="3">I43+I44</f>
        <v>868500</v>
      </c>
      <c r="J46" s="8">
        <f t="shared" si="3"/>
        <v>14000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14000</v>
      </c>
      <c r="N47"/>
      <c r="O47" s="8">
        <f>TONTAVRIL24!M47</f>
        <v>14000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TONTAVRIL24!M49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TONTAVRIL24!M50</f>
        <v>0</v>
      </c>
      <c r="P50" s="8" t="s">
        <v>53</v>
      </c>
    </row>
  </sheetData>
  <autoFilter ref="A5:R25" xr:uid="{00000000-0009-0000-0000-000004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0"/>
  <sheetViews>
    <sheetView workbookViewId="0">
      <pane xSplit="3" ySplit="5" topLeftCell="M39" activePane="bottomRight" state="frozen"/>
      <selection activeCell="G6" sqref="G6:G39"/>
      <selection pane="topRight" activeCell="G6" sqref="G6:G39"/>
      <selection pane="bottomLeft" activeCell="G6" sqref="G6:G39"/>
      <selection pane="bottomRight" activeCell="R20" sqref="R20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2</v>
      </c>
      <c r="E3" s="1"/>
      <c r="F3" s="1"/>
      <c r="G3" s="1"/>
      <c r="N3" s="1"/>
      <c r="O3" s="1"/>
    </row>
    <row r="4" spans="1:19" s="13" customFormat="1" ht="17.5" x14ac:dyDescent="0.35">
      <c r="B4" s="14"/>
      <c r="C4" s="38">
        <v>45425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IF(D6=0,0,VLOOKUP($A6,[6]HISTOMAI24!$A$6:$BP$44,10,0))</f>
        <v>1</v>
      </c>
      <c r="C6" s="1" t="str">
        <f>VLOOKUP(A6,[7]LISTADHERENT!A$5:H$60,3,0)</f>
        <v>BAKOP ACHILLE</v>
      </c>
      <c r="D6" s="7">
        <f t="shared" ref="D6:D37" si="0">IF(G6="ECHEC",0,B$3)</f>
        <v>25000</v>
      </c>
      <c r="E6" s="7">
        <f>D6+VLOOKUP($A6,[6]HISTOMAI24!$A$7:$AU$42,45,0)+F6</f>
        <v>50000</v>
      </c>
      <c r="F6" s="7">
        <f>VLOOKUP($A6,[6]HISTOMAI24!$A$6:$AV$48,7,0)</f>
        <v>0</v>
      </c>
      <c r="G6" s="7" t="str">
        <f>VLOOKUP($A6,[6]HISTOMAI24!$A$6:$AV$49,8,0)</f>
        <v>BANQUE</v>
      </c>
      <c r="H6" s="7">
        <f>VLOOKUP($A6,[6]HISTOMAI24!$A$6:$AV$49,35,0)</f>
        <v>0</v>
      </c>
      <c r="I6" s="7">
        <f>VLOOKUP($A6,[6]HISTOMAI24!$A$6:$AV$49,38,0)</f>
        <v>0</v>
      </c>
      <c r="J6" s="7">
        <f>IF(H6=0,0,VLOOKUP($A6,[6]HISTOMAI24!$A$6:$AV$49,42,0))</f>
        <v>0</v>
      </c>
      <c r="K6" s="7">
        <f>VLOOKUP($A6,[6]HISTOMAI24!$A$6:$AV$49,41,0)</f>
        <v>0</v>
      </c>
      <c r="L6" s="7">
        <f>TONTAVRIL24!H6+TONTAVRIL24!I6</f>
        <v>0</v>
      </c>
      <c r="M6" s="7">
        <f>VLOOKUP($A6,[6]HISTOMAI24!$A$6:$AV$49,16,0)</f>
        <v>0</v>
      </c>
      <c r="N6" s="7" t="str">
        <f>IF(M6&lt;&gt;0,VLOOKUP($A6,[6]HISTOMAI24!$A$6:$AV$49,8,0),"ECHEC")</f>
        <v>ECHEC</v>
      </c>
      <c r="O6" s="7">
        <f>IF(R6=0,0,VLOOKUP($A6,[6]HISTOMAI24!$A$6:$AV$49,32,0))</f>
        <v>0</v>
      </c>
      <c r="P6" s="7">
        <f>VLOOKUP($A6,[6]HISTOMAI24!$A$6:$AV$49,33,0)</f>
        <v>0</v>
      </c>
      <c r="Q6" s="7">
        <f t="shared" ref="Q6:Q37" si="1">IF(R6=0,0,($C$3-R6))</f>
        <v>0</v>
      </c>
      <c r="R6" s="7">
        <f>VLOOKUP($A6,[6]HISTOMAI24!$A$6:$AV$49,29,0)</f>
        <v>0</v>
      </c>
    </row>
    <row r="7" spans="1:19" x14ac:dyDescent="0.35">
      <c r="A7" s="1" t="s">
        <v>9</v>
      </c>
      <c r="B7" s="7">
        <f>IF(D7=0,0,VLOOKUP($A7,[6]HISTOMAI24!$A$6:$BP$44,10,0))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D7+VLOOKUP($A7,[6]HISTOMAI24!$A$7:$AU$42,45,0)+F7</f>
        <v>50000</v>
      </c>
      <c r="F7" s="7">
        <f>VLOOKUP($A7,[6]HISTOMAI24!$A$6:$AV$48,7,0)</f>
        <v>0</v>
      </c>
      <c r="G7" s="7" t="str">
        <f>VLOOKUP($A7,[6]HISTOMAI24!$A$6:$AV$49,8,0)</f>
        <v>BANQUE</v>
      </c>
      <c r="H7" s="7">
        <f>VLOOKUP($A7,[6]HISTOMAI24!$A$6:$AV$49,35,0)</f>
        <v>0</v>
      </c>
      <c r="I7" s="7">
        <f>VLOOKUP($A7,[6]HISTOMAI24!$A$6:$AV$49,38,0)</f>
        <v>0</v>
      </c>
      <c r="J7" s="7">
        <f>IF(H7=0,0,VLOOKUP($A7,[6]HISTOMAI24!$A$6:$AV$49,42,0))</f>
        <v>0</v>
      </c>
      <c r="K7" s="7">
        <f>VLOOKUP($A7,[6]HISTOMAI24!$A$6:$AV$49,41,0)</f>
        <v>0</v>
      </c>
      <c r="L7" s="7">
        <f>TONTAVRIL24!H7+TONTAVRIL24!I7</f>
        <v>0</v>
      </c>
      <c r="M7" s="7">
        <f>VLOOKUP($A7,[6]HISTOMAI24!$A$6:$AV$49,16,0)</f>
        <v>0</v>
      </c>
      <c r="N7" s="7" t="str">
        <f>IF(M7&lt;&gt;0,VLOOKUP($A7,[6]HISTOMAI24!$A$6:$AV$49,8,0),"ECHEC")</f>
        <v>ECHEC</v>
      </c>
      <c r="O7" s="7">
        <f>IF(R7=0,0,VLOOKUP($A7,[6]HISTOMAI24!$A$6:$AV$49,32,0))</f>
        <v>0</v>
      </c>
      <c r="P7" s="7">
        <f>VLOOKUP($A7,[6]HISTOMAI24!$A$6:$AV$49,33,0)</f>
        <v>0</v>
      </c>
      <c r="Q7" s="7">
        <f t="shared" si="1"/>
        <v>0</v>
      </c>
      <c r="R7" s="7">
        <f>VLOOKUP($A7,[6]HISTOMAI24!$A$6:$AV$49,29,0)</f>
        <v>0</v>
      </c>
    </row>
    <row r="8" spans="1:19" x14ac:dyDescent="0.35">
      <c r="A8" s="1" t="s">
        <v>10</v>
      </c>
      <c r="B8" s="7">
        <f>IF(D8=0,0,VLOOKUP($A8,[6]HISTOMAI24!$A$6:$BP$44,10,0))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D8+VLOOKUP($A8,[6]HISTOMAI24!$A$7:$AU$42,45,0)+F8</f>
        <v>50000</v>
      </c>
      <c r="F8" s="7">
        <f>VLOOKUP($A8,[6]HISTOMAI24!$A$6:$AV$48,7,0)</f>
        <v>0</v>
      </c>
      <c r="G8" s="7" t="str">
        <f>VLOOKUP($A8,[6]HISTOMAI24!$A$6:$AV$49,8,0)</f>
        <v>BANQUE</v>
      </c>
      <c r="H8" s="7">
        <f>VLOOKUP($A8,[6]HISTOMAI24!$A$6:$AV$49,35,0)</f>
        <v>0</v>
      </c>
      <c r="I8" s="7">
        <f>VLOOKUP($A8,[6]HISTOMAI24!$A$6:$AV$49,38,0)</f>
        <v>0</v>
      </c>
      <c r="J8" s="7">
        <f>IF(H8=0,0,VLOOKUP($A8,[6]HISTOMAI24!$A$6:$AV$49,42,0))</f>
        <v>0</v>
      </c>
      <c r="K8" s="7">
        <f>VLOOKUP($A8,[6]HISTOMAI24!$A$6:$AV$49,41,0)</f>
        <v>0</v>
      </c>
      <c r="L8" s="7">
        <f>TONTAVRIL24!H8+TONTAVRIL24!I8</f>
        <v>0</v>
      </c>
      <c r="M8" s="7">
        <f>VLOOKUP($A8,[6]HISTOMAI24!$A$6:$AV$49,16,0)</f>
        <v>0</v>
      </c>
      <c r="N8" s="7" t="str">
        <f>IF(M8&lt;&gt;0,VLOOKUP($A8,[6]HISTOMAI24!$A$6:$AV$49,8,0),"ECHEC")</f>
        <v>ECHEC</v>
      </c>
      <c r="O8" s="7">
        <f>IF(R8=0,0,VLOOKUP($A8,[6]HISTOMAI24!$A$6:$AV$49,32,0))</f>
        <v>0</v>
      </c>
      <c r="P8" s="7">
        <f>VLOOKUP($A8,[6]HISTOMAI24!$A$6:$AV$49,33,0)</f>
        <v>0</v>
      </c>
      <c r="Q8" s="7">
        <f t="shared" si="1"/>
        <v>0</v>
      </c>
      <c r="R8" s="7">
        <f>VLOOKUP($A8,[6]HISTOMAI24!$A$6:$AV$49,29,0)</f>
        <v>0</v>
      </c>
    </row>
    <row r="9" spans="1:19" x14ac:dyDescent="0.35">
      <c r="A9" s="1" t="s">
        <v>52</v>
      </c>
      <c r="B9" s="7">
        <f>IF(D9=0,0,VLOOKUP($A9,[6]HISTOMAI24!$A$6:$BP$44,10,0))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D9+VLOOKUP($A9,[6]HISTOMAI24!$A$7:$AU$42,45,0)+F9</f>
        <v>48000</v>
      </c>
      <c r="F9" s="7">
        <f>VLOOKUP($A9,[6]HISTOMAI24!$A$6:$AV$48,7,0)</f>
        <v>0</v>
      </c>
      <c r="G9" s="7" t="str">
        <f>VLOOKUP($A9,[6]HISTOMAI24!$A$6:$AV$49,8,0)</f>
        <v>BANQUE</v>
      </c>
      <c r="H9" s="7">
        <f>VLOOKUP($A9,[6]HISTOMAI24!$A$6:$AV$49,35,0)</f>
        <v>0</v>
      </c>
      <c r="I9" s="7">
        <f>VLOOKUP($A9,[6]HISTOMAI24!$A$6:$AV$49,38,0)</f>
        <v>0</v>
      </c>
      <c r="J9" s="7">
        <f>IF(H9=0,0,VLOOKUP($A9,[6]HISTOMAI24!$A$6:$AV$49,42,0))</f>
        <v>0</v>
      </c>
      <c r="K9" s="7">
        <f>VLOOKUP($A9,[6]HISTOMAI24!$A$6:$AV$49,41,0)</f>
        <v>0</v>
      </c>
      <c r="L9" s="7">
        <f>TONTAVRIL24!H9+TONTAVRIL24!I9</f>
        <v>0</v>
      </c>
      <c r="M9" s="7">
        <f>VLOOKUP($A9,[6]HISTOMAI24!$A$6:$AV$49,16,0)</f>
        <v>0</v>
      </c>
      <c r="N9" s="7" t="str">
        <f>IF(M9&lt;&gt;0,VLOOKUP($A9,[6]HISTOMAI24!$A$6:$AV$49,8,0),"ECHEC")</f>
        <v>ECHEC</v>
      </c>
      <c r="O9" s="7">
        <f>IF(R9=0,0,VLOOKUP($A9,[6]HISTOMAI24!$A$6:$AV$49,32,0))</f>
        <v>0</v>
      </c>
      <c r="P9" s="7">
        <f>VLOOKUP($A9,[6]HISTOMAI24!$A$6:$AV$49,33,0)</f>
        <v>0</v>
      </c>
      <c r="Q9" s="7">
        <f t="shared" si="1"/>
        <v>0</v>
      </c>
      <c r="R9" s="7">
        <f>VLOOKUP($A9,[6]HISTOMAI24!$A$6:$AV$49,29,0)</f>
        <v>0</v>
      </c>
    </row>
    <row r="10" spans="1:19" x14ac:dyDescent="0.35">
      <c r="A10" s="1" t="s">
        <v>11</v>
      </c>
      <c r="B10" s="7">
        <f>IF(D10=0,0,VLOOKUP($A10,[6]HISTOMAI24!$A$6:$BP$44,10,0))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D10+VLOOKUP($A10,[6]HISTOMAI24!$A$7:$AU$42,45,0)+F10</f>
        <v>55000</v>
      </c>
      <c r="F10" s="7">
        <f>VLOOKUP($A10,[6]HISTOMAI24!$A$6:$AV$48,7,0)</f>
        <v>0</v>
      </c>
      <c r="G10" s="7" t="str">
        <f>VLOOKUP($A10,[6]HISTOMAI24!$A$6:$AV$49,8,0)</f>
        <v>BANQUE</v>
      </c>
      <c r="H10" s="7">
        <f>VLOOKUP($A10,[6]HISTOMAI24!$A$6:$AV$49,35,0)</f>
        <v>0</v>
      </c>
      <c r="I10" s="7">
        <f>VLOOKUP($A10,[6]HISTOMAI24!$A$6:$AV$49,38,0)</f>
        <v>0</v>
      </c>
      <c r="J10" s="7">
        <f>IF(H10=0,0,VLOOKUP($A10,[6]HISTOMAI24!$A$6:$AV$49,42,0))</f>
        <v>0</v>
      </c>
      <c r="K10" s="7">
        <f>VLOOKUP($A10,[6]HISTOMAI24!$A$6:$AV$49,41,0)</f>
        <v>0</v>
      </c>
      <c r="L10" s="7">
        <f>TONTAVRIL24!H10+TONTAVRIL24!I10</f>
        <v>43000</v>
      </c>
      <c r="M10" s="7">
        <f>VLOOKUP($A10,[6]HISTOMAI24!$A$6:$AV$49,16,0)</f>
        <v>43000</v>
      </c>
      <c r="N10" s="7" t="str">
        <f>IF(M10&lt;&gt;0,VLOOKUP($A10,[6]HISTOMAI24!$A$6:$AV$49,8,0),"ECHEC")</f>
        <v>BANQUE</v>
      </c>
      <c r="O10" s="7">
        <f>IF(R10=0,0,VLOOKUP($A10,[6]HISTOMAI24!$A$6:$AV$49,32,0))</f>
        <v>0</v>
      </c>
      <c r="P10" s="7">
        <f>VLOOKUP($A10,[6]HISTOMAI24!$A$6:$AV$49,33,0)</f>
        <v>0</v>
      </c>
      <c r="Q10" s="7">
        <f t="shared" si="1"/>
        <v>0</v>
      </c>
      <c r="R10" s="7">
        <f>VLOOKUP($A10,[6]HISTOMAI24!$A$6:$AV$49,29,0)</f>
        <v>0</v>
      </c>
    </row>
    <row r="11" spans="1:19" x14ac:dyDescent="0.35">
      <c r="A11" s="1" t="s">
        <v>12</v>
      </c>
      <c r="B11" s="7">
        <f>IF(D11=0,0,VLOOKUP($A11,[6]HISTOMAI24!$A$6:$BP$44,10,0))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D11+VLOOKUP($A11,[6]HISTOMAI24!$A$7:$AU$42,45,0)+F11</f>
        <v>55000</v>
      </c>
      <c r="F11" s="7">
        <f>VLOOKUP($A11,[6]HISTOMAI24!$A$6:$AV$48,7,0)</f>
        <v>0</v>
      </c>
      <c r="G11" s="7" t="str">
        <f>VLOOKUP($A11,[6]HISTOMAI24!$A$6:$AV$49,8,0)</f>
        <v>BANQUE</v>
      </c>
      <c r="H11" s="7">
        <f>VLOOKUP($A11,[6]HISTOMAI24!$A$6:$AV$49,35,0)</f>
        <v>0</v>
      </c>
      <c r="I11" s="7">
        <f>VLOOKUP($A11,[6]HISTOMAI24!$A$6:$AV$49,38,0)</f>
        <v>0</v>
      </c>
      <c r="J11" s="7">
        <f>IF(H11=0,0,VLOOKUP($A11,[6]HISTOMAI24!$A$6:$AV$49,42,0))</f>
        <v>0</v>
      </c>
      <c r="K11" s="7">
        <f>VLOOKUP($A11,[6]HISTOMAI24!$A$6:$AV$49,41,0)</f>
        <v>0</v>
      </c>
      <c r="L11" s="7">
        <f>TONTAVRIL24!H11+TONTAVRIL24!I11</f>
        <v>0</v>
      </c>
      <c r="M11" s="7">
        <f>VLOOKUP($A11,[6]HISTOMAI24!$A$6:$AV$49,16,0)</f>
        <v>0</v>
      </c>
      <c r="N11" s="7" t="str">
        <f>IF(M11&lt;&gt;0,VLOOKUP($A11,[6]HISTOMAI24!$A$6:$AV$49,8,0),"ECHEC")</f>
        <v>ECHEC</v>
      </c>
      <c r="O11" s="7">
        <f>IF(R11=0,0,VLOOKUP($A11,[6]HISTOMAI24!$A$6:$AV$49,32,0))</f>
        <v>0</v>
      </c>
      <c r="P11" s="7">
        <f>VLOOKUP($A11,[6]HISTOMAI24!$A$6:$AV$49,33,0)</f>
        <v>0</v>
      </c>
      <c r="Q11" s="7">
        <f t="shared" si="1"/>
        <v>0</v>
      </c>
      <c r="R11" s="7">
        <f>VLOOKUP($A11,[6]HISTOMAI24!$A$6:$AV$49,29,0)</f>
        <v>0</v>
      </c>
    </row>
    <row r="12" spans="1:19" x14ac:dyDescent="0.35">
      <c r="A12" s="1" t="s">
        <v>45</v>
      </c>
      <c r="B12" s="7">
        <f>IF(D12=0,0,VLOOKUP($A12,[6]HISTOMAI24!$A$6:$BP$44,10,0))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D12+VLOOKUP($A12,[6]HISTOMAI24!$A$7:$AU$42,45,0)+F12</f>
        <v>50000</v>
      </c>
      <c r="F12" s="7">
        <f>VLOOKUP($A12,[6]HISTOMAI24!$A$6:$AV$48,7,0)</f>
        <v>0</v>
      </c>
      <c r="G12" s="7" t="str">
        <f>VLOOKUP($A12,[6]HISTOMAI24!$A$6:$AV$49,8,0)</f>
        <v>BANQUE</v>
      </c>
      <c r="H12" s="7">
        <f>VLOOKUP($A12,[6]HISTOMAI24!$A$6:$AV$49,35,0)</f>
        <v>0</v>
      </c>
      <c r="I12" s="7">
        <f>VLOOKUP($A12,[6]HISTOMAI24!$A$6:$AV$49,38,0)</f>
        <v>0</v>
      </c>
      <c r="J12" s="7">
        <f>IF(H12=0,0,VLOOKUP($A12,[6]HISTOMAI24!$A$6:$AV$49,42,0))</f>
        <v>0</v>
      </c>
      <c r="K12" s="7">
        <f>VLOOKUP($A12,[6]HISTOMAI24!$A$6:$AV$49,41,0)</f>
        <v>0</v>
      </c>
      <c r="L12" s="7">
        <f>TONTAVRIL24!H12+TONTAVRIL24!I12</f>
        <v>0</v>
      </c>
      <c r="M12" s="7">
        <f>VLOOKUP($A12,[6]HISTOMAI24!$A$6:$AV$49,16,0)</f>
        <v>0</v>
      </c>
      <c r="N12" s="7" t="str">
        <f>IF(M12&lt;&gt;0,VLOOKUP($A12,[6]HISTOMAI24!$A$6:$AV$49,8,0),"ECHEC")</f>
        <v>ECHEC</v>
      </c>
      <c r="O12" s="7">
        <f>IF(R12=0,0,VLOOKUP($A12,[6]HISTOMAI24!$A$6:$AV$49,32,0))</f>
        <v>0</v>
      </c>
      <c r="P12" s="7">
        <f>VLOOKUP($A12,[6]HISTOMAI24!$A$6:$AV$49,33,0)</f>
        <v>0</v>
      </c>
      <c r="Q12" s="7">
        <f t="shared" si="1"/>
        <v>0</v>
      </c>
      <c r="R12" s="7">
        <f>VLOOKUP($A12,[6]HISTOMAI24!$A$6:$AV$49,29,0)</f>
        <v>0</v>
      </c>
    </row>
    <row r="13" spans="1:19" x14ac:dyDescent="0.35">
      <c r="A13" s="1" t="s">
        <v>13</v>
      </c>
      <c r="B13" s="7">
        <f>IF(D13=0,0,VLOOKUP($A13,[6]HISTOMAI24!$A$6:$BP$44,10,0))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D13+VLOOKUP($A13,[6]HISTOMAI24!$A$7:$AU$42,45,0)+F13</f>
        <v>50000</v>
      </c>
      <c r="F13" s="7">
        <f>VLOOKUP($A13,[6]HISTOMAI24!$A$6:$AV$48,7,0)</f>
        <v>0</v>
      </c>
      <c r="G13" s="7" t="str">
        <f>VLOOKUP($A13,[6]HISTOMAI24!$A$6:$AV$49,8,0)</f>
        <v>BANQUE</v>
      </c>
      <c r="H13" s="7">
        <f>VLOOKUP($A13,[6]HISTOMAI24!$A$6:$AV$49,35,0)</f>
        <v>0</v>
      </c>
      <c r="I13" s="7">
        <f>VLOOKUP($A13,[6]HISTOMAI24!$A$6:$AV$49,38,0)</f>
        <v>0</v>
      </c>
      <c r="J13" s="7">
        <f>IF(H13=0,0,VLOOKUP($A13,[6]HISTOMAI24!$A$6:$AV$49,42,0))</f>
        <v>0</v>
      </c>
      <c r="K13" s="7">
        <f>VLOOKUP($A13,[6]HISTOMAI24!$A$6:$AV$49,41,0)</f>
        <v>0</v>
      </c>
      <c r="L13" s="7">
        <f>TONTAVRIL24!H13+TONTAVRIL24!I13</f>
        <v>0</v>
      </c>
      <c r="M13" s="7">
        <f>VLOOKUP($A13,[6]HISTOMAI24!$A$6:$AV$49,16,0)</f>
        <v>0</v>
      </c>
      <c r="N13" s="7" t="str">
        <f>IF(M13&lt;&gt;0,VLOOKUP($A13,[6]HISTOMAI24!$A$6:$AV$49,8,0),"ECHEC")</f>
        <v>ECHEC</v>
      </c>
      <c r="O13" s="7">
        <f>IF(R13=0,0,VLOOKUP($A13,[6]HISTOMAI24!$A$6:$AV$49,32,0))</f>
        <v>0</v>
      </c>
      <c r="P13" s="7">
        <f>VLOOKUP($A13,[6]HISTOMAI24!$A$6:$AV$49,33,0)</f>
        <v>0</v>
      </c>
      <c r="Q13" s="7">
        <f t="shared" si="1"/>
        <v>0</v>
      </c>
      <c r="R13" s="7">
        <f>VLOOKUP($A13,[6]HISTOMAI24!$A$6:$AV$49,29,0)</f>
        <v>0</v>
      </c>
    </row>
    <row r="14" spans="1:19" x14ac:dyDescent="0.35">
      <c r="A14" s="1" t="s">
        <v>14</v>
      </c>
      <c r="B14" s="7">
        <f>IF(D14=0,0,VLOOKUP($A14,[6]HISTOMAI24!$A$6:$BP$44,10,0))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D14+VLOOKUP($A14,[6]HISTOMAI24!$A$7:$AU$42,45,0)+F14</f>
        <v>50000</v>
      </c>
      <c r="F14" s="7">
        <f>VLOOKUP($A14,[6]HISTOMAI24!$A$6:$AV$48,7,0)</f>
        <v>0</v>
      </c>
      <c r="G14" s="7" t="str">
        <f>VLOOKUP($A14,[6]HISTOMAI24!$A$6:$AV$49,8,0)</f>
        <v>BANQUE</v>
      </c>
      <c r="H14" s="7">
        <f>VLOOKUP($A14,[6]HISTOMAI24!$A$6:$AV$49,35,0)</f>
        <v>0</v>
      </c>
      <c r="I14" s="7">
        <f>VLOOKUP($A14,[6]HISTOMAI24!$A$6:$AV$49,38,0)</f>
        <v>0</v>
      </c>
      <c r="J14" s="7">
        <f>IF(H14=0,0,VLOOKUP($A14,[6]HISTOMAI24!$A$6:$AV$49,42,0))</f>
        <v>0</v>
      </c>
      <c r="K14" s="7">
        <f>VLOOKUP($A14,[6]HISTOMAI24!$A$6:$AV$49,41,0)</f>
        <v>0</v>
      </c>
      <c r="L14" s="7">
        <f>TONTAVRIL24!H14+TONTAVRIL24!I14</f>
        <v>0</v>
      </c>
      <c r="M14" s="7">
        <f>VLOOKUP($A14,[6]HISTOMAI24!$A$6:$AV$49,16,0)</f>
        <v>0</v>
      </c>
      <c r="N14" s="7" t="str">
        <f>IF(M14&lt;&gt;0,VLOOKUP($A14,[6]HISTOMAI24!$A$6:$AV$49,8,0),"ECHEC")</f>
        <v>ECHEC</v>
      </c>
      <c r="O14" s="7">
        <f>IF(R14=0,0,VLOOKUP($A14,[6]HISTOMAI24!$A$6:$AV$49,32,0))</f>
        <v>0</v>
      </c>
      <c r="P14" s="7">
        <f>VLOOKUP($A14,[6]HISTOMAI24!$A$6:$AV$49,33,0)</f>
        <v>0</v>
      </c>
      <c r="Q14" s="7">
        <f t="shared" si="1"/>
        <v>0</v>
      </c>
      <c r="R14" s="7">
        <f>VLOOKUP($A14,[6]HISTOMAI24!$A$6:$AV$49,29,0)</f>
        <v>0</v>
      </c>
      <c r="S14" s="1"/>
    </row>
    <row r="15" spans="1:19" x14ac:dyDescent="0.35">
      <c r="A15" s="1" t="s">
        <v>15</v>
      </c>
      <c r="B15" s="7">
        <f>IF(D15=0,0,VLOOKUP($A15,[6]HISTOMAI24!$A$6:$BP$44,10,0))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D15+VLOOKUP($A15,[6]HISTOMAI24!$A$7:$AU$42,45,0)+F15</f>
        <v>85000</v>
      </c>
      <c r="F15" s="7">
        <f>VLOOKUP($A15,[6]HISTOMAI24!$A$6:$AV$48,7,0)</f>
        <v>0</v>
      </c>
      <c r="G15" s="7" t="str">
        <f>VLOOKUP($A15,[6]HISTOMAI24!$A$6:$AV$49,8,0)</f>
        <v>BANQUE</v>
      </c>
      <c r="H15" s="7">
        <f>VLOOKUP($A15,[6]HISTOMAI24!$A$6:$AV$49,35,0)</f>
        <v>0</v>
      </c>
      <c r="I15" s="7">
        <f>VLOOKUP($A15,[6]HISTOMAI24!$A$6:$AV$49,38,0)</f>
        <v>0</v>
      </c>
      <c r="J15" s="7">
        <f>IF(H15=0,0,VLOOKUP($A15,[6]HISTOMAI24!$A$6:$AV$49,42,0))</f>
        <v>0</v>
      </c>
      <c r="K15" s="7">
        <f>VLOOKUP($A15,[6]HISTOMAI24!$A$6:$AV$49,41,0)</f>
        <v>0</v>
      </c>
      <c r="L15" s="7">
        <f>TONTAVRIL24!H15+TONTAVRIL24!I15</f>
        <v>0</v>
      </c>
      <c r="M15" s="7">
        <f>VLOOKUP($A15,[6]HISTOMAI24!$A$6:$AV$49,16,0)</f>
        <v>0</v>
      </c>
      <c r="N15" s="7" t="str">
        <f>IF(M15&lt;&gt;0,VLOOKUP($A15,[6]HISTOMAI24!$A$6:$AV$49,8,0),"ECHEC")</f>
        <v>ECHEC</v>
      </c>
      <c r="O15" s="7">
        <f>IF(R15=0,0,VLOOKUP($A15,[6]HISTOMAI24!$A$6:$AV$49,32,0))</f>
        <v>0</v>
      </c>
      <c r="P15" s="7">
        <f>VLOOKUP($A15,[6]HISTOMAI24!$A$6:$AV$49,33,0)</f>
        <v>0</v>
      </c>
      <c r="Q15" s="7">
        <f t="shared" si="1"/>
        <v>0</v>
      </c>
      <c r="R15" s="7">
        <f>VLOOKUP($A15,[6]HISTOMAI24!$A$6:$AV$49,29,0)</f>
        <v>0</v>
      </c>
      <c r="S15" s="1"/>
    </row>
    <row r="16" spans="1:19" x14ac:dyDescent="0.35">
      <c r="A16" s="1" t="s">
        <v>16</v>
      </c>
      <c r="B16" s="7">
        <f>IF(D16=0,0,VLOOKUP($A16,[6]HISTOMAI24!$A$6:$BP$44,10,0))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D16+VLOOKUP($A16,[6]HISTOMAI24!$A$7:$AU$42,45,0)+F16</f>
        <v>50000</v>
      </c>
      <c r="F16" s="7">
        <f>VLOOKUP($A16,[6]HISTOMAI24!$A$6:$AV$48,7,0)</f>
        <v>0</v>
      </c>
      <c r="G16" s="7" t="str">
        <f>VLOOKUP($A16,[6]HISTOMAI24!$A$6:$AV$49,8,0)</f>
        <v>BANQUE</v>
      </c>
      <c r="H16" s="7">
        <f>VLOOKUP($A16,[6]HISTOMAI24!$A$6:$AV$49,35,0)</f>
        <v>50000</v>
      </c>
      <c r="I16" s="7">
        <f>VLOOKUP($A16,[6]HISTOMAI24!$A$6:$AV$49,38,0)</f>
        <v>500</v>
      </c>
      <c r="J16" s="7">
        <f>IF(H16=0,0,VLOOKUP($A16,[6]HISTOMAI24!$A$6:$AV$49,42,0))</f>
        <v>0</v>
      </c>
      <c r="K16" s="7">
        <f>VLOOKUP($A16,[6]HISTOMAI24!$A$6:$AV$49,41,0)</f>
        <v>0</v>
      </c>
      <c r="L16" s="7">
        <f>TONTAVRIL24!H16+TONTAVRIL24!I16</f>
        <v>0</v>
      </c>
      <c r="M16" s="7">
        <f>VLOOKUP($A16,[6]HISTOMAI24!$A$6:$AV$49,16,0)</f>
        <v>0</v>
      </c>
      <c r="N16" s="7" t="str">
        <f>IF(M16&lt;&gt;0,VLOOKUP($A16,[6]HISTOMAI24!$A$6:$AV$49,8,0),"ECHEC")</f>
        <v>ECHEC</v>
      </c>
      <c r="O16" s="7">
        <f>IF(R16=0,0,VLOOKUP($A16,[6]HISTOMAI24!$A$6:$AV$49,32,0))</f>
        <v>0</v>
      </c>
      <c r="P16" s="7">
        <f>VLOOKUP($A16,[6]HISTOMAI24!$A$6:$AV$49,33,0)</f>
        <v>0</v>
      </c>
      <c r="Q16" s="7">
        <f t="shared" si="1"/>
        <v>0</v>
      </c>
      <c r="R16" s="7">
        <f>VLOOKUP($A16,[6]HISTOMAI24!$A$6:$AV$49,29,0)</f>
        <v>0</v>
      </c>
      <c r="S16" s="1"/>
    </row>
    <row r="17" spans="1:19" x14ac:dyDescent="0.35">
      <c r="A17" s="1" t="s">
        <v>17</v>
      </c>
      <c r="B17" s="7">
        <f>IF(D17=0,0,VLOOKUP($A17,[6]HISTOMAI24!$A$6:$BP$44,10,0))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D17+VLOOKUP($A17,[6]HISTOMAI24!$A$7:$AU$42,45,0)+F17</f>
        <v>63000</v>
      </c>
      <c r="F17" s="7">
        <f>VLOOKUP($A17,[6]HISTOMAI24!$A$6:$AV$48,7,0)</f>
        <v>3000</v>
      </c>
      <c r="G17" s="7" t="str">
        <f>VLOOKUP($A17,[6]HISTOMAI24!$A$6:$AV$49,8,0)</f>
        <v>BANQUE</v>
      </c>
      <c r="H17" s="7">
        <f>VLOOKUP($A17,[6]HISTOMAI24!$A$6:$AV$49,35,0)</f>
        <v>0</v>
      </c>
      <c r="I17" s="7">
        <f>VLOOKUP($A17,[6]HISTOMAI24!$A$6:$AV$49,38,0)</f>
        <v>0</v>
      </c>
      <c r="J17" s="7">
        <f>IF(H17=0,0,VLOOKUP($A17,[6]HISTOMAI24!$A$6:$AV$49,42,0))</f>
        <v>0</v>
      </c>
      <c r="K17" s="7">
        <f>VLOOKUP($A17,[6]HISTOMAI24!$A$6:$AV$49,41,0)</f>
        <v>0</v>
      </c>
      <c r="L17" s="7">
        <f>TONTAVRIL24!H17+TONTAVRIL24!I17</f>
        <v>0</v>
      </c>
      <c r="M17" s="7">
        <f>VLOOKUP($A17,[6]HISTOMAI24!$A$6:$AV$49,16,0)</f>
        <v>0</v>
      </c>
      <c r="N17" s="7" t="str">
        <f>IF(M17&lt;&gt;0,VLOOKUP($A17,[6]HISTOMAI24!$A$6:$AV$49,8,0),"ECHEC")</f>
        <v>ECHEC</v>
      </c>
      <c r="O17" s="7">
        <f>IF(R17=0,0,VLOOKUP($A17,[6]HISTOMAI24!$A$6:$AV$49,32,0))</f>
        <v>0</v>
      </c>
      <c r="P17" s="7">
        <f>VLOOKUP($A17,[6]HISTOMAI24!$A$6:$AV$49,33,0)</f>
        <v>0</v>
      </c>
      <c r="Q17" s="7">
        <f t="shared" si="1"/>
        <v>0</v>
      </c>
      <c r="R17" s="7">
        <f>VLOOKUP($A17,[6]HISTOMAI24!$A$6:$AV$49,29,0)</f>
        <v>0</v>
      </c>
      <c r="S17" s="1"/>
    </row>
    <row r="18" spans="1:19" x14ac:dyDescent="0.35">
      <c r="A18" s="1" t="s">
        <v>96</v>
      </c>
      <c r="B18" s="7">
        <f>IF(D18=0,0,VLOOKUP($A18,[6]HISTOMAI24!$A$6:$BP$44,10,0))</f>
        <v>1</v>
      </c>
      <c r="C18" s="1" t="str">
        <f>VLOOKUP(A18,[7]LISTADHERENT!A$5:H$60,3,0)</f>
        <v>MASSEUNGOUE DAGOBERT</v>
      </c>
      <c r="D18" s="7">
        <f t="shared" si="0"/>
        <v>25000</v>
      </c>
      <c r="E18" s="7">
        <f>D18+VLOOKUP($A18,[6]HISTOMAI24!$A$7:$AU$42,45,0)+F18</f>
        <v>50000</v>
      </c>
      <c r="F18" s="7">
        <f>VLOOKUP($A18,[6]HISTOMAI24!$A$6:$AV$48,7,0)</f>
        <v>0</v>
      </c>
      <c r="G18" s="7" t="str">
        <f>VLOOKUP($A18,[6]HISTOMAI24!$A$6:$AV$49,8,0)</f>
        <v>BANQUE</v>
      </c>
      <c r="H18" s="7">
        <f>VLOOKUP($A18,[6]HISTOMAI24!$A$6:$AV$49,35,0)</f>
        <v>0</v>
      </c>
      <c r="I18" s="7">
        <f>VLOOKUP($A18,[6]HISTOMAI24!$A$6:$AV$49,38,0)</f>
        <v>0</v>
      </c>
      <c r="J18" s="7">
        <f>IF(H18=0,0,VLOOKUP($A18,[6]HISTOMAI24!$A$6:$AV$49,42,0))</f>
        <v>0</v>
      </c>
      <c r="K18" s="7">
        <f>VLOOKUP($A18,[6]HISTOMAI24!$A$6:$AV$49,41,0)</f>
        <v>0</v>
      </c>
      <c r="L18" s="7">
        <f>TONTAVRIL24!H18+TONTAVRIL24!I18</f>
        <v>0</v>
      </c>
      <c r="M18" s="7">
        <f>VLOOKUP($A18,[6]HISTOMAI24!$A$6:$AV$49,16,0)</f>
        <v>0</v>
      </c>
      <c r="N18" s="7" t="str">
        <f>IF(M18&lt;&gt;0,VLOOKUP($A18,[6]HISTOMAI24!$A$6:$AV$49,8,0),"ECHEC")</f>
        <v>ECHEC</v>
      </c>
      <c r="O18" s="7">
        <f>IF(R18=0,0,VLOOKUP($A18,[6]HISTOMAI24!$A$6:$AV$49,32,0))</f>
        <v>0</v>
      </c>
      <c r="P18" s="7">
        <f>VLOOKUP($A18,[6]HISTOMAI24!$A$6:$AV$49,33,0)</f>
        <v>0</v>
      </c>
      <c r="Q18" s="7">
        <f t="shared" si="1"/>
        <v>0</v>
      </c>
      <c r="R18" s="7">
        <f>VLOOKUP($A18,[6]HISTOMAI24!$A$6:$AV$49,29,0)</f>
        <v>0</v>
      </c>
      <c r="S18" s="1"/>
    </row>
    <row r="19" spans="1:19" x14ac:dyDescent="0.35">
      <c r="A19" s="1" t="s">
        <v>44</v>
      </c>
      <c r="B19" s="7">
        <f>IF(D19=0,0,VLOOKUP($A19,[6]HISTOMAI24!$A$6:$BP$44,10,0))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D19+VLOOKUP($A19,[6]HISTOMAI24!$A$7:$AU$42,45,0)+F19</f>
        <v>49500</v>
      </c>
      <c r="F19" s="7">
        <f>VLOOKUP($A19,[6]HISTOMAI24!$A$6:$AV$48,7,0)</f>
        <v>0</v>
      </c>
      <c r="G19" s="7" t="str">
        <f>VLOOKUP($A19,[6]HISTOMAI24!$A$6:$AV$49,8,0)</f>
        <v>BANQUE</v>
      </c>
      <c r="H19" s="7">
        <f>VLOOKUP($A19,[6]HISTOMAI24!$A$6:$AV$49,35,0)</f>
        <v>0</v>
      </c>
      <c r="I19" s="7">
        <f>VLOOKUP($A19,[6]HISTOMAI24!$A$6:$AV$49,38,0)</f>
        <v>0</v>
      </c>
      <c r="J19" s="7">
        <f>IF(H19=0,0,VLOOKUP($A19,[6]HISTOMAI24!$A$6:$AV$49,42,0))</f>
        <v>0</v>
      </c>
      <c r="K19" s="7">
        <f>VLOOKUP($A19,[6]HISTOMAI24!$A$6:$AV$49,41,0)</f>
        <v>0</v>
      </c>
      <c r="L19" s="7">
        <f>TONTAVRIL24!H19+TONTAVRIL24!I19</f>
        <v>0</v>
      </c>
      <c r="M19" s="7">
        <f>VLOOKUP($A19,[6]HISTOMAI24!$A$6:$AV$49,16,0)</f>
        <v>0</v>
      </c>
      <c r="N19" s="7" t="str">
        <f>IF(M19&lt;&gt;0,VLOOKUP($A19,[6]HISTOMAI24!$A$6:$AV$49,8,0),"ECHEC")</f>
        <v>ECHEC</v>
      </c>
      <c r="O19" s="7">
        <f>IF(R19=0,0,VLOOKUP($A19,[6]HISTOMAI24!$A$6:$AV$49,32,0))</f>
        <v>0</v>
      </c>
      <c r="P19" s="7">
        <f>VLOOKUP($A19,[6]HISTOMAI24!$A$6:$AV$49,33,0)</f>
        <v>0</v>
      </c>
      <c r="Q19" s="7">
        <f t="shared" si="1"/>
        <v>0</v>
      </c>
      <c r="R19" s="7">
        <f>VLOOKUP($A19,[6]HISTOMAI24!$A$6:$AV$49,29,0)</f>
        <v>0</v>
      </c>
      <c r="S19" s="1"/>
    </row>
    <row r="20" spans="1:19" x14ac:dyDescent="0.35">
      <c r="A20" s="1" t="s">
        <v>25</v>
      </c>
      <c r="B20" s="7">
        <f>IF(D20=0,0,VLOOKUP($A20,[6]HISTOMAI24!$A$6:$BP$44,10,0))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D20+VLOOKUP($A20,[6]HISTOMAI24!$A$7:$AU$42,45,0)+F20</f>
        <v>50000</v>
      </c>
      <c r="F20" s="7">
        <f>VLOOKUP($A20,[6]HISTOMAI24!$A$6:$AV$48,7,0)</f>
        <v>0</v>
      </c>
      <c r="G20" s="7" t="str">
        <f>VLOOKUP($A20,[6]HISTOMAI24!$A$6:$AV$49,8,0)</f>
        <v>BANQUE</v>
      </c>
      <c r="H20" s="7">
        <f>VLOOKUP($A20,[6]HISTOMAI24!$A$6:$AV$49,35,0)</f>
        <v>0</v>
      </c>
      <c r="I20" s="7">
        <f>VLOOKUP($A20,[6]HISTOMAI24!$A$6:$AV$49,38,0)</f>
        <v>0</v>
      </c>
      <c r="J20" s="7">
        <f>IF(H20=0,0,VLOOKUP($A20,[6]HISTOMAI24!$A$6:$AV$49,42,0))</f>
        <v>0</v>
      </c>
      <c r="K20" s="7">
        <f>VLOOKUP($A20,[6]HISTOMAI24!$A$6:$AV$49,41,0)</f>
        <v>0</v>
      </c>
      <c r="L20" s="7">
        <f>TONTAVRIL24!H20+TONTAVRIL24!I20</f>
        <v>0</v>
      </c>
      <c r="M20" s="7">
        <f>VLOOKUP($A20,[6]HISTOMAI24!$A$6:$AV$49,16,0)</f>
        <v>0</v>
      </c>
      <c r="N20" s="7" t="str">
        <f>IF(M20&lt;&gt;0,VLOOKUP($A20,[6]HISTOMAI24!$A$6:$AV$49,8,0),"ECHEC")</f>
        <v>ECHEC</v>
      </c>
      <c r="O20" s="7" t="str">
        <f>IF(R20=0,0,VLOOKUP($A20,[6]HISTOMAI24!$A$6:$AV$49,32,0))</f>
        <v>BANQUE</v>
      </c>
      <c r="P20" s="7">
        <f>VLOOKUP($A20,[6]HISTOMAI24!$A$6:$AV$49,33,0)</f>
        <v>0</v>
      </c>
      <c r="Q20" s="7">
        <f t="shared" si="1"/>
        <v>297000</v>
      </c>
      <c r="R20" s="7">
        <f>VLOOKUP($A20,[6]HISTOMAI24!$A$6:$AV$49,29,0)</f>
        <v>3000</v>
      </c>
      <c r="S20" s="1"/>
    </row>
    <row r="21" spans="1:19" x14ac:dyDescent="0.35">
      <c r="A21" s="1" t="s">
        <v>18</v>
      </c>
      <c r="B21" s="7">
        <f>IF(D21=0,0,VLOOKUP($A21,[6]HISTOMAI24!$A$6:$BP$44,10,0))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D21+VLOOKUP($A21,[6]HISTOMAI24!$A$7:$AU$42,45,0)+F21</f>
        <v>50000</v>
      </c>
      <c r="F21" s="7">
        <f>VLOOKUP($A21,[6]HISTOMAI24!$A$6:$AV$48,7,0)</f>
        <v>0</v>
      </c>
      <c r="G21" s="7" t="str">
        <f>VLOOKUP($A21,[6]HISTOMAI24!$A$6:$AV$49,8,0)</f>
        <v>BANQUE</v>
      </c>
      <c r="H21" s="7">
        <f>VLOOKUP($A21,[6]HISTOMAI24!$A$6:$AV$49,35,0)</f>
        <v>0</v>
      </c>
      <c r="I21" s="7">
        <f>VLOOKUP($A21,[6]HISTOMAI24!$A$6:$AV$49,38,0)</f>
        <v>0</v>
      </c>
      <c r="J21" s="7">
        <f>IF(H21=0,0,VLOOKUP($A21,[6]HISTOMAI24!$A$6:$AV$49,42,0))</f>
        <v>0</v>
      </c>
      <c r="K21" s="7">
        <f>VLOOKUP($A21,[6]HISTOMAI24!$A$6:$AV$49,41,0)</f>
        <v>0</v>
      </c>
      <c r="L21" s="7">
        <f>TONTAVRIL24!H21+TONTAVRIL24!I21</f>
        <v>0</v>
      </c>
      <c r="M21" s="7">
        <f>VLOOKUP($A21,[6]HISTOMAI24!$A$6:$AV$49,16,0)</f>
        <v>0</v>
      </c>
      <c r="N21" s="7" t="str">
        <f>IF(M21&lt;&gt;0,VLOOKUP($A21,[6]HISTOMAI24!$A$6:$AV$49,8,0),"ECHEC")</f>
        <v>ECHEC</v>
      </c>
      <c r="O21" s="7">
        <f>IF(R21=0,0,VLOOKUP($A21,[6]HISTOMAI24!$A$6:$AV$49,32,0))</f>
        <v>0</v>
      </c>
      <c r="P21" s="7">
        <f>VLOOKUP($A21,[6]HISTOMAI24!$A$6:$AV$49,33,0)</f>
        <v>0</v>
      </c>
      <c r="Q21" s="7">
        <f t="shared" si="1"/>
        <v>0</v>
      </c>
      <c r="R21" s="7">
        <f>VLOOKUP($A21,[6]HISTOMAI24!$A$6:$AV$49,29,0)</f>
        <v>0</v>
      </c>
      <c r="S21" s="1"/>
    </row>
    <row r="22" spans="1:19" x14ac:dyDescent="0.35">
      <c r="A22" s="1" t="s">
        <v>19</v>
      </c>
      <c r="B22" s="7">
        <f>IF(D22=0,0,VLOOKUP($A22,[6]HISTOMAI24!$A$6:$BP$44,10,0))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D22+VLOOKUP($A22,[6]HISTOMAI24!$A$7:$AU$42,45,0)+F22</f>
        <v>70000</v>
      </c>
      <c r="F22" s="7">
        <f>VLOOKUP($A22,[6]HISTOMAI24!$A$6:$AV$48,7,0)</f>
        <v>0</v>
      </c>
      <c r="G22" s="7" t="str">
        <f>VLOOKUP($A22,[6]HISTOMAI24!$A$6:$AV$49,8,0)</f>
        <v>BANQUE</v>
      </c>
      <c r="H22" s="7">
        <f>VLOOKUP($A22,[6]HISTOMAI24!$A$6:$AV$49,35,0)</f>
        <v>0</v>
      </c>
      <c r="I22" s="7">
        <f>VLOOKUP($A22,[6]HISTOMAI24!$A$6:$AV$49,38,0)</f>
        <v>0</v>
      </c>
      <c r="J22" s="7">
        <f>IF(H22=0,0,VLOOKUP($A22,[6]HISTOMAI24!$A$6:$AV$49,42,0))</f>
        <v>0</v>
      </c>
      <c r="K22" s="7">
        <f>VLOOKUP($A22,[6]HISTOMAI24!$A$6:$AV$49,41,0)</f>
        <v>0</v>
      </c>
      <c r="L22" s="7">
        <f>TONTAVRIL24!H22+TONTAVRIL24!I22</f>
        <v>0</v>
      </c>
      <c r="M22" s="7">
        <f>VLOOKUP($A22,[6]HISTOMAI24!$A$6:$AV$49,16,0)</f>
        <v>0</v>
      </c>
      <c r="N22" s="7" t="str">
        <f>IF(M22&lt;&gt;0,VLOOKUP($A22,[6]HISTOMAI24!$A$6:$AV$49,8,0),"ECHEC")</f>
        <v>ECHEC</v>
      </c>
      <c r="O22" s="7">
        <f>IF(R22=0,0,VLOOKUP($A22,[6]HISTOMAI24!$A$6:$AV$49,32,0))</f>
        <v>0</v>
      </c>
      <c r="P22" s="7">
        <f>VLOOKUP($A22,[6]HISTOMAI24!$A$6:$AV$49,33,0)</f>
        <v>0</v>
      </c>
      <c r="Q22" s="7">
        <f t="shared" si="1"/>
        <v>0</v>
      </c>
      <c r="R22" s="7">
        <f>VLOOKUP($A22,[6]HISTOMAI24!$A$6:$AV$49,29,0)</f>
        <v>0</v>
      </c>
      <c r="S22" s="1"/>
    </row>
    <row r="23" spans="1:19" x14ac:dyDescent="0.35">
      <c r="A23" s="1" t="s">
        <v>20</v>
      </c>
      <c r="B23" s="7">
        <f>IF(D23=0,0,VLOOKUP($A23,[6]HISTOMAI24!$A$6:$BP$44,10,0))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D23+VLOOKUP($A23,[6]HISTOMAI24!$A$7:$AU$42,45,0)+F23</f>
        <v>75000</v>
      </c>
      <c r="F23" s="7">
        <f>VLOOKUP($A23,[6]HISTOMAI24!$A$6:$AV$48,7,0)</f>
        <v>0</v>
      </c>
      <c r="G23" s="7" t="str">
        <f>VLOOKUP($A23,[6]HISTOMAI24!$A$6:$AV$49,8,0)</f>
        <v>BANQUE</v>
      </c>
      <c r="H23" s="7">
        <f>VLOOKUP($A23,[6]HISTOMAI24!$A$6:$AV$49,35,0)</f>
        <v>0</v>
      </c>
      <c r="I23" s="7">
        <f>VLOOKUP($A23,[6]HISTOMAI24!$A$6:$AV$49,38,0)</f>
        <v>0</v>
      </c>
      <c r="J23" s="7">
        <f>IF(H23=0,0,VLOOKUP($A23,[6]HISTOMAI24!$A$6:$AV$49,42,0))</f>
        <v>0</v>
      </c>
      <c r="K23" s="7">
        <f>VLOOKUP($A23,[6]HISTOMAI24!$A$6:$AV$49,41,0)</f>
        <v>0</v>
      </c>
      <c r="L23" s="7">
        <f>TONTAVRIL24!H23+TONTAVRIL24!I23</f>
        <v>0</v>
      </c>
      <c r="M23" s="7">
        <f>VLOOKUP($A23,[6]HISTOMAI24!$A$6:$AV$49,16,0)</f>
        <v>0</v>
      </c>
      <c r="N23" s="7" t="str">
        <f>IF(M23&lt;&gt;0,VLOOKUP($A23,[6]HISTOMAI24!$A$6:$AV$49,8,0),"ECHEC")</f>
        <v>ECHEC</v>
      </c>
      <c r="O23" s="7">
        <f>IF(R23=0,0,VLOOKUP($A23,[6]HISTOMAI24!$A$6:$AV$49,32,0))</f>
        <v>0</v>
      </c>
      <c r="P23" s="7">
        <f>VLOOKUP($A23,[6]HISTOMAI24!$A$6:$AV$49,33,0)</f>
        <v>0</v>
      </c>
      <c r="Q23" s="7">
        <f t="shared" si="1"/>
        <v>0</v>
      </c>
      <c r="R23" s="7">
        <f>VLOOKUP($A23,[6]HISTOMAI24!$A$6:$AV$49,29,0)</f>
        <v>0</v>
      </c>
      <c r="S23" s="1"/>
    </row>
    <row r="24" spans="1:19" x14ac:dyDescent="0.35">
      <c r="A24" s="1" t="s">
        <v>21</v>
      </c>
      <c r="B24" s="7">
        <f>IF(D24=0,0,VLOOKUP($A24,[6]HISTOMAI24!$A$6:$BP$44,10,0))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D24+VLOOKUP($A24,[6]HISTOMAI24!$A$7:$AU$42,45,0)+F24</f>
        <v>49500</v>
      </c>
      <c r="F24" s="7">
        <f>VLOOKUP($A24,[6]HISTOMAI24!$A$6:$AV$48,7,0)</f>
        <v>0</v>
      </c>
      <c r="G24" s="7" t="str">
        <f>VLOOKUP($A24,[6]HISTOMAI24!$A$6:$AV$49,8,0)</f>
        <v>BANQUE</v>
      </c>
      <c r="H24" s="7">
        <f>VLOOKUP($A24,[6]HISTOMAI24!$A$6:$AV$49,35,0)</f>
        <v>0</v>
      </c>
      <c r="I24" s="7">
        <f>VLOOKUP($A24,[6]HISTOMAI24!$A$6:$AV$49,38,0)</f>
        <v>0</v>
      </c>
      <c r="J24" s="7">
        <f>IF(H24=0,0,VLOOKUP($A24,[6]HISTOMAI24!$A$6:$AV$49,42,0))</f>
        <v>0</v>
      </c>
      <c r="K24" s="7">
        <f>VLOOKUP($A24,[6]HISTOMAI24!$A$6:$AV$49,41,0)</f>
        <v>0</v>
      </c>
      <c r="L24" s="7">
        <f>TONTAVRIL24!H24+TONTAVRIL24!I24</f>
        <v>0</v>
      </c>
      <c r="M24" s="7">
        <f>VLOOKUP($A24,[6]HISTOMAI24!$A$6:$AV$49,16,0)</f>
        <v>0</v>
      </c>
      <c r="N24" s="7" t="str">
        <f>IF(M24&lt;&gt;0,VLOOKUP($A24,[6]HISTOMAI24!$A$6:$AV$49,8,0),"ECHEC")</f>
        <v>ECHEC</v>
      </c>
      <c r="O24" s="7">
        <f>IF(R24=0,0,VLOOKUP($A24,[6]HISTOMAI24!$A$6:$AV$49,32,0))</f>
        <v>0</v>
      </c>
      <c r="P24" s="7">
        <f>VLOOKUP($A24,[6]HISTOMAI24!$A$6:$AV$49,33,0)</f>
        <v>0</v>
      </c>
      <c r="Q24" s="7">
        <f t="shared" si="1"/>
        <v>0</v>
      </c>
      <c r="R24" s="7">
        <f>VLOOKUP($A24,[6]HISTOMAI24!$A$6:$AV$49,29,0)</f>
        <v>0</v>
      </c>
      <c r="S24" s="1"/>
    </row>
    <row r="25" spans="1:19" x14ac:dyDescent="0.35">
      <c r="A25" s="1" t="s">
        <v>22</v>
      </c>
      <c r="B25" s="7">
        <f>IF(D25=0,0,VLOOKUP($A25,[6]HISTOMAI24!$A$6:$BP$44,10,0))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D25+VLOOKUP($A25,[6]HISTOMAI24!$A$7:$AU$42,45,0)+F25</f>
        <v>50000</v>
      </c>
      <c r="F25" s="7">
        <f>VLOOKUP($A25,[6]HISTOMAI24!$A$6:$AV$48,7,0)</f>
        <v>0</v>
      </c>
      <c r="G25" s="7" t="str">
        <f>VLOOKUP($A25,[6]HISTOMAI24!$A$6:$AV$49,8,0)</f>
        <v>BANQUE</v>
      </c>
      <c r="H25" s="7">
        <f>VLOOKUP($A25,[6]HISTOMAI24!$A$6:$AV$49,35,0)</f>
        <v>50000</v>
      </c>
      <c r="I25" s="7">
        <f>VLOOKUP($A25,[6]HISTOMAI24!$A$6:$AV$49,38,0)</f>
        <v>500</v>
      </c>
      <c r="J25" s="7">
        <f>IF(H25=0,0,VLOOKUP($A25,[6]HISTOMAI24!$A$6:$AV$49,42,0))</f>
        <v>0</v>
      </c>
      <c r="K25" s="7">
        <f>VLOOKUP($A25,[6]HISTOMAI24!$A$6:$AV$49,41,0)</f>
        <v>0</v>
      </c>
      <c r="L25" s="7">
        <f>TONTAVRIL24!H25+TONTAVRIL24!I25</f>
        <v>0</v>
      </c>
      <c r="M25" s="7">
        <f>VLOOKUP($A25,[6]HISTOMAI24!$A$6:$AV$49,16,0)</f>
        <v>0</v>
      </c>
      <c r="N25" s="7" t="str">
        <f>IF(M25&lt;&gt;0,VLOOKUP($A25,[6]HISTOMAI24!$A$6:$AV$49,8,0),"ECHEC")</f>
        <v>ECHEC</v>
      </c>
      <c r="O25" s="7">
        <f>IF(R25=0,0,VLOOKUP($A25,[6]HISTOMAI24!$A$6:$AV$49,32,0))</f>
        <v>0</v>
      </c>
      <c r="P25" s="7">
        <f>VLOOKUP($A25,[6]HISTOMAI24!$A$6:$AV$49,33,0)</f>
        <v>0</v>
      </c>
      <c r="Q25" s="7">
        <f t="shared" si="1"/>
        <v>0</v>
      </c>
      <c r="R25" s="7">
        <f>VLOOKUP($A25,[6]HISTOMAI24!$A$6:$AV$49,29,0)</f>
        <v>0</v>
      </c>
      <c r="S25" s="1"/>
    </row>
    <row r="26" spans="1:19" x14ac:dyDescent="0.35">
      <c r="A26" s="1" t="s">
        <v>85</v>
      </c>
      <c r="B26" s="7">
        <f>IF(D26=0,0,VLOOKUP($A26,[6]HISTOMAI24!$A$6:$BP$44,10,0))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D26+VLOOKUP($A26,[6]HISTOMAI24!$A$7:$AU$42,45,0)+F26</f>
        <v>50000</v>
      </c>
      <c r="F26" s="7">
        <f>VLOOKUP($A26,[6]HISTOMAI24!$A$6:$AV$48,7,0)</f>
        <v>0</v>
      </c>
      <c r="G26" s="7" t="str">
        <f>VLOOKUP($A26,[6]HISTOMAI24!$A$6:$AV$49,8,0)</f>
        <v>BANQUE</v>
      </c>
      <c r="H26" s="7">
        <f>VLOOKUP($A26,[6]HISTOMAI24!$A$6:$AV$49,35,0)</f>
        <v>0</v>
      </c>
      <c r="I26" s="7">
        <f>VLOOKUP($A26,[6]HISTOMAI24!$A$6:$AV$49,38,0)</f>
        <v>0</v>
      </c>
      <c r="J26" s="7">
        <f>IF(H26=0,0,VLOOKUP($A26,[6]HISTOMAI24!$A$6:$AV$49,42,0))</f>
        <v>0</v>
      </c>
      <c r="K26" s="7">
        <f>VLOOKUP($A26,[6]HISTOMAI24!$A$6:$AV$49,41,0)</f>
        <v>0</v>
      </c>
      <c r="L26" s="7">
        <f>TONTAVRIL24!H26+TONTAVRIL24!I26</f>
        <v>0</v>
      </c>
      <c r="M26" s="7">
        <f>VLOOKUP($A26,[6]HISTOMAI24!$A$6:$AV$49,16,0)</f>
        <v>0</v>
      </c>
      <c r="N26" s="7" t="str">
        <f>IF(M26&lt;&gt;0,VLOOKUP($A26,[6]HISTOMAI24!$A$6:$AV$49,8,0),"ECHEC")</f>
        <v>ECHEC</v>
      </c>
      <c r="O26" s="7">
        <f>IF(R26=0,0,VLOOKUP($A26,[6]HISTOMAI24!$A$6:$AV$49,32,0))</f>
        <v>0</v>
      </c>
      <c r="P26" s="7">
        <f>VLOOKUP($A26,[6]HISTOMAI24!$A$6:$AV$49,33,0)</f>
        <v>0</v>
      </c>
      <c r="Q26" s="7">
        <f t="shared" si="1"/>
        <v>0</v>
      </c>
      <c r="R26" s="7">
        <f>VLOOKUP($A26,[6]HISTOMAI24!$A$6:$AV$49,29,0)</f>
        <v>0</v>
      </c>
    </row>
    <row r="27" spans="1:19" x14ac:dyDescent="0.35">
      <c r="A27" s="1" t="s">
        <v>23</v>
      </c>
      <c r="B27" s="7">
        <f>IF(D27=0,0,VLOOKUP($A27,[6]HISTOMAI24!$A$6:$BP$44,10,0))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D27+VLOOKUP($A27,[6]HISTOMAI24!$A$7:$AU$42,45,0)+F27</f>
        <v>50000</v>
      </c>
      <c r="F27" s="7">
        <f>VLOOKUP($A27,[6]HISTOMAI24!$A$6:$AV$48,7,0)</f>
        <v>0</v>
      </c>
      <c r="G27" s="7" t="str">
        <f>VLOOKUP($A27,[6]HISTOMAI24!$A$6:$AV$49,8,0)</f>
        <v>BANQUE</v>
      </c>
      <c r="H27" s="7">
        <f>VLOOKUP($A27,[6]HISTOMAI24!$A$6:$AV$49,35,0)</f>
        <v>0</v>
      </c>
      <c r="I27" s="7">
        <f>VLOOKUP($A27,[6]HISTOMAI24!$A$6:$AV$49,38,0)</f>
        <v>0</v>
      </c>
      <c r="J27" s="7">
        <f>IF(H27=0,0,VLOOKUP($A27,[6]HISTOMAI24!$A$6:$AV$49,42,0))</f>
        <v>0</v>
      </c>
      <c r="K27" s="7">
        <f>VLOOKUP($A27,[6]HISTOMAI24!$A$6:$AV$49,41,0)</f>
        <v>0</v>
      </c>
      <c r="L27" s="7">
        <f>TONTAVRIL24!H27+TONTAVRIL24!I27</f>
        <v>0</v>
      </c>
      <c r="M27" s="7">
        <f>VLOOKUP($A27,[6]HISTOMAI24!$A$6:$AV$49,16,0)</f>
        <v>0</v>
      </c>
      <c r="N27" s="7" t="str">
        <f>IF(M27&lt;&gt;0,VLOOKUP($A27,[6]HISTOMAI24!$A$6:$AV$49,8,0),"ECHEC")</f>
        <v>ECHEC</v>
      </c>
      <c r="O27" s="7">
        <f>IF(R27=0,0,VLOOKUP($A27,[6]HISTOMAI24!$A$6:$AV$49,32,0))</f>
        <v>0</v>
      </c>
      <c r="P27" s="7">
        <f>VLOOKUP($A27,[6]HISTOMAI24!$A$6:$AV$49,33,0)</f>
        <v>0</v>
      </c>
      <c r="Q27" s="7">
        <f t="shared" si="1"/>
        <v>0</v>
      </c>
      <c r="R27" s="7">
        <f>VLOOKUP($A27,[6]HISTOMAI24!$A$6:$AV$49,29,0)</f>
        <v>0</v>
      </c>
    </row>
    <row r="28" spans="1:19" x14ac:dyDescent="0.35">
      <c r="A28" s="1" t="s">
        <v>86</v>
      </c>
      <c r="B28" s="7">
        <f>IF(D28=0,0,VLOOKUP($A28,[6]HISTOMAI24!$A$6:$BP$44,10,0))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D28+VLOOKUP($A28,[6]HISTOMAI24!$A$7:$AU$42,45,0)+F28</f>
        <v>50000</v>
      </c>
      <c r="F28" s="7">
        <f>VLOOKUP($A28,[6]HISTOMAI24!$A$6:$AV$48,7,0)</f>
        <v>0</v>
      </c>
      <c r="G28" s="7" t="str">
        <f>VLOOKUP($A28,[6]HISTOMAI24!$A$6:$AV$49,8,0)</f>
        <v>BANQUE</v>
      </c>
      <c r="H28" s="7">
        <f>VLOOKUP($A28,[6]HISTOMAI24!$A$6:$AV$49,35,0)</f>
        <v>0</v>
      </c>
      <c r="I28" s="7">
        <f>VLOOKUP($A28,[6]HISTOMAI24!$A$6:$AV$49,38,0)</f>
        <v>0</v>
      </c>
      <c r="J28" s="7">
        <f>IF(H28=0,0,VLOOKUP($A28,[6]HISTOMAI24!$A$6:$AV$49,42,0))</f>
        <v>0</v>
      </c>
      <c r="K28" s="7">
        <f>VLOOKUP($A28,[6]HISTOMAI24!$A$6:$AV$49,41,0)</f>
        <v>0</v>
      </c>
      <c r="L28" s="7">
        <f>TONTAVRIL24!H28+TONTAVRIL24!I28</f>
        <v>0</v>
      </c>
      <c r="M28" s="7">
        <f>VLOOKUP($A28,[6]HISTOMAI24!$A$6:$AV$49,16,0)</f>
        <v>0</v>
      </c>
      <c r="N28" s="7" t="str">
        <f>IF(M28&lt;&gt;0,VLOOKUP($A28,[6]HISTOMAI24!$A$6:$AV$49,8,0),"ECHEC")</f>
        <v>ECHEC</v>
      </c>
      <c r="O28" s="7">
        <f>IF(R28=0,0,VLOOKUP($A28,[6]HISTOMAI24!$A$6:$AV$49,32,0))</f>
        <v>0</v>
      </c>
      <c r="P28" s="7">
        <f>VLOOKUP($A28,[6]HISTOMAI24!$A$6:$AV$49,33,0)</f>
        <v>0</v>
      </c>
      <c r="Q28" s="7">
        <f t="shared" si="1"/>
        <v>0</v>
      </c>
      <c r="R28" s="7">
        <f>VLOOKUP($A28,[6]HISTOMAI24!$A$6:$AV$49,29,0)</f>
        <v>0</v>
      </c>
    </row>
    <row r="29" spans="1:19" x14ac:dyDescent="0.35">
      <c r="A29" s="1" t="s">
        <v>46</v>
      </c>
      <c r="B29" s="7">
        <f>IF(D29=0,0,VLOOKUP($A29,[6]HISTOMAI24!$A$6:$BP$44,10,0))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D29+VLOOKUP($A29,[6]HISTOMAI24!$A$7:$AU$42,45,0)+F29</f>
        <v>50000</v>
      </c>
      <c r="F29" s="7">
        <f>VLOOKUP($A29,[6]HISTOMAI24!$A$6:$AV$48,7,0)</f>
        <v>0</v>
      </c>
      <c r="G29" s="7" t="str">
        <f>VLOOKUP($A29,[6]HISTOMAI24!$A$6:$AV$49,8,0)</f>
        <v>BANQUE</v>
      </c>
      <c r="H29" s="7">
        <f>VLOOKUP($A29,[6]HISTOMAI24!$A$6:$AV$49,35,0)</f>
        <v>0</v>
      </c>
      <c r="I29" s="7">
        <f>VLOOKUP($A29,[6]HISTOMAI24!$A$6:$AV$49,38,0)</f>
        <v>0</v>
      </c>
      <c r="J29" s="7">
        <f>IF(H29=0,0,VLOOKUP($A29,[6]HISTOMAI24!$A$6:$AV$49,42,0))</f>
        <v>0</v>
      </c>
      <c r="K29" s="7">
        <f>VLOOKUP($A29,[6]HISTOMAI24!$A$6:$AV$49,41,0)</f>
        <v>0</v>
      </c>
      <c r="L29" s="7">
        <f>TONTAVRIL24!H29+TONTAVRIL24!I29</f>
        <v>0</v>
      </c>
      <c r="M29" s="7">
        <f>VLOOKUP($A29,[6]HISTOMAI24!$A$6:$AV$49,16,0)</f>
        <v>0</v>
      </c>
      <c r="N29" s="7" t="str">
        <f>IF(M29&lt;&gt;0,VLOOKUP($A29,[6]HISTOMAI24!$A$6:$AV$49,8,0),"ECHEC")</f>
        <v>ECHEC</v>
      </c>
      <c r="O29" s="7">
        <f>IF(R29=0,0,VLOOKUP($A29,[6]HISTOMAI24!$A$6:$AV$49,32,0))</f>
        <v>0</v>
      </c>
      <c r="P29" s="7">
        <f>VLOOKUP($A29,[6]HISTOMAI24!$A$6:$AV$49,33,0)</f>
        <v>0</v>
      </c>
      <c r="Q29" s="7">
        <f t="shared" si="1"/>
        <v>0</v>
      </c>
      <c r="R29" s="7">
        <f>VLOOKUP($A29,[6]HISTOMAI24!$A$6:$AV$49,29,0)</f>
        <v>0</v>
      </c>
    </row>
    <row r="30" spans="1:19" x14ac:dyDescent="0.35">
      <c r="A30" s="1" t="s">
        <v>24</v>
      </c>
      <c r="B30" s="7">
        <f>IF(D30=0,0,VLOOKUP($A30,[6]HISTOMAI24!$A$6:$BP$44,10,0))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D30+VLOOKUP($A30,[6]HISTOMAI24!$A$7:$AU$42,45,0)+F30</f>
        <v>50000</v>
      </c>
      <c r="F30" s="7">
        <f>VLOOKUP($A30,[6]HISTOMAI24!$A$6:$AV$48,7,0)</f>
        <v>0</v>
      </c>
      <c r="G30" s="7" t="str">
        <f>VLOOKUP($A30,[6]HISTOMAI24!$A$6:$AV$49,8,0)</f>
        <v>BANQUE</v>
      </c>
      <c r="H30" s="7">
        <f>VLOOKUP($A30,[6]HISTOMAI24!$A$6:$AV$49,35,0)</f>
        <v>0</v>
      </c>
      <c r="I30" s="7">
        <f>VLOOKUP($A30,[6]HISTOMAI24!$A$6:$AV$49,38,0)</f>
        <v>0</v>
      </c>
      <c r="J30" s="7">
        <f>IF(H30=0,0,VLOOKUP($A30,[6]HISTOMAI24!$A$6:$AV$49,42,0))</f>
        <v>0</v>
      </c>
      <c r="K30" s="7">
        <f>VLOOKUP($A30,[6]HISTOMAI24!$A$6:$AV$49,41,0)</f>
        <v>0</v>
      </c>
      <c r="L30" s="7">
        <f>TONTAVRIL24!H30+TONTAVRIL24!I30</f>
        <v>0</v>
      </c>
      <c r="M30" s="7">
        <f>VLOOKUP($A30,[6]HISTOMAI24!$A$6:$AV$49,16,0)</f>
        <v>0</v>
      </c>
      <c r="N30" s="7" t="str">
        <f>IF(M30&lt;&gt;0,VLOOKUP($A30,[6]HISTOMAI24!$A$6:$AV$49,8,0),"ECHEC")</f>
        <v>ECHEC</v>
      </c>
      <c r="O30" s="7" t="str">
        <f>IF(R30=0,0,VLOOKUP($A30,[6]HISTOMAI24!$A$6:$AV$49,32,0))</f>
        <v>BANQUE</v>
      </c>
      <c r="P30" s="7">
        <f>VLOOKUP($A30,[6]HISTOMAI24!$A$6:$AV$49,33,0)</f>
        <v>0</v>
      </c>
      <c r="Q30" s="7">
        <f t="shared" si="1"/>
        <v>296500</v>
      </c>
      <c r="R30" s="7">
        <f>VLOOKUP($A30,[6]HISTOMAI24!$A$6:$AV$49,29,0)</f>
        <v>3500</v>
      </c>
    </row>
    <row r="31" spans="1:19" x14ac:dyDescent="0.35">
      <c r="A31" s="1" t="s">
        <v>26</v>
      </c>
      <c r="B31" s="7">
        <f>IF(D31=0,0,VLOOKUP($A31,[6]HISTOMAI24!$A$6:$BP$44,10,0))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D31+VLOOKUP($A31,[6]HISTOMAI24!$A$7:$AU$42,45,0)+F31</f>
        <v>50000</v>
      </c>
      <c r="F31" s="7">
        <f>VLOOKUP($A31,[6]HISTOMAI24!$A$6:$AV$48,7,0)</f>
        <v>0</v>
      </c>
      <c r="G31" s="7" t="str">
        <f>VLOOKUP($A31,[6]HISTOMAI24!$A$6:$AV$49,8,0)</f>
        <v>BANQUE</v>
      </c>
      <c r="H31" s="7">
        <f>VLOOKUP($A31,[6]HISTOMAI24!$A$6:$AV$49,35,0)</f>
        <v>0</v>
      </c>
      <c r="I31" s="7">
        <f>VLOOKUP($A31,[6]HISTOMAI24!$A$6:$AV$49,38,0)</f>
        <v>0</v>
      </c>
      <c r="J31" s="7">
        <f>IF(H31=0,0,VLOOKUP($A31,[6]HISTOMAI24!$A$6:$AV$49,42,0))</f>
        <v>0</v>
      </c>
      <c r="K31" s="7">
        <f>VLOOKUP($A31,[6]HISTOMAI24!$A$6:$AV$49,41,0)</f>
        <v>0</v>
      </c>
      <c r="L31" s="7">
        <f>TONTAVRIL24!H31+TONTAVRIL24!I31</f>
        <v>0</v>
      </c>
      <c r="M31" s="7">
        <f>VLOOKUP($A31,[6]HISTOMAI24!$A$6:$AV$49,16,0)</f>
        <v>0</v>
      </c>
      <c r="N31" s="7" t="str">
        <f>IF(M31&lt;&gt;0,VLOOKUP($A31,[6]HISTOMAI24!$A$6:$AV$49,8,0),"ECHEC")</f>
        <v>ECHEC</v>
      </c>
      <c r="O31" s="7">
        <f>IF(R31=0,0,VLOOKUP($A31,[6]HISTOMAI24!$A$6:$AV$49,32,0))</f>
        <v>0</v>
      </c>
      <c r="P31" s="7">
        <f>VLOOKUP($A31,[6]HISTOMAI24!$A$6:$AV$49,33,0)</f>
        <v>0</v>
      </c>
      <c r="Q31" s="7">
        <f t="shared" si="1"/>
        <v>0</v>
      </c>
      <c r="R31" s="7">
        <f>VLOOKUP($A31,[6]HISTOMAI24!$A$6:$AV$49,29,0)</f>
        <v>0</v>
      </c>
    </row>
    <row r="32" spans="1:19" x14ac:dyDescent="0.35">
      <c r="A32" s="1" t="s">
        <v>95</v>
      </c>
      <c r="B32" s="7">
        <f>IF(D32=0,0,VLOOKUP($A32,[6]HISTOMAI24!$A$6:$BP$44,10,0))</f>
        <v>1</v>
      </c>
      <c r="C32" s="1" t="str">
        <f>VLOOKUP(A32,[7]LISTADHERENT!A$5:H$60,3,0)</f>
        <v>TCHOUATEU AUGUSTIN</v>
      </c>
      <c r="D32" s="7">
        <f t="shared" si="0"/>
        <v>25000</v>
      </c>
      <c r="E32" s="7">
        <f>D32+VLOOKUP($A32,[6]HISTOMAI24!$A$7:$AU$42,45,0)+F32</f>
        <v>60000</v>
      </c>
      <c r="F32" s="7">
        <f>VLOOKUP($A32,[6]HISTOMAI24!$A$6:$AV$48,7,0)</f>
        <v>0</v>
      </c>
      <c r="G32" s="7" t="str">
        <f>VLOOKUP($A32,[6]HISTOMAI24!$A$6:$AV$49,8,0)</f>
        <v>BANQUE</v>
      </c>
      <c r="H32" s="7">
        <f>VLOOKUP($A32,[6]HISTOMAI24!$A$6:$AV$49,35,0)</f>
        <v>0</v>
      </c>
      <c r="I32" s="7">
        <f>VLOOKUP($A32,[6]HISTOMAI24!$A$6:$AV$49,38,0)</f>
        <v>0</v>
      </c>
      <c r="J32" s="7">
        <f>IF(H32=0,0,VLOOKUP($A32,[6]HISTOMAI24!$A$6:$AV$49,42,0))</f>
        <v>0</v>
      </c>
      <c r="K32" s="7">
        <f>VLOOKUP($A32,[6]HISTOMAI24!$A$6:$AV$49,41,0)</f>
        <v>0</v>
      </c>
      <c r="L32" s="7">
        <f>TONTAVRIL24!H32+TONTAVRIL24!I32</f>
        <v>0</v>
      </c>
      <c r="M32" s="7">
        <f>VLOOKUP($A32,[6]HISTOMAI24!$A$6:$AV$49,16,0)</f>
        <v>0</v>
      </c>
      <c r="N32" s="7" t="str">
        <f>IF(M32&lt;&gt;0,VLOOKUP($A32,[6]HISTOMAI24!$A$6:$AV$49,8,0),"ECHEC")</f>
        <v>ECHEC</v>
      </c>
      <c r="O32" s="7">
        <f>IF(R32=0,0,VLOOKUP($A32,[6]HISTOMAI24!$A$6:$AV$49,32,0))</f>
        <v>0</v>
      </c>
      <c r="P32" s="7">
        <f>VLOOKUP($A32,[6]HISTOMAI24!$A$6:$AV$49,33,0)</f>
        <v>0</v>
      </c>
      <c r="Q32" s="7">
        <f t="shared" si="1"/>
        <v>0</v>
      </c>
      <c r="R32" s="7">
        <f>VLOOKUP($A32,[6]HISTOMAI24!$A$6:$AV$49,29,0)</f>
        <v>0</v>
      </c>
    </row>
    <row r="33" spans="1:18" x14ac:dyDescent="0.35">
      <c r="A33" s="1" t="s">
        <v>87</v>
      </c>
      <c r="B33" s="7">
        <f>IF(D33=0,0,VLOOKUP($A33,[6]HISTOMAI24!$A$6:$BP$44,10,0))</f>
        <v>1</v>
      </c>
      <c r="C33" s="1" t="str">
        <f>VLOOKUP(A33,[7]LISTADHERENT!A$5:H$60,3,0)</f>
        <v>TCHOUTOU NANA CLAUDE</v>
      </c>
      <c r="D33" s="7">
        <f t="shared" si="0"/>
        <v>25000</v>
      </c>
      <c r="E33" s="7">
        <f>D33+VLOOKUP($A33,[6]HISTOMAI24!$A$7:$AU$42,45,0)+F33</f>
        <v>50000</v>
      </c>
      <c r="F33" s="7">
        <f>VLOOKUP($A33,[6]HISTOMAI24!$A$6:$AV$48,7,0)</f>
        <v>0</v>
      </c>
      <c r="G33" s="7" t="str">
        <f>VLOOKUP($A33,[6]HISTOMAI24!$A$6:$AV$49,8,0)</f>
        <v>BANQUE</v>
      </c>
      <c r="H33" s="7">
        <f>VLOOKUP($A33,[6]HISTOMAI24!$A$6:$AV$49,35,0)</f>
        <v>0</v>
      </c>
      <c r="I33" s="7">
        <f>VLOOKUP($A33,[6]HISTOMAI24!$A$6:$AV$49,38,0)</f>
        <v>0</v>
      </c>
      <c r="J33" s="7">
        <f>IF(H33=0,0,VLOOKUP($A33,[6]HISTOMAI24!$A$6:$AV$49,42,0))</f>
        <v>0</v>
      </c>
      <c r="K33" s="7">
        <f>VLOOKUP($A33,[6]HISTOMAI24!$A$6:$AV$49,41,0)</f>
        <v>0</v>
      </c>
      <c r="L33" s="7">
        <f>TONTAVRIL24!H33+TONTAVRIL24!I33</f>
        <v>0</v>
      </c>
      <c r="M33" s="7">
        <f>VLOOKUP($A33,[6]HISTOMAI24!$A$6:$AV$49,16,0)</f>
        <v>0</v>
      </c>
      <c r="N33" s="7" t="str">
        <f>IF(M33&lt;&gt;0,VLOOKUP($A33,[6]HISTOMAI24!$A$6:$AV$49,8,0),"ECHEC")</f>
        <v>ECHEC</v>
      </c>
      <c r="O33" s="7">
        <f>IF(R33=0,0,VLOOKUP($A33,[6]HISTOMAI24!$A$6:$AV$49,32,0))</f>
        <v>0</v>
      </c>
      <c r="P33" s="7">
        <f>VLOOKUP($A33,[6]HISTOMAI24!$A$6:$AV$49,33,0)</f>
        <v>0</v>
      </c>
      <c r="Q33" s="7">
        <f t="shared" si="1"/>
        <v>0</v>
      </c>
      <c r="R33" s="7">
        <f>VLOOKUP($A33,[6]HISTOMAI24!$A$6:$AV$49,29,0)</f>
        <v>0</v>
      </c>
    </row>
    <row r="34" spans="1:18" x14ac:dyDescent="0.35">
      <c r="A34" s="17" t="s">
        <v>89</v>
      </c>
      <c r="B34" s="7">
        <f>IF(D34=0,0,VLOOKUP($A34,[6]HISTOMAI24!$A$6:$BP$44,10,0))</f>
        <v>1</v>
      </c>
      <c r="C34" s="1" t="str">
        <f>VLOOKUP(A34,[7]LISTADHERENT!A$5:H$60,3,0)</f>
        <v>YANTCHOU GERVAIS</v>
      </c>
      <c r="D34" s="7">
        <f t="shared" si="0"/>
        <v>25000</v>
      </c>
      <c r="E34" s="7">
        <f>D34+VLOOKUP($A34,[6]HISTOMAI24!$A$7:$AU$42,45,0)+F34</f>
        <v>60000</v>
      </c>
      <c r="F34" s="7">
        <f>VLOOKUP($A34,[6]HISTOMAI24!$A$6:$AV$48,7,0)</f>
        <v>0</v>
      </c>
      <c r="G34" s="7" t="str">
        <f>VLOOKUP($A34,[6]HISTOMAI24!$A$6:$AV$49,8,0)</f>
        <v>BANQUE</v>
      </c>
      <c r="H34" s="7">
        <f>VLOOKUP($A34,[6]HISTOMAI24!$A$6:$AV$49,35,0)</f>
        <v>0</v>
      </c>
      <c r="I34" s="7">
        <f>VLOOKUP($A34,[6]HISTOMAI24!$A$6:$AV$49,38,0)</f>
        <v>0</v>
      </c>
      <c r="J34" s="7">
        <f>IF(H34=0,0,VLOOKUP($A34,[6]HISTOMAI24!$A$6:$AV$49,42,0))</f>
        <v>0</v>
      </c>
      <c r="K34" s="7">
        <f>VLOOKUP($A34,[6]HISTOMAI24!$A$6:$AV$49,41,0)</f>
        <v>0</v>
      </c>
      <c r="L34" s="7">
        <f>TONTAVRIL24!H34+TONTAVRIL24!I34</f>
        <v>0</v>
      </c>
      <c r="M34" s="7">
        <f>VLOOKUP($A34,[6]HISTOMAI24!$A$6:$AV$49,16,0)</f>
        <v>0</v>
      </c>
      <c r="N34" s="7" t="str">
        <f>IF(M34&lt;&gt;0,VLOOKUP($A34,[6]HISTOMAI24!$A$6:$AV$49,8,0),"ECHEC")</f>
        <v>ECHEC</v>
      </c>
      <c r="O34" s="7">
        <f>IF(R34=0,0,VLOOKUP($A34,[6]HISTOMAI24!$A$6:$AV$49,32,0))</f>
        <v>0</v>
      </c>
      <c r="P34" s="7">
        <f>VLOOKUP($A34,[6]HISTOMAI24!$A$6:$AV$49,33,0)</f>
        <v>0</v>
      </c>
      <c r="Q34" s="7">
        <f t="shared" si="1"/>
        <v>0</v>
      </c>
      <c r="R34" s="7">
        <f>VLOOKUP($A34,[6]HISTOMAI24!$A$6:$AV$49,29,0)</f>
        <v>0</v>
      </c>
    </row>
    <row r="35" spans="1:18" x14ac:dyDescent="0.35">
      <c r="A35" s="1" t="s">
        <v>27</v>
      </c>
      <c r="B35" s="7">
        <f>IF(D35=0,0,VLOOKUP($A35,[6]HISTOMAI24!$A$6:$BP$44,10,0))</f>
        <v>1</v>
      </c>
      <c r="C35" s="1" t="str">
        <f>VLOOKUP(A35,[7]LISTADHERENT!A$5:H$60,3,0)</f>
        <v>YEPMOU JEAN JACQUES</v>
      </c>
      <c r="D35" s="7">
        <f t="shared" si="0"/>
        <v>25000</v>
      </c>
      <c r="E35" s="7">
        <f>D35+VLOOKUP($A35,[6]HISTOMAI24!$A$7:$AU$42,45,0)+F35</f>
        <v>53000</v>
      </c>
      <c r="F35" s="7">
        <f>VLOOKUP($A35,[6]HISTOMAI24!$A$6:$AV$48,7,0)</f>
        <v>3000</v>
      </c>
      <c r="G35" s="7" t="str">
        <f>VLOOKUP($A35,[6]HISTOMAI24!$A$6:$AV$49,8,0)</f>
        <v>ESPECES</v>
      </c>
      <c r="H35" s="7">
        <f>VLOOKUP($A35,[6]HISTOMAI24!$A$6:$AV$49,35,0)</f>
        <v>0</v>
      </c>
      <c r="I35" s="7">
        <f>VLOOKUP($A35,[6]HISTOMAI24!$A$6:$AV$49,38,0)</f>
        <v>0</v>
      </c>
      <c r="J35" s="7">
        <f>IF(H35=0,0,VLOOKUP($A35,[6]HISTOMAI24!$A$6:$AV$49,42,0))</f>
        <v>0</v>
      </c>
      <c r="K35" s="7">
        <f>VLOOKUP($A35,[6]HISTOMAI24!$A$6:$AV$49,41,0)</f>
        <v>0</v>
      </c>
      <c r="L35" s="7">
        <f>TONTAVRIL24!H35+TONTAVRIL24!I35</f>
        <v>0</v>
      </c>
      <c r="M35" s="7">
        <f>VLOOKUP($A35,[6]HISTOMAI24!$A$6:$AV$49,16,0)</f>
        <v>0</v>
      </c>
      <c r="N35" s="7" t="str">
        <f>IF(M35&lt;&gt;0,VLOOKUP($A35,[6]HISTOMAI24!$A$6:$AV$49,8,0),"ECHEC")</f>
        <v>ECHEC</v>
      </c>
      <c r="O35" s="7">
        <f>IF(R35=0,0,VLOOKUP($A35,[6]HISTOMAI24!$A$6:$AV$49,32,0))</f>
        <v>0</v>
      </c>
      <c r="P35" s="7">
        <f>VLOOKUP($A35,[6]HISTOMAI24!$A$6:$AV$49,33,0)</f>
        <v>0</v>
      </c>
      <c r="Q35" s="7">
        <f t="shared" si="1"/>
        <v>0</v>
      </c>
      <c r="R35" s="7">
        <f>VLOOKUP($A35,[6]HISTOMAI24!$A$6:$AV$49,29,0)</f>
        <v>0</v>
      </c>
    </row>
    <row r="36" spans="1:18" x14ac:dyDescent="0.35">
      <c r="A36" s="1" t="s">
        <v>94</v>
      </c>
      <c r="B36" s="7">
        <f>IF(D36=0,0,VLOOKUP($A36,[6]HISTOMAI24!$A$6:$BP$44,10,0))</f>
        <v>1</v>
      </c>
      <c r="C36" s="1" t="str">
        <f>VLOOKUP(A36,[7]LISTADHERENT!A$5:H$60,3,0)</f>
        <v>YIALA ALAIN OSCAR</v>
      </c>
      <c r="D36" s="7">
        <f t="shared" si="0"/>
        <v>25000</v>
      </c>
      <c r="E36" s="7">
        <f>D36+VLOOKUP($A36,[6]HISTOMAI24!$A$7:$AU$42,45,0)+F36</f>
        <v>53000</v>
      </c>
      <c r="F36" s="7">
        <f>VLOOKUP($A36,[6]HISTOMAI24!$A$6:$AV$48,7,0)</f>
        <v>3000</v>
      </c>
      <c r="G36" s="7" t="str">
        <f>VLOOKUP($A36,[6]HISTOMAI24!$A$6:$AV$49,8,0)</f>
        <v>ESPECES</v>
      </c>
      <c r="H36" s="7">
        <f>VLOOKUP($A36,[6]HISTOMAI24!$A$6:$AV$49,35,0)</f>
        <v>0</v>
      </c>
      <c r="I36" s="7">
        <f>VLOOKUP($A36,[6]HISTOMAI24!$A$6:$AV$49,38,0)</f>
        <v>0</v>
      </c>
      <c r="J36" s="7">
        <f>IF(H36=0,0,VLOOKUP($A36,[6]HISTOMAI24!$A$6:$AV$49,42,0))</f>
        <v>0</v>
      </c>
      <c r="K36" s="7">
        <f>VLOOKUP($A36,[6]HISTOMAI24!$A$6:$AV$49,41,0)</f>
        <v>0</v>
      </c>
      <c r="L36" s="7">
        <f>TONTAVRIL24!H36+TONTAVRIL24!I36</f>
        <v>0</v>
      </c>
      <c r="M36" s="7">
        <f>VLOOKUP($A36,[6]HISTOMAI24!$A$6:$AV$49,16,0)</f>
        <v>0</v>
      </c>
      <c r="N36" s="7" t="str">
        <f>IF(M36&lt;&gt;0,VLOOKUP($A36,[6]HISTOMAI24!$A$6:$AV$49,8,0),"ECHEC")</f>
        <v>ECHEC</v>
      </c>
      <c r="O36" s="7">
        <f>IF(R36=0,0,VLOOKUP($A36,[6]HISTOMAI24!$A$6:$AV$49,32,0))</f>
        <v>0</v>
      </c>
      <c r="P36" s="7">
        <f>VLOOKUP($A36,[6]HISTOMAI24!$A$6:$AV$49,33,0)</f>
        <v>0</v>
      </c>
      <c r="Q36" s="7">
        <f t="shared" si="1"/>
        <v>0</v>
      </c>
      <c r="R36" s="7">
        <f>VLOOKUP($A36,[6]HISTOMAI24!$A$6:$AV$49,29,0)</f>
        <v>0</v>
      </c>
    </row>
    <row r="37" spans="1:18" x14ac:dyDescent="0.35">
      <c r="A37" s="1" t="s">
        <v>28</v>
      </c>
      <c r="B37" s="7">
        <f>IF(D37=0,0,VLOOKUP($A37,[6]HISTOMAI24!$A$6:$BP$44,10,0))</f>
        <v>1</v>
      </c>
      <c r="C37" s="1" t="str">
        <f>VLOOKUP(A37,[7]LISTADHERENT!A$5:H$60,3,0)</f>
        <v>YOUMBI EMMANUEL</v>
      </c>
      <c r="D37" s="7">
        <f t="shared" si="0"/>
        <v>25000</v>
      </c>
      <c r="E37" s="7">
        <f>D37+VLOOKUP($A37,[6]HISTOMAI24!$A$7:$AU$42,45,0)+F37</f>
        <v>50000</v>
      </c>
      <c r="F37" s="7">
        <f>VLOOKUP($A37,[6]HISTOMAI24!$A$6:$AV$48,7,0)</f>
        <v>0</v>
      </c>
      <c r="G37" s="7" t="str">
        <f>VLOOKUP($A37,[6]HISTOMAI24!$A$6:$AV$49,8,0)</f>
        <v>BANQUE</v>
      </c>
      <c r="H37" s="7">
        <f>VLOOKUP($A37,[6]HISTOMAI24!$A$6:$AV$49,35,0)</f>
        <v>0</v>
      </c>
      <c r="I37" s="7">
        <f>VLOOKUP($A37,[6]HISTOMAI24!$A$6:$AV$49,38,0)</f>
        <v>0</v>
      </c>
      <c r="J37" s="7">
        <f>IF(H37=0,0,VLOOKUP($A37,[6]HISTOMAI24!$A$6:$AV$49,42,0))</f>
        <v>0</v>
      </c>
      <c r="K37" s="7">
        <f>VLOOKUP($A37,[6]HISTOMAI24!$A$6:$AV$49,41,0)</f>
        <v>0</v>
      </c>
      <c r="L37" s="7">
        <f>TONTAVRIL24!H37+TONTAVRIL24!I37</f>
        <v>0</v>
      </c>
      <c r="M37" s="7">
        <f>VLOOKUP($A37,[6]HISTOMAI24!$A$6:$AV$49,16,0)</f>
        <v>0</v>
      </c>
      <c r="N37" s="7" t="str">
        <f>IF(M37&lt;&gt;0,VLOOKUP($A37,[6]HISTOMAI24!$A$6:$AV$49,8,0),"ECHEC")</f>
        <v>ECHEC</v>
      </c>
      <c r="O37" s="7">
        <f>IF(R37=0,0,VLOOKUP($A37,[6]HISTOMAI24!$A$6:$AV$49,32,0))</f>
        <v>0</v>
      </c>
      <c r="P37" s="7">
        <f>VLOOKUP($A37,[6]HISTOMAI24!$A$6:$AV$49,33,0)</f>
        <v>0</v>
      </c>
      <c r="Q37" s="7">
        <f t="shared" si="1"/>
        <v>0</v>
      </c>
      <c r="R37" s="7">
        <f>VLOOKUP($A37,[6]HISTOMAI24!$A$6:$AV$49,29,0)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9000</v>
      </c>
      <c r="G40" s="8">
        <f t="shared" si="2"/>
        <v>0</v>
      </c>
      <c r="H40" s="8">
        <f t="shared" si="2"/>
        <v>100000</v>
      </c>
      <c r="I40" s="8">
        <f t="shared" si="2"/>
        <v>1000</v>
      </c>
      <c r="J40" s="8">
        <f t="shared" si="2"/>
        <v>0</v>
      </c>
      <c r="K40" s="8">
        <f t="shared" si="2"/>
        <v>0</v>
      </c>
      <c r="L40" s="8">
        <f t="shared" si="2"/>
        <v>43000</v>
      </c>
      <c r="M40" s="8">
        <f t="shared" si="2"/>
        <v>43000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593500</v>
      </c>
      <c r="R40" s="8">
        <f t="shared" si="2"/>
        <v>6500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D46+G46+R40+TONTAVRIL24!O47</f>
        <v>863500</v>
      </c>
      <c r="N42" s="4"/>
      <c r="O42"/>
      <c r="P42" s="4"/>
    </row>
    <row r="43" spans="1:18" s="2" customFormat="1" ht="17.5" x14ac:dyDescent="0.35">
      <c r="D43" s="8">
        <f>SUMIFS(D6:D39,G6:G39,"ESPECES")</f>
        <v>50000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50000</v>
      </c>
      <c r="K43" s="8"/>
      <c r="L43" s="8" t="s">
        <v>79</v>
      </c>
      <c r="M43" s="8">
        <f>C3*COUNTIF(Q7:Q39,"&gt;0")</f>
        <v>600000</v>
      </c>
      <c r="N43" s="8">
        <f>D3</f>
        <v>2</v>
      </c>
      <c r="O43" s="8">
        <f>COUNTIF(Q6:Q33,"&gt;0")</f>
        <v>2</v>
      </c>
      <c r="P43" s="8"/>
    </row>
    <row r="44" spans="1:18" s="2" customFormat="1" ht="17.5" x14ac:dyDescent="0.35">
      <c r="D44" s="8">
        <f>SUMIFS(D6:D39,G6:G39,"BANQUE")</f>
        <v>750000</v>
      </c>
      <c r="E44" s="8"/>
      <c r="F44" s="8" t="s">
        <v>32</v>
      </c>
      <c r="G44" s="8">
        <f>SUMIFS(M6:M33,N6:N33,"BANQUE")</f>
        <v>43000</v>
      </c>
      <c r="H44" s="8">
        <f>SUMIFS(H6:H39,J6:J39,"BANQUE")</f>
        <v>0</v>
      </c>
      <c r="I44" s="8">
        <f>SUMIFS(Q6:Q39,O6:O39,"BANQUE")</f>
        <v>593500</v>
      </c>
      <c r="J44" s="8">
        <f>D44+G44-H44-I44</f>
        <v>199500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263500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43000</v>
      </c>
      <c r="H46" s="8">
        <f>H43+H44</f>
        <v>0</v>
      </c>
      <c r="I46" s="8">
        <f t="shared" ref="I46:J46" si="3">I43+I44</f>
        <v>593500</v>
      </c>
      <c r="J46" s="8">
        <f t="shared" si="3"/>
        <v>249500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163500</v>
      </c>
      <c r="N47"/>
      <c r="O47" s="8">
        <f>TONTMAI24!M47</f>
        <v>163500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TONTMAI24!M49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TONTMAI24!M50</f>
        <v>0</v>
      </c>
      <c r="P50" s="8" t="s">
        <v>53</v>
      </c>
    </row>
  </sheetData>
  <autoFilter ref="A5:R25" xr:uid="{00000000-0009-0000-0000-000005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0"/>
  <sheetViews>
    <sheetView workbookViewId="0">
      <pane xSplit="3" ySplit="5" topLeftCell="F9" activePane="bottomRight" state="frozen"/>
      <selection activeCell="G6" sqref="G6:G39"/>
      <selection pane="topRight" activeCell="G6" sqref="G6:G39"/>
      <selection pane="bottomLeft" activeCell="G6" sqref="G6:G39"/>
      <selection pane="bottomRight" activeCell="H5" sqref="H5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8">
        <v>45456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IF(D6=0,0,VLOOKUP($A6,[6]HISTOJUIN24!$A$6:$BP$44,10,0))</f>
        <v>1</v>
      </c>
      <c r="C6" s="1" t="str">
        <f>VLOOKUP(A6,[7]LISTADHERENT!A$5:H$60,3,0)</f>
        <v>BAKOP ACHILLE</v>
      </c>
      <c r="D6" s="7">
        <f t="shared" ref="D6:D37" si="0">IF(G6="ECHEC",0,B$3)</f>
        <v>25000</v>
      </c>
      <c r="E6" s="7">
        <f>D6+VLOOKUP($A6,[6]HISTOJUIN24!$A$7:$AU$42,45,0)+F6</f>
        <v>46000</v>
      </c>
      <c r="F6" s="7">
        <f>VLOOKUP($A6,[6]HISTOJUIN24!$A$6:$AV$48,7,0)</f>
        <v>0</v>
      </c>
      <c r="G6" s="7" t="str">
        <f>VLOOKUP($A6,[6]HISTOJUIN24!$A$6:$AV$49,8,0)</f>
        <v>BANQUE</v>
      </c>
      <c r="H6" s="7">
        <f>VLOOKUP($A6,[6]HISTOJUIN24!$A$6:$AV$49,35,0)</f>
        <v>0</v>
      </c>
      <c r="I6" s="7">
        <f>VLOOKUP($A6,[6]HISTOJUIN24!$A$6:$AV$49,38,0)</f>
        <v>0</v>
      </c>
      <c r="J6" s="7">
        <f>IF(H6=0,0,VLOOKUP($A6,[6]HISTOJUIN24!$A$6:$AV$49,42,0))</f>
        <v>0</v>
      </c>
      <c r="K6" s="7">
        <f>VLOOKUP($A6,[6]HISTOJUIN24!$A$6:$AV$49,41,0)</f>
        <v>0</v>
      </c>
      <c r="L6" s="7">
        <f>TONTMAI24!H6+TONTMAI24!I6</f>
        <v>0</v>
      </c>
      <c r="M6" s="7">
        <f>VLOOKUP($A6,[6]HISTOJUIN24!$A$6:$AV$49,16,0)</f>
        <v>0</v>
      </c>
      <c r="N6" s="7" t="str">
        <f>IF(M6&lt;&gt;0,VLOOKUP($A6,[6]HISTOJUIN24!$A$6:$AV$49,8,0),"ECHEC")</f>
        <v>ECHEC</v>
      </c>
      <c r="O6" s="7">
        <f>IF(R6=0,0,VLOOKUP($A6,[6]HISTOJUIN24!$A$6:$AV$49,32,0))</f>
        <v>0</v>
      </c>
      <c r="P6" s="7">
        <f>VLOOKUP($A6,[6]HISTOJUIN24!$A$6:$AV$49,33,0)</f>
        <v>0</v>
      </c>
      <c r="Q6" s="7">
        <f t="shared" ref="Q6:Q37" si="1">IF(R6=0,0,($C$3-R6))</f>
        <v>0</v>
      </c>
      <c r="R6" s="7">
        <f>VLOOKUP($A6,[6]HISTOJUIN24!$A$6:$AV$49,29,0)</f>
        <v>0</v>
      </c>
    </row>
    <row r="7" spans="1:19" x14ac:dyDescent="0.35">
      <c r="A7" s="1" t="s">
        <v>9</v>
      </c>
      <c r="B7" s="7">
        <f>IF(D7=0,0,VLOOKUP($A7,[6]HISTOJUIN24!$A$6:$BP$44,10,0))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D7+VLOOKUP($A7,[6]HISTOJUIN24!$A$7:$AU$42,45,0)+F7</f>
        <v>50000</v>
      </c>
      <c r="F7" s="7">
        <f>VLOOKUP($A7,[6]HISTOJUIN24!$A$6:$AV$48,7,0)</f>
        <v>0</v>
      </c>
      <c r="G7" s="7" t="str">
        <f>VLOOKUP($A7,[6]HISTOJUIN24!$A$6:$AV$49,8,0)</f>
        <v>BANQUE</v>
      </c>
      <c r="H7" s="7">
        <f>VLOOKUP($A7,[6]HISTOJUIN24!$A$6:$AV$49,35,0)</f>
        <v>0</v>
      </c>
      <c r="I7" s="7">
        <f>VLOOKUP($A7,[6]HISTOJUIN24!$A$6:$AV$49,38,0)</f>
        <v>0</v>
      </c>
      <c r="J7" s="7">
        <f>IF(H7=0,0,VLOOKUP($A7,[6]HISTOJUIN24!$A$6:$AV$49,42,0))</f>
        <v>0</v>
      </c>
      <c r="K7" s="7">
        <f>VLOOKUP($A7,[6]HISTOJUIN24!$A$6:$AV$49,41,0)</f>
        <v>0</v>
      </c>
      <c r="L7" s="7">
        <f>TONTMAI24!H7+TONTMAI24!I7</f>
        <v>0</v>
      </c>
      <c r="M7" s="7">
        <f>VLOOKUP($A7,[6]HISTOJUIN24!$A$6:$AV$49,16,0)</f>
        <v>0</v>
      </c>
      <c r="N7" s="7" t="str">
        <f>IF(M7&lt;&gt;0,VLOOKUP($A7,[6]HISTOJUIN24!$A$6:$AV$49,8,0),"ECHEC")</f>
        <v>ECHEC</v>
      </c>
      <c r="O7" s="7">
        <f>IF(R7=0,0,VLOOKUP($A7,[6]HISTOJUIN24!$A$6:$AV$49,32,0))</f>
        <v>0</v>
      </c>
      <c r="P7" s="7">
        <f>VLOOKUP($A7,[6]HISTOJUIN24!$A$6:$AV$49,33,0)</f>
        <v>0</v>
      </c>
      <c r="Q7" s="7">
        <f t="shared" si="1"/>
        <v>0</v>
      </c>
      <c r="R7" s="7">
        <f>VLOOKUP($A7,[6]HISTOJUIN24!$A$6:$AV$49,29,0)</f>
        <v>0</v>
      </c>
    </row>
    <row r="8" spans="1:19" x14ac:dyDescent="0.35">
      <c r="A8" s="1" t="s">
        <v>10</v>
      </c>
      <c r="B8" s="7">
        <f>IF(D8=0,0,VLOOKUP($A8,[6]HISTOJUIN24!$A$6:$BP$44,10,0))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D8+VLOOKUP($A8,[6]HISTOJUIN24!$A$7:$AU$42,45,0)+F8</f>
        <v>50000</v>
      </c>
      <c r="F8" s="7">
        <f>VLOOKUP($A8,[6]HISTOJUIN24!$A$6:$AV$48,7,0)</f>
        <v>0</v>
      </c>
      <c r="G8" s="7" t="str">
        <f>VLOOKUP($A8,[6]HISTOJUIN24!$A$6:$AV$49,8,0)</f>
        <v>BANQUE</v>
      </c>
      <c r="H8" s="7">
        <f>VLOOKUP($A8,[6]HISTOJUIN24!$A$6:$AV$49,35,0)</f>
        <v>0</v>
      </c>
      <c r="I8" s="7">
        <f>VLOOKUP($A8,[6]HISTOJUIN24!$A$6:$AV$49,38,0)</f>
        <v>0</v>
      </c>
      <c r="J8" s="7">
        <f>IF(H8=0,0,VLOOKUP($A8,[6]HISTOJUIN24!$A$6:$AV$49,42,0))</f>
        <v>0</v>
      </c>
      <c r="K8" s="7">
        <f>VLOOKUP($A8,[6]HISTOJUIN24!$A$6:$AV$49,41,0)</f>
        <v>0</v>
      </c>
      <c r="L8" s="7">
        <f>TONTMAI24!H8+TONTMAI24!I8</f>
        <v>0</v>
      </c>
      <c r="M8" s="7">
        <f>VLOOKUP($A8,[6]HISTOJUIN24!$A$6:$AV$49,16,0)</f>
        <v>0</v>
      </c>
      <c r="N8" s="7" t="str">
        <f>IF(M8&lt;&gt;0,VLOOKUP($A8,[6]HISTOJUIN24!$A$6:$AV$49,8,0),"ECHEC")</f>
        <v>ECHEC</v>
      </c>
      <c r="O8" s="7">
        <f>IF(R8=0,0,VLOOKUP($A8,[6]HISTOJUIN24!$A$6:$AV$49,32,0))</f>
        <v>0</v>
      </c>
      <c r="P8" s="7">
        <f>VLOOKUP($A8,[6]HISTOJUIN24!$A$6:$AV$49,33,0)</f>
        <v>0</v>
      </c>
      <c r="Q8" s="7">
        <f t="shared" si="1"/>
        <v>0</v>
      </c>
      <c r="R8" s="7">
        <f>VLOOKUP($A8,[6]HISTOJUIN24!$A$6:$AV$49,29,0)</f>
        <v>0</v>
      </c>
    </row>
    <row r="9" spans="1:19" x14ac:dyDescent="0.35">
      <c r="A9" s="1" t="s">
        <v>52</v>
      </c>
      <c r="B9" s="7">
        <f>IF(D9=0,0,VLOOKUP($A9,[6]HISTOJUIN24!$A$6:$BP$44,10,0))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D9+VLOOKUP($A9,[6]HISTOJUIN24!$A$7:$AU$42,45,0)+F9</f>
        <v>53000</v>
      </c>
      <c r="F9" s="7">
        <f>VLOOKUP($A9,[6]HISTOJUIN24!$A$6:$AV$48,7,0)</f>
        <v>3000</v>
      </c>
      <c r="G9" s="7" t="str">
        <f>VLOOKUP($A9,[6]HISTOJUIN24!$A$6:$AV$49,8,0)</f>
        <v>ESPECES</v>
      </c>
      <c r="H9" s="7">
        <f>VLOOKUP($A9,[6]HISTOJUIN24!$A$6:$AV$49,35,0)</f>
        <v>30000</v>
      </c>
      <c r="I9" s="7">
        <f>VLOOKUP($A9,[6]HISTOJUIN24!$A$6:$AV$49,38,0)</f>
        <v>500</v>
      </c>
      <c r="J9" s="7" t="str">
        <f>IF(H9=0,0,VLOOKUP($A9,[6]HISTOJUIN24!$A$6:$AV$49,42,0))</f>
        <v>BANQUE</v>
      </c>
      <c r="K9" s="7">
        <f>VLOOKUP($A9,[6]HISTOJUIN24!$A$6:$AV$49,41,0)</f>
        <v>0</v>
      </c>
      <c r="L9" s="7">
        <f>TONTMAI24!H9+TONTMAI24!I9</f>
        <v>0</v>
      </c>
      <c r="M9" s="7">
        <f>VLOOKUP($A9,[6]HISTOJUIN24!$A$6:$AV$49,16,0)</f>
        <v>0</v>
      </c>
      <c r="N9" s="7" t="str">
        <f>IF(M9&lt;&gt;0,VLOOKUP($A9,[6]HISTOJUIN24!$A$6:$AV$49,8,0),"ECHEC")</f>
        <v>ECHEC</v>
      </c>
      <c r="O9" s="7">
        <f>IF(R9=0,0,VLOOKUP($A9,[6]HISTOJUIN24!$A$6:$AV$49,32,0))</f>
        <v>0</v>
      </c>
      <c r="P9" s="7">
        <f>VLOOKUP($A9,[6]HISTOJUIN24!$A$6:$AV$49,33,0)</f>
        <v>0</v>
      </c>
      <c r="Q9" s="7">
        <f t="shared" si="1"/>
        <v>0</v>
      </c>
      <c r="R9" s="7">
        <f>VLOOKUP($A9,[6]HISTOJUIN24!$A$6:$AV$49,29,0)</f>
        <v>0</v>
      </c>
    </row>
    <row r="10" spans="1:19" x14ac:dyDescent="0.35">
      <c r="A10" s="1" t="s">
        <v>11</v>
      </c>
      <c r="B10" s="7">
        <f>IF(D10=0,0,VLOOKUP($A10,[6]HISTOJUIN24!$A$6:$BP$44,10,0))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D10+VLOOKUP($A10,[6]HISTOJUIN24!$A$7:$AU$42,45,0)+F10</f>
        <v>55000</v>
      </c>
      <c r="F10" s="7">
        <f>VLOOKUP($A10,[6]HISTOJUIN24!$A$6:$AV$48,7,0)</f>
        <v>0</v>
      </c>
      <c r="G10" s="7" t="str">
        <f>VLOOKUP($A10,[6]HISTOJUIN24!$A$6:$AV$49,8,0)</f>
        <v>BANQUE</v>
      </c>
      <c r="H10" s="7">
        <f>VLOOKUP($A10,[6]HISTOJUIN24!$A$6:$AV$49,35,0)</f>
        <v>30000</v>
      </c>
      <c r="I10" s="7">
        <f>VLOOKUP($A10,[6]HISTOJUIN24!$A$6:$AV$49,38,0)</f>
        <v>500</v>
      </c>
      <c r="J10" s="7" t="str">
        <f>IF(H10=0,0,VLOOKUP($A10,[6]HISTOJUIN24!$A$6:$AV$49,42,0))</f>
        <v>BANQUE</v>
      </c>
      <c r="K10" s="7">
        <f>VLOOKUP($A10,[6]HISTOJUIN24!$A$6:$AV$49,41,0)</f>
        <v>0</v>
      </c>
      <c r="L10" s="7">
        <f>TONTMAI24!H10+TONTMAI24!I10</f>
        <v>0</v>
      </c>
      <c r="M10" s="7">
        <f>VLOOKUP($A10,[6]HISTOJUIN24!$A$6:$AV$49,16,0)</f>
        <v>0</v>
      </c>
      <c r="N10" s="7" t="str">
        <f>IF(M10&lt;&gt;0,VLOOKUP($A10,[6]HISTOJUIN24!$A$6:$AV$49,8,0),"ECHEC")</f>
        <v>ECHEC</v>
      </c>
      <c r="O10" s="7">
        <f>IF(R10=0,0,VLOOKUP($A10,[6]HISTOJUIN24!$A$6:$AV$49,32,0))</f>
        <v>0</v>
      </c>
      <c r="P10" s="7">
        <f>VLOOKUP($A10,[6]HISTOJUIN24!$A$6:$AV$49,33,0)</f>
        <v>0</v>
      </c>
      <c r="Q10" s="7">
        <f t="shared" si="1"/>
        <v>0</v>
      </c>
      <c r="R10" s="7">
        <f>VLOOKUP($A10,[6]HISTOJUIN24!$A$6:$AV$49,29,0)</f>
        <v>0</v>
      </c>
    </row>
    <row r="11" spans="1:19" x14ac:dyDescent="0.35">
      <c r="A11" s="1" t="s">
        <v>12</v>
      </c>
      <c r="B11" s="7">
        <f>IF(D11=0,0,VLOOKUP($A11,[6]HISTOJUIN24!$A$6:$BP$44,10,0))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D11+VLOOKUP($A11,[6]HISTOJUIN24!$A$7:$AU$42,45,0)+F11</f>
        <v>59000</v>
      </c>
      <c r="F11" s="7">
        <f>VLOOKUP($A11,[6]HISTOJUIN24!$A$6:$AV$48,7,0)</f>
        <v>0</v>
      </c>
      <c r="G11" s="7" t="str">
        <f>VLOOKUP($A11,[6]HISTOJUIN24!$A$6:$AV$49,8,0)</f>
        <v>BANQUE</v>
      </c>
      <c r="H11" s="7">
        <f>VLOOKUP($A11,[6]HISTOJUIN24!$A$6:$AV$49,35,0)</f>
        <v>0</v>
      </c>
      <c r="I11" s="7">
        <f>VLOOKUP($A11,[6]HISTOJUIN24!$A$6:$AV$49,38,0)</f>
        <v>0</v>
      </c>
      <c r="J11" s="7">
        <f>IF(H11=0,0,VLOOKUP($A11,[6]HISTOJUIN24!$A$6:$AV$49,42,0))</f>
        <v>0</v>
      </c>
      <c r="K11" s="7">
        <f>VLOOKUP($A11,[6]HISTOJUIN24!$A$6:$AV$49,41,0)</f>
        <v>0</v>
      </c>
      <c r="L11" s="7">
        <f>TONTMAI24!H11+TONTMAI24!I11</f>
        <v>0</v>
      </c>
      <c r="M11" s="7">
        <f>VLOOKUP($A11,[6]HISTOJUIN24!$A$6:$AV$49,16,0)</f>
        <v>0</v>
      </c>
      <c r="N11" s="7" t="str">
        <f>IF(M11&lt;&gt;0,VLOOKUP($A11,[6]HISTOJUIN24!$A$6:$AV$49,8,0),"ECHEC")</f>
        <v>ECHEC</v>
      </c>
      <c r="O11" s="7">
        <f>IF(R11=0,0,VLOOKUP($A11,[6]HISTOJUIN24!$A$6:$AV$49,32,0))</f>
        <v>0</v>
      </c>
      <c r="P11" s="7">
        <f>VLOOKUP($A11,[6]HISTOJUIN24!$A$6:$AV$49,33,0)</f>
        <v>0</v>
      </c>
      <c r="Q11" s="7">
        <f t="shared" si="1"/>
        <v>0</v>
      </c>
      <c r="R11" s="7">
        <f>VLOOKUP($A11,[6]HISTOJUIN24!$A$6:$AV$49,29,0)</f>
        <v>0</v>
      </c>
    </row>
    <row r="12" spans="1:19" x14ac:dyDescent="0.35">
      <c r="A12" s="1" t="s">
        <v>45</v>
      </c>
      <c r="B12" s="7">
        <f>IF(D12=0,0,VLOOKUP($A12,[6]HISTOJUIN24!$A$6:$BP$44,10,0))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D12+VLOOKUP($A12,[6]HISTOJUIN24!$A$7:$AU$42,45,0)+F12</f>
        <v>50000</v>
      </c>
      <c r="F12" s="7">
        <f>VLOOKUP($A12,[6]HISTOJUIN24!$A$6:$AV$48,7,0)</f>
        <v>0</v>
      </c>
      <c r="G12" s="7" t="str">
        <f>VLOOKUP($A12,[6]HISTOJUIN24!$A$6:$AV$49,8,0)</f>
        <v>BANQUE</v>
      </c>
      <c r="H12" s="7">
        <f>VLOOKUP($A12,[6]HISTOJUIN24!$A$6:$AV$49,35,0)</f>
        <v>0</v>
      </c>
      <c r="I12" s="7">
        <f>VLOOKUP($A12,[6]HISTOJUIN24!$A$6:$AV$49,38,0)</f>
        <v>0</v>
      </c>
      <c r="J12" s="7">
        <f>IF(H12=0,0,VLOOKUP($A12,[6]HISTOJUIN24!$A$6:$AV$49,42,0))</f>
        <v>0</v>
      </c>
      <c r="K12" s="7">
        <f>VLOOKUP($A12,[6]HISTOJUIN24!$A$6:$AV$49,41,0)</f>
        <v>0</v>
      </c>
      <c r="L12" s="7">
        <f>TONTMAI24!H12+TONTMAI24!I12</f>
        <v>0</v>
      </c>
      <c r="M12" s="7">
        <f>VLOOKUP($A12,[6]HISTOJUIN24!$A$6:$AV$49,16,0)</f>
        <v>0</v>
      </c>
      <c r="N12" s="7" t="str">
        <f>IF(M12&lt;&gt;0,VLOOKUP($A12,[6]HISTOJUIN24!$A$6:$AV$49,8,0),"ECHEC")</f>
        <v>ECHEC</v>
      </c>
      <c r="O12" s="7">
        <f>IF(R12=0,0,VLOOKUP($A12,[6]HISTOJUIN24!$A$6:$AV$49,32,0))</f>
        <v>0</v>
      </c>
      <c r="P12" s="7">
        <f>VLOOKUP($A12,[6]HISTOJUIN24!$A$6:$AV$49,33,0)</f>
        <v>0</v>
      </c>
      <c r="Q12" s="7">
        <f t="shared" si="1"/>
        <v>0</v>
      </c>
      <c r="R12" s="7">
        <f>VLOOKUP($A12,[6]HISTOJUIN24!$A$6:$AV$49,29,0)</f>
        <v>0</v>
      </c>
    </row>
    <row r="13" spans="1:19" x14ac:dyDescent="0.35">
      <c r="A13" s="1" t="s">
        <v>13</v>
      </c>
      <c r="B13" s="7">
        <f>IF(D13=0,0,VLOOKUP($A13,[6]HISTOJUIN24!$A$6:$BP$44,10,0))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D13+VLOOKUP($A13,[6]HISTOJUIN24!$A$7:$AU$42,45,0)+F13</f>
        <v>50000</v>
      </c>
      <c r="F13" s="7">
        <f>VLOOKUP($A13,[6]HISTOJUIN24!$A$6:$AV$48,7,0)</f>
        <v>0</v>
      </c>
      <c r="G13" s="7" t="str">
        <f>VLOOKUP($A13,[6]HISTOJUIN24!$A$6:$AV$49,8,0)</f>
        <v>BANQUE</v>
      </c>
      <c r="H13" s="7">
        <f>VLOOKUP($A13,[6]HISTOJUIN24!$A$6:$AV$49,35,0)</f>
        <v>0</v>
      </c>
      <c r="I13" s="7">
        <f>VLOOKUP($A13,[6]HISTOJUIN24!$A$6:$AV$49,38,0)</f>
        <v>0</v>
      </c>
      <c r="J13" s="7">
        <f>IF(H13=0,0,VLOOKUP($A13,[6]HISTOJUIN24!$A$6:$AV$49,42,0))</f>
        <v>0</v>
      </c>
      <c r="K13" s="7">
        <f>VLOOKUP($A13,[6]HISTOJUIN24!$A$6:$AV$49,41,0)</f>
        <v>0</v>
      </c>
      <c r="L13" s="7">
        <f>TONTMAI24!H13+TONTMAI24!I13</f>
        <v>0</v>
      </c>
      <c r="M13" s="7">
        <f>VLOOKUP($A13,[6]HISTOJUIN24!$A$6:$AV$49,16,0)</f>
        <v>0</v>
      </c>
      <c r="N13" s="7" t="str">
        <f>IF(M13&lt;&gt;0,VLOOKUP($A13,[6]HISTOJUIN24!$A$6:$AV$49,8,0),"ECHEC")</f>
        <v>ECHEC</v>
      </c>
      <c r="O13" s="7">
        <f>IF(R13=0,0,VLOOKUP($A13,[6]HISTOJUIN24!$A$6:$AV$49,32,0))</f>
        <v>0</v>
      </c>
      <c r="P13" s="7">
        <f>VLOOKUP($A13,[6]HISTOJUIN24!$A$6:$AV$49,33,0)</f>
        <v>0</v>
      </c>
      <c r="Q13" s="7">
        <f t="shared" si="1"/>
        <v>0</v>
      </c>
      <c r="R13" s="7">
        <f>VLOOKUP($A13,[6]HISTOJUIN24!$A$6:$AV$49,29,0)</f>
        <v>0</v>
      </c>
    </row>
    <row r="14" spans="1:19" x14ac:dyDescent="0.35">
      <c r="A14" s="1" t="s">
        <v>14</v>
      </c>
      <c r="B14" s="7">
        <f>IF(D14=0,0,VLOOKUP($A14,[6]HISTOJUIN24!$A$6:$BP$44,10,0))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D14+VLOOKUP($A14,[6]HISTOJUIN24!$A$7:$AU$42,45,0)+F14</f>
        <v>50000</v>
      </c>
      <c r="F14" s="7">
        <f>VLOOKUP($A14,[6]HISTOJUIN24!$A$6:$AV$48,7,0)</f>
        <v>0</v>
      </c>
      <c r="G14" s="7" t="str">
        <f>VLOOKUP($A14,[6]HISTOJUIN24!$A$6:$AV$49,8,0)</f>
        <v>BANQUE</v>
      </c>
      <c r="H14" s="7">
        <f>VLOOKUP($A14,[6]HISTOJUIN24!$A$6:$AV$49,35,0)</f>
        <v>0</v>
      </c>
      <c r="I14" s="7">
        <f>VLOOKUP($A14,[6]HISTOJUIN24!$A$6:$AV$49,38,0)</f>
        <v>0</v>
      </c>
      <c r="J14" s="7">
        <f>IF(H14=0,0,VLOOKUP($A14,[6]HISTOJUIN24!$A$6:$AV$49,42,0))</f>
        <v>0</v>
      </c>
      <c r="K14" s="7">
        <f>VLOOKUP($A14,[6]HISTOJUIN24!$A$6:$AV$49,41,0)</f>
        <v>0</v>
      </c>
      <c r="L14" s="7">
        <f>TONTMAI24!H14+TONTMAI24!I14</f>
        <v>0</v>
      </c>
      <c r="M14" s="7">
        <f>VLOOKUP($A14,[6]HISTOJUIN24!$A$6:$AV$49,16,0)</f>
        <v>0</v>
      </c>
      <c r="N14" s="7" t="str">
        <f>IF(M14&lt;&gt;0,VLOOKUP($A14,[6]HISTOJUIN24!$A$6:$AV$49,8,0),"ECHEC")</f>
        <v>ECHEC</v>
      </c>
      <c r="O14" s="7">
        <f>IF(R14=0,0,VLOOKUP($A14,[6]HISTOJUIN24!$A$6:$AV$49,32,0))</f>
        <v>0</v>
      </c>
      <c r="P14" s="7">
        <f>VLOOKUP($A14,[6]HISTOJUIN24!$A$6:$AV$49,33,0)</f>
        <v>0</v>
      </c>
      <c r="Q14" s="7">
        <f t="shared" si="1"/>
        <v>0</v>
      </c>
      <c r="R14" s="7">
        <f>VLOOKUP($A14,[6]HISTOJUIN24!$A$6:$AV$49,29,0)</f>
        <v>0</v>
      </c>
      <c r="S14" s="1"/>
    </row>
    <row r="15" spans="1:19" x14ac:dyDescent="0.35">
      <c r="A15" s="1" t="s">
        <v>15</v>
      </c>
      <c r="B15" s="7">
        <f>IF(D15=0,0,VLOOKUP($A15,[6]HISTOJUIN24!$A$6:$BP$44,10,0))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D15+VLOOKUP($A15,[6]HISTOJUIN24!$A$7:$AU$42,45,0)+F15</f>
        <v>85000</v>
      </c>
      <c r="F15" s="7">
        <f>VLOOKUP($A15,[6]HISTOJUIN24!$A$6:$AV$48,7,0)</f>
        <v>0</v>
      </c>
      <c r="G15" s="7" t="str">
        <f>VLOOKUP($A15,[6]HISTOJUIN24!$A$6:$AV$49,8,0)</f>
        <v>BANQUE</v>
      </c>
      <c r="H15" s="7">
        <f>VLOOKUP($A15,[6]HISTOJUIN24!$A$6:$AV$49,35,0)</f>
        <v>0</v>
      </c>
      <c r="I15" s="7">
        <f>VLOOKUP($A15,[6]HISTOJUIN24!$A$6:$AV$49,38,0)</f>
        <v>0</v>
      </c>
      <c r="J15" s="7">
        <f>IF(H15=0,0,VLOOKUP($A15,[6]HISTOJUIN24!$A$6:$AV$49,42,0))</f>
        <v>0</v>
      </c>
      <c r="K15" s="7">
        <f>VLOOKUP($A15,[6]HISTOJUIN24!$A$6:$AV$49,41,0)</f>
        <v>0</v>
      </c>
      <c r="L15" s="7">
        <f>TONTMAI24!H15+TONTMAI24!I15</f>
        <v>0</v>
      </c>
      <c r="M15" s="7">
        <f>VLOOKUP($A15,[6]HISTOJUIN24!$A$6:$AV$49,16,0)</f>
        <v>0</v>
      </c>
      <c r="N15" s="7" t="str">
        <f>IF(M15&lt;&gt;0,VLOOKUP($A15,[6]HISTOJUIN24!$A$6:$AV$49,8,0),"ECHEC")</f>
        <v>ECHEC</v>
      </c>
      <c r="O15" s="7">
        <f>IF(R15=0,0,VLOOKUP($A15,[6]HISTOJUIN24!$A$6:$AV$49,32,0))</f>
        <v>0</v>
      </c>
      <c r="P15" s="7">
        <f>VLOOKUP($A15,[6]HISTOJUIN24!$A$6:$AV$49,33,0)</f>
        <v>0</v>
      </c>
      <c r="Q15" s="7">
        <f t="shared" si="1"/>
        <v>0</v>
      </c>
      <c r="R15" s="7">
        <f>VLOOKUP($A15,[6]HISTOJUIN24!$A$6:$AV$49,29,0)</f>
        <v>0</v>
      </c>
      <c r="S15" s="1"/>
    </row>
    <row r="16" spans="1:19" x14ac:dyDescent="0.35">
      <c r="A16" s="1" t="s">
        <v>16</v>
      </c>
      <c r="B16" s="7">
        <f>IF(D16=0,0,VLOOKUP($A16,[6]HISTOJUIN24!$A$6:$BP$44,10,0))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D16+VLOOKUP($A16,[6]HISTOJUIN24!$A$7:$AU$42,45,0)+F16</f>
        <v>50500</v>
      </c>
      <c r="F16" s="7">
        <f>VLOOKUP($A16,[6]HISTOJUIN24!$A$6:$AV$48,7,0)</f>
        <v>0</v>
      </c>
      <c r="G16" s="7" t="str">
        <f>VLOOKUP($A16,[6]HISTOJUIN24!$A$6:$AV$49,8,0)</f>
        <v>BANQUE</v>
      </c>
      <c r="H16" s="7">
        <f>VLOOKUP($A16,[6]HISTOJUIN24!$A$6:$AV$49,35,0)</f>
        <v>0</v>
      </c>
      <c r="I16" s="7">
        <f>VLOOKUP($A16,[6]HISTOJUIN24!$A$6:$AV$49,38,0)</f>
        <v>0</v>
      </c>
      <c r="J16" s="7">
        <f>IF(H16=0,0,VLOOKUP($A16,[6]HISTOJUIN24!$A$6:$AV$49,42,0))</f>
        <v>0</v>
      </c>
      <c r="K16" s="7">
        <f>VLOOKUP($A16,[6]HISTOJUIN24!$A$6:$AV$49,41,0)</f>
        <v>0</v>
      </c>
      <c r="L16" s="7">
        <f>TONTMAI24!H16+TONTMAI24!I16</f>
        <v>50500</v>
      </c>
      <c r="M16" s="7">
        <f>VLOOKUP($A16,[6]HISTOJUIN24!$A$6:$AV$49,16,0)</f>
        <v>50500</v>
      </c>
      <c r="N16" s="7" t="str">
        <f>IF(M16&lt;&gt;0,VLOOKUP($A16,[6]HISTOJUIN24!$A$6:$AV$49,8,0),"ECHEC")</f>
        <v>BANQUE</v>
      </c>
      <c r="O16" s="7">
        <f>IF(R16=0,0,VLOOKUP($A16,[6]HISTOJUIN24!$A$6:$AV$49,32,0))</f>
        <v>0</v>
      </c>
      <c r="P16" s="7">
        <f>VLOOKUP($A16,[6]HISTOJUIN24!$A$6:$AV$49,33,0)</f>
        <v>0</v>
      </c>
      <c r="Q16" s="7">
        <f t="shared" si="1"/>
        <v>0</v>
      </c>
      <c r="R16" s="7">
        <f>VLOOKUP($A16,[6]HISTOJUIN24!$A$6:$AV$49,29,0)</f>
        <v>0</v>
      </c>
      <c r="S16" s="1"/>
    </row>
    <row r="17" spans="1:19" x14ac:dyDescent="0.35">
      <c r="A17" s="1" t="s">
        <v>17</v>
      </c>
      <c r="B17" s="7">
        <f>IF(D17=0,0,VLOOKUP($A17,[6]HISTOJUIN24!$A$6:$BP$44,10,0))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D17+VLOOKUP($A17,[6]HISTOJUIN24!$A$7:$AU$42,45,0)+F17</f>
        <v>60000</v>
      </c>
      <c r="F17" s="7">
        <f>VLOOKUP($A17,[6]HISTOJUIN24!$A$6:$AV$48,7,0)</f>
        <v>0</v>
      </c>
      <c r="G17" s="7" t="str">
        <f>VLOOKUP($A17,[6]HISTOJUIN24!$A$6:$AV$49,8,0)</f>
        <v>BANQUE</v>
      </c>
      <c r="H17" s="7">
        <f>VLOOKUP($A17,[6]HISTOJUIN24!$A$6:$AV$49,35,0)</f>
        <v>0</v>
      </c>
      <c r="I17" s="7">
        <f>VLOOKUP($A17,[6]HISTOJUIN24!$A$6:$AV$49,38,0)</f>
        <v>0</v>
      </c>
      <c r="J17" s="7">
        <f>IF(H17=0,0,VLOOKUP($A17,[6]HISTOJUIN24!$A$6:$AV$49,42,0))</f>
        <v>0</v>
      </c>
      <c r="K17" s="7">
        <f>VLOOKUP($A17,[6]HISTOJUIN24!$A$6:$AV$49,41,0)</f>
        <v>0</v>
      </c>
      <c r="L17" s="7">
        <f>TONTMAI24!H17+TONTMAI24!I17</f>
        <v>0</v>
      </c>
      <c r="M17" s="7">
        <f>VLOOKUP($A17,[6]HISTOJUIN24!$A$6:$AV$49,16,0)</f>
        <v>0</v>
      </c>
      <c r="N17" s="7" t="str">
        <f>IF(M17&lt;&gt;0,VLOOKUP($A17,[6]HISTOJUIN24!$A$6:$AV$49,8,0),"ECHEC")</f>
        <v>ECHEC</v>
      </c>
      <c r="O17" s="7">
        <f>IF(R17=0,0,VLOOKUP($A17,[6]HISTOJUIN24!$A$6:$AV$49,32,0))</f>
        <v>0</v>
      </c>
      <c r="P17" s="7">
        <f>VLOOKUP($A17,[6]HISTOJUIN24!$A$6:$AV$49,33,0)</f>
        <v>0</v>
      </c>
      <c r="Q17" s="7">
        <f t="shared" si="1"/>
        <v>0</v>
      </c>
      <c r="R17" s="7">
        <f>VLOOKUP($A17,[6]HISTOJUIN24!$A$6:$AV$49,29,0)</f>
        <v>0</v>
      </c>
      <c r="S17" s="1"/>
    </row>
    <row r="18" spans="1:19" x14ac:dyDescent="0.35">
      <c r="A18" s="1" t="s">
        <v>96</v>
      </c>
      <c r="B18" s="7">
        <f>IF(D18=0,0,VLOOKUP($A18,[6]HISTOJUIN24!$A$6:$BP$44,10,0))</f>
        <v>1</v>
      </c>
      <c r="C18" s="1" t="str">
        <f>VLOOKUP(A18,[7]LISTADHERENT!A$5:H$60,3,0)</f>
        <v>MASSEUNGOUE DAGOBERT</v>
      </c>
      <c r="D18" s="7">
        <f t="shared" si="0"/>
        <v>25000</v>
      </c>
      <c r="E18" s="7">
        <f>D18+VLOOKUP($A18,[6]HISTOJUIN24!$A$7:$AU$42,45,0)+F18</f>
        <v>50000</v>
      </c>
      <c r="F18" s="7">
        <f>VLOOKUP($A18,[6]HISTOJUIN24!$A$6:$AV$48,7,0)</f>
        <v>0</v>
      </c>
      <c r="G18" s="7" t="str">
        <f>VLOOKUP($A18,[6]HISTOJUIN24!$A$6:$AV$49,8,0)</f>
        <v>BANQUE</v>
      </c>
      <c r="H18" s="7">
        <f>VLOOKUP($A18,[6]HISTOJUIN24!$A$6:$AV$49,35,0)</f>
        <v>0</v>
      </c>
      <c r="I18" s="7">
        <f>VLOOKUP($A18,[6]HISTOJUIN24!$A$6:$AV$49,38,0)</f>
        <v>0</v>
      </c>
      <c r="J18" s="7">
        <f>IF(H18=0,0,VLOOKUP($A18,[6]HISTOJUIN24!$A$6:$AV$49,42,0))</f>
        <v>0</v>
      </c>
      <c r="K18" s="7">
        <f>VLOOKUP($A18,[6]HISTOJUIN24!$A$6:$AV$49,41,0)</f>
        <v>0</v>
      </c>
      <c r="L18" s="7">
        <f>TONTMAI24!H18+TONTMAI24!I18</f>
        <v>0</v>
      </c>
      <c r="M18" s="7">
        <f>VLOOKUP($A18,[6]HISTOJUIN24!$A$6:$AV$49,16,0)</f>
        <v>0</v>
      </c>
      <c r="N18" s="7" t="str">
        <f>IF(M18&lt;&gt;0,VLOOKUP($A18,[6]HISTOJUIN24!$A$6:$AV$49,8,0),"ECHEC")</f>
        <v>ECHEC</v>
      </c>
      <c r="O18" s="7">
        <f>IF(R18=0,0,VLOOKUP($A18,[6]HISTOJUIN24!$A$6:$AV$49,32,0))</f>
        <v>0</v>
      </c>
      <c r="P18" s="7">
        <f>VLOOKUP($A18,[6]HISTOJUIN24!$A$6:$AV$49,33,0)</f>
        <v>0</v>
      </c>
      <c r="Q18" s="7">
        <f t="shared" si="1"/>
        <v>0</v>
      </c>
      <c r="R18" s="7">
        <f>VLOOKUP($A18,[6]HISTOJUIN24!$A$6:$AV$49,29,0)</f>
        <v>0</v>
      </c>
      <c r="S18" s="1"/>
    </row>
    <row r="19" spans="1:19" x14ac:dyDescent="0.35">
      <c r="A19" s="1" t="s">
        <v>44</v>
      </c>
      <c r="B19" s="7">
        <f>IF(D19=0,0,VLOOKUP($A19,[6]HISTOJUIN24!$A$6:$BP$44,10,0))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D19+VLOOKUP($A19,[6]HISTOJUIN24!$A$7:$AU$42,45,0)+F19</f>
        <v>50000</v>
      </c>
      <c r="F19" s="7">
        <f>VLOOKUP($A19,[6]HISTOJUIN24!$A$6:$AV$48,7,0)</f>
        <v>0</v>
      </c>
      <c r="G19" s="7" t="str">
        <f>VLOOKUP($A19,[6]HISTOJUIN24!$A$6:$AV$49,8,0)</f>
        <v>BANQUE</v>
      </c>
      <c r="H19" s="7">
        <f>VLOOKUP($A19,[6]HISTOJUIN24!$A$6:$AV$49,35,0)</f>
        <v>30000</v>
      </c>
      <c r="I19" s="7">
        <f>VLOOKUP($A19,[6]HISTOJUIN24!$A$6:$AV$49,38,0)</f>
        <v>500</v>
      </c>
      <c r="J19" s="7" t="str">
        <f>IF(H19=0,0,VLOOKUP($A19,[6]HISTOJUIN24!$A$6:$AV$49,42,0))</f>
        <v>BANQUE</v>
      </c>
      <c r="K19" s="7">
        <f>VLOOKUP($A19,[6]HISTOJUIN24!$A$6:$AV$49,41,0)</f>
        <v>0</v>
      </c>
      <c r="L19" s="7">
        <f>TONTMAI24!H19+TONTMAI24!I19</f>
        <v>0</v>
      </c>
      <c r="M19" s="7">
        <f>VLOOKUP($A19,[6]HISTOJUIN24!$A$6:$AV$49,16,0)</f>
        <v>0</v>
      </c>
      <c r="N19" s="7" t="str">
        <f>IF(M19&lt;&gt;0,VLOOKUP($A19,[6]HISTOJUIN24!$A$6:$AV$49,8,0),"ECHEC")</f>
        <v>ECHEC</v>
      </c>
      <c r="O19" s="7">
        <f>IF(R19=0,0,VLOOKUP($A19,[6]HISTOJUIN24!$A$6:$AV$49,32,0))</f>
        <v>0</v>
      </c>
      <c r="P19" s="7">
        <f>VLOOKUP($A19,[6]HISTOJUIN24!$A$6:$AV$49,33,0)</f>
        <v>0</v>
      </c>
      <c r="Q19" s="7">
        <f t="shared" si="1"/>
        <v>0</v>
      </c>
      <c r="R19" s="7">
        <f>VLOOKUP($A19,[6]HISTOJUIN24!$A$6:$AV$49,29,0)</f>
        <v>0</v>
      </c>
      <c r="S19" s="1"/>
    </row>
    <row r="20" spans="1:19" x14ac:dyDescent="0.35">
      <c r="A20" s="1" t="s">
        <v>25</v>
      </c>
      <c r="B20" s="7">
        <f>IF(D20=0,0,VLOOKUP($A20,[6]HISTOJUIN24!$A$6:$BP$44,10,0))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D20+VLOOKUP($A20,[6]HISTOJUIN24!$A$7:$AU$42,45,0)+F20</f>
        <v>50000</v>
      </c>
      <c r="F20" s="7">
        <f>VLOOKUP($A20,[6]HISTOJUIN24!$A$6:$AV$48,7,0)</f>
        <v>0</v>
      </c>
      <c r="G20" s="7" t="str">
        <f>VLOOKUP($A20,[6]HISTOJUIN24!$A$6:$AV$49,8,0)</f>
        <v>BANQUE</v>
      </c>
      <c r="H20" s="7">
        <f>VLOOKUP($A20,[6]HISTOJUIN24!$A$6:$AV$49,35,0)</f>
        <v>0</v>
      </c>
      <c r="I20" s="7">
        <f>VLOOKUP($A20,[6]HISTOJUIN24!$A$6:$AV$49,38,0)</f>
        <v>0</v>
      </c>
      <c r="J20" s="7">
        <f>IF(H20=0,0,VLOOKUP($A20,[6]HISTOJUIN24!$A$6:$AV$49,42,0))</f>
        <v>0</v>
      </c>
      <c r="K20" s="7">
        <f>VLOOKUP($A20,[6]HISTOJUIN24!$A$6:$AV$49,41,0)</f>
        <v>0</v>
      </c>
      <c r="L20" s="7">
        <f>TONTMAI24!H20+TONTMAI24!I20</f>
        <v>0</v>
      </c>
      <c r="M20" s="7">
        <f>VLOOKUP($A20,[6]HISTOJUIN24!$A$6:$AV$49,16,0)</f>
        <v>0</v>
      </c>
      <c r="N20" s="7" t="str">
        <f>IF(M20&lt;&gt;0,VLOOKUP($A20,[6]HISTOJUIN24!$A$6:$AV$49,8,0),"ECHEC")</f>
        <v>ECHEC</v>
      </c>
      <c r="O20" s="7">
        <f>IF(R20=0,0,VLOOKUP($A20,[6]HISTOJUIN24!$A$6:$AV$49,32,0))</f>
        <v>0</v>
      </c>
      <c r="P20" s="7">
        <f>VLOOKUP($A20,[6]HISTOJUIN24!$A$6:$AV$49,33,0)</f>
        <v>0</v>
      </c>
      <c r="Q20" s="7">
        <f t="shared" si="1"/>
        <v>0</v>
      </c>
      <c r="R20" s="7">
        <f>VLOOKUP($A20,[6]HISTOJUIN24!$A$6:$AV$49,29,0)</f>
        <v>0</v>
      </c>
      <c r="S20" s="1"/>
    </row>
    <row r="21" spans="1:19" x14ac:dyDescent="0.35">
      <c r="A21" s="1" t="s">
        <v>18</v>
      </c>
      <c r="B21" s="7">
        <f>IF(D21=0,0,VLOOKUP($A21,[6]HISTOJUIN24!$A$6:$BP$44,10,0))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D21+VLOOKUP($A21,[6]HISTOJUIN24!$A$7:$AU$42,45,0)+F21</f>
        <v>53000</v>
      </c>
      <c r="F21" s="7">
        <f>VLOOKUP($A21,[6]HISTOJUIN24!$A$6:$AV$48,7,0)</f>
        <v>3000</v>
      </c>
      <c r="G21" s="7" t="str">
        <f>VLOOKUP($A21,[6]HISTOJUIN24!$A$6:$AV$49,8,0)</f>
        <v>ESPECES</v>
      </c>
      <c r="H21" s="7">
        <f>VLOOKUP($A21,[6]HISTOJUIN24!$A$6:$AV$49,35,0)</f>
        <v>0</v>
      </c>
      <c r="I21" s="7">
        <f>VLOOKUP($A21,[6]HISTOJUIN24!$A$6:$AV$49,38,0)</f>
        <v>0</v>
      </c>
      <c r="J21" s="7">
        <f>IF(H21=0,0,VLOOKUP($A21,[6]HISTOJUIN24!$A$6:$AV$49,42,0))</f>
        <v>0</v>
      </c>
      <c r="K21" s="7">
        <f>VLOOKUP($A21,[6]HISTOJUIN24!$A$6:$AV$49,41,0)</f>
        <v>0</v>
      </c>
      <c r="L21" s="7">
        <f>TONTMAI24!H21+TONTMAI24!I21</f>
        <v>0</v>
      </c>
      <c r="M21" s="7">
        <f>VLOOKUP($A21,[6]HISTOJUIN24!$A$6:$AV$49,16,0)</f>
        <v>0</v>
      </c>
      <c r="N21" s="7" t="str">
        <f>IF(M21&lt;&gt;0,VLOOKUP($A21,[6]HISTOJUIN24!$A$6:$AV$49,8,0),"ECHEC")</f>
        <v>ECHEC</v>
      </c>
      <c r="O21" s="7">
        <f>IF(R21=0,0,VLOOKUP($A21,[6]HISTOJUIN24!$A$6:$AV$49,32,0))</f>
        <v>0</v>
      </c>
      <c r="P21" s="7">
        <f>VLOOKUP($A21,[6]HISTOJUIN24!$A$6:$AV$49,33,0)</f>
        <v>0</v>
      </c>
      <c r="Q21" s="7">
        <f t="shared" si="1"/>
        <v>0</v>
      </c>
      <c r="R21" s="7">
        <f>VLOOKUP($A21,[6]HISTOJUIN24!$A$6:$AV$49,29,0)</f>
        <v>0</v>
      </c>
      <c r="S21" s="1"/>
    </row>
    <row r="22" spans="1:19" x14ac:dyDescent="0.35">
      <c r="A22" s="1" t="s">
        <v>19</v>
      </c>
      <c r="B22" s="7">
        <f>IF(D22=0,0,VLOOKUP($A22,[6]HISTOJUIN24!$A$6:$BP$44,10,0))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D22+VLOOKUP($A22,[6]HISTOJUIN24!$A$7:$AU$42,45,0)+F22</f>
        <v>60000</v>
      </c>
      <c r="F22" s="7">
        <f>VLOOKUP($A22,[6]HISTOJUIN24!$A$6:$AV$48,7,0)</f>
        <v>0</v>
      </c>
      <c r="G22" s="7" t="str">
        <f>VLOOKUP($A22,[6]HISTOJUIN24!$A$6:$AV$49,8,0)</f>
        <v>BANQUE</v>
      </c>
      <c r="H22" s="7">
        <f>VLOOKUP($A22,[6]HISTOJUIN24!$A$6:$AV$49,35,0)</f>
        <v>0</v>
      </c>
      <c r="I22" s="7">
        <f>VLOOKUP($A22,[6]HISTOJUIN24!$A$6:$AV$49,38,0)</f>
        <v>0</v>
      </c>
      <c r="J22" s="7">
        <f>IF(H22=0,0,VLOOKUP($A22,[6]HISTOJUIN24!$A$6:$AV$49,42,0))</f>
        <v>0</v>
      </c>
      <c r="K22" s="7">
        <f>VLOOKUP($A22,[6]HISTOJUIN24!$A$6:$AV$49,41,0)</f>
        <v>0</v>
      </c>
      <c r="L22" s="7">
        <f>TONTMAI24!H22+TONTMAI24!I22</f>
        <v>0</v>
      </c>
      <c r="M22" s="7">
        <f>VLOOKUP($A22,[6]HISTOJUIN24!$A$6:$AV$49,16,0)</f>
        <v>0</v>
      </c>
      <c r="N22" s="7" t="str">
        <f>IF(M22&lt;&gt;0,VLOOKUP($A22,[6]HISTOJUIN24!$A$6:$AV$49,8,0),"ECHEC")</f>
        <v>ECHEC</v>
      </c>
      <c r="O22" s="7" t="str">
        <f>IF(R22=0,0,VLOOKUP($A22,[6]HISTOJUIN24!$A$6:$AV$49,32,0))</f>
        <v>BANQUE</v>
      </c>
      <c r="P22" s="7">
        <f>VLOOKUP($A22,[6]HISTOJUIN24!$A$6:$AV$49,33,0)</f>
        <v>0</v>
      </c>
      <c r="Q22" s="7">
        <f t="shared" si="1"/>
        <v>297000</v>
      </c>
      <c r="R22" s="7">
        <f>VLOOKUP($A22,[6]HISTOJUIN24!$A$6:$AV$49,29,0)</f>
        <v>3000</v>
      </c>
      <c r="S22" s="1"/>
    </row>
    <row r="23" spans="1:19" x14ac:dyDescent="0.35">
      <c r="A23" s="1" t="s">
        <v>20</v>
      </c>
      <c r="B23" s="7">
        <f>IF(D23=0,0,VLOOKUP($A23,[6]HISTOJUIN24!$A$6:$BP$44,10,0))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D23+VLOOKUP($A23,[6]HISTOJUIN24!$A$7:$AU$42,45,0)+F23</f>
        <v>65000</v>
      </c>
      <c r="F23" s="7">
        <f>VLOOKUP($A23,[6]HISTOJUIN24!$A$6:$AV$48,7,0)</f>
        <v>0</v>
      </c>
      <c r="G23" s="7" t="str">
        <f>VLOOKUP($A23,[6]HISTOJUIN24!$A$6:$AV$49,8,0)</f>
        <v>BANQUE</v>
      </c>
      <c r="H23" s="7">
        <f>VLOOKUP($A23,[6]HISTOJUIN24!$A$6:$AV$49,35,0)</f>
        <v>0</v>
      </c>
      <c r="I23" s="7">
        <f>VLOOKUP($A23,[6]HISTOJUIN24!$A$6:$AV$49,38,0)</f>
        <v>0</v>
      </c>
      <c r="J23" s="7">
        <f>IF(H23=0,0,VLOOKUP($A23,[6]HISTOJUIN24!$A$6:$AV$49,42,0))</f>
        <v>0</v>
      </c>
      <c r="K23" s="7">
        <f>VLOOKUP($A23,[6]HISTOJUIN24!$A$6:$AV$49,41,0)</f>
        <v>0</v>
      </c>
      <c r="L23" s="7">
        <f>TONTMAI24!H23+TONTMAI24!I23</f>
        <v>0</v>
      </c>
      <c r="M23" s="7">
        <f>VLOOKUP($A23,[6]HISTOJUIN24!$A$6:$AV$49,16,0)</f>
        <v>0</v>
      </c>
      <c r="N23" s="7" t="str">
        <f>IF(M23&lt;&gt;0,VLOOKUP($A23,[6]HISTOJUIN24!$A$6:$AV$49,8,0),"ECHEC")</f>
        <v>ECHEC</v>
      </c>
      <c r="O23" s="7" t="str">
        <f>IF(R23=0,0,VLOOKUP($A23,[6]HISTOJUIN24!$A$6:$AV$49,32,0))</f>
        <v>BANQUE</v>
      </c>
      <c r="P23" s="7">
        <f>VLOOKUP($A23,[6]HISTOJUIN24!$A$6:$AV$49,33,0)</f>
        <v>0</v>
      </c>
      <c r="Q23" s="7">
        <f t="shared" si="1"/>
        <v>297000</v>
      </c>
      <c r="R23" s="7">
        <f>VLOOKUP($A23,[6]HISTOJUIN24!$A$6:$AV$49,29,0)</f>
        <v>3000</v>
      </c>
      <c r="S23" s="1"/>
    </row>
    <row r="24" spans="1:19" x14ac:dyDescent="0.35">
      <c r="A24" s="1" t="s">
        <v>21</v>
      </c>
      <c r="B24" s="7">
        <f>IF(D24=0,0,VLOOKUP($A24,[6]HISTOJUIN24!$A$6:$BP$44,10,0))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D24+VLOOKUP($A24,[6]HISTOJUIN24!$A$7:$AU$42,45,0)+F24</f>
        <v>55500</v>
      </c>
      <c r="F24" s="7">
        <f>VLOOKUP($A24,[6]HISTOJUIN24!$A$6:$AV$48,7,0)</f>
        <v>0</v>
      </c>
      <c r="G24" s="7" t="str">
        <f>VLOOKUP($A24,[6]HISTOJUIN24!$A$6:$AV$49,8,0)</f>
        <v>BANQUE</v>
      </c>
      <c r="H24" s="7">
        <f>VLOOKUP($A24,[6]HISTOJUIN24!$A$6:$AV$49,35,0)</f>
        <v>60000</v>
      </c>
      <c r="I24" s="7">
        <f>VLOOKUP($A24,[6]HISTOJUIN24!$A$6:$AV$49,38,0)</f>
        <v>1000</v>
      </c>
      <c r="J24" s="7" t="str">
        <f>IF(H24=0,0,VLOOKUP($A24,[6]HISTOJUIN24!$A$6:$AV$49,42,0))</f>
        <v>BANQUE</v>
      </c>
      <c r="K24" s="7">
        <f>VLOOKUP($A24,[6]HISTOJUIN24!$A$6:$AV$49,41,0)</f>
        <v>0</v>
      </c>
      <c r="L24" s="7">
        <f>TONTMAI24!H24+TONTMAI24!I24</f>
        <v>0</v>
      </c>
      <c r="M24" s="7">
        <f>VLOOKUP($A24,[6]HISTOJUIN24!$A$6:$AV$49,16,0)</f>
        <v>0</v>
      </c>
      <c r="N24" s="7" t="str">
        <f>IF(M24&lt;&gt;0,VLOOKUP($A24,[6]HISTOJUIN24!$A$6:$AV$49,8,0),"ECHEC")</f>
        <v>ECHEC</v>
      </c>
      <c r="O24" s="7">
        <f>IF(R24=0,0,VLOOKUP($A24,[6]HISTOJUIN24!$A$6:$AV$49,32,0))</f>
        <v>0</v>
      </c>
      <c r="P24" s="7">
        <f>VLOOKUP($A24,[6]HISTOJUIN24!$A$6:$AV$49,33,0)</f>
        <v>0</v>
      </c>
      <c r="Q24" s="7">
        <f t="shared" si="1"/>
        <v>0</v>
      </c>
      <c r="R24" s="7">
        <f>VLOOKUP($A24,[6]HISTOJUIN24!$A$6:$AV$49,29,0)</f>
        <v>0</v>
      </c>
      <c r="S24" s="1"/>
    </row>
    <row r="25" spans="1:19" x14ac:dyDescent="0.35">
      <c r="A25" s="1" t="s">
        <v>22</v>
      </c>
      <c r="B25" s="7">
        <f>IF(D25=0,0,VLOOKUP($A25,[6]HISTOJUIN24!$A$6:$BP$44,10,0))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D25+VLOOKUP($A25,[6]HISTOJUIN24!$A$7:$AU$42,45,0)+F25</f>
        <v>50500</v>
      </c>
      <c r="F25" s="7">
        <f>VLOOKUP($A25,[6]HISTOJUIN24!$A$6:$AV$48,7,0)</f>
        <v>0</v>
      </c>
      <c r="G25" s="7" t="str">
        <f>VLOOKUP($A25,[6]HISTOJUIN24!$A$6:$AV$49,8,0)</f>
        <v>BANQUE</v>
      </c>
      <c r="H25" s="7">
        <f>VLOOKUP($A25,[6]HISTOJUIN24!$A$6:$AV$49,35,0)</f>
        <v>23500</v>
      </c>
      <c r="I25" s="7">
        <f>VLOOKUP($A25,[6]HISTOJUIN24!$A$6:$AV$49,38,0)</f>
        <v>500</v>
      </c>
      <c r="J25" s="7" t="str">
        <f>IF(H25=0,0,VLOOKUP($A25,[6]HISTOJUIN24!$A$6:$AV$49,42,0))</f>
        <v>BANQUE</v>
      </c>
      <c r="K25" s="7">
        <f>VLOOKUP($A25,[6]HISTOJUIN24!$A$6:$AV$49,41,0)</f>
        <v>0</v>
      </c>
      <c r="L25" s="7">
        <f>TONTMAI24!H25+TONTMAI24!I25</f>
        <v>50500</v>
      </c>
      <c r="M25" s="7">
        <f>VLOOKUP($A25,[6]HISTOJUIN24!$A$6:$AV$49,16,0)</f>
        <v>50500</v>
      </c>
      <c r="N25" s="7" t="str">
        <f>IF(M25&lt;&gt;0,VLOOKUP($A25,[6]HISTOJUIN24!$A$6:$AV$49,8,0),"ECHEC")</f>
        <v>BANQUE</v>
      </c>
      <c r="O25" s="7">
        <f>IF(R25=0,0,VLOOKUP($A25,[6]HISTOJUIN24!$A$6:$AV$49,32,0))</f>
        <v>0</v>
      </c>
      <c r="P25" s="7">
        <f>VLOOKUP($A25,[6]HISTOJUIN24!$A$6:$AV$49,33,0)</f>
        <v>0</v>
      </c>
      <c r="Q25" s="7">
        <f t="shared" si="1"/>
        <v>0</v>
      </c>
      <c r="R25" s="7">
        <f>VLOOKUP($A25,[6]HISTOJUIN24!$A$6:$AV$49,29,0)</f>
        <v>0</v>
      </c>
      <c r="S25" s="1"/>
    </row>
    <row r="26" spans="1:19" x14ac:dyDescent="0.35">
      <c r="A26" s="1" t="s">
        <v>85</v>
      </c>
      <c r="B26" s="7">
        <f>IF(D26=0,0,VLOOKUP($A26,[6]HISTOJUIN24!$A$6:$BP$44,10,0))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D26+VLOOKUP($A26,[6]HISTOJUIN24!$A$7:$AU$42,45,0)+F26</f>
        <v>50000</v>
      </c>
      <c r="F26" s="7">
        <f>VLOOKUP($A26,[6]HISTOJUIN24!$A$6:$AV$48,7,0)</f>
        <v>0</v>
      </c>
      <c r="G26" s="7" t="str">
        <f>VLOOKUP($A26,[6]HISTOJUIN24!$A$6:$AV$49,8,0)</f>
        <v>BANQUE</v>
      </c>
      <c r="H26" s="7">
        <f>VLOOKUP($A26,[6]HISTOJUIN24!$A$6:$AV$49,35,0)</f>
        <v>0</v>
      </c>
      <c r="I26" s="7">
        <f>VLOOKUP($A26,[6]HISTOJUIN24!$A$6:$AV$49,38,0)</f>
        <v>0</v>
      </c>
      <c r="J26" s="7">
        <f>IF(H26=0,0,VLOOKUP($A26,[6]HISTOJUIN24!$A$6:$AV$49,42,0))</f>
        <v>0</v>
      </c>
      <c r="K26" s="7">
        <f>VLOOKUP($A26,[6]HISTOJUIN24!$A$6:$AV$49,41,0)</f>
        <v>0</v>
      </c>
      <c r="L26" s="7">
        <f>TONTMAI24!H26+TONTMAI24!I26</f>
        <v>0</v>
      </c>
      <c r="M26" s="7">
        <f>VLOOKUP($A26,[6]HISTOJUIN24!$A$6:$AV$49,16,0)</f>
        <v>0</v>
      </c>
      <c r="N26" s="7" t="str">
        <f>IF(M26&lt;&gt;0,VLOOKUP($A26,[6]HISTOJUIN24!$A$6:$AV$49,8,0),"ECHEC")</f>
        <v>ECHEC</v>
      </c>
      <c r="O26" s="7">
        <f>IF(R26=0,0,VLOOKUP($A26,[6]HISTOJUIN24!$A$6:$AV$49,32,0))</f>
        <v>0</v>
      </c>
      <c r="P26" s="7">
        <f>VLOOKUP($A26,[6]HISTOJUIN24!$A$6:$AV$49,33,0)</f>
        <v>0</v>
      </c>
      <c r="Q26" s="7">
        <f t="shared" si="1"/>
        <v>0</v>
      </c>
      <c r="R26" s="7">
        <f>VLOOKUP($A26,[6]HISTOJUIN24!$A$6:$AV$49,29,0)</f>
        <v>0</v>
      </c>
    </row>
    <row r="27" spans="1:19" x14ac:dyDescent="0.35">
      <c r="A27" s="1" t="s">
        <v>23</v>
      </c>
      <c r="B27" s="7">
        <f>IF(D27=0,0,VLOOKUP($A27,[6]HISTOJUIN24!$A$6:$BP$44,10,0))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D27+VLOOKUP($A27,[6]HISTOJUIN24!$A$7:$AU$42,45,0)+F27</f>
        <v>50000</v>
      </c>
      <c r="F27" s="7">
        <f>VLOOKUP($A27,[6]HISTOJUIN24!$A$6:$AV$48,7,0)</f>
        <v>0</v>
      </c>
      <c r="G27" s="7" t="str">
        <f>VLOOKUP($A27,[6]HISTOJUIN24!$A$6:$AV$49,8,0)</f>
        <v>BANQUE</v>
      </c>
      <c r="H27" s="7">
        <f>VLOOKUP($A27,[6]HISTOJUIN24!$A$6:$AV$49,35,0)</f>
        <v>0</v>
      </c>
      <c r="I27" s="7">
        <f>VLOOKUP($A27,[6]HISTOJUIN24!$A$6:$AV$49,38,0)</f>
        <v>0</v>
      </c>
      <c r="J27" s="7">
        <f>IF(H27=0,0,VLOOKUP($A27,[6]HISTOJUIN24!$A$6:$AV$49,42,0))</f>
        <v>0</v>
      </c>
      <c r="K27" s="7">
        <f>VLOOKUP($A27,[6]HISTOJUIN24!$A$6:$AV$49,41,0)</f>
        <v>0</v>
      </c>
      <c r="L27" s="7">
        <f>TONTMAI24!H27+TONTMAI24!I27</f>
        <v>0</v>
      </c>
      <c r="M27" s="7">
        <f>VLOOKUP($A27,[6]HISTOJUIN24!$A$6:$AV$49,16,0)</f>
        <v>0</v>
      </c>
      <c r="N27" s="7" t="str">
        <f>IF(M27&lt;&gt;0,VLOOKUP($A27,[6]HISTOJUIN24!$A$6:$AV$49,8,0),"ECHEC")</f>
        <v>ECHEC</v>
      </c>
      <c r="O27" s="7">
        <f>IF(R27=0,0,VLOOKUP($A27,[6]HISTOJUIN24!$A$6:$AV$49,32,0))</f>
        <v>0</v>
      </c>
      <c r="P27" s="7">
        <f>VLOOKUP($A27,[6]HISTOJUIN24!$A$6:$AV$49,33,0)</f>
        <v>0</v>
      </c>
      <c r="Q27" s="7">
        <f t="shared" si="1"/>
        <v>0</v>
      </c>
      <c r="R27" s="7">
        <f>VLOOKUP($A27,[6]HISTOJUIN24!$A$6:$AV$49,29,0)</f>
        <v>0</v>
      </c>
    </row>
    <row r="28" spans="1:19" x14ac:dyDescent="0.35">
      <c r="A28" s="1" t="s">
        <v>86</v>
      </c>
      <c r="B28" s="7">
        <f>IF(D28=0,0,VLOOKUP($A28,[6]HISTOJUIN24!$A$6:$BP$44,10,0))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D28+VLOOKUP($A28,[6]HISTOJUIN24!$A$7:$AU$42,45,0)+F28</f>
        <v>50000</v>
      </c>
      <c r="F28" s="7">
        <f>VLOOKUP($A28,[6]HISTOJUIN24!$A$6:$AV$48,7,0)</f>
        <v>0</v>
      </c>
      <c r="G28" s="7" t="str">
        <f>VLOOKUP($A28,[6]HISTOJUIN24!$A$6:$AV$49,8,0)</f>
        <v>BANQUE</v>
      </c>
      <c r="H28" s="7">
        <f>VLOOKUP($A28,[6]HISTOJUIN24!$A$6:$AV$49,35,0)</f>
        <v>0</v>
      </c>
      <c r="I28" s="7">
        <f>VLOOKUP($A28,[6]HISTOJUIN24!$A$6:$AV$49,38,0)</f>
        <v>0</v>
      </c>
      <c r="J28" s="7">
        <f>IF(H28=0,0,VLOOKUP($A28,[6]HISTOJUIN24!$A$6:$AV$49,42,0))</f>
        <v>0</v>
      </c>
      <c r="K28" s="7">
        <f>VLOOKUP($A28,[6]HISTOJUIN24!$A$6:$AV$49,41,0)</f>
        <v>0</v>
      </c>
      <c r="L28" s="7">
        <f>TONTMAI24!H28+TONTMAI24!I28</f>
        <v>0</v>
      </c>
      <c r="M28" s="7">
        <f>VLOOKUP($A28,[6]HISTOJUIN24!$A$6:$AV$49,16,0)</f>
        <v>0</v>
      </c>
      <c r="N28" s="7" t="str">
        <f>IF(M28&lt;&gt;0,VLOOKUP($A28,[6]HISTOJUIN24!$A$6:$AV$49,8,0),"ECHEC")</f>
        <v>ECHEC</v>
      </c>
      <c r="O28" s="7">
        <f>IF(R28=0,0,VLOOKUP($A28,[6]HISTOJUIN24!$A$6:$AV$49,32,0))</f>
        <v>0</v>
      </c>
      <c r="P28" s="7">
        <f>VLOOKUP($A28,[6]HISTOJUIN24!$A$6:$AV$49,33,0)</f>
        <v>0</v>
      </c>
      <c r="Q28" s="7">
        <f t="shared" si="1"/>
        <v>0</v>
      </c>
      <c r="R28" s="7">
        <f>VLOOKUP($A28,[6]HISTOJUIN24!$A$6:$AV$49,29,0)</f>
        <v>0</v>
      </c>
    </row>
    <row r="29" spans="1:19" x14ac:dyDescent="0.35">
      <c r="A29" s="1" t="s">
        <v>46</v>
      </c>
      <c r="B29" s="7">
        <f>IF(D29=0,0,VLOOKUP($A29,[6]HISTOJUIN24!$A$6:$BP$44,10,0))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D29+VLOOKUP($A29,[6]HISTOJUIN24!$A$7:$AU$42,45,0)+F29</f>
        <v>50000</v>
      </c>
      <c r="F29" s="7">
        <f>VLOOKUP($A29,[6]HISTOJUIN24!$A$6:$AV$48,7,0)</f>
        <v>0</v>
      </c>
      <c r="G29" s="7" t="str">
        <f>VLOOKUP($A29,[6]HISTOJUIN24!$A$6:$AV$49,8,0)</f>
        <v>BANQUE</v>
      </c>
      <c r="H29" s="7">
        <f>VLOOKUP($A29,[6]HISTOJUIN24!$A$6:$AV$49,35,0)</f>
        <v>0</v>
      </c>
      <c r="I29" s="7">
        <f>VLOOKUP($A29,[6]HISTOJUIN24!$A$6:$AV$49,38,0)</f>
        <v>0</v>
      </c>
      <c r="J29" s="7">
        <f>IF(H29=0,0,VLOOKUP($A29,[6]HISTOJUIN24!$A$6:$AV$49,42,0))</f>
        <v>0</v>
      </c>
      <c r="K29" s="7">
        <f>VLOOKUP($A29,[6]HISTOJUIN24!$A$6:$AV$49,41,0)</f>
        <v>0</v>
      </c>
      <c r="L29" s="7">
        <f>TONTMAI24!H29+TONTMAI24!I29</f>
        <v>0</v>
      </c>
      <c r="M29" s="7">
        <f>VLOOKUP($A29,[6]HISTOJUIN24!$A$6:$AV$49,16,0)</f>
        <v>0</v>
      </c>
      <c r="N29" s="7" t="str">
        <f>IF(M29&lt;&gt;0,VLOOKUP($A29,[6]HISTOJUIN24!$A$6:$AV$49,8,0),"ECHEC")</f>
        <v>ECHEC</v>
      </c>
      <c r="O29" s="7" t="str">
        <f>IF(R29=0,0,VLOOKUP($A29,[6]HISTOJUIN24!$A$6:$AV$49,32,0))</f>
        <v>BANQUE</v>
      </c>
      <c r="P29" s="7">
        <f>VLOOKUP($A29,[6]HISTOJUIN24!$A$6:$AV$49,33,0)</f>
        <v>0</v>
      </c>
      <c r="Q29" s="7">
        <f t="shared" si="1"/>
        <v>297000</v>
      </c>
      <c r="R29" s="7">
        <f>VLOOKUP($A29,[6]HISTOJUIN24!$A$6:$AV$49,29,0)</f>
        <v>3000</v>
      </c>
    </row>
    <row r="30" spans="1:19" x14ac:dyDescent="0.35">
      <c r="A30" s="1" t="s">
        <v>24</v>
      </c>
      <c r="B30" s="7">
        <f>IF(D30=0,0,VLOOKUP($A30,[6]HISTOJUIN24!$A$6:$BP$44,10,0))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D30+VLOOKUP($A30,[6]HISTOJUIN24!$A$7:$AU$42,45,0)+F30</f>
        <v>50000</v>
      </c>
      <c r="F30" s="7">
        <f>VLOOKUP($A30,[6]HISTOJUIN24!$A$6:$AV$48,7,0)</f>
        <v>0</v>
      </c>
      <c r="G30" s="7" t="str">
        <f>VLOOKUP($A30,[6]HISTOJUIN24!$A$6:$AV$49,8,0)</f>
        <v>BANQUE</v>
      </c>
      <c r="H30" s="7">
        <f>VLOOKUP($A30,[6]HISTOJUIN24!$A$6:$AV$49,35,0)</f>
        <v>0</v>
      </c>
      <c r="I30" s="7">
        <f>VLOOKUP($A30,[6]HISTOJUIN24!$A$6:$AV$49,38,0)</f>
        <v>0</v>
      </c>
      <c r="J30" s="7">
        <f>IF(H30=0,0,VLOOKUP($A30,[6]HISTOJUIN24!$A$6:$AV$49,42,0))</f>
        <v>0</v>
      </c>
      <c r="K30" s="7">
        <f>VLOOKUP($A30,[6]HISTOJUIN24!$A$6:$AV$49,41,0)</f>
        <v>0</v>
      </c>
      <c r="L30" s="7">
        <f>TONTMAI24!H30+TONTMAI24!I30</f>
        <v>0</v>
      </c>
      <c r="M30" s="7">
        <f>VLOOKUP($A30,[6]HISTOJUIN24!$A$6:$AV$49,16,0)</f>
        <v>0</v>
      </c>
      <c r="N30" s="7" t="str">
        <f>IF(M30&lt;&gt;0,VLOOKUP($A30,[6]HISTOJUIN24!$A$6:$AV$49,8,0),"ECHEC")</f>
        <v>ECHEC</v>
      </c>
      <c r="O30" s="7">
        <f>IF(R30=0,0,VLOOKUP($A30,[6]HISTOJUIN24!$A$6:$AV$49,32,0))</f>
        <v>0</v>
      </c>
      <c r="P30" s="7">
        <f>VLOOKUP($A30,[6]HISTOJUIN24!$A$6:$AV$49,33,0)</f>
        <v>0</v>
      </c>
      <c r="Q30" s="7">
        <f t="shared" si="1"/>
        <v>0</v>
      </c>
      <c r="R30" s="7">
        <f>VLOOKUP($A30,[6]HISTOJUIN24!$A$6:$AV$49,29,0)</f>
        <v>0</v>
      </c>
    </row>
    <row r="31" spans="1:19" x14ac:dyDescent="0.35">
      <c r="A31" s="1" t="s">
        <v>26</v>
      </c>
      <c r="B31" s="7">
        <f>IF(D31=0,0,VLOOKUP($A31,[6]HISTOJUIN24!$A$6:$BP$44,10,0))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D31+VLOOKUP($A31,[6]HISTOJUIN24!$A$7:$AU$42,45,0)+F31</f>
        <v>50000</v>
      </c>
      <c r="F31" s="7">
        <f>VLOOKUP($A31,[6]HISTOJUIN24!$A$6:$AV$48,7,0)</f>
        <v>0</v>
      </c>
      <c r="G31" s="7" t="str">
        <f>VLOOKUP($A31,[6]HISTOJUIN24!$A$6:$AV$49,8,0)</f>
        <v>BANQUE</v>
      </c>
      <c r="H31" s="7">
        <f>VLOOKUP($A31,[6]HISTOJUIN24!$A$6:$AV$49,35,0)</f>
        <v>0</v>
      </c>
      <c r="I31" s="7">
        <f>VLOOKUP($A31,[6]HISTOJUIN24!$A$6:$AV$49,38,0)</f>
        <v>0</v>
      </c>
      <c r="J31" s="7">
        <f>IF(H31=0,0,VLOOKUP($A31,[6]HISTOJUIN24!$A$6:$AV$49,42,0))</f>
        <v>0</v>
      </c>
      <c r="K31" s="7">
        <f>VLOOKUP($A31,[6]HISTOJUIN24!$A$6:$AV$49,41,0)</f>
        <v>0</v>
      </c>
      <c r="L31" s="7">
        <f>TONTMAI24!H31+TONTMAI24!I31</f>
        <v>0</v>
      </c>
      <c r="M31" s="7">
        <f>VLOOKUP($A31,[6]HISTOJUIN24!$A$6:$AV$49,16,0)</f>
        <v>0</v>
      </c>
      <c r="N31" s="7" t="str">
        <f>IF(M31&lt;&gt;0,VLOOKUP($A31,[6]HISTOJUIN24!$A$6:$AV$49,8,0),"ECHEC")</f>
        <v>ECHEC</v>
      </c>
      <c r="O31" s="7">
        <f>IF(R31=0,0,VLOOKUP($A31,[6]HISTOJUIN24!$A$6:$AV$49,32,0))</f>
        <v>0</v>
      </c>
      <c r="P31" s="7">
        <f>VLOOKUP($A31,[6]HISTOJUIN24!$A$6:$AV$49,33,0)</f>
        <v>0</v>
      </c>
      <c r="Q31" s="7">
        <f t="shared" si="1"/>
        <v>0</v>
      </c>
      <c r="R31" s="7">
        <f>VLOOKUP($A31,[6]HISTOJUIN24!$A$6:$AV$49,29,0)</f>
        <v>0</v>
      </c>
    </row>
    <row r="32" spans="1:19" x14ac:dyDescent="0.35">
      <c r="A32" s="1" t="s">
        <v>95</v>
      </c>
      <c r="B32" s="7">
        <f>IF(D32=0,0,VLOOKUP($A32,[6]HISTOJUIN24!$A$6:$BP$44,10,0))</f>
        <v>1</v>
      </c>
      <c r="C32" s="1" t="str">
        <f>VLOOKUP(A32,[7]LISTADHERENT!A$5:H$60,3,0)</f>
        <v>TCHOUATEU AUGUSTIN</v>
      </c>
      <c r="D32" s="7">
        <f t="shared" si="0"/>
        <v>25000</v>
      </c>
      <c r="E32" s="7">
        <f>D32+VLOOKUP($A32,[6]HISTOJUIN24!$A$7:$AU$42,45,0)+F32</f>
        <v>70000</v>
      </c>
      <c r="F32" s="7">
        <f>VLOOKUP($A32,[6]HISTOJUIN24!$A$6:$AV$48,7,0)</f>
        <v>0</v>
      </c>
      <c r="G32" s="7" t="str">
        <f>VLOOKUP($A32,[6]HISTOJUIN24!$A$6:$AV$49,8,0)</f>
        <v>BANQUE</v>
      </c>
      <c r="H32" s="7">
        <f>VLOOKUP($A32,[6]HISTOJUIN24!$A$6:$AV$49,35,0)</f>
        <v>0</v>
      </c>
      <c r="I32" s="7">
        <f>VLOOKUP($A32,[6]HISTOJUIN24!$A$6:$AV$49,38,0)</f>
        <v>0</v>
      </c>
      <c r="J32" s="7">
        <f>IF(H32=0,0,VLOOKUP($A32,[6]HISTOJUIN24!$A$6:$AV$49,42,0))</f>
        <v>0</v>
      </c>
      <c r="K32" s="7">
        <f>VLOOKUP($A32,[6]HISTOJUIN24!$A$6:$AV$49,41,0)</f>
        <v>0</v>
      </c>
      <c r="L32" s="7">
        <f>TONTMAI24!H32+TONTMAI24!I32</f>
        <v>0</v>
      </c>
      <c r="M32" s="7">
        <f>VLOOKUP($A32,[6]HISTOJUIN24!$A$6:$AV$49,16,0)</f>
        <v>0</v>
      </c>
      <c r="N32" s="7" t="str">
        <f>IF(M32&lt;&gt;0,VLOOKUP($A32,[6]HISTOJUIN24!$A$6:$AV$49,8,0),"ECHEC")</f>
        <v>ECHEC</v>
      </c>
      <c r="O32" s="7">
        <f>IF(R32=0,0,VLOOKUP($A32,[6]HISTOJUIN24!$A$6:$AV$49,32,0))</f>
        <v>0</v>
      </c>
      <c r="P32" s="7">
        <f>VLOOKUP($A32,[6]HISTOJUIN24!$A$6:$AV$49,33,0)</f>
        <v>0</v>
      </c>
      <c r="Q32" s="7">
        <f t="shared" si="1"/>
        <v>0</v>
      </c>
      <c r="R32" s="7">
        <f>VLOOKUP($A32,[6]HISTOJUIN24!$A$6:$AV$49,29,0)</f>
        <v>0</v>
      </c>
    </row>
    <row r="33" spans="1:18" x14ac:dyDescent="0.35">
      <c r="A33" s="1" t="s">
        <v>87</v>
      </c>
      <c r="B33" s="7">
        <f>IF(D33=0,0,VLOOKUP($A33,[6]HISTOJUIN24!$A$6:$BP$44,10,0))</f>
        <v>1</v>
      </c>
      <c r="C33" s="1" t="str">
        <f>VLOOKUP(A33,[7]LISTADHERENT!A$5:H$60,3,0)</f>
        <v>TCHOUTOU NANA CLAUDE</v>
      </c>
      <c r="D33" s="7">
        <f t="shared" si="0"/>
        <v>25000</v>
      </c>
      <c r="E33" s="7">
        <f>D33+VLOOKUP($A33,[6]HISTOJUIN24!$A$7:$AU$42,45,0)+F33</f>
        <v>50000</v>
      </c>
      <c r="F33" s="7">
        <f>VLOOKUP($A33,[6]HISTOJUIN24!$A$6:$AV$48,7,0)</f>
        <v>0</v>
      </c>
      <c r="G33" s="7" t="str">
        <f>VLOOKUP($A33,[6]HISTOJUIN24!$A$6:$AV$49,8,0)</f>
        <v>BANQUE</v>
      </c>
      <c r="H33" s="7">
        <f>VLOOKUP($A33,[6]HISTOJUIN24!$A$6:$AV$49,35,0)</f>
        <v>0</v>
      </c>
      <c r="I33" s="7">
        <f>VLOOKUP($A33,[6]HISTOJUIN24!$A$6:$AV$49,38,0)</f>
        <v>0</v>
      </c>
      <c r="J33" s="7">
        <f>IF(H33=0,0,VLOOKUP($A33,[6]HISTOJUIN24!$A$6:$AV$49,42,0))</f>
        <v>0</v>
      </c>
      <c r="K33" s="7">
        <f>VLOOKUP($A33,[6]HISTOJUIN24!$A$6:$AV$49,41,0)</f>
        <v>0</v>
      </c>
      <c r="L33" s="7">
        <f>TONTMAI24!H33+TONTMAI24!I33</f>
        <v>0</v>
      </c>
      <c r="M33" s="7">
        <f>VLOOKUP($A33,[6]HISTOJUIN24!$A$6:$AV$49,16,0)</f>
        <v>0</v>
      </c>
      <c r="N33" s="7" t="str">
        <f>IF(M33&lt;&gt;0,VLOOKUP($A33,[6]HISTOJUIN24!$A$6:$AV$49,8,0),"ECHEC")</f>
        <v>ECHEC</v>
      </c>
      <c r="O33" s="7">
        <f>IF(R33=0,0,VLOOKUP($A33,[6]HISTOJUIN24!$A$6:$AV$49,32,0))</f>
        <v>0</v>
      </c>
      <c r="P33" s="7">
        <f>VLOOKUP($A33,[6]HISTOJUIN24!$A$6:$AV$49,33,0)</f>
        <v>0</v>
      </c>
      <c r="Q33" s="7">
        <f t="shared" si="1"/>
        <v>0</v>
      </c>
      <c r="R33" s="7">
        <f>VLOOKUP($A33,[6]HISTOJUIN24!$A$6:$AV$49,29,0)</f>
        <v>0</v>
      </c>
    </row>
    <row r="34" spans="1:18" x14ac:dyDescent="0.35">
      <c r="A34" s="17" t="s">
        <v>89</v>
      </c>
      <c r="B34" s="7">
        <f>IF(D34=0,0,VLOOKUP($A34,[6]HISTOJUIN24!$A$6:$BP$44,10,0))</f>
        <v>1</v>
      </c>
      <c r="C34" s="1" t="str">
        <f>VLOOKUP(A34,[7]LISTADHERENT!A$5:H$60,3,0)</f>
        <v>YANTCHOU GERVAIS</v>
      </c>
      <c r="D34" s="7">
        <f t="shared" si="0"/>
        <v>25000</v>
      </c>
      <c r="E34" s="7">
        <f>D34+VLOOKUP($A34,[6]HISTOJUIN24!$A$7:$AU$42,45,0)+F34</f>
        <v>60000</v>
      </c>
      <c r="F34" s="7">
        <f>VLOOKUP($A34,[6]HISTOJUIN24!$A$6:$AV$48,7,0)</f>
        <v>0</v>
      </c>
      <c r="G34" s="7" t="str">
        <f>VLOOKUP($A34,[6]HISTOJUIN24!$A$6:$AV$49,8,0)</f>
        <v>BANQUE</v>
      </c>
      <c r="H34" s="7">
        <f>VLOOKUP($A34,[6]HISTOJUIN24!$A$6:$AV$49,35,0)</f>
        <v>0</v>
      </c>
      <c r="I34" s="7">
        <f>VLOOKUP($A34,[6]HISTOJUIN24!$A$6:$AV$49,38,0)</f>
        <v>0</v>
      </c>
      <c r="J34" s="7">
        <f>IF(H34=0,0,VLOOKUP($A34,[6]HISTOJUIN24!$A$6:$AV$49,42,0))</f>
        <v>0</v>
      </c>
      <c r="K34" s="7">
        <f>VLOOKUP($A34,[6]HISTOJUIN24!$A$6:$AV$49,41,0)</f>
        <v>0</v>
      </c>
      <c r="L34" s="7">
        <f>TONTMAI24!H34+TONTMAI24!I34</f>
        <v>0</v>
      </c>
      <c r="M34" s="7">
        <f>VLOOKUP($A34,[6]HISTOJUIN24!$A$6:$AV$49,16,0)</f>
        <v>0</v>
      </c>
      <c r="N34" s="7" t="str">
        <f>IF(M34&lt;&gt;0,VLOOKUP($A34,[6]HISTOJUIN24!$A$6:$AV$49,8,0),"ECHEC")</f>
        <v>ECHEC</v>
      </c>
      <c r="O34" s="7">
        <f>IF(R34=0,0,VLOOKUP($A34,[6]HISTOJUIN24!$A$6:$AV$49,32,0))</f>
        <v>0</v>
      </c>
      <c r="P34" s="7">
        <f>VLOOKUP($A34,[6]HISTOJUIN24!$A$6:$AV$49,33,0)</f>
        <v>0</v>
      </c>
      <c r="Q34" s="7">
        <f t="shared" si="1"/>
        <v>0</v>
      </c>
      <c r="R34" s="7">
        <f>VLOOKUP($A34,[6]HISTOJUIN24!$A$6:$AV$49,29,0)</f>
        <v>0</v>
      </c>
    </row>
    <row r="35" spans="1:18" x14ac:dyDescent="0.35">
      <c r="A35" s="1" t="s">
        <v>27</v>
      </c>
      <c r="B35" s="7">
        <f>IF(D35=0,0,VLOOKUP($A35,[6]HISTOJUIN24!$A$6:$BP$44,10,0))</f>
        <v>1</v>
      </c>
      <c r="C35" s="1" t="str">
        <f>VLOOKUP(A35,[7]LISTADHERENT!A$5:H$60,3,0)</f>
        <v>YEPMOU JEAN JACQUES</v>
      </c>
      <c r="D35" s="7">
        <f t="shared" si="0"/>
        <v>25000</v>
      </c>
      <c r="E35" s="7">
        <f>D35+VLOOKUP($A35,[6]HISTOJUIN24!$A$7:$AU$42,45,0)+F35</f>
        <v>50000</v>
      </c>
      <c r="F35" s="7">
        <f>VLOOKUP($A35,[6]HISTOJUIN24!$A$6:$AV$48,7,0)</f>
        <v>0</v>
      </c>
      <c r="G35" s="7" t="str">
        <f>VLOOKUP($A35,[6]HISTOJUIN24!$A$6:$AV$49,8,0)</f>
        <v>BANQUE</v>
      </c>
      <c r="H35" s="7">
        <f>VLOOKUP($A35,[6]HISTOJUIN24!$A$6:$AV$49,35,0)</f>
        <v>0</v>
      </c>
      <c r="I35" s="7">
        <f>VLOOKUP($A35,[6]HISTOJUIN24!$A$6:$AV$49,38,0)</f>
        <v>0</v>
      </c>
      <c r="J35" s="7">
        <f>IF(H35=0,0,VLOOKUP($A35,[6]HISTOJUIN24!$A$6:$AV$49,42,0))</f>
        <v>0</v>
      </c>
      <c r="K35" s="7">
        <f>VLOOKUP($A35,[6]HISTOJUIN24!$A$6:$AV$49,41,0)</f>
        <v>0</v>
      </c>
      <c r="L35" s="7">
        <f>TONTMAI24!H35+TONTMAI24!I35</f>
        <v>0</v>
      </c>
      <c r="M35" s="7">
        <f>VLOOKUP($A35,[6]HISTOJUIN24!$A$6:$AV$49,16,0)</f>
        <v>0</v>
      </c>
      <c r="N35" s="7" t="str">
        <f>IF(M35&lt;&gt;0,VLOOKUP($A35,[6]HISTOJUIN24!$A$6:$AV$49,8,0),"ECHEC")</f>
        <v>ECHEC</v>
      </c>
      <c r="O35" s="7">
        <f>IF(R35=0,0,VLOOKUP($A35,[6]HISTOJUIN24!$A$6:$AV$49,32,0))</f>
        <v>0</v>
      </c>
      <c r="P35" s="7">
        <f>VLOOKUP($A35,[6]HISTOJUIN24!$A$6:$AV$49,33,0)</f>
        <v>0</v>
      </c>
      <c r="Q35" s="7">
        <f t="shared" si="1"/>
        <v>0</v>
      </c>
      <c r="R35" s="7">
        <f>VLOOKUP($A35,[6]HISTOJUIN24!$A$6:$AV$49,29,0)</f>
        <v>0</v>
      </c>
    </row>
    <row r="36" spans="1:18" x14ac:dyDescent="0.35">
      <c r="A36" s="1" t="s">
        <v>94</v>
      </c>
      <c r="B36" s="7">
        <f>IF(D36=0,0,VLOOKUP($A36,[6]HISTOJUIN24!$A$6:$BP$44,10,0))</f>
        <v>1</v>
      </c>
      <c r="C36" s="1" t="str">
        <f>VLOOKUP(A36,[7]LISTADHERENT!A$5:H$60,3,0)</f>
        <v>YIALA ALAIN OSCAR</v>
      </c>
      <c r="D36" s="7">
        <f t="shared" si="0"/>
        <v>25000</v>
      </c>
      <c r="E36" s="7">
        <f>D36+VLOOKUP($A36,[6]HISTOJUIN24!$A$7:$AU$42,45,0)+F36</f>
        <v>50000</v>
      </c>
      <c r="F36" s="7">
        <f>VLOOKUP($A36,[6]HISTOJUIN24!$A$6:$AV$48,7,0)</f>
        <v>0</v>
      </c>
      <c r="G36" s="7" t="str">
        <f>VLOOKUP($A36,[6]HISTOJUIN24!$A$6:$AV$49,8,0)</f>
        <v>BANQUE</v>
      </c>
      <c r="H36" s="7">
        <f>VLOOKUP($A36,[6]HISTOJUIN24!$A$6:$AV$49,35,0)</f>
        <v>0</v>
      </c>
      <c r="I36" s="7">
        <f>VLOOKUP($A36,[6]HISTOJUIN24!$A$6:$AV$49,38,0)</f>
        <v>0</v>
      </c>
      <c r="J36" s="7">
        <f>IF(H36=0,0,VLOOKUP($A36,[6]HISTOJUIN24!$A$6:$AV$49,42,0))</f>
        <v>0</v>
      </c>
      <c r="K36" s="7">
        <f>VLOOKUP($A36,[6]HISTOJUIN24!$A$6:$AV$49,41,0)</f>
        <v>0</v>
      </c>
      <c r="L36" s="7">
        <f>TONTMAI24!H36+TONTMAI24!I36</f>
        <v>0</v>
      </c>
      <c r="M36" s="7">
        <f>VLOOKUP($A36,[6]HISTOJUIN24!$A$6:$AV$49,16,0)</f>
        <v>0</v>
      </c>
      <c r="N36" s="7" t="str">
        <f>IF(M36&lt;&gt;0,VLOOKUP($A36,[6]HISTOJUIN24!$A$6:$AV$49,8,0),"ECHEC")</f>
        <v>ECHEC</v>
      </c>
      <c r="O36" s="7">
        <f>IF(R36=0,0,VLOOKUP($A36,[6]HISTOJUIN24!$A$6:$AV$49,32,0))</f>
        <v>0</v>
      </c>
      <c r="P36" s="7">
        <f>VLOOKUP($A36,[6]HISTOJUIN24!$A$6:$AV$49,33,0)</f>
        <v>0</v>
      </c>
      <c r="Q36" s="7">
        <f t="shared" si="1"/>
        <v>0</v>
      </c>
      <c r="R36" s="7">
        <f>VLOOKUP($A36,[6]HISTOJUIN24!$A$6:$AV$49,29,0)</f>
        <v>0</v>
      </c>
    </row>
    <row r="37" spans="1:18" x14ac:dyDescent="0.35">
      <c r="A37" s="1" t="s">
        <v>28</v>
      </c>
      <c r="B37" s="7">
        <f>IF(D37=0,0,VLOOKUP($A37,[6]HISTOJUIN24!$A$6:$BP$44,10,0))</f>
        <v>1</v>
      </c>
      <c r="C37" s="1" t="str">
        <f>VLOOKUP(A37,[7]LISTADHERENT!A$5:H$60,3,0)</f>
        <v>YOUMBI EMMANUEL</v>
      </c>
      <c r="D37" s="7">
        <f t="shared" si="0"/>
        <v>25000</v>
      </c>
      <c r="E37" s="7">
        <f>D37+VLOOKUP($A37,[6]HISTOJUIN24!$A$7:$AU$42,45,0)+F37</f>
        <v>50000</v>
      </c>
      <c r="F37" s="7">
        <f>VLOOKUP($A37,[6]HISTOJUIN24!$A$6:$AV$48,7,0)</f>
        <v>0</v>
      </c>
      <c r="G37" s="7" t="str">
        <f>VLOOKUP($A37,[6]HISTOJUIN24!$A$6:$AV$49,8,0)</f>
        <v>BANQUE</v>
      </c>
      <c r="H37" s="7">
        <f>VLOOKUP($A37,[6]HISTOJUIN24!$A$6:$AV$49,35,0)</f>
        <v>0</v>
      </c>
      <c r="I37" s="7">
        <f>VLOOKUP($A37,[6]HISTOJUIN24!$A$6:$AV$49,38,0)</f>
        <v>0</v>
      </c>
      <c r="J37" s="7">
        <f>IF(H37=0,0,VLOOKUP($A37,[6]HISTOJUIN24!$A$6:$AV$49,42,0))</f>
        <v>0</v>
      </c>
      <c r="K37" s="7">
        <f>VLOOKUP($A37,[6]HISTOJUIN24!$A$6:$AV$49,41,0)</f>
        <v>0</v>
      </c>
      <c r="L37" s="7">
        <f>TONTMAI24!H37+TONTMAI24!I37</f>
        <v>0</v>
      </c>
      <c r="M37" s="7">
        <f>VLOOKUP($A37,[6]HISTOJUIN24!$A$6:$AV$49,16,0)</f>
        <v>0</v>
      </c>
      <c r="N37" s="7" t="str">
        <f>IF(M37&lt;&gt;0,VLOOKUP($A37,[6]HISTOJUIN24!$A$6:$AV$49,8,0),"ECHEC")</f>
        <v>ECHEC</v>
      </c>
      <c r="O37" s="7">
        <f>IF(R37=0,0,VLOOKUP($A37,[6]HISTOJUIN24!$A$6:$AV$49,32,0))</f>
        <v>0</v>
      </c>
      <c r="P37" s="7">
        <f>VLOOKUP($A37,[6]HISTOJUIN24!$A$6:$AV$49,33,0)</f>
        <v>0</v>
      </c>
      <c r="Q37" s="7">
        <f t="shared" si="1"/>
        <v>0</v>
      </c>
      <c r="R37" s="7">
        <f>VLOOKUP($A37,[6]HISTOJUIN24!$A$6:$AV$49,29,0)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6000</v>
      </c>
      <c r="G40" s="8">
        <f t="shared" si="2"/>
        <v>0</v>
      </c>
      <c r="H40" s="8">
        <f t="shared" si="2"/>
        <v>173500</v>
      </c>
      <c r="I40" s="8">
        <f t="shared" si="2"/>
        <v>3000</v>
      </c>
      <c r="J40" s="8">
        <f t="shared" si="2"/>
        <v>0</v>
      </c>
      <c r="K40" s="8">
        <f t="shared" si="2"/>
        <v>0</v>
      </c>
      <c r="L40" s="8">
        <f t="shared" si="2"/>
        <v>101000</v>
      </c>
      <c r="M40" s="8">
        <f t="shared" si="2"/>
        <v>101000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891000</v>
      </c>
      <c r="R40" s="8">
        <f t="shared" si="2"/>
        <v>9000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D46+G46+R40+TONTMAI24!O47</f>
        <v>1073500</v>
      </c>
      <c r="N42" s="4"/>
      <c r="O42"/>
      <c r="P42" s="4"/>
    </row>
    <row r="43" spans="1:18" s="2" customFormat="1" ht="17.5" x14ac:dyDescent="0.35">
      <c r="D43" s="8">
        <f>SUMIFS(D6:D39,G6:G39,"ESPECES")</f>
        <v>50000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50000</v>
      </c>
      <c r="K43" s="8"/>
      <c r="L43" s="8" t="s">
        <v>79</v>
      </c>
      <c r="M43" s="8">
        <f>C3*COUNTIF(Q7:Q39,"&gt;0")</f>
        <v>900000</v>
      </c>
      <c r="N43" s="8">
        <f>D3</f>
        <v>3</v>
      </c>
      <c r="O43" s="8">
        <f>COUNTIF(Q6:Q33,"&gt;0")</f>
        <v>3</v>
      </c>
      <c r="P43" s="8"/>
    </row>
    <row r="44" spans="1:18" s="2" customFormat="1" ht="17.5" x14ac:dyDescent="0.35">
      <c r="D44" s="8">
        <f>SUMIFS(D6:D39,G6:G39,"BANQUE")</f>
        <v>750000</v>
      </c>
      <c r="E44" s="8"/>
      <c r="F44" s="8" t="s">
        <v>32</v>
      </c>
      <c r="G44" s="8">
        <f>SUMIFS(M6:M33,N6:N33,"BANQUE")</f>
        <v>101000</v>
      </c>
      <c r="H44" s="8">
        <f>SUMIFS(H6:H39,J6:J39,"BANQUE")</f>
        <v>173500</v>
      </c>
      <c r="I44" s="8">
        <f>SUMIFS(Q6:Q39,O6:O39,"BANQUE")</f>
        <v>891000</v>
      </c>
      <c r="J44" s="8">
        <f>D44+G44-H44-I44</f>
        <v>-213500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173500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101000</v>
      </c>
      <c r="H46" s="8">
        <f>H43+H44</f>
        <v>173500</v>
      </c>
      <c r="I46" s="8">
        <f t="shared" ref="I46:J46" si="3">I43+I44</f>
        <v>891000</v>
      </c>
      <c r="J46" s="8">
        <f t="shared" si="3"/>
        <v>-163500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TONTJUIN24!M47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TONTJUIN24!M49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TONTJUIN24!M50</f>
        <v>0</v>
      </c>
      <c r="P50" s="8" t="s">
        <v>53</v>
      </c>
    </row>
  </sheetData>
  <autoFilter ref="A5:R25" xr:uid="{00000000-0009-0000-0000-000006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0"/>
  <sheetViews>
    <sheetView workbookViewId="0">
      <pane xSplit="3" ySplit="5" topLeftCell="K6" activePane="bottomRight" state="frozen"/>
      <selection activeCell="G6" sqref="G6:G39"/>
      <selection pane="topRight" activeCell="G6" sqref="G6:G39"/>
      <selection pane="bottomLeft" activeCell="G6" sqref="G6:G39"/>
      <selection pane="bottomRight" activeCell="M6" sqref="M6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8">
        <v>45486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IF(D6=0,0,VLOOKUP($A6,[6]HISTOJUIL24!$A$6:$BP$44,10,0))</f>
        <v>1</v>
      </c>
      <c r="C6" s="1" t="str">
        <f>VLOOKUP(A6,[7]LISTADHERENT!A$5:H$60,3,0)</f>
        <v>BAKOP ACHILLE</v>
      </c>
      <c r="D6" s="7">
        <f t="shared" ref="D6:D37" si="0">IF(G6="ECHEC",0,B$3)</f>
        <v>25000</v>
      </c>
      <c r="E6" s="7">
        <f>D6+VLOOKUP($A6,[6]HISTOJUIL24!$A$7:$AU$42,45,0)+F6</f>
        <v>50000</v>
      </c>
      <c r="F6" s="7">
        <f>VLOOKUP($A6,[6]HISTOJUIL24!$A$6:$AV$48,7,0)</f>
        <v>3000</v>
      </c>
      <c r="G6" s="7" t="str">
        <f>VLOOKUP($A6,[6]HISTOJUIL24!$A$6:$AV$49,8,0)</f>
        <v>ESPECES</v>
      </c>
      <c r="H6" s="7">
        <f>VLOOKUP($A6,[6]HISTOJUIL24!$A$6:$AV$49,35,0)</f>
        <v>0</v>
      </c>
      <c r="I6" s="7">
        <f>VLOOKUP($A6,[6]HISTOJUIL24!$A$6:$AV$49,38,0)</f>
        <v>0</v>
      </c>
      <c r="J6" s="7">
        <f>IF(H6=0,0,VLOOKUP($A6,[6]HISTOJUIL24!$A$6:$AV$49,42,0))</f>
        <v>0</v>
      </c>
      <c r="K6" s="7">
        <f>VLOOKUP($A6,[6]HISTOJUIL24!$A$6:$AV$49,41,0)</f>
        <v>0</v>
      </c>
      <c r="L6" s="7">
        <f>TONTJUIN24!H6+TONTJUIN24!I6</f>
        <v>0</v>
      </c>
      <c r="M6" s="7">
        <f>VLOOKUP($A6,[6]HISTOJUIL24!$A$6:$AV$49,16,0)</f>
        <v>0</v>
      </c>
      <c r="N6" s="7" t="str">
        <f>IF(M6&lt;&gt;0,VLOOKUP($A6,[6]HISTOJUIL24!$A$6:$AV$49,8,0),"ECHEC")</f>
        <v>ECHEC</v>
      </c>
      <c r="O6" s="7">
        <f>IF(R6=0,0,VLOOKUP($A6,[6]HISTOJUIL24!$A$6:$AV$49,32,0))</f>
        <v>0</v>
      </c>
      <c r="P6" s="7">
        <f>VLOOKUP($A6,[6]HISTOJUIL24!$A$6:$AV$49,33,0)</f>
        <v>0</v>
      </c>
      <c r="Q6" s="7">
        <f t="shared" ref="Q6:Q37" si="1">IF(R6=0,0,($C$3-R6))</f>
        <v>0</v>
      </c>
      <c r="R6" s="7">
        <f>VLOOKUP($A6,[6]HISTOJUIL24!$A$6:$AV$49,29,0)</f>
        <v>0</v>
      </c>
    </row>
    <row r="7" spans="1:19" x14ac:dyDescent="0.35">
      <c r="A7" s="1" t="s">
        <v>9</v>
      </c>
      <c r="B7" s="7">
        <f>IF(D7=0,0,VLOOKUP($A7,[6]HISTOJUIL24!$A$6:$BP$44,10,0))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D7+VLOOKUP($A7,[6]HISTOJUIL24!$A$7:$AU$42,45,0)+F7</f>
        <v>50000</v>
      </c>
      <c r="F7" s="7">
        <f>VLOOKUP($A7,[6]HISTOJUIL24!$A$6:$AV$48,7,0)</f>
        <v>0</v>
      </c>
      <c r="G7" s="7" t="str">
        <f>VLOOKUP($A7,[6]HISTOJUIL24!$A$6:$AV$49,8,0)</f>
        <v>BANQUE</v>
      </c>
      <c r="H7" s="7">
        <f>VLOOKUP($A7,[6]HISTOJUIL24!$A$6:$AV$49,35,0)</f>
        <v>0</v>
      </c>
      <c r="I7" s="7">
        <f>VLOOKUP($A7,[6]HISTOJUIL24!$A$6:$AV$49,38,0)</f>
        <v>0</v>
      </c>
      <c r="J7" s="7">
        <f>IF(H7=0,0,VLOOKUP($A7,[6]HISTOJUIL24!$A$6:$AV$49,42,0))</f>
        <v>0</v>
      </c>
      <c r="K7" s="7">
        <f>VLOOKUP($A7,[6]HISTOJUIL24!$A$6:$AV$49,41,0)</f>
        <v>0</v>
      </c>
      <c r="L7" s="7">
        <f>TONTJUIN24!H7+TONTJUIN24!I7</f>
        <v>0</v>
      </c>
      <c r="M7" s="7">
        <f>VLOOKUP($A7,[6]HISTOJUIL24!$A$6:$AV$49,16,0)</f>
        <v>0</v>
      </c>
      <c r="N7" s="7" t="str">
        <f>IF(M7&lt;&gt;0,VLOOKUP($A7,[6]HISTOJUIL24!$A$6:$AV$49,8,0),"ECHEC")</f>
        <v>ECHEC</v>
      </c>
      <c r="O7" s="7">
        <f>IF(R7=0,0,VLOOKUP($A7,[6]HISTOJUIL24!$A$6:$AV$49,32,0))</f>
        <v>0</v>
      </c>
      <c r="P7" s="7">
        <f>VLOOKUP($A7,[6]HISTOJUIL24!$A$6:$AV$49,33,0)</f>
        <v>0</v>
      </c>
      <c r="Q7" s="7">
        <f t="shared" si="1"/>
        <v>0</v>
      </c>
      <c r="R7" s="7">
        <f>VLOOKUP($A7,[6]HISTOJUIL24!$A$6:$AV$49,29,0)</f>
        <v>0</v>
      </c>
    </row>
    <row r="8" spans="1:19" x14ac:dyDescent="0.35">
      <c r="A8" s="1" t="s">
        <v>10</v>
      </c>
      <c r="B8" s="7">
        <f>IF(D8=0,0,VLOOKUP($A8,[6]HISTOJUIL24!$A$6:$BP$44,10,0))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D8+VLOOKUP($A8,[6]HISTOJUIL24!$A$7:$AU$42,45,0)+F8</f>
        <v>50000</v>
      </c>
      <c r="F8" s="7">
        <f>VLOOKUP($A8,[6]HISTOJUIL24!$A$6:$AV$48,7,0)</f>
        <v>0</v>
      </c>
      <c r="G8" s="7" t="str">
        <f>VLOOKUP($A8,[6]HISTOJUIL24!$A$6:$AV$49,8,0)</f>
        <v>BANQUE</v>
      </c>
      <c r="H8" s="7">
        <f>VLOOKUP($A8,[6]HISTOJUIL24!$A$6:$AV$49,35,0)</f>
        <v>0</v>
      </c>
      <c r="I8" s="7">
        <f>VLOOKUP($A8,[6]HISTOJUIL24!$A$6:$AV$49,38,0)</f>
        <v>0</v>
      </c>
      <c r="J8" s="7">
        <f>IF(H8=0,0,VLOOKUP($A8,[6]HISTOJUIL24!$A$6:$AV$49,42,0))</f>
        <v>0</v>
      </c>
      <c r="K8" s="7">
        <f>VLOOKUP($A8,[6]HISTOJUIL24!$A$6:$AV$49,41,0)</f>
        <v>0</v>
      </c>
      <c r="L8" s="7">
        <f>TONTJUIN24!H8+TONTJUIN24!I8</f>
        <v>0</v>
      </c>
      <c r="M8" s="7">
        <f>VLOOKUP($A8,[6]HISTOJUIL24!$A$6:$AV$49,16,0)</f>
        <v>0</v>
      </c>
      <c r="N8" s="7" t="str">
        <f>IF(M8&lt;&gt;0,VLOOKUP($A8,[6]HISTOJUIL24!$A$6:$AV$49,8,0),"ECHEC")</f>
        <v>ECHEC</v>
      </c>
      <c r="O8" s="7">
        <f>IF(R8=0,0,VLOOKUP($A8,[6]HISTOJUIL24!$A$6:$AV$49,32,0))</f>
        <v>0</v>
      </c>
      <c r="P8" s="7">
        <f>VLOOKUP($A8,[6]HISTOJUIL24!$A$6:$AV$49,33,0)</f>
        <v>0</v>
      </c>
      <c r="Q8" s="7">
        <f t="shared" si="1"/>
        <v>0</v>
      </c>
      <c r="R8" s="7">
        <f>VLOOKUP($A8,[6]HISTOJUIL24!$A$6:$AV$49,29,0)</f>
        <v>0</v>
      </c>
    </row>
    <row r="9" spans="1:19" x14ac:dyDescent="0.35">
      <c r="A9" s="1" t="s">
        <v>52</v>
      </c>
      <c r="B9" s="7">
        <f>IF(D9=0,0,VLOOKUP($A9,[6]HISTOJUIL24!$A$6:$BP$44,10,0))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D9+VLOOKUP($A9,[6]HISTOJUIL24!$A$7:$AU$42,45,0)+F9</f>
        <v>53500</v>
      </c>
      <c r="F9" s="7">
        <f>VLOOKUP($A9,[6]HISTOJUIL24!$A$6:$AV$48,7,0)</f>
        <v>0</v>
      </c>
      <c r="G9" s="7" t="str">
        <f>VLOOKUP($A9,[6]HISTOJUIL24!$A$6:$AV$49,8,0)</f>
        <v>BANQUE</v>
      </c>
      <c r="H9" s="7">
        <f>VLOOKUP($A9,[6]HISTOJUIL24!$A$6:$AV$49,35,0)</f>
        <v>0</v>
      </c>
      <c r="I9" s="7">
        <f>VLOOKUP($A9,[6]HISTOJUIL24!$A$6:$AV$49,38,0)</f>
        <v>0</v>
      </c>
      <c r="J9" s="7">
        <f>IF(H9=0,0,VLOOKUP($A9,[6]HISTOJUIL24!$A$6:$AV$49,42,0))</f>
        <v>0</v>
      </c>
      <c r="K9" s="7">
        <f>VLOOKUP($A9,[6]HISTOJUIL24!$A$6:$AV$49,41,0)</f>
        <v>0</v>
      </c>
      <c r="L9" s="7">
        <f>TONTJUIN24!H9+TONTJUIN24!I9</f>
        <v>30500</v>
      </c>
      <c r="M9" s="7">
        <f>VLOOKUP($A9,[6]HISTOJUIL24!$A$6:$AV$49,16,0)</f>
        <v>30500</v>
      </c>
      <c r="N9" s="7" t="str">
        <f>IF(M9&lt;&gt;0,VLOOKUP($A9,[6]HISTOJUIL24!$A$6:$AV$49,8,0),"ECHEC")</f>
        <v>BANQUE</v>
      </c>
      <c r="O9" s="7">
        <f>IF(R9=0,0,VLOOKUP($A9,[6]HISTOJUIL24!$A$6:$AV$49,32,0))</f>
        <v>0</v>
      </c>
      <c r="P9" s="7">
        <f>VLOOKUP($A9,[6]HISTOJUIL24!$A$6:$AV$49,33,0)</f>
        <v>0</v>
      </c>
      <c r="Q9" s="7">
        <f t="shared" si="1"/>
        <v>0</v>
      </c>
      <c r="R9" s="7">
        <f>VLOOKUP($A9,[6]HISTOJUIL24!$A$6:$AV$49,29,0)</f>
        <v>0</v>
      </c>
    </row>
    <row r="10" spans="1:19" x14ac:dyDescent="0.35">
      <c r="A10" s="1" t="s">
        <v>11</v>
      </c>
      <c r="B10" s="7">
        <f>IF(D10=0,0,VLOOKUP($A10,[6]HISTOJUIL24!$A$6:$BP$44,10,0))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D10+VLOOKUP($A10,[6]HISTOJUIL24!$A$7:$AU$42,45,0)+F10</f>
        <v>53000</v>
      </c>
      <c r="F10" s="7">
        <f>VLOOKUP($A10,[6]HISTOJUIL24!$A$6:$AV$48,7,0)</f>
        <v>3000</v>
      </c>
      <c r="G10" s="7" t="str">
        <f>VLOOKUP($A10,[6]HISTOJUIL24!$A$6:$AV$49,8,0)</f>
        <v>BANQUE</v>
      </c>
      <c r="H10" s="7">
        <f>VLOOKUP($A10,[6]HISTOJUIL24!$A$6:$AV$49,35,0)</f>
        <v>0</v>
      </c>
      <c r="I10" s="7">
        <f>VLOOKUP($A10,[6]HISTOJUIL24!$A$6:$AV$49,38,0)</f>
        <v>0</v>
      </c>
      <c r="J10" s="7">
        <f>IF(H10=0,0,VLOOKUP($A10,[6]HISTOJUIL24!$A$6:$AV$49,42,0))</f>
        <v>0</v>
      </c>
      <c r="K10" s="7">
        <f>VLOOKUP($A10,[6]HISTOJUIL24!$A$6:$AV$49,41,0)</f>
        <v>0</v>
      </c>
      <c r="L10" s="7">
        <f>TONTJUIN24!H10+TONTJUIN24!I10</f>
        <v>30500</v>
      </c>
      <c r="M10" s="7">
        <f>VLOOKUP($A10,[6]HISTOJUIL24!$A$6:$AV$49,16,0)</f>
        <v>30500</v>
      </c>
      <c r="N10" s="7" t="str">
        <f>IF(M10&lt;&gt;0,VLOOKUP($A10,[6]HISTOJUIL24!$A$6:$AV$49,8,0),"ECHEC")</f>
        <v>BANQUE</v>
      </c>
      <c r="O10" s="7">
        <f>IF(R10=0,0,VLOOKUP($A10,[6]HISTOJUIL24!$A$6:$AV$49,32,0))</f>
        <v>0</v>
      </c>
      <c r="P10" s="7">
        <f>VLOOKUP($A10,[6]HISTOJUIL24!$A$6:$AV$49,33,0)</f>
        <v>0</v>
      </c>
      <c r="Q10" s="7">
        <f t="shared" si="1"/>
        <v>0</v>
      </c>
      <c r="R10" s="7">
        <f>VLOOKUP($A10,[6]HISTOJUIL24!$A$6:$AV$49,29,0)</f>
        <v>0</v>
      </c>
    </row>
    <row r="11" spans="1:19" x14ac:dyDescent="0.35">
      <c r="A11" s="1" t="s">
        <v>12</v>
      </c>
      <c r="B11" s="7">
        <f>IF(D11=0,0,VLOOKUP($A11,[6]HISTOJUIL24!$A$6:$BP$44,10,0))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D11+VLOOKUP($A11,[6]HISTOJUIL24!$A$7:$AU$42,45,0)+F11</f>
        <v>56600</v>
      </c>
      <c r="F11" s="7">
        <f>VLOOKUP($A11,[6]HISTOJUIL24!$A$6:$AV$48,7,0)</f>
        <v>0</v>
      </c>
      <c r="G11" s="7" t="str">
        <f>VLOOKUP($A11,[6]HISTOJUIL24!$A$6:$AV$49,8,0)</f>
        <v>BANQUE</v>
      </c>
      <c r="H11" s="7">
        <f>VLOOKUP($A11,[6]HISTOJUIL24!$A$6:$AV$49,35,0)</f>
        <v>0</v>
      </c>
      <c r="I11" s="7">
        <f>VLOOKUP($A11,[6]HISTOJUIL24!$A$6:$AV$49,38,0)</f>
        <v>0</v>
      </c>
      <c r="J11" s="7">
        <f>IF(H11=0,0,VLOOKUP($A11,[6]HISTOJUIL24!$A$6:$AV$49,42,0))</f>
        <v>0</v>
      </c>
      <c r="K11" s="7">
        <f>VLOOKUP($A11,[6]HISTOJUIL24!$A$6:$AV$49,41,0)</f>
        <v>0</v>
      </c>
      <c r="L11" s="7">
        <f>TONTJUIN24!H11+TONTJUIN24!I11</f>
        <v>0</v>
      </c>
      <c r="M11" s="7">
        <f>VLOOKUP($A11,[6]HISTOJUIL24!$A$6:$AV$49,16,0)</f>
        <v>0</v>
      </c>
      <c r="N11" s="7" t="str">
        <f>IF(M11&lt;&gt;0,VLOOKUP($A11,[6]HISTOJUIL24!$A$6:$AV$49,8,0),"ECHEC")</f>
        <v>ECHEC</v>
      </c>
      <c r="O11" s="7" t="str">
        <f>IF(R11=0,0,VLOOKUP($A11,[6]HISTOJUIL24!$A$6:$AV$49,32,0))</f>
        <v>BANQUE</v>
      </c>
      <c r="P11" s="7">
        <f>VLOOKUP($A11,[6]HISTOJUIL24!$A$6:$AV$49,33,0)</f>
        <v>0</v>
      </c>
      <c r="Q11" s="7">
        <f t="shared" si="1"/>
        <v>297000</v>
      </c>
      <c r="R11" s="7">
        <f>VLOOKUP($A11,[6]HISTOJUIL24!$A$6:$AV$49,29,0)</f>
        <v>3000</v>
      </c>
    </row>
    <row r="12" spans="1:19" x14ac:dyDescent="0.35">
      <c r="A12" s="1" t="s">
        <v>45</v>
      </c>
      <c r="B12" s="7">
        <f>IF(D12=0,0,VLOOKUP($A12,[6]HISTOJUIL24!$A$6:$BP$44,10,0))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D12+VLOOKUP($A12,[6]HISTOJUIL24!$A$7:$AU$42,45,0)+F12</f>
        <v>50000</v>
      </c>
      <c r="F12" s="7">
        <f>VLOOKUP($A12,[6]HISTOJUIL24!$A$6:$AV$48,7,0)</f>
        <v>0</v>
      </c>
      <c r="G12" s="7" t="str">
        <f>VLOOKUP($A12,[6]HISTOJUIL24!$A$6:$AV$49,8,0)</f>
        <v>BANQUE</v>
      </c>
      <c r="H12" s="7">
        <f>VLOOKUP($A12,[6]HISTOJUIL24!$A$6:$AV$49,35,0)</f>
        <v>0</v>
      </c>
      <c r="I12" s="7">
        <f>VLOOKUP($A12,[6]HISTOJUIL24!$A$6:$AV$49,38,0)</f>
        <v>0</v>
      </c>
      <c r="J12" s="7">
        <f>IF(H12=0,0,VLOOKUP($A12,[6]HISTOJUIL24!$A$6:$AV$49,42,0))</f>
        <v>0</v>
      </c>
      <c r="K12" s="7">
        <f>VLOOKUP($A12,[6]HISTOJUIL24!$A$6:$AV$49,41,0)</f>
        <v>0</v>
      </c>
      <c r="L12" s="7">
        <f>TONTJUIN24!H12+TONTJUIN24!I12</f>
        <v>0</v>
      </c>
      <c r="M12" s="7">
        <f>VLOOKUP($A12,[6]HISTOJUIL24!$A$6:$AV$49,16,0)</f>
        <v>0</v>
      </c>
      <c r="N12" s="7" t="str">
        <f>IF(M12&lt;&gt;0,VLOOKUP($A12,[6]HISTOJUIL24!$A$6:$AV$49,8,0),"ECHEC")</f>
        <v>ECHEC</v>
      </c>
      <c r="O12" s="7" t="str">
        <f>IF(R12=0,0,VLOOKUP($A12,[6]HISTOJUIL24!$A$6:$AV$49,32,0))</f>
        <v>BANQUE</v>
      </c>
      <c r="P12" s="7">
        <f>VLOOKUP($A12,[6]HISTOJUIL24!$A$6:$AV$49,33,0)</f>
        <v>0</v>
      </c>
      <c r="Q12" s="7">
        <f t="shared" si="1"/>
        <v>297500</v>
      </c>
      <c r="R12" s="7">
        <f>VLOOKUP($A12,[6]HISTOJUIL24!$A$6:$AV$49,29,0)</f>
        <v>2500</v>
      </c>
    </row>
    <row r="13" spans="1:19" x14ac:dyDescent="0.35">
      <c r="A13" s="1" t="s">
        <v>13</v>
      </c>
      <c r="B13" s="7">
        <f>IF(D13=0,0,VLOOKUP($A13,[6]HISTOJUIL24!$A$6:$BP$44,10,0))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D13+VLOOKUP($A13,[6]HISTOJUIL24!$A$7:$AU$42,45,0)+F13</f>
        <v>50000</v>
      </c>
      <c r="F13" s="7">
        <f>VLOOKUP($A13,[6]HISTOJUIL24!$A$6:$AV$48,7,0)</f>
        <v>0</v>
      </c>
      <c r="G13" s="7" t="str">
        <f>VLOOKUP($A13,[6]HISTOJUIL24!$A$6:$AV$49,8,0)</f>
        <v>BANQUE</v>
      </c>
      <c r="H13" s="7">
        <f>VLOOKUP($A13,[6]HISTOJUIL24!$A$6:$AV$49,35,0)</f>
        <v>0</v>
      </c>
      <c r="I13" s="7">
        <f>VLOOKUP($A13,[6]HISTOJUIL24!$A$6:$AV$49,38,0)</f>
        <v>0</v>
      </c>
      <c r="J13" s="7">
        <f>IF(H13=0,0,VLOOKUP($A13,[6]HISTOJUIL24!$A$6:$AV$49,42,0))</f>
        <v>0</v>
      </c>
      <c r="K13" s="7">
        <f>VLOOKUP($A13,[6]HISTOJUIL24!$A$6:$AV$49,41,0)</f>
        <v>0</v>
      </c>
      <c r="L13" s="7">
        <f>TONTJUIN24!H13+TONTJUIN24!I13</f>
        <v>0</v>
      </c>
      <c r="M13" s="7">
        <f>VLOOKUP($A13,[6]HISTOJUIL24!$A$6:$AV$49,16,0)</f>
        <v>0</v>
      </c>
      <c r="N13" s="7" t="str">
        <f>IF(M13&lt;&gt;0,VLOOKUP($A13,[6]HISTOJUIL24!$A$6:$AV$49,8,0),"ECHEC")</f>
        <v>ECHEC</v>
      </c>
      <c r="O13" s="7">
        <f>IF(R13=0,0,VLOOKUP($A13,[6]HISTOJUIL24!$A$6:$AV$49,32,0))</f>
        <v>0</v>
      </c>
      <c r="P13" s="7">
        <f>VLOOKUP($A13,[6]HISTOJUIL24!$A$6:$AV$49,33,0)</f>
        <v>0</v>
      </c>
      <c r="Q13" s="7">
        <f t="shared" si="1"/>
        <v>0</v>
      </c>
      <c r="R13" s="7">
        <f>VLOOKUP($A13,[6]HISTOJUIL24!$A$6:$AV$49,29,0)</f>
        <v>0</v>
      </c>
    </row>
    <row r="14" spans="1:19" x14ac:dyDescent="0.35">
      <c r="A14" s="1" t="s">
        <v>14</v>
      </c>
      <c r="B14" s="7">
        <f>IF(D14=0,0,VLOOKUP($A14,[6]HISTOJUIL24!$A$6:$BP$44,10,0))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D14+VLOOKUP($A14,[6]HISTOJUIL24!$A$7:$AU$42,45,0)+F14</f>
        <v>50000</v>
      </c>
      <c r="F14" s="7">
        <f>VLOOKUP($A14,[6]HISTOJUIL24!$A$6:$AV$48,7,0)</f>
        <v>0</v>
      </c>
      <c r="G14" s="7" t="str">
        <f>VLOOKUP($A14,[6]HISTOJUIL24!$A$6:$AV$49,8,0)</f>
        <v>BANQUE</v>
      </c>
      <c r="H14" s="7">
        <f>VLOOKUP($A14,[6]HISTOJUIL24!$A$6:$AV$49,35,0)</f>
        <v>0</v>
      </c>
      <c r="I14" s="7">
        <f>VLOOKUP($A14,[6]HISTOJUIL24!$A$6:$AV$49,38,0)</f>
        <v>0</v>
      </c>
      <c r="J14" s="7">
        <f>IF(H14=0,0,VLOOKUP($A14,[6]HISTOJUIL24!$A$6:$AV$49,42,0))</f>
        <v>0</v>
      </c>
      <c r="K14" s="7">
        <f>VLOOKUP($A14,[6]HISTOJUIL24!$A$6:$AV$49,41,0)</f>
        <v>0</v>
      </c>
      <c r="L14" s="7">
        <f>TONTJUIN24!H14+TONTJUIN24!I14</f>
        <v>0</v>
      </c>
      <c r="M14" s="7">
        <f>VLOOKUP($A14,[6]HISTOJUIL24!$A$6:$AV$49,16,0)</f>
        <v>0</v>
      </c>
      <c r="N14" s="7" t="str">
        <f>IF(M14&lt;&gt;0,VLOOKUP($A14,[6]HISTOJUIL24!$A$6:$AV$49,8,0),"ECHEC")</f>
        <v>ECHEC</v>
      </c>
      <c r="O14" s="7">
        <f>IF(R14=0,0,VLOOKUP($A14,[6]HISTOJUIL24!$A$6:$AV$49,32,0))</f>
        <v>0</v>
      </c>
      <c r="P14" s="7">
        <f>VLOOKUP($A14,[6]HISTOJUIL24!$A$6:$AV$49,33,0)</f>
        <v>0</v>
      </c>
      <c r="Q14" s="7">
        <f t="shared" si="1"/>
        <v>0</v>
      </c>
      <c r="R14" s="7">
        <f>VLOOKUP($A14,[6]HISTOJUIL24!$A$6:$AV$49,29,0)</f>
        <v>0</v>
      </c>
      <c r="S14" s="1"/>
    </row>
    <row r="15" spans="1:19" x14ac:dyDescent="0.35">
      <c r="A15" s="1" t="s">
        <v>15</v>
      </c>
      <c r="B15" s="7">
        <f>IF(D15=0,0,VLOOKUP($A15,[6]HISTOJUIL24!$A$6:$BP$44,10,0))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D15+VLOOKUP($A15,[6]HISTOJUIL24!$A$7:$AU$42,45,0)+F15</f>
        <v>65000</v>
      </c>
      <c r="F15" s="7">
        <f>VLOOKUP($A15,[6]HISTOJUIL24!$A$6:$AV$48,7,0)</f>
        <v>0</v>
      </c>
      <c r="G15" s="7" t="str">
        <f>VLOOKUP($A15,[6]HISTOJUIL24!$A$6:$AV$49,8,0)</f>
        <v>BANQUE</v>
      </c>
      <c r="H15" s="7">
        <f>VLOOKUP($A15,[6]HISTOJUIL24!$A$6:$AV$49,35,0)</f>
        <v>0</v>
      </c>
      <c r="I15" s="7">
        <f>VLOOKUP($A15,[6]HISTOJUIL24!$A$6:$AV$49,38,0)</f>
        <v>0</v>
      </c>
      <c r="J15" s="7">
        <f>IF(H15=0,0,VLOOKUP($A15,[6]HISTOJUIL24!$A$6:$AV$49,42,0))</f>
        <v>0</v>
      </c>
      <c r="K15" s="7">
        <f>VLOOKUP($A15,[6]HISTOJUIL24!$A$6:$AV$49,41,0)</f>
        <v>0</v>
      </c>
      <c r="L15" s="7">
        <f>TONTJUIN24!H15+TONTJUIN24!I15</f>
        <v>0</v>
      </c>
      <c r="M15" s="7">
        <f>VLOOKUP($A15,[6]HISTOJUIL24!$A$6:$AV$49,16,0)</f>
        <v>0</v>
      </c>
      <c r="N15" s="7" t="str">
        <f>IF(M15&lt;&gt;0,VLOOKUP($A15,[6]HISTOJUIL24!$A$6:$AV$49,8,0),"ECHEC")</f>
        <v>ECHEC</v>
      </c>
      <c r="O15" s="7">
        <f>IF(R15=0,0,VLOOKUP($A15,[6]HISTOJUIL24!$A$6:$AV$49,32,0))</f>
        <v>0</v>
      </c>
      <c r="P15" s="7">
        <f>VLOOKUP($A15,[6]HISTOJUIL24!$A$6:$AV$49,33,0)</f>
        <v>0</v>
      </c>
      <c r="Q15" s="7">
        <f t="shared" si="1"/>
        <v>0</v>
      </c>
      <c r="R15" s="7">
        <f>VLOOKUP($A15,[6]HISTOJUIL24!$A$6:$AV$49,29,0)</f>
        <v>0</v>
      </c>
      <c r="S15" s="1"/>
    </row>
    <row r="16" spans="1:19" x14ac:dyDescent="0.35">
      <c r="A16" s="1" t="s">
        <v>16</v>
      </c>
      <c r="B16" s="7">
        <f>IF(D16=0,0,VLOOKUP($A16,[6]HISTOJUIL24!$A$6:$BP$44,10,0))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D16+VLOOKUP($A16,[6]HISTOJUIL24!$A$7:$AU$42,45,0)+F16</f>
        <v>53000</v>
      </c>
      <c r="F16" s="7">
        <f>VLOOKUP($A16,[6]HISTOJUIL24!$A$6:$AV$48,7,0)</f>
        <v>3000</v>
      </c>
      <c r="G16" s="7" t="str">
        <f>VLOOKUP($A16,[6]HISTOJUIL24!$A$6:$AV$49,8,0)</f>
        <v>BANQUE</v>
      </c>
      <c r="H16" s="7">
        <f>VLOOKUP($A16,[6]HISTOJUIL24!$A$6:$AV$49,35,0)</f>
        <v>0</v>
      </c>
      <c r="I16" s="7">
        <f>VLOOKUP($A16,[6]HISTOJUIL24!$A$6:$AV$49,38,0)</f>
        <v>0</v>
      </c>
      <c r="J16" s="7">
        <f>IF(H16=0,0,VLOOKUP($A16,[6]HISTOJUIL24!$A$6:$AV$49,42,0))</f>
        <v>0</v>
      </c>
      <c r="K16" s="7">
        <f>VLOOKUP($A16,[6]HISTOJUIL24!$A$6:$AV$49,41,0)</f>
        <v>0</v>
      </c>
      <c r="L16" s="7">
        <f>TONTJUIN24!H16+TONTJUIN24!I16</f>
        <v>0</v>
      </c>
      <c r="M16" s="7">
        <f>VLOOKUP($A16,[6]HISTOJUIL24!$A$6:$AV$49,16,0)</f>
        <v>0</v>
      </c>
      <c r="N16" s="7" t="str">
        <f>IF(M16&lt;&gt;0,VLOOKUP($A16,[6]HISTOJUIL24!$A$6:$AV$49,8,0),"ECHEC")</f>
        <v>ECHEC</v>
      </c>
      <c r="O16" s="7">
        <f>IF(R16=0,0,VLOOKUP($A16,[6]HISTOJUIL24!$A$6:$AV$49,32,0))</f>
        <v>0</v>
      </c>
      <c r="P16" s="7">
        <f>VLOOKUP($A16,[6]HISTOJUIL24!$A$6:$AV$49,33,0)</f>
        <v>0</v>
      </c>
      <c r="Q16" s="7">
        <f t="shared" si="1"/>
        <v>0</v>
      </c>
      <c r="R16" s="7">
        <f>VLOOKUP($A16,[6]HISTOJUIL24!$A$6:$AV$49,29,0)</f>
        <v>0</v>
      </c>
      <c r="S16" s="1"/>
    </row>
    <row r="17" spans="1:19" x14ac:dyDescent="0.35">
      <c r="A17" s="1" t="s">
        <v>17</v>
      </c>
      <c r="B17" s="7">
        <f>IF(D17=0,0,VLOOKUP($A17,[6]HISTOJUIL24!$A$6:$BP$44,10,0))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D17+VLOOKUP($A17,[6]HISTOJUIL24!$A$7:$AU$42,45,0)+F17</f>
        <v>60000</v>
      </c>
      <c r="F17" s="7">
        <f>VLOOKUP($A17,[6]HISTOJUIL24!$A$6:$AV$48,7,0)</f>
        <v>0</v>
      </c>
      <c r="G17" s="7" t="str">
        <f>VLOOKUP($A17,[6]HISTOJUIL24!$A$6:$AV$49,8,0)</f>
        <v>BANQUE</v>
      </c>
      <c r="H17" s="7">
        <f>VLOOKUP($A17,[6]HISTOJUIL24!$A$6:$AV$49,35,0)</f>
        <v>0</v>
      </c>
      <c r="I17" s="7">
        <f>VLOOKUP($A17,[6]HISTOJUIL24!$A$6:$AV$49,38,0)</f>
        <v>0</v>
      </c>
      <c r="J17" s="7">
        <f>IF(H17=0,0,VLOOKUP($A17,[6]HISTOJUIL24!$A$6:$AV$49,42,0))</f>
        <v>0</v>
      </c>
      <c r="K17" s="7">
        <f>VLOOKUP($A17,[6]HISTOJUIL24!$A$6:$AV$49,41,0)</f>
        <v>0</v>
      </c>
      <c r="L17" s="7">
        <f>TONTJUIN24!H17+TONTJUIN24!I17</f>
        <v>0</v>
      </c>
      <c r="M17" s="7">
        <f>VLOOKUP($A17,[6]HISTOJUIL24!$A$6:$AV$49,16,0)</f>
        <v>0</v>
      </c>
      <c r="N17" s="7" t="str">
        <f>IF(M17&lt;&gt;0,VLOOKUP($A17,[6]HISTOJUIL24!$A$6:$AV$49,8,0),"ECHEC")</f>
        <v>ECHEC</v>
      </c>
      <c r="O17" s="7">
        <f>IF(R17=0,0,VLOOKUP($A17,[6]HISTOJUIL24!$A$6:$AV$49,32,0))</f>
        <v>0</v>
      </c>
      <c r="P17" s="7">
        <f>VLOOKUP($A17,[6]HISTOJUIL24!$A$6:$AV$49,33,0)</f>
        <v>0</v>
      </c>
      <c r="Q17" s="7">
        <f t="shared" si="1"/>
        <v>0</v>
      </c>
      <c r="R17" s="7">
        <f>VLOOKUP($A17,[6]HISTOJUIL24!$A$6:$AV$49,29,0)</f>
        <v>0</v>
      </c>
      <c r="S17" s="1"/>
    </row>
    <row r="18" spans="1:19" x14ac:dyDescent="0.35">
      <c r="A18" s="1" t="s">
        <v>96</v>
      </c>
      <c r="B18" s="7">
        <f>IF(D18=0,0,VLOOKUP($A18,[6]HISTOJUIL24!$A$6:$BP$44,10,0))</f>
        <v>1</v>
      </c>
      <c r="C18" s="1" t="str">
        <f>VLOOKUP(A18,[7]LISTADHERENT!A$5:H$60,3,0)</f>
        <v>MASSEUNGOUE DAGOBERT</v>
      </c>
      <c r="D18" s="7">
        <f t="shared" si="0"/>
        <v>25000</v>
      </c>
      <c r="E18" s="7">
        <f>D18+VLOOKUP($A18,[6]HISTOJUIL24!$A$7:$AU$42,45,0)+F18</f>
        <v>50000</v>
      </c>
      <c r="F18" s="7">
        <f>VLOOKUP($A18,[6]HISTOJUIL24!$A$6:$AV$48,7,0)</f>
        <v>0</v>
      </c>
      <c r="G18" s="7" t="str">
        <f>VLOOKUP($A18,[6]HISTOJUIL24!$A$6:$AV$49,8,0)</f>
        <v>BANQUE</v>
      </c>
      <c r="H18" s="7">
        <f>VLOOKUP($A18,[6]HISTOJUIL24!$A$6:$AV$49,35,0)</f>
        <v>0</v>
      </c>
      <c r="I18" s="7">
        <f>VLOOKUP($A18,[6]HISTOJUIL24!$A$6:$AV$49,38,0)</f>
        <v>0</v>
      </c>
      <c r="J18" s="7">
        <f>IF(H18=0,0,VLOOKUP($A18,[6]HISTOJUIL24!$A$6:$AV$49,42,0))</f>
        <v>0</v>
      </c>
      <c r="K18" s="7">
        <f>VLOOKUP($A18,[6]HISTOJUIL24!$A$6:$AV$49,41,0)</f>
        <v>0</v>
      </c>
      <c r="L18" s="7">
        <f>TONTJUIN24!H18+TONTJUIN24!I18</f>
        <v>0</v>
      </c>
      <c r="M18" s="7">
        <f>VLOOKUP($A18,[6]HISTOJUIL24!$A$6:$AV$49,16,0)</f>
        <v>0</v>
      </c>
      <c r="N18" s="7" t="str">
        <f>IF(M18&lt;&gt;0,VLOOKUP($A18,[6]HISTOJUIL24!$A$6:$AV$49,8,0),"ECHEC")</f>
        <v>ECHEC</v>
      </c>
      <c r="O18" s="7">
        <f>IF(R18=0,0,VLOOKUP($A18,[6]HISTOJUIL24!$A$6:$AV$49,32,0))</f>
        <v>0</v>
      </c>
      <c r="P18" s="7">
        <f>VLOOKUP($A18,[6]HISTOJUIL24!$A$6:$AV$49,33,0)</f>
        <v>0</v>
      </c>
      <c r="Q18" s="7">
        <f t="shared" si="1"/>
        <v>0</v>
      </c>
      <c r="R18" s="7">
        <f>VLOOKUP($A18,[6]HISTOJUIL24!$A$6:$AV$49,29,0)</f>
        <v>0</v>
      </c>
      <c r="S18" s="1"/>
    </row>
    <row r="19" spans="1:19" x14ac:dyDescent="0.35">
      <c r="A19" s="1" t="s">
        <v>44</v>
      </c>
      <c r="B19" s="7">
        <f>IF(D19=0,0,VLOOKUP($A19,[6]HISTOJUIL24!$A$6:$BP$44,10,0))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D19+VLOOKUP($A19,[6]HISTOJUIL24!$A$7:$AU$42,45,0)+F19</f>
        <v>50000</v>
      </c>
      <c r="F19" s="7">
        <f>VLOOKUP($A19,[6]HISTOJUIL24!$A$6:$AV$48,7,0)</f>
        <v>0</v>
      </c>
      <c r="G19" s="7" t="str">
        <f>VLOOKUP($A19,[6]HISTOJUIL24!$A$6:$AV$49,8,0)</f>
        <v>BANQUE</v>
      </c>
      <c r="H19" s="7">
        <f>VLOOKUP($A19,[6]HISTOJUIL24!$A$6:$AV$49,35,0)</f>
        <v>0</v>
      </c>
      <c r="I19" s="7">
        <f>VLOOKUP($A19,[6]HISTOJUIL24!$A$6:$AV$49,38,0)</f>
        <v>0</v>
      </c>
      <c r="J19" s="7">
        <f>IF(H19=0,0,VLOOKUP($A19,[6]HISTOJUIL24!$A$6:$AV$49,42,0))</f>
        <v>0</v>
      </c>
      <c r="K19" s="7">
        <f>VLOOKUP($A19,[6]HISTOJUIL24!$A$6:$AV$49,41,0)</f>
        <v>0</v>
      </c>
      <c r="L19" s="7">
        <f>TONTJUIN24!H19+TONTJUIN24!I19</f>
        <v>30500</v>
      </c>
      <c r="M19" s="7">
        <f>VLOOKUP($A19,[6]HISTOJUIL24!$A$6:$AV$49,16,0)</f>
        <v>30500</v>
      </c>
      <c r="N19" s="7" t="str">
        <f>IF(M19&lt;&gt;0,VLOOKUP($A19,[6]HISTOJUIL24!$A$6:$AV$49,8,0),"ECHEC")</f>
        <v>BANQUE</v>
      </c>
      <c r="O19" s="7" t="str">
        <f>IF(R19=0,0,VLOOKUP($A19,[6]HISTOJUIL24!$A$6:$AV$49,32,0))</f>
        <v>BANQUE</v>
      </c>
      <c r="P19" s="7">
        <f>VLOOKUP($A19,[6]HISTOJUIL24!$A$6:$AV$49,33,0)</f>
        <v>0</v>
      </c>
      <c r="Q19" s="7">
        <f t="shared" si="1"/>
        <v>297500</v>
      </c>
      <c r="R19" s="7">
        <f>VLOOKUP($A19,[6]HISTOJUIL24!$A$6:$AV$49,29,0)</f>
        <v>2500</v>
      </c>
      <c r="S19" s="1"/>
    </row>
    <row r="20" spans="1:19" x14ac:dyDescent="0.35">
      <c r="A20" s="1" t="s">
        <v>25</v>
      </c>
      <c r="B20" s="7">
        <f>IF(D20=0,0,VLOOKUP($A20,[6]HISTOJUIL24!$A$6:$BP$44,10,0))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D20+VLOOKUP($A20,[6]HISTOJUIL24!$A$7:$AU$42,45,0)+F20</f>
        <v>50000</v>
      </c>
      <c r="F20" s="7">
        <f>VLOOKUP($A20,[6]HISTOJUIL24!$A$6:$AV$48,7,0)</f>
        <v>0</v>
      </c>
      <c r="G20" s="7" t="str">
        <f>VLOOKUP($A20,[6]HISTOJUIL24!$A$6:$AV$49,8,0)</f>
        <v>BANQUE</v>
      </c>
      <c r="H20" s="7">
        <f>VLOOKUP($A20,[6]HISTOJUIL24!$A$6:$AV$49,35,0)</f>
        <v>0</v>
      </c>
      <c r="I20" s="7">
        <f>VLOOKUP($A20,[6]HISTOJUIL24!$A$6:$AV$49,38,0)</f>
        <v>0</v>
      </c>
      <c r="J20" s="7">
        <f>IF(H20=0,0,VLOOKUP($A20,[6]HISTOJUIL24!$A$6:$AV$49,42,0))</f>
        <v>0</v>
      </c>
      <c r="K20" s="7">
        <f>VLOOKUP($A20,[6]HISTOJUIL24!$A$6:$AV$49,41,0)</f>
        <v>0</v>
      </c>
      <c r="L20" s="7">
        <f>TONTJUIN24!H20+TONTJUIN24!I20</f>
        <v>0</v>
      </c>
      <c r="M20" s="7">
        <f>VLOOKUP($A20,[6]HISTOJUIL24!$A$6:$AV$49,16,0)</f>
        <v>0</v>
      </c>
      <c r="N20" s="7" t="str">
        <f>IF(M20&lt;&gt;0,VLOOKUP($A20,[6]HISTOJUIL24!$A$6:$AV$49,8,0),"ECHEC")</f>
        <v>ECHEC</v>
      </c>
      <c r="O20" s="7">
        <f>IF(R20=0,0,VLOOKUP($A20,[6]HISTOJUIL24!$A$6:$AV$49,32,0))</f>
        <v>0</v>
      </c>
      <c r="P20" s="7">
        <f>VLOOKUP($A20,[6]HISTOJUIL24!$A$6:$AV$49,33,0)</f>
        <v>0</v>
      </c>
      <c r="Q20" s="7">
        <f t="shared" si="1"/>
        <v>0</v>
      </c>
      <c r="R20" s="7">
        <f>VLOOKUP($A20,[6]HISTOJUIL24!$A$6:$AV$49,29,0)</f>
        <v>0</v>
      </c>
      <c r="S20" s="1"/>
    </row>
    <row r="21" spans="1:19" x14ac:dyDescent="0.35">
      <c r="A21" s="1" t="s">
        <v>18</v>
      </c>
      <c r="B21" s="7">
        <f>IF(D21=0,0,VLOOKUP($A21,[6]HISTOJUIL24!$A$6:$BP$44,10,0))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D21+VLOOKUP($A21,[6]HISTOJUIL24!$A$7:$AU$42,45,0)+F21</f>
        <v>50000</v>
      </c>
      <c r="F21" s="7">
        <f>VLOOKUP($A21,[6]HISTOJUIL24!$A$6:$AV$48,7,0)</f>
        <v>0</v>
      </c>
      <c r="G21" s="7" t="str">
        <f>VLOOKUP($A21,[6]HISTOJUIL24!$A$6:$AV$49,8,0)</f>
        <v>BANQUE</v>
      </c>
      <c r="H21" s="7">
        <f>VLOOKUP($A21,[6]HISTOJUIL24!$A$6:$AV$49,35,0)</f>
        <v>0</v>
      </c>
      <c r="I21" s="7">
        <f>VLOOKUP($A21,[6]HISTOJUIL24!$A$6:$AV$49,38,0)</f>
        <v>0</v>
      </c>
      <c r="J21" s="7">
        <f>IF(H21=0,0,VLOOKUP($A21,[6]HISTOJUIL24!$A$6:$AV$49,42,0))</f>
        <v>0</v>
      </c>
      <c r="K21" s="7">
        <f>VLOOKUP($A21,[6]HISTOJUIL24!$A$6:$AV$49,41,0)</f>
        <v>0</v>
      </c>
      <c r="L21" s="7">
        <f>TONTJUIN24!H21+TONTJUIN24!I21</f>
        <v>0</v>
      </c>
      <c r="M21" s="7">
        <f>VLOOKUP($A21,[6]HISTOJUIL24!$A$6:$AV$49,16,0)</f>
        <v>0</v>
      </c>
      <c r="N21" s="7" t="str">
        <f>IF(M21&lt;&gt;0,VLOOKUP($A21,[6]HISTOJUIL24!$A$6:$AV$49,8,0),"ECHEC")</f>
        <v>ECHEC</v>
      </c>
      <c r="O21" s="7">
        <f>IF(R21=0,0,VLOOKUP($A21,[6]HISTOJUIL24!$A$6:$AV$49,32,0))</f>
        <v>0</v>
      </c>
      <c r="P21" s="7">
        <f>VLOOKUP($A21,[6]HISTOJUIL24!$A$6:$AV$49,33,0)</f>
        <v>0</v>
      </c>
      <c r="Q21" s="7">
        <f t="shared" si="1"/>
        <v>0</v>
      </c>
      <c r="R21" s="7">
        <f>VLOOKUP($A21,[6]HISTOJUIL24!$A$6:$AV$49,29,0)</f>
        <v>0</v>
      </c>
      <c r="S21" s="1"/>
    </row>
    <row r="22" spans="1:19" x14ac:dyDescent="0.35">
      <c r="A22" s="1" t="s">
        <v>19</v>
      </c>
      <c r="B22" s="7">
        <f>IF(D22=0,0,VLOOKUP($A22,[6]HISTOJUIL24!$A$6:$BP$44,10,0))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D22+VLOOKUP($A22,[6]HISTOJUIL24!$A$7:$AU$42,45,0)+F22</f>
        <v>70000</v>
      </c>
      <c r="F22" s="7">
        <f>VLOOKUP($A22,[6]HISTOJUIL24!$A$6:$AV$48,7,0)</f>
        <v>0</v>
      </c>
      <c r="G22" s="7" t="str">
        <f>VLOOKUP($A22,[6]HISTOJUIL24!$A$6:$AV$49,8,0)</f>
        <v>BANQUE</v>
      </c>
      <c r="H22" s="7">
        <f>VLOOKUP($A22,[6]HISTOJUIL24!$A$6:$AV$49,35,0)</f>
        <v>0</v>
      </c>
      <c r="I22" s="7">
        <f>VLOOKUP($A22,[6]HISTOJUIL24!$A$6:$AV$49,38,0)</f>
        <v>0</v>
      </c>
      <c r="J22" s="7">
        <f>IF(H22=0,0,VLOOKUP($A22,[6]HISTOJUIL24!$A$6:$AV$49,42,0))</f>
        <v>0</v>
      </c>
      <c r="K22" s="7">
        <f>VLOOKUP($A22,[6]HISTOJUIL24!$A$6:$AV$49,41,0)</f>
        <v>0</v>
      </c>
      <c r="L22" s="7">
        <f>TONTJUIN24!H22+TONTJUIN24!I22</f>
        <v>0</v>
      </c>
      <c r="M22" s="7">
        <f>VLOOKUP($A22,[6]HISTOJUIL24!$A$6:$AV$49,16,0)</f>
        <v>0</v>
      </c>
      <c r="N22" s="7" t="str">
        <f>IF(M22&lt;&gt;0,VLOOKUP($A22,[6]HISTOJUIL24!$A$6:$AV$49,8,0),"ECHEC")</f>
        <v>ECHEC</v>
      </c>
      <c r="O22" s="7">
        <f>IF(R22=0,0,VLOOKUP($A22,[6]HISTOJUIL24!$A$6:$AV$49,32,0))</f>
        <v>0</v>
      </c>
      <c r="P22" s="7">
        <f>VLOOKUP($A22,[6]HISTOJUIL24!$A$6:$AV$49,33,0)</f>
        <v>0</v>
      </c>
      <c r="Q22" s="7">
        <f t="shared" si="1"/>
        <v>0</v>
      </c>
      <c r="R22" s="7">
        <f>VLOOKUP($A22,[6]HISTOJUIL24!$A$6:$AV$49,29,0)</f>
        <v>0</v>
      </c>
      <c r="S22" s="1"/>
    </row>
    <row r="23" spans="1:19" x14ac:dyDescent="0.35">
      <c r="A23" s="1" t="s">
        <v>20</v>
      </c>
      <c r="B23" s="7">
        <f>IF(D23=0,0,VLOOKUP($A23,[6]HISTOJUIL24!$A$6:$BP$44,10,0))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D23+VLOOKUP($A23,[6]HISTOJUIL24!$A$7:$AU$42,45,0)+F23</f>
        <v>65000</v>
      </c>
      <c r="F23" s="7">
        <f>VLOOKUP($A23,[6]HISTOJUIL24!$A$6:$AV$48,7,0)</f>
        <v>0</v>
      </c>
      <c r="G23" s="7" t="str">
        <f>VLOOKUP($A23,[6]HISTOJUIL24!$A$6:$AV$49,8,0)</f>
        <v>BANQUE</v>
      </c>
      <c r="H23" s="7">
        <f>VLOOKUP($A23,[6]HISTOJUIL24!$A$6:$AV$49,35,0)</f>
        <v>0</v>
      </c>
      <c r="I23" s="7">
        <f>VLOOKUP($A23,[6]HISTOJUIL24!$A$6:$AV$49,38,0)</f>
        <v>0</v>
      </c>
      <c r="J23" s="7">
        <f>IF(H23=0,0,VLOOKUP($A23,[6]HISTOJUIL24!$A$6:$AV$49,42,0))</f>
        <v>0</v>
      </c>
      <c r="K23" s="7">
        <f>VLOOKUP($A23,[6]HISTOJUIL24!$A$6:$AV$49,41,0)</f>
        <v>0</v>
      </c>
      <c r="L23" s="7">
        <f>TONTJUIN24!H23+TONTJUIN24!I23</f>
        <v>0</v>
      </c>
      <c r="M23" s="7">
        <f>VLOOKUP($A23,[6]HISTOJUIL24!$A$6:$AV$49,16,0)</f>
        <v>0</v>
      </c>
      <c r="N23" s="7" t="str">
        <f>IF(M23&lt;&gt;0,VLOOKUP($A23,[6]HISTOJUIL24!$A$6:$AV$49,8,0),"ECHEC")</f>
        <v>ECHEC</v>
      </c>
      <c r="O23" s="7">
        <f>IF(R23=0,0,VLOOKUP($A23,[6]HISTOJUIL24!$A$6:$AV$49,32,0))</f>
        <v>0</v>
      </c>
      <c r="P23" s="7">
        <f>VLOOKUP($A23,[6]HISTOJUIL24!$A$6:$AV$49,33,0)</f>
        <v>0</v>
      </c>
      <c r="Q23" s="7">
        <f t="shared" si="1"/>
        <v>0</v>
      </c>
      <c r="R23" s="7">
        <f>VLOOKUP($A23,[6]HISTOJUIL24!$A$6:$AV$49,29,0)</f>
        <v>0</v>
      </c>
      <c r="S23" s="1"/>
    </row>
    <row r="24" spans="1:19" x14ac:dyDescent="0.35">
      <c r="A24" s="1" t="s">
        <v>21</v>
      </c>
      <c r="B24" s="7">
        <f>IF(D24=0,0,VLOOKUP($A24,[6]HISTOJUIL24!$A$6:$BP$44,10,0))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D24+VLOOKUP($A24,[6]HISTOJUIL24!$A$7:$AU$42,45,0)+F24</f>
        <v>50000</v>
      </c>
      <c r="F24" s="7">
        <f>VLOOKUP($A24,[6]HISTOJUIL24!$A$6:$AV$48,7,0)</f>
        <v>0</v>
      </c>
      <c r="G24" s="7" t="str">
        <f>VLOOKUP($A24,[6]HISTOJUIL24!$A$6:$AV$49,8,0)</f>
        <v>BANQUE</v>
      </c>
      <c r="H24" s="7">
        <f>VLOOKUP($A24,[6]HISTOJUIL24!$A$6:$AV$49,35,0)</f>
        <v>30000</v>
      </c>
      <c r="I24" s="7">
        <f>VLOOKUP($A24,[6]HISTOJUIL24!$A$6:$AV$49,38,0)</f>
        <v>1000</v>
      </c>
      <c r="J24" s="7" t="str">
        <f>IF(H24=0,0,VLOOKUP($A24,[6]HISTOJUIL24!$A$6:$AV$49,42,0))</f>
        <v>BANQUE</v>
      </c>
      <c r="K24" s="7">
        <f>VLOOKUP($A24,[6]HISTOJUIL24!$A$6:$AV$49,41,0)</f>
        <v>0</v>
      </c>
      <c r="L24" s="7">
        <f>TONTJUIN24!H24+TONTJUIN24!I24</f>
        <v>61000</v>
      </c>
      <c r="M24" s="7">
        <f>VLOOKUP($A24,[6]HISTOJUIL24!$A$6:$AV$49,16,0)</f>
        <v>61000</v>
      </c>
      <c r="N24" s="7" t="str">
        <f>IF(M24&lt;&gt;0,VLOOKUP($A24,[6]HISTOJUIL24!$A$6:$AV$49,8,0),"ECHEC")</f>
        <v>BANQUE</v>
      </c>
      <c r="O24" s="7">
        <f>IF(R24=0,0,VLOOKUP($A24,[6]HISTOJUIL24!$A$6:$AV$49,32,0))</f>
        <v>0</v>
      </c>
      <c r="P24" s="7">
        <f>VLOOKUP($A24,[6]HISTOJUIL24!$A$6:$AV$49,33,0)</f>
        <v>0</v>
      </c>
      <c r="Q24" s="7">
        <f t="shared" si="1"/>
        <v>0</v>
      </c>
      <c r="R24" s="7">
        <f>VLOOKUP($A24,[6]HISTOJUIL24!$A$6:$AV$49,29,0)</f>
        <v>0</v>
      </c>
      <c r="S24" s="1"/>
    </row>
    <row r="25" spans="1:19" x14ac:dyDescent="0.35">
      <c r="A25" s="1" t="s">
        <v>22</v>
      </c>
      <c r="B25" s="7">
        <f>IF(D25=0,0,VLOOKUP($A25,[6]HISTOJUIL24!$A$6:$BP$44,10,0))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D25+VLOOKUP($A25,[6]HISTOJUIL24!$A$7:$AU$42,45,0)+F25</f>
        <v>50000</v>
      </c>
      <c r="F25" s="7">
        <f>VLOOKUP($A25,[6]HISTOJUIL24!$A$6:$AV$48,7,0)</f>
        <v>0</v>
      </c>
      <c r="G25" s="7" t="str">
        <f>VLOOKUP($A25,[6]HISTOJUIL24!$A$6:$AV$49,8,0)</f>
        <v>BANQUE</v>
      </c>
      <c r="H25" s="7">
        <f>VLOOKUP($A25,[6]HISTOJUIL24!$A$6:$AV$49,35,0)</f>
        <v>0</v>
      </c>
      <c r="I25" s="7">
        <f>VLOOKUP($A25,[6]HISTOJUIL24!$A$6:$AV$49,38,0)</f>
        <v>0</v>
      </c>
      <c r="J25" s="7">
        <f>IF(H25=0,0,VLOOKUP($A25,[6]HISTOJUIL24!$A$6:$AV$49,42,0))</f>
        <v>0</v>
      </c>
      <c r="K25" s="7">
        <f>VLOOKUP($A25,[6]HISTOJUIL24!$A$6:$AV$49,41,0)</f>
        <v>0</v>
      </c>
      <c r="L25" s="7">
        <f>TONTJUIN24!H25+TONTJUIN24!I25</f>
        <v>24000</v>
      </c>
      <c r="M25" s="7">
        <f>VLOOKUP($A25,[6]HISTOJUIL24!$A$6:$AV$49,16,0)</f>
        <v>24000</v>
      </c>
      <c r="N25" s="7" t="str">
        <f>IF(M25&lt;&gt;0,VLOOKUP($A25,[6]HISTOJUIL24!$A$6:$AV$49,8,0),"ECHEC")</f>
        <v>BANQUE</v>
      </c>
      <c r="O25" s="7">
        <f>IF(R25=0,0,VLOOKUP($A25,[6]HISTOJUIL24!$A$6:$AV$49,32,0))</f>
        <v>0</v>
      </c>
      <c r="P25" s="7">
        <f>VLOOKUP($A25,[6]HISTOJUIL24!$A$6:$AV$49,33,0)</f>
        <v>0</v>
      </c>
      <c r="Q25" s="7">
        <f t="shared" si="1"/>
        <v>0</v>
      </c>
      <c r="R25" s="7">
        <f>VLOOKUP($A25,[6]HISTOJUIL24!$A$6:$AV$49,29,0)</f>
        <v>0</v>
      </c>
      <c r="S25" s="1"/>
    </row>
    <row r="26" spans="1:19" x14ac:dyDescent="0.35">
      <c r="A26" s="1" t="s">
        <v>85</v>
      </c>
      <c r="B26" s="7">
        <f>IF(D26=0,0,VLOOKUP($A26,[6]HISTOJUIL24!$A$6:$BP$44,10,0))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D26+VLOOKUP($A26,[6]HISTOJUIL24!$A$7:$AU$42,45,0)+F26</f>
        <v>50000</v>
      </c>
      <c r="F26" s="7">
        <f>VLOOKUP($A26,[6]HISTOJUIL24!$A$6:$AV$48,7,0)</f>
        <v>0</v>
      </c>
      <c r="G26" s="7" t="str">
        <f>VLOOKUP($A26,[6]HISTOJUIL24!$A$6:$AV$49,8,0)</f>
        <v>BANQUE</v>
      </c>
      <c r="H26" s="7">
        <f>VLOOKUP($A26,[6]HISTOJUIL24!$A$6:$AV$49,35,0)</f>
        <v>0</v>
      </c>
      <c r="I26" s="7">
        <f>VLOOKUP($A26,[6]HISTOJUIL24!$A$6:$AV$49,38,0)</f>
        <v>0</v>
      </c>
      <c r="J26" s="7">
        <f>IF(H26=0,0,VLOOKUP($A26,[6]HISTOJUIL24!$A$6:$AV$49,42,0))</f>
        <v>0</v>
      </c>
      <c r="K26" s="7">
        <f>VLOOKUP($A26,[6]HISTOJUIL24!$A$6:$AV$49,41,0)</f>
        <v>0</v>
      </c>
      <c r="L26" s="7">
        <f>TONTJUIN24!H26+TONTJUIN24!I26</f>
        <v>0</v>
      </c>
      <c r="M26" s="7">
        <f>VLOOKUP($A26,[6]HISTOJUIL24!$A$6:$AV$49,16,0)</f>
        <v>0</v>
      </c>
      <c r="N26" s="7" t="str">
        <f>IF(M26&lt;&gt;0,VLOOKUP($A26,[6]HISTOJUIL24!$A$6:$AV$49,8,0),"ECHEC")</f>
        <v>ECHEC</v>
      </c>
      <c r="O26" s="7">
        <f>IF(R26=0,0,VLOOKUP($A26,[6]HISTOJUIL24!$A$6:$AV$49,32,0))</f>
        <v>0</v>
      </c>
      <c r="P26" s="7">
        <f>VLOOKUP($A26,[6]HISTOJUIL24!$A$6:$AV$49,33,0)</f>
        <v>0</v>
      </c>
      <c r="Q26" s="7">
        <f t="shared" si="1"/>
        <v>0</v>
      </c>
      <c r="R26" s="7">
        <f>VLOOKUP($A26,[6]HISTOJUIL24!$A$6:$AV$49,29,0)</f>
        <v>0</v>
      </c>
    </row>
    <row r="27" spans="1:19" x14ac:dyDescent="0.35">
      <c r="A27" s="1" t="s">
        <v>23</v>
      </c>
      <c r="B27" s="7">
        <f>IF(D27=0,0,VLOOKUP($A27,[6]HISTOJUIL24!$A$6:$BP$44,10,0))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D27+VLOOKUP($A27,[6]HISTOJUIL24!$A$7:$AU$42,45,0)+F27</f>
        <v>50000</v>
      </c>
      <c r="F27" s="7">
        <f>VLOOKUP($A27,[6]HISTOJUIL24!$A$6:$AV$48,7,0)</f>
        <v>0</v>
      </c>
      <c r="G27" s="7" t="str">
        <f>VLOOKUP($A27,[6]HISTOJUIL24!$A$6:$AV$49,8,0)</f>
        <v>BANQUE</v>
      </c>
      <c r="H27" s="7">
        <f>VLOOKUP($A27,[6]HISTOJUIL24!$A$6:$AV$49,35,0)</f>
        <v>0</v>
      </c>
      <c r="I27" s="7">
        <f>VLOOKUP($A27,[6]HISTOJUIL24!$A$6:$AV$49,38,0)</f>
        <v>0</v>
      </c>
      <c r="J27" s="7">
        <f>IF(H27=0,0,VLOOKUP($A27,[6]HISTOJUIL24!$A$6:$AV$49,42,0))</f>
        <v>0</v>
      </c>
      <c r="K27" s="7">
        <f>VLOOKUP($A27,[6]HISTOJUIL24!$A$6:$AV$49,41,0)</f>
        <v>0</v>
      </c>
      <c r="L27" s="7">
        <f>TONTJUIN24!H27+TONTJUIN24!I27</f>
        <v>0</v>
      </c>
      <c r="M27" s="7">
        <f>VLOOKUP($A27,[6]HISTOJUIL24!$A$6:$AV$49,16,0)</f>
        <v>0</v>
      </c>
      <c r="N27" s="7" t="str">
        <f>IF(M27&lt;&gt;0,VLOOKUP($A27,[6]HISTOJUIL24!$A$6:$AV$49,8,0),"ECHEC")</f>
        <v>ECHEC</v>
      </c>
      <c r="O27" s="7">
        <f>IF(R27=0,0,VLOOKUP($A27,[6]HISTOJUIL24!$A$6:$AV$49,32,0))</f>
        <v>0</v>
      </c>
      <c r="P27" s="7">
        <f>VLOOKUP($A27,[6]HISTOJUIL24!$A$6:$AV$49,33,0)</f>
        <v>0</v>
      </c>
      <c r="Q27" s="7">
        <f t="shared" si="1"/>
        <v>0</v>
      </c>
      <c r="R27" s="7">
        <f>VLOOKUP($A27,[6]HISTOJUIL24!$A$6:$AV$49,29,0)</f>
        <v>0</v>
      </c>
    </row>
    <row r="28" spans="1:19" x14ac:dyDescent="0.35">
      <c r="A28" s="1" t="s">
        <v>86</v>
      </c>
      <c r="B28" s="7">
        <f>IF(D28=0,0,VLOOKUP($A28,[6]HISTOJUIL24!$A$6:$BP$44,10,0))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D28+VLOOKUP($A28,[6]HISTOJUIL24!$A$7:$AU$42,45,0)+F28</f>
        <v>50000</v>
      </c>
      <c r="F28" s="7">
        <f>VLOOKUP($A28,[6]HISTOJUIL24!$A$6:$AV$48,7,0)</f>
        <v>0</v>
      </c>
      <c r="G28" s="7" t="str">
        <f>VLOOKUP($A28,[6]HISTOJUIL24!$A$6:$AV$49,8,0)</f>
        <v>BANQUE</v>
      </c>
      <c r="H28" s="7">
        <f>VLOOKUP($A28,[6]HISTOJUIL24!$A$6:$AV$49,35,0)</f>
        <v>54500</v>
      </c>
      <c r="I28" s="7">
        <f>VLOOKUP($A28,[6]HISTOJUIL24!$A$6:$AV$49,38,0)</f>
        <v>1500</v>
      </c>
      <c r="J28" s="7">
        <f>IF(H28=0,0,VLOOKUP($A28,[6]HISTOJUIL24!$A$6:$AV$49,42,0))</f>
        <v>0</v>
      </c>
      <c r="K28" s="7">
        <f>VLOOKUP($A28,[6]HISTOJUIL24!$A$6:$AV$49,41,0)</f>
        <v>0</v>
      </c>
      <c r="L28" s="7">
        <f>TONTJUIN24!H28+TONTJUIN24!I28</f>
        <v>0</v>
      </c>
      <c r="M28" s="7">
        <f>VLOOKUP($A28,[6]HISTOJUIL24!$A$6:$AV$49,16,0)</f>
        <v>0</v>
      </c>
      <c r="N28" s="7" t="str">
        <f>IF(M28&lt;&gt;0,VLOOKUP($A28,[6]HISTOJUIL24!$A$6:$AV$49,8,0),"ECHEC")</f>
        <v>ECHEC</v>
      </c>
      <c r="O28" s="7">
        <f>IF(R28=0,0,VLOOKUP($A28,[6]HISTOJUIL24!$A$6:$AV$49,32,0))</f>
        <v>0</v>
      </c>
      <c r="P28" s="7">
        <f>VLOOKUP($A28,[6]HISTOJUIL24!$A$6:$AV$49,33,0)</f>
        <v>0</v>
      </c>
      <c r="Q28" s="7">
        <f t="shared" si="1"/>
        <v>0</v>
      </c>
      <c r="R28" s="7">
        <f>VLOOKUP($A28,[6]HISTOJUIL24!$A$6:$AV$49,29,0)</f>
        <v>0</v>
      </c>
    </row>
    <row r="29" spans="1:19" x14ac:dyDescent="0.35">
      <c r="A29" s="1" t="s">
        <v>46</v>
      </c>
      <c r="B29" s="7">
        <f>IF(D29=0,0,VLOOKUP($A29,[6]HISTOJUIL24!$A$6:$BP$44,10,0))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D29+VLOOKUP($A29,[6]HISTOJUIL24!$A$7:$AU$42,45,0)+F29</f>
        <v>53000</v>
      </c>
      <c r="F29" s="7">
        <f>VLOOKUP($A29,[6]HISTOJUIL24!$A$6:$AV$48,7,0)</f>
        <v>0</v>
      </c>
      <c r="G29" s="7" t="str">
        <f>VLOOKUP($A29,[6]HISTOJUIL24!$A$6:$AV$49,8,0)</f>
        <v>BANQUE</v>
      </c>
      <c r="H29" s="7">
        <f>VLOOKUP($A29,[6]HISTOJUIL24!$A$6:$AV$49,35,0)</f>
        <v>0</v>
      </c>
      <c r="I29" s="7">
        <f>VLOOKUP($A29,[6]HISTOJUIL24!$A$6:$AV$49,38,0)</f>
        <v>0</v>
      </c>
      <c r="J29" s="7">
        <f>IF(H29=0,0,VLOOKUP($A29,[6]HISTOJUIL24!$A$6:$AV$49,42,0))</f>
        <v>0</v>
      </c>
      <c r="K29" s="7">
        <f>VLOOKUP($A29,[6]HISTOJUIL24!$A$6:$AV$49,41,0)</f>
        <v>0</v>
      </c>
      <c r="L29" s="7">
        <f>TONTJUIN24!H29+TONTJUIN24!I29</f>
        <v>0</v>
      </c>
      <c r="M29" s="7">
        <f>VLOOKUP($A29,[6]HISTOJUIL24!$A$6:$AV$49,16,0)</f>
        <v>0</v>
      </c>
      <c r="N29" s="7" t="str">
        <f>IF(M29&lt;&gt;0,VLOOKUP($A29,[6]HISTOJUIL24!$A$6:$AV$49,8,0),"ECHEC")</f>
        <v>ECHEC</v>
      </c>
      <c r="O29" s="7">
        <f>IF(R29=0,0,VLOOKUP($A29,[6]HISTOJUIL24!$A$6:$AV$49,32,0))</f>
        <v>0</v>
      </c>
      <c r="P29" s="7">
        <f>VLOOKUP($A29,[6]HISTOJUIL24!$A$6:$AV$49,33,0)</f>
        <v>0</v>
      </c>
      <c r="Q29" s="7">
        <f t="shared" si="1"/>
        <v>0</v>
      </c>
      <c r="R29" s="7">
        <f>VLOOKUP($A29,[6]HISTOJUIL24!$A$6:$AV$49,29,0)</f>
        <v>0</v>
      </c>
    </row>
    <row r="30" spans="1:19" x14ac:dyDescent="0.35">
      <c r="A30" s="1" t="s">
        <v>24</v>
      </c>
      <c r="B30" s="7">
        <f>IF(D30=0,0,VLOOKUP($A30,[6]HISTOJUIL24!$A$6:$BP$44,10,0))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D30+VLOOKUP($A30,[6]HISTOJUIL24!$A$7:$AU$42,45,0)+F30</f>
        <v>50000</v>
      </c>
      <c r="F30" s="7">
        <f>VLOOKUP($A30,[6]HISTOJUIL24!$A$6:$AV$48,7,0)</f>
        <v>0</v>
      </c>
      <c r="G30" s="7" t="str">
        <f>VLOOKUP($A30,[6]HISTOJUIL24!$A$6:$AV$49,8,0)</f>
        <v>BANQUE</v>
      </c>
      <c r="H30" s="7">
        <f>VLOOKUP($A30,[6]HISTOJUIL24!$A$6:$AV$49,35,0)</f>
        <v>0</v>
      </c>
      <c r="I30" s="7">
        <f>VLOOKUP($A30,[6]HISTOJUIL24!$A$6:$AV$49,38,0)</f>
        <v>0</v>
      </c>
      <c r="J30" s="7">
        <f>IF(H30=0,0,VLOOKUP($A30,[6]HISTOJUIL24!$A$6:$AV$49,42,0))</f>
        <v>0</v>
      </c>
      <c r="K30" s="7">
        <f>VLOOKUP($A30,[6]HISTOJUIL24!$A$6:$AV$49,41,0)</f>
        <v>0</v>
      </c>
      <c r="L30" s="7">
        <f>TONTJUIN24!H30+TONTJUIN24!I30</f>
        <v>0</v>
      </c>
      <c r="M30" s="7">
        <f>VLOOKUP($A30,[6]HISTOJUIL24!$A$6:$AV$49,16,0)</f>
        <v>0</v>
      </c>
      <c r="N30" s="7" t="str">
        <f>IF(M30&lt;&gt;0,VLOOKUP($A30,[6]HISTOJUIL24!$A$6:$AV$49,8,0),"ECHEC")</f>
        <v>ECHEC</v>
      </c>
      <c r="O30" s="7">
        <f>IF(R30=0,0,VLOOKUP($A30,[6]HISTOJUIL24!$A$6:$AV$49,32,0))</f>
        <v>0</v>
      </c>
      <c r="P30" s="7">
        <f>VLOOKUP($A30,[6]HISTOJUIL24!$A$6:$AV$49,33,0)</f>
        <v>0</v>
      </c>
      <c r="Q30" s="7">
        <f t="shared" si="1"/>
        <v>0</v>
      </c>
      <c r="R30" s="7">
        <f>VLOOKUP($A30,[6]HISTOJUIL24!$A$6:$AV$49,29,0)</f>
        <v>0</v>
      </c>
    </row>
    <row r="31" spans="1:19" x14ac:dyDescent="0.35">
      <c r="A31" s="1" t="s">
        <v>26</v>
      </c>
      <c r="B31" s="7">
        <f>IF(D31=0,0,VLOOKUP($A31,[6]HISTOJUIL24!$A$6:$BP$44,10,0))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D31+VLOOKUP($A31,[6]HISTOJUIL24!$A$7:$AU$42,45,0)+F31</f>
        <v>1050000</v>
      </c>
      <c r="F31" s="7">
        <f>VLOOKUP($A31,[6]HISTOJUIL24!$A$6:$AV$48,7,0)</f>
        <v>0</v>
      </c>
      <c r="G31" s="7" t="str">
        <f>VLOOKUP($A31,[6]HISTOJUIL24!$A$6:$AV$49,8,0)</f>
        <v>BANQUE</v>
      </c>
      <c r="H31" s="7">
        <f>VLOOKUP($A31,[6]HISTOJUIL24!$A$6:$AV$49,35,0)</f>
        <v>0</v>
      </c>
      <c r="I31" s="7">
        <f>VLOOKUP($A31,[6]HISTOJUIL24!$A$6:$AV$49,38,0)</f>
        <v>0</v>
      </c>
      <c r="J31" s="7">
        <f>IF(H31=0,0,VLOOKUP($A31,[6]HISTOJUIL24!$A$6:$AV$49,42,0))</f>
        <v>0</v>
      </c>
      <c r="K31" s="7">
        <f>VLOOKUP($A31,[6]HISTOJUIL24!$A$6:$AV$49,41,0)</f>
        <v>0</v>
      </c>
      <c r="L31" s="7">
        <f>TONTJUIN24!H31+TONTJUIN24!I31</f>
        <v>0</v>
      </c>
      <c r="M31" s="7">
        <f>VLOOKUP($A31,[6]HISTOJUIL24!$A$6:$AV$49,16,0)</f>
        <v>0</v>
      </c>
      <c r="N31" s="7" t="str">
        <f>IF(M31&lt;&gt;0,VLOOKUP($A31,[6]HISTOJUIL24!$A$6:$AV$49,8,0),"ECHEC")</f>
        <v>ECHEC</v>
      </c>
      <c r="O31" s="7">
        <f>IF(R31=0,0,VLOOKUP($A31,[6]HISTOJUIL24!$A$6:$AV$49,32,0))</f>
        <v>0</v>
      </c>
      <c r="P31" s="7">
        <f>VLOOKUP($A31,[6]HISTOJUIL24!$A$6:$AV$49,33,0)</f>
        <v>0</v>
      </c>
      <c r="Q31" s="7">
        <f t="shared" si="1"/>
        <v>0</v>
      </c>
      <c r="R31" s="7">
        <f>VLOOKUP($A31,[6]HISTOJUIL24!$A$6:$AV$49,29,0)</f>
        <v>0</v>
      </c>
    </row>
    <row r="32" spans="1:19" x14ac:dyDescent="0.35">
      <c r="A32" s="1" t="s">
        <v>95</v>
      </c>
      <c r="B32" s="7">
        <f>IF(D32=0,0,VLOOKUP($A32,[6]HISTOJUIL24!$A$6:$BP$44,10,0))</f>
        <v>1</v>
      </c>
      <c r="C32" s="1" t="str">
        <f>VLOOKUP(A32,[7]LISTADHERENT!A$5:H$60,3,0)</f>
        <v>TCHOUATEU AUGUSTIN</v>
      </c>
      <c r="D32" s="7">
        <f t="shared" si="0"/>
        <v>25000</v>
      </c>
      <c r="E32" s="7">
        <f>D32+VLOOKUP($A32,[6]HISTOJUIL24!$A$7:$AU$42,45,0)+F32</f>
        <v>60000</v>
      </c>
      <c r="F32" s="7">
        <f>VLOOKUP($A32,[6]HISTOJUIL24!$A$6:$AV$48,7,0)</f>
        <v>0</v>
      </c>
      <c r="G32" s="7" t="str">
        <f>VLOOKUP($A32,[6]HISTOJUIL24!$A$6:$AV$49,8,0)</f>
        <v>BANQUE</v>
      </c>
      <c r="H32" s="7">
        <f>VLOOKUP($A32,[6]HISTOJUIL24!$A$6:$AV$49,35,0)</f>
        <v>0</v>
      </c>
      <c r="I32" s="7">
        <f>VLOOKUP($A32,[6]HISTOJUIL24!$A$6:$AV$49,38,0)</f>
        <v>0</v>
      </c>
      <c r="J32" s="7">
        <f>IF(H32=0,0,VLOOKUP($A32,[6]HISTOJUIL24!$A$6:$AV$49,42,0))</f>
        <v>0</v>
      </c>
      <c r="K32" s="7">
        <f>VLOOKUP($A32,[6]HISTOJUIL24!$A$6:$AV$49,41,0)</f>
        <v>0</v>
      </c>
      <c r="L32" s="7">
        <f>TONTJUIN24!H32+TONTJUIN24!I32</f>
        <v>0</v>
      </c>
      <c r="M32" s="7">
        <f>VLOOKUP($A32,[6]HISTOJUIL24!$A$6:$AV$49,16,0)</f>
        <v>0</v>
      </c>
      <c r="N32" s="7" t="str">
        <f>IF(M32&lt;&gt;0,VLOOKUP($A32,[6]HISTOJUIL24!$A$6:$AV$49,8,0),"ECHEC")</f>
        <v>ECHEC</v>
      </c>
      <c r="O32" s="7">
        <f>IF(R32=0,0,VLOOKUP($A32,[6]HISTOJUIL24!$A$6:$AV$49,32,0))</f>
        <v>0</v>
      </c>
      <c r="P32" s="7">
        <f>VLOOKUP($A32,[6]HISTOJUIL24!$A$6:$AV$49,33,0)</f>
        <v>0</v>
      </c>
      <c r="Q32" s="7">
        <f t="shared" si="1"/>
        <v>0</v>
      </c>
      <c r="R32" s="7">
        <f>VLOOKUP($A32,[6]HISTOJUIL24!$A$6:$AV$49,29,0)</f>
        <v>0</v>
      </c>
    </row>
    <row r="33" spans="1:18" x14ac:dyDescent="0.35">
      <c r="A33" s="1" t="s">
        <v>87</v>
      </c>
      <c r="B33" s="7">
        <f>IF(D33=0,0,VLOOKUP($A33,[6]HISTOJUIL24!$A$6:$BP$44,10,0))</f>
        <v>1</v>
      </c>
      <c r="C33" s="1" t="str">
        <f>VLOOKUP(A33,[7]LISTADHERENT!A$5:H$60,3,0)</f>
        <v>TCHOUTOU NANA CLAUDE</v>
      </c>
      <c r="D33" s="7">
        <f t="shared" si="0"/>
        <v>25000</v>
      </c>
      <c r="E33" s="7">
        <f>D33+VLOOKUP($A33,[6]HISTOJUIL24!$A$7:$AU$42,45,0)+F33</f>
        <v>50000</v>
      </c>
      <c r="F33" s="7">
        <f>VLOOKUP($A33,[6]HISTOJUIL24!$A$6:$AV$48,7,0)</f>
        <v>0</v>
      </c>
      <c r="G33" s="7" t="str">
        <f>VLOOKUP($A33,[6]HISTOJUIL24!$A$6:$AV$49,8,0)</f>
        <v>BANQUE</v>
      </c>
      <c r="H33" s="7">
        <f>VLOOKUP($A33,[6]HISTOJUIL24!$A$6:$AV$49,35,0)</f>
        <v>0</v>
      </c>
      <c r="I33" s="7">
        <f>VLOOKUP($A33,[6]HISTOJUIL24!$A$6:$AV$49,38,0)</f>
        <v>0</v>
      </c>
      <c r="J33" s="7">
        <f>IF(H33=0,0,VLOOKUP($A33,[6]HISTOJUIL24!$A$6:$AV$49,42,0))</f>
        <v>0</v>
      </c>
      <c r="K33" s="7">
        <f>VLOOKUP($A33,[6]HISTOJUIL24!$A$6:$AV$49,41,0)</f>
        <v>0</v>
      </c>
      <c r="L33" s="7">
        <f>TONTJUIN24!H33+TONTJUIN24!I33</f>
        <v>0</v>
      </c>
      <c r="M33" s="7">
        <f>VLOOKUP($A33,[6]HISTOJUIL24!$A$6:$AV$49,16,0)</f>
        <v>0</v>
      </c>
      <c r="N33" s="7" t="str">
        <f>IF(M33&lt;&gt;0,VLOOKUP($A33,[6]HISTOJUIL24!$A$6:$AV$49,8,0),"ECHEC")</f>
        <v>ECHEC</v>
      </c>
      <c r="O33" s="7">
        <f>IF(R33=0,0,VLOOKUP($A33,[6]HISTOJUIL24!$A$6:$AV$49,32,0))</f>
        <v>0</v>
      </c>
      <c r="P33" s="7">
        <f>VLOOKUP($A33,[6]HISTOJUIL24!$A$6:$AV$49,33,0)</f>
        <v>0</v>
      </c>
      <c r="Q33" s="7">
        <f t="shared" si="1"/>
        <v>0</v>
      </c>
      <c r="R33" s="7">
        <f>VLOOKUP($A33,[6]HISTOJUIL24!$A$6:$AV$49,29,0)</f>
        <v>0</v>
      </c>
    </row>
    <row r="34" spans="1:18" x14ac:dyDescent="0.35">
      <c r="A34" s="17" t="s">
        <v>89</v>
      </c>
      <c r="B34" s="7">
        <f>IF(D34=0,0,VLOOKUP($A34,[6]HISTOJUIL24!$A$6:$BP$44,10,0))</f>
        <v>1</v>
      </c>
      <c r="C34" s="1" t="str">
        <f>VLOOKUP(A34,[7]LISTADHERENT!A$5:H$60,3,0)</f>
        <v>YANTCHOU GERVAIS</v>
      </c>
      <c r="D34" s="7">
        <f t="shared" si="0"/>
        <v>25000</v>
      </c>
      <c r="E34" s="7">
        <f>D34+VLOOKUP($A34,[6]HISTOJUIL24!$A$7:$AU$42,45,0)+F34</f>
        <v>60000</v>
      </c>
      <c r="F34" s="7">
        <f>VLOOKUP($A34,[6]HISTOJUIL24!$A$6:$AV$48,7,0)</f>
        <v>0</v>
      </c>
      <c r="G34" s="7" t="str">
        <f>VLOOKUP($A34,[6]HISTOJUIL24!$A$6:$AV$49,8,0)</f>
        <v>BANQUE</v>
      </c>
      <c r="H34" s="7">
        <f>VLOOKUP($A34,[6]HISTOJUIL24!$A$6:$AV$49,35,0)</f>
        <v>0</v>
      </c>
      <c r="I34" s="7">
        <f>VLOOKUP($A34,[6]HISTOJUIL24!$A$6:$AV$49,38,0)</f>
        <v>0</v>
      </c>
      <c r="J34" s="7">
        <f>IF(H34=0,0,VLOOKUP($A34,[6]HISTOJUIL24!$A$6:$AV$49,42,0))</f>
        <v>0</v>
      </c>
      <c r="K34" s="7">
        <f>VLOOKUP($A34,[6]HISTOJUIL24!$A$6:$AV$49,41,0)</f>
        <v>0</v>
      </c>
      <c r="L34" s="7">
        <f>TONTJUIN24!H34+TONTJUIN24!I34</f>
        <v>0</v>
      </c>
      <c r="M34" s="7">
        <f>VLOOKUP($A34,[6]HISTOJUIL24!$A$6:$AV$49,16,0)</f>
        <v>0</v>
      </c>
      <c r="N34" s="7" t="str">
        <f>IF(M34&lt;&gt;0,VLOOKUP($A34,[6]HISTOJUIL24!$A$6:$AV$49,8,0),"ECHEC")</f>
        <v>ECHEC</v>
      </c>
      <c r="O34" s="7">
        <f>IF(R34=0,0,VLOOKUP($A34,[6]HISTOJUIL24!$A$6:$AV$49,32,0))</f>
        <v>0</v>
      </c>
      <c r="P34" s="7">
        <f>VLOOKUP($A34,[6]HISTOJUIL24!$A$6:$AV$49,33,0)</f>
        <v>0</v>
      </c>
      <c r="Q34" s="7">
        <f t="shared" si="1"/>
        <v>0</v>
      </c>
      <c r="R34" s="7">
        <f>VLOOKUP($A34,[6]HISTOJUIL24!$A$6:$AV$49,29,0)</f>
        <v>0</v>
      </c>
    </row>
    <row r="35" spans="1:18" x14ac:dyDescent="0.35">
      <c r="A35" s="1" t="s">
        <v>27</v>
      </c>
      <c r="B35" s="7">
        <f>IF(D35=0,0,VLOOKUP($A35,[6]HISTOJUIL24!$A$6:$BP$44,10,0))</f>
        <v>1</v>
      </c>
      <c r="C35" s="1" t="str">
        <f>VLOOKUP(A35,[7]LISTADHERENT!A$5:H$60,3,0)</f>
        <v>YEPMOU JEAN JACQUES</v>
      </c>
      <c r="D35" s="7">
        <f t="shared" si="0"/>
        <v>25000</v>
      </c>
      <c r="E35" s="7">
        <f>D35+VLOOKUP($A35,[6]HISTOJUIL24!$A$7:$AU$42,45,0)+F35</f>
        <v>50000</v>
      </c>
      <c r="F35" s="7">
        <f>VLOOKUP($A35,[6]HISTOJUIL24!$A$6:$AV$48,7,0)</f>
        <v>0</v>
      </c>
      <c r="G35" s="7" t="str">
        <f>VLOOKUP($A35,[6]HISTOJUIL24!$A$6:$AV$49,8,0)</f>
        <v>BANQUE</v>
      </c>
      <c r="H35" s="7">
        <f>VLOOKUP($A35,[6]HISTOJUIL24!$A$6:$AV$49,35,0)</f>
        <v>0</v>
      </c>
      <c r="I35" s="7">
        <f>VLOOKUP($A35,[6]HISTOJUIL24!$A$6:$AV$49,38,0)</f>
        <v>0</v>
      </c>
      <c r="J35" s="7">
        <f>IF(H35=0,0,VLOOKUP($A35,[6]HISTOJUIL24!$A$6:$AV$49,42,0))</f>
        <v>0</v>
      </c>
      <c r="K35" s="7">
        <f>VLOOKUP($A35,[6]HISTOJUIL24!$A$6:$AV$49,41,0)</f>
        <v>0</v>
      </c>
      <c r="L35" s="7">
        <f>TONTJUIN24!H35+TONTJUIN24!I35</f>
        <v>0</v>
      </c>
      <c r="M35" s="7">
        <f>VLOOKUP($A35,[6]HISTOJUIL24!$A$6:$AV$49,16,0)</f>
        <v>0</v>
      </c>
      <c r="N35" s="7" t="str">
        <f>IF(M35&lt;&gt;0,VLOOKUP($A35,[6]HISTOJUIL24!$A$6:$AV$49,8,0),"ECHEC")</f>
        <v>ECHEC</v>
      </c>
      <c r="O35" s="7">
        <f>IF(R35=0,0,VLOOKUP($A35,[6]HISTOJUIL24!$A$6:$AV$49,32,0))</f>
        <v>0</v>
      </c>
      <c r="P35" s="7">
        <f>VLOOKUP($A35,[6]HISTOJUIL24!$A$6:$AV$49,33,0)</f>
        <v>0</v>
      </c>
      <c r="Q35" s="7">
        <f t="shared" si="1"/>
        <v>0</v>
      </c>
      <c r="R35" s="7">
        <f>VLOOKUP($A35,[6]HISTOJUIL24!$A$6:$AV$49,29,0)</f>
        <v>0</v>
      </c>
    </row>
    <row r="36" spans="1:18" x14ac:dyDescent="0.35">
      <c r="A36" s="1" t="s">
        <v>94</v>
      </c>
      <c r="B36" s="7">
        <f>IF(D36=0,0,VLOOKUP($A36,[6]HISTOJUIL24!$A$6:$BP$44,10,0))</f>
        <v>1</v>
      </c>
      <c r="C36" s="1" t="str">
        <f>VLOOKUP(A36,[7]LISTADHERENT!A$5:H$60,3,0)</f>
        <v>YIALA ALAIN OSCAR</v>
      </c>
      <c r="D36" s="7">
        <f t="shared" si="0"/>
        <v>25000</v>
      </c>
      <c r="E36" s="7">
        <f>D36+VLOOKUP($A36,[6]HISTOJUIL24!$A$7:$AU$42,45,0)+F36</f>
        <v>50000</v>
      </c>
      <c r="F36" s="7">
        <f>VLOOKUP($A36,[6]HISTOJUIL24!$A$6:$AV$48,7,0)</f>
        <v>0</v>
      </c>
      <c r="G36" s="7" t="str">
        <f>VLOOKUP($A36,[6]HISTOJUIL24!$A$6:$AV$49,8,0)</f>
        <v>BANQUE</v>
      </c>
      <c r="H36" s="7">
        <f>VLOOKUP($A36,[6]HISTOJUIL24!$A$6:$AV$49,35,0)</f>
        <v>0</v>
      </c>
      <c r="I36" s="7">
        <f>VLOOKUP($A36,[6]HISTOJUIL24!$A$6:$AV$49,38,0)</f>
        <v>0</v>
      </c>
      <c r="J36" s="7">
        <f>IF(H36=0,0,VLOOKUP($A36,[6]HISTOJUIL24!$A$6:$AV$49,42,0))</f>
        <v>0</v>
      </c>
      <c r="K36" s="7">
        <f>VLOOKUP($A36,[6]HISTOJUIL24!$A$6:$AV$49,41,0)</f>
        <v>0</v>
      </c>
      <c r="L36" s="7">
        <f>TONTJUIN24!H36+TONTJUIN24!I36</f>
        <v>0</v>
      </c>
      <c r="M36" s="7">
        <f>VLOOKUP($A36,[6]HISTOJUIL24!$A$6:$AV$49,16,0)</f>
        <v>0</v>
      </c>
      <c r="N36" s="7" t="str">
        <f>IF(M36&lt;&gt;0,VLOOKUP($A36,[6]HISTOJUIL24!$A$6:$AV$49,8,0),"ECHEC")</f>
        <v>ECHEC</v>
      </c>
      <c r="O36" s="7">
        <f>IF(R36=0,0,VLOOKUP($A36,[6]HISTOJUIL24!$A$6:$AV$49,32,0))</f>
        <v>0</v>
      </c>
      <c r="P36" s="7">
        <f>VLOOKUP($A36,[6]HISTOJUIL24!$A$6:$AV$49,33,0)</f>
        <v>0</v>
      </c>
      <c r="Q36" s="7">
        <f t="shared" si="1"/>
        <v>0</v>
      </c>
      <c r="R36" s="7">
        <f>VLOOKUP($A36,[6]HISTOJUIL24!$A$6:$AV$49,29,0)</f>
        <v>0</v>
      </c>
    </row>
    <row r="37" spans="1:18" x14ac:dyDescent="0.35">
      <c r="A37" s="1" t="s">
        <v>28</v>
      </c>
      <c r="B37" s="7">
        <f>IF(D37=0,0,VLOOKUP($A37,[6]HISTOJUIL24!$A$6:$BP$44,10,0))</f>
        <v>1</v>
      </c>
      <c r="C37" s="1" t="str">
        <f>VLOOKUP(A37,[7]LISTADHERENT!A$5:H$60,3,0)</f>
        <v>YOUMBI EMMANUEL</v>
      </c>
      <c r="D37" s="7">
        <f t="shared" si="0"/>
        <v>25000</v>
      </c>
      <c r="E37" s="7">
        <f>D37+VLOOKUP($A37,[6]HISTOJUIL24!$A$7:$AU$42,45,0)+F37</f>
        <v>50000</v>
      </c>
      <c r="F37" s="7">
        <f>VLOOKUP($A37,[6]HISTOJUIL24!$A$6:$AV$48,7,0)</f>
        <v>0</v>
      </c>
      <c r="G37" s="7" t="str">
        <f>VLOOKUP($A37,[6]HISTOJUIL24!$A$6:$AV$49,8,0)</f>
        <v>BANQUE</v>
      </c>
      <c r="H37" s="7">
        <f>VLOOKUP($A37,[6]HISTOJUIL24!$A$6:$AV$49,35,0)</f>
        <v>0</v>
      </c>
      <c r="I37" s="7">
        <f>VLOOKUP($A37,[6]HISTOJUIL24!$A$6:$AV$49,38,0)</f>
        <v>0</v>
      </c>
      <c r="J37" s="7">
        <f>IF(H37=0,0,VLOOKUP($A37,[6]HISTOJUIL24!$A$6:$AV$49,42,0))</f>
        <v>0</v>
      </c>
      <c r="K37" s="7">
        <f>VLOOKUP($A37,[6]HISTOJUIL24!$A$6:$AV$49,41,0)</f>
        <v>0</v>
      </c>
      <c r="L37" s="7">
        <f>TONTJUIN24!H37+TONTJUIN24!I37</f>
        <v>0</v>
      </c>
      <c r="M37" s="7">
        <f>VLOOKUP($A37,[6]HISTOJUIL24!$A$6:$AV$49,16,0)</f>
        <v>0</v>
      </c>
      <c r="N37" s="7" t="str">
        <f>IF(M37&lt;&gt;0,VLOOKUP($A37,[6]HISTOJUIL24!$A$6:$AV$49,8,0),"ECHEC")</f>
        <v>ECHEC</v>
      </c>
      <c r="O37" s="7">
        <f>IF(R37=0,0,VLOOKUP($A37,[6]HISTOJUIL24!$A$6:$AV$49,32,0))</f>
        <v>0</v>
      </c>
      <c r="P37" s="7">
        <f>VLOOKUP($A37,[6]HISTOJUIL24!$A$6:$AV$49,33,0)</f>
        <v>0</v>
      </c>
      <c r="Q37" s="7">
        <f t="shared" si="1"/>
        <v>0</v>
      </c>
      <c r="R37" s="7">
        <f>VLOOKUP($A37,[6]HISTOJUIL24!$A$6:$AV$49,29,0)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9000</v>
      </c>
      <c r="G40" s="8">
        <f t="shared" si="2"/>
        <v>0</v>
      </c>
      <c r="H40" s="8">
        <f t="shared" si="2"/>
        <v>84500</v>
      </c>
      <c r="I40" s="8">
        <f t="shared" si="2"/>
        <v>2500</v>
      </c>
      <c r="J40" s="8">
        <f t="shared" si="2"/>
        <v>0</v>
      </c>
      <c r="K40" s="8">
        <f t="shared" si="2"/>
        <v>0</v>
      </c>
      <c r="L40" s="8">
        <f t="shared" si="2"/>
        <v>176500</v>
      </c>
      <c r="M40" s="8">
        <f t="shared" si="2"/>
        <v>176500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892000</v>
      </c>
      <c r="R40" s="8">
        <f t="shared" si="2"/>
        <v>8000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D46+G46+R40+TONTJUIN24!O47</f>
        <v>984500</v>
      </c>
      <c r="N42" s="4"/>
      <c r="O42"/>
      <c r="P42" s="4"/>
    </row>
    <row r="43" spans="1:18" s="2" customFormat="1" ht="17.5" x14ac:dyDescent="0.35">
      <c r="D43" s="8">
        <f>SUMIFS(D6:D39,G6:G39,"ESPECES")</f>
        <v>25000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25000</v>
      </c>
      <c r="K43" s="8"/>
      <c r="L43" s="8" t="s">
        <v>79</v>
      </c>
      <c r="M43" s="8">
        <f>C3*COUNTIF(Q7:Q39,"&gt;0")</f>
        <v>900000</v>
      </c>
      <c r="N43" s="8">
        <f>D3</f>
        <v>3</v>
      </c>
      <c r="O43" s="8">
        <f>COUNTIF(Q6:Q33,"&gt;0")</f>
        <v>3</v>
      </c>
      <c r="P43" s="8"/>
    </row>
    <row r="44" spans="1:18" s="2" customFormat="1" ht="17.5" x14ac:dyDescent="0.35">
      <c r="D44" s="8">
        <f>SUMIFS(D6:D39,G6:G39,"BANQUE")</f>
        <v>775000</v>
      </c>
      <c r="E44" s="8"/>
      <c r="F44" s="8" t="s">
        <v>32</v>
      </c>
      <c r="G44" s="8">
        <f>SUMIFS(M6:M33,N6:N33,"BANQUE")</f>
        <v>176500</v>
      </c>
      <c r="H44" s="8">
        <f>SUMIFS(H6:H39,J6:J39,"BANQUE")</f>
        <v>30000</v>
      </c>
      <c r="I44" s="8">
        <f>SUMIFS(Q6:Q39,O6:O39,"BANQUE")</f>
        <v>892000</v>
      </c>
      <c r="J44" s="8">
        <f>D44+G44-H44-I44</f>
        <v>29500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84500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176500</v>
      </c>
      <c r="H46" s="8">
        <f>H43+H44</f>
        <v>30000</v>
      </c>
      <c r="I46" s="8">
        <f t="shared" ref="I46:J46" si="3">I43+I44</f>
        <v>892000</v>
      </c>
      <c r="J46" s="8">
        <f t="shared" si="3"/>
        <v>54500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TONTJUIL24!M47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TONTJUIL24!M49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TONTJUIL24!M50</f>
        <v>0</v>
      </c>
      <c r="P50" s="8" t="s">
        <v>53</v>
      </c>
    </row>
  </sheetData>
  <autoFilter ref="A5:R25" xr:uid="{00000000-0009-0000-0000-000007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0"/>
  <sheetViews>
    <sheetView workbookViewId="0">
      <pane xSplit="3" ySplit="5" topLeftCell="D33" activePane="bottomRight" state="frozen"/>
      <selection activeCell="G6" sqref="G6:G39"/>
      <selection pane="topRight" activeCell="G6" sqref="G6:G39"/>
      <selection pane="bottomLeft" activeCell="G6" sqref="G6:G39"/>
      <selection pane="bottomRight" activeCell="M49" sqref="M49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2</v>
      </c>
      <c r="E3" s="1"/>
      <c r="F3" s="1"/>
      <c r="G3" s="1"/>
      <c r="N3" s="1"/>
      <c r="O3" s="1"/>
    </row>
    <row r="4" spans="1:19" s="13" customFormat="1" ht="17.5" x14ac:dyDescent="0.35">
      <c r="B4" s="14"/>
      <c r="C4" s="38">
        <v>45517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IF(D6=0,0,VLOOKUP($A6,[6]HISTOAOUT24!$A$6:$BP$44,10,0))</f>
        <v>1</v>
      </c>
      <c r="C6" s="1" t="str">
        <f>VLOOKUP(A6,[7]LISTADHERENT!A$5:H$60,3,0)</f>
        <v>BAKOP ACHILLE</v>
      </c>
      <c r="D6" s="7">
        <f t="shared" ref="D6:D37" si="0">IF(G6="ECHEC",0,B$3)</f>
        <v>25000</v>
      </c>
      <c r="E6" s="7">
        <f>D6+VLOOKUP($A6,[6]HISTOAOUT24!$A$7:$AU$42,45,0)+F6</f>
        <v>50000</v>
      </c>
      <c r="F6" s="7">
        <f>VLOOKUP($A6,[6]HISTOAOUT24!$A$6:$AV$48,7,0)</f>
        <v>3000</v>
      </c>
      <c r="G6" s="7" t="str">
        <f>VLOOKUP($A6,[6]HISTOAOUT24!$A$6:$AV$49,8,0)</f>
        <v>BANQUE</v>
      </c>
      <c r="H6" s="7">
        <f>VLOOKUP($A6,[6]HISTOAOUT24!$A$6:$AV$49,35,0)</f>
        <v>57000</v>
      </c>
      <c r="I6" s="7">
        <f>VLOOKUP($A6,[6]HISTOAOUT24!$A$6:$AV$49,38,0)</f>
        <v>1000</v>
      </c>
      <c r="J6" s="7">
        <f>IF(H6=0,0,VLOOKUP($A6,[6]HISTOAOUT24!$A$6:$AV$49,42,0))</f>
        <v>0</v>
      </c>
      <c r="K6" s="7">
        <f>VLOOKUP($A6,[6]HISTOAOUT24!$A$6:$AV$49,41,0)</f>
        <v>0</v>
      </c>
      <c r="L6" s="7">
        <f>TONTJUIL24!H6+TONTJUIL24!I6</f>
        <v>0</v>
      </c>
      <c r="M6" s="7">
        <f>VLOOKUP($A6,[6]HISTOAOUT24!$A$6:$AV$49,16,0)</f>
        <v>0</v>
      </c>
      <c r="N6" s="7" t="str">
        <f>IF(M6&lt;&gt;0,VLOOKUP($A6,[6]HISTOAOUT24!$A$6:$AV$49,8,0),"ECHEC")</f>
        <v>ECHEC</v>
      </c>
      <c r="O6" s="7">
        <f>IF(R6=0,0,VLOOKUP($A6,[6]HISTOAOUT24!$A$6:$AV$49,32,0))</f>
        <v>0</v>
      </c>
      <c r="P6" s="7">
        <f>VLOOKUP($A6,[6]HISTOAOUT24!$A$6:$AV$49,33,0)</f>
        <v>0</v>
      </c>
      <c r="Q6" s="7">
        <f t="shared" ref="Q6:Q37" si="1">IF(R6=0,0,($C$3-R6))</f>
        <v>0</v>
      </c>
      <c r="R6" s="7">
        <f>VLOOKUP($A6,[6]HISTOAOUT24!$A$6:$AV$49,29,0)</f>
        <v>0</v>
      </c>
    </row>
    <row r="7" spans="1:19" x14ac:dyDescent="0.35">
      <c r="A7" s="1" t="s">
        <v>9</v>
      </c>
      <c r="B7" s="7">
        <f>IF(D7=0,0,VLOOKUP($A7,[6]HISTOAOUT24!$A$6:$BP$44,10,0))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D7+VLOOKUP($A7,[6]HISTOAOUT24!$A$7:$AU$42,45,0)+F7</f>
        <v>50000</v>
      </c>
      <c r="F7" s="7">
        <f>VLOOKUP($A7,[6]HISTOAOUT24!$A$6:$AV$48,7,0)</f>
        <v>0</v>
      </c>
      <c r="G7" s="7" t="str">
        <f>VLOOKUP($A7,[6]HISTOAOUT24!$A$6:$AV$49,8,0)</f>
        <v>BANQUE</v>
      </c>
      <c r="H7" s="7">
        <f>VLOOKUP($A7,[6]HISTOAOUT24!$A$6:$AV$49,35,0)</f>
        <v>0</v>
      </c>
      <c r="I7" s="7">
        <f>VLOOKUP($A7,[6]HISTOAOUT24!$A$6:$AV$49,38,0)</f>
        <v>0</v>
      </c>
      <c r="J7" s="7">
        <f>IF(H7=0,0,VLOOKUP($A7,[6]HISTOAOUT24!$A$6:$AV$49,42,0))</f>
        <v>0</v>
      </c>
      <c r="K7" s="7">
        <f>VLOOKUP($A7,[6]HISTOAOUT24!$A$6:$AV$49,41,0)</f>
        <v>0</v>
      </c>
      <c r="L7" s="7">
        <f>TONTJUIL24!H7+TONTJUIL24!I7</f>
        <v>0</v>
      </c>
      <c r="M7" s="7">
        <f>VLOOKUP($A7,[6]HISTOAOUT24!$A$6:$AV$49,16,0)</f>
        <v>0</v>
      </c>
      <c r="N7" s="7" t="str">
        <f>IF(M7&lt;&gt;0,VLOOKUP($A7,[6]HISTOAOUT24!$A$6:$AV$49,8,0),"ECHEC")</f>
        <v>ECHEC</v>
      </c>
      <c r="O7" s="7">
        <f>IF(R7=0,0,VLOOKUP($A7,[6]HISTOAOUT24!$A$6:$AV$49,32,0))</f>
        <v>0</v>
      </c>
      <c r="P7" s="7">
        <f>VLOOKUP($A7,[6]HISTOAOUT24!$A$6:$AV$49,33,0)</f>
        <v>0</v>
      </c>
      <c r="Q7" s="7">
        <f t="shared" si="1"/>
        <v>0</v>
      </c>
      <c r="R7" s="7">
        <f>VLOOKUP($A7,[6]HISTOAOUT24!$A$6:$AV$49,29,0)</f>
        <v>0</v>
      </c>
    </row>
    <row r="8" spans="1:19" x14ac:dyDescent="0.35">
      <c r="A8" s="1" t="s">
        <v>10</v>
      </c>
      <c r="B8" s="7">
        <f>IF(D8=0,0,VLOOKUP($A8,[6]HISTOAOUT24!$A$6:$BP$44,10,0))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D8+VLOOKUP($A8,[6]HISTOAOUT24!$A$7:$AU$42,45,0)+F8</f>
        <v>40000</v>
      </c>
      <c r="F8" s="7">
        <f>VLOOKUP($A8,[6]HISTOAOUT24!$A$6:$AV$48,7,0)</f>
        <v>0</v>
      </c>
      <c r="G8" s="7" t="str">
        <f>VLOOKUP($A8,[6]HISTOAOUT24!$A$6:$AV$49,8,0)</f>
        <v>BANQUE</v>
      </c>
      <c r="H8" s="7">
        <f>VLOOKUP($A8,[6]HISTOAOUT24!$A$6:$AV$49,35,0)</f>
        <v>0</v>
      </c>
      <c r="I8" s="7">
        <f>VLOOKUP($A8,[6]HISTOAOUT24!$A$6:$AV$49,38,0)</f>
        <v>0</v>
      </c>
      <c r="J8" s="7">
        <f>IF(H8=0,0,VLOOKUP($A8,[6]HISTOAOUT24!$A$6:$AV$49,42,0))</f>
        <v>0</v>
      </c>
      <c r="K8" s="7">
        <f>VLOOKUP($A8,[6]HISTOAOUT24!$A$6:$AV$49,41,0)</f>
        <v>0</v>
      </c>
      <c r="L8" s="7">
        <f>TONTJUIL24!H8+TONTJUIL24!I8</f>
        <v>0</v>
      </c>
      <c r="M8" s="7">
        <f>VLOOKUP($A8,[6]HISTOAOUT24!$A$6:$AV$49,16,0)</f>
        <v>0</v>
      </c>
      <c r="N8" s="7" t="str">
        <f>IF(M8&lt;&gt;0,VLOOKUP($A8,[6]HISTOAOUT24!$A$6:$AV$49,8,0),"ECHEC")</f>
        <v>ECHEC</v>
      </c>
      <c r="O8" s="7">
        <f>IF(R8=0,0,VLOOKUP($A8,[6]HISTOAOUT24!$A$6:$AV$49,32,0))</f>
        <v>0</v>
      </c>
      <c r="P8" s="7">
        <f>VLOOKUP($A8,[6]HISTOAOUT24!$A$6:$AV$49,33,0)</f>
        <v>0</v>
      </c>
      <c r="Q8" s="7">
        <f t="shared" si="1"/>
        <v>0</v>
      </c>
      <c r="R8" s="7">
        <f>VLOOKUP($A8,[6]HISTOAOUT24!$A$6:$AV$49,29,0)</f>
        <v>0</v>
      </c>
    </row>
    <row r="9" spans="1:19" x14ac:dyDescent="0.35">
      <c r="A9" s="1" t="s">
        <v>52</v>
      </c>
      <c r="B9" s="7">
        <f>IF(D9=0,0,VLOOKUP($A9,[6]HISTOAOUT24!$A$6:$BP$44,10,0))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D9+VLOOKUP($A9,[6]HISTOAOUT24!$A$7:$AU$42,45,0)+F9</f>
        <v>50000</v>
      </c>
      <c r="F9" s="7">
        <f>VLOOKUP($A9,[6]HISTOAOUT24!$A$6:$AV$48,7,0)</f>
        <v>0</v>
      </c>
      <c r="G9" s="7" t="str">
        <f>VLOOKUP($A9,[6]HISTOAOUT24!$A$6:$AV$49,8,0)</f>
        <v>BANQUE</v>
      </c>
      <c r="H9" s="7">
        <f>VLOOKUP($A9,[6]HISTOAOUT24!$A$6:$AV$49,35,0)</f>
        <v>60000</v>
      </c>
      <c r="I9" s="7">
        <f>VLOOKUP($A9,[6]HISTOAOUT24!$A$6:$AV$49,38,0)</f>
        <v>1000</v>
      </c>
      <c r="J9" s="7">
        <f>IF(H9=0,0,VLOOKUP($A9,[6]HISTOAOUT24!$A$6:$AV$49,42,0))</f>
        <v>0</v>
      </c>
      <c r="K9" s="7">
        <f>VLOOKUP($A9,[6]HISTOAOUT24!$A$6:$AV$49,41,0)</f>
        <v>0</v>
      </c>
      <c r="L9" s="7">
        <f>TONTJUIL24!H9+TONTJUIL24!I9</f>
        <v>0</v>
      </c>
      <c r="M9" s="7">
        <f>VLOOKUP($A9,[6]HISTOAOUT24!$A$6:$AV$49,16,0)</f>
        <v>0</v>
      </c>
      <c r="N9" s="7" t="str">
        <f>IF(M9&lt;&gt;0,VLOOKUP($A9,[6]HISTOAOUT24!$A$6:$AV$49,8,0),"ECHEC")</f>
        <v>ECHEC</v>
      </c>
      <c r="O9" s="7">
        <f>IF(R9=0,0,VLOOKUP($A9,[6]HISTOAOUT24!$A$6:$AV$49,32,0))</f>
        <v>0</v>
      </c>
      <c r="P9" s="7">
        <f>VLOOKUP($A9,[6]HISTOAOUT24!$A$6:$AV$49,33,0)</f>
        <v>0</v>
      </c>
      <c r="Q9" s="7">
        <f t="shared" si="1"/>
        <v>297500</v>
      </c>
      <c r="R9" s="7">
        <f>VLOOKUP($A9,[6]HISTOAOUT24!$A$6:$AV$49,29,0)</f>
        <v>2500</v>
      </c>
    </row>
    <row r="10" spans="1:19" x14ac:dyDescent="0.35">
      <c r="A10" s="1" t="s">
        <v>11</v>
      </c>
      <c r="B10" s="7">
        <f>IF(D10=0,0,VLOOKUP($A10,[6]HISTOAOUT24!$A$6:$BP$44,10,0))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D10+VLOOKUP($A10,[6]HISTOAOUT24!$A$7:$AU$42,45,0)+F10</f>
        <v>50000</v>
      </c>
      <c r="F10" s="7">
        <f>VLOOKUP($A10,[6]HISTOAOUT24!$A$6:$AV$48,7,0)</f>
        <v>0</v>
      </c>
      <c r="G10" s="7" t="str">
        <f>VLOOKUP($A10,[6]HISTOAOUT24!$A$6:$AV$49,8,0)</f>
        <v>BANQUE</v>
      </c>
      <c r="H10" s="7">
        <f>VLOOKUP($A10,[6]HISTOAOUT24!$A$6:$AV$49,35,0)</f>
        <v>0</v>
      </c>
      <c r="I10" s="7">
        <f>VLOOKUP($A10,[6]HISTOAOUT24!$A$6:$AV$49,38,0)</f>
        <v>0</v>
      </c>
      <c r="J10" s="7">
        <f>IF(H10=0,0,VLOOKUP($A10,[6]HISTOAOUT24!$A$6:$AV$49,42,0))</f>
        <v>0</v>
      </c>
      <c r="K10" s="7">
        <f>VLOOKUP($A10,[6]HISTOAOUT24!$A$6:$AV$49,41,0)</f>
        <v>0</v>
      </c>
      <c r="L10" s="7">
        <f>TONTJUIL24!H10+TONTJUIL24!I10</f>
        <v>0</v>
      </c>
      <c r="M10" s="7">
        <f>VLOOKUP($A10,[6]HISTOAOUT24!$A$6:$AV$49,16,0)</f>
        <v>0</v>
      </c>
      <c r="N10" s="7" t="str">
        <f>IF(M10&lt;&gt;0,VLOOKUP($A10,[6]HISTOAOUT24!$A$6:$AV$49,8,0),"ECHEC")</f>
        <v>ECHEC</v>
      </c>
      <c r="O10" s="7">
        <f>IF(R10=0,0,VLOOKUP($A10,[6]HISTOAOUT24!$A$6:$AV$49,32,0))</f>
        <v>0</v>
      </c>
      <c r="P10" s="7">
        <f>VLOOKUP($A10,[6]HISTOAOUT24!$A$6:$AV$49,33,0)</f>
        <v>0</v>
      </c>
      <c r="Q10" s="7">
        <f t="shared" si="1"/>
        <v>0</v>
      </c>
      <c r="R10" s="7">
        <f>VLOOKUP($A10,[6]HISTOAOUT24!$A$6:$AV$49,29,0)</f>
        <v>0</v>
      </c>
    </row>
    <row r="11" spans="1:19" x14ac:dyDescent="0.35">
      <c r="A11" s="1" t="s">
        <v>12</v>
      </c>
      <c r="B11" s="7">
        <f>IF(D11=0,0,VLOOKUP($A11,[6]HISTOAOUT24!$A$6:$BP$44,10,0))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D11+VLOOKUP($A11,[6]HISTOAOUT24!$A$7:$AU$42,45,0)+F11</f>
        <v>55000</v>
      </c>
      <c r="F11" s="7">
        <f>VLOOKUP($A11,[6]HISTOAOUT24!$A$6:$AV$48,7,0)</f>
        <v>0</v>
      </c>
      <c r="G11" s="7" t="str">
        <f>VLOOKUP($A11,[6]HISTOAOUT24!$A$6:$AV$49,8,0)</f>
        <v>BANQUE</v>
      </c>
      <c r="H11" s="7">
        <f>VLOOKUP($A11,[6]HISTOAOUT24!$A$6:$AV$49,35,0)</f>
        <v>0</v>
      </c>
      <c r="I11" s="7">
        <f>VLOOKUP($A11,[6]HISTOAOUT24!$A$6:$AV$49,38,0)</f>
        <v>0</v>
      </c>
      <c r="J11" s="7">
        <f>IF(H11=0,0,VLOOKUP($A11,[6]HISTOAOUT24!$A$6:$AV$49,42,0))</f>
        <v>0</v>
      </c>
      <c r="K11" s="7">
        <f>VLOOKUP($A11,[6]HISTOAOUT24!$A$6:$AV$49,41,0)</f>
        <v>0</v>
      </c>
      <c r="L11" s="7">
        <f>TONTJUIL24!H11+TONTJUIL24!I11</f>
        <v>0</v>
      </c>
      <c r="M11" s="7">
        <f>VLOOKUP($A11,[6]HISTOAOUT24!$A$6:$AV$49,16,0)</f>
        <v>0</v>
      </c>
      <c r="N11" s="7" t="str">
        <f>IF(M11&lt;&gt;0,VLOOKUP($A11,[6]HISTOAOUT24!$A$6:$AV$49,8,0),"ECHEC")</f>
        <v>ECHEC</v>
      </c>
      <c r="O11" s="7">
        <f>IF(R11=0,0,VLOOKUP($A11,[6]HISTOAOUT24!$A$6:$AV$49,32,0))</f>
        <v>0</v>
      </c>
      <c r="P11" s="7">
        <f>VLOOKUP($A11,[6]HISTOAOUT24!$A$6:$AV$49,33,0)</f>
        <v>0</v>
      </c>
      <c r="Q11" s="7">
        <f t="shared" si="1"/>
        <v>0</v>
      </c>
      <c r="R11" s="7">
        <f>VLOOKUP($A11,[6]HISTOAOUT24!$A$6:$AV$49,29,0)</f>
        <v>0</v>
      </c>
    </row>
    <row r="12" spans="1:19" x14ac:dyDescent="0.35">
      <c r="A12" s="1" t="s">
        <v>45</v>
      </c>
      <c r="B12" s="7">
        <f>IF(D12=0,0,VLOOKUP($A12,[6]HISTOAOUT24!$A$6:$BP$44,10,0))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D12+VLOOKUP($A12,[6]HISTOAOUT24!$A$7:$AU$42,45,0)+F12</f>
        <v>50000</v>
      </c>
      <c r="F12" s="7">
        <f>VLOOKUP($A12,[6]HISTOAOUT24!$A$6:$AV$48,7,0)</f>
        <v>0</v>
      </c>
      <c r="G12" s="7" t="str">
        <f>VLOOKUP($A12,[6]HISTOAOUT24!$A$6:$AV$49,8,0)</f>
        <v>BANQUE</v>
      </c>
      <c r="H12" s="7">
        <f>VLOOKUP($A12,[6]HISTOAOUT24!$A$6:$AV$49,35,0)</f>
        <v>0</v>
      </c>
      <c r="I12" s="7">
        <f>VLOOKUP($A12,[6]HISTOAOUT24!$A$6:$AV$49,38,0)</f>
        <v>0</v>
      </c>
      <c r="J12" s="7">
        <f>IF(H12=0,0,VLOOKUP($A12,[6]HISTOAOUT24!$A$6:$AV$49,42,0))</f>
        <v>0</v>
      </c>
      <c r="K12" s="7">
        <f>VLOOKUP($A12,[6]HISTOAOUT24!$A$6:$AV$49,41,0)</f>
        <v>0</v>
      </c>
      <c r="L12" s="7">
        <f>TONTJUIL24!H12+TONTJUIL24!I12</f>
        <v>0</v>
      </c>
      <c r="M12" s="7">
        <f>VLOOKUP($A12,[6]HISTOAOUT24!$A$6:$AV$49,16,0)</f>
        <v>0</v>
      </c>
      <c r="N12" s="7" t="str">
        <f>IF(M12&lt;&gt;0,VLOOKUP($A12,[6]HISTOAOUT24!$A$6:$AV$49,8,0),"ECHEC")</f>
        <v>ECHEC</v>
      </c>
      <c r="O12" s="7">
        <f>IF(R12=0,0,VLOOKUP($A12,[6]HISTOAOUT24!$A$6:$AV$49,32,0))</f>
        <v>0</v>
      </c>
      <c r="P12" s="7">
        <f>VLOOKUP($A12,[6]HISTOAOUT24!$A$6:$AV$49,33,0)</f>
        <v>0</v>
      </c>
      <c r="Q12" s="7">
        <f t="shared" si="1"/>
        <v>0</v>
      </c>
      <c r="R12" s="7">
        <f>VLOOKUP($A12,[6]HISTOAOUT24!$A$6:$AV$49,29,0)</f>
        <v>0</v>
      </c>
    </row>
    <row r="13" spans="1:19" x14ac:dyDescent="0.35">
      <c r="A13" s="1" t="s">
        <v>13</v>
      </c>
      <c r="B13" s="7">
        <f>IF(D13=0,0,VLOOKUP($A13,[6]HISTOAOUT24!$A$6:$BP$44,10,0))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D13+VLOOKUP($A13,[6]HISTOAOUT24!$A$7:$AU$42,45,0)+F13</f>
        <v>50000</v>
      </c>
      <c r="F13" s="7">
        <f>VLOOKUP($A13,[6]HISTOAOUT24!$A$6:$AV$48,7,0)</f>
        <v>0</v>
      </c>
      <c r="G13" s="7" t="str">
        <f>VLOOKUP($A13,[6]HISTOAOUT24!$A$6:$AV$49,8,0)</f>
        <v>BANQUE</v>
      </c>
      <c r="H13" s="7">
        <f>VLOOKUP($A13,[6]HISTOAOUT24!$A$6:$AV$49,35,0)</f>
        <v>0</v>
      </c>
      <c r="I13" s="7">
        <f>VLOOKUP($A13,[6]HISTOAOUT24!$A$6:$AV$49,38,0)</f>
        <v>0</v>
      </c>
      <c r="J13" s="7">
        <f>IF(H13=0,0,VLOOKUP($A13,[6]HISTOAOUT24!$A$6:$AV$49,42,0))</f>
        <v>0</v>
      </c>
      <c r="K13" s="7">
        <f>VLOOKUP($A13,[6]HISTOAOUT24!$A$6:$AV$49,41,0)</f>
        <v>0</v>
      </c>
      <c r="L13" s="7">
        <f>TONTJUIL24!H13+TONTJUIL24!I13</f>
        <v>0</v>
      </c>
      <c r="M13" s="7">
        <f>VLOOKUP($A13,[6]HISTOAOUT24!$A$6:$AV$49,16,0)</f>
        <v>0</v>
      </c>
      <c r="N13" s="7" t="str">
        <f>IF(M13&lt;&gt;0,VLOOKUP($A13,[6]HISTOAOUT24!$A$6:$AV$49,8,0),"ECHEC")</f>
        <v>ECHEC</v>
      </c>
      <c r="O13" s="7">
        <f>IF(R13=0,0,VLOOKUP($A13,[6]HISTOAOUT24!$A$6:$AV$49,32,0))</f>
        <v>0</v>
      </c>
      <c r="P13" s="7">
        <f>VLOOKUP($A13,[6]HISTOAOUT24!$A$6:$AV$49,33,0)</f>
        <v>0</v>
      </c>
      <c r="Q13" s="7">
        <f t="shared" si="1"/>
        <v>0</v>
      </c>
      <c r="R13" s="7">
        <f>VLOOKUP($A13,[6]HISTOAOUT24!$A$6:$AV$49,29,0)</f>
        <v>0</v>
      </c>
    </row>
    <row r="14" spans="1:19" x14ac:dyDescent="0.35">
      <c r="A14" s="1" t="s">
        <v>14</v>
      </c>
      <c r="B14" s="7">
        <f>IF(D14=0,0,VLOOKUP($A14,[6]HISTOAOUT24!$A$6:$BP$44,10,0))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D14+VLOOKUP($A14,[6]HISTOAOUT24!$A$7:$AU$42,45,0)+F14</f>
        <v>50000</v>
      </c>
      <c r="F14" s="7">
        <f>VLOOKUP($A14,[6]HISTOAOUT24!$A$6:$AV$48,7,0)</f>
        <v>0</v>
      </c>
      <c r="G14" s="7" t="str">
        <f>VLOOKUP($A14,[6]HISTOAOUT24!$A$6:$AV$49,8,0)</f>
        <v>BANQUE</v>
      </c>
      <c r="H14" s="7">
        <f>VLOOKUP($A14,[6]HISTOAOUT24!$A$6:$AV$49,35,0)</f>
        <v>0</v>
      </c>
      <c r="I14" s="7">
        <f>VLOOKUP($A14,[6]HISTOAOUT24!$A$6:$AV$49,38,0)</f>
        <v>0</v>
      </c>
      <c r="J14" s="7">
        <f>IF(H14=0,0,VLOOKUP($A14,[6]HISTOAOUT24!$A$6:$AV$49,42,0))</f>
        <v>0</v>
      </c>
      <c r="K14" s="7">
        <f>VLOOKUP($A14,[6]HISTOAOUT24!$A$6:$AV$49,41,0)</f>
        <v>0</v>
      </c>
      <c r="L14" s="7">
        <f>TONTJUIL24!H14+TONTJUIL24!I14</f>
        <v>0</v>
      </c>
      <c r="M14" s="7">
        <f>VLOOKUP($A14,[6]HISTOAOUT24!$A$6:$AV$49,16,0)</f>
        <v>0</v>
      </c>
      <c r="N14" s="7" t="str">
        <f>IF(M14&lt;&gt;0,VLOOKUP($A14,[6]HISTOAOUT24!$A$6:$AV$49,8,0),"ECHEC")</f>
        <v>ECHEC</v>
      </c>
      <c r="O14" s="7">
        <f>IF(R14=0,0,VLOOKUP($A14,[6]HISTOAOUT24!$A$6:$AV$49,32,0))</f>
        <v>0</v>
      </c>
      <c r="P14" s="7">
        <f>VLOOKUP($A14,[6]HISTOAOUT24!$A$6:$AV$49,33,0)</f>
        <v>0</v>
      </c>
      <c r="Q14" s="7">
        <f t="shared" si="1"/>
        <v>0</v>
      </c>
      <c r="R14" s="7">
        <f>VLOOKUP($A14,[6]HISTOAOUT24!$A$6:$AV$49,29,0)</f>
        <v>0</v>
      </c>
      <c r="S14" s="1"/>
    </row>
    <row r="15" spans="1:19" x14ac:dyDescent="0.35">
      <c r="A15" s="1" t="s">
        <v>15</v>
      </c>
      <c r="B15" s="7">
        <f>IF(D15=0,0,VLOOKUP($A15,[6]HISTOAOUT24!$A$6:$BP$44,10,0))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D15+VLOOKUP($A15,[6]HISTOAOUT24!$A$7:$AU$42,45,0)+F15</f>
        <v>84000</v>
      </c>
      <c r="F15" s="7">
        <f>VLOOKUP($A15,[6]HISTOAOUT24!$A$6:$AV$48,7,0)</f>
        <v>0</v>
      </c>
      <c r="G15" s="7" t="str">
        <f>VLOOKUP($A15,[6]HISTOAOUT24!$A$6:$AV$49,8,0)</f>
        <v>BANQUE</v>
      </c>
      <c r="H15" s="7">
        <f>VLOOKUP($A15,[6]HISTOAOUT24!$A$6:$AV$49,35,0)</f>
        <v>0</v>
      </c>
      <c r="I15" s="7">
        <f>VLOOKUP($A15,[6]HISTOAOUT24!$A$6:$AV$49,38,0)</f>
        <v>0</v>
      </c>
      <c r="J15" s="7">
        <f>IF(H15=0,0,VLOOKUP($A15,[6]HISTOAOUT24!$A$6:$AV$49,42,0))</f>
        <v>0</v>
      </c>
      <c r="K15" s="7">
        <f>VLOOKUP($A15,[6]HISTOAOUT24!$A$6:$AV$49,41,0)</f>
        <v>0</v>
      </c>
      <c r="L15" s="7">
        <f>TONTJUIL24!H15+TONTJUIL24!I15</f>
        <v>0</v>
      </c>
      <c r="M15" s="7">
        <f>VLOOKUP($A15,[6]HISTOAOUT24!$A$6:$AV$49,16,0)</f>
        <v>0</v>
      </c>
      <c r="N15" s="7" t="str">
        <f>IF(M15&lt;&gt;0,VLOOKUP($A15,[6]HISTOAOUT24!$A$6:$AV$49,8,0),"ECHEC")</f>
        <v>ECHEC</v>
      </c>
      <c r="O15" s="7">
        <f>IF(R15=0,0,VLOOKUP($A15,[6]HISTOAOUT24!$A$6:$AV$49,32,0))</f>
        <v>0</v>
      </c>
      <c r="P15" s="7">
        <f>VLOOKUP($A15,[6]HISTOAOUT24!$A$6:$AV$49,33,0)</f>
        <v>0</v>
      </c>
      <c r="Q15" s="7">
        <f t="shared" si="1"/>
        <v>0</v>
      </c>
      <c r="R15" s="7">
        <f>VLOOKUP($A15,[6]HISTOAOUT24!$A$6:$AV$49,29,0)</f>
        <v>0</v>
      </c>
      <c r="S15" s="1"/>
    </row>
    <row r="16" spans="1:19" x14ac:dyDescent="0.35">
      <c r="A16" s="1" t="s">
        <v>16</v>
      </c>
      <c r="B16" s="7">
        <f>IF(D16=0,0,VLOOKUP($A16,[6]HISTOAOUT24!$A$6:$BP$44,10,0))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D16+VLOOKUP($A16,[6]HISTOAOUT24!$A$7:$AU$42,45,0)+F16</f>
        <v>45000</v>
      </c>
      <c r="F16" s="7">
        <f>VLOOKUP($A16,[6]HISTOAOUT24!$A$6:$AV$48,7,0)</f>
        <v>0</v>
      </c>
      <c r="G16" s="7" t="str">
        <f>VLOOKUP($A16,[6]HISTOAOUT24!$A$6:$AV$49,8,0)</f>
        <v>BANQUE</v>
      </c>
      <c r="H16" s="7">
        <f>VLOOKUP($A16,[6]HISTOAOUT24!$A$6:$AV$49,35,0)</f>
        <v>30000</v>
      </c>
      <c r="I16" s="7">
        <f>VLOOKUP($A16,[6]HISTOAOUT24!$A$6:$AV$49,38,0)</f>
        <v>500</v>
      </c>
      <c r="J16" s="7" t="str">
        <f>IF(H16=0,0,VLOOKUP($A16,[6]HISTOAOUT24!$A$6:$AV$49,42,0))</f>
        <v>BANQUE</v>
      </c>
      <c r="K16" s="7">
        <f>VLOOKUP($A16,[6]HISTOAOUT24!$A$6:$AV$49,41,0)</f>
        <v>0</v>
      </c>
      <c r="L16" s="7">
        <f>TONTJUIL24!H16+TONTJUIL24!I16</f>
        <v>0</v>
      </c>
      <c r="M16" s="7">
        <f>VLOOKUP($A16,[6]HISTOAOUT24!$A$6:$AV$49,16,0)</f>
        <v>0</v>
      </c>
      <c r="N16" s="7" t="str">
        <f>IF(M16&lt;&gt;0,VLOOKUP($A16,[6]HISTOAOUT24!$A$6:$AV$49,8,0),"ECHEC")</f>
        <v>ECHEC</v>
      </c>
      <c r="O16" s="7">
        <f>IF(R16=0,0,VLOOKUP($A16,[6]HISTOAOUT24!$A$6:$AV$49,32,0))</f>
        <v>0</v>
      </c>
      <c r="P16" s="7">
        <f>VLOOKUP($A16,[6]HISTOAOUT24!$A$6:$AV$49,33,0)</f>
        <v>0</v>
      </c>
      <c r="Q16" s="7">
        <f t="shared" si="1"/>
        <v>0</v>
      </c>
      <c r="R16" s="7">
        <f>VLOOKUP($A16,[6]HISTOAOUT24!$A$6:$AV$49,29,0)</f>
        <v>0</v>
      </c>
      <c r="S16" s="1"/>
    </row>
    <row r="17" spans="1:19" x14ac:dyDescent="0.35">
      <c r="A17" s="1" t="s">
        <v>17</v>
      </c>
      <c r="B17" s="7">
        <f>IF(D17=0,0,VLOOKUP($A17,[6]HISTOAOUT24!$A$6:$BP$44,10,0))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D17+VLOOKUP($A17,[6]HISTOAOUT24!$A$7:$AU$42,45,0)+F17</f>
        <v>58000</v>
      </c>
      <c r="F17" s="7">
        <f>VLOOKUP($A17,[6]HISTOAOUT24!$A$6:$AV$48,7,0)</f>
        <v>0</v>
      </c>
      <c r="G17" s="7" t="str">
        <f>VLOOKUP($A17,[6]HISTOAOUT24!$A$6:$AV$49,8,0)</f>
        <v>BANQUE</v>
      </c>
      <c r="H17" s="7">
        <f>VLOOKUP($A17,[6]HISTOAOUT24!$A$6:$AV$49,35,0)</f>
        <v>0</v>
      </c>
      <c r="I17" s="7">
        <f>VLOOKUP($A17,[6]HISTOAOUT24!$A$6:$AV$49,38,0)</f>
        <v>0</v>
      </c>
      <c r="J17" s="7">
        <f>IF(H17=0,0,VLOOKUP($A17,[6]HISTOAOUT24!$A$6:$AV$49,42,0))</f>
        <v>0</v>
      </c>
      <c r="K17" s="7">
        <f>VLOOKUP($A17,[6]HISTOAOUT24!$A$6:$AV$49,41,0)</f>
        <v>0</v>
      </c>
      <c r="L17" s="7">
        <f>TONTJUIL24!H17+TONTJUIL24!I17</f>
        <v>0</v>
      </c>
      <c r="M17" s="7">
        <f>VLOOKUP($A17,[6]HISTOAOUT24!$A$6:$AV$49,16,0)</f>
        <v>0</v>
      </c>
      <c r="N17" s="7" t="str">
        <f>IF(M17&lt;&gt;0,VLOOKUP($A17,[6]HISTOAOUT24!$A$6:$AV$49,8,0),"ECHEC")</f>
        <v>ECHEC</v>
      </c>
      <c r="O17" s="7">
        <f>IF(R17=0,0,VLOOKUP($A17,[6]HISTOAOUT24!$A$6:$AV$49,32,0))</f>
        <v>0</v>
      </c>
      <c r="P17" s="7">
        <f>VLOOKUP($A17,[6]HISTOAOUT24!$A$6:$AV$49,33,0)</f>
        <v>0</v>
      </c>
      <c r="Q17" s="7">
        <f t="shared" si="1"/>
        <v>0</v>
      </c>
      <c r="R17" s="7">
        <f>VLOOKUP($A17,[6]HISTOAOUT24!$A$6:$AV$49,29,0)</f>
        <v>0</v>
      </c>
      <c r="S17" s="1"/>
    </row>
    <row r="18" spans="1:19" x14ac:dyDescent="0.35">
      <c r="A18" s="1" t="s">
        <v>96</v>
      </c>
      <c r="B18" s="7">
        <f>IF(D18=0,0,VLOOKUP($A18,[6]HISTOAOUT24!$A$6:$BP$44,10,0))</f>
        <v>1</v>
      </c>
      <c r="C18" s="1" t="str">
        <f>VLOOKUP(A18,[7]LISTADHERENT!A$5:H$60,3,0)</f>
        <v>MASSEUNGOUE DAGOBERT</v>
      </c>
      <c r="D18" s="7">
        <f t="shared" si="0"/>
        <v>25000</v>
      </c>
      <c r="E18" s="7">
        <f>D18+VLOOKUP($A18,[6]HISTOAOUT24!$A$7:$AU$42,45,0)+F18</f>
        <v>50000</v>
      </c>
      <c r="F18" s="7">
        <f>VLOOKUP($A18,[6]HISTOAOUT24!$A$6:$AV$48,7,0)</f>
        <v>0</v>
      </c>
      <c r="G18" s="7" t="str">
        <f>VLOOKUP($A18,[6]HISTOAOUT24!$A$6:$AV$49,8,0)</f>
        <v>BANQUE</v>
      </c>
      <c r="H18" s="7">
        <f>VLOOKUP($A18,[6]HISTOAOUT24!$A$6:$AV$49,35,0)</f>
        <v>0</v>
      </c>
      <c r="I18" s="7">
        <f>VLOOKUP($A18,[6]HISTOAOUT24!$A$6:$AV$49,38,0)</f>
        <v>0</v>
      </c>
      <c r="J18" s="7">
        <f>IF(H18=0,0,VLOOKUP($A18,[6]HISTOAOUT24!$A$6:$AV$49,42,0))</f>
        <v>0</v>
      </c>
      <c r="K18" s="7">
        <f>VLOOKUP($A18,[6]HISTOAOUT24!$A$6:$AV$49,41,0)</f>
        <v>0</v>
      </c>
      <c r="L18" s="7">
        <f>TONTJUIL24!H18+TONTJUIL24!I18</f>
        <v>0</v>
      </c>
      <c r="M18" s="7">
        <f>VLOOKUP($A18,[6]HISTOAOUT24!$A$6:$AV$49,16,0)</f>
        <v>0</v>
      </c>
      <c r="N18" s="7" t="str">
        <f>IF(M18&lt;&gt;0,VLOOKUP($A18,[6]HISTOAOUT24!$A$6:$AV$49,8,0),"ECHEC")</f>
        <v>ECHEC</v>
      </c>
      <c r="O18" s="7">
        <f>IF(R18=0,0,VLOOKUP($A18,[6]HISTOAOUT24!$A$6:$AV$49,32,0))</f>
        <v>0</v>
      </c>
      <c r="P18" s="7">
        <f>VLOOKUP($A18,[6]HISTOAOUT24!$A$6:$AV$49,33,0)</f>
        <v>0</v>
      </c>
      <c r="Q18" s="7">
        <f t="shared" si="1"/>
        <v>0</v>
      </c>
      <c r="R18" s="7">
        <f>VLOOKUP($A18,[6]HISTOAOUT24!$A$6:$AV$49,29,0)</f>
        <v>0</v>
      </c>
      <c r="S18" s="1"/>
    </row>
    <row r="19" spans="1:19" x14ac:dyDescent="0.35">
      <c r="A19" s="1" t="s">
        <v>44</v>
      </c>
      <c r="B19" s="7">
        <f>IF(D19=0,0,VLOOKUP($A19,[6]HISTOAOUT24!$A$6:$BP$44,10,0))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D19+VLOOKUP($A19,[6]HISTOAOUT24!$A$7:$AU$42,45,0)+F19</f>
        <v>50000</v>
      </c>
      <c r="F19" s="7">
        <f>VLOOKUP($A19,[6]HISTOAOUT24!$A$6:$AV$48,7,0)</f>
        <v>0</v>
      </c>
      <c r="G19" s="7" t="str">
        <f>VLOOKUP($A19,[6]HISTOAOUT24!$A$6:$AV$49,8,0)</f>
        <v>BANQUE</v>
      </c>
      <c r="H19" s="7">
        <f>VLOOKUP($A19,[6]HISTOAOUT24!$A$6:$AV$49,35,0)</f>
        <v>0</v>
      </c>
      <c r="I19" s="7">
        <f>VLOOKUP($A19,[6]HISTOAOUT24!$A$6:$AV$49,38,0)</f>
        <v>0</v>
      </c>
      <c r="J19" s="7">
        <f>IF(H19=0,0,VLOOKUP($A19,[6]HISTOAOUT24!$A$6:$AV$49,42,0))</f>
        <v>0</v>
      </c>
      <c r="K19" s="7">
        <f>VLOOKUP($A19,[6]HISTOAOUT24!$A$6:$AV$49,41,0)</f>
        <v>0</v>
      </c>
      <c r="L19" s="7">
        <f>TONTJUIL24!H19+TONTJUIL24!I19</f>
        <v>0</v>
      </c>
      <c r="M19" s="7">
        <f>VLOOKUP($A19,[6]HISTOAOUT24!$A$6:$AV$49,16,0)</f>
        <v>0</v>
      </c>
      <c r="N19" s="7" t="str">
        <f>IF(M19&lt;&gt;0,VLOOKUP($A19,[6]HISTOAOUT24!$A$6:$AV$49,8,0),"ECHEC")</f>
        <v>ECHEC</v>
      </c>
      <c r="O19" s="7">
        <f>IF(R19=0,0,VLOOKUP($A19,[6]HISTOAOUT24!$A$6:$AV$49,32,0))</f>
        <v>0</v>
      </c>
      <c r="P19" s="7">
        <f>VLOOKUP($A19,[6]HISTOAOUT24!$A$6:$AV$49,33,0)</f>
        <v>0</v>
      </c>
      <c r="Q19" s="7">
        <f t="shared" si="1"/>
        <v>0</v>
      </c>
      <c r="R19" s="7">
        <f>VLOOKUP($A19,[6]HISTOAOUT24!$A$6:$AV$49,29,0)</f>
        <v>0</v>
      </c>
      <c r="S19" s="1"/>
    </row>
    <row r="20" spans="1:19" x14ac:dyDescent="0.35">
      <c r="A20" s="1" t="s">
        <v>25</v>
      </c>
      <c r="B20" s="7">
        <f>IF(D20=0,0,VLOOKUP($A20,[6]HISTOAOUT24!$A$6:$BP$44,10,0))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D20+VLOOKUP($A20,[6]HISTOAOUT24!$A$7:$AU$42,45,0)+F20</f>
        <v>50000</v>
      </c>
      <c r="F20" s="7">
        <f>VLOOKUP($A20,[6]HISTOAOUT24!$A$6:$AV$48,7,0)</f>
        <v>0</v>
      </c>
      <c r="G20" s="7" t="str">
        <f>VLOOKUP($A20,[6]HISTOAOUT24!$A$6:$AV$49,8,0)</f>
        <v>BANQUE</v>
      </c>
      <c r="H20" s="7">
        <f>VLOOKUP($A20,[6]HISTOAOUT24!$A$6:$AV$49,35,0)</f>
        <v>0</v>
      </c>
      <c r="I20" s="7">
        <f>VLOOKUP($A20,[6]HISTOAOUT24!$A$6:$AV$49,38,0)</f>
        <v>0</v>
      </c>
      <c r="J20" s="7">
        <f>IF(H20=0,0,VLOOKUP($A20,[6]HISTOAOUT24!$A$6:$AV$49,42,0))</f>
        <v>0</v>
      </c>
      <c r="K20" s="7">
        <f>VLOOKUP($A20,[6]HISTOAOUT24!$A$6:$AV$49,41,0)</f>
        <v>0</v>
      </c>
      <c r="L20" s="7">
        <f>TONTJUIL24!H20+TONTJUIL24!I20</f>
        <v>0</v>
      </c>
      <c r="M20" s="7">
        <f>VLOOKUP($A20,[6]HISTOAOUT24!$A$6:$AV$49,16,0)</f>
        <v>0</v>
      </c>
      <c r="N20" s="7" t="str">
        <f>IF(M20&lt;&gt;0,VLOOKUP($A20,[6]HISTOAOUT24!$A$6:$AV$49,8,0),"ECHEC")</f>
        <v>ECHEC</v>
      </c>
      <c r="O20" s="7">
        <f>IF(R20=0,0,VLOOKUP($A20,[6]HISTOAOUT24!$A$6:$AV$49,32,0))</f>
        <v>0</v>
      </c>
      <c r="P20" s="7">
        <f>VLOOKUP($A20,[6]HISTOAOUT24!$A$6:$AV$49,33,0)</f>
        <v>0</v>
      </c>
      <c r="Q20" s="7">
        <f t="shared" si="1"/>
        <v>0</v>
      </c>
      <c r="R20" s="7">
        <f>VLOOKUP($A20,[6]HISTOAOUT24!$A$6:$AV$49,29,0)</f>
        <v>0</v>
      </c>
      <c r="S20" s="1"/>
    </row>
    <row r="21" spans="1:19" x14ac:dyDescent="0.35">
      <c r="A21" s="1" t="s">
        <v>18</v>
      </c>
      <c r="B21" s="7">
        <f>IF(D21=0,0,VLOOKUP($A21,[6]HISTOAOUT24!$A$6:$BP$44,10,0))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D21+VLOOKUP($A21,[6]HISTOAOUT24!$A$7:$AU$42,45,0)+F21</f>
        <v>50000</v>
      </c>
      <c r="F21" s="7">
        <f>VLOOKUP($A21,[6]HISTOAOUT24!$A$6:$AV$48,7,0)</f>
        <v>0</v>
      </c>
      <c r="G21" s="7" t="str">
        <f>VLOOKUP($A21,[6]HISTOAOUT24!$A$6:$AV$49,8,0)</f>
        <v>BANQUE</v>
      </c>
      <c r="H21" s="7">
        <f>VLOOKUP($A21,[6]HISTOAOUT24!$A$6:$AV$49,35,0)</f>
        <v>0</v>
      </c>
      <c r="I21" s="7">
        <f>VLOOKUP($A21,[6]HISTOAOUT24!$A$6:$AV$49,38,0)</f>
        <v>0</v>
      </c>
      <c r="J21" s="7">
        <f>IF(H21=0,0,VLOOKUP($A21,[6]HISTOAOUT24!$A$6:$AV$49,42,0))</f>
        <v>0</v>
      </c>
      <c r="K21" s="7">
        <f>VLOOKUP($A21,[6]HISTOAOUT24!$A$6:$AV$49,41,0)</f>
        <v>0</v>
      </c>
      <c r="L21" s="7">
        <f>TONTJUIL24!H21+TONTJUIL24!I21</f>
        <v>0</v>
      </c>
      <c r="M21" s="7">
        <f>VLOOKUP($A21,[6]HISTOAOUT24!$A$6:$AV$49,16,0)</f>
        <v>0</v>
      </c>
      <c r="N21" s="7" t="str">
        <f>IF(M21&lt;&gt;0,VLOOKUP($A21,[6]HISTOAOUT24!$A$6:$AV$49,8,0),"ECHEC")</f>
        <v>ECHEC</v>
      </c>
      <c r="O21" s="7">
        <f>IF(R21=0,0,VLOOKUP($A21,[6]HISTOAOUT24!$A$6:$AV$49,32,0))</f>
        <v>0</v>
      </c>
      <c r="P21" s="7">
        <f>VLOOKUP($A21,[6]HISTOAOUT24!$A$6:$AV$49,33,0)</f>
        <v>0</v>
      </c>
      <c r="Q21" s="7">
        <f t="shared" si="1"/>
        <v>0</v>
      </c>
      <c r="R21" s="7">
        <f>VLOOKUP($A21,[6]HISTOAOUT24!$A$6:$AV$49,29,0)</f>
        <v>0</v>
      </c>
      <c r="S21" s="1"/>
    </row>
    <row r="22" spans="1:19" x14ac:dyDescent="0.35">
      <c r="A22" s="1" t="s">
        <v>19</v>
      </c>
      <c r="B22" s="7">
        <f>IF(D22=0,0,VLOOKUP($A22,[6]HISTOAOUT24!$A$6:$BP$44,10,0))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D22+VLOOKUP($A22,[6]HISTOAOUT24!$A$7:$AU$42,45,0)+F22</f>
        <v>60000</v>
      </c>
      <c r="F22" s="7">
        <f>VLOOKUP($A22,[6]HISTOAOUT24!$A$6:$AV$48,7,0)</f>
        <v>0</v>
      </c>
      <c r="G22" s="7" t="str">
        <f>VLOOKUP($A22,[6]HISTOAOUT24!$A$6:$AV$49,8,0)</f>
        <v>BANQUE</v>
      </c>
      <c r="H22" s="7">
        <f>VLOOKUP($A22,[6]HISTOAOUT24!$A$6:$AV$49,35,0)</f>
        <v>0</v>
      </c>
      <c r="I22" s="7">
        <f>VLOOKUP($A22,[6]HISTOAOUT24!$A$6:$AV$49,38,0)</f>
        <v>0</v>
      </c>
      <c r="J22" s="7">
        <f>IF(H22=0,0,VLOOKUP($A22,[6]HISTOAOUT24!$A$6:$AV$49,42,0))</f>
        <v>0</v>
      </c>
      <c r="K22" s="7">
        <f>VLOOKUP($A22,[6]HISTOAOUT24!$A$6:$AV$49,41,0)</f>
        <v>0</v>
      </c>
      <c r="L22" s="7">
        <f>TONTJUIL24!H22+TONTJUIL24!I22</f>
        <v>0</v>
      </c>
      <c r="M22" s="7">
        <f>VLOOKUP($A22,[6]HISTOAOUT24!$A$6:$AV$49,16,0)</f>
        <v>0</v>
      </c>
      <c r="N22" s="7" t="str">
        <f>IF(M22&lt;&gt;0,VLOOKUP($A22,[6]HISTOAOUT24!$A$6:$AV$49,8,0),"ECHEC")</f>
        <v>ECHEC</v>
      </c>
      <c r="O22" s="7">
        <f>IF(R22=0,0,VLOOKUP($A22,[6]HISTOAOUT24!$A$6:$AV$49,32,0))</f>
        <v>0</v>
      </c>
      <c r="P22" s="7">
        <f>VLOOKUP($A22,[6]HISTOAOUT24!$A$6:$AV$49,33,0)</f>
        <v>0</v>
      </c>
      <c r="Q22" s="7">
        <f t="shared" si="1"/>
        <v>0</v>
      </c>
      <c r="R22" s="7">
        <f>VLOOKUP($A22,[6]HISTOAOUT24!$A$6:$AV$49,29,0)</f>
        <v>0</v>
      </c>
      <c r="S22" s="1"/>
    </row>
    <row r="23" spans="1:19" x14ac:dyDescent="0.35">
      <c r="A23" s="1" t="s">
        <v>20</v>
      </c>
      <c r="B23" s="7">
        <f>IF(D23=0,0,VLOOKUP($A23,[6]HISTOAOUT24!$A$6:$BP$44,10,0))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D23+VLOOKUP($A23,[6]HISTOAOUT24!$A$7:$AU$42,45,0)+F23</f>
        <v>65000</v>
      </c>
      <c r="F23" s="7">
        <f>VLOOKUP($A23,[6]HISTOAOUT24!$A$6:$AV$48,7,0)</f>
        <v>0</v>
      </c>
      <c r="G23" s="7" t="str">
        <f>VLOOKUP($A23,[6]HISTOAOUT24!$A$6:$AV$49,8,0)</f>
        <v>BANQUE</v>
      </c>
      <c r="H23" s="7">
        <f>VLOOKUP($A23,[6]HISTOAOUT24!$A$6:$AV$49,35,0)</f>
        <v>0</v>
      </c>
      <c r="I23" s="7">
        <f>VLOOKUP($A23,[6]HISTOAOUT24!$A$6:$AV$49,38,0)</f>
        <v>0</v>
      </c>
      <c r="J23" s="7">
        <f>IF(H23=0,0,VLOOKUP($A23,[6]HISTOAOUT24!$A$6:$AV$49,42,0))</f>
        <v>0</v>
      </c>
      <c r="K23" s="7">
        <f>VLOOKUP($A23,[6]HISTOAOUT24!$A$6:$AV$49,41,0)</f>
        <v>0</v>
      </c>
      <c r="L23" s="7">
        <f>TONTJUIL24!H23+TONTJUIL24!I23</f>
        <v>0</v>
      </c>
      <c r="M23" s="7">
        <f>VLOOKUP($A23,[6]HISTOAOUT24!$A$6:$AV$49,16,0)</f>
        <v>0</v>
      </c>
      <c r="N23" s="7" t="str">
        <f>IF(M23&lt;&gt;0,VLOOKUP($A23,[6]HISTOAOUT24!$A$6:$AV$49,8,0),"ECHEC")</f>
        <v>ECHEC</v>
      </c>
      <c r="O23" s="7">
        <f>IF(R23=0,0,VLOOKUP($A23,[6]HISTOAOUT24!$A$6:$AV$49,32,0))</f>
        <v>0</v>
      </c>
      <c r="P23" s="7">
        <f>VLOOKUP($A23,[6]HISTOAOUT24!$A$6:$AV$49,33,0)</f>
        <v>0</v>
      </c>
      <c r="Q23" s="7">
        <f t="shared" si="1"/>
        <v>0</v>
      </c>
      <c r="R23" s="7">
        <f>VLOOKUP($A23,[6]HISTOAOUT24!$A$6:$AV$49,29,0)</f>
        <v>0</v>
      </c>
      <c r="S23" s="1"/>
    </row>
    <row r="24" spans="1:19" x14ac:dyDescent="0.35">
      <c r="A24" s="1" t="s">
        <v>21</v>
      </c>
      <c r="B24" s="7">
        <f>IF(D24=0,0,VLOOKUP($A24,[6]HISTOAOUT24!$A$6:$BP$44,10,0))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D24+VLOOKUP($A24,[6]HISTOAOUT24!$A$7:$AU$42,45,0)+F24</f>
        <v>46500</v>
      </c>
      <c r="F24" s="7">
        <f>VLOOKUP($A24,[6]HISTOAOUT24!$A$6:$AV$48,7,0)</f>
        <v>0</v>
      </c>
      <c r="G24" s="7" t="str">
        <f>VLOOKUP($A24,[6]HISTOAOUT24!$A$6:$AV$49,8,0)</f>
        <v>BANQUE</v>
      </c>
      <c r="H24" s="7">
        <f>VLOOKUP($A24,[6]HISTOAOUT24!$A$6:$AV$49,35,0)</f>
        <v>0</v>
      </c>
      <c r="I24" s="7">
        <f>VLOOKUP($A24,[6]HISTOAOUT24!$A$6:$AV$49,38,0)</f>
        <v>0</v>
      </c>
      <c r="J24" s="7">
        <f>IF(H24=0,0,VLOOKUP($A24,[6]HISTOAOUT24!$A$6:$AV$49,42,0))</f>
        <v>0</v>
      </c>
      <c r="K24" s="7">
        <f>VLOOKUP($A24,[6]HISTOAOUT24!$A$6:$AV$49,41,0)</f>
        <v>0</v>
      </c>
      <c r="L24" s="7">
        <f>TONTJUIL24!H24+TONTJUIL24!I24</f>
        <v>31000</v>
      </c>
      <c r="M24" s="7">
        <f>VLOOKUP($A24,[6]HISTOAOUT24!$A$6:$AV$49,16,0)</f>
        <v>31000</v>
      </c>
      <c r="N24" s="7" t="str">
        <f>IF(M24&lt;&gt;0,VLOOKUP($A24,[6]HISTOAOUT24!$A$6:$AV$49,8,0),"ECHEC")</f>
        <v>BANQUE</v>
      </c>
      <c r="O24" s="7">
        <f>IF(R24=0,0,VLOOKUP($A24,[6]HISTOAOUT24!$A$6:$AV$49,32,0))</f>
        <v>0</v>
      </c>
      <c r="P24" s="7">
        <f>VLOOKUP($A24,[6]HISTOAOUT24!$A$6:$AV$49,33,0)</f>
        <v>0</v>
      </c>
      <c r="Q24" s="7">
        <f t="shared" si="1"/>
        <v>0</v>
      </c>
      <c r="R24" s="7">
        <f>VLOOKUP($A24,[6]HISTOAOUT24!$A$6:$AV$49,29,0)</f>
        <v>0</v>
      </c>
      <c r="S24" s="1"/>
    </row>
    <row r="25" spans="1:19" x14ac:dyDescent="0.35">
      <c r="A25" s="1" t="s">
        <v>22</v>
      </c>
      <c r="B25" s="7">
        <f>IF(D25=0,0,VLOOKUP($A25,[6]HISTOAOUT24!$A$6:$BP$44,10,0))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D25+VLOOKUP($A25,[6]HISTOAOUT24!$A$7:$AU$42,45,0)+F25</f>
        <v>50000</v>
      </c>
      <c r="F25" s="7">
        <f>VLOOKUP($A25,[6]HISTOAOUT24!$A$6:$AV$48,7,0)</f>
        <v>0</v>
      </c>
      <c r="G25" s="7" t="str">
        <f>VLOOKUP($A25,[6]HISTOAOUT24!$A$6:$AV$49,8,0)</f>
        <v>BANQUE</v>
      </c>
      <c r="H25" s="7">
        <f>VLOOKUP($A25,[6]HISTOAOUT24!$A$6:$AV$49,35,0)</f>
        <v>60000</v>
      </c>
      <c r="I25" s="7">
        <f>VLOOKUP($A25,[6]HISTOAOUT24!$A$6:$AV$49,38,0)</f>
        <v>1000</v>
      </c>
      <c r="J25" s="7">
        <f>IF(H25=0,0,VLOOKUP($A25,[6]HISTOAOUT24!$A$6:$AV$49,42,0))</f>
        <v>0</v>
      </c>
      <c r="K25" s="7">
        <f>VLOOKUP($A25,[6]HISTOAOUT24!$A$6:$AV$49,41,0)</f>
        <v>0</v>
      </c>
      <c r="L25" s="7">
        <f>TONTJUIL24!H25+TONTJUIL24!I25</f>
        <v>0</v>
      </c>
      <c r="M25" s="7">
        <f>VLOOKUP($A25,[6]HISTOAOUT24!$A$6:$AV$49,16,0)</f>
        <v>0</v>
      </c>
      <c r="N25" s="7" t="str">
        <f>IF(M25&lt;&gt;0,VLOOKUP($A25,[6]HISTOAOUT24!$A$6:$AV$49,8,0),"ECHEC")</f>
        <v>ECHEC</v>
      </c>
      <c r="O25" s="7">
        <f>IF(R25=0,0,VLOOKUP($A25,[6]HISTOAOUT24!$A$6:$AV$49,32,0))</f>
        <v>0</v>
      </c>
      <c r="P25" s="7">
        <f>VLOOKUP($A25,[6]HISTOAOUT24!$A$6:$AV$49,33,0)</f>
        <v>0</v>
      </c>
      <c r="Q25" s="7">
        <f t="shared" si="1"/>
        <v>0</v>
      </c>
      <c r="R25" s="7">
        <f>VLOOKUP($A25,[6]HISTOAOUT24!$A$6:$AV$49,29,0)</f>
        <v>0</v>
      </c>
      <c r="S25" s="1"/>
    </row>
    <row r="26" spans="1:19" x14ac:dyDescent="0.35">
      <c r="A26" s="1" t="s">
        <v>85</v>
      </c>
      <c r="B26" s="7">
        <f>IF(D26=0,0,VLOOKUP($A26,[6]HISTOAOUT24!$A$6:$BP$44,10,0))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D26+VLOOKUP($A26,[6]HISTOAOUT24!$A$7:$AU$42,45,0)+F26</f>
        <v>50000</v>
      </c>
      <c r="F26" s="7">
        <f>VLOOKUP($A26,[6]HISTOAOUT24!$A$6:$AV$48,7,0)</f>
        <v>0</v>
      </c>
      <c r="G26" s="7" t="str">
        <f>VLOOKUP($A26,[6]HISTOAOUT24!$A$6:$AV$49,8,0)</f>
        <v>BANQUE</v>
      </c>
      <c r="H26" s="7">
        <f>VLOOKUP($A26,[6]HISTOAOUT24!$A$6:$AV$49,35,0)</f>
        <v>0</v>
      </c>
      <c r="I26" s="7">
        <f>VLOOKUP($A26,[6]HISTOAOUT24!$A$6:$AV$49,38,0)</f>
        <v>0</v>
      </c>
      <c r="J26" s="7">
        <f>IF(H26=0,0,VLOOKUP($A26,[6]HISTOAOUT24!$A$6:$AV$49,42,0))</f>
        <v>0</v>
      </c>
      <c r="K26" s="7">
        <f>VLOOKUP($A26,[6]HISTOAOUT24!$A$6:$AV$49,41,0)</f>
        <v>0</v>
      </c>
      <c r="L26" s="7">
        <f>TONTJUIL24!H26+TONTJUIL24!I26</f>
        <v>0</v>
      </c>
      <c r="M26" s="7">
        <f>VLOOKUP($A26,[6]HISTOAOUT24!$A$6:$AV$49,16,0)</f>
        <v>0</v>
      </c>
      <c r="N26" s="7" t="str">
        <f>IF(M26&lt;&gt;0,VLOOKUP($A26,[6]HISTOAOUT24!$A$6:$AV$49,8,0),"ECHEC")</f>
        <v>ECHEC</v>
      </c>
      <c r="O26" s="7">
        <f>IF(R26=0,0,VLOOKUP($A26,[6]HISTOAOUT24!$A$6:$AV$49,32,0))</f>
        <v>0</v>
      </c>
      <c r="P26" s="7">
        <f>VLOOKUP($A26,[6]HISTOAOUT24!$A$6:$AV$49,33,0)</f>
        <v>0</v>
      </c>
      <c r="Q26" s="7">
        <f t="shared" si="1"/>
        <v>0</v>
      </c>
      <c r="R26" s="7">
        <f>VLOOKUP($A26,[6]HISTOAOUT24!$A$6:$AV$49,29,0)</f>
        <v>0</v>
      </c>
    </row>
    <row r="27" spans="1:19" x14ac:dyDescent="0.35">
      <c r="A27" s="1" t="s">
        <v>23</v>
      </c>
      <c r="B27" s="7">
        <f>IF(D27=0,0,VLOOKUP($A27,[6]HISTOAOUT24!$A$6:$BP$44,10,0))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D27+VLOOKUP($A27,[6]HISTOAOUT24!$A$7:$AU$42,45,0)+F27</f>
        <v>50000</v>
      </c>
      <c r="F27" s="7">
        <f>VLOOKUP($A27,[6]HISTOAOUT24!$A$6:$AV$48,7,0)</f>
        <v>0</v>
      </c>
      <c r="G27" s="7" t="str">
        <f>VLOOKUP($A27,[6]HISTOAOUT24!$A$6:$AV$49,8,0)</f>
        <v>BANQUE</v>
      </c>
      <c r="H27" s="7">
        <f>VLOOKUP($A27,[6]HISTOAOUT24!$A$6:$AV$49,35,0)</f>
        <v>0</v>
      </c>
      <c r="I27" s="7">
        <f>VLOOKUP($A27,[6]HISTOAOUT24!$A$6:$AV$49,38,0)</f>
        <v>0</v>
      </c>
      <c r="J27" s="7">
        <f>IF(H27=0,0,VLOOKUP($A27,[6]HISTOAOUT24!$A$6:$AV$49,42,0))</f>
        <v>0</v>
      </c>
      <c r="K27" s="7">
        <f>VLOOKUP($A27,[6]HISTOAOUT24!$A$6:$AV$49,41,0)</f>
        <v>0</v>
      </c>
      <c r="L27" s="7">
        <f>TONTJUIL24!H27+TONTJUIL24!I27</f>
        <v>0</v>
      </c>
      <c r="M27" s="7">
        <f>VLOOKUP($A27,[6]HISTOAOUT24!$A$6:$AV$49,16,0)</f>
        <v>0</v>
      </c>
      <c r="N27" s="7" t="str">
        <f>IF(M27&lt;&gt;0,VLOOKUP($A27,[6]HISTOAOUT24!$A$6:$AV$49,8,0),"ECHEC")</f>
        <v>ECHEC</v>
      </c>
      <c r="O27" s="7">
        <f>IF(R27=0,0,VLOOKUP($A27,[6]HISTOAOUT24!$A$6:$AV$49,32,0))</f>
        <v>0</v>
      </c>
      <c r="P27" s="7">
        <f>VLOOKUP($A27,[6]HISTOAOUT24!$A$6:$AV$49,33,0)</f>
        <v>0</v>
      </c>
      <c r="Q27" s="7">
        <f t="shared" si="1"/>
        <v>297500</v>
      </c>
      <c r="R27" s="7">
        <f>VLOOKUP($A27,[6]HISTOAOUT24!$A$6:$AV$49,29,0)</f>
        <v>2500</v>
      </c>
    </row>
    <row r="28" spans="1:19" x14ac:dyDescent="0.35">
      <c r="A28" s="1" t="s">
        <v>86</v>
      </c>
      <c r="B28" s="7">
        <f>IF(D28=0,0,VLOOKUP($A28,[6]HISTOAOUT24!$A$6:$BP$44,10,0))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D28+VLOOKUP($A28,[6]HISTOAOUT24!$A$7:$AU$42,45,0)+F28</f>
        <v>49000</v>
      </c>
      <c r="F28" s="7">
        <f>VLOOKUP($A28,[6]HISTOAOUT24!$A$6:$AV$48,7,0)</f>
        <v>0</v>
      </c>
      <c r="G28" s="7" t="str">
        <f>VLOOKUP($A28,[6]HISTOAOUT24!$A$6:$AV$49,8,0)</f>
        <v>BANQUE</v>
      </c>
      <c r="H28" s="7">
        <f>VLOOKUP($A28,[6]HISTOAOUT24!$A$6:$AV$49,35,0)</f>
        <v>60000</v>
      </c>
      <c r="I28" s="7">
        <f>VLOOKUP($A28,[6]HISTOAOUT24!$A$6:$AV$49,38,0)</f>
        <v>1000</v>
      </c>
      <c r="J28" s="7" t="str">
        <f>IF(H28=0,0,VLOOKUP($A28,[6]HISTOAOUT24!$A$6:$AV$49,42,0))</f>
        <v>BANQUE</v>
      </c>
      <c r="K28" s="7">
        <f>VLOOKUP($A28,[6]HISTOAOUT24!$A$6:$AV$49,41,0)</f>
        <v>0</v>
      </c>
      <c r="L28" s="7">
        <f>TONTJUIL24!H28+TONTJUIL24!I28</f>
        <v>56000</v>
      </c>
      <c r="M28" s="7">
        <f>VLOOKUP($A28,[6]HISTOAOUT24!$A$6:$AV$49,16,0)</f>
        <v>56000</v>
      </c>
      <c r="N28" s="7" t="str">
        <f>IF(M28&lt;&gt;0,VLOOKUP($A28,[6]HISTOAOUT24!$A$6:$AV$49,8,0),"ECHEC")</f>
        <v>BANQUE</v>
      </c>
      <c r="O28" s="7">
        <f>IF(R28=0,0,VLOOKUP($A28,[6]HISTOAOUT24!$A$6:$AV$49,32,0))</f>
        <v>0</v>
      </c>
      <c r="P28" s="7">
        <f>VLOOKUP($A28,[6]HISTOAOUT24!$A$6:$AV$49,33,0)</f>
        <v>0</v>
      </c>
      <c r="Q28" s="7">
        <f t="shared" si="1"/>
        <v>0</v>
      </c>
      <c r="R28" s="7">
        <f>VLOOKUP($A28,[6]HISTOAOUT24!$A$6:$AV$49,29,0)</f>
        <v>0</v>
      </c>
    </row>
    <row r="29" spans="1:19" x14ac:dyDescent="0.35">
      <c r="A29" s="1" t="s">
        <v>46</v>
      </c>
      <c r="B29" s="7">
        <f>IF(D29=0,0,VLOOKUP($A29,[6]HISTOAOUT24!$A$6:$BP$44,10,0))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D29+VLOOKUP($A29,[6]HISTOAOUT24!$A$7:$AU$42,45,0)+F29</f>
        <v>50000</v>
      </c>
      <c r="F29" s="7">
        <f>VLOOKUP($A29,[6]HISTOAOUT24!$A$6:$AV$48,7,0)</f>
        <v>0</v>
      </c>
      <c r="G29" s="7" t="str">
        <f>VLOOKUP($A29,[6]HISTOAOUT24!$A$6:$AV$49,8,0)</f>
        <v>BANQUE</v>
      </c>
      <c r="H29" s="7">
        <f>VLOOKUP($A29,[6]HISTOAOUT24!$A$6:$AV$49,35,0)</f>
        <v>0</v>
      </c>
      <c r="I29" s="7">
        <f>VLOOKUP($A29,[6]HISTOAOUT24!$A$6:$AV$49,38,0)</f>
        <v>0</v>
      </c>
      <c r="J29" s="7">
        <f>IF(H29=0,0,VLOOKUP($A29,[6]HISTOAOUT24!$A$6:$AV$49,42,0))</f>
        <v>0</v>
      </c>
      <c r="K29" s="7">
        <f>VLOOKUP($A29,[6]HISTOAOUT24!$A$6:$AV$49,41,0)</f>
        <v>0</v>
      </c>
      <c r="L29" s="7">
        <f>TONTJUIL24!H29+TONTJUIL24!I29</f>
        <v>0</v>
      </c>
      <c r="M29" s="7">
        <f>VLOOKUP($A29,[6]HISTOAOUT24!$A$6:$AV$49,16,0)</f>
        <v>0</v>
      </c>
      <c r="N29" s="7" t="str">
        <f>IF(M29&lt;&gt;0,VLOOKUP($A29,[6]HISTOAOUT24!$A$6:$AV$49,8,0),"ECHEC")</f>
        <v>ECHEC</v>
      </c>
      <c r="O29" s="7">
        <f>IF(R29=0,0,VLOOKUP($A29,[6]HISTOAOUT24!$A$6:$AV$49,32,0))</f>
        <v>0</v>
      </c>
      <c r="P29" s="7">
        <f>VLOOKUP($A29,[6]HISTOAOUT24!$A$6:$AV$49,33,0)</f>
        <v>0</v>
      </c>
      <c r="Q29" s="7">
        <f t="shared" si="1"/>
        <v>0</v>
      </c>
      <c r="R29" s="7">
        <f>VLOOKUP($A29,[6]HISTOAOUT24!$A$6:$AV$49,29,0)</f>
        <v>0</v>
      </c>
    </row>
    <row r="30" spans="1:19" x14ac:dyDescent="0.35">
      <c r="A30" s="1" t="s">
        <v>24</v>
      </c>
      <c r="B30" s="7">
        <f>IF(D30=0,0,VLOOKUP($A30,[6]HISTOAOUT24!$A$6:$BP$44,10,0))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D30+VLOOKUP($A30,[6]HISTOAOUT24!$A$7:$AU$42,45,0)+F30</f>
        <v>50000</v>
      </c>
      <c r="F30" s="7">
        <f>VLOOKUP($A30,[6]HISTOAOUT24!$A$6:$AV$48,7,0)</f>
        <v>0</v>
      </c>
      <c r="G30" s="7" t="str">
        <f>VLOOKUP($A30,[6]HISTOAOUT24!$A$6:$AV$49,8,0)</f>
        <v>BANQUE</v>
      </c>
      <c r="H30" s="7">
        <f>VLOOKUP($A30,[6]HISTOAOUT24!$A$6:$AV$49,35,0)</f>
        <v>0</v>
      </c>
      <c r="I30" s="7">
        <f>VLOOKUP($A30,[6]HISTOAOUT24!$A$6:$AV$49,38,0)</f>
        <v>0</v>
      </c>
      <c r="J30" s="7">
        <f>IF(H30=0,0,VLOOKUP($A30,[6]HISTOAOUT24!$A$6:$AV$49,42,0))</f>
        <v>0</v>
      </c>
      <c r="K30" s="7">
        <f>VLOOKUP($A30,[6]HISTOAOUT24!$A$6:$AV$49,41,0)</f>
        <v>0</v>
      </c>
      <c r="L30" s="7">
        <f>TONTJUIL24!H30+TONTJUIL24!I30</f>
        <v>0</v>
      </c>
      <c r="M30" s="7">
        <f>VLOOKUP($A30,[6]HISTOAOUT24!$A$6:$AV$49,16,0)</f>
        <v>0</v>
      </c>
      <c r="N30" s="7" t="str">
        <f>IF(M30&lt;&gt;0,VLOOKUP($A30,[6]HISTOAOUT24!$A$6:$AV$49,8,0),"ECHEC")</f>
        <v>ECHEC</v>
      </c>
      <c r="O30" s="7">
        <f>IF(R30=0,0,VLOOKUP($A30,[6]HISTOAOUT24!$A$6:$AV$49,32,0))</f>
        <v>0</v>
      </c>
      <c r="P30" s="7">
        <f>VLOOKUP($A30,[6]HISTOAOUT24!$A$6:$AV$49,33,0)</f>
        <v>0</v>
      </c>
      <c r="Q30" s="7">
        <f t="shared" si="1"/>
        <v>0</v>
      </c>
      <c r="R30" s="7">
        <f>VLOOKUP($A30,[6]HISTOAOUT24!$A$6:$AV$49,29,0)</f>
        <v>0</v>
      </c>
    </row>
    <row r="31" spans="1:19" x14ac:dyDescent="0.35">
      <c r="A31" s="1" t="s">
        <v>26</v>
      </c>
      <c r="B31" s="7">
        <f>IF(D31=0,0,VLOOKUP($A31,[6]HISTOAOUT24!$A$6:$BP$44,10,0))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D31+VLOOKUP($A31,[6]HISTOAOUT24!$A$7:$AU$42,45,0)+F31</f>
        <v>50000</v>
      </c>
      <c r="F31" s="7">
        <f>VLOOKUP($A31,[6]HISTOAOUT24!$A$6:$AV$48,7,0)</f>
        <v>0</v>
      </c>
      <c r="G31" s="7" t="str">
        <f>VLOOKUP($A31,[6]HISTOAOUT24!$A$6:$AV$49,8,0)</f>
        <v>BANQUE</v>
      </c>
      <c r="H31" s="7">
        <f>VLOOKUP($A31,[6]HISTOAOUT24!$A$6:$AV$49,35,0)</f>
        <v>0</v>
      </c>
      <c r="I31" s="7">
        <f>VLOOKUP($A31,[6]HISTOAOUT24!$A$6:$AV$49,38,0)</f>
        <v>0</v>
      </c>
      <c r="J31" s="7">
        <f>IF(H31=0,0,VLOOKUP($A31,[6]HISTOAOUT24!$A$6:$AV$49,42,0))</f>
        <v>0</v>
      </c>
      <c r="K31" s="7">
        <f>VLOOKUP($A31,[6]HISTOAOUT24!$A$6:$AV$49,41,0)</f>
        <v>0</v>
      </c>
      <c r="L31" s="7">
        <f>TONTJUIL24!H31+TONTJUIL24!I31</f>
        <v>0</v>
      </c>
      <c r="M31" s="7">
        <f>VLOOKUP($A31,[6]HISTOAOUT24!$A$6:$AV$49,16,0)</f>
        <v>0</v>
      </c>
      <c r="N31" s="7" t="str">
        <f>IF(M31&lt;&gt;0,VLOOKUP($A31,[6]HISTOAOUT24!$A$6:$AV$49,8,0),"ECHEC")</f>
        <v>ECHEC</v>
      </c>
      <c r="O31" s="7">
        <f>IF(R31=0,0,VLOOKUP($A31,[6]HISTOAOUT24!$A$6:$AV$49,32,0))</f>
        <v>0</v>
      </c>
      <c r="P31" s="7">
        <f>VLOOKUP($A31,[6]HISTOAOUT24!$A$6:$AV$49,33,0)</f>
        <v>0</v>
      </c>
      <c r="Q31" s="7">
        <f t="shared" si="1"/>
        <v>0</v>
      </c>
      <c r="R31" s="7">
        <f>VLOOKUP($A31,[6]HISTOAOUT24!$A$6:$AV$49,29,0)</f>
        <v>0</v>
      </c>
    </row>
    <row r="32" spans="1:19" x14ac:dyDescent="0.35">
      <c r="A32" s="1" t="s">
        <v>95</v>
      </c>
      <c r="B32" s="7">
        <f>IF(D32=0,0,VLOOKUP($A32,[6]HISTOAOUT24!$A$6:$BP$44,10,0))</f>
        <v>1</v>
      </c>
      <c r="C32" s="1" t="str">
        <f>VLOOKUP(A32,[7]LISTADHERENT!A$5:H$60,3,0)</f>
        <v>TCHOUATEU AUGUSTIN</v>
      </c>
      <c r="D32" s="7">
        <f t="shared" si="0"/>
        <v>25000</v>
      </c>
      <c r="E32" s="7">
        <f>D32+VLOOKUP($A32,[6]HISTOAOUT24!$A$7:$AU$42,45,0)+F32</f>
        <v>60000</v>
      </c>
      <c r="F32" s="7">
        <f>VLOOKUP($A32,[6]HISTOAOUT24!$A$6:$AV$48,7,0)</f>
        <v>0</v>
      </c>
      <c r="G32" s="7" t="str">
        <f>VLOOKUP($A32,[6]HISTOAOUT24!$A$6:$AV$49,8,0)</f>
        <v>BANQUE</v>
      </c>
      <c r="H32" s="7">
        <f>VLOOKUP($A32,[6]HISTOAOUT24!$A$6:$AV$49,35,0)</f>
        <v>0</v>
      </c>
      <c r="I32" s="7">
        <f>VLOOKUP($A32,[6]HISTOAOUT24!$A$6:$AV$49,38,0)</f>
        <v>0</v>
      </c>
      <c r="J32" s="7">
        <f>IF(H32=0,0,VLOOKUP($A32,[6]HISTOAOUT24!$A$6:$AV$49,42,0))</f>
        <v>0</v>
      </c>
      <c r="K32" s="7">
        <f>VLOOKUP($A32,[6]HISTOAOUT24!$A$6:$AV$49,41,0)</f>
        <v>0</v>
      </c>
      <c r="L32" s="7">
        <f>TONTJUIL24!H32+TONTJUIL24!I32</f>
        <v>0</v>
      </c>
      <c r="M32" s="7">
        <f>VLOOKUP($A32,[6]HISTOAOUT24!$A$6:$AV$49,16,0)</f>
        <v>0</v>
      </c>
      <c r="N32" s="7" t="str">
        <f>IF(M32&lt;&gt;0,VLOOKUP($A32,[6]HISTOAOUT24!$A$6:$AV$49,8,0),"ECHEC")</f>
        <v>ECHEC</v>
      </c>
      <c r="O32" s="7">
        <f>IF(R32=0,0,VLOOKUP($A32,[6]HISTOAOUT24!$A$6:$AV$49,32,0))</f>
        <v>0</v>
      </c>
      <c r="P32" s="7">
        <f>VLOOKUP($A32,[6]HISTOAOUT24!$A$6:$AV$49,33,0)</f>
        <v>0</v>
      </c>
      <c r="Q32" s="7">
        <f t="shared" si="1"/>
        <v>0</v>
      </c>
      <c r="R32" s="7">
        <f>VLOOKUP($A32,[6]HISTOAOUT24!$A$6:$AV$49,29,0)</f>
        <v>0</v>
      </c>
    </row>
    <row r="33" spans="1:18" x14ac:dyDescent="0.35">
      <c r="A33" s="1" t="s">
        <v>87</v>
      </c>
      <c r="B33" s="7">
        <f>IF(D33=0,0,VLOOKUP($A33,[6]HISTOAOUT24!$A$6:$BP$44,10,0))</f>
        <v>0</v>
      </c>
      <c r="C33" s="1" t="str">
        <f>VLOOKUP(A33,[7]LISTADHERENT!A$5:H$60,3,0)</f>
        <v>TCHOUTOU NANA CLAUDE</v>
      </c>
      <c r="D33" s="7">
        <f t="shared" si="0"/>
        <v>0</v>
      </c>
      <c r="E33" s="7">
        <f>D33+VLOOKUP($A33,[6]HISTOAOUT24!$A$7:$AU$42,45,0)+F33</f>
        <v>0</v>
      </c>
      <c r="F33" s="7">
        <f>VLOOKUP($A33,[6]HISTOAOUT24!$A$6:$AV$48,7,0)</f>
        <v>0</v>
      </c>
      <c r="G33" s="7" t="str">
        <f>VLOOKUP($A33,[6]HISTOAOUT24!$A$6:$AV$49,8,0)</f>
        <v>ECHEC</v>
      </c>
      <c r="H33" s="7">
        <f>VLOOKUP($A33,[6]HISTOAOUT24!$A$6:$AV$49,35,0)</f>
        <v>0</v>
      </c>
      <c r="I33" s="7">
        <f>VLOOKUP($A33,[6]HISTOAOUT24!$A$6:$AV$49,38,0)</f>
        <v>0</v>
      </c>
      <c r="J33" s="7">
        <f>IF(H33=0,0,VLOOKUP($A33,[6]HISTOAOUT24!$A$6:$AV$49,42,0))</f>
        <v>0</v>
      </c>
      <c r="K33" s="7">
        <f>VLOOKUP($A33,[6]HISTOAOUT24!$A$6:$AV$49,41,0)</f>
        <v>0</v>
      </c>
      <c r="L33" s="7">
        <f>TONTJUIL24!H33+TONTJUIL24!I33</f>
        <v>0</v>
      </c>
      <c r="M33" s="7">
        <f>VLOOKUP($A33,[6]HISTOAOUT24!$A$6:$AV$49,16,0)</f>
        <v>0</v>
      </c>
      <c r="N33" s="7" t="str">
        <f>IF(M33&lt;&gt;0,VLOOKUP($A33,[6]HISTOAOUT24!$A$6:$AV$49,8,0),"ECHEC")</f>
        <v>ECHEC</v>
      </c>
      <c r="O33" s="7">
        <f>IF(R33=0,0,VLOOKUP($A33,[6]HISTOAOUT24!$A$6:$AV$49,32,0))</f>
        <v>0</v>
      </c>
      <c r="P33" s="7">
        <f>VLOOKUP($A33,[6]HISTOAOUT24!$A$6:$AV$49,33,0)</f>
        <v>0</v>
      </c>
      <c r="Q33" s="7">
        <f t="shared" si="1"/>
        <v>0</v>
      </c>
      <c r="R33" s="7">
        <f>VLOOKUP($A33,[6]HISTOAOUT24!$A$6:$AV$49,29,0)</f>
        <v>0</v>
      </c>
    </row>
    <row r="34" spans="1:18" x14ac:dyDescent="0.35">
      <c r="A34" s="17" t="s">
        <v>89</v>
      </c>
      <c r="B34" s="7">
        <f>IF(D34=0,0,VLOOKUP($A34,[6]HISTOAOUT24!$A$6:$BP$44,10,0))</f>
        <v>1</v>
      </c>
      <c r="C34" s="1" t="str">
        <f>VLOOKUP(A34,[7]LISTADHERENT!A$5:H$60,3,0)</f>
        <v>YANTCHOU GERVAIS</v>
      </c>
      <c r="D34" s="7">
        <f t="shared" si="0"/>
        <v>25000</v>
      </c>
      <c r="E34" s="7">
        <f>D34+VLOOKUP($A34,[6]HISTOAOUT24!$A$7:$AU$42,45,0)+F34</f>
        <v>60000</v>
      </c>
      <c r="F34" s="7">
        <f>VLOOKUP($A34,[6]HISTOAOUT24!$A$6:$AV$48,7,0)</f>
        <v>0</v>
      </c>
      <c r="G34" s="7" t="str">
        <f>VLOOKUP($A34,[6]HISTOAOUT24!$A$6:$AV$49,8,0)</f>
        <v>BANQUE</v>
      </c>
      <c r="H34" s="7">
        <f>VLOOKUP($A34,[6]HISTOAOUT24!$A$6:$AV$49,35,0)</f>
        <v>0</v>
      </c>
      <c r="I34" s="7">
        <f>VLOOKUP($A34,[6]HISTOAOUT24!$A$6:$AV$49,38,0)</f>
        <v>0</v>
      </c>
      <c r="J34" s="7">
        <f>IF(H34=0,0,VLOOKUP($A34,[6]HISTOAOUT24!$A$6:$AV$49,42,0))</f>
        <v>0</v>
      </c>
      <c r="K34" s="7">
        <f>VLOOKUP($A34,[6]HISTOAOUT24!$A$6:$AV$49,41,0)</f>
        <v>0</v>
      </c>
      <c r="L34" s="7">
        <f>TONTJUIL24!H34+TONTJUIL24!I34</f>
        <v>0</v>
      </c>
      <c r="M34" s="7">
        <f>VLOOKUP($A34,[6]HISTOAOUT24!$A$6:$AV$49,16,0)</f>
        <v>0</v>
      </c>
      <c r="N34" s="7" t="str">
        <f>IF(M34&lt;&gt;0,VLOOKUP($A34,[6]HISTOAOUT24!$A$6:$AV$49,8,0),"ECHEC")</f>
        <v>ECHEC</v>
      </c>
      <c r="O34" s="7">
        <f>IF(R34=0,0,VLOOKUP($A34,[6]HISTOAOUT24!$A$6:$AV$49,32,0))</f>
        <v>0</v>
      </c>
      <c r="P34" s="7">
        <f>VLOOKUP($A34,[6]HISTOAOUT24!$A$6:$AV$49,33,0)</f>
        <v>0</v>
      </c>
      <c r="Q34" s="7">
        <f t="shared" si="1"/>
        <v>0</v>
      </c>
      <c r="R34" s="7">
        <f>VLOOKUP($A34,[6]HISTOAOUT24!$A$6:$AV$49,29,0)</f>
        <v>0</v>
      </c>
    </row>
    <row r="35" spans="1:18" x14ac:dyDescent="0.35">
      <c r="A35" s="1" t="s">
        <v>27</v>
      </c>
      <c r="B35" s="7">
        <f>IF(D35=0,0,VLOOKUP($A35,[6]HISTOAOUT24!$A$6:$BP$44,10,0))</f>
        <v>1</v>
      </c>
      <c r="C35" s="1" t="str">
        <f>VLOOKUP(A35,[7]LISTADHERENT!A$5:H$60,3,0)</f>
        <v>YEPMOU JEAN JACQUES</v>
      </c>
      <c r="D35" s="7">
        <f t="shared" si="0"/>
        <v>25000</v>
      </c>
      <c r="E35" s="7">
        <f>D35+VLOOKUP($A35,[6]HISTOAOUT24!$A$7:$AU$42,45,0)+F35</f>
        <v>50000</v>
      </c>
      <c r="F35" s="7">
        <f>VLOOKUP($A35,[6]HISTOAOUT24!$A$6:$AV$48,7,0)</f>
        <v>0</v>
      </c>
      <c r="G35" s="7" t="str">
        <f>VLOOKUP($A35,[6]HISTOAOUT24!$A$6:$AV$49,8,0)</f>
        <v>BANQUE</v>
      </c>
      <c r="H35" s="7">
        <f>VLOOKUP($A35,[6]HISTOAOUT24!$A$6:$AV$49,35,0)</f>
        <v>0</v>
      </c>
      <c r="I35" s="7">
        <f>VLOOKUP($A35,[6]HISTOAOUT24!$A$6:$AV$49,38,0)</f>
        <v>0</v>
      </c>
      <c r="J35" s="7">
        <f>IF(H35=0,0,VLOOKUP($A35,[6]HISTOAOUT24!$A$6:$AV$49,42,0))</f>
        <v>0</v>
      </c>
      <c r="K35" s="7">
        <f>VLOOKUP($A35,[6]HISTOAOUT24!$A$6:$AV$49,41,0)</f>
        <v>0</v>
      </c>
      <c r="L35" s="7">
        <f>TONTJUIL24!H35+TONTJUIL24!I35</f>
        <v>0</v>
      </c>
      <c r="M35" s="7">
        <f>VLOOKUP($A35,[6]HISTOAOUT24!$A$6:$AV$49,16,0)</f>
        <v>0</v>
      </c>
      <c r="N35" s="7" t="str">
        <f>IF(M35&lt;&gt;0,VLOOKUP($A35,[6]HISTOAOUT24!$A$6:$AV$49,8,0),"ECHEC")</f>
        <v>ECHEC</v>
      </c>
      <c r="O35" s="7">
        <f>IF(R35=0,0,VLOOKUP($A35,[6]HISTOAOUT24!$A$6:$AV$49,32,0))</f>
        <v>0</v>
      </c>
      <c r="P35" s="7">
        <f>VLOOKUP($A35,[6]HISTOAOUT24!$A$6:$AV$49,33,0)</f>
        <v>0</v>
      </c>
      <c r="Q35" s="7">
        <f t="shared" si="1"/>
        <v>0</v>
      </c>
      <c r="R35" s="7">
        <f>VLOOKUP($A35,[6]HISTOAOUT24!$A$6:$AV$49,29,0)</f>
        <v>0</v>
      </c>
    </row>
    <row r="36" spans="1:18" x14ac:dyDescent="0.35">
      <c r="A36" s="1" t="s">
        <v>94</v>
      </c>
      <c r="B36" s="7">
        <f>IF(D36=0,0,VLOOKUP($A36,[6]HISTOAOUT24!$A$6:$BP$44,10,0))</f>
        <v>1</v>
      </c>
      <c r="C36" s="1" t="str">
        <f>VLOOKUP(A36,[7]LISTADHERENT!A$5:H$60,3,0)</f>
        <v>YIALA ALAIN OSCAR</v>
      </c>
      <c r="D36" s="7">
        <f t="shared" si="0"/>
        <v>25000</v>
      </c>
      <c r="E36" s="7">
        <f>D36+VLOOKUP($A36,[6]HISTOAOUT24!$A$7:$AU$42,45,0)+F36</f>
        <v>50000</v>
      </c>
      <c r="F36" s="7">
        <f>VLOOKUP($A36,[6]HISTOAOUT24!$A$6:$AV$48,7,0)</f>
        <v>0</v>
      </c>
      <c r="G36" s="7" t="str">
        <f>VLOOKUP($A36,[6]HISTOAOUT24!$A$6:$AV$49,8,0)</f>
        <v>BANQUE</v>
      </c>
      <c r="H36" s="7">
        <f>VLOOKUP($A36,[6]HISTOAOUT24!$A$6:$AV$49,35,0)</f>
        <v>0</v>
      </c>
      <c r="I36" s="7">
        <f>VLOOKUP($A36,[6]HISTOAOUT24!$A$6:$AV$49,38,0)</f>
        <v>0</v>
      </c>
      <c r="J36" s="7">
        <f>IF(H36=0,0,VLOOKUP($A36,[6]HISTOAOUT24!$A$6:$AV$49,42,0))</f>
        <v>0</v>
      </c>
      <c r="K36" s="7">
        <f>VLOOKUP($A36,[6]HISTOAOUT24!$A$6:$AV$49,41,0)</f>
        <v>0</v>
      </c>
      <c r="L36" s="7">
        <f>TONTJUIL24!H36+TONTJUIL24!I36</f>
        <v>0</v>
      </c>
      <c r="M36" s="7">
        <f>VLOOKUP($A36,[6]HISTOAOUT24!$A$6:$AV$49,16,0)</f>
        <v>0</v>
      </c>
      <c r="N36" s="7" t="str">
        <f>IF(M36&lt;&gt;0,VLOOKUP($A36,[6]HISTOAOUT24!$A$6:$AV$49,8,0),"ECHEC")</f>
        <v>ECHEC</v>
      </c>
      <c r="O36" s="7">
        <f>IF(R36=0,0,VLOOKUP($A36,[6]HISTOAOUT24!$A$6:$AV$49,32,0))</f>
        <v>0</v>
      </c>
      <c r="P36" s="7">
        <f>VLOOKUP($A36,[6]HISTOAOUT24!$A$6:$AV$49,33,0)</f>
        <v>0</v>
      </c>
      <c r="Q36" s="7">
        <f t="shared" si="1"/>
        <v>0</v>
      </c>
      <c r="R36" s="7">
        <f>VLOOKUP($A36,[6]HISTOAOUT24!$A$6:$AV$49,29,0)</f>
        <v>0</v>
      </c>
    </row>
    <row r="37" spans="1:18" x14ac:dyDescent="0.35">
      <c r="A37" s="1" t="s">
        <v>28</v>
      </c>
      <c r="B37" s="7">
        <f>IF(D37=0,0,VLOOKUP($A37,[6]HISTOAOUT24!$A$6:$BP$44,10,0))</f>
        <v>1</v>
      </c>
      <c r="C37" s="1" t="str">
        <f>VLOOKUP(A37,[7]LISTADHERENT!A$5:H$60,3,0)</f>
        <v>YOUMBI EMMANUEL</v>
      </c>
      <c r="D37" s="7">
        <f t="shared" si="0"/>
        <v>25000</v>
      </c>
      <c r="E37" s="7">
        <f>D37+VLOOKUP($A37,[6]HISTOAOUT24!$A$7:$AU$42,45,0)+F37</f>
        <v>50000</v>
      </c>
      <c r="F37" s="7">
        <f>VLOOKUP($A37,[6]HISTOAOUT24!$A$6:$AV$48,7,0)</f>
        <v>0</v>
      </c>
      <c r="G37" s="7" t="str">
        <f>VLOOKUP($A37,[6]HISTOAOUT24!$A$6:$AV$49,8,0)</f>
        <v>BANQUE</v>
      </c>
      <c r="H37" s="7">
        <f>VLOOKUP($A37,[6]HISTOAOUT24!$A$6:$AV$49,35,0)</f>
        <v>0</v>
      </c>
      <c r="I37" s="7">
        <f>VLOOKUP($A37,[6]HISTOAOUT24!$A$6:$AV$49,38,0)</f>
        <v>0</v>
      </c>
      <c r="J37" s="7">
        <f>IF(H37=0,0,VLOOKUP($A37,[6]HISTOAOUT24!$A$6:$AV$49,42,0))</f>
        <v>0</v>
      </c>
      <c r="K37" s="7">
        <f>VLOOKUP($A37,[6]HISTOAOUT24!$A$6:$AV$49,41,0)</f>
        <v>0</v>
      </c>
      <c r="L37" s="7">
        <f>TONTJUIL24!H37+TONTJUIL24!I37</f>
        <v>0</v>
      </c>
      <c r="M37" s="7">
        <f>VLOOKUP($A37,[6]HISTOAOUT24!$A$6:$AV$49,16,0)</f>
        <v>0</v>
      </c>
      <c r="N37" s="7" t="str">
        <f>IF(M37&lt;&gt;0,VLOOKUP($A37,[6]HISTOAOUT24!$A$6:$AV$49,8,0),"ECHEC")</f>
        <v>ECHEC</v>
      </c>
      <c r="O37" s="7">
        <f>IF(R37=0,0,VLOOKUP($A37,[6]HISTOAOUT24!$A$6:$AV$49,32,0))</f>
        <v>0</v>
      </c>
      <c r="P37" s="7">
        <f>VLOOKUP($A37,[6]HISTOAOUT24!$A$6:$AV$49,33,0)</f>
        <v>0</v>
      </c>
      <c r="Q37" s="7">
        <f t="shared" si="1"/>
        <v>0</v>
      </c>
      <c r="R37" s="7">
        <f>VLOOKUP($A37,[6]HISTOAOUT24!$A$6:$AV$49,29,0)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31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775000</v>
      </c>
      <c r="E40" s="8"/>
      <c r="F40" s="8">
        <f t="shared" ref="F40:R40" si="2">SUM(F6:F39)</f>
        <v>3000</v>
      </c>
      <c r="G40" s="8">
        <f t="shared" si="2"/>
        <v>0</v>
      </c>
      <c r="H40" s="8">
        <f t="shared" si="2"/>
        <v>267000</v>
      </c>
      <c r="I40" s="8">
        <f t="shared" si="2"/>
        <v>4500</v>
      </c>
      <c r="J40" s="8">
        <f t="shared" si="2"/>
        <v>0</v>
      </c>
      <c r="K40" s="8">
        <f t="shared" si="2"/>
        <v>0</v>
      </c>
      <c r="L40" s="8">
        <f t="shared" si="2"/>
        <v>87000</v>
      </c>
      <c r="M40" s="8">
        <f t="shared" si="2"/>
        <v>87000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595000</v>
      </c>
      <c r="R40" s="8">
        <f t="shared" si="2"/>
        <v>5000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D46+G46+R40+TONTJUIL24!O47</f>
        <v>867000</v>
      </c>
      <c r="N42" s="4"/>
      <c r="O42"/>
      <c r="P42" s="4"/>
    </row>
    <row r="43" spans="1:18" s="2" customFormat="1" ht="17.5" x14ac:dyDescent="0.35">
      <c r="D43" s="8">
        <f>SUMIFS(D6:D39,G6:G39,"ESPECES")</f>
        <v>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0</v>
      </c>
      <c r="K43" s="8"/>
      <c r="L43" s="8" t="s">
        <v>79</v>
      </c>
      <c r="M43" s="8">
        <f>C3*COUNTIF(Q7:Q39,"&gt;0")</f>
        <v>600000</v>
      </c>
      <c r="N43" s="8">
        <f>D3</f>
        <v>2</v>
      </c>
      <c r="O43" s="8">
        <f>COUNTIF(Q6:Q33,"&gt;0")</f>
        <v>2</v>
      </c>
      <c r="P43" s="8"/>
    </row>
    <row r="44" spans="1:18" s="2" customFormat="1" ht="17.5" x14ac:dyDescent="0.35">
      <c r="D44" s="8">
        <f>SUMIFS(D6:D39,G6:G39,"BANQUE")</f>
        <v>775000</v>
      </c>
      <c r="E44" s="8"/>
      <c r="F44" s="8" t="s">
        <v>32</v>
      </c>
      <c r="G44" s="8">
        <f>SUMIFS(M6:M33,N6:N33,"BANQUE")</f>
        <v>87000</v>
      </c>
      <c r="H44" s="8">
        <f>SUMIFS(H6:H39,J6:J39,"BANQUE")</f>
        <v>90000</v>
      </c>
      <c r="I44" s="8">
        <f>SUMIFS(Q6:Q39,O6:O39,"BANQUE")</f>
        <v>0</v>
      </c>
      <c r="J44" s="8">
        <f>D44+G44-H44-I44</f>
        <v>772000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267000</v>
      </c>
      <c r="N45" s="8"/>
      <c r="O45" s="8"/>
      <c r="P45" s="8"/>
    </row>
    <row r="46" spans="1:18" s="2" customFormat="1" ht="17.5" x14ac:dyDescent="0.35">
      <c r="D46" s="8">
        <f>D43+D44</f>
        <v>775000</v>
      </c>
      <c r="E46" s="8"/>
      <c r="F46" s="8" t="s">
        <v>29</v>
      </c>
      <c r="G46" s="8">
        <f>G43+G44</f>
        <v>87000</v>
      </c>
      <c r="H46" s="8">
        <f>H43+H44</f>
        <v>90000</v>
      </c>
      <c r="I46" s="8">
        <f t="shared" ref="I46:J46" si="3">I43+I44</f>
        <v>0</v>
      </c>
      <c r="J46" s="8">
        <f t="shared" si="3"/>
        <v>772000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TONTAOUT24!M47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COUNTIFS(G7:G38,"ECHEC")*25000</f>
        <v>25000</v>
      </c>
      <c r="O49" s="8">
        <f>TONTAOUT24!M49</f>
        <v>25000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TONTAOUT24!M50</f>
        <v>0</v>
      </c>
      <c r="P50" s="8" t="s">
        <v>53</v>
      </c>
    </row>
  </sheetData>
  <autoFilter ref="A5:R25" xr:uid="{00000000-0009-0000-0000-000008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0"/>
  <sheetViews>
    <sheetView zoomScale="95" zoomScaleNormal="95" workbookViewId="0">
      <pane xSplit="3" ySplit="5" topLeftCell="J45" activePane="bottomRight" state="frozen"/>
      <selection activeCell="G6" sqref="G6:G39"/>
      <selection pane="topRight" activeCell="G6" sqref="G6:G39"/>
      <selection pane="bottomLeft" activeCell="G6" sqref="G6:G39"/>
      <selection pane="bottomRight" activeCell="M49" sqref="M49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8">
        <v>45548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IF(D6=0,0,VLOOKUP($A6,[6]HISTOSEPT24!$A$6:$BP$44,10,0))</f>
        <v>1</v>
      </c>
      <c r="C6" s="1" t="str">
        <f>VLOOKUP(A6,[7]LISTADHERENT!A$5:H$60,3,0)</f>
        <v>BAKOP ACHILLE</v>
      </c>
      <c r="D6" s="7">
        <f t="shared" ref="D6:D37" si="0">IF(G6="ECHEC",0,B$3)</f>
        <v>25000</v>
      </c>
      <c r="E6" s="7">
        <f>D6+VLOOKUP($A6,[6]HISTOSEPT24!$A$7:$AU$42,45,0)+F6</f>
        <v>52000</v>
      </c>
      <c r="F6" s="7">
        <f>VLOOKUP($A6,[6]HISTOSEPT24!$A$6:$AV$48,7,0)</f>
        <v>3000</v>
      </c>
      <c r="G6" s="7" t="str">
        <f>VLOOKUP($A6,[6]HISTOSEPT24!$A$6:$AV$49,8,0)</f>
        <v>ESPECES</v>
      </c>
      <c r="H6" s="7">
        <f>VLOOKUP($A6,[6]HISTOSEPT24!$A$6:$AV$49,35,0)</f>
        <v>0</v>
      </c>
      <c r="I6" s="7">
        <f>VLOOKUP($A6,[6]HISTOSEPT24!$A$6:$AV$49,38,0)</f>
        <v>0</v>
      </c>
      <c r="J6" s="7">
        <f>IF(H6=0,0,VLOOKUP($A6,[6]HISTOSEPT24!$A$6:$AV$49,42,0))</f>
        <v>0</v>
      </c>
      <c r="K6" s="7">
        <f>VLOOKUP($A6,[6]HISTOSEPT24!$A$6:$AV$49,41,0)</f>
        <v>0</v>
      </c>
      <c r="L6" s="7">
        <f>TONTAOUT24!H6+TONTAOUT24!I6</f>
        <v>58000</v>
      </c>
      <c r="M6" s="7">
        <f>VLOOKUP($A6,[6]HISTOSEPT24!$A$6:$AV$49,16,0)</f>
        <v>58000</v>
      </c>
      <c r="N6" s="7" t="str">
        <f>IF(M6&lt;&gt;0,VLOOKUP($A6,[6]HISTOSEPT24!$A$6:$AV$49,8,0),"ECHEC")</f>
        <v>ESPECES</v>
      </c>
      <c r="O6" s="7">
        <f>IF(R6=0,0,VLOOKUP($A6,[6]HISTOSEPT24!$A$6:$AV$49,32,0))</f>
        <v>0</v>
      </c>
      <c r="P6" s="7">
        <f>VLOOKUP($A6,[6]HISTOSEPT24!$A$6:$AV$49,33,0)</f>
        <v>0</v>
      </c>
      <c r="Q6" s="7">
        <f t="shared" ref="Q6:Q37" si="1">IF(R6=0,0,($C$3-R6))</f>
        <v>0</v>
      </c>
      <c r="R6" s="7">
        <f>VLOOKUP($A6,[6]HISTOSEPT24!$A$6:$AV$49,29,0)</f>
        <v>0</v>
      </c>
    </row>
    <row r="7" spans="1:19" x14ac:dyDescent="0.35">
      <c r="A7" s="1" t="s">
        <v>9</v>
      </c>
      <c r="B7" s="7">
        <f>IF(D7=0,0,VLOOKUP($A7,[6]HISTOSEPT24!$A$6:$BP$44,10,0))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D7+VLOOKUP($A7,[6]HISTOSEPT24!$A$7:$AU$42,45,0)+F7</f>
        <v>53000</v>
      </c>
      <c r="F7" s="7">
        <f>VLOOKUP($A7,[6]HISTOSEPT24!$A$6:$AV$48,7,0)</f>
        <v>3000</v>
      </c>
      <c r="G7" s="7" t="str">
        <f>VLOOKUP($A7,[6]HISTOSEPT24!$A$6:$AV$49,8,0)</f>
        <v>ESPECES</v>
      </c>
      <c r="H7" s="7">
        <f>VLOOKUP($A7,[6]HISTOSEPT24!$A$6:$AV$49,35,0)</f>
        <v>0</v>
      </c>
      <c r="I7" s="7">
        <f>VLOOKUP($A7,[6]HISTOSEPT24!$A$6:$AV$49,38,0)</f>
        <v>0</v>
      </c>
      <c r="J7" s="7">
        <f>IF(H7=0,0,VLOOKUP($A7,[6]HISTOSEPT24!$A$6:$AV$49,42,0))</f>
        <v>0</v>
      </c>
      <c r="K7" s="7">
        <f>VLOOKUP($A7,[6]HISTOSEPT24!$A$6:$AV$49,41,0)</f>
        <v>0</v>
      </c>
      <c r="L7" s="7">
        <f>TONTAOUT24!H7+TONTAOUT24!I7</f>
        <v>0</v>
      </c>
      <c r="M7" s="7">
        <f>VLOOKUP($A7,[6]HISTOSEPT24!$A$6:$AV$49,16,0)</f>
        <v>0</v>
      </c>
      <c r="N7" s="7" t="str">
        <f>IF(M7&lt;&gt;0,VLOOKUP($A7,[6]HISTOSEPT24!$A$6:$AV$49,8,0),"ECHEC")</f>
        <v>ECHEC</v>
      </c>
      <c r="O7" s="7">
        <f>IF(R7=0,0,VLOOKUP($A7,[6]HISTOSEPT24!$A$6:$AV$49,32,0))</f>
        <v>0</v>
      </c>
      <c r="P7" s="7">
        <f>VLOOKUP($A7,[6]HISTOSEPT24!$A$6:$AV$49,33,0)</f>
        <v>0</v>
      </c>
      <c r="Q7" s="7">
        <f t="shared" si="1"/>
        <v>0</v>
      </c>
      <c r="R7" s="7">
        <f>VLOOKUP($A7,[6]HISTOSEPT24!$A$6:$AV$49,29,0)</f>
        <v>0</v>
      </c>
    </row>
    <row r="8" spans="1:19" x14ac:dyDescent="0.35">
      <c r="A8" s="1" t="s">
        <v>10</v>
      </c>
      <c r="B8" s="7">
        <f>IF(D8=0,0,VLOOKUP($A8,[6]HISTOSEPT24!$A$6:$BP$44,10,0))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D8+VLOOKUP($A8,[6]HISTOSEPT24!$A$7:$AU$42,45,0)+F8</f>
        <v>55000</v>
      </c>
      <c r="F8" s="7">
        <f>VLOOKUP($A8,[6]HISTOSEPT24!$A$6:$AV$48,7,0)</f>
        <v>0</v>
      </c>
      <c r="G8" s="7" t="str">
        <f>VLOOKUP($A8,[6]HISTOSEPT24!$A$6:$AV$49,8,0)</f>
        <v>BANQUE</v>
      </c>
      <c r="H8" s="7">
        <f>VLOOKUP($A8,[6]HISTOSEPT24!$A$6:$AV$49,35,0)</f>
        <v>0</v>
      </c>
      <c r="I8" s="7">
        <f>VLOOKUP($A8,[6]HISTOSEPT24!$A$6:$AV$49,38,0)</f>
        <v>0</v>
      </c>
      <c r="J8" s="7">
        <f>IF(H8=0,0,VLOOKUP($A8,[6]HISTOSEPT24!$A$6:$AV$49,42,0))</f>
        <v>0</v>
      </c>
      <c r="K8" s="7">
        <f>VLOOKUP($A8,[6]HISTOSEPT24!$A$6:$AV$49,41,0)</f>
        <v>0</v>
      </c>
      <c r="L8" s="7">
        <f>TONTAOUT24!H8+TONTAOUT24!I8</f>
        <v>0</v>
      </c>
      <c r="M8" s="7">
        <f>VLOOKUP($A8,[6]HISTOSEPT24!$A$6:$AV$49,16,0)</f>
        <v>0</v>
      </c>
      <c r="N8" s="7" t="str">
        <f>IF(M8&lt;&gt;0,VLOOKUP($A8,[6]HISTOSEPT24!$A$6:$AV$49,8,0),"ECHEC")</f>
        <v>ECHEC</v>
      </c>
      <c r="O8" s="7">
        <f>IF(R8=0,0,VLOOKUP($A8,[6]HISTOSEPT24!$A$6:$AV$49,32,0))</f>
        <v>0</v>
      </c>
      <c r="P8" s="7">
        <f>VLOOKUP($A8,[6]HISTOSEPT24!$A$6:$AV$49,33,0)</f>
        <v>0</v>
      </c>
      <c r="Q8" s="7">
        <f t="shared" si="1"/>
        <v>0</v>
      </c>
      <c r="R8" s="7">
        <f>VLOOKUP($A8,[6]HISTOSEPT24!$A$6:$AV$49,29,0)</f>
        <v>0</v>
      </c>
    </row>
    <row r="9" spans="1:19" x14ac:dyDescent="0.35">
      <c r="A9" s="1" t="s">
        <v>52</v>
      </c>
      <c r="B9" s="7">
        <f>IF(D9=0,0,VLOOKUP($A9,[6]HISTOSEPT24!$A$6:$BP$44,10,0))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D9+VLOOKUP($A9,[6]HISTOSEPT24!$A$7:$AU$42,45,0)+F9</f>
        <v>53000</v>
      </c>
      <c r="F9" s="7">
        <f>VLOOKUP($A9,[6]HISTOSEPT24!$A$6:$AV$48,7,0)</f>
        <v>3000</v>
      </c>
      <c r="G9" s="7" t="str">
        <f>VLOOKUP($A9,[6]HISTOSEPT24!$A$6:$AV$49,8,0)</f>
        <v>ESPECES</v>
      </c>
      <c r="H9" s="7">
        <f>VLOOKUP($A9,[6]HISTOSEPT24!$A$6:$AV$49,35,0)</f>
        <v>60000</v>
      </c>
      <c r="I9" s="7">
        <f>VLOOKUP($A9,[6]HISTOSEPT24!$A$6:$AV$49,38,0)</f>
        <v>1000</v>
      </c>
      <c r="J9" s="7" t="str">
        <f>IF(H9=0,0,VLOOKUP($A9,[6]HISTOSEPT24!$A$6:$AV$49,42,0))</f>
        <v>BANQUE</v>
      </c>
      <c r="K9" s="7">
        <f>VLOOKUP($A9,[6]HISTOSEPT24!$A$6:$AV$49,41,0)</f>
        <v>0</v>
      </c>
      <c r="L9" s="7">
        <f>TONTAOUT24!H9+TONTAOUT24!I9</f>
        <v>61000</v>
      </c>
      <c r="M9" s="7">
        <f>VLOOKUP($A9,[6]HISTOSEPT24!$A$6:$AV$49,16,0)</f>
        <v>61000</v>
      </c>
      <c r="N9" s="7" t="str">
        <f>IF(M9&lt;&gt;0,VLOOKUP($A9,[6]HISTOSEPT24!$A$6:$AV$49,8,0),"ECHEC")</f>
        <v>ESPECES</v>
      </c>
      <c r="O9" s="7">
        <f>IF(R9=0,0,VLOOKUP($A9,[6]HISTOSEPT24!$A$6:$AV$49,32,0))</f>
        <v>0</v>
      </c>
      <c r="P9" s="7">
        <f>VLOOKUP($A9,[6]HISTOSEPT24!$A$6:$AV$49,33,0)</f>
        <v>0</v>
      </c>
      <c r="Q9" s="7">
        <f t="shared" si="1"/>
        <v>0</v>
      </c>
      <c r="R9" s="7">
        <f>VLOOKUP($A9,[6]HISTOSEPT24!$A$6:$AV$49,29,0)</f>
        <v>0</v>
      </c>
    </row>
    <row r="10" spans="1:19" x14ac:dyDescent="0.35">
      <c r="A10" s="1" t="s">
        <v>11</v>
      </c>
      <c r="B10" s="7">
        <f>IF(D10=0,0,VLOOKUP($A10,[6]HISTOSEPT24!$A$6:$BP$44,10,0))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D10+VLOOKUP($A10,[6]HISTOSEPT24!$A$7:$AU$42,45,0)+F10</f>
        <v>52500</v>
      </c>
      <c r="F10" s="7">
        <f>VLOOKUP($A10,[6]HISTOSEPT24!$A$6:$AV$48,7,0)</f>
        <v>0</v>
      </c>
      <c r="G10" s="7" t="str">
        <f>VLOOKUP($A10,[6]HISTOSEPT24!$A$6:$AV$49,8,0)</f>
        <v>BANQUE</v>
      </c>
      <c r="H10" s="7">
        <f>VLOOKUP($A10,[6]HISTOSEPT24!$A$6:$AV$49,35,0)</f>
        <v>0</v>
      </c>
      <c r="I10" s="7">
        <f>VLOOKUP($A10,[6]HISTOSEPT24!$A$6:$AV$49,38,0)</f>
        <v>0</v>
      </c>
      <c r="J10" s="7">
        <f>IF(H10=0,0,VLOOKUP($A10,[6]HISTOSEPT24!$A$6:$AV$49,42,0))</f>
        <v>0</v>
      </c>
      <c r="K10" s="7">
        <f>VLOOKUP($A10,[6]HISTOSEPT24!$A$6:$AV$49,41,0)</f>
        <v>0</v>
      </c>
      <c r="L10" s="7">
        <f>TONTAOUT24!H10+TONTAOUT24!I10</f>
        <v>0</v>
      </c>
      <c r="M10" s="7">
        <f>VLOOKUP($A10,[6]HISTOSEPT24!$A$6:$AV$49,16,0)</f>
        <v>0</v>
      </c>
      <c r="N10" s="7" t="str">
        <f>IF(M10&lt;&gt;0,VLOOKUP($A10,[6]HISTOSEPT24!$A$6:$AV$49,8,0),"ECHEC")</f>
        <v>ECHEC</v>
      </c>
      <c r="O10" s="7">
        <f>IF(R10=0,0,VLOOKUP($A10,[6]HISTOSEPT24!$A$6:$AV$49,32,0))</f>
        <v>0</v>
      </c>
      <c r="P10" s="7">
        <f>VLOOKUP($A10,[6]HISTOSEPT24!$A$6:$AV$49,33,0)</f>
        <v>0</v>
      </c>
      <c r="Q10" s="7">
        <f t="shared" si="1"/>
        <v>0</v>
      </c>
      <c r="R10" s="7">
        <f>VLOOKUP($A10,[6]HISTOSEPT24!$A$6:$AV$49,29,0)</f>
        <v>0</v>
      </c>
    </row>
    <row r="11" spans="1:19" x14ac:dyDescent="0.35">
      <c r="A11" s="1" t="s">
        <v>12</v>
      </c>
      <c r="B11" s="7">
        <f>IF(D11=0,0,VLOOKUP($A11,[6]HISTOSEPT24!$A$6:$BP$44,10,0))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D11+VLOOKUP($A11,[6]HISTOSEPT24!$A$7:$AU$42,45,0)+F11</f>
        <v>55000</v>
      </c>
      <c r="F11" s="7">
        <f>VLOOKUP($A11,[6]HISTOSEPT24!$A$6:$AV$48,7,0)</f>
        <v>0</v>
      </c>
      <c r="G11" s="7" t="str">
        <f>VLOOKUP($A11,[6]HISTOSEPT24!$A$6:$AV$49,8,0)</f>
        <v>BANQUE</v>
      </c>
      <c r="H11" s="7">
        <f>VLOOKUP($A11,[6]HISTOSEPT24!$A$6:$AV$49,35,0)</f>
        <v>0</v>
      </c>
      <c r="I11" s="7">
        <f>VLOOKUP($A11,[6]HISTOSEPT24!$A$6:$AV$49,38,0)</f>
        <v>0</v>
      </c>
      <c r="J11" s="7">
        <f>IF(H11=0,0,VLOOKUP($A11,[6]HISTOSEPT24!$A$6:$AV$49,42,0))</f>
        <v>0</v>
      </c>
      <c r="K11" s="7">
        <f>VLOOKUP($A11,[6]HISTOSEPT24!$A$6:$AV$49,41,0)</f>
        <v>0</v>
      </c>
      <c r="L11" s="7">
        <f>TONTAOUT24!H11+TONTAOUT24!I11</f>
        <v>0</v>
      </c>
      <c r="M11" s="7">
        <f>VLOOKUP($A11,[6]HISTOSEPT24!$A$6:$AV$49,16,0)</f>
        <v>0</v>
      </c>
      <c r="N11" s="7" t="str">
        <f>IF(M11&lt;&gt;0,VLOOKUP($A11,[6]HISTOSEPT24!$A$6:$AV$49,8,0),"ECHEC")</f>
        <v>ECHEC</v>
      </c>
      <c r="O11" s="7">
        <f>IF(R11=0,0,VLOOKUP($A11,[6]HISTOSEPT24!$A$6:$AV$49,32,0))</f>
        <v>0</v>
      </c>
      <c r="P11" s="7">
        <f>VLOOKUP($A11,[6]HISTOSEPT24!$A$6:$AV$49,33,0)</f>
        <v>0</v>
      </c>
      <c r="Q11" s="7">
        <f t="shared" si="1"/>
        <v>0</v>
      </c>
      <c r="R11" s="7">
        <f>VLOOKUP($A11,[6]HISTOSEPT24!$A$6:$AV$49,29,0)</f>
        <v>0</v>
      </c>
    </row>
    <row r="12" spans="1:19" x14ac:dyDescent="0.35">
      <c r="A12" s="1" t="s">
        <v>45</v>
      </c>
      <c r="B12" s="7">
        <f>IF(D12=0,0,VLOOKUP($A12,[6]HISTOSEPT24!$A$6:$BP$44,10,0))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D12+VLOOKUP($A12,[6]HISTOSEPT24!$A$7:$AU$42,45,0)+F12</f>
        <v>50000</v>
      </c>
      <c r="F12" s="7">
        <f>VLOOKUP($A12,[6]HISTOSEPT24!$A$6:$AV$48,7,0)</f>
        <v>0</v>
      </c>
      <c r="G12" s="7" t="str">
        <f>VLOOKUP($A12,[6]HISTOSEPT24!$A$6:$AV$49,8,0)</f>
        <v>BANQUE</v>
      </c>
      <c r="H12" s="7">
        <f>VLOOKUP($A12,[6]HISTOSEPT24!$A$6:$AV$49,35,0)</f>
        <v>0</v>
      </c>
      <c r="I12" s="7">
        <f>VLOOKUP($A12,[6]HISTOSEPT24!$A$6:$AV$49,38,0)</f>
        <v>0</v>
      </c>
      <c r="J12" s="7">
        <f>IF(H12=0,0,VLOOKUP($A12,[6]HISTOSEPT24!$A$6:$AV$49,42,0))</f>
        <v>0</v>
      </c>
      <c r="K12" s="7">
        <f>VLOOKUP($A12,[6]HISTOSEPT24!$A$6:$AV$49,41,0)</f>
        <v>0</v>
      </c>
      <c r="L12" s="7">
        <f>TONTAOUT24!H12+TONTAOUT24!I12</f>
        <v>0</v>
      </c>
      <c r="M12" s="7">
        <f>VLOOKUP($A12,[6]HISTOSEPT24!$A$6:$AV$49,16,0)</f>
        <v>0</v>
      </c>
      <c r="N12" s="7" t="str">
        <f>IF(M12&lt;&gt;0,VLOOKUP($A12,[6]HISTOSEPT24!$A$6:$AV$49,8,0),"ECHEC")</f>
        <v>ECHEC</v>
      </c>
      <c r="O12" s="7">
        <f>IF(R12=0,0,VLOOKUP($A12,[6]HISTOSEPT24!$A$6:$AV$49,32,0))</f>
        <v>0</v>
      </c>
      <c r="P12" s="7">
        <f>VLOOKUP($A12,[6]HISTOSEPT24!$A$6:$AV$49,33,0)</f>
        <v>0</v>
      </c>
      <c r="Q12" s="7">
        <f t="shared" si="1"/>
        <v>0</v>
      </c>
      <c r="R12" s="7">
        <f>VLOOKUP($A12,[6]HISTOSEPT24!$A$6:$AV$49,29,0)</f>
        <v>0</v>
      </c>
    </row>
    <row r="13" spans="1:19" x14ac:dyDescent="0.35">
      <c r="A13" s="1" t="s">
        <v>13</v>
      </c>
      <c r="B13" s="7">
        <f>IF(D13=0,0,VLOOKUP($A13,[6]HISTOSEPT24!$A$6:$BP$44,10,0))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D13+VLOOKUP($A13,[6]HISTOSEPT24!$A$7:$AU$42,45,0)+F13</f>
        <v>50000</v>
      </c>
      <c r="F13" s="7">
        <f>VLOOKUP($A13,[6]HISTOSEPT24!$A$6:$AV$48,7,0)</f>
        <v>0</v>
      </c>
      <c r="G13" s="7" t="str">
        <f>VLOOKUP($A13,[6]HISTOSEPT24!$A$6:$AV$49,8,0)</f>
        <v>BANQUE</v>
      </c>
      <c r="H13" s="7">
        <f>VLOOKUP($A13,[6]HISTOSEPT24!$A$6:$AV$49,35,0)</f>
        <v>0</v>
      </c>
      <c r="I13" s="7">
        <f>VLOOKUP($A13,[6]HISTOSEPT24!$A$6:$AV$49,38,0)</f>
        <v>0</v>
      </c>
      <c r="J13" s="7">
        <f>IF(H13=0,0,VLOOKUP($A13,[6]HISTOSEPT24!$A$6:$AV$49,42,0))</f>
        <v>0</v>
      </c>
      <c r="K13" s="7">
        <f>VLOOKUP($A13,[6]HISTOSEPT24!$A$6:$AV$49,41,0)</f>
        <v>0</v>
      </c>
      <c r="L13" s="7">
        <f>TONTAOUT24!H13+TONTAOUT24!I13</f>
        <v>0</v>
      </c>
      <c r="M13" s="7">
        <f>VLOOKUP($A13,[6]HISTOSEPT24!$A$6:$AV$49,16,0)</f>
        <v>0</v>
      </c>
      <c r="N13" s="7" t="str">
        <f>IF(M13&lt;&gt;0,VLOOKUP($A13,[6]HISTOSEPT24!$A$6:$AV$49,8,0),"ECHEC")</f>
        <v>ECHEC</v>
      </c>
      <c r="O13" s="7">
        <f>IF(R13=0,0,VLOOKUP($A13,[6]HISTOSEPT24!$A$6:$AV$49,32,0))</f>
        <v>0</v>
      </c>
      <c r="P13" s="7">
        <f>VLOOKUP($A13,[6]HISTOSEPT24!$A$6:$AV$49,33,0)</f>
        <v>0</v>
      </c>
      <c r="Q13" s="7">
        <f t="shared" si="1"/>
        <v>0</v>
      </c>
      <c r="R13" s="7">
        <f>VLOOKUP($A13,[6]HISTOSEPT24!$A$6:$AV$49,29,0)</f>
        <v>0</v>
      </c>
    </row>
    <row r="14" spans="1:19" x14ac:dyDescent="0.35">
      <c r="A14" s="1" t="s">
        <v>14</v>
      </c>
      <c r="B14" s="7">
        <f>IF(D14=0,0,VLOOKUP($A14,[6]HISTOSEPT24!$A$6:$BP$44,10,0))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D14+VLOOKUP($A14,[6]HISTOSEPT24!$A$7:$AU$42,45,0)+F14</f>
        <v>50000</v>
      </c>
      <c r="F14" s="7">
        <f>VLOOKUP($A14,[6]HISTOSEPT24!$A$6:$AV$48,7,0)</f>
        <v>0</v>
      </c>
      <c r="G14" s="7" t="str">
        <f>VLOOKUP($A14,[6]HISTOSEPT24!$A$6:$AV$49,8,0)</f>
        <v>BANQUE</v>
      </c>
      <c r="H14" s="7">
        <f>VLOOKUP($A14,[6]HISTOSEPT24!$A$6:$AV$49,35,0)</f>
        <v>0</v>
      </c>
      <c r="I14" s="7">
        <f>VLOOKUP($A14,[6]HISTOSEPT24!$A$6:$AV$49,38,0)</f>
        <v>0</v>
      </c>
      <c r="J14" s="7">
        <f>IF(H14=0,0,VLOOKUP($A14,[6]HISTOSEPT24!$A$6:$AV$49,42,0))</f>
        <v>0</v>
      </c>
      <c r="K14" s="7">
        <f>VLOOKUP($A14,[6]HISTOSEPT24!$A$6:$AV$49,41,0)</f>
        <v>0</v>
      </c>
      <c r="L14" s="7">
        <f>TONTAOUT24!H14+TONTAOUT24!I14</f>
        <v>0</v>
      </c>
      <c r="M14" s="7">
        <f>VLOOKUP($A14,[6]HISTOSEPT24!$A$6:$AV$49,16,0)</f>
        <v>0</v>
      </c>
      <c r="N14" s="7" t="str">
        <f>IF(M14&lt;&gt;0,VLOOKUP($A14,[6]HISTOSEPT24!$A$6:$AV$49,8,0),"ECHEC")</f>
        <v>ECHEC</v>
      </c>
      <c r="O14" s="7">
        <f>IF(R14=0,0,VLOOKUP($A14,[6]HISTOSEPT24!$A$6:$AV$49,32,0))</f>
        <v>0</v>
      </c>
      <c r="P14" s="7">
        <f>VLOOKUP($A14,[6]HISTOSEPT24!$A$6:$AV$49,33,0)</f>
        <v>0</v>
      </c>
      <c r="Q14" s="7">
        <f t="shared" si="1"/>
        <v>0</v>
      </c>
      <c r="R14" s="7">
        <f>VLOOKUP($A14,[6]HISTOSEPT24!$A$6:$AV$49,29,0)</f>
        <v>0</v>
      </c>
      <c r="S14" s="1"/>
    </row>
    <row r="15" spans="1:19" x14ac:dyDescent="0.35">
      <c r="A15" s="1" t="s">
        <v>15</v>
      </c>
      <c r="B15" s="7">
        <f>IF(D15=0,0,VLOOKUP($A15,[6]HISTOSEPT24!$A$6:$BP$44,10,0))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D15+VLOOKUP($A15,[6]HISTOSEPT24!$A$7:$AU$42,45,0)+F15</f>
        <v>75000</v>
      </c>
      <c r="F15" s="7">
        <f>VLOOKUP($A15,[6]HISTOSEPT24!$A$6:$AV$48,7,0)</f>
        <v>0</v>
      </c>
      <c r="G15" s="7" t="str">
        <f>VLOOKUP($A15,[6]HISTOSEPT24!$A$6:$AV$49,8,0)</f>
        <v>BANQUE</v>
      </c>
      <c r="H15" s="7">
        <f>VLOOKUP($A15,[6]HISTOSEPT24!$A$6:$AV$49,35,0)</f>
        <v>0</v>
      </c>
      <c r="I15" s="7">
        <f>VLOOKUP($A15,[6]HISTOSEPT24!$A$6:$AV$49,38,0)</f>
        <v>0</v>
      </c>
      <c r="J15" s="7">
        <f>IF(H15=0,0,VLOOKUP($A15,[6]HISTOSEPT24!$A$6:$AV$49,42,0))</f>
        <v>0</v>
      </c>
      <c r="K15" s="7">
        <f>VLOOKUP($A15,[6]HISTOSEPT24!$A$6:$AV$49,41,0)</f>
        <v>0</v>
      </c>
      <c r="L15" s="7">
        <f>TONTAOUT24!H15+TONTAOUT24!I15</f>
        <v>0</v>
      </c>
      <c r="M15" s="7">
        <f>VLOOKUP($A15,[6]HISTOSEPT24!$A$6:$AV$49,16,0)</f>
        <v>0</v>
      </c>
      <c r="N15" s="7" t="str">
        <f>IF(M15&lt;&gt;0,VLOOKUP($A15,[6]HISTOSEPT24!$A$6:$AV$49,8,0),"ECHEC")</f>
        <v>ECHEC</v>
      </c>
      <c r="O15" s="7">
        <f>IF(R15=0,0,VLOOKUP($A15,[6]HISTOSEPT24!$A$6:$AV$49,32,0))</f>
        <v>0</v>
      </c>
      <c r="P15" s="7">
        <f>VLOOKUP($A15,[6]HISTOSEPT24!$A$6:$AV$49,33,0)</f>
        <v>0</v>
      </c>
      <c r="Q15" s="7">
        <f t="shared" si="1"/>
        <v>0</v>
      </c>
      <c r="R15" s="7">
        <f>VLOOKUP($A15,[6]HISTOSEPT24!$A$6:$AV$49,29,0)</f>
        <v>0</v>
      </c>
      <c r="S15" s="1"/>
    </row>
    <row r="16" spans="1:19" x14ac:dyDescent="0.35">
      <c r="A16" s="1" t="s">
        <v>16</v>
      </c>
      <c r="B16" s="7">
        <f>IF(D16=0,0,VLOOKUP($A16,[6]HISTOSEPT24!$A$6:$BP$44,10,0))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D16+VLOOKUP($A16,[6]HISTOSEPT24!$A$7:$AU$42,45,0)+F16</f>
        <v>47500</v>
      </c>
      <c r="F16" s="7">
        <f>VLOOKUP($A16,[6]HISTOSEPT24!$A$6:$AV$48,7,0)</f>
        <v>3000</v>
      </c>
      <c r="G16" s="7" t="str">
        <f>VLOOKUP($A16,[6]HISTOSEPT24!$A$6:$AV$49,8,0)</f>
        <v>BANQUE</v>
      </c>
      <c r="H16" s="7">
        <f>VLOOKUP($A16,[6]HISTOSEPT24!$A$6:$AV$49,35,0)</f>
        <v>0</v>
      </c>
      <c r="I16" s="7">
        <f>VLOOKUP($A16,[6]HISTOSEPT24!$A$6:$AV$49,38,0)</f>
        <v>0</v>
      </c>
      <c r="J16" s="7">
        <f>IF(H16=0,0,VLOOKUP($A16,[6]HISTOSEPT24!$A$6:$AV$49,42,0))</f>
        <v>0</v>
      </c>
      <c r="K16" s="7">
        <f>VLOOKUP($A16,[6]HISTOSEPT24!$A$6:$AV$49,41,0)</f>
        <v>0</v>
      </c>
      <c r="L16" s="7">
        <f>TONTAOUT24!H16+TONTAOUT24!I16</f>
        <v>30500</v>
      </c>
      <c r="M16" s="7">
        <f>VLOOKUP($A16,[6]HISTOSEPT24!$A$6:$AV$49,16,0)</f>
        <v>30500</v>
      </c>
      <c r="N16" s="7" t="str">
        <f>IF(M16&lt;&gt;0,VLOOKUP($A16,[6]HISTOSEPT24!$A$6:$AV$49,8,0),"ECHEC")</f>
        <v>BANQUE</v>
      </c>
      <c r="O16" s="7">
        <f>IF(R16=0,0,VLOOKUP($A16,[6]HISTOSEPT24!$A$6:$AV$49,32,0))</f>
        <v>0</v>
      </c>
      <c r="P16" s="7">
        <f>VLOOKUP($A16,[6]HISTOSEPT24!$A$6:$AV$49,33,0)</f>
        <v>0</v>
      </c>
      <c r="Q16" s="7">
        <f t="shared" si="1"/>
        <v>0</v>
      </c>
      <c r="R16" s="7">
        <f>VLOOKUP($A16,[6]HISTOSEPT24!$A$6:$AV$49,29,0)</f>
        <v>0</v>
      </c>
      <c r="S16" s="1"/>
    </row>
    <row r="17" spans="1:19" x14ac:dyDescent="0.35">
      <c r="A17" s="1" t="s">
        <v>17</v>
      </c>
      <c r="B17" s="7">
        <f>IF(D17=0,0,VLOOKUP($A17,[6]HISTOSEPT24!$A$6:$BP$44,10,0))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D17+VLOOKUP($A17,[6]HISTOSEPT24!$A$7:$AU$42,45,0)+F17</f>
        <v>60000</v>
      </c>
      <c r="F17" s="7">
        <f>VLOOKUP($A17,[6]HISTOSEPT24!$A$6:$AV$48,7,0)</f>
        <v>0</v>
      </c>
      <c r="G17" s="7" t="str">
        <f>VLOOKUP($A17,[6]HISTOSEPT24!$A$6:$AV$49,8,0)</f>
        <v>BANQUE</v>
      </c>
      <c r="H17" s="7">
        <f>VLOOKUP($A17,[6]HISTOSEPT24!$A$6:$AV$49,35,0)</f>
        <v>0</v>
      </c>
      <c r="I17" s="7">
        <f>VLOOKUP($A17,[6]HISTOSEPT24!$A$6:$AV$49,38,0)</f>
        <v>0</v>
      </c>
      <c r="J17" s="7">
        <f>IF(H17=0,0,VLOOKUP($A17,[6]HISTOSEPT24!$A$6:$AV$49,42,0))</f>
        <v>0</v>
      </c>
      <c r="K17" s="7">
        <f>VLOOKUP($A17,[6]HISTOSEPT24!$A$6:$AV$49,41,0)</f>
        <v>0</v>
      </c>
      <c r="L17" s="7">
        <f>TONTAOUT24!H17+TONTAOUT24!I17</f>
        <v>0</v>
      </c>
      <c r="M17" s="7">
        <f>VLOOKUP($A17,[6]HISTOSEPT24!$A$6:$AV$49,16,0)</f>
        <v>0</v>
      </c>
      <c r="N17" s="7" t="str">
        <f>IF(M17&lt;&gt;0,VLOOKUP($A17,[6]HISTOSEPT24!$A$6:$AV$49,8,0),"ECHEC")</f>
        <v>ECHEC</v>
      </c>
      <c r="O17" s="7">
        <f>IF(R17=0,0,VLOOKUP($A17,[6]HISTOSEPT24!$A$6:$AV$49,32,0))</f>
        <v>0</v>
      </c>
      <c r="P17" s="7">
        <f>VLOOKUP($A17,[6]HISTOSEPT24!$A$6:$AV$49,33,0)</f>
        <v>0</v>
      </c>
      <c r="Q17" s="7">
        <f t="shared" si="1"/>
        <v>0</v>
      </c>
      <c r="R17" s="7">
        <f>VLOOKUP($A17,[6]HISTOSEPT24!$A$6:$AV$49,29,0)</f>
        <v>0</v>
      </c>
      <c r="S17" s="1"/>
    </row>
    <row r="18" spans="1:19" x14ac:dyDescent="0.35">
      <c r="A18" s="1" t="s">
        <v>96</v>
      </c>
      <c r="B18" s="7">
        <f>IF(D18=0,0,VLOOKUP($A18,[6]HISTOSEPT24!$A$6:$BP$44,10,0))</f>
        <v>1</v>
      </c>
      <c r="C18" s="1" t="str">
        <f>VLOOKUP(A18,[7]LISTADHERENT!A$5:H$60,3,0)</f>
        <v>MASSEUNGOUE DAGOBERT</v>
      </c>
      <c r="D18" s="7">
        <f t="shared" si="0"/>
        <v>25000</v>
      </c>
      <c r="E18" s="7">
        <f>D18+VLOOKUP($A18,[6]HISTOSEPT24!$A$7:$AU$42,45,0)+F18</f>
        <v>50000</v>
      </c>
      <c r="F18" s="7">
        <f>VLOOKUP($A18,[6]HISTOSEPT24!$A$6:$AV$48,7,0)</f>
        <v>0</v>
      </c>
      <c r="G18" s="7" t="str">
        <f>VLOOKUP($A18,[6]HISTOSEPT24!$A$6:$AV$49,8,0)</f>
        <v>BANQUE</v>
      </c>
      <c r="H18" s="7">
        <f>VLOOKUP($A18,[6]HISTOSEPT24!$A$6:$AV$49,35,0)</f>
        <v>0</v>
      </c>
      <c r="I18" s="7">
        <f>VLOOKUP($A18,[6]HISTOSEPT24!$A$6:$AV$49,38,0)</f>
        <v>0</v>
      </c>
      <c r="J18" s="7">
        <f>IF(H18=0,0,VLOOKUP($A18,[6]HISTOSEPT24!$A$6:$AV$49,42,0))</f>
        <v>0</v>
      </c>
      <c r="K18" s="7">
        <f>VLOOKUP($A18,[6]HISTOSEPT24!$A$6:$AV$49,41,0)</f>
        <v>0</v>
      </c>
      <c r="L18" s="7">
        <f>TONTAOUT24!H18+TONTAOUT24!I18</f>
        <v>0</v>
      </c>
      <c r="M18" s="7">
        <f>VLOOKUP($A18,[6]HISTOSEPT24!$A$6:$AV$49,16,0)</f>
        <v>0</v>
      </c>
      <c r="N18" s="7" t="str">
        <f>IF(M18&lt;&gt;0,VLOOKUP($A18,[6]HISTOSEPT24!$A$6:$AV$49,8,0),"ECHEC")</f>
        <v>ECHEC</v>
      </c>
      <c r="O18" s="7">
        <f>IF(R18=0,0,VLOOKUP($A18,[6]HISTOSEPT24!$A$6:$AV$49,32,0))</f>
        <v>0</v>
      </c>
      <c r="P18" s="7">
        <f>VLOOKUP($A18,[6]HISTOSEPT24!$A$6:$AV$49,33,0)</f>
        <v>0</v>
      </c>
      <c r="Q18" s="7">
        <f t="shared" si="1"/>
        <v>0</v>
      </c>
      <c r="R18" s="7">
        <f>VLOOKUP($A18,[6]HISTOSEPT24!$A$6:$AV$49,29,0)</f>
        <v>0</v>
      </c>
      <c r="S18" s="1"/>
    </row>
    <row r="19" spans="1:19" x14ac:dyDescent="0.35">
      <c r="A19" s="1" t="s">
        <v>44</v>
      </c>
      <c r="B19" s="7">
        <f>IF(D19=0,0,VLOOKUP($A19,[6]HISTOSEPT24!$A$6:$BP$44,10,0))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D19+VLOOKUP($A19,[6]HISTOSEPT24!$A$7:$AU$42,45,0)+F19</f>
        <v>50000</v>
      </c>
      <c r="F19" s="7">
        <f>VLOOKUP($A19,[6]HISTOSEPT24!$A$6:$AV$48,7,0)</f>
        <v>0</v>
      </c>
      <c r="G19" s="7" t="str">
        <f>VLOOKUP($A19,[6]HISTOSEPT24!$A$6:$AV$49,8,0)</f>
        <v>BANQUE</v>
      </c>
      <c r="H19" s="7">
        <f>VLOOKUP($A19,[6]HISTOSEPT24!$A$6:$AV$49,35,0)</f>
        <v>60000</v>
      </c>
      <c r="I19" s="7">
        <f>VLOOKUP($A19,[6]HISTOSEPT24!$A$6:$AV$49,38,0)</f>
        <v>1000</v>
      </c>
      <c r="J19" s="7" t="str">
        <f>IF(H19=0,0,VLOOKUP($A19,[6]HISTOSEPT24!$A$6:$AV$49,42,0))</f>
        <v>BANQUE</v>
      </c>
      <c r="K19" s="7">
        <f>VLOOKUP($A19,[6]HISTOSEPT24!$A$6:$AV$49,41,0)</f>
        <v>0</v>
      </c>
      <c r="L19" s="7">
        <f>TONTAOUT24!H19+TONTAOUT24!I19</f>
        <v>0</v>
      </c>
      <c r="M19" s="7">
        <f>VLOOKUP($A19,[6]HISTOSEPT24!$A$6:$AV$49,16,0)</f>
        <v>0</v>
      </c>
      <c r="N19" s="7" t="str">
        <f>IF(M19&lt;&gt;0,VLOOKUP($A19,[6]HISTOSEPT24!$A$6:$AV$49,8,0),"ECHEC")</f>
        <v>ECHEC</v>
      </c>
      <c r="O19" s="7">
        <f>IF(R19=0,0,VLOOKUP($A19,[6]HISTOSEPT24!$A$6:$AV$49,32,0))</f>
        <v>0</v>
      </c>
      <c r="P19" s="7">
        <f>VLOOKUP($A19,[6]HISTOSEPT24!$A$6:$AV$49,33,0)</f>
        <v>0</v>
      </c>
      <c r="Q19" s="7">
        <f t="shared" si="1"/>
        <v>0</v>
      </c>
      <c r="R19" s="7">
        <f>VLOOKUP($A19,[6]HISTOSEPT24!$A$6:$AV$49,29,0)</f>
        <v>0</v>
      </c>
      <c r="S19" s="1"/>
    </row>
    <row r="20" spans="1:19" x14ac:dyDescent="0.35">
      <c r="A20" s="1" t="s">
        <v>25</v>
      </c>
      <c r="B20" s="7">
        <f>IF(D20=0,0,VLOOKUP($A20,[6]HISTOSEPT24!$A$6:$BP$44,10,0))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D20+VLOOKUP($A20,[6]HISTOSEPT24!$A$7:$AU$42,45,0)+F20</f>
        <v>50000</v>
      </c>
      <c r="F20" s="7">
        <f>VLOOKUP($A20,[6]HISTOSEPT24!$A$6:$AV$48,7,0)</f>
        <v>0</v>
      </c>
      <c r="G20" s="7" t="str">
        <f>VLOOKUP($A20,[6]HISTOSEPT24!$A$6:$AV$49,8,0)</f>
        <v>BANQUE</v>
      </c>
      <c r="H20" s="7">
        <f>VLOOKUP($A20,[6]HISTOSEPT24!$A$6:$AV$49,35,0)</f>
        <v>0</v>
      </c>
      <c r="I20" s="7">
        <f>VLOOKUP($A20,[6]HISTOSEPT24!$A$6:$AV$49,38,0)</f>
        <v>0</v>
      </c>
      <c r="J20" s="7">
        <f>IF(H20=0,0,VLOOKUP($A20,[6]HISTOSEPT24!$A$6:$AV$49,42,0))</f>
        <v>0</v>
      </c>
      <c r="K20" s="7">
        <f>VLOOKUP($A20,[6]HISTOSEPT24!$A$6:$AV$49,41,0)</f>
        <v>0</v>
      </c>
      <c r="L20" s="7">
        <f>TONTAOUT24!H20+TONTAOUT24!I20</f>
        <v>0</v>
      </c>
      <c r="M20" s="7">
        <f>VLOOKUP($A20,[6]HISTOSEPT24!$A$6:$AV$49,16,0)</f>
        <v>0</v>
      </c>
      <c r="N20" s="7" t="str">
        <f>IF(M20&lt;&gt;0,VLOOKUP($A20,[6]HISTOSEPT24!$A$6:$AV$49,8,0),"ECHEC")</f>
        <v>ECHEC</v>
      </c>
      <c r="O20" s="7">
        <f>IF(R20=0,0,VLOOKUP($A20,[6]HISTOSEPT24!$A$6:$AV$49,32,0))</f>
        <v>0</v>
      </c>
      <c r="P20" s="7">
        <f>VLOOKUP($A20,[6]HISTOSEPT24!$A$6:$AV$49,33,0)</f>
        <v>0</v>
      </c>
      <c r="Q20" s="7">
        <f t="shared" si="1"/>
        <v>0</v>
      </c>
      <c r="R20" s="7">
        <f>VLOOKUP($A20,[6]HISTOSEPT24!$A$6:$AV$49,29,0)</f>
        <v>0</v>
      </c>
      <c r="S20" s="1"/>
    </row>
    <row r="21" spans="1:19" x14ac:dyDescent="0.35">
      <c r="A21" s="1" t="s">
        <v>18</v>
      </c>
      <c r="B21" s="7">
        <f>IF(D21=0,0,VLOOKUP($A21,[6]HISTOSEPT24!$A$6:$BP$44,10,0))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D21+VLOOKUP($A21,[6]HISTOSEPT24!$A$7:$AU$42,45,0)+F21</f>
        <v>50000</v>
      </c>
      <c r="F21" s="7">
        <f>VLOOKUP($A21,[6]HISTOSEPT24!$A$6:$AV$48,7,0)</f>
        <v>0</v>
      </c>
      <c r="G21" s="7" t="str">
        <f>VLOOKUP($A21,[6]HISTOSEPT24!$A$6:$AV$49,8,0)</f>
        <v>BANQUE</v>
      </c>
      <c r="H21" s="7">
        <f>VLOOKUP($A21,[6]HISTOSEPT24!$A$6:$AV$49,35,0)</f>
        <v>0</v>
      </c>
      <c r="I21" s="7">
        <f>VLOOKUP($A21,[6]HISTOSEPT24!$A$6:$AV$49,38,0)</f>
        <v>0</v>
      </c>
      <c r="J21" s="7">
        <f>IF(H21=0,0,VLOOKUP($A21,[6]HISTOSEPT24!$A$6:$AV$49,42,0))</f>
        <v>0</v>
      </c>
      <c r="K21" s="7">
        <f>VLOOKUP($A21,[6]HISTOSEPT24!$A$6:$AV$49,41,0)</f>
        <v>0</v>
      </c>
      <c r="L21" s="7">
        <f>TONTAOUT24!H21+TONTAOUT24!I21</f>
        <v>0</v>
      </c>
      <c r="M21" s="7">
        <f>VLOOKUP($A21,[6]HISTOSEPT24!$A$6:$AV$49,16,0)</f>
        <v>0</v>
      </c>
      <c r="N21" s="7" t="str">
        <f>IF(M21&lt;&gt;0,VLOOKUP($A21,[6]HISTOSEPT24!$A$6:$AV$49,8,0),"ECHEC")</f>
        <v>ECHEC</v>
      </c>
      <c r="O21" s="7">
        <f>IF(R21=0,0,VLOOKUP($A21,[6]HISTOSEPT24!$A$6:$AV$49,32,0))</f>
        <v>0</v>
      </c>
      <c r="P21" s="7">
        <f>VLOOKUP($A21,[6]HISTOSEPT24!$A$6:$AV$49,33,0)</f>
        <v>0</v>
      </c>
      <c r="Q21" s="7">
        <f t="shared" si="1"/>
        <v>0</v>
      </c>
      <c r="R21" s="7">
        <f>VLOOKUP($A21,[6]HISTOSEPT24!$A$6:$AV$49,29,0)</f>
        <v>0</v>
      </c>
      <c r="S21" s="1"/>
    </row>
    <row r="22" spans="1:19" x14ac:dyDescent="0.35">
      <c r="A22" s="1" t="s">
        <v>19</v>
      </c>
      <c r="B22" s="7">
        <f>IF(D22=0,0,VLOOKUP($A22,[6]HISTOSEPT24!$A$6:$BP$44,10,0))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D22+VLOOKUP($A22,[6]HISTOSEPT24!$A$7:$AU$42,45,0)+F22</f>
        <v>60000</v>
      </c>
      <c r="F22" s="7">
        <f>VLOOKUP($A22,[6]HISTOSEPT24!$A$6:$AV$48,7,0)</f>
        <v>0</v>
      </c>
      <c r="G22" s="7" t="str">
        <f>VLOOKUP($A22,[6]HISTOSEPT24!$A$6:$AV$49,8,0)</f>
        <v>BANQUE</v>
      </c>
      <c r="H22" s="7">
        <f>VLOOKUP($A22,[6]HISTOSEPT24!$A$6:$AV$49,35,0)</f>
        <v>0</v>
      </c>
      <c r="I22" s="7">
        <f>VLOOKUP($A22,[6]HISTOSEPT24!$A$6:$AV$49,38,0)</f>
        <v>0</v>
      </c>
      <c r="J22" s="7">
        <f>IF(H22=0,0,VLOOKUP($A22,[6]HISTOSEPT24!$A$6:$AV$49,42,0))</f>
        <v>0</v>
      </c>
      <c r="K22" s="7">
        <f>VLOOKUP($A22,[6]HISTOSEPT24!$A$6:$AV$49,41,0)</f>
        <v>0</v>
      </c>
      <c r="L22" s="7">
        <f>TONTAOUT24!H22+TONTAOUT24!I22</f>
        <v>0</v>
      </c>
      <c r="M22" s="7">
        <f>VLOOKUP($A22,[6]HISTOSEPT24!$A$6:$AV$49,16,0)</f>
        <v>0</v>
      </c>
      <c r="N22" s="7" t="str">
        <f>IF(M22&lt;&gt;0,VLOOKUP($A22,[6]HISTOSEPT24!$A$6:$AV$49,8,0),"ECHEC")</f>
        <v>ECHEC</v>
      </c>
      <c r="O22" s="7">
        <f>IF(R22=0,0,VLOOKUP($A22,[6]HISTOSEPT24!$A$6:$AV$49,32,0))</f>
        <v>0</v>
      </c>
      <c r="P22" s="7">
        <f>VLOOKUP($A22,[6]HISTOSEPT24!$A$6:$AV$49,33,0)</f>
        <v>0</v>
      </c>
      <c r="Q22" s="7">
        <f t="shared" si="1"/>
        <v>0</v>
      </c>
      <c r="R22" s="7">
        <f>VLOOKUP($A22,[6]HISTOSEPT24!$A$6:$AV$49,29,0)</f>
        <v>0</v>
      </c>
      <c r="S22" s="1"/>
    </row>
    <row r="23" spans="1:19" x14ac:dyDescent="0.35">
      <c r="A23" s="1" t="s">
        <v>20</v>
      </c>
      <c r="B23" s="7">
        <f>IF(D23=0,0,VLOOKUP($A23,[6]HISTOSEPT24!$A$6:$BP$44,10,0))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D23+VLOOKUP($A23,[6]HISTOSEPT24!$A$7:$AU$42,45,0)+F23</f>
        <v>68000</v>
      </c>
      <c r="F23" s="7">
        <f>VLOOKUP($A23,[6]HISTOSEPT24!$A$6:$AV$48,7,0)</f>
        <v>3000</v>
      </c>
      <c r="G23" s="7" t="str">
        <f>VLOOKUP($A23,[6]HISTOSEPT24!$A$6:$AV$49,8,0)</f>
        <v>BANQUE</v>
      </c>
      <c r="H23" s="7">
        <f>VLOOKUP($A23,[6]HISTOSEPT24!$A$6:$AV$49,35,0)</f>
        <v>0</v>
      </c>
      <c r="I23" s="7">
        <f>VLOOKUP($A23,[6]HISTOSEPT24!$A$6:$AV$49,38,0)</f>
        <v>0</v>
      </c>
      <c r="J23" s="7">
        <f>IF(H23=0,0,VLOOKUP($A23,[6]HISTOSEPT24!$A$6:$AV$49,42,0))</f>
        <v>0</v>
      </c>
      <c r="K23" s="7">
        <f>VLOOKUP($A23,[6]HISTOSEPT24!$A$6:$AV$49,41,0)</f>
        <v>0</v>
      </c>
      <c r="L23" s="7">
        <f>TONTAOUT24!H23+TONTAOUT24!I23</f>
        <v>0</v>
      </c>
      <c r="M23" s="7">
        <f>VLOOKUP($A23,[6]HISTOSEPT24!$A$6:$AV$49,16,0)</f>
        <v>0</v>
      </c>
      <c r="N23" s="7" t="str">
        <f>IF(M23&lt;&gt;0,VLOOKUP($A23,[6]HISTOSEPT24!$A$6:$AV$49,8,0),"ECHEC")</f>
        <v>ECHEC</v>
      </c>
      <c r="O23" s="7">
        <f>IF(R23=0,0,VLOOKUP($A23,[6]HISTOSEPT24!$A$6:$AV$49,32,0))</f>
        <v>0</v>
      </c>
      <c r="P23" s="7">
        <f>VLOOKUP($A23,[6]HISTOSEPT24!$A$6:$AV$49,33,0)</f>
        <v>0</v>
      </c>
      <c r="Q23" s="7">
        <f t="shared" si="1"/>
        <v>0</v>
      </c>
      <c r="R23" s="7">
        <f>VLOOKUP($A23,[6]HISTOSEPT24!$A$6:$AV$49,29,0)</f>
        <v>0</v>
      </c>
      <c r="S23" s="1"/>
    </row>
    <row r="24" spans="1:19" x14ac:dyDescent="0.35">
      <c r="A24" s="1" t="s">
        <v>21</v>
      </c>
      <c r="B24" s="7">
        <f>IF(D24=0,0,VLOOKUP($A24,[6]HISTOSEPT24!$A$6:$BP$44,10,0))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D24+VLOOKUP($A24,[6]HISTOSEPT24!$A$7:$AU$42,45,0)+F24</f>
        <v>50000</v>
      </c>
      <c r="F24" s="7">
        <f>VLOOKUP($A24,[6]HISTOSEPT24!$A$6:$AV$48,7,0)</f>
        <v>0</v>
      </c>
      <c r="G24" s="7" t="str">
        <f>VLOOKUP($A24,[6]HISTOSEPT24!$A$6:$AV$49,8,0)</f>
        <v>BANQUE</v>
      </c>
      <c r="H24" s="7">
        <f>VLOOKUP($A24,[6]HISTOSEPT24!$A$6:$AV$49,35,0)</f>
        <v>0</v>
      </c>
      <c r="I24" s="7">
        <f>VLOOKUP($A24,[6]HISTOSEPT24!$A$6:$AV$49,38,0)</f>
        <v>0</v>
      </c>
      <c r="J24" s="7">
        <f>IF(H24=0,0,VLOOKUP($A24,[6]HISTOSEPT24!$A$6:$AV$49,42,0))</f>
        <v>0</v>
      </c>
      <c r="K24" s="7">
        <f>VLOOKUP($A24,[6]HISTOSEPT24!$A$6:$AV$49,41,0)</f>
        <v>0</v>
      </c>
      <c r="L24" s="7">
        <f>TONTAOUT24!H24+TONTAOUT24!I24</f>
        <v>0</v>
      </c>
      <c r="M24" s="7">
        <f>VLOOKUP($A24,[6]HISTOSEPT24!$A$6:$AV$49,16,0)</f>
        <v>0</v>
      </c>
      <c r="N24" s="7" t="str">
        <f>IF(M24&lt;&gt;0,VLOOKUP($A24,[6]HISTOSEPT24!$A$6:$AV$49,8,0),"ECHEC")</f>
        <v>ECHEC</v>
      </c>
      <c r="O24" s="7">
        <f>IF(R24=0,0,VLOOKUP($A24,[6]HISTOSEPT24!$A$6:$AV$49,32,0))</f>
        <v>0</v>
      </c>
      <c r="P24" s="7">
        <f>VLOOKUP($A24,[6]HISTOSEPT24!$A$6:$AV$49,33,0)</f>
        <v>0</v>
      </c>
      <c r="Q24" s="7">
        <f t="shared" si="1"/>
        <v>0</v>
      </c>
      <c r="R24" s="7">
        <f>VLOOKUP($A24,[6]HISTOSEPT24!$A$6:$AV$49,29,0)</f>
        <v>0</v>
      </c>
      <c r="S24" s="1"/>
    </row>
    <row r="25" spans="1:19" x14ac:dyDescent="0.35">
      <c r="A25" s="1" t="s">
        <v>22</v>
      </c>
      <c r="B25" s="7">
        <f>IF(D25=0,0,VLOOKUP($A25,[6]HISTOSEPT24!$A$6:$BP$44,10,0))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D25+VLOOKUP($A25,[6]HISTOSEPT24!$A$7:$AU$42,45,0)+F25</f>
        <v>51000</v>
      </c>
      <c r="F25" s="7">
        <f>VLOOKUP($A25,[6]HISTOSEPT24!$A$6:$AV$48,7,0)</f>
        <v>0</v>
      </c>
      <c r="G25" s="7" t="str">
        <f>VLOOKUP($A25,[6]HISTOSEPT24!$A$6:$AV$49,8,0)</f>
        <v>BANQUE</v>
      </c>
      <c r="H25" s="7">
        <f>VLOOKUP($A25,[6]HISTOSEPT24!$A$6:$AV$49,35,0)</f>
        <v>60000</v>
      </c>
      <c r="I25" s="7">
        <f>VLOOKUP($A25,[6]HISTOSEPT24!$A$6:$AV$49,38,0)</f>
        <v>1000</v>
      </c>
      <c r="J25" s="7" t="str">
        <f>IF(H25=0,0,VLOOKUP($A25,[6]HISTOSEPT24!$A$6:$AV$49,42,0))</f>
        <v>BANQUE</v>
      </c>
      <c r="K25" s="7">
        <f>VLOOKUP($A25,[6]HISTOSEPT24!$A$6:$AV$49,41,0)</f>
        <v>0</v>
      </c>
      <c r="L25" s="7">
        <f>TONTAOUT24!H25+TONTAOUT24!I25</f>
        <v>61000</v>
      </c>
      <c r="M25" s="7">
        <f>VLOOKUP($A25,[6]HISTOSEPT24!$A$6:$AV$49,16,0)</f>
        <v>61000</v>
      </c>
      <c r="N25" s="7" t="str">
        <f>IF(M25&lt;&gt;0,VLOOKUP($A25,[6]HISTOSEPT24!$A$6:$AV$49,8,0),"ECHEC")</f>
        <v>BANQUE</v>
      </c>
      <c r="O25" s="7">
        <f>IF(R25=0,0,VLOOKUP($A25,[6]HISTOSEPT24!$A$6:$AV$49,32,0))</f>
        <v>0</v>
      </c>
      <c r="P25" s="7">
        <f>VLOOKUP($A25,[6]HISTOSEPT24!$A$6:$AV$49,33,0)</f>
        <v>0</v>
      </c>
      <c r="Q25" s="7">
        <f t="shared" si="1"/>
        <v>0</v>
      </c>
      <c r="R25" s="7">
        <f>VLOOKUP($A25,[6]HISTOSEPT24!$A$6:$AV$49,29,0)</f>
        <v>0</v>
      </c>
      <c r="S25" s="1"/>
    </row>
    <row r="26" spans="1:19" x14ac:dyDescent="0.35">
      <c r="A26" s="1" t="s">
        <v>85</v>
      </c>
      <c r="B26" s="7">
        <f>IF(D26=0,0,VLOOKUP($A26,[6]HISTOSEPT24!$A$6:$BP$44,10,0))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D26+VLOOKUP($A26,[6]HISTOSEPT24!$A$7:$AU$42,45,0)+F26</f>
        <v>50000</v>
      </c>
      <c r="F26" s="7">
        <f>VLOOKUP($A26,[6]HISTOSEPT24!$A$6:$AV$48,7,0)</f>
        <v>0</v>
      </c>
      <c r="G26" s="7" t="str">
        <f>VLOOKUP($A26,[6]HISTOSEPT24!$A$6:$AV$49,8,0)</f>
        <v>BANQUE</v>
      </c>
      <c r="H26" s="7">
        <f>VLOOKUP($A26,[6]HISTOSEPT24!$A$6:$AV$49,35,0)</f>
        <v>0</v>
      </c>
      <c r="I26" s="7">
        <f>VLOOKUP($A26,[6]HISTOSEPT24!$A$6:$AV$49,38,0)</f>
        <v>0</v>
      </c>
      <c r="J26" s="7">
        <f>IF(H26=0,0,VLOOKUP($A26,[6]HISTOSEPT24!$A$6:$AV$49,42,0))</f>
        <v>0</v>
      </c>
      <c r="K26" s="7">
        <f>VLOOKUP($A26,[6]HISTOSEPT24!$A$6:$AV$49,41,0)</f>
        <v>0</v>
      </c>
      <c r="L26" s="7">
        <f>TONTAOUT24!H26+TONTAOUT24!I26</f>
        <v>0</v>
      </c>
      <c r="M26" s="7">
        <f>VLOOKUP($A26,[6]HISTOSEPT24!$A$6:$AV$49,16,0)</f>
        <v>0</v>
      </c>
      <c r="N26" s="7" t="str">
        <f>IF(M26&lt;&gt;0,VLOOKUP($A26,[6]HISTOSEPT24!$A$6:$AV$49,8,0),"ECHEC")</f>
        <v>ECHEC</v>
      </c>
      <c r="O26" s="7">
        <f>IF(R26=0,0,VLOOKUP($A26,[6]HISTOSEPT24!$A$6:$AV$49,32,0))</f>
        <v>0</v>
      </c>
      <c r="P26" s="7">
        <f>VLOOKUP($A26,[6]HISTOSEPT24!$A$6:$AV$49,33,0)</f>
        <v>0</v>
      </c>
      <c r="Q26" s="7">
        <f t="shared" si="1"/>
        <v>0</v>
      </c>
      <c r="R26" s="7">
        <f>VLOOKUP($A26,[6]HISTOSEPT24!$A$6:$AV$49,29,0)</f>
        <v>0</v>
      </c>
    </row>
    <row r="27" spans="1:19" x14ac:dyDescent="0.35">
      <c r="A27" s="1" t="s">
        <v>23</v>
      </c>
      <c r="B27" s="7">
        <f>IF(D27=0,0,VLOOKUP($A27,[6]HISTOSEPT24!$A$6:$BP$44,10,0))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D27+VLOOKUP($A27,[6]HISTOSEPT24!$A$7:$AU$42,45,0)+F27</f>
        <v>50000</v>
      </c>
      <c r="F27" s="7">
        <f>VLOOKUP($A27,[6]HISTOSEPT24!$A$6:$AV$48,7,0)</f>
        <v>0</v>
      </c>
      <c r="G27" s="7" t="str">
        <f>VLOOKUP($A27,[6]HISTOSEPT24!$A$6:$AV$49,8,0)</f>
        <v>BANQUE</v>
      </c>
      <c r="H27" s="7">
        <f>VLOOKUP($A27,[6]HISTOSEPT24!$A$6:$AV$49,35,0)</f>
        <v>0</v>
      </c>
      <c r="I27" s="7">
        <f>VLOOKUP($A27,[6]HISTOSEPT24!$A$6:$AV$49,38,0)</f>
        <v>0</v>
      </c>
      <c r="J27" s="7">
        <f>IF(H27=0,0,VLOOKUP($A27,[6]HISTOSEPT24!$A$6:$AV$49,42,0))</f>
        <v>0</v>
      </c>
      <c r="K27" s="7">
        <f>VLOOKUP($A27,[6]HISTOSEPT24!$A$6:$AV$49,41,0)</f>
        <v>0</v>
      </c>
      <c r="L27" s="7">
        <f>TONTAOUT24!H27+TONTAOUT24!I27</f>
        <v>0</v>
      </c>
      <c r="M27" s="7">
        <f>VLOOKUP($A27,[6]HISTOSEPT24!$A$6:$AV$49,16,0)</f>
        <v>0</v>
      </c>
      <c r="N27" s="7" t="str">
        <f>IF(M27&lt;&gt;0,VLOOKUP($A27,[6]HISTOSEPT24!$A$6:$AV$49,8,0),"ECHEC")</f>
        <v>ECHEC</v>
      </c>
      <c r="O27" s="7">
        <f>IF(R27=0,0,VLOOKUP($A27,[6]HISTOSEPT24!$A$6:$AV$49,32,0))</f>
        <v>0</v>
      </c>
      <c r="P27" s="7">
        <f>VLOOKUP($A27,[6]HISTOSEPT24!$A$6:$AV$49,33,0)</f>
        <v>0</v>
      </c>
      <c r="Q27" s="7">
        <f t="shared" si="1"/>
        <v>0</v>
      </c>
      <c r="R27" s="7">
        <f>VLOOKUP($A27,[6]HISTOSEPT24!$A$6:$AV$49,29,0)</f>
        <v>0</v>
      </c>
    </row>
    <row r="28" spans="1:19" x14ac:dyDescent="0.35">
      <c r="A28" s="1" t="s">
        <v>86</v>
      </c>
      <c r="B28" s="7">
        <f>IF(D28=0,0,VLOOKUP($A28,[6]HISTOSEPT24!$A$6:$BP$44,10,0))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D28+VLOOKUP($A28,[6]HISTOSEPT24!$A$7:$AU$42,45,0)+F28</f>
        <v>51000</v>
      </c>
      <c r="F28" s="7">
        <f>VLOOKUP($A28,[6]HISTOSEPT24!$A$6:$AV$48,7,0)</f>
        <v>0</v>
      </c>
      <c r="G28" s="7" t="str">
        <f>VLOOKUP($A28,[6]HISTOSEPT24!$A$6:$AV$49,8,0)</f>
        <v>BANQUE</v>
      </c>
      <c r="H28" s="7">
        <f>VLOOKUP($A28,[6]HISTOSEPT24!$A$6:$AV$49,35,0)</f>
        <v>0</v>
      </c>
      <c r="I28" s="7">
        <f>VLOOKUP($A28,[6]HISTOSEPT24!$A$6:$AV$49,38,0)</f>
        <v>0</v>
      </c>
      <c r="J28" s="7">
        <f>IF(H28=0,0,VLOOKUP($A28,[6]HISTOSEPT24!$A$6:$AV$49,42,0))</f>
        <v>0</v>
      </c>
      <c r="K28" s="7">
        <f>VLOOKUP($A28,[6]HISTOSEPT24!$A$6:$AV$49,41,0)</f>
        <v>0</v>
      </c>
      <c r="L28" s="7">
        <f>TONTAOUT24!H28+TONTAOUT24!I28</f>
        <v>61000</v>
      </c>
      <c r="M28" s="7">
        <f>VLOOKUP($A28,[6]HISTOSEPT24!$A$6:$AV$49,16,0)</f>
        <v>61000</v>
      </c>
      <c r="N28" s="7" t="str">
        <f>IF(M28&lt;&gt;0,VLOOKUP($A28,[6]HISTOSEPT24!$A$6:$AV$49,8,0),"ECHEC")</f>
        <v>BANQUE</v>
      </c>
      <c r="O28" s="7">
        <f>IF(R28=0,0,VLOOKUP($A28,[6]HISTOSEPT24!$A$6:$AV$49,32,0))</f>
        <v>0</v>
      </c>
      <c r="P28" s="7">
        <f>VLOOKUP($A28,[6]HISTOSEPT24!$A$6:$AV$49,33,0)</f>
        <v>0</v>
      </c>
      <c r="Q28" s="7">
        <f t="shared" si="1"/>
        <v>297000</v>
      </c>
      <c r="R28" s="7">
        <f>VLOOKUP($A28,[6]HISTOSEPT24!$A$6:$AV$49,29,0)</f>
        <v>3000</v>
      </c>
    </row>
    <row r="29" spans="1:19" x14ac:dyDescent="0.35">
      <c r="A29" s="1" t="s">
        <v>46</v>
      </c>
      <c r="B29" s="7">
        <f>IF(D29=0,0,VLOOKUP($A29,[6]HISTOSEPT24!$A$6:$BP$44,10,0))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D29+VLOOKUP($A29,[6]HISTOSEPT24!$A$7:$AU$42,45,0)+F29</f>
        <v>50000</v>
      </c>
      <c r="F29" s="7">
        <f>VLOOKUP($A29,[6]HISTOSEPT24!$A$6:$AV$48,7,0)</f>
        <v>0</v>
      </c>
      <c r="G29" s="7" t="str">
        <f>VLOOKUP($A29,[6]HISTOSEPT24!$A$6:$AV$49,8,0)</f>
        <v>BANQUE</v>
      </c>
      <c r="H29" s="7">
        <f>VLOOKUP($A29,[6]HISTOSEPT24!$A$6:$AV$49,35,0)</f>
        <v>0</v>
      </c>
      <c r="I29" s="7">
        <f>VLOOKUP($A29,[6]HISTOSEPT24!$A$6:$AV$49,38,0)</f>
        <v>0</v>
      </c>
      <c r="J29" s="7">
        <f>IF(H29=0,0,VLOOKUP($A29,[6]HISTOSEPT24!$A$6:$AV$49,42,0))</f>
        <v>0</v>
      </c>
      <c r="K29" s="7">
        <f>VLOOKUP($A29,[6]HISTOSEPT24!$A$6:$AV$49,41,0)</f>
        <v>0</v>
      </c>
      <c r="L29" s="7">
        <f>TONTAOUT24!H29+TONTAOUT24!I29</f>
        <v>0</v>
      </c>
      <c r="M29" s="7">
        <f>VLOOKUP($A29,[6]HISTOSEPT24!$A$6:$AV$49,16,0)</f>
        <v>0</v>
      </c>
      <c r="N29" s="7" t="str">
        <f>IF(M29&lt;&gt;0,VLOOKUP($A29,[6]HISTOSEPT24!$A$6:$AV$49,8,0),"ECHEC")</f>
        <v>ECHEC</v>
      </c>
      <c r="O29" s="7">
        <f>IF(R29=0,0,VLOOKUP($A29,[6]HISTOSEPT24!$A$6:$AV$49,32,0))</f>
        <v>0</v>
      </c>
      <c r="P29" s="7">
        <f>VLOOKUP($A29,[6]HISTOSEPT24!$A$6:$AV$49,33,0)</f>
        <v>0</v>
      </c>
      <c r="Q29" s="7">
        <f t="shared" si="1"/>
        <v>0</v>
      </c>
      <c r="R29" s="7">
        <f>VLOOKUP($A29,[6]HISTOSEPT24!$A$6:$AV$49,29,0)</f>
        <v>0</v>
      </c>
    </row>
    <row r="30" spans="1:19" x14ac:dyDescent="0.35">
      <c r="A30" s="1" t="s">
        <v>24</v>
      </c>
      <c r="B30" s="7">
        <f>IF(D30=0,0,VLOOKUP($A30,[6]HISTOSEPT24!$A$6:$BP$44,10,0))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D30+VLOOKUP($A30,[6]HISTOSEPT24!$A$7:$AU$42,45,0)+F30</f>
        <v>50000</v>
      </c>
      <c r="F30" s="7">
        <f>VLOOKUP($A30,[6]HISTOSEPT24!$A$6:$AV$48,7,0)</f>
        <v>0</v>
      </c>
      <c r="G30" s="7" t="str">
        <f>VLOOKUP($A30,[6]HISTOSEPT24!$A$6:$AV$49,8,0)</f>
        <v>BANQUE</v>
      </c>
      <c r="H30" s="7">
        <f>VLOOKUP($A30,[6]HISTOSEPT24!$A$6:$AV$49,35,0)</f>
        <v>29500</v>
      </c>
      <c r="I30" s="7">
        <f>VLOOKUP($A30,[6]HISTOSEPT24!$A$6:$AV$49,38,0)</f>
        <v>500</v>
      </c>
      <c r="J30" s="7" t="str">
        <f>IF(H30=0,0,VLOOKUP($A30,[6]HISTOSEPT24!$A$6:$AV$49,42,0))</f>
        <v>BANQUE</v>
      </c>
      <c r="K30" s="7">
        <f>VLOOKUP($A30,[6]HISTOSEPT24!$A$6:$AV$49,41,0)</f>
        <v>0</v>
      </c>
      <c r="L30" s="7">
        <f>TONTAOUT24!H30+TONTAOUT24!I30</f>
        <v>0</v>
      </c>
      <c r="M30" s="7">
        <f>VLOOKUP($A30,[6]HISTOSEPT24!$A$6:$AV$49,16,0)</f>
        <v>0</v>
      </c>
      <c r="N30" s="7" t="str">
        <f>IF(M30&lt;&gt;0,VLOOKUP($A30,[6]HISTOSEPT24!$A$6:$AV$49,8,0),"ECHEC")</f>
        <v>ECHEC</v>
      </c>
      <c r="O30" s="7">
        <f>IF(R30=0,0,VLOOKUP($A30,[6]HISTOSEPT24!$A$6:$AV$49,32,0))</f>
        <v>0</v>
      </c>
      <c r="P30" s="7">
        <f>VLOOKUP($A30,[6]HISTOSEPT24!$A$6:$AV$49,33,0)</f>
        <v>0</v>
      </c>
      <c r="Q30" s="7">
        <f t="shared" si="1"/>
        <v>0</v>
      </c>
      <c r="R30" s="7">
        <f>VLOOKUP($A30,[6]HISTOSEPT24!$A$6:$AV$49,29,0)</f>
        <v>0</v>
      </c>
    </row>
    <row r="31" spans="1:19" x14ac:dyDescent="0.35">
      <c r="A31" s="1" t="s">
        <v>26</v>
      </c>
      <c r="B31" s="7">
        <f>IF(D31=0,0,VLOOKUP($A31,[6]HISTOSEPT24!$A$6:$BP$44,10,0))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D31+VLOOKUP($A31,[6]HISTOSEPT24!$A$7:$AU$42,45,0)+F31</f>
        <v>50000</v>
      </c>
      <c r="F31" s="7">
        <f>VLOOKUP($A31,[6]HISTOSEPT24!$A$6:$AV$48,7,0)</f>
        <v>0</v>
      </c>
      <c r="G31" s="7" t="str">
        <f>VLOOKUP($A31,[6]HISTOSEPT24!$A$6:$AV$49,8,0)</f>
        <v>BANQUE</v>
      </c>
      <c r="H31" s="7">
        <f>VLOOKUP($A31,[6]HISTOSEPT24!$A$6:$AV$49,35,0)</f>
        <v>0</v>
      </c>
      <c r="I31" s="7">
        <f>VLOOKUP($A31,[6]HISTOSEPT24!$A$6:$AV$49,38,0)</f>
        <v>0</v>
      </c>
      <c r="J31" s="7">
        <f>IF(H31=0,0,VLOOKUP($A31,[6]HISTOSEPT24!$A$6:$AV$49,42,0))</f>
        <v>0</v>
      </c>
      <c r="K31" s="7">
        <f>VLOOKUP($A31,[6]HISTOSEPT24!$A$6:$AV$49,41,0)</f>
        <v>0</v>
      </c>
      <c r="L31" s="7">
        <f>TONTAOUT24!H31+TONTAOUT24!I31</f>
        <v>0</v>
      </c>
      <c r="M31" s="7">
        <f>VLOOKUP($A31,[6]HISTOSEPT24!$A$6:$AV$49,16,0)</f>
        <v>0</v>
      </c>
      <c r="N31" s="7" t="str">
        <f>IF(M31&lt;&gt;0,VLOOKUP($A31,[6]HISTOSEPT24!$A$6:$AV$49,8,0),"ECHEC")</f>
        <v>ECHEC</v>
      </c>
      <c r="O31" s="7">
        <f>IF(R31=0,0,VLOOKUP($A31,[6]HISTOSEPT24!$A$6:$AV$49,32,0))</f>
        <v>0</v>
      </c>
      <c r="P31" s="7">
        <f>VLOOKUP($A31,[6]HISTOSEPT24!$A$6:$AV$49,33,0)</f>
        <v>0</v>
      </c>
      <c r="Q31" s="7">
        <f t="shared" si="1"/>
        <v>0</v>
      </c>
      <c r="R31" s="7">
        <f>VLOOKUP($A31,[6]HISTOSEPT24!$A$6:$AV$49,29,0)</f>
        <v>0</v>
      </c>
    </row>
    <row r="32" spans="1:19" x14ac:dyDescent="0.35">
      <c r="A32" s="1" t="s">
        <v>95</v>
      </c>
      <c r="B32" s="7">
        <f>IF(D32=0,0,VLOOKUP($A32,[6]HISTOSEPT24!$A$6:$BP$44,10,0))</f>
        <v>1</v>
      </c>
      <c r="C32" s="1" t="str">
        <f>VLOOKUP(A32,[7]LISTADHERENT!A$5:H$60,3,0)</f>
        <v>TCHOUATEU AUGUSTIN</v>
      </c>
      <c r="D32" s="7">
        <f t="shared" si="0"/>
        <v>25000</v>
      </c>
      <c r="E32" s="7">
        <f>D32+VLOOKUP($A32,[6]HISTOSEPT24!$A$7:$AU$42,45,0)+F32</f>
        <v>224000</v>
      </c>
      <c r="F32" s="7">
        <f>VLOOKUP($A32,[6]HISTOSEPT24!$A$6:$AV$48,7,0)</f>
        <v>0</v>
      </c>
      <c r="G32" s="7" t="str">
        <f>VLOOKUP($A32,[6]HISTOSEPT24!$A$6:$AV$49,8,0)</f>
        <v>BANQUE</v>
      </c>
      <c r="H32" s="7">
        <f>VLOOKUP($A32,[6]HISTOSEPT24!$A$6:$AV$49,35,0)</f>
        <v>0</v>
      </c>
      <c r="I32" s="7">
        <f>VLOOKUP($A32,[6]HISTOSEPT24!$A$6:$AV$49,38,0)</f>
        <v>0</v>
      </c>
      <c r="J32" s="7">
        <f>IF(H32=0,0,VLOOKUP($A32,[6]HISTOSEPT24!$A$6:$AV$49,42,0))</f>
        <v>0</v>
      </c>
      <c r="K32" s="7">
        <f>VLOOKUP($A32,[6]HISTOSEPT24!$A$6:$AV$49,41,0)</f>
        <v>0</v>
      </c>
      <c r="L32" s="7">
        <f>TONTAOUT24!H32+TONTAOUT24!I32</f>
        <v>0</v>
      </c>
      <c r="M32" s="7">
        <f>VLOOKUP($A32,[6]HISTOSEPT24!$A$6:$AV$49,16,0)</f>
        <v>0</v>
      </c>
      <c r="N32" s="7" t="str">
        <f>IF(M32&lt;&gt;0,VLOOKUP($A32,[6]HISTOSEPT24!$A$6:$AV$49,8,0),"ECHEC")</f>
        <v>ECHEC</v>
      </c>
      <c r="O32" s="7" t="str">
        <f>IF(R32=0,0,VLOOKUP($A32,[6]HISTOSEPT24!$A$6:$AV$49,32,0))</f>
        <v>BANQUE</v>
      </c>
      <c r="P32" s="7">
        <f>VLOOKUP($A32,[6]HISTOSEPT24!$A$6:$AV$49,33,0)</f>
        <v>0</v>
      </c>
      <c r="Q32" s="7">
        <f t="shared" si="1"/>
        <v>294000</v>
      </c>
      <c r="R32" s="7">
        <f>VLOOKUP($A32,[6]HISTOSEPT24!$A$6:$AV$49,29,0)</f>
        <v>6000</v>
      </c>
    </row>
    <row r="33" spans="1:18" x14ac:dyDescent="0.35">
      <c r="A33" s="1" t="s">
        <v>87</v>
      </c>
      <c r="B33" s="7">
        <f>IF(D33=0,0,VLOOKUP($A33,[6]HISTOSEPT24!$A$6:$BP$44,10,0))</f>
        <v>1</v>
      </c>
      <c r="C33" s="1" t="str">
        <f>VLOOKUP(A33,[7]LISTADHERENT!A$5:H$60,3,0)</f>
        <v>TCHOUTOU NANA CLAUDE</v>
      </c>
      <c r="D33" s="7">
        <f>IF(G33="ECHEC",0,B$3)+25000</f>
        <v>50000</v>
      </c>
      <c r="E33" s="7">
        <f>D33+VLOOKUP($A33,[6]HISTOSEPT24!$A$7:$AU$42,45,0)+F33</f>
        <v>106250</v>
      </c>
      <c r="F33" s="7">
        <f>VLOOKUP($A33,[6]HISTOSEPT24!$A$6:$AV$48,7,0)</f>
        <v>0</v>
      </c>
      <c r="G33" s="7" t="str">
        <f>VLOOKUP($A33,[6]HISTOSEPT24!$A$6:$AV$49,8,0)</f>
        <v>BANQUE</v>
      </c>
      <c r="H33" s="7">
        <f>VLOOKUP($A33,[6]HISTOSEPT24!$A$6:$AV$49,35,0)</f>
        <v>0</v>
      </c>
      <c r="I33" s="7">
        <f>VLOOKUP($A33,[6]HISTOSEPT24!$A$6:$AV$49,38,0)</f>
        <v>0</v>
      </c>
      <c r="J33" s="7">
        <f>IF(H33=0,0,VLOOKUP($A33,[6]HISTOSEPT24!$A$6:$AV$49,42,0))</f>
        <v>0</v>
      </c>
      <c r="K33" s="7">
        <f>VLOOKUP($A33,[6]HISTOSEPT24!$A$6:$AV$49,41,0)</f>
        <v>0</v>
      </c>
      <c r="L33" s="7">
        <f>TONTAOUT24!H33+TONTAOUT24!I33</f>
        <v>0</v>
      </c>
      <c r="M33" s="7">
        <f>VLOOKUP($A33,[6]HISTOSEPT24!$A$6:$AV$49,16,0)</f>
        <v>0</v>
      </c>
      <c r="N33" s="7" t="str">
        <f>IF(M33&lt;&gt;0,VLOOKUP($A33,[6]HISTOSEPT24!$A$6:$AV$49,8,0),"ECHEC")</f>
        <v>ECHEC</v>
      </c>
      <c r="O33" s="7">
        <f>IF(R33=0,0,VLOOKUP($A33,[6]HISTOSEPT24!$A$6:$AV$49,32,0))</f>
        <v>0</v>
      </c>
      <c r="P33" s="7">
        <f>VLOOKUP($A33,[6]HISTOSEPT24!$A$6:$AV$49,33,0)</f>
        <v>0</v>
      </c>
      <c r="Q33" s="7">
        <f t="shared" si="1"/>
        <v>0</v>
      </c>
      <c r="R33" s="7">
        <f>VLOOKUP($A33,[6]HISTOSEPT24!$A$6:$AV$49,29,0)</f>
        <v>0</v>
      </c>
    </row>
    <row r="34" spans="1:18" x14ac:dyDescent="0.35">
      <c r="A34" s="17" t="s">
        <v>89</v>
      </c>
      <c r="B34" s="7">
        <f>IF(D34=0,0,VLOOKUP($A34,[6]HISTOSEPT24!$A$6:$BP$44,10,0))</f>
        <v>1</v>
      </c>
      <c r="C34" s="1" t="str">
        <f>VLOOKUP(A34,[7]LISTADHERENT!A$5:H$60,3,0)</f>
        <v>YANTCHOU GERVAIS</v>
      </c>
      <c r="D34" s="7">
        <f t="shared" si="0"/>
        <v>25000</v>
      </c>
      <c r="E34" s="7">
        <f>D34+VLOOKUP($A34,[6]HISTOSEPT24!$A$7:$AU$42,45,0)+F34</f>
        <v>60000</v>
      </c>
      <c r="F34" s="7">
        <f>VLOOKUP($A34,[6]HISTOSEPT24!$A$6:$AV$48,7,0)</f>
        <v>0</v>
      </c>
      <c r="G34" s="7" t="str">
        <f>VLOOKUP($A34,[6]HISTOSEPT24!$A$6:$AV$49,8,0)</f>
        <v>BANQUE</v>
      </c>
      <c r="H34" s="7">
        <f>VLOOKUP($A34,[6]HISTOSEPT24!$A$6:$AV$49,35,0)</f>
        <v>0</v>
      </c>
      <c r="I34" s="7">
        <f>VLOOKUP($A34,[6]HISTOSEPT24!$A$6:$AV$49,38,0)</f>
        <v>0</v>
      </c>
      <c r="J34" s="7">
        <f>IF(H34=0,0,VLOOKUP($A34,[6]HISTOSEPT24!$A$6:$AV$49,42,0))</f>
        <v>0</v>
      </c>
      <c r="K34" s="7">
        <f>VLOOKUP($A34,[6]HISTOSEPT24!$A$6:$AV$49,41,0)</f>
        <v>0</v>
      </c>
      <c r="L34" s="7">
        <f>TONTAOUT24!H34+TONTAOUT24!I34</f>
        <v>0</v>
      </c>
      <c r="M34" s="7">
        <f>VLOOKUP($A34,[6]HISTOSEPT24!$A$6:$AV$49,16,0)</f>
        <v>0</v>
      </c>
      <c r="N34" s="7" t="str">
        <f>IF(M34&lt;&gt;0,VLOOKUP($A34,[6]HISTOSEPT24!$A$6:$AV$49,8,0),"ECHEC")</f>
        <v>ECHEC</v>
      </c>
      <c r="O34" s="7">
        <f>IF(R34=0,0,VLOOKUP($A34,[6]HISTOSEPT24!$A$6:$AV$49,32,0))</f>
        <v>0</v>
      </c>
      <c r="P34" s="7">
        <f>VLOOKUP($A34,[6]HISTOSEPT24!$A$6:$AV$49,33,0)</f>
        <v>0</v>
      </c>
      <c r="Q34" s="7">
        <f t="shared" si="1"/>
        <v>0</v>
      </c>
      <c r="R34" s="7">
        <f>VLOOKUP($A34,[6]HISTOSEPT24!$A$6:$AV$49,29,0)</f>
        <v>0</v>
      </c>
    </row>
    <row r="35" spans="1:18" x14ac:dyDescent="0.35">
      <c r="A35" s="1" t="s">
        <v>27</v>
      </c>
      <c r="B35" s="7">
        <f>IF(D35=0,0,VLOOKUP($A35,[6]HISTOSEPT24!$A$6:$BP$44,10,0))</f>
        <v>1</v>
      </c>
      <c r="C35" s="1" t="str">
        <f>VLOOKUP(A35,[7]LISTADHERENT!A$5:H$60,3,0)</f>
        <v>YEPMOU JEAN JACQUES</v>
      </c>
      <c r="D35" s="7">
        <f t="shared" si="0"/>
        <v>25000</v>
      </c>
      <c r="E35" s="7">
        <f>D35+VLOOKUP($A35,[6]HISTOSEPT24!$A$7:$AU$42,45,0)+F35</f>
        <v>50000</v>
      </c>
      <c r="F35" s="7">
        <f>VLOOKUP($A35,[6]HISTOSEPT24!$A$6:$AV$48,7,0)</f>
        <v>0</v>
      </c>
      <c r="G35" s="7" t="str">
        <f>VLOOKUP($A35,[6]HISTOSEPT24!$A$6:$AV$49,8,0)</f>
        <v>BANQUE</v>
      </c>
      <c r="H35" s="7">
        <f>VLOOKUP($A35,[6]HISTOSEPT24!$A$6:$AV$49,35,0)</f>
        <v>0</v>
      </c>
      <c r="I35" s="7">
        <f>VLOOKUP($A35,[6]HISTOSEPT24!$A$6:$AV$49,38,0)</f>
        <v>0</v>
      </c>
      <c r="J35" s="7">
        <f>IF(H35=0,0,VLOOKUP($A35,[6]HISTOSEPT24!$A$6:$AV$49,42,0))</f>
        <v>0</v>
      </c>
      <c r="K35" s="7">
        <f>VLOOKUP($A35,[6]HISTOSEPT24!$A$6:$AV$49,41,0)</f>
        <v>0</v>
      </c>
      <c r="L35" s="7">
        <f>TONTAOUT24!H35+TONTAOUT24!I35</f>
        <v>0</v>
      </c>
      <c r="M35" s="7">
        <f>VLOOKUP($A35,[6]HISTOSEPT24!$A$6:$AV$49,16,0)</f>
        <v>0</v>
      </c>
      <c r="N35" s="7" t="str">
        <f>IF(M35&lt;&gt;0,VLOOKUP($A35,[6]HISTOSEPT24!$A$6:$AV$49,8,0),"ECHEC")</f>
        <v>ECHEC</v>
      </c>
      <c r="O35" s="7">
        <f>IF(R35=0,0,VLOOKUP($A35,[6]HISTOSEPT24!$A$6:$AV$49,32,0))</f>
        <v>0</v>
      </c>
      <c r="P35" s="7">
        <f>VLOOKUP($A35,[6]HISTOSEPT24!$A$6:$AV$49,33,0)</f>
        <v>0</v>
      </c>
      <c r="Q35" s="7">
        <f t="shared" si="1"/>
        <v>0</v>
      </c>
      <c r="R35" s="7">
        <f>VLOOKUP($A35,[6]HISTOSEPT24!$A$6:$AV$49,29,0)</f>
        <v>0</v>
      </c>
    </row>
    <row r="36" spans="1:18" x14ac:dyDescent="0.35">
      <c r="A36" s="1" t="s">
        <v>94</v>
      </c>
      <c r="B36" s="7">
        <f>IF(D36=0,0,VLOOKUP($A36,[6]HISTOSEPT24!$A$6:$BP$44,10,0))</f>
        <v>1</v>
      </c>
      <c r="C36" s="1" t="str">
        <f>VLOOKUP(A36,[7]LISTADHERENT!A$5:H$60,3,0)</f>
        <v>YIALA ALAIN OSCAR</v>
      </c>
      <c r="D36" s="7">
        <f t="shared" si="0"/>
        <v>25000</v>
      </c>
      <c r="E36" s="7">
        <f>D36+VLOOKUP($A36,[6]HISTOSEPT24!$A$7:$AU$42,45,0)+F36</f>
        <v>753000</v>
      </c>
      <c r="F36" s="7">
        <f>VLOOKUP($A36,[6]HISTOSEPT24!$A$6:$AV$48,7,0)</f>
        <v>3000</v>
      </c>
      <c r="G36" s="7" t="str">
        <f>VLOOKUP($A36,[6]HISTOSEPT24!$A$6:$AV$49,8,0)</f>
        <v>ESPECES</v>
      </c>
      <c r="H36" s="7">
        <f>VLOOKUP($A36,[6]HISTOSEPT24!$A$6:$AV$49,35,0)</f>
        <v>0</v>
      </c>
      <c r="I36" s="7">
        <f>VLOOKUP($A36,[6]HISTOSEPT24!$A$6:$AV$49,38,0)</f>
        <v>0</v>
      </c>
      <c r="J36" s="7">
        <f>IF(H36=0,0,VLOOKUP($A36,[6]HISTOSEPT24!$A$6:$AV$49,42,0))</f>
        <v>0</v>
      </c>
      <c r="K36" s="7">
        <f>VLOOKUP($A36,[6]HISTOSEPT24!$A$6:$AV$49,41,0)</f>
        <v>0</v>
      </c>
      <c r="L36" s="7">
        <f>TONTAOUT24!H36+TONTAOUT24!I36</f>
        <v>0</v>
      </c>
      <c r="M36" s="7">
        <f>VLOOKUP($A36,[6]HISTOSEPT24!$A$6:$AV$49,16,0)</f>
        <v>0</v>
      </c>
      <c r="N36" s="7" t="str">
        <f>IF(M36&lt;&gt;0,VLOOKUP($A36,[6]HISTOSEPT24!$A$6:$AV$49,8,0),"ECHEC")</f>
        <v>ECHEC</v>
      </c>
      <c r="O36" s="7" t="str">
        <f>IF(R36=0,0,VLOOKUP($A36,[6]HISTOSEPT24!$A$6:$AV$49,32,0))</f>
        <v>BANQUE</v>
      </c>
      <c r="P36" s="7">
        <f>VLOOKUP($A36,[6]HISTOSEPT24!$A$6:$AV$49,33,0)</f>
        <v>0</v>
      </c>
      <c r="Q36" s="7">
        <f t="shared" si="1"/>
        <v>296000</v>
      </c>
      <c r="R36" s="7">
        <f>VLOOKUP($A36,[6]HISTOSEPT24!$A$6:$AV$49,29,0)</f>
        <v>4000</v>
      </c>
    </row>
    <row r="37" spans="1:18" x14ac:dyDescent="0.35">
      <c r="A37" s="1" t="s">
        <v>28</v>
      </c>
      <c r="B37" s="7">
        <f>IF(D37=0,0,VLOOKUP($A37,[6]HISTOSEPT24!$A$6:$BP$44,10,0))</f>
        <v>1</v>
      </c>
      <c r="C37" s="1" t="str">
        <f>VLOOKUP(A37,[7]LISTADHERENT!A$5:H$60,3,0)</f>
        <v>YOUMBI EMMANUEL</v>
      </c>
      <c r="D37" s="7">
        <f t="shared" si="0"/>
        <v>25000</v>
      </c>
      <c r="E37" s="7">
        <f>D37+VLOOKUP($A37,[6]HISTOSEPT24!$A$7:$AU$42,45,0)+F37</f>
        <v>50000</v>
      </c>
      <c r="F37" s="7">
        <f>VLOOKUP($A37,[6]HISTOSEPT24!$A$6:$AV$48,7,0)</f>
        <v>0</v>
      </c>
      <c r="G37" s="7" t="str">
        <f>VLOOKUP($A37,[6]HISTOSEPT24!$A$6:$AV$49,8,0)</f>
        <v>BANQUE</v>
      </c>
      <c r="H37" s="7">
        <f>VLOOKUP($A37,[6]HISTOSEPT24!$A$6:$AV$49,35,0)</f>
        <v>0</v>
      </c>
      <c r="I37" s="7">
        <f>VLOOKUP($A37,[6]HISTOSEPT24!$A$6:$AV$49,38,0)</f>
        <v>0</v>
      </c>
      <c r="J37" s="7">
        <f>IF(H37=0,0,VLOOKUP($A37,[6]HISTOSEPT24!$A$6:$AV$49,42,0))</f>
        <v>0</v>
      </c>
      <c r="K37" s="7">
        <f>VLOOKUP($A37,[6]HISTOSEPT24!$A$6:$AV$49,41,0)</f>
        <v>0</v>
      </c>
      <c r="L37" s="7">
        <f>TONTAOUT24!H37+TONTAOUT24!I37</f>
        <v>0</v>
      </c>
      <c r="M37" s="7">
        <f>VLOOKUP($A37,[6]HISTOSEPT24!$A$6:$AV$49,16,0)</f>
        <v>0</v>
      </c>
      <c r="N37" s="7" t="str">
        <f>IF(M37&lt;&gt;0,VLOOKUP($A37,[6]HISTOSEPT24!$A$6:$AV$49,8,0),"ECHEC")</f>
        <v>ECHEC</v>
      </c>
      <c r="O37" s="7">
        <f>IF(R37=0,0,VLOOKUP($A37,[6]HISTOSEPT24!$A$6:$AV$49,32,0))</f>
        <v>0</v>
      </c>
      <c r="P37" s="7">
        <f>VLOOKUP($A37,[6]HISTOSEPT24!$A$6:$AV$49,33,0)</f>
        <v>0</v>
      </c>
      <c r="Q37" s="7">
        <f t="shared" si="1"/>
        <v>0</v>
      </c>
      <c r="R37" s="7">
        <f>VLOOKUP($A37,[6]HISTOSEPT24!$A$6:$AV$49,29,0)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825000</v>
      </c>
      <c r="E40" s="8"/>
      <c r="F40" s="8">
        <f t="shared" ref="F40:R40" si="2">SUM(F6:F39)</f>
        <v>18000</v>
      </c>
      <c r="G40" s="8">
        <f t="shared" si="2"/>
        <v>0</v>
      </c>
      <c r="H40" s="8">
        <f t="shared" si="2"/>
        <v>209500</v>
      </c>
      <c r="I40" s="8">
        <f t="shared" si="2"/>
        <v>3500</v>
      </c>
      <c r="J40" s="8">
        <f t="shared" si="2"/>
        <v>0</v>
      </c>
      <c r="K40" s="8">
        <f t="shared" si="2"/>
        <v>0</v>
      </c>
      <c r="L40" s="8">
        <f t="shared" si="2"/>
        <v>271500</v>
      </c>
      <c r="M40" s="8">
        <f t="shared" si="2"/>
        <v>271500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887000</v>
      </c>
      <c r="R40" s="8">
        <f t="shared" si="2"/>
        <v>13000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D46+G46+R40+TONTAOUT24!O47</f>
        <v>1109500</v>
      </c>
      <c r="N42" s="4"/>
      <c r="O42"/>
      <c r="P42" s="4"/>
    </row>
    <row r="43" spans="1:18" s="2" customFormat="1" ht="17.5" x14ac:dyDescent="0.35">
      <c r="D43" s="8">
        <f>SUMIFS(D6:D39,G6:G39,"ESPECES")</f>
        <v>100000</v>
      </c>
      <c r="E43" s="8"/>
      <c r="F43" s="8" t="s">
        <v>31</v>
      </c>
      <c r="G43" s="8">
        <f>SUMIFS(M6:M33,N6:N33,"ESPECES")</f>
        <v>119000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219000</v>
      </c>
      <c r="K43" s="8"/>
      <c r="L43" s="8" t="s">
        <v>79</v>
      </c>
      <c r="M43" s="8">
        <f>C3*COUNTIF(Q7:Q39,"&gt;0")</f>
        <v>900000</v>
      </c>
      <c r="N43" s="8">
        <f>D3</f>
        <v>3</v>
      </c>
      <c r="O43" s="8">
        <f>COUNTIF(Q6:Q33,"&gt;0")</f>
        <v>2</v>
      </c>
      <c r="P43" s="8"/>
    </row>
    <row r="44" spans="1:18" s="2" customFormat="1" ht="17.5" x14ac:dyDescent="0.35">
      <c r="D44" s="8">
        <f>SUMIFS(D6:D39,G6:G39,"BANQUE")</f>
        <v>725000</v>
      </c>
      <c r="E44" s="8"/>
      <c r="F44" s="8" t="s">
        <v>32</v>
      </c>
      <c r="G44" s="8">
        <f>SUMIFS(M6:M33,N6:N33,"BANQUE")</f>
        <v>152500</v>
      </c>
      <c r="H44" s="8">
        <f>SUMIFS(H6:H39,J6:J39,"BANQUE")</f>
        <v>209500</v>
      </c>
      <c r="I44" s="8">
        <f>SUMIFS(Q6:Q39,O6:O39,"BANQUE")</f>
        <v>590000</v>
      </c>
      <c r="J44" s="8">
        <f>D44+G44-H44-I44</f>
        <v>78000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209500</v>
      </c>
      <c r="N45" s="8"/>
      <c r="O45" s="8"/>
      <c r="P45" s="8"/>
    </row>
    <row r="46" spans="1:18" s="2" customFormat="1" ht="17.5" x14ac:dyDescent="0.35">
      <c r="D46" s="8">
        <f>D43+D44</f>
        <v>825000</v>
      </c>
      <c r="E46" s="8"/>
      <c r="F46" s="8" t="s">
        <v>29</v>
      </c>
      <c r="G46" s="8">
        <f>G43+G44</f>
        <v>271500</v>
      </c>
      <c r="H46" s="8">
        <f>H43+H44</f>
        <v>209500</v>
      </c>
      <c r="I46" s="8">
        <f t="shared" ref="I46:J46" si="3">I43+I44</f>
        <v>590000</v>
      </c>
      <c r="J46" s="8">
        <f t="shared" si="3"/>
        <v>297000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TONTSEPT24!M47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COUNTIFS(G7:G38,"ECHEC")*25000</f>
        <v>0</v>
      </c>
      <c r="O49" s="8">
        <f>TONTSEPT24!M49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TONTSEPT24!M50</f>
        <v>0</v>
      </c>
      <c r="P50" s="8" t="s">
        <v>53</v>
      </c>
    </row>
  </sheetData>
  <autoFilter ref="A5:R25" xr:uid="{00000000-0009-0000-0000-000009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50"/>
  <sheetViews>
    <sheetView workbookViewId="0">
      <pane xSplit="3" ySplit="5" topLeftCell="J18" activePane="bottomRight" state="frozen"/>
      <selection activeCell="G6" sqref="G6:G39"/>
      <selection pane="topRight" activeCell="G6" sqref="G6:G39"/>
      <selection pane="bottomLeft" activeCell="G6" sqref="G6:G39"/>
      <selection pane="bottomRight" activeCell="L6" sqref="L6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8">
        <v>45578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IF(D6=0,0,VLOOKUP($A6,[6]HISTOOCT24!$A$6:$BP$44,10,0))</f>
        <v>1</v>
      </c>
      <c r="C6" s="1" t="str">
        <f>VLOOKUP(A6,[7]LISTADHERENT!A$5:H$60,3,0)</f>
        <v>BAKOP ACHILLE</v>
      </c>
      <c r="D6" s="7">
        <f t="shared" ref="D6:D37" si="0">IF(G6="ECHEC",0,B$3)</f>
        <v>25000</v>
      </c>
      <c r="E6" s="7">
        <f>D6+VLOOKUP($A6,[6]HISTOOCT24!$A$7:$AU$42,45,0)+F6</f>
        <v>50000</v>
      </c>
      <c r="F6" s="7">
        <f>VLOOKUP($A6,[6]HISTOOCT24!$A$6:$AV$48,7,0)</f>
        <v>0</v>
      </c>
      <c r="G6" s="7" t="str">
        <f>VLOOKUP($A6,[6]HISTOOCT24!$A$6:$AV$49,8,0)</f>
        <v>ESPECES</v>
      </c>
      <c r="H6" s="7">
        <f>VLOOKUP($A6,[6]HISTOOCT24!$A$6:$AV$49,35,0)</f>
        <v>0</v>
      </c>
      <c r="I6" s="7">
        <f>VLOOKUP($A6,[6]HISTOOCT24!$A$6:$AV$49,38,0)</f>
        <v>0</v>
      </c>
      <c r="J6" s="7">
        <f>IF(H6=0,0,VLOOKUP($A6,[6]HISTOOCT24!$A$6:$AV$49,42,0))</f>
        <v>0</v>
      </c>
      <c r="K6" s="7">
        <f>VLOOKUP($A6,[6]HISTOOCT24!$A$6:$AV$49,41,0)</f>
        <v>0</v>
      </c>
      <c r="L6" s="7">
        <f>TONTSEPT24!H6+TONTSEPT24!I6</f>
        <v>0</v>
      </c>
      <c r="M6" s="7">
        <f>VLOOKUP($A6,[6]HISTOOCT24!$A$6:$AV$49,16,0)</f>
        <v>0</v>
      </c>
      <c r="N6" s="7" t="str">
        <f>IF(M6&lt;&gt;0,VLOOKUP($A6,[6]HISTOOCT24!$A$6:$AV$49,8,0),"ECHEC")</f>
        <v>ECHEC</v>
      </c>
      <c r="O6" s="7">
        <f>IF(R6=0,0,VLOOKUP($A6,[6]HISTOOCT24!$A$6:$AV$49,32,0))</f>
        <v>0</v>
      </c>
      <c r="P6" s="7">
        <f>VLOOKUP($A6,[6]HISTOOCT24!$A$6:$AV$49,33,0)</f>
        <v>0</v>
      </c>
      <c r="Q6" s="7">
        <f t="shared" ref="Q6:Q37" si="1">IF(R6=0,0,($C$3-R6))</f>
        <v>0</v>
      </c>
      <c r="R6" s="7">
        <f>VLOOKUP($A6,[6]HISTOOCT24!$A$6:$AV$49,29,0)</f>
        <v>0</v>
      </c>
    </row>
    <row r="7" spans="1:19" x14ac:dyDescent="0.35">
      <c r="A7" s="1" t="s">
        <v>9</v>
      </c>
      <c r="B7" s="7">
        <f>IF(D7=0,0,VLOOKUP($A7,[6]HISTOOCT24!$A$6:$BP$44,10,0))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D7+VLOOKUP($A7,[6]HISTOOCT24!$A$7:$AU$42,45,0)+F7</f>
        <v>50000</v>
      </c>
      <c r="F7" s="7">
        <f>VLOOKUP($A7,[6]HISTOOCT24!$A$6:$AV$48,7,0)</f>
        <v>0</v>
      </c>
      <c r="G7" s="7" t="str">
        <f>VLOOKUP($A7,[6]HISTOOCT24!$A$6:$AV$49,8,0)</f>
        <v>BANQUE</v>
      </c>
      <c r="H7" s="7">
        <f>VLOOKUP($A7,[6]HISTOOCT24!$A$6:$AV$49,35,0)</f>
        <v>0</v>
      </c>
      <c r="I7" s="7">
        <f>VLOOKUP($A7,[6]HISTOOCT24!$A$6:$AV$49,38,0)</f>
        <v>0</v>
      </c>
      <c r="J7" s="7">
        <f>IF(H7=0,0,VLOOKUP($A7,[6]HISTOOCT24!$A$6:$AV$49,42,0))</f>
        <v>0</v>
      </c>
      <c r="K7" s="7">
        <f>VLOOKUP($A7,[6]HISTOOCT24!$A$6:$AV$49,41,0)</f>
        <v>0</v>
      </c>
      <c r="L7" s="7">
        <f>TONTSEPT24!H7+TONTSEPT24!I7</f>
        <v>0</v>
      </c>
      <c r="M7" s="7">
        <f>VLOOKUP($A7,[6]HISTOOCT24!$A$6:$AV$49,16,0)</f>
        <v>0</v>
      </c>
      <c r="N7" s="7" t="str">
        <f>IF(M7&lt;&gt;0,VLOOKUP($A7,[6]HISTOOCT24!$A$6:$AV$49,8,0),"ECHEC")</f>
        <v>ECHEC</v>
      </c>
      <c r="O7" s="7" t="str">
        <f>IF(R7=0,0,VLOOKUP($A7,[6]HISTOOCT24!$A$6:$AV$49,32,0))</f>
        <v>BANQUE</v>
      </c>
      <c r="P7" s="7">
        <f>VLOOKUP($A7,[6]HISTOOCT24!$A$6:$AV$49,33,0)</f>
        <v>0</v>
      </c>
      <c r="Q7" s="7">
        <f t="shared" si="1"/>
        <v>297500</v>
      </c>
      <c r="R7" s="7">
        <f>VLOOKUP($A7,[6]HISTOOCT24!$A$6:$AV$49,29,0)</f>
        <v>2500</v>
      </c>
    </row>
    <row r="8" spans="1:19" x14ac:dyDescent="0.35">
      <c r="A8" s="1" t="s">
        <v>10</v>
      </c>
      <c r="B8" s="7">
        <f>IF(D8=0,0,VLOOKUP($A8,[6]HISTOOCT24!$A$6:$BP$44,10,0))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D8+VLOOKUP($A8,[6]HISTOOCT24!$A$7:$AU$42,45,0)+F8</f>
        <v>50000</v>
      </c>
      <c r="F8" s="7">
        <f>VLOOKUP($A8,[6]HISTOOCT24!$A$6:$AV$48,7,0)</f>
        <v>0</v>
      </c>
      <c r="G8" s="7" t="str">
        <f>VLOOKUP($A8,[6]HISTOOCT24!$A$6:$AV$49,8,0)</f>
        <v>BANQUE</v>
      </c>
      <c r="H8" s="7">
        <f>VLOOKUP($A8,[6]HISTOOCT24!$A$6:$AV$49,35,0)</f>
        <v>0</v>
      </c>
      <c r="I8" s="7">
        <f>VLOOKUP($A8,[6]HISTOOCT24!$A$6:$AV$49,38,0)</f>
        <v>0</v>
      </c>
      <c r="J8" s="7">
        <f>IF(H8=0,0,VLOOKUP($A8,[6]HISTOOCT24!$A$6:$AV$49,42,0))</f>
        <v>0</v>
      </c>
      <c r="K8" s="7">
        <f>VLOOKUP($A8,[6]HISTOOCT24!$A$6:$AV$49,41,0)</f>
        <v>0</v>
      </c>
      <c r="L8" s="7">
        <f>TONTSEPT24!H8+TONTSEPT24!I8</f>
        <v>0</v>
      </c>
      <c r="M8" s="7">
        <f>VLOOKUP($A8,[6]HISTOOCT24!$A$6:$AV$49,16,0)</f>
        <v>0</v>
      </c>
      <c r="N8" s="7" t="str">
        <f>IF(M8&lt;&gt;0,VLOOKUP($A8,[6]HISTOOCT24!$A$6:$AV$49,8,0),"ECHEC")</f>
        <v>ECHEC</v>
      </c>
      <c r="O8" s="7">
        <f>IF(R8=0,0,VLOOKUP($A8,[6]HISTOOCT24!$A$6:$AV$49,32,0))</f>
        <v>0</v>
      </c>
      <c r="P8" s="7">
        <f>VLOOKUP($A8,[6]HISTOOCT24!$A$6:$AV$49,33,0)</f>
        <v>0</v>
      </c>
      <c r="Q8" s="7">
        <f t="shared" si="1"/>
        <v>0</v>
      </c>
      <c r="R8" s="7">
        <f>VLOOKUP($A8,[6]HISTOOCT24!$A$6:$AV$49,29,0)</f>
        <v>0</v>
      </c>
    </row>
    <row r="9" spans="1:19" x14ac:dyDescent="0.35">
      <c r="A9" s="1" t="s">
        <v>52</v>
      </c>
      <c r="B9" s="7">
        <f>IF(D9=0,0,VLOOKUP($A9,[6]HISTOOCT24!$A$6:$BP$44,10,0))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D9+VLOOKUP($A9,[6]HISTOOCT24!$A$7:$AU$42,45,0)+F9</f>
        <v>51000</v>
      </c>
      <c r="F9" s="7">
        <f>VLOOKUP($A9,[6]HISTOOCT24!$A$6:$AV$48,7,0)</f>
        <v>0</v>
      </c>
      <c r="G9" s="7" t="str">
        <f>VLOOKUP($A9,[6]HISTOOCT24!$A$6:$AV$49,8,0)</f>
        <v>BANQUE</v>
      </c>
      <c r="H9" s="7">
        <f>VLOOKUP($A9,[6]HISTOOCT24!$A$6:$AV$49,35,0)</f>
        <v>60500</v>
      </c>
      <c r="I9" s="7">
        <f>VLOOKUP($A9,[6]HISTOOCT24!$A$6:$AV$49,38,0)</f>
        <v>1500</v>
      </c>
      <c r="J9" s="7" t="str">
        <f>IF(H9=0,0,VLOOKUP($A9,[6]HISTOOCT24!$A$6:$AV$49,42,0))</f>
        <v>BANQUE</v>
      </c>
      <c r="K9" s="7">
        <f>VLOOKUP($A9,[6]HISTOOCT24!$A$6:$AV$49,41,0)</f>
        <v>0</v>
      </c>
      <c r="L9" s="7">
        <f>TONTSEPT24!H9+TONTSEPT24!I9</f>
        <v>61000</v>
      </c>
      <c r="M9" s="7">
        <f>VLOOKUP($A9,[6]HISTOOCT24!$A$6:$AV$49,16,0)</f>
        <v>61000</v>
      </c>
      <c r="N9" s="7" t="str">
        <f>IF(M9&lt;&gt;0,VLOOKUP($A9,[6]HISTOOCT24!$A$6:$AV$49,8,0),"ECHEC")</f>
        <v>BANQUE</v>
      </c>
      <c r="O9" s="7">
        <f>IF(R9=0,0,VLOOKUP($A9,[6]HISTOOCT24!$A$6:$AV$49,32,0))</f>
        <v>0</v>
      </c>
      <c r="P9" s="7">
        <f>VLOOKUP($A9,[6]HISTOOCT24!$A$6:$AV$49,33,0)</f>
        <v>0</v>
      </c>
      <c r="Q9" s="7">
        <f t="shared" si="1"/>
        <v>0</v>
      </c>
      <c r="R9" s="7">
        <f>VLOOKUP($A9,[6]HISTOOCT24!$A$6:$AV$49,29,0)</f>
        <v>0</v>
      </c>
    </row>
    <row r="10" spans="1:19" x14ac:dyDescent="0.35">
      <c r="A10" s="1" t="s">
        <v>11</v>
      </c>
      <c r="B10" s="7">
        <f>IF(D10=0,0,VLOOKUP($A10,[6]HISTOOCT24!$A$6:$BP$44,10,0))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D10+VLOOKUP($A10,[6]HISTOOCT24!$A$7:$AU$42,45,0)+F10</f>
        <v>50500</v>
      </c>
      <c r="F10" s="7">
        <f>VLOOKUP($A10,[6]HISTOOCT24!$A$6:$AV$48,7,0)</f>
        <v>0</v>
      </c>
      <c r="G10" s="7" t="str">
        <f>VLOOKUP($A10,[6]HISTOOCT24!$A$6:$AV$49,8,0)</f>
        <v>BANQUE</v>
      </c>
      <c r="H10" s="7">
        <f>VLOOKUP($A10,[6]HISTOOCT24!$A$6:$AV$49,35,0)</f>
        <v>0</v>
      </c>
      <c r="I10" s="7">
        <f>VLOOKUP($A10,[6]HISTOOCT24!$A$6:$AV$49,38,0)</f>
        <v>0</v>
      </c>
      <c r="J10" s="7">
        <f>IF(H10=0,0,VLOOKUP($A10,[6]HISTOOCT24!$A$6:$AV$49,42,0))</f>
        <v>0</v>
      </c>
      <c r="K10" s="7">
        <f>VLOOKUP($A10,[6]HISTOOCT24!$A$6:$AV$49,41,0)</f>
        <v>0</v>
      </c>
      <c r="L10" s="7">
        <f>TONTSEPT24!H10+TONTSEPT24!I10</f>
        <v>0</v>
      </c>
      <c r="M10" s="7">
        <f>VLOOKUP($A10,[6]HISTOOCT24!$A$6:$AV$49,16,0)</f>
        <v>0</v>
      </c>
      <c r="N10" s="7" t="str">
        <f>IF(M10&lt;&gt;0,VLOOKUP($A10,[6]HISTOOCT24!$A$6:$AV$49,8,0),"ECHEC")</f>
        <v>ECHEC</v>
      </c>
      <c r="O10" s="7">
        <f>IF(R10=0,0,VLOOKUP($A10,[6]HISTOOCT24!$A$6:$AV$49,32,0))</f>
        <v>0</v>
      </c>
      <c r="P10" s="7">
        <f>VLOOKUP($A10,[6]HISTOOCT24!$A$6:$AV$49,33,0)</f>
        <v>0</v>
      </c>
      <c r="Q10" s="7">
        <f t="shared" si="1"/>
        <v>0</v>
      </c>
      <c r="R10" s="7">
        <f>VLOOKUP($A10,[6]HISTOOCT24!$A$6:$AV$49,29,0)</f>
        <v>0</v>
      </c>
    </row>
    <row r="11" spans="1:19" x14ac:dyDescent="0.35">
      <c r="A11" s="1" t="s">
        <v>12</v>
      </c>
      <c r="B11" s="7">
        <f>IF(D11=0,0,VLOOKUP($A11,[6]HISTOOCT24!$A$6:$BP$44,10,0))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D11+VLOOKUP($A11,[6]HISTOOCT24!$A$7:$AU$42,45,0)+F11</f>
        <v>55000</v>
      </c>
      <c r="F11" s="7">
        <f>VLOOKUP($A11,[6]HISTOOCT24!$A$6:$AV$48,7,0)</f>
        <v>0</v>
      </c>
      <c r="G11" s="7" t="str">
        <f>VLOOKUP($A11,[6]HISTOOCT24!$A$6:$AV$49,8,0)</f>
        <v>BANQUE</v>
      </c>
      <c r="H11" s="7">
        <f>VLOOKUP($A11,[6]HISTOOCT24!$A$6:$AV$49,35,0)</f>
        <v>0</v>
      </c>
      <c r="I11" s="7">
        <f>VLOOKUP($A11,[6]HISTOOCT24!$A$6:$AV$49,38,0)</f>
        <v>0</v>
      </c>
      <c r="J11" s="7">
        <f>IF(H11=0,0,VLOOKUP($A11,[6]HISTOOCT24!$A$6:$AV$49,42,0))</f>
        <v>0</v>
      </c>
      <c r="K11" s="7">
        <f>VLOOKUP($A11,[6]HISTOOCT24!$A$6:$AV$49,41,0)</f>
        <v>0</v>
      </c>
      <c r="L11" s="7">
        <f>TONTSEPT24!H11+TONTSEPT24!I11</f>
        <v>0</v>
      </c>
      <c r="M11" s="7">
        <f>VLOOKUP($A11,[6]HISTOOCT24!$A$6:$AV$49,16,0)</f>
        <v>0</v>
      </c>
      <c r="N11" s="7" t="str">
        <f>IF(M11&lt;&gt;0,VLOOKUP($A11,[6]HISTOOCT24!$A$6:$AV$49,8,0),"ECHEC")</f>
        <v>ECHEC</v>
      </c>
      <c r="O11" s="7">
        <f>IF(R11=0,0,VLOOKUP($A11,[6]HISTOOCT24!$A$6:$AV$49,32,0))</f>
        <v>0</v>
      </c>
      <c r="P11" s="7">
        <f>VLOOKUP($A11,[6]HISTOOCT24!$A$6:$AV$49,33,0)</f>
        <v>0</v>
      </c>
      <c r="Q11" s="7">
        <f t="shared" si="1"/>
        <v>0</v>
      </c>
      <c r="R11" s="7">
        <f>VLOOKUP($A11,[6]HISTOOCT24!$A$6:$AV$49,29,0)</f>
        <v>0</v>
      </c>
    </row>
    <row r="12" spans="1:19" x14ac:dyDescent="0.35">
      <c r="A12" s="1" t="s">
        <v>45</v>
      </c>
      <c r="B12" s="7">
        <f>IF(D12=0,0,VLOOKUP($A12,[6]HISTOOCT24!$A$6:$BP$44,10,0))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D12+VLOOKUP($A12,[6]HISTOOCT24!$A$7:$AU$42,45,0)+F12</f>
        <v>50000</v>
      </c>
      <c r="F12" s="7">
        <f>VLOOKUP($A12,[6]HISTOOCT24!$A$6:$AV$48,7,0)</f>
        <v>0</v>
      </c>
      <c r="G12" s="7" t="str">
        <f>VLOOKUP($A12,[6]HISTOOCT24!$A$6:$AV$49,8,0)</f>
        <v>BANQUE</v>
      </c>
      <c r="H12" s="7">
        <f>VLOOKUP($A12,[6]HISTOOCT24!$A$6:$AV$49,35,0)</f>
        <v>0</v>
      </c>
      <c r="I12" s="7">
        <f>VLOOKUP($A12,[6]HISTOOCT24!$A$6:$AV$49,38,0)</f>
        <v>0</v>
      </c>
      <c r="J12" s="7">
        <f>IF(H12=0,0,VLOOKUP($A12,[6]HISTOOCT24!$A$6:$AV$49,42,0))</f>
        <v>0</v>
      </c>
      <c r="K12" s="7">
        <f>VLOOKUP($A12,[6]HISTOOCT24!$A$6:$AV$49,41,0)</f>
        <v>0</v>
      </c>
      <c r="L12" s="7">
        <f>TONTSEPT24!H12+TONTSEPT24!I12</f>
        <v>0</v>
      </c>
      <c r="M12" s="7">
        <f>VLOOKUP($A12,[6]HISTOOCT24!$A$6:$AV$49,16,0)</f>
        <v>0</v>
      </c>
      <c r="N12" s="7" t="str">
        <f>IF(M12&lt;&gt;0,VLOOKUP($A12,[6]HISTOOCT24!$A$6:$AV$49,8,0),"ECHEC")</f>
        <v>ECHEC</v>
      </c>
      <c r="O12" s="7">
        <f>IF(R12=0,0,VLOOKUP($A12,[6]HISTOOCT24!$A$6:$AV$49,32,0))</f>
        <v>0</v>
      </c>
      <c r="P12" s="7">
        <f>VLOOKUP($A12,[6]HISTOOCT24!$A$6:$AV$49,33,0)</f>
        <v>0</v>
      </c>
      <c r="Q12" s="7">
        <f t="shared" si="1"/>
        <v>0</v>
      </c>
      <c r="R12" s="7">
        <f>VLOOKUP($A12,[6]HISTOOCT24!$A$6:$AV$49,29,0)</f>
        <v>0</v>
      </c>
    </row>
    <row r="13" spans="1:19" x14ac:dyDescent="0.35">
      <c r="A13" s="1" t="s">
        <v>13</v>
      </c>
      <c r="B13" s="7">
        <f>IF(D13=0,0,VLOOKUP($A13,[6]HISTOOCT24!$A$6:$BP$44,10,0))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D13+VLOOKUP($A13,[6]HISTOOCT24!$A$7:$AU$42,45,0)+F13</f>
        <v>50000</v>
      </c>
      <c r="F13" s="7">
        <f>VLOOKUP($A13,[6]HISTOOCT24!$A$6:$AV$48,7,0)</f>
        <v>0</v>
      </c>
      <c r="G13" s="7" t="str">
        <f>VLOOKUP($A13,[6]HISTOOCT24!$A$6:$AV$49,8,0)</f>
        <v>BANQUE</v>
      </c>
      <c r="H13" s="7">
        <f>VLOOKUP($A13,[6]HISTOOCT24!$A$6:$AV$49,35,0)</f>
        <v>0</v>
      </c>
      <c r="I13" s="7">
        <f>VLOOKUP($A13,[6]HISTOOCT24!$A$6:$AV$49,38,0)</f>
        <v>0</v>
      </c>
      <c r="J13" s="7">
        <f>IF(H13=0,0,VLOOKUP($A13,[6]HISTOOCT24!$A$6:$AV$49,42,0))</f>
        <v>0</v>
      </c>
      <c r="K13" s="7">
        <f>VLOOKUP($A13,[6]HISTOOCT24!$A$6:$AV$49,41,0)</f>
        <v>0</v>
      </c>
      <c r="L13" s="7">
        <f>TONTSEPT24!H13+TONTSEPT24!I13</f>
        <v>0</v>
      </c>
      <c r="M13" s="7">
        <f>VLOOKUP($A13,[6]HISTOOCT24!$A$6:$AV$49,16,0)</f>
        <v>0</v>
      </c>
      <c r="N13" s="7" t="str">
        <f>IF(M13&lt;&gt;0,VLOOKUP($A13,[6]HISTOOCT24!$A$6:$AV$49,8,0),"ECHEC")</f>
        <v>ECHEC</v>
      </c>
      <c r="O13" s="7">
        <f>IF(R13=0,0,VLOOKUP($A13,[6]HISTOOCT24!$A$6:$AV$49,32,0))</f>
        <v>0</v>
      </c>
      <c r="P13" s="7">
        <f>VLOOKUP($A13,[6]HISTOOCT24!$A$6:$AV$49,33,0)</f>
        <v>0</v>
      </c>
      <c r="Q13" s="7">
        <f t="shared" si="1"/>
        <v>0</v>
      </c>
      <c r="R13" s="7">
        <f>VLOOKUP($A13,[6]HISTOOCT24!$A$6:$AV$49,29,0)</f>
        <v>0</v>
      </c>
    </row>
    <row r="14" spans="1:19" x14ac:dyDescent="0.35">
      <c r="A14" s="1" t="s">
        <v>14</v>
      </c>
      <c r="B14" s="7">
        <f>IF(D14=0,0,VLOOKUP($A14,[6]HISTOOCT24!$A$6:$BP$44,10,0))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D14+VLOOKUP($A14,[6]HISTOOCT24!$A$7:$AU$42,45,0)+F14</f>
        <v>50000</v>
      </c>
      <c r="F14" s="7">
        <f>VLOOKUP($A14,[6]HISTOOCT24!$A$6:$AV$48,7,0)</f>
        <v>0</v>
      </c>
      <c r="G14" s="7" t="str">
        <f>VLOOKUP($A14,[6]HISTOOCT24!$A$6:$AV$49,8,0)</f>
        <v>BANQUE</v>
      </c>
      <c r="H14" s="7">
        <f>VLOOKUP($A14,[6]HISTOOCT24!$A$6:$AV$49,35,0)</f>
        <v>0</v>
      </c>
      <c r="I14" s="7">
        <f>VLOOKUP($A14,[6]HISTOOCT24!$A$6:$AV$49,38,0)</f>
        <v>0</v>
      </c>
      <c r="J14" s="7">
        <f>IF(H14=0,0,VLOOKUP($A14,[6]HISTOOCT24!$A$6:$AV$49,42,0))</f>
        <v>0</v>
      </c>
      <c r="K14" s="7">
        <f>VLOOKUP($A14,[6]HISTOOCT24!$A$6:$AV$49,41,0)</f>
        <v>0</v>
      </c>
      <c r="L14" s="7">
        <f>TONTSEPT24!H14+TONTSEPT24!I14</f>
        <v>0</v>
      </c>
      <c r="M14" s="7">
        <f>VLOOKUP($A14,[6]HISTOOCT24!$A$6:$AV$49,16,0)</f>
        <v>0</v>
      </c>
      <c r="N14" s="7" t="str">
        <f>IF(M14&lt;&gt;0,VLOOKUP($A14,[6]HISTOOCT24!$A$6:$AV$49,8,0),"ECHEC")</f>
        <v>ECHEC</v>
      </c>
      <c r="O14" s="7">
        <f>IF(R14=0,0,VLOOKUP($A14,[6]HISTOOCT24!$A$6:$AV$49,32,0))</f>
        <v>0</v>
      </c>
      <c r="P14" s="7">
        <f>VLOOKUP($A14,[6]HISTOOCT24!$A$6:$AV$49,33,0)</f>
        <v>0</v>
      </c>
      <c r="Q14" s="7">
        <f t="shared" si="1"/>
        <v>0</v>
      </c>
      <c r="R14" s="7">
        <f>VLOOKUP($A14,[6]HISTOOCT24!$A$6:$AV$49,29,0)</f>
        <v>0</v>
      </c>
      <c r="S14" s="1"/>
    </row>
    <row r="15" spans="1:19" x14ac:dyDescent="0.35">
      <c r="A15" s="1" t="s">
        <v>15</v>
      </c>
      <c r="B15" s="7">
        <f>IF(D15=0,0,VLOOKUP($A15,[6]HISTOOCT24!$A$6:$BP$44,10,0))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D15+VLOOKUP($A15,[6]HISTOOCT24!$A$7:$AU$42,45,0)+F15</f>
        <v>65000</v>
      </c>
      <c r="F15" s="7">
        <f>VLOOKUP($A15,[6]HISTOOCT24!$A$6:$AV$48,7,0)</f>
        <v>0</v>
      </c>
      <c r="G15" s="7" t="str">
        <f>VLOOKUP($A15,[6]HISTOOCT24!$A$6:$AV$49,8,0)</f>
        <v>BANQUE</v>
      </c>
      <c r="H15" s="7">
        <f>VLOOKUP($A15,[6]HISTOOCT24!$A$6:$AV$49,35,0)</f>
        <v>0</v>
      </c>
      <c r="I15" s="7">
        <f>VLOOKUP($A15,[6]HISTOOCT24!$A$6:$AV$49,38,0)</f>
        <v>0</v>
      </c>
      <c r="J15" s="7">
        <f>IF(H15=0,0,VLOOKUP($A15,[6]HISTOOCT24!$A$6:$AV$49,42,0))</f>
        <v>0</v>
      </c>
      <c r="K15" s="7">
        <f>VLOOKUP($A15,[6]HISTOOCT24!$A$6:$AV$49,41,0)</f>
        <v>0</v>
      </c>
      <c r="L15" s="7">
        <f>TONTSEPT24!H15+TONTSEPT24!I15</f>
        <v>0</v>
      </c>
      <c r="M15" s="7">
        <f>VLOOKUP($A15,[6]HISTOOCT24!$A$6:$AV$49,16,0)</f>
        <v>0</v>
      </c>
      <c r="N15" s="7" t="str">
        <f>IF(M15&lt;&gt;0,VLOOKUP($A15,[6]HISTOOCT24!$A$6:$AV$49,8,0),"ECHEC")</f>
        <v>ECHEC</v>
      </c>
      <c r="O15" s="7">
        <f>IF(R15=0,0,VLOOKUP($A15,[6]HISTOOCT24!$A$6:$AV$49,32,0))</f>
        <v>0</v>
      </c>
      <c r="P15" s="7">
        <f>VLOOKUP($A15,[6]HISTOOCT24!$A$6:$AV$49,33,0)</f>
        <v>0</v>
      </c>
      <c r="Q15" s="7">
        <f t="shared" si="1"/>
        <v>0</v>
      </c>
      <c r="R15" s="7">
        <f>VLOOKUP($A15,[6]HISTOOCT24!$A$6:$AV$49,29,0)</f>
        <v>0</v>
      </c>
      <c r="S15" s="1"/>
    </row>
    <row r="16" spans="1:19" x14ac:dyDescent="0.35">
      <c r="A16" s="1" t="s">
        <v>16</v>
      </c>
      <c r="B16" s="7">
        <f>IF(D16=0,0,VLOOKUP($A16,[6]HISTOOCT24!$A$6:$BP$44,10,0))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D16+VLOOKUP($A16,[6]HISTOOCT24!$A$7:$AU$42,45,0)+F16</f>
        <v>50500</v>
      </c>
      <c r="F16" s="7">
        <f>VLOOKUP($A16,[6]HISTOOCT24!$A$6:$AV$48,7,0)</f>
        <v>0</v>
      </c>
      <c r="G16" s="7" t="str">
        <f>VLOOKUP($A16,[6]HISTOOCT24!$A$6:$AV$49,8,0)</f>
        <v>BANQUE</v>
      </c>
      <c r="H16" s="7">
        <f>VLOOKUP($A16,[6]HISTOOCT24!$A$6:$AV$49,35,0)</f>
        <v>0</v>
      </c>
      <c r="I16" s="7">
        <f>VLOOKUP($A16,[6]HISTOOCT24!$A$6:$AV$49,38,0)</f>
        <v>0</v>
      </c>
      <c r="J16" s="7">
        <f>IF(H16=0,0,VLOOKUP($A16,[6]HISTOOCT24!$A$6:$AV$49,42,0))</f>
        <v>0</v>
      </c>
      <c r="K16" s="7">
        <f>VLOOKUP($A16,[6]HISTOOCT24!$A$6:$AV$49,41,0)</f>
        <v>0</v>
      </c>
      <c r="L16" s="7">
        <f>TONTSEPT24!H16+TONTSEPT24!I16</f>
        <v>0</v>
      </c>
      <c r="M16" s="7">
        <f>VLOOKUP($A16,[6]HISTOOCT24!$A$6:$AV$49,16,0)</f>
        <v>0</v>
      </c>
      <c r="N16" s="7" t="str">
        <f>IF(M16&lt;&gt;0,VLOOKUP($A16,[6]HISTOOCT24!$A$6:$AV$49,8,0),"ECHEC")</f>
        <v>ECHEC</v>
      </c>
      <c r="O16" s="7">
        <f>IF(R16=0,0,VLOOKUP($A16,[6]HISTOOCT24!$A$6:$AV$49,32,0))</f>
        <v>0</v>
      </c>
      <c r="P16" s="7">
        <f>VLOOKUP($A16,[6]HISTOOCT24!$A$6:$AV$49,33,0)</f>
        <v>0</v>
      </c>
      <c r="Q16" s="7">
        <f t="shared" si="1"/>
        <v>0</v>
      </c>
      <c r="R16" s="7">
        <f>VLOOKUP($A16,[6]HISTOOCT24!$A$6:$AV$49,29,0)</f>
        <v>0</v>
      </c>
      <c r="S16" s="1"/>
    </row>
    <row r="17" spans="1:19" x14ac:dyDescent="0.35">
      <c r="A17" s="1" t="s">
        <v>17</v>
      </c>
      <c r="B17" s="7">
        <f>IF(D17=0,0,VLOOKUP($A17,[6]HISTOOCT24!$A$6:$BP$44,10,0))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D17+VLOOKUP($A17,[6]HISTOOCT24!$A$7:$AU$42,45,0)+F17</f>
        <v>50000</v>
      </c>
      <c r="F17" s="7">
        <f>VLOOKUP($A17,[6]HISTOOCT24!$A$6:$AV$48,7,0)</f>
        <v>0</v>
      </c>
      <c r="G17" s="7" t="str">
        <f>VLOOKUP($A17,[6]HISTOOCT24!$A$6:$AV$49,8,0)</f>
        <v>BANQUE</v>
      </c>
      <c r="H17" s="7">
        <f>VLOOKUP($A17,[6]HISTOOCT24!$A$6:$AV$49,35,0)</f>
        <v>0</v>
      </c>
      <c r="I17" s="7">
        <f>VLOOKUP($A17,[6]HISTOOCT24!$A$6:$AV$49,38,0)</f>
        <v>0</v>
      </c>
      <c r="J17" s="7">
        <f>IF(H17=0,0,VLOOKUP($A17,[6]HISTOOCT24!$A$6:$AV$49,42,0))</f>
        <v>0</v>
      </c>
      <c r="K17" s="7">
        <f>VLOOKUP($A17,[6]HISTOOCT24!$A$6:$AV$49,41,0)</f>
        <v>0</v>
      </c>
      <c r="L17" s="7">
        <f>TONTSEPT24!H17+TONTSEPT24!I17</f>
        <v>0</v>
      </c>
      <c r="M17" s="7">
        <f>VLOOKUP($A17,[6]HISTOOCT24!$A$6:$AV$49,16,0)</f>
        <v>0</v>
      </c>
      <c r="N17" s="7" t="str">
        <f>IF(M17&lt;&gt;0,VLOOKUP($A17,[6]HISTOOCT24!$A$6:$AV$49,8,0),"ECHEC")</f>
        <v>ECHEC</v>
      </c>
      <c r="O17" s="7">
        <f>IF(R17=0,0,VLOOKUP($A17,[6]HISTOOCT24!$A$6:$AV$49,32,0))</f>
        <v>0</v>
      </c>
      <c r="P17" s="7">
        <f>VLOOKUP($A17,[6]HISTOOCT24!$A$6:$AV$49,33,0)</f>
        <v>0</v>
      </c>
      <c r="Q17" s="7">
        <f t="shared" si="1"/>
        <v>0</v>
      </c>
      <c r="R17" s="7">
        <f>VLOOKUP($A17,[6]HISTOOCT24!$A$6:$AV$49,29,0)</f>
        <v>0</v>
      </c>
      <c r="S17" s="1"/>
    </row>
    <row r="18" spans="1:19" x14ac:dyDescent="0.35">
      <c r="A18" s="1" t="s">
        <v>96</v>
      </c>
      <c r="B18" s="7">
        <f>IF(D18=0,0,VLOOKUP($A18,[6]HISTOOCT24!$A$6:$BP$44,10,0))</f>
        <v>1</v>
      </c>
      <c r="C18" s="1" t="str">
        <f>VLOOKUP(A18,[7]LISTADHERENT!A$5:H$60,3,0)</f>
        <v>MASSEUNGOUE DAGOBERT</v>
      </c>
      <c r="D18" s="7">
        <f t="shared" si="0"/>
        <v>25000</v>
      </c>
      <c r="E18" s="7">
        <f>D18+VLOOKUP($A18,[6]HISTOOCT24!$A$7:$AU$42,45,0)+F18</f>
        <v>50000</v>
      </c>
      <c r="F18" s="7">
        <f>VLOOKUP($A18,[6]HISTOOCT24!$A$6:$AV$48,7,0)</f>
        <v>0</v>
      </c>
      <c r="G18" s="7" t="str">
        <f>VLOOKUP($A18,[6]HISTOOCT24!$A$6:$AV$49,8,0)</f>
        <v>BANQUE</v>
      </c>
      <c r="H18" s="7">
        <f>VLOOKUP($A18,[6]HISTOOCT24!$A$6:$AV$49,35,0)</f>
        <v>0</v>
      </c>
      <c r="I18" s="7">
        <f>VLOOKUP($A18,[6]HISTOOCT24!$A$6:$AV$49,38,0)</f>
        <v>0</v>
      </c>
      <c r="J18" s="7">
        <f>IF(H18=0,0,VLOOKUP($A18,[6]HISTOOCT24!$A$6:$AV$49,42,0))</f>
        <v>0</v>
      </c>
      <c r="K18" s="7">
        <f>VLOOKUP($A18,[6]HISTOOCT24!$A$6:$AV$49,41,0)</f>
        <v>0</v>
      </c>
      <c r="L18" s="7">
        <f>TONTSEPT24!H18+TONTSEPT24!I18</f>
        <v>0</v>
      </c>
      <c r="M18" s="7">
        <f>VLOOKUP($A18,[6]HISTOOCT24!$A$6:$AV$49,16,0)</f>
        <v>0</v>
      </c>
      <c r="N18" s="7" t="str">
        <f>IF(M18&lt;&gt;0,VLOOKUP($A18,[6]HISTOOCT24!$A$6:$AV$49,8,0),"ECHEC")</f>
        <v>ECHEC</v>
      </c>
      <c r="O18" s="7">
        <f>IF(R18=0,0,VLOOKUP($A18,[6]HISTOOCT24!$A$6:$AV$49,32,0))</f>
        <v>0</v>
      </c>
      <c r="P18" s="7">
        <f>VLOOKUP($A18,[6]HISTOOCT24!$A$6:$AV$49,33,0)</f>
        <v>0</v>
      </c>
      <c r="Q18" s="7">
        <f t="shared" si="1"/>
        <v>0</v>
      </c>
      <c r="R18" s="7">
        <f>VLOOKUP($A18,[6]HISTOOCT24!$A$6:$AV$49,29,0)</f>
        <v>0</v>
      </c>
      <c r="S18" s="1"/>
    </row>
    <row r="19" spans="1:19" x14ac:dyDescent="0.35">
      <c r="A19" s="1" t="s">
        <v>44</v>
      </c>
      <c r="B19" s="7">
        <f>IF(D19=0,0,VLOOKUP($A19,[6]HISTOOCT24!$A$6:$BP$44,10,0))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D19+VLOOKUP($A19,[6]HISTOOCT24!$A$7:$AU$42,45,0)+F19</f>
        <v>50000</v>
      </c>
      <c r="F19" s="7">
        <f>VLOOKUP($A19,[6]HISTOOCT24!$A$6:$AV$48,7,0)</f>
        <v>0</v>
      </c>
      <c r="G19" s="7" t="str">
        <f>VLOOKUP($A19,[6]HISTOOCT24!$A$6:$AV$49,8,0)</f>
        <v>BANQUE</v>
      </c>
      <c r="H19" s="7">
        <f>VLOOKUP($A19,[6]HISTOOCT24!$A$6:$AV$49,35,0)</f>
        <v>0</v>
      </c>
      <c r="I19" s="7">
        <f>VLOOKUP($A19,[6]HISTOOCT24!$A$6:$AV$49,38,0)</f>
        <v>0</v>
      </c>
      <c r="J19" s="7">
        <f>IF(H19=0,0,VLOOKUP($A19,[6]HISTOOCT24!$A$6:$AV$49,42,0))</f>
        <v>0</v>
      </c>
      <c r="K19" s="7">
        <f>VLOOKUP($A19,[6]HISTOOCT24!$A$6:$AV$49,41,0)</f>
        <v>0</v>
      </c>
      <c r="L19" s="7">
        <f>TONTSEPT24!H19+TONTSEPT24!I19</f>
        <v>61000</v>
      </c>
      <c r="M19" s="7">
        <f>VLOOKUP($A19,[6]HISTOOCT24!$A$6:$AV$49,16,0)</f>
        <v>61000</v>
      </c>
      <c r="N19" s="7" t="str">
        <f>IF(M19&lt;&gt;0,VLOOKUP($A19,[6]HISTOOCT24!$A$6:$AV$49,8,0),"ECHEC")</f>
        <v>BANQUE</v>
      </c>
      <c r="O19" s="7">
        <f>IF(R19=0,0,VLOOKUP($A19,[6]HISTOOCT24!$A$6:$AV$49,32,0))</f>
        <v>0</v>
      </c>
      <c r="P19" s="7">
        <f>VLOOKUP($A19,[6]HISTOOCT24!$A$6:$AV$49,33,0)</f>
        <v>0</v>
      </c>
      <c r="Q19" s="7">
        <f t="shared" si="1"/>
        <v>0</v>
      </c>
      <c r="R19" s="7">
        <f>VLOOKUP($A19,[6]HISTOOCT24!$A$6:$AV$49,29,0)</f>
        <v>0</v>
      </c>
      <c r="S19" s="1"/>
    </row>
    <row r="20" spans="1:19" x14ac:dyDescent="0.35">
      <c r="A20" s="1" t="s">
        <v>25</v>
      </c>
      <c r="B20" s="7">
        <f>IF(D20=0,0,VLOOKUP($A20,[6]HISTOOCT24!$A$6:$BP$44,10,0))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D20+VLOOKUP($A20,[6]HISTOOCT24!$A$7:$AU$42,45,0)+F20</f>
        <v>50000</v>
      </c>
      <c r="F20" s="7">
        <f>VLOOKUP($A20,[6]HISTOOCT24!$A$6:$AV$48,7,0)</f>
        <v>0</v>
      </c>
      <c r="G20" s="7" t="str">
        <f>VLOOKUP($A20,[6]HISTOOCT24!$A$6:$AV$49,8,0)</f>
        <v>BANQUE</v>
      </c>
      <c r="H20" s="7">
        <f>VLOOKUP($A20,[6]HISTOOCT24!$A$6:$AV$49,35,0)</f>
        <v>0</v>
      </c>
      <c r="I20" s="7">
        <f>VLOOKUP($A20,[6]HISTOOCT24!$A$6:$AV$49,38,0)</f>
        <v>0</v>
      </c>
      <c r="J20" s="7">
        <f>IF(H20=0,0,VLOOKUP($A20,[6]HISTOOCT24!$A$6:$AV$49,42,0))</f>
        <v>0</v>
      </c>
      <c r="K20" s="7">
        <f>VLOOKUP($A20,[6]HISTOOCT24!$A$6:$AV$49,41,0)</f>
        <v>0</v>
      </c>
      <c r="L20" s="7">
        <f>TONTSEPT24!H20+TONTSEPT24!I20</f>
        <v>0</v>
      </c>
      <c r="M20" s="7">
        <f>VLOOKUP($A20,[6]HISTOOCT24!$A$6:$AV$49,16,0)</f>
        <v>0</v>
      </c>
      <c r="N20" s="7" t="str">
        <f>IF(M20&lt;&gt;0,VLOOKUP($A20,[6]HISTOOCT24!$A$6:$AV$49,8,0),"ECHEC")</f>
        <v>ECHEC</v>
      </c>
      <c r="O20" s="7">
        <f>IF(R20=0,0,VLOOKUP($A20,[6]HISTOOCT24!$A$6:$AV$49,32,0))</f>
        <v>0</v>
      </c>
      <c r="P20" s="7">
        <f>VLOOKUP($A20,[6]HISTOOCT24!$A$6:$AV$49,33,0)</f>
        <v>0</v>
      </c>
      <c r="Q20" s="7">
        <f t="shared" si="1"/>
        <v>0</v>
      </c>
      <c r="R20" s="7">
        <f>VLOOKUP($A20,[6]HISTOOCT24!$A$6:$AV$49,29,0)</f>
        <v>0</v>
      </c>
      <c r="S20" s="1"/>
    </row>
    <row r="21" spans="1:19" x14ac:dyDescent="0.35">
      <c r="A21" s="1" t="s">
        <v>18</v>
      </c>
      <c r="B21" s="7">
        <f>IF(D21=0,0,VLOOKUP($A21,[6]HISTOOCT24!$A$6:$BP$44,10,0))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D21+VLOOKUP($A21,[6]HISTOOCT24!$A$7:$AU$42,45,0)+F21</f>
        <v>50000</v>
      </c>
      <c r="F21" s="7">
        <f>VLOOKUP($A21,[6]HISTOOCT24!$A$6:$AV$48,7,0)</f>
        <v>0</v>
      </c>
      <c r="G21" s="7" t="str">
        <f>VLOOKUP($A21,[6]HISTOOCT24!$A$6:$AV$49,8,0)</f>
        <v>BANQUE</v>
      </c>
      <c r="H21" s="7">
        <f>VLOOKUP($A21,[6]HISTOOCT24!$A$6:$AV$49,35,0)</f>
        <v>0</v>
      </c>
      <c r="I21" s="7">
        <f>VLOOKUP($A21,[6]HISTOOCT24!$A$6:$AV$49,38,0)</f>
        <v>0</v>
      </c>
      <c r="J21" s="7">
        <f>IF(H21=0,0,VLOOKUP($A21,[6]HISTOOCT24!$A$6:$AV$49,42,0))</f>
        <v>0</v>
      </c>
      <c r="K21" s="7">
        <f>VLOOKUP($A21,[6]HISTOOCT24!$A$6:$AV$49,41,0)</f>
        <v>0</v>
      </c>
      <c r="L21" s="7">
        <f>TONTSEPT24!H21+TONTSEPT24!I21</f>
        <v>0</v>
      </c>
      <c r="M21" s="7">
        <f>VLOOKUP($A21,[6]HISTOOCT24!$A$6:$AV$49,16,0)</f>
        <v>0</v>
      </c>
      <c r="N21" s="7" t="str">
        <f>IF(M21&lt;&gt;0,VLOOKUP($A21,[6]HISTOOCT24!$A$6:$AV$49,8,0),"ECHEC")</f>
        <v>ECHEC</v>
      </c>
      <c r="O21" s="7">
        <f>IF(R21=0,0,VLOOKUP($A21,[6]HISTOOCT24!$A$6:$AV$49,32,0))</f>
        <v>0</v>
      </c>
      <c r="P21" s="7">
        <f>VLOOKUP($A21,[6]HISTOOCT24!$A$6:$AV$49,33,0)</f>
        <v>0</v>
      </c>
      <c r="Q21" s="7">
        <f t="shared" si="1"/>
        <v>0</v>
      </c>
      <c r="R21" s="7">
        <f>VLOOKUP($A21,[6]HISTOOCT24!$A$6:$AV$49,29,0)</f>
        <v>0</v>
      </c>
      <c r="S21" s="1"/>
    </row>
    <row r="22" spans="1:19" x14ac:dyDescent="0.35">
      <c r="A22" s="1" t="s">
        <v>19</v>
      </c>
      <c r="B22" s="7">
        <f>IF(D22=0,0,VLOOKUP($A22,[6]HISTOOCT24!$A$6:$BP$44,10,0))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D22+VLOOKUP($A22,[6]HISTOOCT24!$A$7:$AU$42,45,0)+F22</f>
        <v>60000</v>
      </c>
      <c r="F22" s="7">
        <f>VLOOKUP($A22,[6]HISTOOCT24!$A$6:$AV$48,7,0)</f>
        <v>0</v>
      </c>
      <c r="G22" s="7" t="str">
        <f>VLOOKUP($A22,[6]HISTOOCT24!$A$6:$AV$49,8,0)</f>
        <v>BANQUE</v>
      </c>
      <c r="H22" s="7">
        <f>VLOOKUP($A22,[6]HISTOOCT24!$A$6:$AV$49,35,0)</f>
        <v>0</v>
      </c>
      <c r="I22" s="7">
        <f>VLOOKUP($A22,[6]HISTOOCT24!$A$6:$AV$49,38,0)</f>
        <v>0</v>
      </c>
      <c r="J22" s="7">
        <f>IF(H22=0,0,VLOOKUP($A22,[6]HISTOOCT24!$A$6:$AV$49,42,0))</f>
        <v>0</v>
      </c>
      <c r="K22" s="7">
        <f>VLOOKUP($A22,[6]HISTOOCT24!$A$6:$AV$49,41,0)</f>
        <v>0</v>
      </c>
      <c r="L22" s="7">
        <f>TONTSEPT24!H22+TONTSEPT24!I22</f>
        <v>0</v>
      </c>
      <c r="M22" s="7">
        <f>VLOOKUP($A22,[6]HISTOOCT24!$A$6:$AV$49,16,0)</f>
        <v>0</v>
      </c>
      <c r="N22" s="7" t="str">
        <f>IF(M22&lt;&gt;0,VLOOKUP($A22,[6]HISTOOCT24!$A$6:$AV$49,8,0),"ECHEC")</f>
        <v>ECHEC</v>
      </c>
      <c r="O22" s="7">
        <f>IF(R22=0,0,VLOOKUP($A22,[6]HISTOOCT24!$A$6:$AV$49,32,0))</f>
        <v>0</v>
      </c>
      <c r="P22" s="7">
        <f>VLOOKUP($A22,[6]HISTOOCT24!$A$6:$AV$49,33,0)</f>
        <v>0</v>
      </c>
      <c r="Q22" s="7">
        <f t="shared" si="1"/>
        <v>0</v>
      </c>
      <c r="R22" s="7">
        <f>VLOOKUP($A22,[6]HISTOOCT24!$A$6:$AV$49,29,0)</f>
        <v>0</v>
      </c>
      <c r="S22" s="1"/>
    </row>
    <row r="23" spans="1:19" x14ac:dyDescent="0.35">
      <c r="A23" s="1" t="s">
        <v>20</v>
      </c>
      <c r="B23" s="7">
        <f>IF(D23=0,0,VLOOKUP($A23,[6]HISTOOCT24!$A$6:$BP$44,10,0))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D23+VLOOKUP($A23,[6]HISTOOCT24!$A$7:$AU$42,45,0)+F23</f>
        <v>53000</v>
      </c>
      <c r="F23" s="7">
        <f>VLOOKUP($A23,[6]HISTOOCT24!$A$6:$AV$48,7,0)</f>
        <v>3000</v>
      </c>
      <c r="G23" s="7" t="str">
        <f>VLOOKUP($A23,[6]HISTOOCT24!$A$6:$AV$49,8,0)</f>
        <v>ESPECES</v>
      </c>
      <c r="H23" s="7">
        <f>VLOOKUP($A23,[6]HISTOOCT24!$A$6:$AV$49,35,0)</f>
        <v>0</v>
      </c>
      <c r="I23" s="7">
        <f>VLOOKUP($A23,[6]HISTOOCT24!$A$6:$AV$49,38,0)</f>
        <v>0</v>
      </c>
      <c r="J23" s="7">
        <f>IF(H23=0,0,VLOOKUP($A23,[6]HISTOOCT24!$A$6:$AV$49,42,0))</f>
        <v>0</v>
      </c>
      <c r="K23" s="7">
        <f>VLOOKUP($A23,[6]HISTOOCT24!$A$6:$AV$49,41,0)</f>
        <v>0</v>
      </c>
      <c r="L23" s="7">
        <f>TONTSEPT24!H23+TONTSEPT24!I23</f>
        <v>0</v>
      </c>
      <c r="M23" s="7">
        <f>VLOOKUP($A23,[6]HISTOOCT24!$A$6:$AV$49,16,0)</f>
        <v>0</v>
      </c>
      <c r="N23" s="7" t="str">
        <f>IF(M23&lt;&gt;0,VLOOKUP($A23,[6]HISTOOCT24!$A$6:$AV$49,8,0),"ECHEC")</f>
        <v>ECHEC</v>
      </c>
      <c r="O23" s="7">
        <f>IF(R23=0,0,VLOOKUP($A23,[6]HISTOOCT24!$A$6:$AV$49,32,0))</f>
        <v>0</v>
      </c>
      <c r="P23" s="7">
        <f>VLOOKUP($A23,[6]HISTOOCT24!$A$6:$AV$49,33,0)</f>
        <v>0</v>
      </c>
      <c r="Q23" s="7">
        <f t="shared" si="1"/>
        <v>0</v>
      </c>
      <c r="R23" s="7">
        <f>VLOOKUP($A23,[6]HISTOOCT24!$A$6:$AV$49,29,0)</f>
        <v>0</v>
      </c>
      <c r="S23" s="1"/>
    </row>
    <row r="24" spans="1:19" x14ac:dyDescent="0.35">
      <c r="A24" s="1" t="s">
        <v>21</v>
      </c>
      <c r="B24" s="7">
        <f>IF(D24=0,0,VLOOKUP($A24,[6]HISTOOCT24!$A$6:$BP$44,10,0))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D24+VLOOKUP($A24,[6]HISTOOCT24!$A$7:$AU$42,45,0)+F24</f>
        <v>39000</v>
      </c>
      <c r="F24" s="7">
        <f>VLOOKUP($A24,[6]HISTOOCT24!$A$6:$AV$48,7,0)</f>
        <v>0</v>
      </c>
      <c r="G24" s="7" t="str">
        <f>VLOOKUP($A24,[6]HISTOOCT24!$A$6:$AV$49,8,0)</f>
        <v>BANQUE</v>
      </c>
      <c r="H24" s="7">
        <f>VLOOKUP($A24,[6]HISTOOCT24!$A$6:$AV$49,35,0)</f>
        <v>0</v>
      </c>
      <c r="I24" s="7">
        <f>VLOOKUP($A24,[6]HISTOOCT24!$A$6:$AV$49,38,0)</f>
        <v>0</v>
      </c>
      <c r="J24" s="7">
        <f>IF(H24=0,0,VLOOKUP($A24,[6]HISTOOCT24!$A$6:$AV$49,42,0))</f>
        <v>0</v>
      </c>
      <c r="K24" s="7">
        <f>VLOOKUP($A24,[6]HISTOOCT24!$A$6:$AV$49,41,0)</f>
        <v>0</v>
      </c>
      <c r="L24" s="7">
        <f>TONTSEPT24!H24+TONTSEPT24!I24</f>
        <v>0</v>
      </c>
      <c r="M24" s="7">
        <f>VLOOKUP($A24,[6]HISTOOCT24!$A$6:$AV$49,16,0)</f>
        <v>0</v>
      </c>
      <c r="N24" s="7" t="str">
        <f>IF(M24&lt;&gt;0,VLOOKUP($A24,[6]HISTOOCT24!$A$6:$AV$49,8,0),"ECHEC")</f>
        <v>ECHEC</v>
      </c>
      <c r="O24" s="7">
        <f>IF(R24=0,0,VLOOKUP($A24,[6]HISTOOCT24!$A$6:$AV$49,32,0))</f>
        <v>0</v>
      </c>
      <c r="P24" s="7">
        <f>VLOOKUP($A24,[6]HISTOOCT24!$A$6:$AV$49,33,0)</f>
        <v>0</v>
      </c>
      <c r="Q24" s="7">
        <f t="shared" si="1"/>
        <v>0</v>
      </c>
      <c r="R24" s="7">
        <f>VLOOKUP($A24,[6]HISTOOCT24!$A$6:$AV$49,29,0)</f>
        <v>0</v>
      </c>
      <c r="S24" s="1"/>
    </row>
    <row r="25" spans="1:19" x14ac:dyDescent="0.35">
      <c r="A25" s="1" t="s">
        <v>22</v>
      </c>
      <c r="B25" s="7">
        <f>IF(D25=0,0,VLOOKUP($A25,[6]HISTOOCT24!$A$6:$BP$44,10,0))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D25+VLOOKUP($A25,[6]HISTOOCT24!$A$7:$AU$42,45,0)+F25</f>
        <v>50000</v>
      </c>
      <c r="F25" s="7">
        <f>VLOOKUP($A25,[6]HISTOOCT24!$A$6:$AV$48,7,0)</f>
        <v>0</v>
      </c>
      <c r="G25" s="7" t="str">
        <f>VLOOKUP($A25,[6]HISTOOCT24!$A$6:$AV$49,8,0)</f>
        <v>BANQUE</v>
      </c>
      <c r="H25" s="7">
        <f>VLOOKUP($A25,[6]HISTOOCT24!$A$6:$AV$49,35,0)</f>
        <v>0</v>
      </c>
      <c r="I25" s="7">
        <f>VLOOKUP($A25,[6]HISTOOCT24!$A$6:$AV$49,38,0)</f>
        <v>0</v>
      </c>
      <c r="J25" s="7">
        <f>IF(H25=0,0,VLOOKUP($A25,[6]HISTOOCT24!$A$6:$AV$49,42,0))</f>
        <v>0</v>
      </c>
      <c r="K25" s="7">
        <f>VLOOKUP($A25,[6]HISTOOCT24!$A$6:$AV$49,41,0)</f>
        <v>0</v>
      </c>
      <c r="L25" s="7">
        <f>TONTSEPT24!H25+TONTSEPT24!I25</f>
        <v>61000</v>
      </c>
      <c r="M25" s="7">
        <f>VLOOKUP($A25,[6]HISTOOCT24!$A$6:$AV$49,16,0)</f>
        <v>61000</v>
      </c>
      <c r="N25" s="7" t="str">
        <f>IF(M25&lt;&gt;0,VLOOKUP($A25,[6]HISTOOCT24!$A$6:$AV$49,8,0),"ECHEC")</f>
        <v>BANQUE</v>
      </c>
      <c r="O25" s="7">
        <f>IF(R25=0,0,VLOOKUP($A25,[6]HISTOOCT24!$A$6:$AV$49,32,0))</f>
        <v>0</v>
      </c>
      <c r="P25" s="7">
        <f>VLOOKUP($A25,[6]HISTOOCT24!$A$6:$AV$49,33,0)</f>
        <v>0</v>
      </c>
      <c r="Q25" s="7">
        <f t="shared" si="1"/>
        <v>0</v>
      </c>
      <c r="R25" s="7">
        <f>VLOOKUP($A25,[6]HISTOOCT24!$A$6:$AV$49,29,0)</f>
        <v>0</v>
      </c>
      <c r="S25" s="1"/>
    </row>
    <row r="26" spans="1:19" x14ac:dyDescent="0.35">
      <c r="A26" s="1" t="s">
        <v>85</v>
      </c>
      <c r="B26" s="7">
        <f>IF(D26=0,0,VLOOKUP($A26,[6]HISTOOCT24!$A$6:$BP$44,10,0))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D26+VLOOKUP($A26,[6]HISTOOCT24!$A$7:$AU$42,45,0)+F26</f>
        <v>50000</v>
      </c>
      <c r="F26" s="7">
        <f>VLOOKUP($A26,[6]HISTOOCT24!$A$6:$AV$48,7,0)</f>
        <v>0</v>
      </c>
      <c r="G26" s="7" t="str">
        <f>VLOOKUP($A26,[6]HISTOOCT24!$A$6:$AV$49,8,0)</f>
        <v>BANQUE</v>
      </c>
      <c r="H26" s="7">
        <f>VLOOKUP($A26,[6]HISTOOCT24!$A$6:$AV$49,35,0)</f>
        <v>0</v>
      </c>
      <c r="I26" s="7">
        <f>VLOOKUP($A26,[6]HISTOOCT24!$A$6:$AV$49,38,0)</f>
        <v>0</v>
      </c>
      <c r="J26" s="7">
        <f>IF(H26=0,0,VLOOKUP($A26,[6]HISTOOCT24!$A$6:$AV$49,42,0))</f>
        <v>0</v>
      </c>
      <c r="K26" s="7">
        <f>VLOOKUP($A26,[6]HISTOOCT24!$A$6:$AV$49,41,0)</f>
        <v>0</v>
      </c>
      <c r="L26" s="7">
        <f>TONTSEPT24!H26+TONTSEPT24!I26</f>
        <v>0</v>
      </c>
      <c r="M26" s="7">
        <f>VLOOKUP($A26,[6]HISTOOCT24!$A$6:$AV$49,16,0)</f>
        <v>0</v>
      </c>
      <c r="N26" s="7" t="str">
        <f>IF(M26&lt;&gt;0,VLOOKUP($A26,[6]HISTOOCT24!$A$6:$AV$49,8,0),"ECHEC")</f>
        <v>ECHEC</v>
      </c>
      <c r="O26" s="7" t="str">
        <f>IF(R26=0,0,VLOOKUP($A26,[6]HISTOOCT24!$A$6:$AV$49,32,0))</f>
        <v>BANQUE</v>
      </c>
      <c r="P26" s="7">
        <f>VLOOKUP($A26,[6]HISTOOCT24!$A$6:$AV$49,33,0)</f>
        <v>0</v>
      </c>
      <c r="Q26" s="7">
        <f t="shared" si="1"/>
        <v>297500</v>
      </c>
      <c r="R26" s="7">
        <f>VLOOKUP($A26,[6]HISTOOCT24!$A$6:$AV$49,29,0)</f>
        <v>2500</v>
      </c>
    </row>
    <row r="27" spans="1:19" x14ac:dyDescent="0.35">
      <c r="A27" s="1" t="s">
        <v>23</v>
      </c>
      <c r="B27" s="7">
        <f>IF(D27=0,0,VLOOKUP($A27,[6]HISTOOCT24!$A$6:$BP$44,10,0))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D27+VLOOKUP($A27,[6]HISTOOCT24!$A$7:$AU$42,45,0)+F27</f>
        <v>50000</v>
      </c>
      <c r="F27" s="7">
        <f>VLOOKUP($A27,[6]HISTOOCT24!$A$6:$AV$48,7,0)</f>
        <v>0</v>
      </c>
      <c r="G27" s="7" t="str">
        <f>VLOOKUP($A27,[6]HISTOOCT24!$A$6:$AV$49,8,0)</f>
        <v>BANQUE</v>
      </c>
      <c r="H27" s="7">
        <f>VLOOKUP($A27,[6]HISTOOCT24!$A$6:$AV$49,35,0)</f>
        <v>0</v>
      </c>
      <c r="I27" s="7">
        <f>VLOOKUP($A27,[6]HISTOOCT24!$A$6:$AV$49,38,0)</f>
        <v>0</v>
      </c>
      <c r="J27" s="7">
        <f>IF(H27=0,0,VLOOKUP($A27,[6]HISTOOCT24!$A$6:$AV$49,42,0))</f>
        <v>0</v>
      </c>
      <c r="K27" s="7">
        <f>VLOOKUP($A27,[6]HISTOOCT24!$A$6:$AV$49,41,0)</f>
        <v>0</v>
      </c>
      <c r="L27" s="7">
        <f>TONTSEPT24!H27+TONTSEPT24!I27</f>
        <v>0</v>
      </c>
      <c r="M27" s="7">
        <f>VLOOKUP($A27,[6]HISTOOCT24!$A$6:$AV$49,16,0)</f>
        <v>0</v>
      </c>
      <c r="N27" s="7" t="str">
        <f>IF(M27&lt;&gt;0,VLOOKUP($A27,[6]HISTOOCT24!$A$6:$AV$49,8,0),"ECHEC")</f>
        <v>ECHEC</v>
      </c>
      <c r="O27" s="7">
        <f>IF(R27=0,0,VLOOKUP($A27,[6]HISTOOCT24!$A$6:$AV$49,32,0))</f>
        <v>0</v>
      </c>
      <c r="P27" s="7">
        <f>VLOOKUP($A27,[6]HISTOOCT24!$A$6:$AV$49,33,0)</f>
        <v>0</v>
      </c>
      <c r="Q27" s="7">
        <f t="shared" si="1"/>
        <v>0</v>
      </c>
      <c r="R27" s="7">
        <f>VLOOKUP($A27,[6]HISTOOCT24!$A$6:$AV$49,29,0)</f>
        <v>0</v>
      </c>
    </row>
    <row r="28" spans="1:19" x14ac:dyDescent="0.35">
      <c r="A28" s="1" t="s">
        <v>86</v>
      </c>
      <c r="B28" s="7">
        <f>IF(D28=0,0,VLOOKUP($A28,[6]HISTOOCT24!$A$6:$BP$44,10,0))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D28+VLOOKUP($A28,[6]HISTOOCT24!$A$7:$AU$42,45,0)+F28</f>
        <v>50000</v>
      </c>
      <c r="F28" s="7">
        <f>VLOOKUP($A28,[6]HISTOOCT24!$A$6:$AV$48,7,0)</f>
        <v>0</v>
      </c>
      <c r="G28" s="7" t="str">
        <f>VLOOKUP($A28,[6]HISTOOCT24!$A$6:$AV$49,8,0)</f>
        <v>BANQUE</v>
      </c>
      <c r="H28" s="7">
        <f>VLOOKUP($A28,[6]HISTOOCT24!$A$6:$AV$49,35,0)</f>
        <v>60000</v>
      </c>
      <c r="I28" s="7">
        <f>VLOOKUP($A28,[6]HISTOOCT24!$A$6:$AV$49,38,0)</f>
        <v>1500</v>
      </c>
      <c r="J28" s="7">
        <f>IF(H28=0,0,VLOOKUP($A28,[6]HISTOOCT24!$A$6:$AV$49,42,0))</f>
        <v>0</v>
      </c>
      <c r="K28" s="7">
        <f>VLOOKUP($A28,[6]HISTOOCT24!$A$6:$AV$49,41,0)</f>
        <v>0</v>
      </c>
      <c r="L28" s="7">
        <f>TONTSEPT24!H28+TONTSEPT24!I28</f>
        <v>0</v>
      </c>
      <c r="M28" s="7">
        <f>VLOOKUP($A28,[6]HISTOOCT24!$A$6:$AV$49,16,0)</f>
        <v>0</v>
      </c>
      <c r="N28" s="7" t="str">
        <f>IF(M28&lt;&gt;0,VLOOKUP($A28,[6]HISTOOCT24!$A$6:$AV$49,8,0),"ECHEC")</f>
        <v>ECHEC</v>
      </c>
      <c r="O28" s="7">
        <f>IF(R28=0,0,VLOOKUP($A28,[6]HISTOOCT24!$A$6:$AV$49,32,0))</f>
        <v>0</v>
      </c>
      <c r="P28" s="7">
        <f>VLOOKUP($A28,[6]HISTOOCT24!$A$6:$AV$49,33,0)</f>
        <v>0</v>
      </c>
      <c r="Q28" s="7">
        <f t="shared" si="1"/>
        <v>0</v>
      </c>
      <c r="R28" s="7">
        <f>VLOOKUP($A28,[6]HISTOOCT24!$A$6:$AV$49,29,0)</f>
        <v>0</v>
      </c>
    </row>
    <row r="29" spans="1:19" x14ac:dyDescent="0.35">
      <c r="A29" s="1" t="s">
        <v>46</v>
      </c>
      <c r="B29" s="7">
        <f>IF(D29=0,0,VLOOKUP($A29,[6]HISTOOCT24!$A$6:$BP$44,10,0))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D29+VLOOKUP($A29,[6]HISTOOCT24!$A$7:$AU$42,45,0)+F29</f>
        <v>50000</v>
      </c>
      <c r="F29" s="7">
        <f>VLOOKUP($A29,[6]HISTOOCT24!$A$6:$AV$48,7,0)</f>
        <v>0</v>
      </c>
      <c r="G29" s="7" t="str">
        <f>VLOOKUP($A29,[6]HISTOOCT24!$A$6:$AV$49,8,0)</f>
        <v>BANQUE</v>
      </c>
      <c r="H29" s="7">
        <f>VLOOKUP($A29,[6]HISTOOCT24!$A$6:$AV$49,35,0)</f>
        <v>0</v>
      </c>
      <c r="I29" s="7">
        <f>VLOOKUP($A29,[6]HISTOOCT24!$A$6:$AV$49,38,0)</f>
        <v>0</v>
      </c>
      <c r="J29" s="7">
        <f>IF(H29=0,0,VLOOKUP($A29,[6]HISTOOCT24!$A$6:$AV$49,42,0))</f>
        <v>0</v>
      </c>
      <c r="K29" s="7">
        <f>VLOOKUP($A29,[6]HISTOOCT24!$A$6:$AV$49,41,0)</f>
        <v>0</v>
      </c>
      <c r="L29" s="7">
        <f>TONTSEPT24!H29+TONTSEPT24!I29</f>
        <v>0</v>
      </c>
      <c r="M29" s="7">
        <f>VLOOKUP($A29,[6]HISTOOCT24!$A$6:$AV$49,16,0)</f>
        <v>0</v>
      </c>
      <c r="N29" s="7" t="str">
        <f>IF(M29&lt;&gt;0,VLOOKUP($A29,[6]HISTOOCT24!$A$6:$AV$49,8,0),"ECHEC")</f>
        <v>ECHEC</v>
      </c>
      <c r="O29" s="7">
        <f>IF(R29=0,0,VLOOKUP($A29,[6]HISTOOCT24!$A$6:$AV$49,32,0))</f>
        <v>0</v>
      </c>
      <c r="P29" s="7">
        <f>VLOOKUP($A29,[6]HISTOOCT24!$A$6:$AV$49,33,0)</f>
        <v>0</v>
      </c>
      <c r="Q29" s="7">
        <f t="shared" si="1"/>
        <v>0</v>
      </c>
      <c r="R29" s="7">
        <f>VLOOKUP($A29,[6]HISTOOCT24!$A$6:$AV$49,29,0)</f>
        <v>0</v>
      </c>
    </row>
    <row r="30" spans="1:19" x14ac:dyDescent="0.35">
      <c r="A30" s="1" t="s">
        <v>24</v>
      </c>
      <c r="B30" s="7">
        <f>IF(D30=0,0,VLOOKUP($A30,[6]HISTOOCT24!$A$6:$BP$44,10,0))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D30+VLOOKUP($A30,[6]HISTOOCT24!$A$7:$AU$42,45,0)+F30</f>
        <v>50000</v>
      </c>
      <c r="F30" s="7">
        <f>VLOOKUP($A30,[6]HISTOOCT24!$A$6:$AV$48,7,0)</f>
        <v>0</v>
      </c>
      <c r="G30" s="7" t="str">
        <f>VLOOKUP($A30,[6]HISTOOCT24!$A$6:$AV$49,8,0)</f>
        <v>BANQUE</v>
      </c>
      <c r="H30" s="7">
        <f>VLOOKUP($A30,[6]HISTOOCT24!$A$6:$AV$49,35,0)</f>
        <v>0</v>
      </c>
      <c r="I30" s="7">
        <f>VLOOKUP($A30,[6]HISTOOCT24!$A$6:$AV$49,38,0)</f>
        <v>0</v>
      </c>
      <c r="J30" s="7">
        <f>IF(H30=0,0,VLOOKUP($A30,[6]HISTOOCT24!$A$6:$AV$49,42,0))</f>
        <v>0</v>
      </c>
      <c r="K30" s="7">
        <f>VLOOKUP($A30,[6]HISTOOCT24!$A$6:$AV$49,41,0)</f>
        <v>0</v>
      </c>
      <c r="L30" s="7">
        <f>TONTSEPT24!H30+TONTSEPT24!I30</f>
        <v>30000</v>
      </c>
      <c r="M30" s="7">
        <f>VLOOKUP($A30,[6]HISTOOCT24!$A$6:$AV$49,16,0)</f>
        <v>30000</v>
      </c>
      <c r="N30" s="7" t="str">
        <f>IF(M30&lt;&gt;0,VLOOKUP($A30,[6]HISTOOCT24!$A$6:$AV$49,8,0),"ECHEC")</f>
        <v>BANQUE</v>
      </c>
      <c r="O30" s="7">
        <f>IF(R30=0,0,VLOOKUP($A30,[6]HISTOOCT24!$A$6:$AV$49,32,0))</f>
        <v>0</v>
      </c>
      <c r="P30" s="7">
        <f>VLOOKUP($A30,[6]HISTOOCT24!$A$6:$AV$49,33,0)</f>
        <v>0</v>
      </c>
      <c r="Q30" s="7">
        <f t="shared" si="1"/>
        <v>0</v>
      </c>
      <c r="R30" s="7">
        <f>VLOOKUP($A30,[6]HISTOOCT24!$A$6:$AV$49,29,0)</f>
        <v>0</v>
      </c>
    </row>
    <row r="31" spans="1:19" x14ac:dyDescent="0.35">
      <c r="A31" s="1" t="s">
        <v>26</v>
      </c>
      <c r="B31" s="7">
        <f>IF(D31=0,0,VLOOKUP($A31,[6]HISTOOCT24!$A$6:$BP$44,10,0))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D31+VLOOKUP($A31,[6]HISTOOCT24!$A$7:$AU$42,45,0)+F31</f>
        <v>50000</v>
      </c>
      <c r="F31" s="7">
        <f>VLOOKUP($A31,[6]HISTOOCT24!$A$6:$AV$48,7,0)</f>
        <v>0</v>
      </c>
      <c r="G31" s="7" t="str">
        <f>VLOOKUP($A31,[6]HISTOOCT24!$A$6:$AV$49,8,0)</f>
        <v>BANQUE</v>
      </c>
      <c r="H31" s="7">
        <f>VLOOKUP($A31,[6]HISTOOCT24!$A$6:$AV$49,35,0)</f>
        <v>0</v>
      </c>
      <c r="I31" s="7">
        <f>VLOOKUP($A31,[6]HISTOOCT24!$A$6:$AV$49,38,0)</f>
        <v>0</v>
      </c>
      <c r="J31" s="7">
        <f>IF(H31=0,0,VLOOKUP($A31,[6]HISTOOCT24!$A$6:$AV$49,42,0))</f>
        <v>0</v>
      </c>
      <c r="K31" s="7">
        <f>VLOOKUP($A31,[6]HISTOOCT24!$A$6:$AV$49,41,0)</f>
        <v>0</v>
      </c>
      <c r="L31" s="7">
        <f>TONTSEPT24!H31+TONTSEPT24!I31</f>
        <v>0</v>
      </c>
      <c r="M31" s="7">
        <f>VLOOKUP($A31,[6]HISTOOCT24!$A$6:$AV$49,16,0)</f>
        <v>0</v>
      </c>
      <c r="N31" s="7" t="str">
        <f>IF(M31&lt;&gt;0,VLOOKUP($A31,[6]HISTOOCT24!$A$6:$AV$49,8,0),"ECHEC")</f>
        <v>ECHEC</v>
      </c>
      <c r="O31" s="7">
        <f>IF(R31=0,0,VLOOKUP($A31,[6]HISTOOCT24!$A$6:$AV$49,32,0))</f>
        <v>0</v>
      </c>
      <c r="P31" s="7">
        <f>VLOOKUP($A31,[6]HISTOOCT24!$A$6:$AV$49,33,0)</f>
        <v>0</v>
      </c>
      <c r="Q31" s="7">
        <f t="shared" si="1"/>
        <v>0</v>
      </c>
      <c r="R31" s="7">
        <f>VLOOKUP($A31,[6]HISTOOCT24!$A$6:$AV$49,29,0)</f>
        <v>0</v>
      </c>
    </row>
    <row r="32" spans="1:19" x14ac:dyDescent="0.35">
      <c r="A32" s="1" t="s">
        <v>95</v>
      </c>
      <c r="B32" s="7">
        <f>IF(D32=0,0,VLOOKUP($A32,[6]HISTOOCT24!$A$6:$BP$44,10,0))</f>
        <v>1</v>
      </c>
      <c r="C32" s="1" t="str">
        <f>VLOOKUP(A32,[7]LISTADHERENT!A$5:H$60,3,0)</f>
        <v>TCHOUATEU AUGUSTIN</v>
      </c>
      <c r="D32" s="7">
        <f t="shared" si="0"/>
        <v>25000</v>
      </c>
      <c r="E32" s="7">
        <f>D32+VLOOKUP($A32,[6]HISTOOCT24!$A$7:$AU$42,45,0)+F32</f>
        <v>145000</v>
      </c>
      <c r="F32" s="7">
        <f>VLOOKUP($A32,[6]HISTOOCT24!$A$6:$AV$48,7,0)</f>
        <v>0</v>
      </c>
      <c r="G32" s="7" t="str">
        <f>VLOOKUP($A32,[6]HISTOOCT24!$A$6:$AV$49,8,0)</f>
        <v>BANQUE</v>
      </c>
      <c r="H32" s="7">
        <f>VLOOKUP($A32,[6]HISTOOCT24!$A$6:$AV$49,35,0)</f>
        <v>0</v>
      </c>
      <c r="I32" s="7">
        <f>VLOOKUP($A32,[6]HISTOOCT24!$A$6:$AV$49,38,0)</f>
        <v>0</v>
      </c>
      <c r="J32" s="7">
        <f>IF(H32=0,0,VLOOKUP($A32,[6]HISTOOCT24!$A$6:$AV$49,42,0))</f>
        <v>0</v>
      </c>
      <c r="K32" s="7">
        <f>VLOOKUP($A32,[6]HISTOOCT24!$A$6:$AV$49,41,0)</f>
        <v>0</v>
      </c>
      <c r="L32" s="7">
        <f>TONTSEPT24!H32+TONTSEPT24!I32</f>
        <v>0</v>
      </c>
      <c r="M32" s="7">
        <f>VLOOKUP($A32,[6]HISTOOCT24!$A$6:$AV$49,16,0)</f>
        <v>0</v>
      </c>
      <c r="N32" s="7" t="str">
        <f>IF(M32&lt;&gt;0,VLOOKUP($A32,[6]HISTOOCT24!$A$6:$AV$49,8,0),"ECHEC")</f>
        <v>ECHEC</v>
      </c>
      <c r="O32" s="7">
        <f>IF(R32=0,0,VLOOKUP($A32,[6]HISTOOCT24!$A$6:$AV$49,32,0))</f>
        <v>0</v>
      </c>
      <c r="P32" s="7">
        <f>VLOOKUP($A32,[6]HISTOOCT24!$A$6:$AV$49,33,0)</f>
        <v>0</v>
      </c>
      <c r="Q32" s="7">
        <f t="shared" si="1"/>
        <v>0</v>
      </c>
      <c r="R32" s="7">
        <f>VLOOKUP($A32,[6]HISTOOCT24!$A$6:$AV$49,29,0)</f>
        <v>0</v>
      </c>
    </row>
    <row r="33" spans="1:18" x14ac:dyDescent="0.35">
      <c r="A33" s="1" t="s">
        <v>87</v>
      </c>
      <c r="B33" s="7">
        <f>IF(D33=0,0,VLOOKUP($A33,[6]HISTOOCT24!$A$6:$BP$44,10,0))</f>
        <v>1</v>
      </c>
      <c r="C33" s="1" t="str">
        <f>VLOOKUP(A33,[7]LISTADHERENT!A$5:H$60,3,0)</f>
        <v>TCHOUTOU NANA CLAUDE</v>
      </c>
      <c r="D33" s="7">
        <f t="shared" si="0"/>
        <v>25000</v>
      </c>
      <c r="E33" s="7">
        <f>D33+VLOOKUP($A33,[6]HISTOOCT24!$A$7:$AU$42,45,0)+F33</f>
        <v>50000</v>
      </c>
      <c r="F33" s="7">
        <f>VLOOKUP($A33,[6]HISTOOCT24!$A$6:$AV$48,7,0)</f>
        <v>0</v>
      </c>
      <c r="G33" s="7" t="str">
        <f>VLOOKUP($A33,[6]HISTOOCT24!$A$6:$AV$49,8,0)</f>
        <v>BANQUE</v>
      </c>
      <c r="H33" s="7">
        <f>VLOOKUP($A33,[6]HISTOOCT24!$A$6:$AV$49,35,0)</f>
        <v>0</v>
      </c>
      <c r="I33" s="7">
        <f>VLOOKUP($A33,[6]HISTOOCT24!$A$6:$AV$49,38,0)</f>
        <v>0</v>
      </c>
      <c r="J33" s="7">
        <f>IF(H33=0,0,VLOOKUP($A33,[6]HISTOOCT24!$A$6:$AV$49,42,0))</f>
        <v>0</v>
      </c>
      <c r="K33" s="7">
        <f>VLOOKUP($A33,[6]HISTOOCT24!$A$6:$AV$49,41,0)</f>
        <v>0</v>
      </c>
      <c r="L33" s="7">
        <f>TONTSEPT24!H33+TONTSEPT24!I33</f>
        <v>0</v>
      </c>
      <c r="M33" s="7">
        <f>VLOOKUP($A33,[6]HISTOOCT24!$A$6:$AV$49,16,0)</f>
        <v>0</v>
      </c>
      <c r="N33" s="7" t="str">
        <f>IF(M33&lt;&gt;0,VLOOKUP($A33,[6]HISTOOCT24!$A$6:$AV$49,8,0),"ECHEC")</f>
        <v>ECHEC</v>
      </c>
      <c r="O33" s="7">
        <f>IF(R33=0,0,VLOOKUP($A33,[6]HISTOOCT24!$A$6:$AV$49,32,0))</f>
        <v>0</v>
      </c>
      <c r="P33" s="7">
        <f>VLOOKUP($A33,[6]HISTOOCT24!$A$6:$AV$49,33,0)</f>
        <v>0</v>
      </c>
      <c r="Q33" s="7">
        <f t="shared" si="1"/>
        <v>0</v>
      </c>
      <c r="R33" s="7">
        <f>VLOOKUP($A33,[6]HISTOOCT24!$A$6:$AV$49,29,0)</f>
        <v>0</v>
      </c>
    </row>
    <row r="34" spans="1:18" x14ac:dyDescent="0.35">
      <c r="A34" s="17" t="s">
        <v>89</v>
      </c>
      <c r="B34" s="7">
        <f>IF(D34=0,0,VLOOKUP($A34,[6]HISTOOCT24!$A$6:$BP$44,10,0))</f>
        <v>1</v>
      </c>
      <c r="C34" s="1" t="str">
        <f>VLOOKUP(A34,[7]LISTADHERENT!A$5:H$60,3,0)</f>
        <v>YANTCHOU GERVAIS</v>
      </c>
      <c r="D34" s="7">
        <f t="shared" si="0"/>
        <v>25000</v>
      </c>
      <c r="E34" s="7">
        <f>D34+VLOOKUP($A34,[6]HISTOOCT24!$A$7:$AU$42,45,0)+F34</f>
        <v>60000</v>
      </c>
      <c r="F34" s="7">
        <f>VLOOKUP($A34,[6]HISTOOCT24!$A$6:$AV$48,7,0)</f>
        <v>0</v>
      </c>
      <c r="G34" s="7" t="str">
        <f>VLOOKUP($A34,[6]HISTOOCT24!$A$6:$AV$49,8,0)</f>
        <v>BANQUE</v>
      </c>
      <c r="H34" s="7">
        <f>VLOOKUP($A34,[6]HISTOOCT24!$A$6:$AV$49,35,0)</f>
        <v>0</v>
      </c>
      <c r="I34" s="7">
        <f>VLOOKUP($A34,[6]HISTOOCT24!$A$6:$AV$49,38,0)</f>
        <v>0</v>
      </c>
      <c r="J34" s="7">
        <f>IF(H34=0,0,VLOOKUP($A34,[6]HISTOOCT24!$A$6:$AV$49,42,0))</f>
        <v>0</v>
      </c>
      <c r="K34" s="7">
        <f>VLOOKUP($A34,[6]HISTOOCT24!$A$6:$AV$49,41,0)</f>
        <v>0</v>
      </c>
      <c r="L34" s="7">
        <f>TONTSEPT24!H34+TONTSEPT24!I34</f>
        <v>0</v>
      </c>
      <c r="M34" s="7">
        <f>VLOOKUP($A34,[6]HISTOOCT24!$A$6:$AV$49,16,0)</f>
        <v>0</v>
      </c>
      <c r="N34" s="7" t="str">
        <f>IF(M34&lt;&gt;0,VLOOKUP($A34,[6]HISTOOCT24!$A$6:$AV$49,8,0),"ECHEC")</f>
        <v>ECHEC</v>
      </c>
      <c r="O34" s="7">
        <f>IF(R34=0,0,VLOOKUP($A34,[6]HISTOOCT24!$A$6:$AV$49,32,0))</f>
        <v>0</v>
      </c>
      <c r="P34" s="7">
        <f>VLOOKUP($A34,[6]HISTOOCT24!$A$6:$AV$49,33,0)</f>
        <v>0</v>
      </c>
      <c r="Q34" s="7">
        <f t="shared" si="1"/>
        <v>0</v>
      </c>
      <c r="R34" s="7">
        <f>VLOOKUP($A34,[6]HISTOOCT24!$A$6:$AV$49,29,0)</f>
        <v>0</v>
      </c>
    </row>
    <row r="35" spans="1:18" x14ac:dyDescent="0.35">
      <c r="A35" s="1" t="s">
        <v>27</v>
      </c>
      <c r="B35" s="7">
        <f>IF(D35=0,0,VLOOKUP($A35,[6]HISTOOCT24!$A$6:$BP$44,10,0))</f>
        <v>1</v>
      </c>
      <c r="C35" s="1" t="str">
        <f>VLOOKUP(A35,[7]LISTADHERENT!A$5:H$60,3,0)</f>
        <v>YEPMOU JEAN JACQUES</v>
      </c>
      <c r="D35" s="7">
        <f t="shared" si="0"/>
        <v>25000</v>
      </c>
      <c r="E35" s="7">
        <f>D35+VLOOKUP($A35,[6]HISTOOCT24!$A$7:$AU$42,45,0)+F35</f>
        <v>50000</v>
      </c>
      <c r="F35" s="7">
        <f>VLOOKUP($A35,[6]HISTOOCT24!$A$6:$AV$48,7,0)</f>
        <v>0</v>
      </c>
      <c r="G35" s="7" t="str">
        <f>VLOOKUP($A35,[6]HISTOOCT24!$A$6:$AV$49,8,0)</f>
        <v>BANQUE</v>
      </c>
      <c r="H35" s="7">
        <f>VLOOKUP($A35,[6]HISTOOCT24!$A$6:$AV$49,35,0)</f>
        <v>0</v>
      </c>
      <c r="I35" s="7">
        <f>VLOOKUP($A35,[6]HISTOOCT24!$A$6:$AV$49,38,0)</f>
        <v>0</v>
      </c>
      <c r="J35" s="7">
        <f>IF(H35=0,0,VLOOKUP($A35,[6]HISTOOCT24!$A$6:$AV$49,42,0))</f>
        <v>0</v>
      </c>
      <c r="K35" s="7">
        <f>VLOOKUP($A35,[6]HISTOOCT24!$A$6:$AV$49,41,0)</f>
        <v>0</v>
      </c>
      <c r="L35" s="7">
        <f>TONTSEPT24!H35+TONTSEPT24!I35</f>
        <v>0</v>
      </c>
      <c r="M35" s="7">
        <f>VLOOKUP($A35,[6]HISTOOCT24!$A$6:$AV$49,16,0)</f>
        <v>0</v>
      </c>
      <c r="N35" s="7" t="str">
        <f>IF(M35&lt;&gt;0,VLOOKUP($A35,[6]HISTOOCT24!$A$6:$AV$49,8,0),"ECHEC")</f>
        <v>ECHEC</v>
      </c>
      <c r="O35" s="7">
        <f>IF(R35=0,0,VLOOKUP($A35,[6]HISTOOCT24!$A$6:$AV$49,32,0))</f>
        <v>0</v>
      </c>
      <c r="P35" s="7">
        <f>VLOOKUP($A35,[6]HISTOOCT24!$A$6:$AV$49,33,0)</f>
        <v>0</v>
      </c>
      <c r="Q35" s="7">
        <f t="shared" si="1"/>
        <v>0</v>
      </c>
      <c r="R35" s="7">
        <f>VLOOKUP($A35,[6]HISTOOCT24!$A$6:$AV$49,29,0)</f>
        <v>0</v>
      </c>
    </row>
    <row r="36" spans="1:18" x14ac:dyDescent="0.35">
      <c r="A36" s="1" t="s">
        <v>94</v>
      </c>
      <c r="B36" s="7">
        <f>IF(D36=0,0,VLOOKUP($A36,[6]HISTOOCT24!$A$6:$BP$44,10,0))</f>
        <v>1</v>
      </c>
      <c r="C36" s="1" t="str">
        <f>VLOOKUP(A36,[7]LISTADHERENT!A$5:H$60,3,0)</f>
        <v>YIALA ALAIN OSCAR</v>
      </c>
      <c r="D36" s="7">
        <f t="shared" si="0"/>
        <v>25000</v>
      </c>
      <c r="E36" s="7">
        <f>D36+VLOOKUP($A36,[6]HISTOOCT24!$A$7:$AU$42,45,0)+F36</f>
        <v>53000</v>
      </c>
      <c r="F36" s="7">
        <f>VLOOKUP($A36,[6]HISTOOCT24!$A$6:$AV$48,7,0)</f>
        <v>3000</v>
      </c>
      <c r="G36" s="7" t="str">
        <f>VLOOKUP($A36,[6]HISTOOCT24!$A$6:$AV$49,8,0)</f>
        <v>ESPECES</v>
      </c>
      <c r="H36" s="7">
        <f>VLOOKUP($A36,[6]HISTOOCT24!$A$6:$AV$49,35,0)</f>
        <v>0</v>
      </c>
      <c r="I36" s="7">
        <f>VLOOKUP($A36,[6]HISTOOCT24!$A$6:$AV$49,38,0)</f>
        <v>0</v>
      </c>
      <c r="J36" s="7">
        <f>IF(H36=0,0,VLOOKUP($A36,[6]HISTOOCT24!$A$6:$AV$49,42,0))</f>
        <v>0</v>
      </c>
      <c r="K36" s="7">
        <f>VLOOKUP($A36,[6]HISTOOCT24!$A$6:$AV$49,41,0)</f>
        <v>0</v>
      </c>
      <c r="L36" s="7">
        <f>TONTSEPT24!H36+TONTSEPT24!I36</f>
        <v>0</v>
      </c>
      <c r="M36" s="7">
        <f>VLOOKUP($A36,[6]HISTOOCT24!$A$6:$AV$49,16,0)</f>
        <v>0</v>
      </c>
      <c r="N36" s="7" t="str">
        <f>IF(M36&lt;&gt;0,VLOOKUP($A36,[6]HISTOOCT24!$A$6:$AV$49,8,0),"ECHEC")</f>
        <v>ECHEC</v>
      </c>
      <c r="O36" s="7">
        <f>IF(R36=0,0,VLOOKUP($A36,[6]HISTOOCT24!$A$6:$AV$49,32,0))</f>
        <v>0</v>
      </c>
      <c r="P36" s="7">
        <f>VLOOKUP($A36,[6]HISTOOCT24!$A$6:$AV$49,33,0)</f>
        <v>0</v>
      </c>
      <c r="Q36" s="7">
        <f t="shared" si="1"/>
        <v>0</v>
      </c>
      <c r="R36" s="7">
        <f>VLOOKUP($A36,[6]HISTOOCT24!$A$6:$AV$49,29,0)</f>
        <v>0</v>
      </c>
    </row>
    <row r="37" spans="1:18" x14ac:dyDescent="0.35">
      <c r="A37" s="1" t="s">
        <v>28</v>
      </c>
      <c r="B37" s="7">
        <f>IF(D37=0,0,VLOOKUP($A37,[6]HISTOOCT24!$A$6:$BP$44,10,0))</f>
        <v>1</v>
      </c>
      <c r="C37" s="1" t="str">
        <f>VLOOKUP(A37,[7]LISTADHERENT!A$5:H$60,3,0)</f>
        <v>YOUMBI EMMANUEL</v>
      </c>
      <c r="D37" s="7">
        <f t="shared" si="0"/>
        <v>25000</v>
      </c>
      <c r="E37" s="7">
        <f>D37+VLOOKUP($A37,[6]HISTOOCT24!$A$7:$AU$42,45,0)+F37</f>
        <v>50000</v>
      </c>
      <c r="F37" s="7">
        <f>VLOOKUP($A37,[6]HISTOOCT24!$A$6:$AV$48,7,0)</f>
        <v>0</v>
      </c>
      <c r="G37" s="7" t="str">
        <f>VLOOKUP($A37,[6]HISTOOCT24!$A$6:$AV$49,8,0)</f>
        <v>BANQUE</v>
      </c>
      <c r="H37" s="7">
        <f>VLOOKUP($A37,[6]HISTOOCT24!$A$6:$AV$49,35,0)</f>
        <v>0</v>
      </c>
      <c r="I37" s="7">
        <f>VLOOKUP($A37,[6]HISTOOCT24!$A$6:$AV$49,38,0)</f>
        <v>0</v>
      </c>
      <c r="J37" s="7">
        <f>IF(H37=0,0,VLOOKUP($A37,[6]HISTOOCT24!$A$6:$AV$49,42,0))</f>
        <v>0</v>
      </c>
      <c r="K37" s="7">
        <f>VLOOKUP($A37,[6]HISTOOCT24!$A$6:$AV$49,41,0)</f>
        <v>0</v>
      </c>
      <c r="L37" s="7">
        <f>TONTSEPT24!H37+TONTSEPT24!I37</f>
        <v>0</v>
      </c>
      <c r="M37" s="7">
        <f>VLOOKUP($A37,[6]HISTOOCT24!$A$6:$AV$49,16,0)</f>
        <v>0</v>
      </c>
      <c r="N37" s="7" t="str">
        <f>IF(M37&lt;&gt;0,VLOOKUP($A37,[6]HISTOOCT24!$A$6:$AV$49,8,0),"ECHEC")</f>
        <v>ECHEC</v>
      </c>
      <c r="O37" s="7" t="str">
        <f>IF(R37=0,0,VLOOKUP($A37,[6]HISTOOCT24!$A$6:$AV$49,32,0))</f>
        <v>BANQUE</v>
      </c>
      <c r="P37" s="7">
        <f>VLOOKUP($A37,[6]HISTOOCT24!$A$6:$AV$49,33,0)</f>
        <v>0</v>
      </c>
      <c r="Q37" s="7">
        <f t="shared" si="1"/>
        <v>297500</v>
      </c>
      <c r="R37" s="7">
        <f>VLOOKUP($A37,[6]HISTOOCT24!$A$6:$AV$49,29,0)</f>
        <v>2500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6000</v>
      </c>
      <c r="G40" s="8">
        <f t="shared" si="2"/>
        <v>0</v>
      </c>
      <c r="H40" s="8">
        <f t="shared" si="2"/>
        <v>120500</v>
      </c>
      <c r="I40" s="8">
        <f t="shared" si="2"/>
        <v>3000</v>
      </c>
      <c r="J40" s="8">
        <f t="shared" si="2"/>
        <v>0</v>
      </c>
      <c r="K40" s="8">
        <f t="shared" si="2"/>
        <v>0</v>
      </c>
      <c r="L40" s="8">
        <f t="shared" si="2"/>
        <v>213000</v>
      </c>
      <c r="M40" s="8">
        <f t="shared" si="2"/>
        <v>213000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892500</v>
      </c>
      <c r="R40" s="8">
        <f t="shared" si="2"/>
        <v>7500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D46+G46+R40+TONTSEPT24!O47</f>
        <v>1020500</v>
      </c>
      <c r="N42" s="4"/>
      <c r="O42"/>
      <c r="P42" s="4"/>
    </row>
    <row r="43" spans="1:18" s="2" customFormat="1" ht="17.5" x14ac:dyDescent="0.35">
      <c r="D43" s="8">
        <f>SUMIFS(D6:D39,G6:G39,"ESPECES")</f>
        <v>75000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75000</v>
      </c>
      <c r="K43" s="8"/>
      <c r="L43" s="8" t="s">
        <v>79</v>
      </c>
      <c r="M43" s="8">
        <f>C3*COUNTIF(Q7:Q39,"&gt;0")</f>
        <v>900000</v>
      </c>
      <c r="N43" s="8">
        <f>D3</f>
        <v>3</v>
      </c>
      <c r="O43" s="8">
        <f>COUNTIF(Q6:Q33,"&gt;0")</f>
        <v>2</v>
      </c>
      <c r="P43" s="8"/>
    </row>
    <row r="44" spans="1:18" s="2" customFormat="1" ht="17.5" x14ac:dyDescent="0.35">
      <c r="D44" s="8">
        <f>SUMIFS(D6:D39,G6:G39,"BANQUE")</f>
        <v>725000</v>
      </c>
      <c r="E44" s="8"/>
      <c r="F44" s="8" t="s">
        <v>32</v>
      </c>
      <c r="G44" s="8">
        <f>SUMIFS(M6:M33,N6:N33,"BANQUE")</f>
        <v>213000</v>
      </c>
      <c r="H44" s="8">
        <f>SUMIFS(H6:H39,J6:J39,"BANQUE")</f>
        <v>60500</v>
      </c>
      <c r="I44" s="8">
        <f>SUMIFS(Q6:Q39,O6:O39,"BANQUE")</f>
        <v>892500</v>
      </c>
      <c r="J44" s="8">
        <f>D44+G44-H44-I44</f>
        <v>-15000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120500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213000</v>
      </c>
      <c r="H46" s="8">
        <f>H43+H44</f>
        <v>60500</v>
      </c>
      <c r="I46" s="8">
        <f t="shared" ref="I46:J46" si="3">I43+I44</f>
        <v>892500</v>
      </c>
      <c r="J46" s="8">
        <f t="shared" si="3"/>
        <v>60000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TONTOCT24!M47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TONTOCT24!M49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TONTOCT24!M50</f>
        <v>0</v>
      </c>
      <c r="P50" s="8" t="s">
        <v>53</v>
      </c>
    </row>
  </sheetData>
  <autoFilter ref="A5:R25" xr:uid="{00000000-0009-0000-0000-00000A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0"/>
  <sheetViews>
    <sheetView workbookViewId="0">
      <pane xSplit="3" ySplit="5" topLeftCell="K12" activePane="bottomRight" state="frozen"/>
      <selection activeCell="G6" sqref="G6:G39"/>
      <selection pane="topRight" activeCell="G6" sqref="G6:G39"/>
      <selection pane="bottomLeft" activeCell="G6" sqref="G6:G39"/>
      <selection pane="bottomRight" activeCell="L6" sqref="L6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8">
        <v>45609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IF(D6=0,0,VLOOKUP($A6,[6]HISTONOV24!$A$6:$BP$44,10,0))</f>
        <v>1</v>
      </c>
      <c r="C6" s="1" t="str">
        <f>VLOOKUP(A6,[7]LISTADHERENT!A$5:H$60,3,0)</f>
        <v>BAKOP ACHILLE</v>
      </c>
      <c r="D6" s="7">
        <f t="shared" ref="D6:D37" si="0">IF(G6="ECHEC",0,B$3)</f>
        <v>25000</v>
      </c>
      <c r="E6" s="7">
        <f>D6+VLOOKUP($A6,[6]HISTONOV24!$A$7:$AU$42,45,0)+F6</f>
        <v>50000</v>
      </c>
      <c r="F6" s="7">
        <f>VLOOKUP($A6,[6]HISTONOV24!$A$6:$AV$48,7,0)</f>
        <v>0</v>
      </c>
      <c r="G6" s="7" t="str">
        <f>VLOOKUP($A6,[6]HISTONOV24!$A$6:$AV$49,8,0)</f>
        <v>ESPECES</v>
      </c>
      <c r="H6" s="7">
        <f>VLOOKUP($A6,[6]HISTONOV24!$A$6:$AV$49,35,0)</f>
        <v>0</v>
      </c>
      <c r="I6" s="7">
        <f>VLOOKUP($A6,[6]HISTONOV24!$A$6:$AV$49,38,0)</f>
        <v>0</v>
      </c>
      <c r="J6" s="7">
        <f>IF(H6=0,0,VLOOKUP($A6,[6]HISTONOV24!$A$6:$AV$49,42,0))</f>
        <v>0</v>
      </c>
      <c r="K6" s="7">
        <f>VLOOKUP($A6,[6]HISTONOV24!$A$6:$AV$49,41,0)</f>
        <v>0</v>
      </c>
      <c r="L6" s="7">
        <f>TONTOCT24!H6+TONTOCT24!I6</f>
        <v>0</v>
      </c>
      <c r="M6" s="7">
        <f>VLOOKUP($A6,[6]HISTONOV24!$A$6:$AV$49,16,0)</f>
        <v>0</v>
      </c>
      <c r="N6" s="7" t="str">
        <f>IF(M6&lt;&gt;0,VLOOKUP($A6,[6]HISTONOV24!$A$6:$AV$49,8,0),"ECHEC")</f>
        <v>ECHEC</v>
      </c>
      <c r="O6" s="7">
        <f>IF(R6=0,0,VLOOKUP($A6,[6]HISTONOV24!$A$6:$AV$49,32,0))</f>
        <v>0</v>
      </c>
      <c r="P6" s="7">
        <f>VLOOKUP($A6,[6]HISTONOV24!$A$6:$AV$49,33,0)</f>
        <v>0</v>
      </c>
      <c r="Q6" s="7">
        <f t="shared" ref="Q6:Q37" si="1">IF(R6=0,0,($C$3-R6))</f>
        <v>0</v>
      </c>
      <c r="R6" s="7">
        <f>VLOOKUP($A6,[6]HISTONOV24!$A$6:$AV$49,29,0)</f>
        <v>0</v>
      </c>
    </row>
    <row r="7" spans="1:19" x14ac:dyDescent="0.35">
      <c r="A7" s="1" t="s">
        <v>9</v>
      </c>
      <c r="B7" s="7">
        <f>IF(D7=0,0,VLOOKUP($A7,[6]HISTONOV24!$A$6:$BP$44,10,0))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D7+VLOOKUP($A7,[6]HISTONOV24!$A$7:$AU$42,45,0)+F7</f>
        <v>50000</v>
      </c>
      <c r="F7" s="7">
        <f>VLOOKUP($A7,[6]HISTONOV24!$A$6:$AV$48,7,0)</f>
        <v>0</v>
      </c>
      <c r="G7" s="7" t="str">
        <f>VLOOKUP($A7,[6]HISTONOV24!$A$6:$AV$49,8,0)</f>
        <v>BANQUE</v>
      </c>
      <c r="H7" s="7">
        <f>VLOOKUP($A7,[6]HISTONOV24!$A$6:$AV$49,35,0)</f>
        <v>0</v>
      </c>
      <c r="I7" s="7">
        <f>VLOOKUP($A7,[6]HISTONOV24!$A$6:$AV$49,38,0)</f>
        <v>0</v>
      </c>
      <c r="J7" s="7">
        <f>IF(H7=0,0,VLOOKUP($A7,[6]HISTONOV24!$A$6:$AV$49,42,0))</f>
        <v>0</v>
      </c>
      <c r="K7" s="7">
        <f>VLOOKUP($A7,[6]HISTONOV24!$A$6:$AV$49,41,0)</f>
        <v>0</v>
      </c>
      <c r="L7" s="7">
        <f>TONTOCT24!H7+TONTOCT24!I7</f>
        <v>0</v>
      </c>
      <c r="M7" s="7">
        <f>VLOOKUP($A7,[6]HISTONOV24!$A$6:$AV$49,16,0)</f>
        <v>0</v>
      </c>
      <c r="N7" s="7" t="str">
        <f>IF(M7&lt;&gt;0,VLOOKUP($A7,[6]HISTONOV24!$A$6:$AV$49,8,0),"ECHEC")</f>
        <v>ECHEC</v>
      </c>
      <c r="O7" s="7">
        <f>IF(R7=0,0,VLOOKUP($A7,[6]HISTONOV24!$A$6:$AV$49,32,0))</f>
        <v>0</v>
      </c>
      <c r="P7" s="7">
        <f>VLOOKUP($A7,[6]HISTONOV24!$A$6:$AV$49,33,0)</f>
        <v>0</v>
      </c>
      <c r="Q7" s="7">
        <f t="shared" si="1"/>
        <v>0</v>
      </c>
      <c r="R7" s="7">
        <f>VLOOKUP($A7,[6]HISTONOV24!$A$6:$AV$49,29,0)</f>
        <v>0</v>
      </c>
    </row>
    <row r="8" spans="1:19" x14ac:dyDescent="0.35">
      <c r="A8" s="1" t="s">
        <v>10</v>
      </c>
      <c r="B8" s="7">
        <f>IF(D8=0,0,VLOOKUP($A8,[6]HISTONOV24!$A$6:$BP$44,10,0))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D8+VLOOKUP($A8,[6]HISTONOV24!$A$7:$AU$42,45,0)+F8</f>
        <v>50000</v>
      </c>
      <c r="F8" s="7">
        <f>VLOOKUP($A8,[6]HISTONOV24!$A$6:$AV$48,7,0)</f>
        <v>0</v>
      </c>
      <c r="G8" s="7" t="str">
        <f>VLOOKUP($A8,[6]HISTONOV24!$A$6:$AV$49,8,0)</f>
        <v>BANQUE</v>
      </c>
      <c r="H8" s="7">
        <f>VLOOKUP($A8,[6]HISTONOV24!$A$6:$AV$49,35,0)</f>
        <v>0</v>
      </c>
      <c r="I8" s="7">
        <f>VLOOKUP($A8,[6]HISTONOV24!$A$6:$AV$49,38,0)</f>
        <v>0</v>
      </c>
      <c r="J8" s="7">
        <f>IF(H8=0,0,VLOOKUP($A8,[6]HISTONOV24!$A$6:$AV$49,42,0))</f>
        <v>0</v>
      </c>
      <c r="K8" s="7">
        <f>VLOOKUP($A8,[6]HISTONOV24!$A$6:$AV$49,41,0)</f>
        <v>0</v>
      </c>
      <c r="L8" s="7">
        <f>TONTOCT24!H8+TONTOCT24!I8</f>
        <v>0</v>
      </c>
      <c r="M8" s="7">
        <f>VLOOKUP($A8,[6]HISTONOV24!$A$6:$AV$49,16,0)</f>
        <v>0</v>
      </c>
      <c r="N8" s="7" t="str">
        <f>IF(M8&lt;&gt;0,VLOOKUP($A8,[6]HISTONOV24!$A$6:$AV$49,8,0),"ECHEC")</f>
        <v>ECHEC</v>
      </c>
      <c r="O8" s="7">
        <f>IF(R8=0,0,VLOOKUP($A8,[6]HISTONOV24!$A$6:$AV$49,32,0))</f>
        <v>0</v>
      </c>
      <c r="P8" s="7">
        <f>VLOOKUP($A8,[6]HISTONOV24!$A$6:$AV$49,33,0)</f>
        <v>0</v>
      </c>
      <c r="Q8" s="7">
        <f t="shared" si="1"/>
        <v>0</v>
      </c>
      <c r="R8" s="7">
        <f>VLOOKUP($A8,[6]HISTONOV24!$A$6:$AV$49,29,0)</f>
        <v>0</v>
      </c>
    </row>
    <row r="9" spans="1:19" x14ac:dyDescent="0.35">
      <c r="A9" s="1" t="s">
        <v>52</v>
      </c>
      <c r="B9" s="7">
        <f>IF(D9=0,0,VLOOKUP($A9,[6]HISTONOV24!$A$6:$BP$44,10,0))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D9+VLOOKUP($A9,[6]HISTONOV24!$A$7:$AU$42,45,0)+F9</f>
        <v>47000</v>
      </c>
      <c r="F9" s="7">
        <f>VLOOKUP($A9,[6]HISTONOV24!$A$6:$AV$48,7,0)</f>
        <v>0</v>
      </c>
      <c r="G9" s="7" t="str">
        <f>VLOOKUP($A9,[6]HISTONOV24!$A$6:$AV$49,8,0)</f>
        <v>BANQUE</v>
      </c>
      <c r="H9" s="7">
        <f>VLOOKUP($A9,[6]HISTONOV24!$A$6:$AV$49,35,0)</f>
        <v>60000</v>
      </c>
      <c r="I9" s="7">
        <f>VLOOKUP($A9,[6]HISTONOV24!$A$6:$AV$49,38,0)</f>
        <v>1000</v>
      </c>
      <c r="J9" s="7" t="str">
        <f>IF(H9=0,0,VLOOKUP($A9,[6]HISTONOV24!$A$6:$AV$49,42,0))</f>
        <v>BANQUE</v>
      </c>
      <c r="K9" s="7">
        <f>VLOOKUP($A9,[6]HISTONOV24!$A$6:$AV$49,41,0)</f>
        <v>0</v>
      </c>
      <c r="L9" s="7">
        <f>TONTOCT24!H9+TONTOCT24!I9</f>
        <v>62000</v>
      </c>
      <c r="M9" s="7">
        <f>VLOOKUP($A9,[6]HISTONOV24!$A$6:$AV$49,16,0)</f>
        <v>62000</v>
      </c>
      <c r="N9" s="7" t="str">
        <f>IF(M9&lt;&gt;0,VLOOKUP($A9,[6]HISTONOV24!$A$6:$AV$49,8,0),"ECHEC")</f>
        <v>BANQUE</v>
      </c>
      <c r="O9" s="7">
        <f>IF(R9=0,0,VLOOKUP($A9,[6]HISTONOV24!$A$6:$AV$49,32,0))</f>
        <v>0</v>
      </c>
      <c r="P9" s="7">
        <f>VLOOKUP($A9,[6]HISTONOV24!$A$6:$AV$49,33,0)</f>
        <v>0</v>
      </c>
      <c r="Q9" s="7">
        <f t="shared" si="1"/>
        <v>0</v>
      </c>
      <c r="R9" s="7">
        <f>VLOOKUP($A9,[6]HISTONOV24!$A$6:$AV$49,29,0)</f>
        <v>0</v>
      </c>
    </row>
    <row r="10" spans="1:19" x14ac:dyDescent="0.35">
      <c r="A10" s="1" t="s">
        <v>11</v>
      </c>
      <c r="B10" s="7">
        <f>IF(D10=0,0,VLOOKUP($A10,[6]HISTONOV24!$A$6:$BP$44,10,0))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D10+VLOOKUP($A10,[6]HISTONOV24!$A$7:$AU$42,45,0)+F10</f>
        <v>50000</v>
      </c>
      <c r="F10" s="7">
        <f>VLOOKUP($A10,[6]HISTONOV24!$A$6:$AV$48,7,0)</f>
        <v>0</v>
      </c>
      <c r="G10" s="7" t="str">
        <f>VLOOKUP($A10,[6]HISTONOV24!$A$6:$AV$49,8,0)</f>
        <v>BANQUE</v>
      </c>
      <c r="H10" s="7">
        <f>VLOOKUP($A10,[6]HISTONOV24!$A$6:$AV$49,35,0)</f>
        <v>0</v>
      </c>
      <c r="I10" s="7">
        <f>VLOOKUP($A10,[6]HISTONOV24!$A$6:$AV$49,38,0)</f>
        <v>0</v>
      </c>
      <c r="J10" s="7">
        <f>IF(H10=0,0,VLOOKUP($A10,[6]HISTONOV24!$A$6:$AV$49,42,0))</f>
        <v>0</v>
      </c>
      <c r="K10" s="7">
        <f>VLOOKUP($A10,[6]HISTONOV24!$A$6:$AV$49,41,0)</f>
        <v>0</v>
      </c>
      <c r="L10" s="7">
        <f>TONTOCT24!H10+TONTOCT24!I10</f>
        <v>0</v>
      </c>
      <c r="M10" s="7">
        <f>VLOOKUP($A10,[6]HISTONOV24!$A$6:$AV$49,16,0)</f>
        <v>0</v>
      </c>
      <c r="N10" s="7" t="str">
        <f>IF(M10&lt;&gt;0,VLOOKUP($A10,[6]HISTONOV24!$A$6:$AV$49,8,0),"ECHEC")</f>
        <v>ECHEC</v>
      </c>
      <c r="O10" s="7">
        <f>IF(R10=0,0,VLOOKUP($A10,[6]HISTONOV24!$A$6:$AV$49,32,0))</f>
        <v>0</v>
      </c>
      <c r="P10" s="7">
        <f>VLOOKUP($A10,[6]HISTONOV24!$A$6:$AV$49,33,0)</f>
        <v>0</v>
      </c>
      <c r="Q10" s="7">
        <f t="shared" si="1"/>
        <v>0</v>
      </c>
      <c r="R10" s="7">
        <f>VLOOKUP($A10,[6]HISTONOV24!$A$6:$AV$49,29,0)</f>
        <v>0</v>
      </c>
    </row>
    <row r="11" spans="1:19" x14ac:dyDescent="0.35">
      <c r="A11" s="1" t="s">
        <v>12</v>
      </c>
      <c r="B11" s="7">
        <f>IF(D11=0,0,VLOOKUP($A11,[6]HISTONOV24!$A$6:$BP$44,10,0))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D11+VLOOKUP($A11,[6]HISTONOV24!$A$7:$AU$42,45,0)+F11</f>
        <v>57000</v>
      </c>
      <c r="F11" s="7">
        <f>VLOOKUP($A11,[6]HISTONOV24!$A$6:$AV$48,7,0)</f>
        <v>0</v>
      </c>
      <c r="G11" s="7" t="str">
        <f>VLOOKUP($A11,[6]HISTONOV24!$A$6:$AV$49,8,0)</f>
        <v>BANQUE</v>
      </c>
      <c r="H11" s="7">
        <f>VLOOKUP($A11,[6]HISTONOV24!$A$6:$AV$49,35,0)</f>
        <v>60000</v>
      </c>
      <c r="I11" s="7">
        <f>VLOOKUP($A11,[6]HISTONOV24!$A$6:$AV$49,38,0)</f>
        <v>1000</v>
      </c>
      <c r="J11" s="7" t="str">
        <f>IF(H11=0,0,VLOOKUP($A11,[6]HISTONOV24!$A$6:$AV$49,42,0))</f>
        <v>BANQUE</v>
      </c>
      <c r="K11" s="7">
        <f>VLOOKUP($A11,[6]HISTONOV24!$A$6:$AV$49,41,0)</f>
        <v>0</v>
      </c>
      <c r="L11" s="7">
        <f>TONTOCT24!H11+TONTOCT24!I11</f>
        <v>0</v>
      </c>
      <c r="M11" s="7">
        <f>VLOOKUP($A11,[6]HISTONOV24!$A$6:$AV$49,16,0)</f>
        <v>0</v>
      </c>
      <c r="N11" s="7" t="str">
        <f>IF(M11&lt;&gt;0,VLOOKUP($A11,[6]HISTONOV24!$A$6:$AV$49,8,0),"ECHEC")</f>
        <v>ECHEC</v>
      </c>
      <c r="O11" s="7">
        <f>IF(R11=0,0,VLOOKUP($A11,[6]HISTONOV24!$A$6:$AV$49,32,0))</f>
        <v>0</v>
      </c>
      <c r="P11" s="7">
        <f>VLOOKUP($A11,[6]HISTONOV24!$A$6:$AV$49,33,0)</f>
        <v>0</v>
      </c>
      <c r="Q11" s="7">
        <f t="shared" si="1"/>
        <v>0</v>
      </c>
      <c r="R11" s="7">
        <f>VLOOKUP($A11,[6]HISTONOV24!$A$6:$AV$49,29,0)</f>
        <v>0</v>
      </c>
    </row>
    <row r="12" spans="1:19" x14ac:dyDescent="0.35">
      <c r="A12" s="1" t="s">
        <v>45</v>
      </c>
      <c r="B12" s="7">
        <f>IF(D12=0,0,VLOOKUP($A12,[6]HISTONOV24!$A$6:$BP$44,10,0))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D12+VLOOKUP($A12,[6]HISTONOV24!$A$7:$AU$42,45,0)+F12</f>
        <v>50000</v>
      </c>
      <c r="F12" s="7">
        <f>VLOOKUP($A12,[6]HISTONOV24!$A$6:$AV$48,7,0)</f>
        <v>0</v>
      </c>
      <c r="G12" s="7" t="str">
        <f>VLOOKUP($A12,[6]HISTONOV24!$A$6:$AV$49,8,0)</f>
        <v>BANQUE</v>
      </c>
      <c r="H12" s="7">
        <f>VLOOKUP($A12,[6]HISTONOV24!$A$6:$AV$49,35,0)</f>
        <v>0</v>
      </c>
      <c r="I12" s="7">
        <f>VLOOKUP($A12,[6]HISTONOV24!$A$6:$AV$49,38,0)</f>
        <v>0</v>
      </c>
      <c r="J12" s="7">
        <f>IF(H12=0,0,VLOOKUP($A12,[6]HISTONOV24!$A$6:$AV$49,42,0))</f>
        <v>0</v>
      </c>
      <c r="K12" s="7">
        <f>VLOOKUP($A12,[6]HISTONOV24!$A$6:$AV$49,41,0)</f>
        <v>0</v>
      </c>
      <c r="L12" s="7">
        <f>TONTOCT24!H12+TONTOCT24!I12</f>
        <v>0</v>
      </c>
      <c r="M12" s="7">
        <f>VLOOKUP($A12,[6]HISTONOV24!$A$6:$AV$49,16,0)</f>
        <v>0</v>
      </c>
      <c r="N12" s="7" t="str">
        <f>IF(M12&lt;&gt;0,VLOOKUP($A12,[6]HISTONOV24!$A$6:$AV$49,8,0),"ECHEC")</f>
        <v>ECHEC</v>
      </c>
      <c r="O12" s="7">
        <f>IF(R12=0,0,VLOOKUP($A12,[6]HISTONOV24!$A$6:$AV$49,32,0))</f>
        <v>0</v>
      </c>
      <c r="P12" s="7">
        <f>VLOOKUP($A12,[6]HISTONOV24!$A$6:$AV$49,33,0)</f>
        <v>0</v>
      </c>
      <c r="Q12" s="7">
        <f t="shared" si="1"/>
        <v>0</v>
      </c>
      <c r="R12" s="7">
        <f>VLOOKUP($A12,[6]HISTONOV24!$A$6:$AV$49,29,0)</f>
        <v>0</v>
      </c>
    </row>
    <row r="13" spans="1:19" x14ac:dyDescent="0.35">
      <c r="A13" s="1" t="s">
        <v>13</v>
      </c>
      <c r="B13" s="7">
        <f>IF(D13=0,0,VLOOKUP($A13,[6]HISTONOV24!$A$6:$BP$44,10,0))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D13+VLOOKUP($A13,[6]HISTONOV24!$A$7:$AU$42,45,0)+F13</f>
        <v>53000</v>
      </c>
      <c r="F13" s="7">
        <f>VLOOKUP($A13,[6]HISTONOV24!$A$6:$AV$48,7,0)</f>
        <v>3000</v>
      </c>
      <c r="G13" s="7" t="str">
        <f>VLOOKUP($A13,[6]HISTONOV24!$A$6:$AV$49,8,0)</f>
        <v>ESPECES</v>
      </c>
      <c r="H13" s="7">
        <f>VLOOKUP($A13,[6]HISTONOV24!$A$6:$AV$49,35,0)</f>
        <v>0</v>
      </c>
      <c r="I13" s="7">
        <f>VLOOKUP($A13,[6]HISTONOV24!$A$6:$AV$49,38,0)</f>
        <v>0</v>
      </c>
      <c r="J13" s="7">
        <f>IF(H13=0,0,VLOOKUP($A13,[6]HISTONOV24!$A$6:$AV$49,42,0))</f>
        <v>0</v>
      </c>
      <c r="K13" s="7">
        <f>VLOOKUP($A13,[6]HISTONOV24!$A$6:$AV$49,41,0)</f>
        <v>0</v>
      </c>
      <c r="L13" s="7">
        <f>TONTOCT24!H13+TONTOCT24!I13</f>
        <v>0</v>
      </c>
      <c r="M13" s="7">
        <f>VLOOKUP($A13,[6]HISTONOV24!$A$6:$AV$49,16,0)</f>
        <v>0</v>
      </c>
      <c r="N13" s="7" t="str">
        <f>IF(M13&lt;&gt;0,VLOOKUP($A13,[6]HISTONOV24!$A$6:$AV$49,8,0),"ECHEC")</f>
        <v>ECHEC</v>
      </c>
      <c r="O13" s="7">
        <f>IF(R13=0,0,VLOOKUP($A13,[6]HISTONOV24!$A$6:$AV$49,32,0))</f>
        <v>0</v>
      </c>
      <c r="P13" s="7">
        <f>VLOOKUP($A13,[6]HISTONOV24!$A$6:$AV$49,33,0)</f>
        <v>0</v>
      </c>
      <c r="Q13" s="7">
        <f t="shared" si="1"/>
        <v>297500</v>
      </c>
      <c r="R13" s="7">
        <f>VLOOKUP($A13,[6]HISTONOV24!$A$6:$AV$49,29,0)</f>
        <v>2500</v>
      </c>
    </row>
    <row r="14" spans="1:19" x14ac:dyDescent="0.35">
      <c r="A14" s="1" t="s">
        <v>14</v>
      </c>
      <c r="B14" s="7">
        <f>IF(D14=0,0,VLOOKUP($A14,[6]HISTONOV24!$A$6:$BP$44,10,0))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D14+VLOOKUP($A14,[6]HISTONOV24!$A$7:$AU$42,45,0)+F14</f>
        <v>50000</v>
      </c>
      <c r="F14" s="7">
        <f>VLOOKUP($A14,[6]HISTONOV24!$A$6:$AV$48,7,0)</f>
        <v>0</v>
      </c>
      <c r="G14" s="7" t="str">
        <f>VLOOKUP($A14,[6]HISTONOV24!$A$6:$AV$49,8,0)</f>
        <v>BANQUE</v>
      </c>
      <c r="H14" s="7">
        <f>VLOOKUP($A14,[6]HISTONOV24!$A$6:$AV$49,35,0)</f>
        <v>0</v>
      </c>
      <c r="I14" s="7">
        <f>VLOOKUP($A14,[6]HISTONOV24!$A$6:$AV$49,38,0)</f>
        <v>0</v>
      </c>
      <c r="J14" s="7">
        <f>IF(H14=0,0,VLOOKUP($A14,[6]HISTONOV24!$A$6:$AV$49,42,0))</f>
        <v>0</v>
      </c>
      <c r="K14" s="7">
        <f>VLOOKUP($A14,[6]HISTONOV24!$A$6:$AV$49,41,0)</f>
        <v>0</v>
      </c>
      <c r="L14" s="7">
        <f>TONTOCT24!H14+TONTOCT24!I14</f>
        <v>0</v>
      </c>
      <c r="M14" s="7">
        <f>VLOOKUP($A14,[6]HISTONOV24!$A$6:$AV$49,16,0)</f>
        <v>0</v>
      </c>
      <c r="N14" s="7" t="str">
        <f>IF(M14&lt;&gt;0,VLOOKUP($A14,[6]HISTONOV24!$A$6:$AV$49,8,0),"ECHEC")</f>
        <v>ECHEC</v>
      </c>
      <c r="O14" s="7">
        <f>IF(R14=0,0,VLOOKUP($A14,[6]HISTONOV24!$A$6:$AV$49,32,0))</f>
        <v>0</v>
      </c>
      <c r="P14" s="7">
        <f>VLOOKUP($A14,[6]HISTONOV24!$A$6:$AV$49,33,0)</f>
        <v>0</v>
      </c>
      <c r="Q14" s="7">
        <f t="shared" si="1"/>
        <v>0</v>
      </c>
      <c r="R14" s="7">
        <f>VLOOKUP($A14,[6]HISTONOV24!$A$6:$AV$49,29,0)</f>
        <v>0</v>
      </c>
      <c r="S14" s="1"/>
    </row>
    <row r="15" spans="1:19" x14ac:dyDescent="0.35">
      <c r="A15" s="1" t="s">
        <v>15</v>
      </c>
      <c r="B15" s="7">
        <f>IF(D15=0,0,VLOOKUP($A15,[6]HISTONOV24!$A$6:$BP$44,10,0))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D15+VLOOKUP($A15,[6]HISTONOV24!$A$7:$AU$42,45,0)+F15</f>
        <v>55000</v>
      </c>
      <c r="F15" s="7">
        <f>VLOOKUP($A15,[6]HISTONOV24!$A$6:$AV$48,7,0)</f>
        <v>0</v>
      </c>
      <c r="G15" s="7" t="str">
        <f>VLOOKUP($A15,[6]HISTONOV24!$A$6:$AV$49,8,0)</f>
        <v>BANQUE</v>
      </c>
      <c r="H15" s="7">
        <f>VLOOKUP($A15,[6]HISTONOV24!$A$6:$AV$49,35,0)</f>
        <v>0</v>
      </c>
      <c r="I15" s="7">
        <f>VLOOKUP($A15,[6]HISTONOV24!$A$6:$AV$49,38,0)</f>
        <v>0</v>
      </c>
      <c r="J15" s="7">
        <f>IF(H15=0,0,VLOOKUP($A15,[6]HISTONOV24!$A$6:$AV$49,42,0))</f>
        <v>0</v>
      </c>
      <c r="K15" s="7">
        <f>VLOOKUP($A15,[6]HISTONOV24!$A$6:$AV$49,41,0)</f>
        <v>0</v>
      </c>
      <c r="L15" s="7">
        <f>TONTOCT24!H15+TONTOCT24!I15</f>
        <v>0</v>
      </c>
      <c r="M15" s="7">
        <f>VLOOKUP($A15,[6]HISTONOV24!$A$6:$AV$49,16,0)</f>
        <v>0</v>
      </c>
      <c r="N15" s="7" t="str">
        <f>IF(M15&lt;&gt;0,VLOOKUP($A15,[6]HISTONOV24!$A$6:$AV$49,8,0),"ECHEC")</f>
        <v>ECHEC</v>
      </c>
      <c r="O15" s="7">
        <f>IF(R15=0,0,VLOOKUP($A15,[6]HISTONOV24!$A$6:$AV$49,32,0))</f>
        <v>0</v>
      </c>
      <c r="P15" s="7">
        <f>VLOOKUP($A15,[6]HISTONOV24!$A$6:$AV$49,33,0)</f>
        <v>0</v>
      </c>
      <c r="Q15" s="7">
        <f t="shared" si="1"/>
        <v>0</v>
      </c>
      <c r="R15" s="7">
        <f>VLOOKUP($A15,[6]HISTONOV24!$A$6:$AV$49,29,0)</f>
        <v>0</v>
      </c>
      <c r="S15" s="1"/>
    </row>
    <row r="16" spans="1:19" x14ac:dyDescent="0.35">
      <c r="A16" s="1" t="s">
        <v>16</v>
      </c>
      <c r="B16" s="7">
        <f>IF(D16=0,0,VLOOKUP($A16,[6]HISTONOV24!$A$6:$BP$44,10,0))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D16+VLOOKUP($A16,[6]HISTONOV24!$A$7:$AU$42,45,0)+F16</f>
        <v>50000</v>
      </c>
      <c r="F16" s="7">
        <f>VLOOKUP($A16,[6]HISTONOV24!$A$6:$AV$48,7,0)</f>
        <v>0</v>
      </c>
      <c r="G16" s="7" t="str">
        <f>VLOOKUP($A16,[6]HISTONOV24!$A$6:$AV$49,8,0)</f>
        <v>BANQUE</v>
      </c>
      <c r="H16" s="7">
        <f>VLOOKUP($A16,[6]HISTONOV24!$A$6:$AV$49,35,0)</f>
        <v>0</v>
      </c>
      <c r="I16" s="7">
        <f>VLOOKUP($A16,[6]HISTONOV24!$A$6:$AV$49,38,0)</f>
        <v>0</v>
      </c>
      <c r="J16" s="7">
        <f>IF(H16=0,0,VLOOKUP($A16,[6]HISTONOV24!$A$6:$AV$49,42,0))</f>
        <v>0</v>
      </c>
      <c r="K16" s="7">
        <f>VLOOKUP($A16,[6]HISTONOV24!$A$6:$AV$49,41,0)</f>
        <v>0</v>
      </c>
      <c r="L16" s="7">
        <f>TONTOCT24!H16+TONTOCT24!I16</f>
        <v>0</v>
      </c>
      <c r="M16" s="7">
        <f>VLOOKUP($A16,[6]HISTONOV24!$A$6:$AV$49,16,0)</f>
        <v>0</v>
      </c>
      <c r="N16" s="7" t="str">
        <f>IF(M16&lt;&gt;0,VLOOKUP($A16,[6]HISTONOV24!$A$6:$AV$49,8,0),"ECHEC")</f>
        <v>ECHEC</v>
      </c>
      <c r="O16" s="7">
        <f>IF(R16=0,0,VLOOKUP($A16,[6]HISTONOV24!$A$6:$AV$49,32,0))</f>
        <v>0</v>
      </c>
      <c r="P16" s="7">
        <f>VLOOKUP($A16,[6]HISTONOV24!$A$6:$AV$49,33,0)</f>
        <v>0</v>
      </c>
      <c r="Q16" s="7">
        <f t="shared" si="1"/>
        <v>0</v>
      </c>
      <c r="R16" s="7">
        <f>VLOOKUP($A16,[6]HISTONOV24!$A$6:$AV$49,29,0)</f>
        <v>0</v>
      </c>
      <c r="S16" s="1"/>
    </row>
    <row r="17" spans="1:19" x14ac:dyDescent="0.35">
      <c r="A17" s="1" t="s">
        <v>17</v>
      </c>
      <c r="B17" s="7">
        <f>IF(D17=0,0,VLOOKUP($A17,[6]HISTONOV24!$A$6:$BP$44,10,0))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D17+VLOOKUP($A17,[6]HISTONOV24!$A$7:$AU$42,45,0)+F17</f>
        <v>57000</v>
      </c>
      <c r="F17" s="7">
        <f>VLOOKUP($A17,[6]HISTONOV24!$A$6:$AV$48,7,0)</f>
        <v>3000</v>
      </c>
      <c r="G17" s="7" t="str">
        <f>VLOOKUP($A17,[6]HISTONOV24!$A$6:$AV$49,8,0)</f>
        <v>ESPECES</v>
      </c>
      <c r="H17" s="7">
        <f>VLOOKUP($A17,[6]HISTONOV24!$A$6:$AV$49,35,0)</f>
        <v>0</v>
      </c>
      <c r="I17" s="7">
        <f>VLOOKUP($A17,[6]HISTONOV24!$A$6:$AV$49,38,0)</f>
        <v>0</v>
      </c>
      <c r="J17" s="7">
        <f>IF(H17=0,0,VLOOKUP($A17,[6]HISTONOV24!$A$6:$AV$49,42,0))</f>
        <v>0</v>
      </c>
      <c r="K17" s="7">
        <f>VLOOKUP($A17,[6]HISTONOV24!$A$6:$AV$49,41,0)</f>
        <v>0</v>
      </c>
      <c r="L17" s="7">
        <f>TONTOCT24!H17+TONTOCT24!I17</f>
        <v>0</v>
      </c>
      <c r="M17" s="7">
        <f>VLOOKUP($A17,[6]HISTONOV24!$A$6:$AV$49,16,0)</f>
        <v>0</v>
      </c>
      <c r="N17" s="7" t="str">
        <f>IF(M17&lt;&gt;0,VLOOKUP($A17,[6]HISTONOV24!$A$6:$AV$49,8,0),"ECHEC")</f>
        <v>ECHEC</v>
      </c>
      <c r="O17" s="7">
        <f>IF(R17=0,0,VLOOKUP($A17,[6]HISTONOV24!$A$6:$AV$49,32,0))</f>
        <v>0</v>
      </c>
      <c r="P17" s="7">
        <f>VLOOKUP($A17,[6]HISTONOV24!$A$6:$AV$49,33,0)</f>
        <v>0</v>
      </c>
      <c r="Q17" s="7">
        <f t="shared" si="1"/>
        <v>0</v>
      </c>
      <c r="R17" s="7">
        <f>VLOOKUP($A17,[6]HISTONOV24!$A$6:$AV$49,29,0)</f>
        <v>0</v>
      </c>
      <c r="S17" s="1"/>
    </row>
    <row r="18" spans="1:19" x14ac:dyDescent="0.35">
      <c r="A18" s="1" t="s">
        <v>96</v>
      </c>
      <c r="B18" s="7">
        <f>IF(D18=0,0,VLOOKUP($A18,[6]HISTONOV24!$A$6:$BP$44,10,0))</f>
        <v>1</v>
      </c>
      <c r="C18" s="1" t="str">
        <f>VLOOKUP(A18,[7]LISTADHERENT!A$5:H$60,3,0)</f>
        <v>MASSEUNGOUE DAGOBERT</v>
      </c>
      <c r="D18" s="7">
        <f t="shared" si="0"/>
        <v>25000</v>
      </c>
      <c r="E18" s="7">
        <f>D18+VLOOKUP($A18,[6]HISTONOV24!$A$7:$AU$42,45,0)+F18</f>
        <v>50000</v>
      </c>
      <c r="F18" s="7">
        <f>VLOOKUP($A18,[6]HISTONOV24!$A$6:$AV$48,7,0)</f>
        <v>0</v>
      </c>
      <c r="G18" s="7" t="str">
        <f>VLOOKUP($A18,[6]HISTONOV24!$A$6:$AV$49,8,0)</f>
        <v>BANQUE</v>
      </c>
      <c r="H18" s="7">
        <f>VLOOKUP($A18,[6]HISTONOV24!$A$6:$AV$49,35,0)</f>
        <v>0</v>
      </c>
      <c r="I18" s="7">
        <f>VLOOKUP($A18,[6]HISTONOV24!$A$6:$AV$49,38,0)</f>
        <v>0</v>
      </c>
      <c r="J18" s="7">
        <f>IF(H18=0,0,VLOOKUP($A18,[6]HISTONOV24!$A$6:$AV$49,42,0))</f>
        <v>0</v>
      </c>
      <c r="K18" s="7">
        <f>VLOOKUP($A18,[6]HISTONOV24!$A$6:$AV$49,41,0)</f>
        <v>0</v>
      </c>
      <c r="L18" s="7">
        <f>TONTOCT24!H18+TONTOCT24!I18</f>
        <v>0</v>
      </c>
      <c r="M18" s="7">
        <f>VLOOKUP($A18,[6]HISTONOV24!$A$6:$AV$49,16,0)</f>
        <v>0</v>
      </c>
      <c r="N18" s="7" t="str">
        <f>IF(M18&lt;&gt;0,VLOOKUP($A18,[6]HISTONOV24!$A$6:$AV$49,8,0),"ECHEC")</f>
        <v>ECHEC</v>
      </c>
      <c r="O18" s="7">
        <f>IF(R18=0,0,VLOOKUP($A18,[6]HISTONOV24!$A$6:$AV$49,32,0))</f>
        <v>0</v>
      </c>
      <c r="P18" s="7">
        <f>VLOOKUP($A18,[6]HISTONOV24!$A$6:$AV$49,33,0)</f>
        <v>0</v>
      </c>
      <c r="Q18" s="7">
        <f t="shared" si="1"/>
        <v>0</v>
      </c>
      <c r="R18" s="7">
        <f>VLOOKUP($A18,[6]HISTONOV24!$A$6:$AV$49,29,0)</f>
        <v>0</v>
      </c>
      <c r="S18" s="1"/>
    </row>
    <row r="19" spans="1:19" x14ac:dyDescent="0.35">
      <c r="A19" s="1" t="s">
        <v>44</v>
      </c>
      <c r="B19" s="7">
        <f>IF(D19=0,0,VLOOKUP($A19,[6]HISTONOV24!$A$6:$BP$44,10,0))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D19+VLOOKUP($A19,[6]HISTONOV24!$A$7:$AU$42,45,0)+F19</f>
        <v>50000</v>
      </c>
      <c r="F19" s="7">
        <f>VLOOKUP($A19,[6]HISTONOV24!$A$6:$AV$48,7,0)</f>
        <v>0</v>
      </c>
      <c r="G19" s="7" t="str">
        <f>VLOOKUP($A19,[6]HISTONOV24!$A$6:$AV$49,8,0)</f>
        <v>BANQUE</v>
      </c>
      <c r="H19" s="7">
        <f>VLOOKUP($A19,[6]HISTONOV24!$A$6:$AV$49,35,0)</f>
        <v>130000</v>
      </c>
      <c r="I19" s="7">
        <f>VLOOKUP($A19,[6]HISTONOV24!$A$6:$AV$49,38,0)</f>
        <v>2000</v>
      </c>
      <c r="J19" s="7" t="str">
        <f>IF(H19=0,0,VLOOKUP($A19,[6]HISTONOV24!$A$6:$AV$49,42,0))</f>
        <v>BANQUE</v>
      </c>
      <c r="K19" s="7">
        <f>VLOOKUP($A19,[6]HISTONOV24!$A$6:$AV$49,41,0)</f>
        <v>0</v>
      </c>
      <c r="L19" s="7">
        <f>TONTOCT24!H19+TONTOCT24!I19</f>
        <v>0</v>
      </c>
      <c r="M19" s="7">
        <f>VLOOKUP($A19,[6]HISTONOV24!$A$6:$AV$49,16,0)</f>
        <v>0</v>
      </c>
      <c r="N19" s="7" t="str">
        <f>IF(M19&lt;&gt;0,VLOOKUP($A19,[6]HISTONOV24!$A$6:$AV$49,8,0),"ECHEC")</f>
        <v>ECHEC</v>
      </c>
      <c r="O19" s="7">
        <f>IF(R19=0,0,VLOOKUP($A19,[6]HISTONOV24!$A$6:$AV$49,32,0))</f>
        <v>0</v>
      </c>
      <c r="P19" s="7">
        <f>VLOOKUP($A19,[6]HISTONOV24!$A$6:$AV$49,33,0)</f>
        <v>0</v>
      </c>
      <c r="Q19" s="7">
        <f t="shared" si="1"/>
        <v>0</v>
      </c>
      <c r="R19" s="7">
        <f>VLOOKUP($A19,[6]HISTONOV24!$A$6:$AV$49,29,0)</f>
        <v>0</v>
      </c>
      <c r="S19" s="1"/>
    </row>
    <row r="20" spans="1:19" x14ac:dyDescent="0.35">
      <c r="A20" s="1" t="s">
        <v>25</v>
      </c>
      <c r="B20" s="7">
        <f>IF(D20=0,0,VLOOKUP($A20,[6]HISTONOV24!$A$6:$BP$44,10,0))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D20+VLOOKUP($A20,[6]HISTONOV24!$A$7:$AU$42,45,0)+F20</f>
        <v>50000</v>
      </c>
      <c r="F20" s="7">
        <f>VLOOKUP($A20,[6]HISTONOV24!$A$6:$AV$48,7,0)</f>
        <v>0</v>
      </c>
      <c r="G20" s="7" t="str">
        <f>VLOOKUP($A20,[6]HISTONOV24!$A$6:$AV$49,8,0)</f>
        <v>BANQUE</v>
      </c>
      <c r="H20" s="7">
        <f>VLOOKUP($A20,[6]HISTONOV24!$A$6:$AV$49,35,0)</f>
        <v>0</v>
      </c>
      <c r="I20" s="7">
        <f>VLOOKUP($A20,[6]HISTONOV24!$A$6:$AV$49,38,0)</f>
        <v>0</v>
      </c>
      <c r="J20" s="7">
        <f>IF(H20=0,0,VLOOKUP($A20,[6]HISTONOV24!$A$6:$AV$49,42,0))</f>
        <v>0</v>
      </c>
      <c r="K20" s="7">
        <f>VLOOKUP($A20,[6]HISTONOV24!$A$6:$AV$49,41,0)</f>
        <v>0</v>
      </c>
      <c r="L20" s="7">
        <f>TONTOCT24!H20+TONTOCT24!I20</f>
        <v>0</v>
      </c>
      <c r="M20" s="7">
        <f>VLOOKUP($A20,[6]HISTONOV24!$A$6:$AV$49,16,0)</f>
        <v>0</v>
      </c>
      <c r="N20" s="7" t="str">
        <f>IF(M20&lt;&gt;0,VLOOKUP($A20,[6]HISTONOV24!$A$6:$AV$49,8,0),"ECHEC")</f>
        <v>ECHEC</v>
      </c>
      <c r="O20" s="7">
        <f>IF(R20=0,0,VLOOKUP($A20,[6]HISTONOV24!$A$6:$AV$49,32,0))</f>
        <v>0</v>
      </c>
      <c r="P20" s="7">
        <f>VLOOKUP($A20,[6]HISTONOV24!$A$6:$AV$49,33,0)</f>
        <v>0</v>
      </c>
      <c r="Q20" s="7">
        <f t="shared" si="1"/>
        <v>0</v>
      </c>
      <c r="R20" s="7">
        <f>VLOOKUP($A20,[6]HISTONOV24!$A$6:$AV$49,29,0)</f>
        <v>0</v>
      </c>
      <c r="S20" s="1"/>
    </row>
    <row r="21" spans="1:19" x14ac:dyDescent="0.35">
      <c r="A21" s="1" t="s">
        <v>18</v>
      </c>
      <c r="B21" s="7">
        <f>IF(D21=0,0,VLOOKUP($A21,[6]HISTONOV24!$A$6:$BP$44,10,0))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D21+VLOOKUP($A21,[6]HISTONOV24!$A$7:$AU$42,45,0)+F21</f>
        <v>50000</v>
      </c>
      <c r="F21" s="7">
        <f>VLOOKUP($A21,[6]HISTONOV24!$A$6:$AV$48,7,0)</f>
        <v>0</v>
      </c>
      <c r="G21" s="7" t="str">
        <f>VLOOKUP($A21,[6]HISTONOV24!$A$6:$AV$49,8,0)</f>
        <v>BANQUE</v>
      </c>
      <c r="H21" s="7">
        <f>VLOOKUP($A21,[6]HISTONOV24!$A$6:$AV$49,35,0)</f>
        <v>0</v>
      </c>
      <c r="I21" s="7">
        <f>VLOOKUP($A21,[6]HISTONOV24!$A$6:$AV$49,38,0)</f>
        <v>0</v>
      </c>
      <c r="J21" s="7">
        <f>IF(H21=0,0,VLOOKUP($A21,[6]HISTONOV24!$A$6:$AV$49,42,0))</f>
        <v>0</v>
      </c>
      <c r="K21" s="7">
        <f>VLOOKUP($A21,[6]HISTONOV24!$A$6:$AV$49,41,0)</f>
        <v>0</v>
      </c>
      <c r="L21" s="7">
        <f>TONTOCT24!H21+TONTOCT24!I21</f>
        <v>0</v>
      </c>
      <c r="M21" s="7">
        <f>VLOOKUP($A21,[6]HISTONOV24!$A$6:$AV$49,16,0)</f>
        <v>0</v>
      </c>
      <c r="N21" s="7" t="str">
        <f>IF(M21&lt;&gt;0,VLOOKUP($A21,[6]HISTONOV24!$A$6:$AV$49,8,0),"ECHEC")</f>
        <v>ECHEC</v>
      </c>
      <c r="O21" s="7">
        <f>IF(R21=0,0,VLOOKUP($A21,[6]HISTONOV24!$A$6:$AV$49,32,0))</f>
        <v>0</v>
      </c>
      <c r="P21" s="7">
        <f>VLOOKUP($A21,[6]HISTONOV24!$A$6:$AV$49,33,0)</f>
        <v>0</v>
      </c>
      <c r="Q21" s="7">
        <f t="shared" si="1"/>
        <v>0</v>
      </c>
      <c r="R21" s="7">
        <f>VLOOKUP($A21,[6]HISTONOV24!$A$6:$AV$49,29,0)</f>
        <v>0</v>
      </c>
      <c r="S21" s="1"/>
    </row>
    <row r="22" spans="1:19" x14ac:dyDescent="0.35">
      <c r="A22" s="1" t="s">
        <v>19</v>
      </c>
      <c r="B22" s="7">
        <f>IF(D22=0,0,VLOOKUP($A22,[6]HISTONOV24!$A$6:$BP$44,10,0))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D22+VLOOKUP($A22,[6]HISTONOV24!$A$7:$AU$42,45,0)+F22</f>
        <v>60000</v>
      </c>
      <c r="F22" s="7">
        <f>VLOOKUP($A22,[6]HISTONOV24!$A$6:$AV$48,7,0)</f>
        <v>0</v>
      </c>
      <c r="G22" s="7" t="str">
        <f>VLOOKUP($A22,[6]HISTONOV24!$A$6:$AV$49,8,0)</f>
        <v>BANQUE</v>
      </c>
      <c r="H22" s="7">
        <f>VLOOKUP($A22,[6]HISTONOV24!$A$6:$AV$49,35,0)</f>
        <v>0</v>
      </c>
      <c r="I22" s="7">
        <f>VLOOKUP($A22,[6]HISTONOV24!$A$6:$AV$49,38,0)</f>
        <v>0</v>
      </c>
      <c r="J22" s="7">
        <f>IF(H22=0,0,VLOOKUP($A22,[6]HISTONOV24!$A$6:$AV$49,42,0))</f>
        <v>0</v>
      </c>
      <c r="K22" s="7">
        <f>VLOOKUP($A22,[6]HISTONOV24!$A$6:$AV$49,41,0)</f>
        <v>0</v>
      </c>
      <c r="L22" s="7">
        <f>TONTOCT24!H22+TONTOCT24!I22</f>
        <v>0</v>
      </c>
      <c r="M22" s="7">
        <f>VLOOKUP($A22,[6]HISTONOV24!$A$6:$AV$49,16,0)</f>
        <v>0</v>
      </c>
      <c r="N22" s="7" t="str">
        <f>IF(M22&lt;&gt;0,VLOOKUP($A22,[6]HISTONOV24!$A$6:$AV$49,8,0),"ECHEC")</f>
        <v>ECHEC</v>
      </c>
      <c r="O22" s="7">
        <f>IF(R22=0,0,VLOOKUP($A22,[6]HISTONOV24!$A$6:$AV$49,32,0))</f>
        <v>0</v>
      </c>
      <c r="P22" s="7">
        <f>VLOOKUP($A22,[6]HISTONOV24!$A$6:$AV$49,33,0)</f>
        <v>0</v>
      </c>
      <c r="Q22" s="7">
        <f t="shared" si="1"/>
        <v>0</v>
      </c>
      <c r="R22" s="7">
        <f>VLOOKUP($A22,[6]HISTONOV24!$A$6:$AV$49,29,0)</f>
        <v>0</v>
      </c>
      <c r="S22" s="1"/>
    </row>
    <row r="23" spans="1:19" x14ac:dyDescent="0.35">
      <c r="A23" s="1" t="s">
        <v>20</v>
      </c>
      <c r="B23" s="7">
        <f>IF(D23=0,0,VLOOKUP($A23,[6]HISTONOV24!$A$6:$BP$44,10,0))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D23+VLOOKUP($A23,[6]HISTONOV24!$A$7:$AU$42,45,0)+F23</f>
        <v>68000</v>
      </c>
      <c r="F23" s="7">
        <f>VLOOKUP($A23,[6]HISTONOV24!$A$6:$AV$48,7,0)</f>
        <v>3000</v>
      </c>
      <c r="G23" s="7" t="str">
        <f>VLOOKUP($A23,[6]HISTONOV24!$A$6:$AV$49,8,0)</f>
        <v>BANQUE</v>
      </c>
      <c r="H23" s="7">
        <f>VLOOKUP($A23,[6]HISTONOV24!$A$6:$AV$49,35,0)</f>
        <v>0</v>
      </c>
      <c r="I23" s="7">
        <f>VLOOKUP($A23,[6]HISTONOV24!$A$6:$AV$49,38,0)</f>
        <v>0</v>
      </c>
      <c r="J23" s="7">
        <f>IF(H23=0,0,VLOOKUP($A23,[6]HISTONOV24!$A$6:$AV$49,42,0))</f>
        <v>0</v>
      </c>
      <c r="K23" s="7">
        <f>VLOOKUP($A23,[6]HISTONOV24!$A$6:$AV$49,41,0)</f>
        <v>0</v>
      </c>
      <c r="L23" s="7">
        <f>TONTOCT24!H23+TONTOCT24!I23</f>
        <v>0</v>
      </c>
      <c r="M23" s="7">
        <f>VLOOKUP($A23,[6]HISTONOV24!$A$6:$AV$49,16,0)</f>
        <v>0</v>
      </c>
      <c r="N23" s="7" t="str">
        <f>IF(M23&lt;&gt;0,VLOOKUP($A23,[6]HISTONOV24!$A$6:$AV$49,8,0),"ECHEC")</f>
        <v>ECHEC</v>
      </c>
      <c r="O23" s="7">
        <f>IF(R23=0,0,VLOOKUP($A23,[6]HISTONOV24!$A$6:$AV$49,32,0))</f>
        <v>0</v>
      </c>
      <c r="P23" s="7">
        <f>VLOOKUP($A23,[6]HISTONOV24!$A$6:$AV$49,33,0)</f>
        <v>0</v>
      </c>
      <c r="Q23" s="7">
        <f t="shared" si="1"/>
        <v>0</v>
      </c>
      <c r="R23" s="7">
        <f>VLOOKUP($A23,[6]HISTONOV24!$A$6:$AV$49,29,0)</f>
        <v>0</v>
      </c>
      <c r="S23" s="1"/>
    </row>
    <row r="24" spans="1:19" x14ac:dyDescent="0.35">
      <c r="A24" s="1" t="s">
        <v>21</v>
      </c>
      <c r="B24" s="7">
        <f>IF(D24=0,0,VLOOKUP($A24,[6]HISTONOV24!$A$6:$BP$44,10,0))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D24+VLOOKUP($A24,[6]HISTONOV24!$A$7:$AU$42,45,0)+F24</f>
        <v>54000</v>
      </c>
      <c r="F24" s="7">
        <f>VLOOKUP($A24,[6]HISTONOV24!$A$6:$AV$48,7,0)</f>
        <v>0</v>
      </c>
      <c r="G24" s="7" t="str">
        <f>VLOOKUP($A24,[6]HISTONOV24!$A$6:$AV$49,8,0)</f>
        <v>BANQUE</v>
      </c>
      <c r="H24" s="7">
        <f>VLOOKUP($A24,[6]HISTONOV24!$A$6:$AV$49,35,0)</f>
        <v>0</v>
      </c>
      <c r="I24" s="7">
        <f>VLOOKUP($A24,[6]HISTONOV24!$A$6:$AV$49,38,0)</f>
        <v>0</v>
      </c>
      <c r="J24" s="7">
        <f>IF(H24=0,0,VLOOKUP($A24,[6]HISTONOV24!$A$6:$AV$49,42,0))</f>
        <v>0</v>
      </c>
      <c r="K24" s="7">
        <f>VLOOKUP($A24,[6]HISTONOV24!$A$6:$AV$49,41,0)</f>
        <v>0</v>
      </c>
      <c r="L24" s="7">
        <f>TONTOCT24!H24+TONTOCT24!I24</f>
        <v>0</v>
      </c>
      <c r="M24" s="7">
        <f>VLOOKUP($A24,[6]HISTONOV24!$A$6:$AV$49,16,0)</f>
        <v>0</v>
      </c>
      <c r="N24" s="7" t="str">
        <f>IF(M24&lt;&gt;0,VLOOKUP($A24,[6]HISTONOV24!$A$6:$AV$49,8,0),"ECHEC")</f>
        <v>ECHEC</v>
      </c>
      <c r="O24" s="7">
        <f>IF(R24=0,0,VLOOKUP($A24,[6]HISTONOV24!$A$6:$AV$49,32,0))</f>
        <v>0</v>
      </c>
      <c r="P24" s="7">
        <f>VLOOKUP($A24,[6]HISTONOV24!$A$6:$AV$49,33,0)</f>
        <v>0</v>
      </c>
      <c r="Q24" s="7">
        <f t="shared" si="1"/>
        <v>0</v>
      </c>
      <c r="R24" s="7">
        <f>VLOOKUP($A24,[6]HISTONOV24!$A$6:$AV$49,29,0)</f>
        <v>0</v>
      </c>
      <c r="S24" s="1"/>
    </row>
    <row r="25" spans="1:19" x14ac:dyDescent="0.35">
      <c r="A25" s="1" t="s">
        <v>22</v>
      </c>
      <c r="B25" s="7">
        <f>IF(D25=0,0,VLOOKUP($A25,[6]HISTONOV24!$A$6:$BP$44,10,0))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D25+VLOOKUP($A25,[6]HISTONOV24!$A$7:$AU$42,45,0)+F25</f>
        <v>50000</v>
      </c>
      <c r="F25" s="7">
        <f>VLOOKUP($A25,[6]HISTONOV24!$A$6:$AV$48,7,0)</f>
        <v>0</v>
      </c>
      <c r="G25" s="7" t="str">
        <f>VLOOKUP($A25,[6]HISTONOV24!$A$6:$AV$49,8,0)</f>
        <v>BANQUE</v>
      </c>
      <c r="H25" s="7">
        <f>VLOOKUP($A25,[6]HISTONOV24!$A$6:$AV$49,35,0)</f>
        <v>0</v>
      </c>
      <c r="I25" s="7">
        <f>VLOOKUP($A25,[6]HISTONOV24!$A$6:$AV$49,38,0)</f>
        <v>0</v>
      </c>
      <c r="J25" s="7">
        <f>IF(H25=0,0,VLOOKUP($A25,[6]HISTONOV24!$A$6:$AV$49,42,0))</f>
        <v>0</v>
      </c>
      <c r="K25" s="7">
        <f>VLOOKUP($A25,[6]HISTONOV24!$A$6:$AV$49,41,0)</f>
        <v>0</v>
      </c>
      <c r="L25" s="7">
        <f>TONTOCT24!H25+TONTOCT24!I25</f>
        <v>0</v>
      </c>
      <c r="M25" s="7">
        <f>VLOOKUP($A25,[6]HISTONOV24!$A$6:$AV$49,16,0)</f>
        <v>0</v>
      </c>
      <c r="N25" s="7" t="str">
        <f>IF(M25&lt;&gt;0,VLOOKUP($A25,[6]HISTONOV24!$A$6:$AV$49,8,0),"ECHEC")</f>
        <v>ECHEC</v>
      </c>
      <c r="O25" s="7">
        <f>IF(R25=0,0,VLOOKUP($A25,[6]HISTONOV24!$A$6:$AV$49,32,0))</f>
        <v>0</v>
      </c>
      <c r="P25" s="7">
        <f>VLOOKUP($A25,[6]HISTONOV24!$A$6:$AV$49,33,0)</f>
        <v>0</v>
      </c>
      <c r="Q25" s="7">
        <f t="shared" si="1"/>
        <v>0</v>
      </c>
      <c r="R25" s="7">
        <f>VLOOKUP($A25,[6]HISTONOV24!$A$6:$AV$49,29,0)</f>
        <v>0</v>
      </c>
      <c r="S25" s="1"/>
    </row>
    <row r="26" spans="1:19" x14ac:dyDescent="0.35">
      <c r="A26" s="1" t="s">
        <v>85</v>
      </c>
      <c r="B26" s="7">
        <f>IF(D26=0,0,VLOOKUP($A26,[6]HISTONOV24!$A$6:$BP$44,10,0))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D26+VLOOKUP($A26,[6]HISTONOV24!$A$7:$AU$42,45,0)+F26</f>
        <v>50000</v>
      </c>
      <c r="F26" s="7">
        <f>VLOOKUP($A26,[6]HISTONOV24!$A$6:$AV$48,7,0)</f>
        <v>0</v>
      </c>
      <c r="G26" s="7" t="str">
        <f>VLOOKUP($A26,[6]HISTONOV24!$A$6:$AV$49,8,0)</f>
        <v>BANQUE</v>
      </c>
      <c r="H26" s="7">
        <f>VLOOKUP($A26,[6]HISTONOV24!$A$6:$AV$49,35,0)</f>
        <v>0</v>
      </c>
      <c r="I26" s="7">
        <f>VLOOKUP($A26,[6]HISTONOV24!$A$6:$AV$49,38,0)</f>
        <v>0</v>
      </c>
      <c r="J26" s="7">
        <f>IF(H26=0,0,VLOOKUP($A26,[6]HISTONOV24!$A$6:$AV$49,42,0))</f>
        <v>0</v>
      </c>
      <c r="K26" s="7">
        <f>VLOOKUP($A26,[6]HISTONOV24!$A$6:$AV$49,41,0)</f>
        <v>0</v>
      </c>
      <c r="L26" s="7">
        <f>TONTOCT24!H26+TONTOCT24!I26</f>
        <v>0</v>
      </c>
      <c r="M26" s="7">
        <f>VLOOKUP($A26,[6]HISTONOV24!$A$6:$AV$49,16,0)</f>
        <v>0</v>
      </c>
      <c r="N26" s="7" t="str">
        <f>IF(M26&lt;&gt;0,VLOOKUP($A26,[6]HISTONOV24!$A$6:$AV$49,8,0),"ECHEC")</f>
        <v>ECHEC</v>
      </c>
      <c r="O26" s="7">
        <f>IF(R26=0,0,VLOOKUP($A26,[6]HISTONOV24!$A$6:$AV$49,32,0))</f>
        <v>0</v>
      </c>
      <c r="P26" s="7">
        <f>VLOOKUP($A26,[6]HISTONOV24!$A$6:$AV$49,33,0)</f>
        <v>0</v>
      </c>
      <c r="Q26" s="7">
        <f t="shared" si="1"/>
        <v>0</v>
      </c>
      <c r="R26" s="7">
        <f>VLOOKUP($A26,[6]HISTONOV24!$A$6:$AV$49,29,0)</f>
        <v>0</v>
      </c>
    </row>
    <row r="27" spans="1:19" x14ac:dyDescent="0.35">
      <c r="A27" s="1" t="s">
        <v>23</v>
      </c>
      <c r="B27" s="7">
        <f>IF(D27=0,0,VLOOKUP($A27,[6]HISTONOV24!$A$6:$BP$44,10,0))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D27+VLOOKUP($A27,[6]HISTONOV24!$A$7:$AU$42,45,0)+F27</f>
        <v>50000</v>
      </c>
      <c r="F27" s="7">
        <f>VLOOKUP($A27,[6]HISTONOV24!$A$6:$AV$48,7,0)</f>
        <v>0</v>
      </c>
      <c r="G27" s="7" t="str">
        <f>VLOOKUP($A27,[6]HISTONOV24!$A$6:$AV$49,8,0)</f>
        <v>BANQUE</v>
      </c>
      <c r="H27" s="7">
        <f>VLOOKUP($A27,[6]HISTONOV24!$A$6:$AV$49,35,0)</f>
        <v>0</v>
      </c>
      <c r="I27" s="7">
        <f>VLOOKUP($A27,[6]HISTONOV24!$A$6:$AV$49,38,0)</f>
        <v>0</v>
      </c>
      <c r="J27" s="7">
        <f>IF(H27=0,0,VLOOKUP($A27,[6]HISTONOV24!$A$6:$AV$49,42,0))</f>
        <v>0</v>
      </c>
      <c r="K27" s="7">
        <f>VLOOKUP($A27,[6]HISTONOV24!$A$6:$AV$49,41,0)</f>
        <v>0</v>
      </c>
      <c r="L27" s="7">
        <f>TONTOCT24!H27+TONTOCT24!I27</f>
        <v>0</v>
      </c>
      <c r="M27" s="7">
        <f>VLOOKUP($A27,[6]HISTONOV24!$A$6:$AV$49,16,0)</f>
        <v>0</v>
      </c>
      <c r="N27" s="7" t="str">
        <f>IF(M27&lt;&gt;0,VLOOKUP($A27,[6]HISTONOV24!$A$6:$AV$49,8,0),"ECHEC")</f>
        <v>ECHEC</v>
      </c>
      <c r="O27" s="7">
        <f>IF(R27=0,0,VLOOKUP($A27,[6]HISTONOV24!$A$6:$AV$49,32,0))</f>
        <v>0</v>
      </c>
      <c r="P27" s="7">
        <f>VLOOKUP($A27,[6]HISTONOV24!$A$6:$AV$49,33,0)</f>
        <v>0</v>
      </c>
      <c r="Q27" s="7">
        <f t="shared" si="1"/>
        <v>0</v>
      </c>
      <c r="R27" s="7">
        <f>VLOOKUP($A27,[6]HISTONOV24!$A$6:$AV$49,29,0)</f>
        <v>0</v>
      </c>
    </row>
    <row r="28" spans="1:19" x14ac:dyDescent="0.35">
      <c r="A28" s="1" t="s">
        <v>86</v>
      </c>
      <c r="B28" s="7">
        <f>IF(D28=0,0,VLOOKUP($A28,[6]HISTONOV24!$A$6:$BP$44,10,0))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D28+VLOOKUP($A28,[6]HISTONOV24!$A$7:$AU$42,45,0)+F28</f>
        <v>58500</v>
      </c>
      <c r="F28" s="7">
        <f>VLOOKUP($A28,[6]HISTONOV24!$A$6:$AV$48,7,0)</f>
        <v>0</v>
      </c>
      <c r="G28" s="7" t="str">
        <f>VLOOKUP($A28,[6]HISTONOV24!$A$6:$AV$49,8,0)</f>
        <v>BANQUE</v>
      </c>
      <c r="H28" s="7">
        <f>VLOOKUP($A28,[6]HISTONOV24!$A$6:$AV$49,35,0)</f>
        <v>60000</v>
      </c>
      <c r="I28" s="7">
        <f>VLOOKUP($A28,[6]HISTONOV24!$A$6:$AV$49,38,0)</f>
        <v>1000</v>
      </c>
      <c r="J28" s="7" t="str">
        <f>IF(H28=0,0,VLOOKUP($A28,[6]HISTONOV24!$A$6:$AV$49,42,0))</f>
        <v>BANQUE</v>
      </c>
      <c r="K28" s="7">
        <f>VLOOKUP($A28,[6]HISTONOV24!$A$6:$AV$49,41,0)</f>
        <v>0</v>
      </c>
      <c r="L28" s="7">
        <f>TONTOCT24!H28+TONTOCT24!I28</f>
        <v>61500</v>
      </c>
      <c r="M28" s="7">
        <f>VLOOKUP($A28,[6]HISTONOV24!$A$6:$AV$49,16,0)</f>
        <v>61500</v>
      </c>
      <c r="N28" s="7" t="str">
        <f>IF(M28&lt;&gt;0,VLOOKUP($A28,[6]HISTONOV24!$A$6:$AV$49,8,0),"ECHEC")</f>
        <v>BANQUE</v>
      </c>
      <c r="O28" s="7">
        <f>IF(R28=0,0,VLOOKUP($A28,[6]HISTONOV24!$A$6:$AV$49,32,0))</f>
        <v>0</v>
      </c>
      <c r="P28" s="7">
        <f>VLOOKUP($A28,[6]HISTONOV24!$A$6:$AV$49,33,0)</f>
        <v>0</v>
      </c>
      <c r="Q28" s="7">
        <f t="shared" si="1"/>
        <v>0</v>
      </c>
      <c r="R28" s="7">
        <f>VLOOKUP($A28,[6]HISTONOV24!$A$6:$AV$49,29,0)</f>
        <v>0</v>
      </c>
    </row>
    <row r="29" spans="1:19" x14ac:dyDescent="0.35">
      <c r="A29" s="1" t="s">
        <v>46</v>
      </c>
      <c r="B29" s="7">
        <f>IF(D29=0,0,VLOOKUP($A29,[6]HISTONOV24!$A$6:$BP$44,10,0))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D29+VLOOKUP($A29,[6]HISTONOV24!$A$7:$AU$42,45,0)+F29</f>
        <v>50000</v>
      </c>
      <c r="F29" s="7">
        <f>VLOOKUP($A29,[6]HISTONOV24!$A$6:$AV$48,7,0)</f>
        <v>0</v>
      </c>
      <c r="G29" s="7" t="str">
        <f>VLOOKUP($A29,[6]HISTONOV24!$A$6:$AV$49,8,0)</f>
        <v>BANQUE</v>
      </c>
      <c r="H29" s="7">
        <f>VLOOKUP($A29,[6]HISTONOV24!$A$6:$AV$49,35,0)</f>
        <v>0</v>
      </c>
      <c r="I29" s="7">
        <f>VLOOKUP($A29,[6]HISTONOV24!$A$6:$AV$49,38,0)</f>
        <v>0</v>
      </c>
      <c r="J29" s="7">
        <f>IF(H29=0,0,VLOOKUP($A29,[6]HISTONOV24!$A$6:$AV$49,42,0))</f>
        <v>0</v>
      </c>
      <c r="K29" s="7">
        <f>VLOOKUP($A29,[6]HISTONOV24!$A$6:$AV$49,41,0)</f>
        <v>0</v>
      </c>
      <c r="L29" s="7">
        <f>TONTOCT24!H29+TONTOCT24!I29</f>
        <v>0</v>
      </c>
      <c r="M29" s="7">
        <f>VLOOKUP($A29,[6]HISTONOV24!$A$6:$AV$49,16,0)</f>
        <v>0</v>
      </c>
      <c r="N29" s="7" t="str">
        <f>IF(M29&lt;&gt;0,VLOOKUP($A29,[6]HISTONOV24!$A$6:$AV$49,8,0),"ECHEC")</f>
        <v>ECHEC</v>
      </c>
      <c r="O29" s="7">
        <f>IF(R29=0,0,VLOOKUP($A29,[6]HISTONOV24!$A$6:$AV$49,32,0))</f>
        <v>0</v>
      </c>
      <c r="P29" s="7">
        <f>VLOOKUP($A29,[6]HISTONOV24!$A$6:$AV$49,33,0)</f>
        <v>0</v>
      </c>
      <c r="Q29" s="7">
        <f t="shared" si="1"/>
        <v>0</v>
      </c>
      <c r="R29" s="7">
        <f>VLOOKUP($A29,[6]HISTONOV24!$A$6:$AV$49,29,0)</f>
        <v>0</v>
      </c>
    </row>
    <row r="30" spans="1:19" x14ac:dyDescent="0.35">
      <c r="A30" s="1" t="s">
        <v>24</v>
      </c>
      <c r="B30" s="7">
        <f>IF(D30=0,0,VLOOKUP($A30,[6]HISTONOV24!$A$6:$BP$44,10,0))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D30+VLOOKUP($A30,[6]HISTONOV24!$A$7:$AU$42,45,0)+F30</f>
        <v>50000</v>
      </c>
      <c r="F30" s="7">
        <f>VLOOKUP($A30,[6]HISTONOV24!$A$6:$AV$48,7,0)</f>
        <v>0</v>
      </c>
      <c r="G30" s="7" t="str">
        <f>VLOOKUP($A30,[6]HISTONOV24!$A$6:$AV$49,8,0)</f>
        <v>BANQUE</v>
      </c>
      <c r="H30" s="7">
        <f>VLOOKUP($A30,[6]HISTONOV24!$A$6:$AV$49,35,0)</f>
        <v>0</v>
      </c>
      <c r="I30" s="7">
        <f>VLOOKUP($A30,[6]HISTONOV24!$A$6:$AV$49,38,0)</f>
        <v>0</v>
      </c>
      <c r="J30" s="7">
        <f>IF(H30=0,0,VLOOKUP($A30,[6]HISTONOV24!$A$6:$AV$49,42,0))</f>
        <v>0</v>
      </c>
      <c r="K30" s="7">
        <f>VLOOKUP($A30,[6]HISTONOV24!$A$6:$AV$49,41,0)</f>
        <v>0</v>
      </c>
      <c r="L30" s="7">
        <f>TONTOCT24!H30+TONTOCT24!I30</f>
        <v>0</v>
      </c>
      <c r="M30" s="7">
        <f>VLOOKUP($A30,[6]HISTONOV24!$A$6:$AV$49,16,0)</f>
        <v>0</v>
      </c>
      <c r="N30" s="7" t="str">
        <f>IF(M30&lt;&gt;0,VLOOKUP($A30,[6]HISTONOV24!$A$6:$AV$49,8,0),"ECHEC")</f>
        <v>ECHEC</v>
      </c>
      <c r="O30" s="7">
        <f>IF(R30=0,0,VLOOKUP($A30,[6]HISTONOV24!$A$6:$AV$49,32,0))</f>
        <v>0</v>
      </c>
      <c r="P30" s="7">
        <f>VLOOKUP($A30,[6]HISTONOV24!$A$6:$AV$49,33,0)</f>
        <v>0</v>
      </c>
      <c r="Q30" s="7">
        <f t="shared" si="1"/>
        <v>0</v>
      </c>
      <c r="R30" s="7">
        <f>VLOOKUP($A30,[6]HISTONOV24!$A$6:$AV$49,29,0)</f>
        <v>0</v>
      </c>
    </row>
    <row r="31" spans="1:19" x14ac:dyDescent="0.35">
      <c r="A31" s="1" t="s">
        <v>26</v>
      </c>
      <c r="B31" s="7">
        <f>IF(D31=0,0,VLOOKUP($A31,[6]HISTONOV24!$A$6:$BP$44,10,0))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D31+VLOOKUP($A31,[6]HISTONOV24!$A$7:$AU$42,45,0)+F31</f>
        <v>50000</v>
      </c>
      <c r="F31" s="7">
        <f>VLOOKUP($A31,[6]HISTONOV24!$A$6:$AV$48,7,0)</f>
        <v>0</v>
      </c>
      <c r="G31" s="7" t="str">
        <f>VLOOKUP($A31,[6]HISTONOV24!$A$6:$AV$49,8,0)</f>
        <v>BANQUE</v>
      </c>
      <c r="H31" s="7">
        <f>VLOOKUP($A31,[6]HISTONOV24!$A$6:$AV$49,35,0)</f>
        <v>0</v>
      </c>
      <c r="I31" s="7">
        <f>VLOOKUP($A31,[6]HISTONOV24!$A$6:$AV$49,38,0)</f>
        <v>0</v>
      </c>
      <c r="J31" s="7">
        <f>IF(H31=0,0,VLOOKUP($A31,[6]HISTONOV24!$A$6:$AV$49,42,0))</f>
        <v>0</v>
      </c>
      <c r="K31" s="7">
        <f>VLOOKUP($A31,[6]HISTONOV24!$A$6:$AV$49,41,0)</f>
        <v>0</v>
      </c>
      <c r="L31" s="7">
        <f>TONTOCT24!H31+TONTOCT24!I31</f>
        <v>0</v>
      </c>
      <c r="M31" s="7">
        <f>VLOOKUP($A31,[6]HISTONOV24!$A$6:$AV$49,16,0)</f>
        <v>0</v>
      </c>
      <c r="N31" s="7" t="str">
        <f>IF(M31&lt;&gt;0,VLOOKUP($A31,[6]HISTONOV24!$A$6:$AV$49,8,0),"ECHEC")</f>
        <v>ECHEC</v>
      </c>
      <c r="O31" s="7">
        <f>IF(R31=0,0,VLOOKUP($A31,[6]HISTONOV24!$A$6:$AV$49,32,0))</f>
        <v>0</v>
      </c>
      <c r="P31" s="7">
        <f>VLOOKUP($A31,[6]HISTONOV24!$A$6:$AV$49,33,0)</f>
        <v>0</v>
      </c>
      <c r="Q31" s="7">
        <f t="shared" si="1"/>
        <v>0</v>
      </c>
      <c r="R31" s="7">
        <f>VLOOKUP($A31,[6]HISTONOV24!$A$6:$AV$49,29,0)</f>
        <v>0</v>
      </c>
    </row>
    <row r="32" spans="1:19" x14ac:dyDescent="0.35">
      <c r="A32" s="1" t="s">
        <v>95</v>
      </c>
      <c r="B32" s="7">
        <f>IF(D32=0,0,VLOOKUP($A32,[6]HISTONOV24!$A$6:$BP$44,10,0))</f>
        <v>1</v>
      </c>
      <c r="C32" s="1" t="str">
        <f>VLOOKUP(A32,[7]LISTADHERENT!A$5:H$60,3,0)</f>
        <v>TCHOUATEU AUGUSTIN</v>
      </c>
      <c r="D32" s="7">
        <f t="shared" si="0"/>
        <v>25000</v>
      </c>
      <c r="E32" s="7">
        <f>D32+VLOOKUP($A32,[6]HISTONOV24!$A$7:$AU$42,45,0)+F32</f>
        <v>60000</v>
      </c>
      <c r="F32" s="7">
        <f>VLOOKUP($A32,[6]HISTONOV24!$A$6:$AV$48,7,0)</f>
        <v>0</v>
      </c>
      <c r="G32" s="7" t="str">
        <f>VLOOKUP($A32,[6]HISTONOV24!$A$6:$AV$49,8,0)</f>
        <v>BANQUE</v>
      </c>
      <c r="H32" s="7">
        <f>VLOOKUP($A32,[6]HISTONOV24!$A$6:$AV$49,35,0)</f>
        <v>0</v>
      </c>
      <c r="I32" s="7">
        <f>VLOOKUP($A32,[6]HISTONOV24!$A$6:$AV$49,38,0)</f>
        <v>0</v>
      </c>
      <c r="J32" s="7">
        <f>IF(H32=0,0,VLOOKUP($A32,[6]HISTONOV24!$A$6:$AV$49,42,0))</f>
        <v>0</v>
      </c>
      <c r="K32" s="7">
        <f>VLOOKUP($A32,[6]HISTONOV24!$A$6:$AV$49,41,0)</f>
        <v>0</v>
      </c>
      <c r="L32" s="7">
        <f>TONTOCT24!H32+TONTOCT24!I32</f>
        <v>0</v>
      </c>
      <c r="M32" s="7">
        <f>VLOOKUP($A32,[6]HISTONOV24!$A$6:$AV$49,16,0)</f>
        <v>0</v>
      </c>
      <c r="N32" s="7" t="str">
        <f>IF(M32&lt;&gt;0,VLOOKUP($A32,[6]HISTONOV24!$A$6:$AV$49,8,0),"ECHEC")</f>
        <v>ECHEC</v>
      </c>
      <c r="O32" s="7">
        <f>IF(R32=0,0,VLOOKUP($A32,[6]HISTONOV24!$A$6:$AV$49,32,0))</f>
        <v>0</v>
      </c>
      <c r="P32" s="7">
        <f>VLOOKUP($A32,[6]HISTONOV24!$A$6:$AV$49,33,0)</f>
        <v>0</v>
      </c>
      <c r="Q32" s="7">
        <f t="shared" si="1"/>
        <v>0</v>
      </c>
      <c r="R32" s="7">
        <f>VLOOKUP($A32,[6]HISTONOV24!$A$6:$AV$49,29,0)</f>
        <v>0</v>
      </c>
    </row>
    <row r="33" spans="1:18" x14ac:dyDescent="0.35">
      <c r="A33" s="1" t="s">
        <v>87</v>
      </c>
      <c r="B33" s="7">
        <f>IF(D33=0,0,VLOOKUP($A33,[6]HISTONOV24!$A$6:$BP$44,10,0))</f>
        <v>1</v>
      </c>
      <c r="C33" s="1" t="str">
        <f>VLOOKUP(A33,[7]LISTADHERENT!A$5:H$60,3,0)</f>
        <v>TCHOUTOU NANA CLAUDE</v>
      </c>
      <c r="D33" s="7">
        <f t="shared" si="0"/>
        <v>25000</v>
      </c>
      <c r="E33" s="7">
        <f>D33+VLOOKUP($A33,[6]HISTONOV24!$A$7:$AU$42,45,0)+F33</f>
        <v>50000</v>
      </c>
      <c r="F33" s="7">
        <f>VLOOKUP($A33,[6]HISTONOV24!$A$6:$AV$48,7,0)</f>
        <v>0</v>
      </c>
      <c r="G33" s="7" t="str">
        <f>VLOOKUP($A33,[6]HISTONOV24!$A$6:$AV$49,8,0)</f>
        <v>BANQUE</v>
      </c>
      <c r="H33" s="7">
        <f>VLOOKUP($A33,[6]HISTONOV24!$A$6:$AV$49,35,0)</f>
        <v>0</v>
      </c>
      <c r="I33" s="7">
        <f>VLOOKUP($A33,[6]HISTONOV24!$A$6:$AV$49,38,0)</f>
        <v>0</v>
      </c>
      <c r="J33" s="7">
        <f>IF(H33=0,0,VLOOKUP($A33,[6]HISTONOV24!$A$6:$AV$49,42,0))</f>
        <v>0</v>
      </c>
      <c r="K33" s="7">
        <f>VLOOKUP($A33,[6]HISTONOV24!$A$6:$AV$49,41,0)</f>
        <v>0</v>
      </c>
      <c r="L33" s="7">
        <f>TONTOCT24!H33+TONTOCT24!I33</f>
        <v>0</v>
      </c>
      <c r="M33" s="7">
        <f>VLOOKUP($A33,[6]HISTONOV24!$A$6:$AV$49,16,0)</f>
        <v>0</v>
      </c>
      <c r="N33" s="7" t="str">
        <f>IF(M33&lt;&gt;0,VLOOKUP($A33,[6]HISTONOV24!$A$6:$AV$49,8,0),"ECHEC")</f>
        <v>ECHEC</v>
      </c>
      <c r="O33" s="7">
        <f>IF(R33=0,0,VLOOKUP($A33,[6]HISTONOV24!$A$6:$AV$49,32,0))</f>
        <v>0</v>
      </c>
      <c r="P33" s="7">
        <f>VLOOKUP($A33,[6]HISTONOV24!$A$6:$AV$49,33,0)</f>
        <v>0</v>
      </c>
      <c r="Q33" s="7">
        <f t="shared" si="1"/>
        <v>0</v>
      </c>
      <c r="R33" s="7">
        <f>VLOOKUP($A33,[6]HISTONOV24!$A$6:$AV$49,29,0)</f>
        <v>0</v>
      </c>
    </row>
    <row r="34" spans="1:18" x14ac:dyDescent="0.35">
      <c r="A34" s="17" t="s">
        <v>89</v>
      </c>
      <c r="B34" s="7">
        <f>IF(D34=0,0,VLOOKUP($A34,[6]HISTONOV24!$A$6:$BP$44,10,0))</f>
        <v>1</v>
      </c>
      <c r="C34" s="1" t="str">
        <f>VLOOKUP(A34,[7]LISTADHERENT!A$5:H$60,3,0)</f>
        <v>YANTCHOU GERVAIS</v>
      </c>
      <c r="D34" s="7">
        <f t="shared" si="0"/>
        <v>25000</v>
      </c>
      <c r="E34" s="7">
        <f>D34+VLOOKUP($A34,[6]HISTONOV24!$A$7:$AU$42,45,0)+F34</f>
        <v>60000</v>
      </c>
      <c r="F34" s="7">
        <f>VLOOKUP($A34,[6]HISTONOV24!$A$6:$AV$48,7,0)</f>
        <v>0</v>
      </c>
      <c r="G34" s="7" t="str">
        <f>VLOOKUP($A34,[6]HISTONOV24!$A$6:$AV$49,8,0)</f>
        <v>BANQUE</v>
      </c>
      <c r="H34" s="7">
        <f>VLOOKUP($A34,[6]HISTONOV24!$A$6:$AV$49,35,0)</f>
        <v>0</v>
      </c>
      <c r="I34" s="7">
        <f>VLOOKUP($A34,[6]HISTONOV24!$A$6:$AV$49,38,0)</f>
        <v>0</v>
      </c>
      <c r="J34" s="7">
        <f>IF(H34=0,0,VLOOKUP($A34,[6]HISTONOV24!$A$6:$AV$49,42,0))</f>
        <v>0</v>
      </c>
      <c r="K34" s="7">
        <f>VLOOKUP($A34,[6]HISTONOV24!$A$6:$AV$49,41,0)</f>
        <v>0</v>
      </c>
      <c r="L34" s="7">
        <f>TONTOCT24!H34+TONTOCT24!I34</f>
        <v>0</v>
      </c>
      <c r="M34" s="7">
        <f>VLOOKUP($A34,[6]HISTONOV24!$A$6:$AV$49,16,0)</f>
        <v>0</v>
      </c>
      <c r="N34" s="7" t="str">
        <f>IF(M34&lt;&gt;0,VLOOKUP($A34,[6]HISTONOV24!$A$6:$AV$49,8,0),"ECHEC")</f>
        <v>ECHEC</v>
      </c>
      <c r="O34" s="7">
        <f>IF(R34=0,0,VLOOKUP($A34,[6]HISTONOV24!$A$6:$AV$49,32,0))</f>
        <v>0</v>
      </c>
      <c r="P34" s="7">
        <f>VLOOKUP($A34,[6]HISTONOV24!$A$6:$AV$49,33,0)</f>
        <v>0</v>
      </c>
      <c r="Q34" s="7">
        <f t="shared" si="1"/>
        <v>297500</v>
      </c>
      <c r="R34" s="7">
        <f>VLOOKUP($A34,[6]HISTONOV24!$A$6:$AV$49,29,0)</f>
        <v>2500</v>
      </c>
    </row>
    <row r="35" spans="1:18" x14ac:dyDescent="0.35">
      <c r="A35" s="1" t="s">
        <v>27</v>
      </c>
      <c r="B35" s="7">
        <f>IF(D35=0,0,VLOOKUP($A35,[6]HISTONOV24!$A$6:$BP$44,10,0))</f>
        <v>1</v>
      </c>
      <c r="C35" s="1" t="str">
        <f>VLOOKUP(A35,[7]LISTADHERENT!A$5:H$60,3,0)</f>
        <v>YEPMOU JEAN JACQUES</v>
      </c>
      <c r="D35" s="7">
        <f t="shared" si="0"/>
        <v>25000</v>
      </c>
      <c r="E35" s="7">
        <f>D35+VLOOKUP($A35,[6]HISTONOV24!$A$7:$AU$42,45,0)+F35</f>
        <v>50000</v>
      </c>
      <c r="F35" s="7">
        <f>VLOOKUP($A35,[6]HISTONOV24!$A$6:$AV$48,7,0)</f>
        <v>0</v>
      </c>
      <c r="G35" s="7" t="str">
        <f>VLOOKUP($A35,[6]HISTONOV24!$A$6:$AV$49,8,0)</f>
        <v>BANQUE</v>
      </c>
      <c r="H35" s="7">
        <f>VLOOKUP($A35,[6]HISTONOV24!$A$6:$AV$49,35,0)</f>
        <v>0</v>
      </c>
      <c r="I35" s="7">
        <f>VLOOKUP($A35,[6]HISTONOV24!$A$6:$AV$49,38,0)</f>
        <v>0</v>
      </c>
      <c r="J35" s="7">
        <f>IF(H35=0,0,VLOOKUP($A35,[6]HISTONOV24!$A$6:$AV$49,42,0))</f>
        <v>0</v>
      </c>
      <c r="K35" s="7">
        <f>VLOOKUP($A35,[6]HISTONOV24!$A$6:$AV$49,41,0)</f>
        <v>0</v>
      </c>
      <c r="L35" s="7">
        <f>TONTOCT24!H35+TONTOCT24!I35</f>
        <v>0</v>
      </c>
      <c r="M35" s="7">
        <f>VLOOKUP($A35,[6]HISTONOV24!$A$6:$AV$49,16,0)</f>
        <v>0</v>
      </c>
      <c r="N35" s="7" t="str">
        <f>IF(M35&lt;&gt;0,VLOOKUP($A35,[6]HISTONOV24!$A$6:$AV$49,8,0),"ECHEC")</f>
        <v>ECHEC</v>
      </c>
      <c r="O35" s="7">
        <f>IF(R35=0,0,VLOOKUP($A35,[6]HISTONOV24!$A$6:$AV$49,32,0))</f>
        <v>0</v>
      </c>
      <c r="P35" s="7">
        <f>VLOOKUP($A35,[6]HISTONOV24!$A$6:$AV$49,33,0)</f>
        <v>0</v>
      </c>
      <c r="Q35" s="7">
        <f t="shared" si="1"/>
        <v>0</v>
      </c>
      <c r="R35" s="7">
        <f>VLOOKUP($A35,[6]HISTONOV24!$A$6:$AV$49,29,0)</f>
        <v>0</v>
      </c>
    </row>
    <row r="36" spans="1:18" x14ac:dyDescent="0.35">
      <c r="A36" s="1" t="s">
        <v>94</v>
      </c>
      <c r="B36" s="7">
        <f>IF(D36=0,0,VLOOKUP($A36,[6]HISTONOV24!$A$6:$BP$44,10,0))</f>
        <v>1</v>
      </c>
      <c r="C36" s="1" t="str">
        <f>VLOOKUP(A36,[7]LISTADHERENT!A$5:H$60,3,0)</f>
        <v>YIALA ALAIN OSCAR</v>
      </c>
      <c r="D36" s="7">
        <f t="shared" si="0"/>
        <v>25000</v>
      </c>
      <c r="E36" s="7">
        <f>D36+VLOOKUP($A36,[6]HISTONOV24!$A$7:$AU$42,45,0)+F36</f>
        <v>53000</v>
      </c>
      <c r="F36" s="7">
        <f>VLOOKUP($A36,[6]HISTONOV24!$A$6:$AV$48,7,0)</f>
        <v>3000</v>
      </c>
      <c r="G36" s="7" t="str">
        <f>VLOOKUP($A36,[6]HISTONOV24!$A$6:$AV$49,8,0)</f>
        <v>ESPECES</v>
      </c>
      <c r="H36" s="7">
        <f>VLOOKUP($A36,[6]HISTONOV24!$A$6:$AV$49,35,0)</f>
        <v>0</v>
      </c>
      <c r="I36" s="7">
        <f>VLOOKUP($A36,[6]HISTONOV24!$A$6:$AV$49,38,0)</f>
        <v>0</v>
      </c>
      <c r="J36" s="7">
        <f>IF(H36=0,0,VLOOKUP($A36,[6]HISTONOV24!$A$6:$AV$49,42,0))</f>
        <v>0</v>
      </c>
      <c r="K36" s="7">
        <f>VLOOKUP($A36,[6]HISTONOV24!$A$6:$AV$49,41,0)</f>
        <v>0</v>
      </c>
      <c r="L36" s="7">
        <f>TONTOCT24!H36+TONTOCT24!I36</f>
        <v>0</v>
      </c>
      <c r="M36" s="7">
        <f>VLOOKUP($A36,[6]HISTONOV24!$A$6:$AV$49,16,0)</f>
        <v>0</v>
      </c>
      <c r="N36" s="7" t="str">
        <f>IF(M36&lt;&gt;0,VLOOKUP($A36,[6]HISTONOV24!$A$6:$AV$49,8,0),"ECHEC")</f>
        <v>ECHEC</v>
      </c>
      <c r="O36" s="7">
        <f>IF(R36=0,0,VLOOKUP($A36,[6]HISTONOV24!$A$6:$AV$49,32,0))</f>
        <v>0</v>
      </c>
      <c r="P36" s="7">
        <f>VLOOKUP($A36,[6]HISTONOV24!$A$6:$AV$49,33,0)</f>
        <v>0</v>
      </c>
      <c r="Q36" s="7">
        <f t="shared" si="1"/>
        <v>0</v>
      </c>
      <c r="R36" s="7">
        <f>VLOOKUP($A36,[6]HISTONOV24!$A$6:$AV$49,29,0)</f>
        <v>0</v>
      </c>
    </row>
    <row r="37" spans="1:18" x14ac:dyDescent="0.35">
      <c r="A37" s="1" t="s">
        <v>28</v>
      </c>
      <c r="B37" s="7">
        <f>IF(D37=0,0,VLOOKUP($A37,[6]HISTONOV24!$A$6:$BP$44,10,0))</f>
        <v>1</v>
      </c>
      <c r="C37" s="1" t="str">
        <f>VLOOKUP(A37,[7]LISTADHERENT!A$5:H$60,3,0)</f>
        <v>YOUMBI EMMANUEL</v>
      </c>
      <c r="D37" s="7">
        <f t="shared" si="0"/>
        <v>25000</v>
      </c>
      <c r="E37" s="7">
        <f>D37+VLOOKUP($A37,[6]HISTONOV24!$A$7:$AU$42,45,0)+F37</f>
        <v>50000</v>
      </c>
      <c r="F37" s="7">
        <f>VLOOKUP($A37,[6]HISTONOV24!$A$6:$AV$48,7,0)</f>
        <v>0</v>
      </c>
      <c r="G37" s="7" t="str">
        <f>VLOOKUP($A37,[6]HISTONOV24!$A$6:$AV$49,8,0)</f>
        <v>BANQUE</v>
      </c>
      <c r="H37" s="7">
        <f>VLOOKUP($A37,[6]HISTONOV24!$A$6:$AV$49,35,0)</f>
        <v>0</v>
      </c>
      <c r="I37" s="7">
        <f>VLOOKUP($A37,[6]HISTONOV24!$A$6:$AV$49,38,0)</f>
        <v>0</v>
      </c>
      <c r="J37" s="7">
        <f>IF(H37=0,0,VLOOKUP($A37,[6]HISTONOV24!$A$6:$AV$49,42,0))</f>
        <v>0</v>
      </c>
      <c r="K37" s="7">
        <f>VLOOKUP($A37,[6]HISTONOV24!$A$6:$AV$49,41,0)</f>
        <v>0</v>
      </c>
      <c r="L37" s="7">
        <f>TONTOCT24!H37+TONTOCT24!I37</f>
        <v>0</v>
      </c>
      <c r="M37" s="7">
        <f>VLOOKUP($A37,[6]HISTONOV24!$A$6:$AV$49,16,0)</f>
        <v>0</v>
      </c>
      <c r="N37" s="7" t="str">
        <f>IF(M37&lt;&gt;0,VLOOKUP($A37,[6]HISTONOV24!$A$6:$AV$49,8,0),"ECHEC")</f>
        <v>ECHEC</v>
      </c>
      <c r="O37" s="7">
        <f>IF(R37=0,0,VLOOKUP($A37,[6]HISTONOV24!$A$6:$AV$49,32,0))</f>
        <v>0</v>
      </c>
      <c r="P37" s="7">
        <f>VLOOKUP($A37,[6]HISTONOV24!$A$6:$AV$49,33,0)</f>
        <v>0</v>
      </c>
      <c r="Q37" s="7">
        <f t="shared" si="1"/>
        <v>0</v>
      </c>
      <c r="R37" s="7">
        <f>VLOOKUP($A37,[6]HISTONOV24!$A$6:$AV$49,29,0)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12000</v>
      </c>
      <c r="G40" s="8">
        <f t="shared" si="2"/>
        <v>0</v>
      </c>
      <c r="H40" s="8">
        <f t="shared" si="2"/>
        <v>310000</v>
      </c>
      <c r="I40" s="8">
        <f t="shared" si="2"/>
        <v>5000</v>
      </c>
      <c r="J40" s="8">
        <f t="shared" si="2"/>
        <v>0</v>
      </c>
      <c r="K40" s="8">
        <f t="shared" si="2"/>
        <v>0</v>
      </c>
      <c r="L40" s="8">
        <f t="shared" si="2"/>
        <v>123500</v>
      </c>
      <c r="M40" s="8">
        <f t="shared" si="2"/>
        <v>123500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595000</v>
      </c>
      <c r="R40" s="8">
        <f t="shared" si="2"/>
        <v>5000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D46+G46+R40+TONTOCT24!O47</f>
        <v>928500</v>
      </c>
      <c r="N42" s="4"/>
      <c r="O42"/>
      <c r="P42" s="4"/>
    </row>
    <row r="43" spans="1:18" s="2" customFormat="1" ht="17.5" x14ac:dyDescent="0.35">
      <c r="D43" s="8">
        <f>SUMIFS(D6:D39,G6:G39,"ESPECES")</f>
        <v>100000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100000</v>
      </c>
      <c r="K43" s="8"/>
      <c r="L43" s="8" t="s">
        <v>79</v>
      </c>
      <c r="M43" s="8">
        <f>C3*COUNTIF(Q7:Q39,"&gt;0")</f>
        <v>600000</v>
      </c>
      <c r="N43" s="8">
        <f>D3</f>
        <v>3</v>
      </c>
      <c r="O43" s="8">
        <f>COUNTIF(Q6:Q33,"&gt;0")</f>
        <v>1</v>
      </c>
      <c r="P43" s="8"/>
    </row>
    <row r="44" spans="1:18" s="2" customFormat="1" ht="17.5" x14ac:dyDescent="0.35">
      <c r="D44" s="8">
        <f>SUMIFS(D6:D39,G6:G39,"BANQUE")</f>
        <v>700000</v>
      </c>
      <c r="E44" s="8"/>
      <c r="F44" s="8" t="s">
        <v>32</v>
      </c>
      <c r="G44" s="8">
        <f>SUMIFS(M6:M33,N6:N33,"BANQUE")</f>
        <v>123500</v>
      </c>
      <c r="H44" s="8">
        <f>SUMIFS(H6:H39,J6:J39,"BANQUE")</f>
        <v>310000</v>
      </c>
      <c r="I44" s="8">
        <f>SUMIFS(Q6:Q39,O6:O39,"BANQUE")</f>
        <v>0</v>
      </c>
      <c r="J44" s="8">
        <f>D44+G44-H44-I44</f>
        <v>513500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328500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123500</v>
      </c>
      <c r="H46" s="8">
        <f>H43+H44</f>
        <v>310000</v>
      </c>
      <c r="I46" s="8">
        <f t="shared" ref="I46:J46" si="3">I43+I44</f>
        <v>0</v>
      </c>
      <c r="J46" s="8">
        <f t="shared" si="3"/>
        <v>613500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18500</v>
      </c>
      <c r="N47"/>
      <c r="O47" s="8">
        <f>TONTNOV24!M47</f>
        <v>18500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TONTNOV24!M49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TONTNOV24!M50</f>
        <v>0</v>
      </c>
      <c r="P50" s="8" t="s">
        <v>53</v>
      </c>
    </row>
  </sheetData>
  <autoFilter ref="A5:R25" xr:uid="{00000000-0009-0000-0000-00000B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50"/>
  <sheetViews>
    <sheetView workbookViewId="0">
      <pane xSplit="3" ySplit="5" topLeftCell="I12" activePane="bottomRight" state="frozen"/>
      <selection activeCell="G6" sqref="G6:G39"/>
      <selection pane="topRight" activeCell="G6" sqref="G6:G39"/>
      <selection pane="bottomLeft" activeCell="G6" sqref="G6:G39"/>
      <selection pane="bottomRight" activeCell="L6" sqref="L6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8">
        <v>45639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IF(D6=0,0,VLOOKUP($A6,[6]HISTODEC24!$A$6:$BP$44,10,0))</f>
        <v>1</v>
      </c>
      <c r="C6" s="1" t="str">
        <f>VLOOKUP(A6,[7]LISTADHERENT!A$5:H$60,3,0)</f>
        <v>BAKOP ACHILLE</v>
      </c>
      <c r="D6" s="7">
        <f t="shared" ref="D6:D37" si="0">IF(G6="ECHEC",0,B$3)</f>
        <v>25000</v>
      </c>
      <c r="E6" s="7">
        <f>D6+VLOOKUP($A6,[6]HISTODEC24!$A$7:$AU$42,45,0)+F6</f>
        <v>50000</v>
      </c>
      <c r="F6" s="7">
        <f>VLOOKUP($A6,[6]HISTODEC24!$A$6:$AV$48,7,0)</f>
        <v>0</v>
      </c>
      <c r="G6" s="7" t="str">
        <f>VLOOKUP($A6,[6]HISTODEC24!$A$6:$AV$49,8,0)</f>
        <v>ESPECES</v>
      </c>
      <c r="H6" s="7">
        <f>VLOOKUP($A6,[6]HISTODEC24!$A$6:$AV$49,35,0)</f>
        <v>0</v>
      </c>
      <c r="I6" s="7">
        <f>VLOOKUP($A6,[6]HISTODEC24!$A$6:$AV$49,38,0)</f>
        <v>0</v>
      </c>
      <c r="J6" s="7">
        <f>IF(H6=0,0,VLOOKUP($A6,[6]HISTODEC24!$A$6:$AV$49,42,0))</f>
        <v>0</v>
      </c>
      <c r="K6" s="7">
        <f>VLOOKUP($A6,[6]HISTODEC24!$A$6:$AV$49,41,0)</f>
        <v>0</v>
      </c>
      <c r="L6" s="7">
        <f>TONTNOV24!H6+TONTNOV24!I6</f>
        <v>0</v>
      </c>
      <c r="M6" s="7">
        <f>VLOOKUP($A6,[6]HISTODEC24!$A$6:$AV$49,16,0)</f>
        <v>0</v>
      </c>
      <c r="N6" s="7" t="str">
        <f>IF(M6&lt;&gt;0,VLOOKUP($A6,[6]HISTODEC24!$A$6:$AV$49,8,0),"ECHEC")</f>
        <v>ECHEC</v>
      </c>
      <c r="O6" s="7">
        <f>IF(R6=0,0,VLOOKUP($A6,[6]HISTODEC24!$A$6:$AV$49,32,0))</f>
        <v>0</v>
      </c>
      <c r="P6" s="7">
        <f>VLOOKUP($A6,[6]HISTODEC24!$A$6:$AV$49,33,0)</f>
        <v>0</v>
      </c>
      <c r="Q6" s="7">
        <f t="shared" ref="Q6:Q37" si="1">IF(R6=0,0,($C$3-R6))</f>
        <v>0</v>
      </c>
      <c r="R6" s="7">
        <f>VLOOKUP($A6,[6]HISTODEC24!$A$6:$AV$49,29,0)</f>
        <v>0</v>
      </c>
    </row>
    <row r="7" spans="1:19" x14ac:dyDescent="0.35">
      <c r="A7" s="1" t="s">
        <v>9</v>
      </c>
      <c r="B7" s="7">
        <f>IF(D7=0,0,VLOOKUP($A7,[6]HISTODEC24!$A$6:$BP$44,10,0))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D7+VLOOKUP($A7,[6]HISTODEC24!$A$7:$AU$42,45,0)+F7</f>
        <v>50000</v>
      </c>
      <c r="F7" s="7">
        <f>VLOOKUP($A7,[6]HISTODEC24!$A$6:$AV$48,7,0)</f>
        <v>0</v>
      </c>
      <c r="G7" s="7" t="str">
        <f>VLOOKUP($A7,[6]HISTODEC24!$A$6:$AV$49,8,0)</f>
        <v>BANQUE</v>
      </c>
      <c r="H7" s="7">
        <f>VLOOKUP($A7,[6]HISTODEC24!$A$6:$AV$49,35,0)</f>
        <v>0</v>
      </c>
      <c r="I7" s="7">
        <f>VLOOKUP($A7,[6]HISTODEC24!$A$6:$AV$49,38,0)</f>
        <v>0</v>
      </c>
      <c r="J7" s="7">
        <f>IF(H7=0,0,VLOOKUP($A7,[6]HISTODEC24!$A$6:$AV$49,42,0))</f>
        <v>0</v>
      </c>
      <c r="K7" s="7">
        <f>VLOOKUP($A7,[6]HISTODEC24!$A$6:$AV$49,41,0)</f>
        <v>0</v>
      </c>
      <c r="L7" s="7">
        <f>TONTNOV24!H7+TONTNOV24!I7</f>
        <v>0</v>
      </c>
      <c r="M7" s="7">
        <f>VLOOKUP($A7,[6]HISTODEC24!$A$6:$AV$49,16,0)</f>
        <v>0</v>
      </c>
      <c r="N7" s="7" t="str">
        <f>IF(M7&lt;&gt;0,VLOOKUP($A7,[6]HISTODEC24!$A$6:$AV$49,8,0),"ECHEC")</f>
        <v>ECHEC</v>
      </c>
      <c r="O7" s="7">
        <f>IF(R7=0,0,VLOOKUP($A7,[6]HISTODEC24!$A$6:$AV$49,32,0))</f>
        <v>0</v>
      </c>
      <c r="P7" s="7">
        <f>VLOOKUP($A7,[6]HISTODEC24!$A$6:$AV$49,33,0)</f>
        <v>0</v>
      </c>
      <c r="Q7" s="7">
        <f t="shared" si="1"/>
        <v>0</v>
      </c>
      <c r="R7" s="7">
        <f>VLOOKUP($A7,[6]HISTODEC24!$A$6:$AV$49,29,0)</f>
        <v>0</v>
      </c>
    </row>
    <row r="8" spans="1:19" x14ac:dyDescent="0.35">
      <c r="A8" s="1" t="s">
        <v>10</v>
      </c>
      <c r="B8" s="7">
        <f>IF(D8=0,0,VLOOKUP($A8,[6]HISTODEC24!$A$6:$BP$44,10,0))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D8+VLOOKUP($A8,[6]HISTODEC24!$A$7:$AU$42,45,0)+F8</f>
        <v>50000</v>
      </c>
      <c r="F8" s="7">
        <f>VLOOKUP($A8,[6]HISTODEC24!$A$6:$AV$48,7,0)</f>
        <v>0</v>
      </c>
      <c r="G8" s="7" t="str">
        <f>VLOOKUP($A8,[6]HISTODEC24!$A$6:$AV$49,8,0)</f>
        <v>BANQUE</v>
      </c>
      <c r="H8" s="7">
        <f>VLOOKUP($A8,[6]HISTODEC24!$A$6:$AV$49,35,0)</f>
        <v>0</v>
      </c>
      <c r="I8" s="7">
        <f>VLOOKUP($A8,[6]HISTODEC24!$A$6:$AV$49,38,0)</f>
        <v>0</v>
      </c>
      <c r="J8" s="7">
        <f>IF(H8=0,0,VLOOKUP($A8,[6]HISTODEC24!$A$6:$AV$49,42,0))</f>
        <v>0</v>
      </c>
      <c r="K8" s="7">
        <f>VLOOKUP($A8,[6]HISTODEC24!$A$6:$AV$49,41,0)</f>
        <v>0</v>
      </c>
      <c r="L8" s="7">
        <f>TONTNOV24!H8+TONTNOV24!I8</f>
        <v>0</v>
      </c>
      <c r="M8" s="7">
        <f>VLOOKUP($A8,[6]HISTODEC24!$A$6:$AV$49,16,0)</f>
        <v>0</v>
      </c>
      <c r="N8" s="7" t="str">
        <f>IF(M8&lt;&gt;0,VLOOKUP($A8,[6]HISTODEC24!$A$6:$AV$49,8,0),"ECHEC")</f>
        <v>ECHEC</v>
      </c>
      <c r="O8" s="7">
        <f>IF(R8=0,0,VLOOKUP($A8,[6]HISTODEC24!$A$6:$AV$49,32,0))</f>
        <v>0</v>
      </c>
      <c r="P8" s="7">
        <f>VLOOKUP($A8,[6]HISTODEC24!$A$6:$AV$49,33,0)</f>
        <v>0</v>
      </c>
      <c r="Q8" s="7">
        <f t="shared" si="1"/>
        <v>0</v>
      </c>
      <c r="R8" s="7">
        <f>VLOOKUP($A8,[6]HISTODEC24!$A$6:$AV$49,29,0)</f>
        <v>0</v>
      </c>
    </row>
    <row r="9" spans="1:19" x14ac:dyDescent="0.35">
      <c r="A9" s="1" t="s">
        <v>52</v>
      </c>
      <c r="B9" s="7">
        <f>IF(D9=0,0,VLOOKUP($A9,[6]HISTODEC24!$A$6:$BP$44,10,0))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D9+VLOOKUP($A9,[6]HISTODEC24!$A$7:$AU$42,45,0)+F9</f>
        <v>50000</v>
      </c>
      <c r="F9" s="7">
        <f>VLOOKUP($A9,[6]HISTODEC24!$A$6:$AV$48,7,0)</f>
        <v>0</v>
      </c>
      <c r="G9" s="7" t="str">
        <f>VLOOKUP($A9,[6]HISTODEC24!$A$6:$AV$49,8,0)</f>
        <v>ESPECES</v>
      </c>
      <c r="H9" s="7">
        <f>VLOOKUP($A9,[6]HISTODEC24!$A$6:$AV$49,35,0)</f>
        <v>0</v>
      </c>
      <c r="I9" s="7">
        <f>VLOOKUP($A9,[6]HISTODEC24!$A$6:$AV$49,38,0)</f>
        <v>0</v>
      </c>
      <c r="J9" s="7">
        <f>IF(H9=0,0,VLOOKUP($A9,[6]HISTODEC24!$A$6:$AV$49,42,0))</f>
        <v>0</v>
      </c>
      <c r="K9" s="7">
        <f>VLOOKUP($A9,[6]HISTODEC24!$A$6:$AV$49,41,0)</f>
        <v>0</v>
      </c>
      <c r="L9" s="7">
        <f>TONTNOV24!H9+TONTNOV24!I9</f>
        <v>61000</v>
      </c>
      <c r="M9" s="7">
        <f>VLOOKUP($A9,[6]HISTODEC24!$A$6:$AV$49,16,0)</f>
        <v>61000</v>
      </c>
      <c r="N9" s="7" t="str">
        <f>IF(M9&lt;&gt;0,VLOOKUP($A9,[6]HISTODEC24!$A$6:$AV$49,8,0),"ECHEC")</f>
        <v>ESPECES</v>
      </c>
      <c r="O9" s="7">
        <f>IF(R9=0,0,VLOOKUP($A9,[6]HISTODEC24!$A$6:$AV$49,32,0))</f>
        <v>0</v>
      </c>
      <c r="P9" s="7">
        <f>VLOOKUP($A9,[6]HISTODEC24!$A$6:$AV$49,33,0)</f>
        <v>0</v>
      </c>
      <c r="Q9" s="7">
        <f t="shared" si="1"/>
        <v>0</v>
      </c>
      <c r="R9" s="7">
        <f>VLOOKUP($A9,[6]HISTODEC24!$A$6:$AV$49,29,0)</f>
        <v>0</v>
      </c>
    </row>
    <row r="10" spans="1:19" x14ac:dyDescent="0.35">
      <c r="A10" s="1" t="s">
        <v>11</v>
      </c>
      <c r="B10" s="7">
        <f>IF(D10=0,0,VLOOKUP($A10,[6]HISTODEC24!$A$6:$BP$44,10,0))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D10+VLOOKUP($A10,[6]HISTODEC24!$A$7:$AU$42,45,0)+F10</f>
        <v>50000</v>
      </c>
      <c r="F10" s="7">
        <f>VLOOKUP($A10,[6]HISTODEC24!$A$6:$AV$48,7,0)</f>
        <v>0</v>
      </c>
      <c r="G10" s="7" t="str">
        <f>VLOOKUP($A10,[6]HISTODEC24!$A$6:$AV$49,8,0)</f>
        <v>ESPECES</v>
      </c>
      <c r="H10" s="7">
        <f>VLOOKUP($A10,[6]HISTODEC24!$A$6:$AV$49,35,0)</f>
        <v>0</v>
      </c>
      <c r="I10" s="7">
        <f>VLOOKUP($A10,[6]HISTODEC24!$A$6:$AV$49,38,0)</f>
        <v>0</v>
      </c>
      <c r="J10" s="7">
        <f>IF(H10=0,0,VLOOKUP($A10,[6]HISTODEC24!$A$6:$AV$49,42,0))</f>
        <v>0</v>
      </c>
      <c r="K10" s="7">
        <f>VLOOKUP($A10,[6]HISTODEC24!$A$6:$AV$49,41,0)</f>
        <v>0</v>
      </c>
      <c r="L10" s="7">
        <f>TONTNOV24!H10+TONTNOV24!I10</f>
        <v>0</v>
      </c>
      <c r="M10" s="7">
        <f>VLOOKUP($A10,[6]HISTODEC24!$A$6:$AV$49,16,0)</f>
        <v>0</v>
      </c>
      <c r="N10" s="7" t="str">
        <f>IF(M10&lt;&gt;0,VLOOKUP($A10,[6]HISTODEC24!$A$6:$AV$49,8,0),"ECHEC")</f>
        <v>ECHEC</v>
      </c>
      <c r="O10" s="7">
        <f>IF(R10=0,0,VLOOKUP($A10,[6]HISTODEC24!$A$6:$AV$49,32,0))</f>
        <v>0</v>
      </c>
      <c r="P10" s="7">
        <f>VLOOKUP($A10,[6]HISTODEC24!$A$6:$AV$49,33,0)</f>
        <v>0</v>
      </c>
      <c r="Q10" s="7">
        <f t="shared" si="1"/>
        <v>0</v>
      </c>
      <c r="R10" s="7">
        <f>VLOOKUP($A10,[6]HISTODEC24!$A$6:$AV$49,29,0)</f>
        <v>0</v>
      </c>
    </row>
    <row r="11" spans="1:19" x14ac:dyDescent="0.35">
      <c r="A11" s="1" t="s">
        <v>12</v>
      </c>
      <c r="B11" s="7">
        <f>IF(D11=0,0,VLOOKUP($A11,[6]HISTODEC24!$A$6:$BP$44,10,0))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D11+VLOOKUP($A11,[6]HISTODEC24!$A$7:$AU$42,45,0)+F11</f>
        <v>55000</v>
      </c>
      <c r="F11" s="7">
        <f>VLOOKUP($A11,[6]HISTODEC24!$A$6:$AV$48,7,0)</f>
        <v>0</v>
      </c>
      <c r="G11" s="7" t="str">
        <f>VLOOKUP($A11,[6]HISTODEC24!$A$6:$AV$49,8,0)</f>
        <v>BANQUE</v>
      </c>
      <c r="H11" s="7">
        <f>VLOOKUP($A11,[6]HISTODEC24!$A$6:$AV$49,35,0)</f>
        <v>0</v>
      </c>
      <c r="I11" s="7">
        <f>VLOOKUP($A11,[6]HISTODEC24!$A$6:$AV$49,38,0)</f>
        <v>0</v>
      </c>
      <c r="J11" s="7">
        <f>IF(H11=0,0,VLOOKUP($A11,[6]HISTODEC24!$A$6:$AV$49,42,0))</f>
        <v>0</v>
      </c>
      <c r="K11" s="7">
        <f>VLOOKUP($A11,[6]HISTODEC24!$A$6:$AV$49,41,0)</f>
        <v>0</v>
      </c>
      <c r="L11" s="7">
        <f>TONTNOV24!H11+TONTNOV24!I11</f>
        <v>61000</v>
      </c>
      <c r="M11" s="7">
        <f>VLOOKUP($A11,[6]HISTODEC24!$A$6:$AV$49,16,0)</f>
        <v>61000</v>
      </c>
      <c r="N11" s="7" t="str">
        <f>IF(M11&lt;&gt;0,VLOOKUP($A11,[6]HISTODEC24!$A$6:$AV$49,8,0),"ECHEC")</f>
        <v>BANQUE</v>
      </c>
      <c r="O11" s="7">
        <f>IF(R11=0,0,VLOOKUP($A11,[6]HISTODEC24!$A$6:$AV$49,32,0))</f>
        <v>0</v>
      </c>
      <c r="P11" s="7">
        <f>VLOOKUP($A11,[6]HISTODEC24!$A$6:$AV$49,33,0)</f>
        <v>0</v>
      </c>
      <c r="Q11" s="7">
        <f t="shared" si="1"/>
        <v>0</v>
      </c>
      <c r="R11" s="7">
        <f>VLOOKUP($A11,[6]HISTODEC24!$A$6:$AV$49,29,0)</f>
        <v>0</v>
      </c>
    </row>
    <row r="12" spans="1:19" x14ac:dyDescent="0.35">
      <c r="A12" s="1" t="s">
        <v>45</v>
      </c>
      <c r="B12" s="7">
        <f>IF(D12=0,0,VLOOKUP($A12,[6]HISTODEC24!$A$6:$BP$44,10,0))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D12+VLOOKUP($A12,[6]HISTODEC24!$A$7:$AU$42,45,0)+F12</f>
        <v>50000</v>
      </c>
      <c r="F12" s="7">
        <f>VLOOKUP($A12,[6]HISTODEC24!$A$6:$AV$48,7,0)</f>
        <v>0</v>
      </c>
      <c r="G12" s="7" t="str">
        <f>VLOOKUP($A12,[6]HISTODEC24!$A$6:$AV$49,8,0)</f>
        <v>BANQUE</v>
      </c>
      <c r="H12" s="7">
        <f>VLOOKUP($A12,[6]HISTODEC24!$A$6:$AV$49,35,0)</f>
        <v>0</v>
      </c>
      <c r="I12" s="7">
        <f>VLOOKUP($A12,[6]HISTODEC24!$A$6:$AV$49,38,0)</f>
        <v>0</v>
      </c>
      <c r="J12" s="7">
        <f>IF(H12=0,0,VLOOKUP($A12,[6]HISTODEC24!$A$6:$AV$49,42,0))</f>
        <v>0</v>
      </c>
      <c r="K12" s="7">
        <f>VLOOKUP($A12,[6]HISTODEC24!$A$6:$AV$49,41,0)</f>
        <v>0</v>
      </c>
      <c r="L12" s="7">
        <f>TONTNOV24!H12+TONTNOV24!I12</f>
        <v>0</v>
      </c>
      <c r="M12" s="7">
        <f>VLOOKUP($A12,[6]HISTODEC24!$A$6:$AV$49,16,0)</f>
        <v>0</v>
      </c>
      <c r="N12" s="7" t="str">
        <f>IF(M12&lt;&gt;0,VLOOKUP($A12,[6]HISTODEC24!$A$6:$AV$49,8,0),"ECHEC")</f>
        <v>ECHEC</v>
      </c>
      <c r="O12" s="7">
        <f>IF(R12=0,0,VLOOKUP($A12,[6]HISTODEC24!$A$6:$AV$49,32,0))</f>
        <v>0</v>
      </c>
      <c r="P12" s="7">
        <f>VLOOKUP($A12,[6]HISTODEC24!$A$6:$AV$49,33,0)</f>
        <v>0</v>
      </c>
      <c r="Q12" s="7">
        <f t="shared" si="1"/>
        <v>0</v>
      </c>
      <c r="R12" s="7">
        <f>VLOOKUP($A12,[6]HISTODEC24!$A$6:$AV$49,29,0)</f>
        <v>0</v>
      </c>
    </row>
    <row r="13" spans="1:19" x14ac:dyDescent="0.35">
      <c r="A13" s="1" t="s">
        <v>13</v>
      </c>
      <c r="B13" s="7">
        <f>IF(D13=0,0,VLOOKUP($A13,[6]HISTODEC24!$A$6:$BP$44,10,0))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D13+VLOOKUP($A13,[6]HISTODEC24!$A$7:$AU$42,45,0)+F13</f>
        <v>50000</v>
      </c>
      <c r="F13" s="7">
        <f>VLOOKUP($A13,[6]HISTODEC24!$A$6:$AV$48,7,0)</f>
        <v>0</v>
      </c>
      <c r="G13" s="7" t="str">
        <f>VLOOKUP($A13,[6]HISTODEC24!$A$6:$AV$49,8,0)</f>
        <v>BANQUE</v>
      </c>
      <c r="H13" s="7">
        <f>VLOOKUP($A13,[6]HISTODEC24!$A$6:$AV$49,35,0)</f>
        <v>0</v>
      </c>
      <c r="I13" s="7">
        <f>VLOOKUP($A13,[6]HISTODEC24!$A$6:$AV$49,38,0)</f>
        <v>0</v>
      </c>
      <c r="J13" s="7">
        <f>IF(H13=0,0,VLOOKUP($A13,[6]HISTODEC24!$A$6:$AV$49,42,0))</f>
        <v>0</v>
      </c>
      <c r="K13" s="7">
        <f>VLOOKUP($A13,[6]HISTODEC24!$A$6:$AV$49,41,0)</f>
        <v>0</v>
      </c>
      <c r="L13" s="7">
        <f>TONTNOV24!H13+TONTNOV24!I13</f>
        <v>0</v>
      </c>
      <c r="M13" s="7">
        <f>VLOOKUP($A13,[6]HISTODEC24!$A$6:$AV$49,16,0)</f>
        <v>0</v>
      </c>
      <c r="N13" s="7" t="str">
        <f>IF(M13&lt;&gt;0,VLOOKUP($A13,[6]HISTODEC24!$A$6:$AV$49,8,0),"ECHEC")</f>
        <v>ECHEC</v>
      </c>
      <c r="O13" s="7">
        <f>IF(R13=0,0,VLOOKUP($A13,[6]HISTODEC24!$A$6:$AV$49,32,0))</f>
        <v>0</v>
      </c>
      <c r="P13" s="7">
        <f>VLOOKUP($A13,[6]HISTODEC24!$A$6:$AV$49,33,0)</f>
        <v>0</v>
      </c>
      <c r="Q13" s="7">
        <f t="shared" si="1"/>
        <v>0</v>
      </c>
      <c r="R13" s="7">
        <f>VLOOKUP($A13,[6]HISTODEC24!$A$6:$AV$49,29,0)</f>
        <v>0</v>
      </c>
    </row>
    <row r="14" spans="1:19" x14ac:dyDescent="0.35">
      <c r="A14" s="1" t="s">
        <v>14</v>
      </c>
      <c r="B14" s="7">
        <f>IF(D14=0,0,VLOOKUP($A14,[6]HISTODEC24!$A$6:$BP$44,10,0))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D14+VLOOKUP($A14,[6]HISTODEC24!$A$7:$AU$42,45,0)+F14</f>
        <v>50000</v>
      </c>
      <c r="F14" s="7">
        <f>VLOOKUP($A14,[6]HISTODEC24!$A$6:$AV$48,7,0)</f>
        <v>0</v>
      </c>
      <c r="G14" s="7" t="str">
        <f>VLOOKUP($A14,[6]HISTODEC24!$A$6:$AV$49,8,0)</f>
        <v>ESPECES</v>
      </c>
      <c r="H14" s="7">
        <f>VLOOKUP($A14,[6]HISTODEC24!$A$6:$AV$49,35,0)</f>
        <v>0</v>
      </c>
      <c r="I14" s="7">
        <f>VLOOKUP($A14,[6]HISTODEC24!$A$6:$AV$49,38,0)</f>
        <v>0</v>
      </c>
      <c r="J14" s="7">
        <f>IF(H14=0,0,VLOOKUP($A14,[6]HISTODEC24!$A$6:$AV$49,42,0))</f>
        <v>0</v>
      </c>
      <c r="K14" s="7">
        <f>VLOOKUP($A14,[6]HISTODEC24!$A$6:$AV$49,41,0)</f>
        <v>0</v>
      </c>
      <c r="L14" s="7">
        <f>TONTNOV24!H14+TONTNOV24!I14</f>
        <v>0</v>
      </c>
      <c r="M14" s="7">
        <f>VLOOKUP($A14,[6]HISTODEC24!$A$6:$AV$49,16,0)</f>
        <v>0</v>
      </c>
      <c r="N14" s="7" t="str">
        <f>IF(M14&lt;&gt;0,VLOOKUP($A14,[6]HISTODEC24!$A$6:$AV$49,8,0),"ECHEC")</f>
        <v>ECHEC</v>
      </c>
      <c r="O14" s="7">
        <f>IF(R14=0,0,VLOOKUP($A14,[6]HISTODEC24!$A$6:$AV$49,32,0))</f>
        <v>0</v>
      </c>
      <c r="P14" s="7">
        <f>VLOOKUP($A14,[6]HISTODEC24!$A$6:$AV$49,33,0)</f>
        <v>0</v>
      </c>
      <c r="Q14" s="7">
        <f t="shared" si="1"/>
        <v>0</v>
      </c>
      <c r="R14" s="7">
        <f>VLOOKUP($A14,[6]HISTODEC24!$A$6:$AV$49,29,0)</f>
        <v>0</v>
      </c>
      <c r="S14" s="1"/>
    </row>
    <row r="15" spans="1:19" x14ac:dyDescent="0.35">
      <c r="A15" s="1" t="s">
        <v>15</v>
      </c>
      <c r="B15" s="7">
        <f>IF(D15=0,0,VLOOKUP($A15,[6]HISTODEC24!$A$6:$BP$44,10,0))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D15+VLOOKUP($A15,[6]HISTODEC24!$A$7:$AU$42,45,0)+F15</f>
        <v>105000</v>
      </c>
      <c r="F15" s="7">
        <f>VLOOKUP($A15,[6]HISTODEC24!$A$6:$AV$48,7,0)</f>
        <v>0</v>
      </c>
      <c r="G15" s="7" t="str">
        <f>VLOOKUP($A15,[6]HISTODEC24!$A$6:$AV$49,8,0)</f>
        <v>BANQUE</v>
      </c>
      <c r="H15" s="7">
        <f>VLOOKUP($A15,[6]HISTODEC24!$A$6:$AV$49,35,0)</f>
        <v>0</v>
      </c>
      <c r="I15" s="7">
        <f>VLOOKUP($A15,[6]HISTODEC24!$A$6:$AV$49,38,0)</f>
        <v>0</v>
      </c>
      <c r="J15" s="7">
        <f>IF(H15=0,0,VLOOKUP($A15,[6]HISTODEC24!$A$6:$AV$49,42,0))</f>
        <v>0</v>
      </c>
      <c r="K15" s="7">
        <f>VLOOKUP($A15,[6]HISTODEC24!$A$6:$AV$49,41,0)</f>
        <v>0</v>
      </c>
      <c r="L15" s="7">
        <f>TONTNOV24!H15+TONTNOV24!I15</f>
        <v>0</v>
      </c>
      <c r="M15" s="7">
        <f>VLOOKUP($A15,[6]HISTODEC24!$A$6:$AV$49,16,0)</f>
        <v>0</v>
      </c>
      <c r="N15" s="7" t="str">
        <f>IF(M15&lt;&gt;0,VLOOKUP($A15,[6]HISTODEC24!$A$6:$AV$49,8,0),"ECHEC")</f>
        <v>ECHEC</v>
      </c>
      <c r="O15" s="7">
        <f>IF(R15=0,0,VLOOKUP($A15,[6]HISTODEC24!$A$6:$AV$49,32,0))</f>
        <v>0</v>
      </c>
      <c r="P15" s="7">
        <f>VLOOKUP($A15,[6]HISTODEC24!$A$6:$AV$49,33,0)</f>
        <v>0</v>
      </c>
      <c r="Q15" s="7">
        <f t="shared" si="1"/>
        <v>0</v>
      </c>
      <c r="R15" s="7">
        <f>VLOOKUP($A15,[6]HISTODEC24!$A$6:$AV$49,29,0)</f>
        <v>0</v>
      </c>
      <c r="S15" s="1"/>
    </row>
    <row r="16" spans="1:19" x14ac:dyDescent="0.35">
      <c r="A16" s="1" t="s">
        <v>16</v>
      </c>
      <c r="B16" s="7">
        <f>IF(D16=0,0,VLOOKUP($A16,[6]HISTODEC24!$A$6:$BP$44,10,0))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D16+VLOOKUP($A16,[6]HISTODEC24!$A$7:$AU$42,45,0)+F16</f>
        <v>55500</v>
      </c>
      <c r="F16" s="7">
        <f>VLOOKUP($A16,[6]HISTODEC24!$A$6:$AV$48,7,0)</f>
        <v>0</v>
      </c>
      <c r="G16" s="7" t="str">
        <f>VLOOKUP($A16,[6]HISTODEC24!$A$6:$AV$49,8,0)</f>
        <v>BANQUE</v>
      </c>
      <c r="H16" s="7">
        <f>VLOOKUP($A16,[6]HISTODEC24!$A$6:$AV$49,35,0)</f>
        <v>0</v>
      </c>
      <c r="I16" s="7">
        <f>VLOOKUP($A16,[6]HISTODEC24!$A$6:$AV$49,38,0)</f>
        <v>0</v>
      </c>
      <c r="J16" s="7">
        <f>IF(H16=0,0,VLOOKUP($A16,[6]HISTODEC24!$A$6:$AV$49,42,0))</f>
        <v>0</v>
      </c>
      <c r="K16" s="7">
        <f>VLOOKUP($A16,[6]HISTODEC24!$A$6:$AV$49,41,0)</f>
        <v>0</v>
      </c>
      <c r="L16" s="7">
        <f>TONTNOV24!H16+TONTNOV24!I16</f>
        <v>0</v>
      </c>
      <c r="M16" s="7">
        <f>VLOOKUP($A16,[6]HISTODEC24!$A$6:$AV$49,16,0)</f>
        <v>0</v>
      </c>
      <c r="N16" s="7" t="str">
        <f>IF(M16&lt;&gt;0,VLOOKUP($A16,[6]HISTODEC24!$A$6:$AV$49,8,0),"ECHEC")</f>
        <v>ECHEC</v>
      </c>
      <c r="O16" s="7">
        <f>IF(R16=0,0,VLOOKUP($A16,[6]HISTODEC24!$A$6:$AV$49,32,0))</f>
        <v>0</v>
      </c>
      <c r="P16" s="7">
        <f>VLOOKUP($A16,[6]HISTODEC24!$A$6:$AV$49,33,0)</f>
        <v>0</v>
      </c>
      <c r="Q16" s="7">
        <f t="shared" si="1"/>
        <v>0</v>
      </c>
      <c r="R16" s="7">
        <f>VLOOKUP($A16,[6]HISTODEC24!$A$6:$AV$49,29,0)</f>
        <v>0</v>
      </c>
      <c r="S16" s="1"/>
    </row>
    <row r="17" spans="1:19" x14ac:dyDescent="0.35">
      <c r="A17" s="1" t="s">
        <v>17</v>
      </c>
      <c r="B17" s="7">
        <f>IF(D17=0,0,VLOOKUP($A17,[6]HISTODEC24!$A$6:$BP$44,10,0))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D17+VLOOKUP($A17,[6]HISTODEC24!$A$7:$AU$42,45,0)+F17</f>
        <v>60000</v>
      </c>
      <c r="F17" s="7">
        <f>VLOOKUP($A17,[6]HISTODEC24!$A$6:$AV$48,7,0)</f>
        <v>0</v>
      </c>
      <c r="G17" s="7" t="str">
        <f>VLOOKUP($A17,[6]HISTODEC24!$A$6:$AV$49,8,0)</f>
        <v>BANQUE</v>
      </c>
      <c r="H17" s="7">
        <f>VLOOKUP($A17,[6]HISTODEC24!$A$6:$AV$49,35,0)</f>
        <v>0</v>
      </c>
      <c r="I17" s="7">
        <f>VLOOKUP($A17,[6]HISTODEC24!$A$6:$AV$49,38,0)</f>
        <v>0</v>
      </c>
      <c r="J17" s="7">
        <f>IF(H17=0,0,VLOOKUP($A17,[6]HISTODEC24!$A$6:$AV$49,42,0))</f>
        <v>0</v>
      </c>
      <c r="K17" s="7">
        <f>VLOOKUP($A17,[6]HISTODEC24!$A$6:$AV$49,41,0)</f>
        <v>0</v>
      </c>
      <c r="L17" s="7">
        <f>TONTNOV24!H17+TONTNOV24!I17</f>
        <v>0</v>
      </c>
      <c r="M17" s="7">
        <f>VLOOKUP($A17,[6]HISTODEC24!$A$6:$AV$49,16,0)</f>
        <v>0</v>
      </c>
      <c r="N17" s="7" t="str">
        <f>IF(M17&lt;&gt;0,VLOOKUP($A17,[6]HISTODEC24!$A$6:$AV$49,8,0),"ECHEC")</f>
        <v>ECHEC</v>
      </c>
      <c r="O17" s="7">
        <f>IF(R17=0,0,VLOOKUP($A17,[6]HISTODEC24!$A$6:$AV$49,32,0))</f>
        <v>0</v>
      </c>
      <c r="P17" s="7">
        <f>VLOOKUP($A17,[6]HISTODEC24!$A$6:$AV$49,33,0)</f>
        <v>0</v>
      </c>
      <c r="Q17" s="7">
        <f t="shared" si="1"/>
        <v>0</v>
      </c>
      <c r="R17" s="7">
        <f>VLOOKUP($A17,[6]HISTODEC24!$A$6:$AV$49,29,0)</f>
        <v>0</v>
      </c>
      <c r="S17" s="1"/>
    </row>
    <row r="18" spans="1:19" x14ac:dyDescent="0.35">
      <c r="A18" s="1" t="s">
        <v>96</v>
      </c>
      <c r="B18" s="7">
        <f>IF(D18=0,0,VLOOKUP($A18,[6]HISTODEC24!$A$6:$BP$44,10,0))</f>
        <v>1</v>
      </c>
      <c r="C18" s="1" t="str">
        <f>VLOOKUP(A18,[7]LISTADHERENT!A$5:H$60,3,0)</f>
        <v>MASSEUNGOUE DAGOBERT</v>
      </c>
      <c r="D18" s="7">
        <f t="shared" si="0"/>
        <v>25000</v>
      </c>
      <c r="E18" s="7">
        <f>D18+VLOOKUP($A18,[6]HISTODEC24!$A$7:$AU$42,45,0)+F18</f>
        <v>347500</v>
      </c>
      <c r="F18" s="7">
        <f>VLOOKUP($A18,[6]HISTODEC24!$A$6:$AV$48,7,0)</f>
        <v>0</v>
      </c>
      <c r="G18" s="7" t="str">
        <f>VLOOKUP($A18,[6]HISTODEC24!$A$6:$AV$49,8,0)</f>
        <v>BANQUE</v>
      </c>
      <c r="H18" s="7">
        <f>VLOOKUP($A18,[6]HISTODEC24!$A$6:$AV$49,35,0)</f>
        <v>0</v>
      </c>
      <c r="I18" s="7">
        <f>VLOOKUP($A18,[6]HISTODEC24!$A$6:$AV$49,38,0)</f>
        <v>0</v>
      </c>
      <c r="J18" s="7">
        <f>IF(H18=0,0,VLOOKUP($A18,[6]HISTODEC24!$A$6:$AV$49,42,0))</f>
        <v>0</v>
      </c>
      <c r="K18" s="7">
        <f>VLOOKUP($A18,[6]HISTODEC24!$A$6:$AV$49,41,0)</f>
        <v>0</v>
      </c>
      <c r="L18" s="7">
        <f>TONTNOV24!H18+TONTNOV24!I18</f>
        <v>0</v>
      </c>
      <c r="M18" s="7">
        <f>VLOOKUP($A18,[6]HISTODEC24!$A$6:$AV$49,16,0)</f>
        <v>0</v>
      </c>
      <c r="N18" s="7" t="str">
        <f>IF(M18&lt;&gt;0,VLOOKUP($A18,[6]HISTODEC24!$A$6:$AV$49,8,0),"ECHEC")</f>
        <v>ECHEC</v>
      </c>
      <c r="O18" s="7">
        <f>IF(R18=0,0,VLOOKUP($A18,[6]HISTODEC24!$A$6:$AV$49,32,0))</f>
        <v>0</v>
      </c>
      <c r="P18" s="7">
        <f>VLOOKUP($A18,[6]HISTODEC24!$A$6:$AV$49,33,0)</f>
        <v>0</v>
      </c>
      <c r="Q18" s="7">
        <f t="shared" si="1"/>
        <v>297500</v>
      </c>
      <c r="R18" s="7">
        <f>VLOOKUP($A18,[6]HISTODEC24!$A$6:$AV$49,29,0)</f>
        <v>2500</v>
      </c>
      <c r="S18" s="1"/>
    </row>
    <row r="19" spans="1:19" x14ac:dyDescent="0.35">
      <c r="A19" s="1" t="s">
        <v>44</v>
      </c>
      <c r="B19" s="7">
        <f>IF(D19=0,0,VLOOKUP($A19,[6]HISTODEC24!$A$6:$BP$44,10,0))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D19+VLOOKUP($A19,[6]HISTODEC24!$A$7:$AU$42,45,0)+F19</f>
        <v>50000</v>
      </c>
      <c r="F19" s="7">
        <f>VLOOKUP($A19,[6]HISTODEC24!$A$6:$AV$48,7,0)</f>
        <v>0</v>
      </c>
      <c r="G19" s="7" t="str">
        <f>VLOOKUP($A19,[6]HISTODEC24!$A$6:$AV$49,8,0)</f>
        <v>BANQUE</v>
      </c>
      <c r="H19" s="7">
        <f>VLOOKUP($A19,[6]HISTODEC24!$A$6:$AV$49,35,0)</f>
        <v>0</v>
      </c>
      <c r="I19" s="7">
        <f>VLOOKUP($A19,[6]HISTODEC24!$A$6:$AV$49,38,0)</f>
        <v>0</v>
      </c>
      <c r="J19" s="7">
        <f>IF(H19=0,0,VLOOKUP($A19,[6]HISTODEC24!$A$6:$AV$49,42,0))</f>
        <v>0</v>
      </c>
      <c r="K19" s="7">
        <f>VLOOKUP($A19,[6]HISTODEC24!$A$6:$AV$49,41,0)</f>
        <v>0</v>
      </c>
      <c r="L19" s="7">
        <f>TONTNOV24!H19+TONTNOV24!I19</f>
        <v>132000</v>
      </c>
      <c r="M19" s="7">
        <f>VLOOKUP($A19,[6]HISTODEC24!$A$6:$AV$49,16,0)</f>
        <v>132000</v>
      </c>
      <c r="N19" s="7" t="str">
        <f>IF(M19&lt;&gt;0,VLOOKUP($A19,[6]HISTODEC24!$A$6:$AV$49,8,0),"ECHEC")</f>
        <v>BANQUE</v>
      </c>
      <c r="O19" s="7">
        <f>IF(R19=0,0,VLOOKUP($A19,[6]HISTODEC24!$A$6:$AV$49,32,0))</f>
        <v>0</v>
      </c>
      <c r="P19" s="7">
        <f>VLOOKUP($A19,[6]HISTODEC24!$A$6:$AV$49,33,0)</f>
        <v>0</v>
      </c>
      <c r="Q19" s="7">
        <f t="shared" si="1"/>
        <v>0</v>
      </c>
      <c r="R19" s="7">
        <f>VLOOKUP($A19,[6]HISTODEC24!$A$6:$AV$49,29,0)</f>
        <v>0</v>
      </c>
      <c r="S19" s="1"/>
    </row>
    <row r="20" spans="1:19" x14ac:dyDescent="0.35">
      <c r="A20" s="1" t="s">
        <v>25</v>
      </c>
      <c r="B20" s="7">
        <f>IF(D20=0,0,VLOOKUP($A20,[6]HISTODEC24!$A$6:$BP$44,10,0))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D20+VLOOKUP($A20,[6]HISTODEC24!$A$7:$AU$42,45,0)+F20</f>
        <v>50000</v>
      </c>
      <c r="F20" s="7">
        <f>VLOOKUP($A20,[6]HISTODEC24!$A$6:$AV$48,7,0)</f>
        <v>0</v>
      </c>
      <c r="G20" s="7" t="str">
        <f>VLOOKUP($A20,[6]HISTODEC24!$A$6:$AV$49,8,0)</f>
        <v>ESPECES</v>
      </c>
      <c r="H20" s="7">
        <f>VLOOKUP($A20,[6]HISTODEC24!$A$6:$AV$49,35,0)</f>
        <v>0</v>
      </c>
      <c r="I20" s="7">
        <f>VLOOKUP($A20,[6]HISTODEC24!$A$6:$AV$49,38,0)</f>
        <v>0</v>
      </c>
      <c r="J20" s="7">
        <f>IF(H20=0,0,VLOOKUP($A20,[6]HISTODEC24!$A$6:$AV$49,42,0))</f>
        <v>0</v>
      </c>
      <c r="K20" s="7">
        <f>VLOOKUP($A20,[6]HISTODEC24!$A$6:$AV$49,41,0)</f>
        <v>0</v>
      </c>
      <c r="L20" s="7">
        <f>TONTNOV24!H20+TONTNOV24!I20</f>
        <v>0</v>
      </c>
      <c r="M20" s="7">
        <f>VLOOKUP($A20,[6]HISTODEC24!$A$6:$AV$49,16,0)</f>
        <v>0</v>
      </c>
      <c r="N20" s="7" t="str">
        <f>IF(M20&lt;&gt;0,VLOOKUP($A20,[6]HISTODEC24!$A$6:$AV$49,8,0),"ECHEC")</f>
        <v>ECHEC</v>
      </c>
      <c r="O20" s="7">
        <f>IF(R20=0,0,VLOOKUP($A20,[6]HISTODEC24!$A$6:$AV$49,32,0))</f>
        <v>0</v>
      </c>
      <c r="P20" s="7">
        <f>VLOOKUP($A20,[6]HISTODEC24!$A$6:$AV$49,33,0)</f>
        <v>0</v>
      </c>
      <c r="Q20" s="7">
        <f t="shared" si="1"/>
        <v>0</v>
      </c>
      <c r="R20" s="7">
        <f>VLOOKUP($A20,[6]HISTODEC24!$A$6:$AV$49,29,0)</f>
        <v>0</v>
      </c>
      <c r="S20" s="1"/>
    </row>
    <row r="21" spans="1:19" x14ac:dyDescent="0.35">
      <c r="A21" s="1" t="s">
        <v>18</v>
      </c>
      <c r="B21" s="7">
        <f>IF(D21=0,0,VLOOKUP($A21,[6]HISTODEC24!$A$6:$BP$44,10,0))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D21+VLOOKUP($A21,[6]HISTODEC24!$A$7:$AU$42,45,0)+F21</f>
        <v>50000</v>
      </c>
      <c r="F21" s="7">
        <f>VLOOKUP($A21,[6]HISTODEC24!$A$6:$AV$48,7,0)</f>
        <v>0</v>
      </c>
      <c r="G21" s="7" t="str">
        <f>VLOOKUP($A21,[6]HISTODEC24!$A$6:$AV$49,8,0)</f>
        <v>BANQUE</v>
      </c>
      <c r="H21" s="7">
        <f>VLOOKUP($A21,[6]HISTODEC24!$A$6:$AV$49,35,0)</f>
        <v>0</v>
      </c>
      <c r="I21" s="7">
        <f>VLOOKUP($A21,[6]HISTODEC24!$A$6:$AV$49,38,0)</f>
        <v>0</v>
      </c>
      <c r="J21" s="7">
        <f>IF(H21=0,0,VLOOKUP($A21,[6]HISTODEC24!$A$6:$AV$49,42,0))</f>
        <v>0</v>
      </c>
      <c r="K21" s="7">
        <f>VLOOKUP($A21,[6]HISTODEC24!$A$6:$AV$49,41,0)</f>
        <v>0</v>
      </c>
      <c r="L21" s="7">
        <f>TONTNOV24!H21+TONTNOV24!I21</f>
        <v>0</v>
      </c>
      <c r="M21" s="7">
        <f>VLOOKUP($A21,[6]HISTODEC24!$A$6:$AV$49,16,0)</f>
        <v>0</v>
      </c>
      <c r="N21" s="7" t="str">
        <f>IF(M21&lt;&gt;0,VLOOKUP($A21,[6]HISTODEC24!$A$6:$AV$49,8,0),"ECHEC")</f>
        <v>ECHEC</v>
      </c>
      <c r="O21" s="7">
        <f>IF(R21=0,0,VLOOKUP($A21,[6]HISTODEC24!$A$6:$AV$49,32,0))</f>
        <v>0</v>
      </c>
      <c r="P21" s="7">
        <f>VLOOKUP($A21,[6]HISTODEC24!$A$6:$AV$49,33,0)</f>
        <v>0</v>
      </c>
      <c r="Q21" s="7">
        <f t="shared" si="1"/>
        <v>0</v>
      </c>
      <c r="R21" s="7">
        <f>VLOOKUP($A21,[6]HISTODEC24!$A$6:$AV$49,29,0)</f>
        <v>0</v>
      </c>
      <c r="S21" s="1"/>
    </row>
    <row r="22" spans="1:19" x14ac:dyDescent="0.35">
      <c r="A22" s="1" t="s">
        <v>19</v>
      </c>
      <c r="B22" s="7">
        <f>IF(D22=0,0,VLOOKUP($A22,[6]HISTODEC24!$A$6:$BP$44,10,0))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D22+VLOOKUP($A22,[6]HISTODEC24!$A$7:$AU$42,45,0)+F22</f>
        <v>60000</v>
      </c>
      <c r="F22" s="7">
        <f>VLOOKUP($A22,[6]HISTODEC24!$A$6:$AV$48,7,0)</f>
        <v>0</v>
      </c>
      <c r="G22" s="7" t="str">
        <f>VLOOKUP($A22,[6]HISTODEC24!$A$6:$AV$49,8,0)</f>
        <v>BANQUE</v>
      </c>
      <c r="H22" s="7">
        <f>VLOOKUP($A22,[6]HISTODEC24!$A$6:$AV$49,35,0)</f>
        <v>0</v>
      </c>
      <c r="I22" s="7">
        <f>VLOOKUP($A22,[6]HISTODEC24!$A$6:$AV$49,38,0)</f>
        <v>0</v>
      </c>
      <c r="J22" s="7">
        <f>IF(H22=0,0,VLOOKUP($A22,[6]HISTODEC24!$A$6:$AV$49,42,0))</f>
        <v>0</v>
      </c>
      <c r="K22" s="7">
        <f>VLOOKUP($A22,[6]HISTODEC24!$A$6:$AV$49,41,0)</f>
        <v>0</v>
      </c>
      <c r="L22" s="7">
        <f>TONTNOV24!H22+TONTNOV24!I22</f>
        <v>0</v>
      </c>
      <c r="M22" s="7">
        <f>VLOOKUP($A22,[6]HISTODEC24!$A$6:$AV$49,16,0)</f>
        <v>0</v>
      </c>
      <c r="N22" s="7" t="str">
        <f>IF(M22&lt;&gt;0,VLOOKUP($A22,[6]HISTODEC24!$A$6:$AV$49,8,0),"ECHEC")</f>
        <v>ECHEC</v>
      </c>
      <c r="O22" s="7">
        <f>IF(R22=0,0,VLOOKUP($A22,[6]HISTODEC24!$A$6:$AV$49,32,0))</f>
        <v>0</v>
      </c>
      <c r="P22" s="7">
        <f>VLOOKUP($A22,[6]HISTODEC24!$A$6:$AV$49,33,0)</f>
        <v>0</v>
      </c>
      <c r="Q22" s="7">
        <f t="shared" si="1"/>
        <v>0</v>
      </c>
      <c r="R22" s="7">
        <f>VLOOKUP($A22,[6]HISTODEC24!$A$6:$AV$49,29,0)</f>
        <v>0</v>
      </c>
      <c r="S22" s="1"/>
    </row>
    <row r="23" spans="1:19" x14ac:dyDescent="0.35">
      <c r="A23" s="1" t="s">
        <v>20</v>
      </c>
      <c r="B23" s="7">
        <f>IF(D23=0,0,VLOOKUP($A23,[6]HISTODEC24!$A$6:$BP$44,10,0))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D23+VLOOKUP($A23,[6]HISTODEC24!$A$7:$AU$42,45,0)+F23</f>
        <v>63000</v>
      </c>
      <c r="F23" s="7">
        <f>VLOOKUP($A23,[6]HISTODEC24!$A$6:$AV$48,7,0)</f>
        <v>0</v>
      </c>
      <c r="G23" s="7" t="str">
        <f>VLOOKUP($A23,[6]HISTODEC24!$A$6:$AV$49,8,0)</f>
        <v>BANQUE</v>
      </c>
      <c r="H23" s="7">
        <f>VLOOKUP($A23,[6]HISTODEC24!$A$6:$AV$49,35,0)</f>
        <v>0</v>
      </c>
      <c r="I23" s="7">
        <f>VLOOKUP($A23,[6]HISTODEC24!$A$6:$AV$49,38,0)</f>
        <v>0</v>
      </c>
      <c r="J23" s="7">
        <f>IF(H23=0,0,VLOOKUP($A23,[6]HISTODEC24!$A$6:$AV$49,42,0))</f>
        <v>0</v>
      </c>
      <c r="K23" s="7">
        <f>VLOOKUP($A23,[6]HISTODEC24!$A$6:$AV$49,41,0)</f>
        <v>0</v>
      </c>
      <c r="L23" s="7">
        <f>TONTNOV24!H23+TONTNOV24!I23</f>
        <v>0</v>
      </c>
      <c r="M23" s="7">
        <f>VLOOKUP($A23,[6]HISTODEC24!$A$6:$AV$49,16,0)</f>
        <v>0</v>
      </c>
      <c r="N23" s="7" t="str">
        <f>IF(M23&lt;&gt;0,VLOOKUP($A23,[6]HISTODEC24!$A$6:$AV$49,8,0),"ECHEC")</f>
        <v>ECHEC</v>
      </c>
      <c r="O23" s="7">
        <f>IF(R23=0,0,VLOOKUP($A23,[6]HISTODEC24!$A$6:$AV$49,32,0))</f>
        <v>0</v>
      </c>
      <c r="P23" s="7">
        <f>VLOOKUP($A23,[6]HISTODEC24!$A$6:$AV$49,33,0)</f>
        <v>0</v>
      </c>
      <c r="Q23" s="7">
        <f t="shared" si="1"/>
        <v>0</v>
      </c>
      <c r="R23" s="7">
        <f>VLOOKUP($A23,[6]HISTODEC24!$A$6:$AV$49,29,0)</f>
        <v>0</v>
      </c>
      <c r="S23" s="1"/>
    </row>
    <row r="24" spans="1:19" x14ac:dyDescent="0.35">
      <c r="A24" s="1" t="s">
        <v>21</v>
      </c>
      <c r="B24" s="7">
        <f>IF(D24=0,0,VLOOKUP($A24,[6]HISTODEC24!$A$6:$BP$44,10,0))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D24+VLOOKUP($A24,[6]HISTODEC24!$A$7:$AU$42,45,0)+F24</f>
        <v>50000</v>
      </c>
      <c r="F24" s="7">
        <f>VLOOKUP($A24,[6]HISTODEC24!$A$6:$AV$48,7,0)</f>
        <v>0</v>
      </c>
      <c r="G24" s="7" t="str">
        <f>VLOOKUP($A24,[6]HISTODEC24!$A$6:$AV$49,8,0)</f>
        <v>BANQUE</v>
      </c>
      <c r="H24" s="7">
        <f>VLOOKUP($A24,[6]HISTODEC24!$A$6:$AV$49,35,0)</f>
        <v>0</v>
      </c>
      <c r="I24" s="7">
        <f>VLOOKUP($A24,[6]HISTODEC24!$A$6:$AV$49,38,0)</f>
        <v>0</v>
      </c>
      <c r="J24" s="7">
        <f>IF(H24=0,0,VLOOKUP($A24,[6]HISTODEC24!$A$6:$AV$49,42,0))</f>
        <v>0</v>
      </c>
      <c r="K24" s="7">
        <f>VLOOKUP($A24,[6]HISTODEC24!$A$6:$AV$49,41,0)</f>
        <v>0</v>
      </c>
      <c r="L24" s="7">
        <f>TONTNOV24!H24+TONTNOV24!I24</f>
        <v>0</v>
      </c>
      <c r="M24" s="7">
        <f>VLOOKUP($A24,[6]HISTODEC24!$A$6:$AV$49,16,0)</f>
        <v>0</v>
      </c>
      <c r="N24" s="7" t="str">
        <f>IF(M24&lt;&gt;0,VLOOKUP($A24,[6]HISTODEC24!$A$6:$AV$49,8,0),"ECHEC")</f>
        <v>ECHEC</v>
      </c>
      <c r="O24" s="7">
        <f>IF(R24=0,0,VLOOKUP($A24,[6]HISTODEC24!$A$6:$AV$49,32,0))</f>
        <v>0</v>
      </c>
      <c r="P24" s="7">
        <f>VLOOKUP($A24,[6]HISTODEC24!$A$6:$AV$49,33,0)</f>
        <v>0</v>
      </c>
      <c r="Q24" s="7">
        <f t="shared" si="1"/>
        <v>0</v>
      </c>
      <c r="R24" s="7">
        <f>VLOOKUP($A24,[6]HISTODEC24!$A$6:$AV$49,29,0)</f>
        <v>0</v>
      </c>
      <c r="S24" s="1"/>
    </row>
    <row r="25" spans="1:19" x14ac:dyDescent="0.35">
      <c r="A25" s="1" t="s">
        <v>22</v>
      </c>
      <c r="B25" s="7">
        <f>IF(D25=0,0,VLOOKUP($A25,[6]HISTODEC24!$A$6:$BP$44,10,0))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D25+VLOOKUP($A25,[6]HISTODEC24!$A$7:$AU$42,45,0)+F25</f>
        <v>50000</v>
      </c>
      <c r="F25" s="7">
        <f>VLOOKUP($A25,[6]HISTODEC24!$A$6:$AV$48,7,0)</f>
        <v>0</v>
      </c>
      <c r="G25" s="7" t="str">
        <f>VLOOKUP($A25,[6]HISTODEC24!$A$6:$AV$49,8,0)</f>
        <v>ESPECES</v>
      </c>
      <c r="H25" s="7">
        <f>VLOOKUP($A25,[6]HISTODEC24!$A$6:$AV$49,35,0)</f>
        <v>0</v>
      </c>
      <c r="I25" s="7">
        <f>VLOOKUP($A25,[6]HISTODEC24!$A$6:$AV$49,38,0)</f>
        <v>0</v>
      </c>
      <c r="J25" s="7">
        <f>IF(H25=0,0,VLOOKUP($A25,[6]HISTODEC24!$A$6:$AV$49,42,0))</f>
        <v>0</v>
      </c>
      <c r="K25" s="7">
        <f>VLOOKUP($A25,[6]HISTODEC24!$A$6:$AV$49,41,0)</f>
        <v>0</v>
      </c>
      <c r="L25" s="7">
        <f>TONTNOV24!H25+TONTNOV24!I25</f>
        <v>0</v>
      </c>
      <c r="M25" s="7">
        <f>VLOOKUP($A25,[6]HISTODEC24!$A$6:$AV$49,16,0)</f>
        <v>0</v>
      </c>
      <c r="N25" s="7" t="str">
        <f>IF(M25&lt;&gt;0,VLOOKUP($A25,[6]HISTODEC24!$A$6:$AV$49,8,0),"ECHEC")</f>
        <v>ECHEC</v>
      </c>
      <c r="O25" s="7">
        <f>IF(R25=0,0,VLOOKUP($A25,[6]HISTODEC24!$A$6:$AV$49,32,0))</f>
        <v>0</v>
      </c>
      <c r="P25" s="7">
        <f>VLOOKUP($A25,[6]HISTODEC24!$A$6:$AV$49,33,0)</f>
        <v>0</v>
      </c>
      <c r="Q25" s="7">
        <f t="shared" si="1"/>
        <v>0</v>
      </c>
      <c r="R25" s="7">
        <f>VLOOKUP($A25,[6]HISTODEC24!$A$6:$AV$49,29,0)</f>
        <v>0</v>
      </c>
      <c r="S25" s="1"/>
    </row>
    <row r="26" spans="1:19" x14ac:dyDescent="0.35">
      <c r="A26" s="1" t="s">
        <v>85</v>
      </c>
      <c r="B26" s="7">
        <f>IF(D26=0,0,VLOOKUP($A26,[6]HISTODEC24!$A$6:$BP$44,10,0))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D26+VLOOKUP($A26,[6]HISTODEC24!$A$7:$AU$42,45,0)+F26</f>
        <v>50000</v>
      </c>
      <c r="F26" s="7">
        <f>VLOOKUP($A26,[6]HISTODEC24!$A$6:$AV$48,7,0)</f>
        <v>0</v>
      </c>
      <c r="G26" s="7" t="str">
        <f>VLOOKUP($A26,[6]HISTODEC24!$A$6:$AV$49,8,0)</f>
        <v>BANQUE</v>
      </c>
      <c r="H26" s="7">
        <f>VLOOKUP($A26,[6]HISTODEC24!$A$6:$AV$49,35,0)</f>
        <v>0</v>
      </c>
      <c r="I26" s="7">
        <f>VLOOKUP($A26,[6]HISTODEC24!$A$6:$AV$49,38,0)</f>
        <v>0</v>
      </c>
      <c r="J26" s="7">
        <f>IF(H26=0,0,VLOOKUP($A26,[6]HISTODEC24!$A$6:$AV$49,42,0))</f>
        <v>0</v>
      </c>
      <c r="K26" s="7">
        <f>VLOOKUP($A26,[6]HISTODEC24!$A$6:$AV$49,41,0)</f>
        <v>0</v>
      </c>
      <c r="L26" s="7">
        <f>TONTNOV24!H26+TONTNOV24!I26</f>
        <v>0</v>
      </c>
      <c r="M26" s="7">
        <f>VLOOKUP($A26,[6]HISTODEC24!$A$6:$AV$49,16,0)</f>
        <v>0</v>
      </c>
      <c r="N26" s="7" t="str">
        <f>IF(M26&lt;&gt;0,VLOOKUP($A26,[6]HISTODEC24!$A$6:$AV$49,8,0),"ECHEC")</f>
        <v>ECHEC</v>
      </c>
      <c r="O26" s="7">
        <f>IF(R26=0,0,VLOOKUP($A26,[6]HISTODEC24!$A$6:$AV$49,32,0))</f>
        <v>0</v>
      </c>
      <c r="P26" s="7">
        <f>VLOOKUP($A26,[6]HISTODEC24!$A$6:$AV$49,33,0)</f>
        <v>0</v>
      </c>
      <c r="Q26" s="7">
        <f t="shared" si="1"/>
        <v>0</v>
      </c>
      <c r="R26" s="7">
        <f>VLOOKUP($A26,[6]HISTODEC24!$A$6:$AV$49,29,0)</f>
        <v>0</v>
      </c>
    </row>
    <row r="27" spans="1:19" x14ac:dyDescent="0.35">
      <c r="A27" s="1" t="s">
        <v>23</v>
      </c>
      <c r="B27" s="7">
        <f>IF(D27=0,0,VLOOKUP($A27,[6]HISTODEC24!$A$6:$BP$44,10,0))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D27+VLOOKUP($A27,[6]HISTODEC24!$A$7:$AU$42,45,0)+F27</f>
        <v>77000</v>
      </c>
      <c r="F27" s="7">
        <f>VLOOKUP($A27,[6]HISTODEC24!$A$6:$AV$48,7,0)</f>
        <v>0</v>
      </c>
      <c r="G27" s="7" t="str">
        <f>VLOOKUP($A27,[6]HISTODEC24!$A$6:$AV$49,8,0)</f>
        <v>BANQUE</v>
      </c>
      <c r="H27" s="7">
        <f>VLOOKUP($A27,[6]HISTODEC24!$A$6:$AV$49,35,0)</f>
        <v>0</v>
      </c>
      <c r="I27" s="7">
        <f>VLOOKUP($A27,[6]HISTODEC24!$A$6:$AV$49,38,0)</f>
        <v>0</v>
      </c>
      <c r="J27" s="7">
        <f>IF(H27=0,0,VLOOKUP($A27,[6]HISTODEC24!$A$6:$AV$49,42,0))</f>
        <v>0</v>
      </c>
      <c r="K27" s="7">
        <f>VLOOKUP($A27,[6]HISTODEC24!$A$6:$AV$49,41,0)</f>
        <v>0</v>
      </c>
      <c r="L27" s="7">
        <f>TONTNOV24!H27+TONTNOV24!I27</f>
        <v>0</v>
      </c>
      <c r="M27" s="7">
        <f>VLOOKUP($A27,[6]HISTODEC24!$A$6:$AV$49,16,0)</f>
        <v>0</v>
      </c>
      <c r="N27" s="7" t="str">
        <f>IF(M27&lt;&gt;0,VLOOKUP($A27,[6]HISTODEC24!$A$6:$AV$49,8,0),"ECHEC")</f>
        <v>ECHEC</v>
      </c>
      <c r="O27" s="7">
        <f>IF(R27=0,0,VLOOKUP($A27,[6]HISTODEC24!$A$6:$AV$49,32,0))</f>
        <v>0</v>
      </c>
      <c r="P27" s="7">
        <f>VLOOKUP($A27,[6]HISTODEC24!$A$6:$AV$49,33,0)</f>
        <v>0</v>
      </c>
      <c r="Q27" s="7">
        <f t="shared" si="1"/>
        <v>0</v>
      </c>
      <c r="R27" s="7">
        <f>VLOOKUP($A27,[6]HISTODEC24!$A$6:$AV$49,29,0)</f>
        <v>0</v>
      </c>
    </row>
    <row r="28" spans="1:19" x14ac:dyDescent="0.35">
      <c r="A28" s="1" t="s">
        <v>86</v>
      </c>
      <c r="B28" s="7">
        <f>IF(D28=0,0,VLOOKUP($A28,[6]HISTODEC24!$A$6:$BP$44,10,0))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D28+VLOOKUP($A28,[6]HISTODEC24!$A$7:$AU$42,45,0)+F28</f>
        <v>49000</v>
      </c>
      <c r="F28" s="7">
        <f>VLOOKUP($A28,[6]HISTODEC24!$A$6:$AV$48,7,0)</f>
        <v>0</v>
      </c>
      <c r="G28" s="7" t="str">
        <f>VLOOKUP($A28,[6]HISTODEC24!$A$6:$AV$49,8,0)</f>
        <v>BANQUE</v>
      </c>
      <c r="H28" s="7">
        <f>VLOOKUP($A28,[6]HISTODEC24!$A$6:$AV$49,35,0)</f>
        <v>0</v>
      </c>
      <c r="I28" s="7">
        <f>VLOOKUP($A28,[6]HISTODEC24!$A$6:$AV$49,38,0)</f>
        <v>0</v>
      </c>
      <c r="J28" s="7">
        <f>IF(H28=0,0,VLOOKUP($A28,[6]HISTODEC24!$A$6:$AV$49,42,0))</f>
        <v>0</v>
      </c>
      <c r="K28" s="7">
        <f>VLOOKUP($A28,[6]HISTODEC24!$A$6:$AV$49,41,0)</f>
        <v>0</v>
      </c>
      <c r="L28" s="7">
        <f>TONTNOV24!H28+TONTNOV24!I28</f>
        <v>61000</v>
      </c>
      <c r="M28" s="7">
        <f>VLOOKUP($A28,[6]HISTODEC24!$A$6:$AV$49,16,0)</f>
        <v>61000</v>
      </c>
      <c r="N28" s="7" t="str">
        <f>IF(M28&lt;&gt;0,VLOOKUP($A28,[6]HISTODEC24!$A$6:$AV$49,8,0),"ECHEC")</f>
        <v>BANQUE</v>
      </c>
      <c r="O28" s="7">
        <f>IF(R28=0,0,VLOOKUP($A28,[6]HISTODEC24!$A$6:$AV$49,32,0))</f>
        <v>0</v>
      </c>
      <c r="P28" s="7">
        <f>VLOOKUP($A28,[6]HISTODEC24!$A$6:$AV$49,33,0)</f>
        <v>0</v>
      </c>
      <c r="Q28" s="7">
        <f t="shared" si="1"/>
        <v>0</v>
      </c>
      <c r="R28" s="7">
        <f>VLOOKUP($A28,[6]HISTODEC24!$A$6:$AV$49,29,0)</f>
        <v>0</v>
      </c>
    </row>
    <row r="29" spans="1:19" x14ac:dyDescent="0.35">
      <c r="A29" s="1" t="s">
        <v>46</v>
      </c>
      <c r="B29" s="7">
        <f>IF(D29=0,0,VLOOKUP($A29,[6]HISTODEC24!$A$6:$BP$44,10,0))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D29+VLOOKUP($A29,[6]HISTODEC24!$A$7:$AU$42,45,0)+F29</f>
        <v>50000</v>
      </c>
      <c r="F29" s="7">
        <f>VLOOKUP($A29,[6]HISTODEC24!$A$6:$AV$48,7,0)</f>
        <v>0</v>
      </c>
      <c r="G29" s="7" t="str">
        <f>VLOOKUP($A29,[6]HISTODEC24!$A$6:$AV$49,8,0)</f>
        <v>BANQUE</v>
      </c>
      <c r="H29" s="7">
        <f>VLOOKUP($A29,[6]HISTODEC24!$A$6:$AV$49,35,0)</f>
        <v>0</v>
      </c>
      <c r="I29" s="7">
        <f>VLOOKUP($A29,[6]HISTODEC24!$A$6:$AV$49,38,0)</f>
        <v>0</v>
      </c>
      <c r="J29" s="7">
        <f>IF(H29=0,0,VLOOKUP($A29,[6]HISTODEC24!$A$6:$AV$49,42,0))</f>
        <v>0</v>
      </c>
      <c r="K29" s="7">
        <f>VLOOKUP($A29,[6]HISTODEC24!$A$6:$AV$49,41,0)</f>
        <v>0</v>
      </c>
      <c r="L29" s="7">
        <f>TONTNOV24!H29+TONTNOV24!I29</f>
        <v>0</v>
      </c>
      <c r="M29" s="7">
        <f>VLOOKUP($A29,[6]HISTODEC24!$A$6:$AV$49,16,0)</f>
        <v>0</v>
      </c>
      <c r="N29" s="7" t="str">
        <f>IF(M29&lt;&gt;0,VLOOKUP($A29,[6]HISTODEC24!$A$6:$AV$49,8,0),"ECHEC")</f>
        <v>ECHEC</v>
      </c>
      <c r="O29" s="7">
        <f>IF(R29=0,0,VLOOKUP($A29,[6]HISTODEC24!$A$6:$AV$49,32,0))</f>
        <v>0</v>
      </c>
      <c r="P29" s="7">
        <f>VLOOKUP($A29,[6]HISTODEC24!$A$6:$AV$49,33,0)</f>
        <v>0</v>
      </c>
      <c r="Q29" s="7">
        <f t="shared" si="1"/>
        <v>0</v>
      </c>
      <c r="R29" s="7">
        <f>VLOOKUP($A29,[6]HISTODEC24!$A$6:$AV$49,29,0)</f>
        <v>0</v>
      </c>
    </row>
    <row r="30" spans="1:19" x14ac:dyDescent="0.35">
      <c r="A30" s="1" t="s">
        <v>24</v>
      </c>
      <c r="B30" s="7">
        <f>IF(D30=0,0,VLOOKUP($A30,[6]HISTODEC24!$A$6:$BP$44,10,0))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D30+VLOOKUP($A30,[6]HISTODEC24!$A$7:$AU$42,45,0)+F30</f>
        <v>50000</v>
      </c>
      <c r="F30" s="7">
        <f>VLOOKUP($A30,[6]HISTODEC24!$A$6:$AV$48,7,0)</f>
        <v>0</v>
      </c>
      <c r="G30" s="7" t="str">
        <f>VLOOKUP($A30,[6]HISTODEC24!$A$6:$AV$49,8,0)</f>
        <v>BANQUE</v>
      </c>
      <c r="H30" s="7">
        <f>VLOOKUP($A30,[6]HISTODEC24!$A$6:$AV$49,35,0)</f>
        <v>0</v>
      </c>
      <c r="I30" s="7">
        <f>VLOOKUP($A30,[6]HISTODEC24!$A$6:$AV$49,38,0)</f>
        <v>0</v>
      </c>
      <c r="J30" s="7">
        <f>IF(H30=0,0,VLOOKUP($A30,[6]HISTODEC24!$A$6:$AV$49,42,0))</f>
        <v>0</v>
      </c>
      <c r="K30" s="7">
        <f>VLOOKUP($A30,[6]HISTODEC24!$A$6:$AV$49,41,0)</f>
        <v>0</v>
      </c>
      <c r="L30" s="7">
        <f>TONTNOV24!H30+TONTNOV24!I30</f>
        <v>0</v>
      </c>
      <c r="M30" s="7">
        <f>VLOOKUP($A30,[6]HISTODEC24!$A$6:$AV$49,16,0)</f>
        <v>0</v>
      </c>
      <c r="N30" s="7" t="str">
        <f>IF(M30&lt;&gt;0,VLOOKUP($A30,[6]HISTODEC24!$A$6:$AV$49,8,0),"ECHEC")</f>
        <v>ECHEC</v>
      </c>
      <c r="O30" s="7">
        <f>IF(R30=0,0,VLOOKUP($A30,[6]HISTODEC24!$A$6:$AV$49,32,0))</f>
        <v>0</v>
      </c>
      <c r="P30" s="7">
        <f>VLOOKUP($A30,[6]HISTODEC24!$A$6:$AV$49,33,0)</f>
        <v>0</v>
      </c>
      <c r="Q30" s="7">
        <f t="shared" si="1"/>
        <v>0</v>
      </c>
      <c r="R30" s="7">
        <f>VLOOKUP($A30,[6]HISTODEC24!$A$6:$AV$49,29,0)</f>
        <v>0</v>
      </c>
    </row>
    <row r="31" spans="1:19" x14ac:dyDescent="0.35">
      <c r="A31" s="1" t="s">
        <v>26</v>
      </c>
      <c r="B31" s="7">
        <f>IF(D31=0,0,VLOOKUP($A31,[6]HISTODEC24!$A$6:$BP$44,10,0))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D31+VLOOKUP($A31,[6]HISTODEC24!$A$7:$AU$42,45,0)+F31</f>
        <v>50000</v>
      </c>
      <c r="F31" s="7">
        <f>VLOOKUP($A31,[6]HISTODEC24!$A$6:$AV$48,7,0)</f>
        <v>0</v>
      </c>
      <c r="G31" s="7" t="str">
        <f>VLOOKUP($A31,[6]HISTODEC24!$A$6:$AV$49,8,0)</f>
        <v>BANQUE</v>
      </c>
      <c r="H31" s="7">
        <f>VLOOKUP($A31,[6]HISTODEC24!$A$6:$AV$49,35,0)</f>
        <v>0</v>
      </c>
      <c r="I31" s="7">
        <f>VLOOKUP($A31,[6]HISTODEC24!$A$6:$AV$49,38,0)</f>
        <v>0</v>
      </c>
      <c r="J31" s="7">
        <f>IF(H31=0,0,VLOOKUP($A31,[6]HISTODEC24!$A$6:$AV$49,42,0))</f>
        <v>0</v>
      </c>
      <c r="K31" s="7">
        <f>VLOOKUP($A31,[6]HISTODEC24!$A$6:$AV$49,41,0)</f>
        <v>0</v>
      </c>
      <c r="L31" s="7">
        <f>TONTNOV24!H31+TONTNOV24!I31</f>
        <v>0</v>
      </c>
      <c r="M31" s="7">
        <f>VLOOKUP($A31,[6]HISTODEC24!$A$6:$AV$49,16,0)</f>
        <v>0</v>
      </c>
      <c r="N31" s="7" t="str">
        <f>IF(M31&lt;&gt;0,VLOOKUP($A31,[6]HISTODEC24!$A$6:$AV$49,8,0),"ECHEC")</f>
        <v>ECHEC</v>
      </c>
      <c r="O31" s="7">
        <f>IF(R31=0,0,VLOOKUP($A31,[6]HISTODEC24!$A$6:$AV$49,32,0))</f>
        <v>0</v>
      </c>
      <c r="P31" s="7">
        <f>VLOOKUP($A31,[6]HISTODEC24!$A$6:$AV$49,33,0)</f>
        <v>0</v>
      </c>
      <c r="Q31" s="7">
        <f t="shared" si="1"/>
        <v>0</v>
      </c>
      <c r="R31" s="7">
        <f>VLOOKUP($A31,[6]HISTODEC24!$A$6:$AV$49,29,0)</f>
        <v>0</v>
      </c>
    </row>
    <row r="32" spans="1:19" x14ac:dyDescent="0.35">
      <c r="A32" s="1" t="s">
        <v>95</v>
      </c>
      <c r="B32" s="7">
        <f>IF(D32=0,0,VLOOKUP($A32,[6]HISTODEC24!$A$6:$BP$44,10,0))</f>
        <v>1</v>
      </c>
      <c r="C32" s="1" t="str">
        <f>VLOOKUP(A32,[7]LISTADHERENT!A$5:H$60,3,0)</f>
        <v>TCHOUATEU AUGUSTIN</v>
      </c>
      <c r="D32" s="7">
        <f t="shared" si="0"/>
        <v>25000</v>
      </c>
      <c r="E32" s="7">
        <f>D32+VLOOKUP($A32,[6]HISTODEC24!$A$7:$AU$42,45,0)+F32</f>
        <v>60000</v>
      </c>
      <c r="F32" s="7">
        <f>VLOOKUP($A32,[6]HISTODEC24!$A$6:$AV$48,7,0)</f>
        <v>0</v>
      </c>
      <c r="G32" s="7" t="str">
        <f>VLOOKUP($A32,[6]HISTODEC24!$A$6:$AV$49,8,0)</f>
        <v>BANQUE</v>
      </c>
      <c r="H32" s="7">
        <f>VLOOKUP($A32,[6]HISTODEC24!$A$6:$AV$49,35,0)</f>
        <v>0</v>
      </c>
      <c r="I32" s="7">
        <f>VLOOKUP($A32,[6]HISTODEC24!$A$6:$AV$49,38,0)</f>
        <v>0</v>
      </c>
      <c r="J32" s="7">
        <f>IF(H32=0,0,VLOOKUP($A32,[6]HISTODEC24!$A$6:$AV$49,42,0))</f>
        <v>0</v>
      </c>
      <c r="K32" s="7">
        <f>VLOOKUP($A32,[6]HISTODEC24!$A$6:$AV$49,41,0)</f>
        <v>0</v>
      </c>
      <c r="L32" s="7">
        <f>TONTNOV24!H32+TONTNOV24!I32</f>
        <v>0</v>
      </c>
      <c r="M32" s="7">
        <f>VLOOKUP($A32,[6]HISTODEC24!$A$6:$AV$49,16,0)</f>
        <v>0</v>
      </c>
      <c r="N32" s="7" t="str">
        <f>IF(M32&lt;&gt;0,VLOOKUP($A32,[6]HISTODEC24!$A$6:$AV$49,8,0),"ECHEC")</f>
        <v>ECHEC</v>
      </c>
      <c r="O32" s="7">
        <f>IF(R32=0,0,VLOOKUP($A32,[6]HISTODEC24!$A$6:$AV$49,32,0))</f>
        <v>0</v>
      </c>
      <c r="P32" s="7">
        <f>VLOOKUP($A32,[6]HISTODEC24!$A$6:$AV$49,33,0)</f>
        <v>0</v>
      </c>
      <c r="Q32" s="7">
        <f t="shared" si="1"/>
        <v>0</v>
      </c>
      <c r="R32" s="7">
        <f>VLOOKUP($A32,[6]HISTODEC24!$A$6:$AV$49,29,0)</f>
        <v>0</v>
      </c>
    </row>
    <row r="33" spans="1:18" x14ac:dyDescent="0.35">
      <c r="A33" s="1" t="s">
        <v>87</v>
      </c>
      <c r="B33" s="7">
        <f>IF(D33=0,0,VLOOKUP($A33,[6]HISTODEC24!$A$6:$BP$44,10,0))</f>
        <v>1</v>
      </c>
      <c r="C33" s="1" t="str">
        <f>VLOOKUP(A33,[7]LISTADHERENT!A$5:H$60,3,0)</f>
        <v>TCHOUTOU NANA CLAUDE</v>
      </c>
      <c r="D33" s="7">
        <f t="shared" si="0"/>
        <v>25000</v>
      </c>
      <c r="E33" s="7">
        <f>D33+VLOOKUP($A33,[6]HISTODEC24!$A$7:$AU$42,45,0)+F33</f>
        <v>347500</v>
      </c>
      <c r="F33" s="7">
        <f>VLOOKUP($A33,[6]HISTODEC24!$A$6:$AV$48,7,0)</f>
        <v>0</v>
      </c>
      <c r="G33" s="7" t="str">
        <f>VLOOKUP($A33,[6]HISTODEC24!$A$6:$AV$49,8,0)</f>
        <v>ESPECES</v>
      </c>
      <c r="H33" s="7">
        <f>VLOOKUP($A33,[6]HISTODEC24!$A$6:$AV$49,35,0)</f>
        <v>0</v>
      </c>
      <c r="I33" s="7">
        <f>VLOOKUP($A33,[6]HISTODEC24!$A$6:$AV$49,38,0)</f>
        <v>0</v>
      </c>
      <c r="J33" s="7">
        <f>IF(H33=0,0,VLOOKUP($A33,[6]HISTODEC24!$A$6:$AV$49,42,0))</f>
        <v>0</v>
      </c>
      <c r="K33" s="7">
        <f>VLOOKUP($A33,[6]HISTODEC24!$A$6:$AV$49,41,0)</f>
        <v>0</v>
      </c>
      <c r="L33" s="7">
        <f>TONTNOV24!H33+TONTNOV24!I33</f>
        <v>0</v>
      </c>
      <c r="M33" s="7">
        <f>VLOOKUP($A33,[6]HISTODEC24!$A$6:$AV$49,16,0)</f>
        <v>0</v>
      </c>
      <c r="N33" s="7" t="str">
        <f>IF(M33&lt;&gt;0,VLOOKUP($A33,[6]HISTODEC24!$A$6:$AV$49,8,0),"ECHEC")</f>
        <v>ECHEC</v>
      </c>
      <c r="O33" s="7">
        <f>IF(R33=0,0,VLOOKUP($A33,[6]HISTODEC24!$A$6:$AV$49,32,0))</f>
        <v>0</v>
      </c>
      <c r="P33" s="7">
        <f>VLOOKUP($A33,[6]HISTODEC24!$A$6:$AV$49,33,0)</f>
        <v>0</v>
      </c>
      <c r="Q33" s="7">
        <f t="shared" si="1"/>
        <v>297500</v>
      </c>
      <c r="R33" s="7">
        <f>VLOOKUP($A33,[6]HISTODEC24!$A$6:$AV$49,29,0)</f>
        <v>2500</v>
      </c>
    </row>
    <row r="34" spans="1:18" x14ac:dyDescent="0.35">
      <c r="A34" s="17" t="s">
        <v>89</v>
      </c>
      <c r="B34" s="7">
        <f>IF(D34=0,0,VLOOKUP($A34,[6]HISTODEC24!$A$6:$BP$44,10,0))</f>
        <v>1</v>
      </c>
      <c r="C34" s="1" t="str">
        <f>VLOOKUP(A34,[7]LISTADHERENT!A$5:H$60,3,0)</f>
        <v>YANTCHOU GERVAIS</v>
      </c>
      <c r="D34" s="7">
        <f t="shared" si="0"/>
        <v>25000</v>
      </c>
      <c r="E34" s="7">
        <f>D34+VLOOKUP($A34,[6]HISTODEC24!$A$7:$AU$42,45,0)+F34</f>
        <v>50000</v>
      </c>
      <c r="F34" s="7">
        <f>VLOOKUP($A34,[6]HISTODEC24!$A$6:$AV$48,7,0)</f>
        <v>0</v>
      </c>
      <c r="G34" s="7" t="str">
        <f>VLOOKUP($A34,[6]HISTODEC24!$A$6:$AV$49,8,0)</f>
        <v>BANQUE</v>
      </c>
      <c r="H34" s="7">
        <f>VLOOKUP($A34,[6]HISTODEC24!$A$6:$AV$49,35,0)</f>
        <v>0</v>
      </c>
      <c r="I34" s="7">
        <f>VLOOKUP($A34,[6]HISTODEC24!$A$6:$AV$49,38,0)</f>
        <v>0</v>
      </c>
      <c r="J34" s="7">
        <f>IF(H34=0,0,VLOOKUP($A34,[6]HISTODEC24!$A$6:$AV$49,42,0))</f>
        <v>0</v>
      </c>
      <c r="K34" s="7">
        <f>VLOOKUP($A34,[6]HISTODEC24!$A$6:$AV$49,41,0)</f>
        <v>0</v>
      </c>
      <c r="L34" s="7">
        <f>TONTNOV24!H34+TONTNOV24!I34</f>
        <v>0</v>
      </c>
      <c r="M34" s="7">
        <f>VLOOKUP($A34,[6]HISTODEC24!$A$6:$AV$49,16,0)</f>
        <v>0</v>
      </c>
      <c r="N34" s="7" t="str">
        <f>IF(M34&lt;&gt;0,VLOOKUP($A34,[6]HISTODEC24!$A$6:$AV$49,8,0),"ECHEC")</f>
        <v>ECHEC</v>
      </c>
      <c r="O34" s="7">
        <f>IF(R34=0,0,VLOOKUP($A34,[6]HISTODEC24!$A$6:$AV$49,32,0))</f>
        <v>0</v>
      </c>
      <c r="P34" s="7">
        <f>VLOOKUP($A34,[6]HISTODEC24!$A$6:$AV$49,33,0)</f>
        <v>0</v>
      </c>
      <c r="Q34" s="7">
        <f t="shared" si="1"/>
        <v>0</v>
      </c>
      <c r="R34" s="7">
        <f>VLOOKUP($A34,[6]HISTODEC24!$A$6:$AV$49,29,0)</f>
        <v>0</v>
      </c>
    </row>
    <row r="35" spans="1:18" x14ac:dyDescent="0.35">
      <c r="A35" s="1" t="s">
        <v>27</v>
      </c>
      <c r="B35" s="7">
        <f>IF(D35=0,0,VLOOKUP($A35,[6]HISTODEC24!$A$6:$BP$44,10,0))</f>
        <v>1</v>
      </c>
      <c r="C35" s="1" t="str">
        <f>VLOOKUP(A35,[7]LISTADHERENT!A$5:H$60,3,0)</f>
        <v>YEPMOU JEAN JACQUES</v>
      </c>
      <c r="D35" s="7">
        <f t="shared" si="0"/>
        <v>25000</v>
      </c>
      <c r="E35" s="7">
        <f>D35+VLOOKUP($A35,[6]HISTODEC24!$A$7:$AU$42,45,0)+F35</f>
        <v>50000</v>
      </c>
      <c r="F35" s="7">
        <f>VLOOKUP($A35,[6]HISTODEC24!$A$6:$AV$48,7,0)</f>
        <v>0</v>
      </c>
      <c r="G35" s="7" t="str">
        <f>VLOOKUP($A35,[6]HISTODEC24!$A$6:$AV$49,8,0)</f>
        <v>ESPECES</v>
      </c>
      <c r="H35" s="7">
        <f>VLOOKUP($A35,[6]HISTODEC24!$A$6:$AV$49,35,0)</f>
        <v>0</v>
      </c>
      <c r="I35" s="7">
        <f>VLOOKUP($A35,[6]HISTODEC24!$A$6:$AV$49,38,0)</f>
        <v>0</v>
      </c>
      <c r="J35" s="7">
        <f>IF(H35=0,0,VLOOKUP($A35,[6]HISTODEC24!$A$6:$AV$49,42,0))</f>
        <v>0</v>
      </c>
      <c r="K35" s="7">
        <f>VLOOKUP($A35,[6]HISTODEC24!$A$6:$AV$49,41,0)</f>
        <v>0</v>
      </c>
      <c r="L35" s="7">
        <f>TONTNOV24!H35+TONTNOV24!I35</f>
        <v>0</v>
      </c>
      <c r="M35" s="7">
        <f>VLOOKUP($A35,[6]HISTODEC24!$A$6:$AV$49,16,0)</f>
        <v>0</v>
      </c>
      <c r="N35" s="7" t="str">
        <f>IF(M35&lt;&gt;0,VLOOKUP($A35,[6]HISTODEC24!$A$6:$AV$49,8,0),"ECHEC")</f>
        <v>ECHEC</v>
      </c>
      <c r="O35" s="7">
        <f>IF(R35=0,0,VLOOKUP($A35,[6]HISTODEC24!$A$6:$AV$49,32,0))</f>
        <v>0</v>
      </c>
      <c r="P35" s="7">
        <f>VLOOKUP($A35,[6]HISTODEC24!$A$6:$AV$49,33,0)</f>
        <v>0</v>
      </c>
      <c r="Q35" s="7">
        <f t="shared" si="1"/>
        <v>297500</v>
      </c>
      <c r="R35" s="7">
        <f>VLOOKUP($A35,[6]HISTODEC24!$A$6:$AV$49,29,0)</f>
        <v>2500</v>
      </c>
    </row>
    <row r="36" spans="1:18" x14ac:dyDescent="0.35">
      <c r="A36" s="1" t="s">
        <v>94</v>
      </c>
      <c r="B36" s="7">
        <f>IF(D36=0,0,VLOOKUP($A36,[6]HISTODEC24!$A$6:$BP$44,10,0))</f>
        <v>1</v>
      </c>
      <c r="C36" s="1" t="str">
        <f>VLOOKUP(A36,[7]LISTADHERENT!A$5:H$60,3,0)</f>
        <v>YIALA ALAIN OSCAR</v>
      </c>
      <c r="D36" s="7">
        <f t="shared" si="0"/>
        <v>25000</v>
      </c>
      <c r="E36" s="7">
        <f>D36+VLOOKUP($A36,[6]HISTODEC24!$A$7:$AU$42,45,0)+F36</f>
        <v>50000</v>
      </c>
      <c r="F36" s="7">
        <f>VLOOKUP($A36,[6]HISTODEC24!$A$6:$AV$48,7,0)</f>
        <v>0</v>
      </c>
      <c r="G36" s="7" t="str">
        <f>VLOOKUP($A36,[6]HISTODEC24!$A$6:$AV$49,8,0)</f>
        <v>ESPECES</v>
      </c>
      <c r="H36" s="7">
        <f>VLOOKUP($A36,[6]HISTODEC24!$A$6:$AV$49,35,0)</f>
        <v>0</v>
      </c>
      <c r="I36" s="7">
        <f>VLOOKUP($A36,[6]HISTODEC24!$A$6:$AV$49,38,0)</f>
        <v>0</v>
      </c>
      <c r="J36" s="7">
        <f>IF(H36=0,0,VLOOKUP($A36,[6]HISTODEC24!$A$6:$AV$49,42,0))</f>
        <v>0</v>
      </c>
      <c r="K36" s="7">
        <f>VLOOKUP($A36,[6]HISTODEC24!$A$6:$AV$49,41,0)</f>
        <v>0</v>
      </c>
      <c r="L36" s="7">
        <f>TONTNOV24!H36+TONTNOV24!I36</f>
        <v>0</v>
      </c>
      <c r="M36" s="7">
        <f>VLOOKUP($A36,[6]HISTODEC24!$A$6:$AV$49,16,0)</f>
        <v>0</v>
      </c>
      <c r="N36" s="7" t="str">
        <f>IF(M36&lt;&gt;0,VLOOKUP($A36,[6]HISTODEC24!$A$6:$AV$49,8,0),"ECHEC")</f>
        <v>ECHEC</v>
      </c>
      <c r="O36" s="7">
        <f>IF(R36=0,0,VLOOKUP($A36,[6]HISTODEC24!$A$6:$AV$49,32,0))</f>
        <v>0</v>
      </c>
      <c r="P36" s="7">
        <f>VLOOKUP($A36,[6]HISTODEC24!$A$6:$AV$49,33,0)</f>
        <v>0</v>
      </c>
      <c r="Q36" s="7">
        <f t="shared" si="1"/>
        <v>0</v>
      </c>
      <c r="R36" s="7">
        <f>VLOOKUP($A36,[6]HISTODEC24!$A$6:$AV$49,29,0)</f>
        <v>0</v>
      </c>
    </row>
    <row r="37" spans="1:18" x14ac:dyDescent="0.35">
      <c r="A37" s="1" t="s">
        <v>28</v>
      </c>
      <c r="B37" s="7">
        <f>IF(D37=0,0,VLOOKUP($A37,[6]HISTODEC24!$A$6:$BP$44,10,0))</f>
        <v>1</v>
      </c>
      <c r="C37" s="1" t="str">
        <f>VLOOKUP(A37,[7]LISTADHERENT!A$5:H$60,3,0)</f>
        <v>YOUMBI EMMANUEL</v>
      </c>
      <c r="D37" s="7">
        <f t="shared" si="0"/>
        <v>25000</v>
      </c>
      <c r="E37" s="7">
        <f>D37+VLOOKUP($A37,[6]HISTODEC24!$A$7:$AU$42,45,0)+F37</f>
        <v>50000</v>
      </c>
      <c r="F37" s="7">
        <f>VLOOKUP($A37,[6]HISTODEC24!$A$6:$AV$48,7,0)</f>
        <v>0</v>
      </c>
      <c r="G37" s="7" t="str">
        <f>VLOOKUP($A37,[6]HISTODEC24!$A$6:$AV$49,8,0)</f>
        <v>BANQUE</v>
      </c>
      <c r="H37" s="7">
        <f>VLOOKUP($A37,[6]HISTODEC24!$A$6:$AV$49,35,0)</f>
        <v>0</v>
      </c>
      <c r="I37" s="7">
        <f>VLOOKUP($A37,[6]HISTODEC24!$A$6:$AV$49,38,0)</f>
        <v>0</v>
      </c>
      <c r="J37" s="7">
        <f>IF(H37=0,0,VLOOKUP($A37,[6]HISTODEC24!$A$6:$AV$49,42,0))</f>
        <v>0</v>
      </c>
      <c r="K37" s="7">
        <f>VLOOKUP($A37,[6]HISTODEC24!$A$6:$AV$49,41,0)</f>
        <v>0</v>
      </c>
      <c r="L37" s="7">
        <f>TONTNOV24!H37+TONTNOV24!I37</f>
        <v>0</v>
      </c>
      <c r="M37" s="7">
        <f>VLOOKUP($A37,[6]HISTODEC24!$A$6:$AV$49,16,0)</f>
        <v>0</v>
      </c>
      <c r="N37" s="7" t="str">
        <f>IF(M37&lt;&gt;0,VLOOKUP($A37,[6]HISTODEC24!$A$6:$AV$49,8,0),"ECHEC")</f>
        <v>ECHEC</v>
      </c>
      <c r="O37" s="7">
        <f>IF(R37=0,0,VLOOKUP($A37,[6]HISTODEC24!$A$6:$AV$49,32,0))</f>
        <v>0</v>
      </c>
      <c r="P37" s="7">
        <f>VLOOKUP($A37,[6]HISTODEC24!$A$6:$AV$49,33,0)</f>
        <v>0</v>
      </c>
      <c r="Q37" s="7">
        <f t="shared" si="1"/>
        <v>0</v>
      </c>
      <c r="R37" s="7">
        <f>VLOOKUP($A37,[6]HISTODEC24!$A$6:$AV$49,29,0)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0</v>
      </c>
      <c r="G40" s="8">
        <f t="shared" si="2"/>
        <v>0</v>
      </c>
      <c r="H40" s="8">
        <f t="shared" si="2"/>
        <v>0</v>
      </c>
      <c r="I40" s="8">
        <f t="shared" si="2"/>
        <v>0</v>
      </c>
      <c r="J40" s="8">
        <f t="shared" si="2"/>
        <v>0</v>
      </c>
      <c r="K40" s="8">
        <f t="shared" si="2"/>
        <v>0</v>
      </c>
      <c r="L40" s="8">
        <f t="shared" si="2"/>
        <v>315000</v>
      </c>
      <c r="M40" s="8">
        <f t="shared" si="2"/>
        <v>315000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892500</v>
      </c>
      <c r="R40" s="8">
        <f t="shared" si="2"/>
        <v>7500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D46+G46+R40+TONTNOV24!O47</f>
        <v>1141000</v>
      </c>
      <c r="N42" s="4"/>
      <c r="O42"/>
      <c r="P42" s="4"/>
    </row>
    <row r="43" spans="1:18" s="2" customFormat="1" ht="17.5" x14ac:dyDescent="0.35">
      <c r="D43" s="8">
        <f>SUMIFS(D6:D39,G6:G39,"ESPECES")</f>
        <v>225000</v>
      </c>
      <c r="E43" s="8"/>
      <c r="F43" s="8" t="s">
        <v>31</v>
      </c>
      <c r="G43" s="8">
        <f>SUMIFS(M6:M33,N6:N33,"ESPECES")</f>
        <v>61000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286000</v>
      </c>
      <c r="K43" s="8"/>
      <c r="L43" s="8" t="s">
        <v>79</v>
      </c>
      <c r="M43" s="8">
        <f>C3*COUNTIF(Q7:Q39,"&gt;0")</f>
        <v>900000</v>
      </c>
      <c r="N43" s="8">
        <f>D3</f>
        <v>3</v>
      </c>
      <c r="O43" s="8">
        <f>COUNTIF(Q6:Q33,"&gt;0")</f>
        <v>2</v>
      </c>
      <c r="P43" s="8"/>
    </row>
    <row r="44" spans="1:18" s="2" customFormat="1" ht="17.5" x14ac:dyDescent="0.35">
      <c r="D44" s="8">
        <f>SUMIFS(D6:D39,G6:G39,"BANQUE")</f>
        <v>575000</v>
      </c>
      <c r="E44" s="8"/>
      <c r="F44" s="8" t="s">
        <v>32</v>
      </c>
      <c r="G44" s="8">
        <f>SUMIFS(M6:M33,N6:N33,"BANQUE")</f>
        <v>254000</v>
      </c>
      <c r="H44" s="8">
        <f>SUMIFS(H6:H39,J6:J39,"BANQUE")</f>
        <v>0</v>
      </c>
      <c r="I44" s="8">
        <f>SUMIFS(Q6:Q39,O6:O39,"BANQUE")</f>
        <v>0</v>
      </c>
      <c r="J44" s="8">
        <f>D44+G44-H44-I44</f>
        <v>829000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241000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315000</v>
      </c>
      <c r="H46" s="8">
        <f>H43+H44</f>
        <v>0</v>
      </c>
      <c r="I46" s="8">
        <f t="shared" ref="I46:J46" si="3">I43+I44</f>
        <v>0</v>
      </c>
      <c r="J46" s="8">
        <f t="shared" si="3"/>
        <v>1115000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241000</v>
      </c>
      <c r="N47"/>
      <c r="O47" s="8">
        <f>TONTDEC24!M47</f>
        <v>241000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TONTDEC24!M49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TONTDEC24!M50</f>
        <v>0</v>
      </c>
      <c r="P50" s="8" t="s">
        <v>53</v>
      </c>
    </row>
  </sheetData>
  <autoFilter ref="A5:R25" xr:uid="{00000000-0009-0000-0000-00000C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50"/>
  <sheetViews>
    <sheetView tabSelected="1" workbookViewId="0">
      <pane xSplit="3" ySplit="5" topLeftCell="Q6" activePane="bottomRight" state="frozen"/>
      <selection activeCell="G6" sqref="G6:G39"/>
      <selection pane="topRight" activeCell="G6" sqref="G6:G39"/>
      <selection pane="bottomLeft" activeCell="G6" sqref="G6:G39"/>
      <selection pane="bottomRight" activeCell="X40" sqref="X40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  <col min="19" max="19" width="13" customWidth="1"/>
    <col min="20" max="20" width="15" customWidth="1"/>
    <col min="21" max="21" width="14.453125" customWidth="1"/>
  </cols>
  <sheetData>
    <row r="1" spans="1:21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21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21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0</v>
      </c>
      <c r="E3" s="1"/>
      <c r="F3" s="1"/>
      <c r="G3" s="1"/>
      <c r="N3" s="1"/>
      <c r="O3" s="1"/>
    </row>
    <row r="4" spans="1:21" s="13" customFormat="1" ht="17.5" x14ac:dyDescent="0.35">
      <c r="B4" s="14"/>
      <c r="C4" s="38" t="s">
        <v>97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  <c r="Q4" s="15"/>
    </row>
    <row r="5" spans="1:21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  <c r="S5" s="4" t="s">
        <v>90</v>
      </c>
      <c r="T5" s="4" t="s">
        <v>91</v>
      </c>
      <c r="U5" s="4" t="s">
        <v>98</v>
      </c>
    </row>
    <row r="6" spans="1:21" ht="17.5" x14ac:dyDescent="0.35">
      <c r="A6" s="1" t="s">
        <v>88</v>
      </c>
      <c r="B6" s="7">
        <f>TONTJANV24!B6+TONTFEV24!B6+TONTMARS24!B6+TONTAVRIL24!B6+TONTMAI24!B6+TONTJUIN24!B6+TONTJUIL24!B6+TONTAOUT24!B6+TONTSEPT24!B6+TONTOCT24!B6+TONTNOV24!B6+TONTDEC24!B6</f>
        <v>12</v>
      </c>
      <c r="C6" s="1" t="str">
        <f>VLOOKUP(A6,[7]LISTADHERENT!A$5:H$60,3,0)</f>
        <v>BAKOP ACHILLE</v>
      </c>
      <c r="D6" s="7">
        <f>TONTJANV24!D6+TONTFEV24!D6+TONTMARS24!D6+TONTAVRIL24!D6+TONTMAI24!D6+TONTJUIN24!D6+TONTJUIL24!D6+TONTAOUT24!D6+TONTSEPT24!D6+TONTOCT24!D6+TONTNOV24!D6+TONTDEC24!D6</f>
        <v>300000</v>
      </c>
      <c r="E6" s="7">
        <f>TONTJANV24!E6+TONTFEV24!E6+TONTMARS24!E6+TONTAVRIL24!E6+TONTMAI24!E6+TONTJUIN24!E6+TONTJUIL24!E6+TONTAOUT24!E6+TONTSEPT24!E6+TONTOCT24!E6+TONTNOV24!E6+TONTDEC24!E6</f>
        <v>620000</v>
      </c>
      <c r="F6" s="7">
        <f>TONTJANV24!F6+TONTFEV24!F6+TONTMARS24!F6+TONTAVRIL24!F6+TONTMAI24!F6+TONTJUIN24!F6+TONTJUIL24!F6+TONTAOUT24!F6+TONTSEPT24!F6+TONTOCT24!F6+TONTNOV24!F6+TONTDEC24!F6</f>
        <v>12000</v>
      </c>
      <c r="G6" s="7"/>
      <c r="H6" s="7">
        <f>TONTJANV24!H6+TONTFEV24!H6+TONTMARS24!H6+TONTAVRIL24!H6+TONTMAI24!H6+TONTJUIN24!H6+TONTJUIL24!H6+TONTAOUT24!H6+TONTSEPT24!H6+TONTOCT24!H6+TONTNOV24!H6+TONTDEC24!H6</f>
        <v>117000</v>
      </c>
      <c r="I6" s="7">
        <f>TONTJANV24!I6+TONTFEV24!I6+TONTMARS24!I6+TONTAVRIL24!I6+TONTMAI24!I6+TONTJUIN24!I6+TONTJUIL24!I6+TONTAOUT24!I6+TONTSEPT24!I6+TONTOCT24!I6+TONTNOV24!I6+TONTDEC24!I6</f>
        <v>2000</v>
      </c>
      <c r="J6" s="7"/>
      <c r="K6" s="7">
        <f>TONTJANV24!K6+TONTFEV24!K6+TONTMARS24!K6+TONTAVRIL24!K6+TONTMAI24!K6+TONTJUIN24!K6+TONTJUIL24!K6+TONTAOUT24!K6+TONTSEPT24!K6+TONTOCT24!K6+TONTNOV24!K6+TONTDEC24!K6</f>
        <v>0</v>
      </c>
      <c r="L6" s="7">
        <f>TONTJANV24!L6+TONTFEV24!L6+TONTMARS24!L6+TONTAVRIL24!L6+TONTMAI24!L6+TONTJUIN24!L6+TONTJUIL24!L6+TONTAOUT24!L6+TONTSEPT24!L6+TONTOCT24!L6+TONTNOV24!L6+TONTDEC24!L6</f>
        <v>119000</v>
      </c>
      <c r="M6" s="7">
        <f>TONTJANV24!M6+TONTFEV24!M6+TONTMARS24!M6+TONTAVRIL24!M6+TONTMAI24!M6+TONTJUIN24!M6+TONTJUIL24!M6+TONTAOUT24!M6+TONTSEPT24!M6+TONTOCT24!M6+TONTNOV24!M6+TONTDEC24!M6</f>
        <v>119000</v>
      </c>
      <c r="N6" s="7"/>
      <c r="O6" s="7"/>
      <c r="P6" s="7">
        <f>TONTJANV24!P6+TONTFEV24!P6+TONTMARS24!P6+TONTAVRIL24!P6+TONTMAI24!P6+TONTJUIN24!P6+TONTJUIL24!P6+TONTAOUT24!P6+TONTSEPT24!P6+TONTOCT24!P6+TONTNOV24!P6+TONTDEC24!P6</f>
        <v>0</v>
      </c>
      <c r="Q6" s="7">
        <f>TONTJANV24!Q6+TONTFEV24!Q6+TONTMARS24!Q6+TONTAVRIL24!Q6+TONTMAI24!Q6+TONTJUIN24!Q6+TONTJUIL24!Q6+TONTAOUT24!Q6+TONTSEPT24!Q6+TONTOCT24!Q6+TONTNOV24!Q6+TONTDEC24!Q6</f>
        <v>290000</v>
      </c>
      <c r="R6" s="7">
        <f>TONTJANV24!R6+TONTFEV24!R6+TONTMARS24!R6+TONTAVRIL24!R6+TONTMAI24!R6+TONTJUIN24!R6+TONTJUIL24!R6+TONTAOUT24!R6+TONTSEPT24!R6+TONTOCT24!R6+TONTNOV24!R6+TONTDEC24!R6</f>
        <v>10000</v>
      </c>
      <c r="S6" s="18">
        <v>45352</v>
      </c>
      <c r="T6" s="8">
        <f>$R$46</f>
        <v>7531.25</v>
      </c>
      <c r="U6" s="8">
        <v>7000</v>
      </c>
    </row>
    <row r="7" spans="1:21" ht="17.5" x14ac:dyDescent="0.35">
      <c r="A7" s="1" t="s">
        <v>9</v>
      </c>
      <c r="B7" s="7">
        <f>TONTJANV24!B7+TONTFEV24!B7+TONTMARS24!B7+TONTAVRIL24!B7+TONTMAI24!B7+TONTJUIN24!B7+TONTJUIL24!B7+TONTAOUT24!B7+TONTSEPT24!B7+TONTOCT24!B7+TONTNOV24!B7+TONTDEC24!B7</f>
        <v>12</v>
      </c>
      <c r="C7" s="1" t="str">
        <f>VLOOKUP(A7,[7]LISTADHERENT!A$5:H$60,3,0)</f>
        <v>BOUTCHOUANG WILLIAM</v>
      </c>
      <c r="D7" s="7">
        <f>TONTJANV24!D7+TONTFEV24!D7+TONTMARS24!D7+TONTAVRIL24!D7+TONTMAI24!D7+TONTJUIN24!D7+TONTJUIL24!D7+TONTAOUT24!D7+TONTSEPT24!D7+TONTOCT24!D7+TONTNOV24!D7+TONTDEC24!D7</f>
        <v>300000</v>
      </c>
      <c r="E7" s="7">
        <f>TONTJANV24!E7+TONTFEV24!E7+TONTMARS24!E7+TONTAVRIL24!E7+TONTMAI24!E7+TONTJUIN24!E7+TONTJUIL24!E7+TONTAOUT24!E7+TONTSEPT24!E7+TONTOCT24!E7+TONTNOV24!E7+TONTDEC24!E7</f>
        <v>603000</v>
      </c>
      <c r="F7" s="7">
        <f>TONTJANV24!F7+TONTFEV24!F7+TONTMARS24!F7+TONTAVRIL24!F7+TONTMAI24!F7+TONTJUIN24!F7+TONTJUIL24!F7+TONTAOUT24!F7+TONTSEPT24!F7+TONTOCT24!F7+TONTNOV24!F7+TONTDEC24!F7</f>
        <v>6000</v>
      </c>
      <c r="G7" s="7"/>
      <c r="H7" s="7">
        <f>TONTJANV24!H7+TONTFEV24!H7+TONTMARS24!H7+TONTAVRIL24!H7+TONTMAI24!H7+TONTJUIN24!H7+TONTJUIL24!H7+TONTAOUT24!H7+TONTSEPT24!H7+TONTOCT24!H7+TONTNOV24!H7+TONTDEC24!H7</f>
        <v>0</v>
      </c>
      <c r="I7" s="7">
        <f>TONTJANV24!I7+TONTFEV24!I7+TONTMARS24!I7+TONTAVRIL24!I7+TONTMAI24!I7+TONTJUIN24!I7+TONTJUIL24!I7+TONTAOUT24!I7+TONTSEPT24!I7+TONTOCT24!I7+TONTNOV24!I7+TONTDEC24!I7</f>
        <v>0</v>
      </c>
      <c r="J7" s="7"/>
      <c r="K7" s="7">
        <f>TONTJANV24!K7+TONTFEV24!K7+TONTMARS24!K7+TONTAVRIL24!K7+TONTMAI24!K7+TONTJUIN24!K7+TONTJUIL24!K7+TONTAOUT24!K7+TONTSEPT24!K7+TONTOCT24!K7+TONTNOV24!K7+TONTDEC24!K7</f>
        <v>0</v>
      </c>
      <c r="L7" s="7">
        <f>TONTJANV24!L7+TONTFEV24!L7+TONTMARS24!L7+TONTAVRIL24!L7+TONTMAI24!L7+TONTJUIN24!L7+TONTJUIL24!L7+TONTAOUT24!L7+TONTSEPT24!L7+TONTOCT24!L7+TONTNOV24!L7+TONTDEC24!L7</f>
        <v>0</v>
      </c>
      <c r="M7" s="7">
        <f>TONTJANV24!M7+TONTFEV24!M7+TONTMARS24!M7+TONTAVRIL24!M7+TONTMAI24!M7+TONTJUIN24!M7+TONTJUIL24!M7+TONTAOUT24!M7+TONTSEPT24!M7+TONTOCT24!M7+TONTNOV24!M7+TONTDEC24!M7</f>
        <v>0</v>
      </c>
      <c r="N7" s="7"/>
      <c r="O7" s="7"/>
      <c r="P7" s="7">
        <f>TONTJANV24!P7+TONTFEV24!P7+TONTMARS24!P7+TONTAVRIL24!P7+TONTMAI24!P7+TONTJUIN24!P7+TONTJUIL24!P7+TONTAOUT24!P7+TONTSEPT24!P7+TONTOCT24!P7+TONTNOV24!P7+TONTDEC24!P7</f>
        <v>0</v>
      </c>
      <c r="Q7" s="7">
        <f>TONTJANV24!Q7+TONTFEV24!Q7+TONTMARS24!Q7+TONTAVRIL24!Q7+TONTMAI24!Q7+TONTJUIN24!Q7+TONTJUIL24!Q7+TONTAOUT24!Q7+TONTSEPT24!Q7+TONTOCT24!Q7+TONTNOV24!Q7+TONTDEC24!Q7</f>
        <v>297500</v>
      </c>
      <c r="R7" s="7">
        <f>TONTJANV24!R7+TONTFEV24!R7+TONTMARS24!R7+TONTAVRIL24!R7+TONTMAI24!R7+TONTJUIN24!R7+TONTJUIL24!R7+TONTAOUT24!R7+TONTSEPT24!R7+TONTOCT24!R7+TONTNOV24!R7+TONTDEC24!R7</f>
        <v>2500</v>
      </c>
      <c r="S7" s="18">
        <v>45566</v>
      </c>
      <c r="T7" s="8">
        <f t="shared" ref="T7:T37" si="0">$R$46</f>
        <v>7531.25</v>
      </c>
      <c r="U7" s="8">
        <v>7000</v>
      </c>
    </row>
    <row r="8" spans="1:21" ht="17.5" x14ac:dyDescent="0.35">
      <c r="A8" s="1" t="s">
        <v>10</v>
      </c>
      <c r="B8" s="7">
        <f>TONTJANV24!B8+TONTFEV24!B8+TONTMARS24!B8+TONTAVRIL24!B8+TONTMAI24!B8+TONTJUIN24!B8+TONTJUIL24!B8+TONTAOUT24!B8+TONTSEPT24!B8+TONTOCT24!B8+TONTNOV24!B8+TONTDEC24!B8</f>
        <v>12</v>
      </c>
      <c r="C8" s="1" t="str">
        <f>VLOOKUP(A8,[7]LISTADHERENT!A$5:H$60,3,0)</f>
        <v xml:space="preserve">DJOMO JEAN PAUL </v>
      </c>
      <c r="D8" s="7">
        <f>TONTJANV24!D8+TONTFEV24!D8+TONTMARS24!D8+TONTAVRIL24!D8+TONTMAI24!D8+TONTJUIN24!D8+TONTJUIL24!D8+TONTAOUT24!D8+TONTSEPT24!D8+TONTOCT24!D8+TONTNOV24!D8+TONTDEC24!D8</f>
        <v>300000</v>
      </c>
      <c r="E8" s="7">
        <f>TONTJANV24!E8+TONTFEV24!E8+TONTMARS24!E8+TONTAVRIL24!E8+TONTMAI24!E8+TONTJUIN24!E8+TONTJUIL24!E8+TONTAOUT24!E8+TONTSEPT24!E8+TONTOCT24!E8+TONTNOV24!E8+TONTDEC24!E8</f>
        <v>592500</v>
      </c>
      <c r="F8" s="7">
        <f>TONTJANV24!F8+TONTFEV24!F8+TONTMARS24!F8+TONTAVRIL24!F8+TONTMAI24!F8+TONTJUIN24!F8+TONTJUIL24!F8+TONTAOUT24!F8+TONTSEPT24!F8+TONTOCT24!F8+TONTNOV24!F8+TONTDEC24!F8</f>
        <v>0</v>
      </c>
      <c r="G8" s="7"/>
      <c r="H8" s="7">
        <f>TONTJANV24!H8+TONTFEV24!H8+TONTMARS24!H8+TONTAVRIL24!H8+TONTMAI24!H8+TONTJUIN24!H8+TONTJUIL24!H8+TONTAOUT24!H8+TONTSEPT24!H8+TONTOCT24!H8+TONTNOV24!H8+TONTDEC24!H8</f>
        <v>0</v>
      </c>
      <c r="I8" s="7">
        <f>TONTJANV24!I8+TONTFEV24!I8+TONTMARS24!I8+TONTAVRIL24!I8+TONTMAI24!I8+TONTJUIN24!I8+TONTJUIL24!I8+TONTAOUT24!I8+TONTSEPT24!I8+TONTOCT24!I8+TONTNOV24!I8+TONTDEC24!I8</f>
        <v>0</v>
      </c>
      <c r="J8" s="7"/>
      <c r="K8" s="7">
        <f>TONTJANV24!K8+TONTFEV24!K8+TONTMARS24!K8+TONTAVRIL24!K8+TONTMAI24!K8+TONTJUIN24!K8+TONTJUIL24!K8+TONTAOUT24!K8+TONTSEPT24!K8+TONTOCT24!K8+TONTNOV24!K8+TONTDEC24!K8</f>
        <v>0</v>
      </c>
      <c r="L8" s="7">
        <f>TONTJANV24!L8+TONTFEV24!L8+TONTMARS24!L8+TONTAVRIL24!L8+TONTMAI24!L8+TONTJUIN24!L8+TONTJUIL24!L8+TONTAOUT24!L8+TONTSEPT24!L8+TONTOCT24!L8+TONTNOV24!L8+TONTDEC24!L8</f>
        <v>0</v>
      </c>
      <c r="M8" s="7">
        <f>TONTJANV24!M8+TONTFEV24!M8+TONTMARS24!M8+TONTAVRIL24!M8+TONTMAI24!M8+TONTJUIN24!M8+TONTJUIL24!M8+TONTAOUT24!M8+TONTSEPT24!M8+TONTOCT24!M8+TONTNOV24!M8+TONTDEC24!M8</f>
        <v>0</v>
      </c>
      <c r="N8" s="7"/>
      <c r="O8" s="7"/>
      <c r="P8" s="7">
        <f>TONTJANV24!P8+TONTFEV24!P8+TONTMARS24!P8+TONTAVRIL24!P8+TONTMAI24!P8+TONTJUIN24!P8+TONTJUIL24!P8+TONTAOUT24!P8+TONTSEPT24!P8+TONTOCT24!P8+TONTNOV24!P8+TONTDEC24!P8</f>
        <v>0</v>
      </c>
      <c r="Q8" s="7">
        <f>TONTJANV24!Q8+TONTFEV24!Q8+TONTMARS24!Q8+TONTAVRIL24!Q8+TONTMAI24!Q8+TONTJUIN24!Q8+TONTJUIL24!Q8+TONTAOUT24!Q8+TONTSEPT24!Q8+TONTOCT24!Q8+TONTNOV24!Q8+TONTDEC24!Q8</f>
        <v>282000</v>
      </c>
      <c r="R8" s="7">
        <f>TONTJANV24!R8+TONTFEV24!R8+TONTMARS24!R8+TONTAVRIL24!R8+TONTMAI24!R8+TONTJUIN24!R8+TONTJUIL24!R8+TONTAOUT24!R8+TONTSEPT24!R8+TONTOCT24!R8+TONTNOV24!R8+TONTDEC24!R8</f>
        <v>18000</v>
      </c>
      <c r="S8" s="18">
        <v>45352</v>
      </c>
      <c r="T8" s="8">
        <f t="shared" si="0"/>
        <v>7531.25</v>
      </c>
      <c r="U8" s="8">
        <v>7000</v>
      </c>
    </row>
    <row r="9" spans="1:21" ht="17.5" x14ac:dyDescent="0.35">
      <c r="A9" s="1" t="s">
        <v>52</v>
      </c>
      <c r="B9" s="7">
        <f>TONTJANV24!B9+TONTFEV24!B9+TONTMARS24!B9+TONTAVRIL24!B9+TONTMAI24!B9+TONTJUIN24!B9+TONTJUIL24!B9+TONTAOUT24!B9+TONTSEPT24!B9+TONTOCT24!B9+TONTNOV24!B9+TONTDEC24!B9</f>
        <v>12</v>
      </c>
      <c r="C9" s="1" t="str">
        <f>VLOOKUP(A9,[7]LISTADHERENT!A$5:H$60,3,0)</f>
        <v>DJOMOU TCHAPDA</v>
      </c>
      <c r="D9" s="7">
        <f>TONTJANV24!D9+TONTFEV24!D9+TONTMARS24!D9+TONTAVRIL24!D9+TONTMAI24!D9+TONTJUIN24!D9+TONTJUIL24!D9+TONTAOUT24!D9+TONTSEPT24!D9+TONTOCT24!D9+TONTNOV24!D9+TONTDEC24!D9</f>
        <v>300000</v>
      </c>
      <c r="E9" s="7">
        <f>TONTJANV24!E9+TONTFEV24!E9+TONTMARS24!E9+TONTAVRIL24!E9+TONTMAI24!E9+TONTJUIN24!E9+TONTJUIL24!E9+TONTAOUT24!E9+TONTSEPT24!E9+TONTOCT24!E9+TONTNOV24!E9+TONTDEC24!E9</f>
        <v>602500</v>
      </c>
      <c r="F9" s="7">
        <f>TONTJANV24!F9+TONTFEV24!F9+TONTMARS24!F9+TONTAVRIL24!F9+TONTMAI24!F9+TONTJUIN24!F9+TONTJUIL24!F9+TONTAOUT24!F9+TONTSEPT24!F9+TONTOCT24!F9+TONTNOV24!F9+TONTDEC24!F9</f>
        <v>9000</v>
      </c>
      <c r="G9" s="7"/>
      <c r="H9" s="7">
        <f>TONTJANV24!H9+TONTFEV24!H9+TONTMARS24!H9+TONTAVRIL24!H9+TONTMAI24!H9+TONTJUIN24!H9+TONTJUIL24!H9+TONTAOUT24!H9+TONTSEPT24!H9+TONTOCT24!H9+TONTNOV24!H9+TONTDEC24!H9</f>
        <v>369500</v>
      </c>
      <c r="I9" s="7">
        <f>TONTJANV24!I9+TONTFEV24!I9+TONTMARS24!I9+TONTAVRIL24!I9+TONTMAI24!I9+TONTJUIN24!I9+TONTJUIL24!I9+TONTAOUT24!I9+TONTSEPT24!I9+TONTOCT24!I9+TONTNOV24!I9+TONTDEC24!I9</f>
        <v>7000</v>
      </c>
      <c r="J9" s="7"/>
      <c r="K9" s="7">
        <f>TONTJANV24!K9+TONTFEV24!K9+TONTMARS24!K9+TONTAVRIL24!K9+TONTMAI24!K9+TONTJUIN24!K9+TONTJUIL24!K9+TONTAOUT24!K9+TONTSEPT24!K9+TONTOCT24!K9+TONTNOV24!K9+TONTDEC24!K9</f>
        <v>0</v>
      </c>
      <c r="L9" s="7">
        <f>TONTJANV24!L9+TONTFEV24!L9+TONTMARS24!L9+TONTAVRIL24!L9+TONTMAI24!L9+TONTJUIN24!L9+TONTJUIL24!L9+TONTAOUT24!L9+TONTSEPT24!L9+TONTOCT24!L9+TONTNOV24!L9+TONTDEC24!L9</f>
        <v>376500</v>
      </c>
      <c r="M9" s="7">
        <f>TONTJANV24!M9+TONTFEV24!M9+TONTMARS24!M9+TONTAVRIL24!M9+TONTMAI24!M9+TONTJUIN24!M9+TONTJUIL24!M9+TONTAOUT24!M9+TONTSEPT24!M9+TONTOCT24!M9+TONTNOV24!M9+TONTDEC24!M9</f>
        <v>376500</v>
      </c>
      <c r="N9" s="7"/>
      <c r="O9" s="7"/>
      <c r="P9" s="7">
        <f>TONTJANV24!P9+TONTFEV24!P9+TONTMARS24!P9+TONTAVRIL24!P9+TONTMAI24!P9+TONTJUIN24!P9+TONTJUIL24!P9+TONTAOUT24!P9+TONTSEPT24!P9+TONTOCT24!P9+TONTNOV24!P9+TONTDEC24!P9</f>
        <v>0</v>
      </c>
      <c r="Q9" s="7">
        <f>TONTJANV24!Q9+TONTFEV24!Q9+TONTMARS24!Q9+TONTAVRIL24!Q9+TONTMAI24!Q9+TONTJUIN24!Q9+TONTJUIL24!Q9+TONTAOUT24!Q9+TONTSEPT24!Q9+TONTOCT24!Q9+TONTNOV24!Q9+TONTDEC24!Q9</f>
        <v>297500</v>
      </c>
      <c r="R9" s="7">
        <f>TONTJANV24!R9+TONTFEV24!R9+TONTMARS24!R9+TONTAVRIL24!R9+TONTMAI24!R9+TONTJUIN24!R9+TONTJUIL24!R9+TONTAOUT24!R9+TONTSEPT24!R9+TONTOCT24!R9+TONTNOV24!R9+TONTDEC24!R9</f>
        <v>2500</v>
      </c>
      <c r="S9" s="18">
        <v>45505</v>
      </c>
      <c r="T9" s="8">
        <f t="shared" si="0"/>
        <v>7531.25</v>
      </c>
      <c r="U9" s="8">
        <v>7000</v>
      </c>
    </row>
    <row r="10" spans="1:21" ht="17.5" x14ac:dyDescent="0.35">
      <c r="A10" s="1" t="s">
        <v>11</v>
      </c>
      <c r="B10" s="7">
        <f>TONTJANV24!B10+TONTFEV24!B10+TONTMARS24!B10+TONTAVRIL24!B10+TONTMAI24!B10+TONTJUIN24!B10+TONTJUIL24!B10+TONTAOUT24!B10+TONTSEPT24!B10+TONTOCT24!B10+TONTNOV24!B10+TONTDEC24!B10</f>
        <v>12</v>
      </c>
      <c r="C10" s="1" t="str">
        <f>VLOOKUP(A10,[7]LISTADHERENT!A$5:H$60,3,0)</f>
        <v>DJOUKWE NANGUEN GUY BLAISE</v>
      </c>
      <c r="D10" s="7">
        <f>TONTJANV24!D10+TONTFEV24!D10+TONTMARS24!D10+TONTAVRIL24!D10+TONTMAI24!D10+TONTJUIN24!D10+TONTJUIL24!D10+TONTAOUT24!D10+TONTSEPT24!D10+TONTOCT24!D10+TONTNOV24!D10+TONTDEC24!D10</f>
        <v>300000</v>
      </c>
      <c r="E10" s="7">
        <f>TONTJANV24!E10+TONTFEV24!E10+TONTMARS24!E10+TONTAVRIL24!E10+TONTMAI24!E10+TONTJUIN24!E10+TONTJUIL24!E10+TONTAOUT24!E10+TONTSEPT24!E10+TONTOCT24!E10+TONTNOV24!E10+TONTDEC24!E10</f>
        <v>626000</v>
      </c>
      <c r="F10" s="7">
        <f>TONTJANV24!F10+TONTFEV24!F10+TONTMARS24!F10+TONTAVRIL24!F10+TONTMAI24!F10+TONTJUIN24!F10+TONTJUIL24!F10+TONTAOUT24!F10+TONTSEPT24!F10+TONTOCT24!F10+TONTNOV24!F10+TONTDEC24!F10</f>
        <v>3000</v>
      </c>
      <c r="G10" s="7"/>
      <c r="H10" s="7">
        <f>TONTJANV24!H10+TONTFEV24!H10+TONTMARS24!H10+TONTAVRIL24!H10+TONTMAI24!H10+TONTJUIN24!H10+TONTJUIL24!H10+TONTAOUT24!H10+TONTSEPT24!H10+TONTOCT24!H10+TONTNOV24!H10+TONTDEC24!H10</f>
        <v>111000</v>
      </c>
      <c r="I10" s="7">
        <f>TONTJANV24!I10+TONTFEV24!I10+TONTMARS24!I10+TONTAVRIL24!I10+TONTMAI24!I10+TONTJUIN24!I10+TONTJUIL24!I10+TONTAOUT24!I10+TONTSEPT24!I10+TONTOCT24!I10+TONTNOV24!I10+TONTDEC24!I10</f>
        <v>3500</v>
      </c>
      <c r="J10" s="7"/>
      <c r="K10" s="7">
        <f>TONTJANV24!K10+TONTFEV24!K10+TONTMARS24!K10+TONTAVRIL24!K10+TONTMAI24!K10+TONTJUIN24!K10+TONTJUIL24!K10+TONTAOUT24!K10+TONTSEPT24!K10+TONTOCT24!K10+TONTNOV24!K10+TONTDEC24!K10</f>
        <v>0</v>
      </c>
      <c r="L10" s="7">
        <f>TONTJANV24!L10+TONTFEV24!L10+TONTMARS24!L10+TONTAVRIL24!L10+TONTMAI24!L10+TONTJUIN24!L10+TONTJUIL24!L10+TONTAOUT24!L10+TONTSEPT24!L10+TONTOCT24!L10+TONTNOV24!L10+TONTDEC24!L10</f>
        <v>114500</v>
      </c>
      <c r="M10" s="7">
        <f>TONTJANV24!M10+TONTFEV24!M10+TONTMARS24!M10+TONTAVRIL24!M10+TONTMAI24!M10+TONTJUIN24!M10+TONTJUIL24!M10+TONTAOUT24!M10+TONTSEPT24!M10+TONTOCT24!M10+TONTNOV24!M10+TONTDEC24!M10</f>
        <v>114500</v>
      </c>
      <c r="N10" s="7"/>
      <c r="O10" s="7"/>
      <c r="P10" s="7">
        <f>TONTJANV24!P10+TONTFEV24!P10+TONTMARS24!P10+TONTAVRIL24!P10+TONTMAI24!P10+TONTJUIN24!P10+TONTJUIL24!P10+TONTAOUT24!P10+TONTSEPT24!P10+TONTOCT24!P10+TONTNOV24!P10+TONTDEC24!P10</f>
        <v>0</v>
      </c>
      <c r="Q10" s="7">
        <f>TONTJANV24!Q10+TONTFEV24!Q10+TONTMARS24!Q10+TONTAVRIL24!Q10+TONTMAI24!Q10+TONTJUIN24!Q10+TONTJUIL24!Q10+TONTAOUT24!Q10+TONTSEPT24!Q10+TONTOCT24!Q10+TONTNOV24!Q10+TONTDEC24!Q10</f>
        <v>284000</v>
      </c>
      <c r="R10" s="7">
        <f>TONTJANV24!R10+TONTFEV24!R10+TONTMARS24!R10+TONTAVRIL24!R10+TONTMAI24!R10+TONTJUIN24!R10+TONTJUIL24!R10+TONTAOUT24!R10+TONTSEPT24!R10+TONTOCT24!R10+TONTNOV24!R10+TONTDEC24!R10</f>
        <v>16000</v>
      </c>
      <c r="S10" s="18">
        <v>45323</v>
      </c>
      <c r="T10" s="8">
        <f t="shared" si="0"/>
        <v>7531.25</v>
      </c>
      <c r="U10" s="8">
        <v>7000</v>
      </c>
    </row>
    <row r="11" spans="1:21" ht="17.5" x14ac:dyDescent="0.35">
      <c r="A11" s="1" t="s">
        <v>12</v>
      </c>
      <c r="B11" s="7">
        <f>TONTJANV24!B11+TONTFEV24!B11+TONTMARS24!B11+TONTAVRIL24!B11+TONTMAI24!B11+TONTJUIN24!B11+TONTJUIL24!B11+TONTAOUT24!B11+TONTSEPT24!B11+TONTOCT24!B11+TONTNOV24!B11+TONTDEC24!B11</f>
        <v>12</v>
      </c>
      <c r="C11" s="1" t="str">
        <f>VLOOKUP(A11,[7]LISTADHERENT!A$5:H$60,3,0)</f>
        <v>DJUOMBESSY ANTOINE</v>
      </c>
      <c r="D11" s="7">
        <f>TONTJANV24!D11+TONTFEV24!D11+TONTMARS24!D11+TONTAVRIL24!D11+TONTMAI24!D11+TONTJUIN24!D11+TONTJUIL24!D11+TONTAOUT24!D11+TONTSEPT24!D11+TONTOCT24!D11+TONTNOV24!D11+TONTDEC24!D11</f>
        <v>300000</v>
      </c>
      <c r="E11" s="7">
        <f>TONTJANV24!E11+TONTFEV24!E11+TONTMARS24!E11+TONTAVRIL24!E11+TONTMAI24!E11+TONTJUIN24!E11+TONTJUIL24!E11+TONTAOUT24!E11+TONTSEPT24!E11+TONTOCT24!E11+TONTNOV24!E11+TONTDEC24!E11</f>
        <v>667600</v>
      </c>
      <c r="F11" s="7">
        <f>TONTJANV24!F11+TONTFEV24!F11+TONTMARS24!F11+TONTAVRIL24!F11+TONTMAI24!F11+TONTJUIN24!F11+TONTJUIL24!F11+TONTAOUT24!F11+TONTSEPT24!F11+TONTOCT24!F11+TONTNOV24!F11+TONTDEC24!F11</f>
        <v>0</v>
      </c>
      <c r="G11" s="7"/>
      <c r="H11" s="7">
        <f>TONTJANV24!H11+TONTFEV24!H11+TONTMARS24!H11+TONTAVRIL24!H11+TONTMAI24!H11+TONTJUIN24!H11+TONTJUIL24!H11+TONTAOUT24!H11+TONTSEPT24!H11+TONTOCT24!H11+TONTNOV24!H11+TONTDEC24!H11</f>
        <v>60000</v>
      </c>
      <c r="I11" s="7">
        <f>TONTJANV24!I11+TONTFEV24!I11+TONTMARS24!I11+TONTAVRIL24!I11+TONTMAI24!I11+TONTJUIN24!I11+TONTJUIL24!I11+TONTAOUT24!I11+TONTSEPT24!I11+TONTOCT24!I11+TONTNOV24!I11+TONTDEC24!I11</f>
        <v>1000</v>
      </c>
      <c r="J11" s="7"/>
      <c r="K11" s="7">
        <f>TONTJANV24!K11+TONTFEV24!K11+TONTMARS24!K11+TONTAVRIL24!K11+TONTMAI24!K11+TONTJUIN24!K11+TONTJUIL24!K11+TONTAOUT24!K11+TONTSEPT24!K11+TONTOCT24!K11+TONTNOV24!K11+TONTDEC24!K11</f>
        <v>0</v>
      </c>
      <c r="L11" s="7">
        <f>TONTJANV24!L11+TONTFEV24!L11+TONTMARS24!L11+TONTAVRIL24!L11+TONTMAI24!L11+TONTJUIN24!L11+TONTJUIL24!L11+TONTAOUT24!L11+TONTSEPT24!L11+TONTOCT24!L11+TONTNOV24!L11+TONTDEC24!L11</f>
        <v>61000</v>
      </c>
      <c r="M11" s="7">
        <f>TONTJANV24!M11+TONTFEV24!M11+TONTMARS24!M11+TONTAVRIL24!M11+TONTMAI24!M11+TONTJUIN24!M11+TONTJUIL24!M11+TONTAOUT24!M11+TONTSEPT24!M11+TONTOCT24!M11+TONTNOV24!M11+TONTDEC24!M11</f>
        <v>61000</v>
      </c>
      <c r="N11" s="7"/>
      <c r="O11" s="7"/>
      <c r="P11" s="7">
        <f>TONTJANV24!P11+TONTFEV24!P11+TONTMARS24!P11+TONTAVRIL24!P11+TONTMAI24!P11+TONTJUIN24!P11+TONTJUIL24!P11+TONTAOUT24!P11+TONTSEPT24!P11+TONTOCT24!P11+TONTNOV24!P11+TONTDEC24!P11</f>
        <v>0</v>
      </c>
      <c r="Q11" s="7">
        <f>TONTJANV24!Q11+TONTFEV24!Q11+TONTMARS24!Q11+TONTAVRIL24!Q11+TONTMAI24!Q11+TONTJUIN24!Q11+TONTJUIL24!Q11+TONTAOUT24!Q11+TONTSEPT24!Q11+TONTOCT24!Q11+TONTNOV24!Q11+TONTDEC24!Q11</f>
        <v>297000</v>
      </c>
      <c r="R11" s="7">
        <f>TONTJANV24!R11+TONTFEV24!R11+TONTMARS24!R11+TONTAVRIL24!R11+TONTMAI24!R11+TONTJUIN24!R11+TONTJUIL24!R11+TONTAOUT24!R11+TONTSEPT24!R11+TONTOCT24!R11+TONTNOV24!R11+TONTDEC24!R11</f>
        <v>3000</v>
      </c>
      <c r="S11" s="18">
        <v>45474</v>
      </c>
      <c r="T11" s="8">
        <f t="shared" si="0"/>
        <v>7531.25</v>
      </c>
      <c r="U11" s="8">
        <v>7000</v>
      </c>
    </row>
    <row r="12" spans="1:21" ht="17.5" x14ac:dyDescent="0.35">
      <c r="A12" s="1" t="s">
        <v>45</v>
      </c>
      <c r="B12" s="7">
        <f>TONTJANV24!B12+TONTFEV24!B12+TONTMARS24!B12+TONTAVRIL24!B12+TONTMAI24!B12+TONTJUIN24!B12+TONTJUIL24!B12+TONTAOUT24!B12+TONTSEPT24!B12+TONTOCT24!B12+TONTNOV24!B12+TONTDEC24!B12</f>
        <v>12</v>
      </c>
      <c r="C12" s="1" t="str">
        <f>VLOOKUP(A12,[7]LISTADHERENT!A$5:H$60,3,0)</f>
        <v>DOMOU FABIEN</v>
      </c>
      <c r="D12" s="7">
        <f>TONTJANV24!D12+TONTFEV24!D12+TONTMARS24!D12+TONTAVRIL24!D12+TONTMAI24!D12+TONTJUIN24!D12+TONTJUIL24!D12+TONTAOUT24!D12+TONTSEPT24!D12+TONTOCT24!D12+TONTNOV24!D12+TONTDEC24!D12</f>
        <v>300000</v>
      </c>
      <c r="E12" s="7">
        <f>TONTJANV24!E12+TONTFEV24!E12+TONTMARS24!E12+TONTAVRIL24!E12+TONTMAI24!E12+TONTJUIN24!E12+TONTJUIL24!E12+TONTAOUT24!E12+TONTSEPT24!E12+TONTOCT24!E12+TONTNOV24!E12+TONTDEC24!E12</f>
        <v>600000</v>
      </c>
      <c r="F12" s="7">
        <f>TONTJANV24!F12+TONTFEV24!F12+TONTMARS24!F12+TONTAVRIL24!F12+TONTMAI24!F12+TONTJUIN24!F12+TONTJUIL24!F12+TONTAOUT24!F12+TONTSEPT24!F12+TONTOCT24!F12+TONTNOV24!F12+TONTDEC24!F12</f>
        <v>0</v>
      </c>
      <c r="G12" s="7"/>
      <c r="H12" s="7">
        <f>TONTJANV24!H12+TONTFEV24!H12+TONTMARS24!H12+TONTAVRIL24!H12+TONTMAI24!H12+TONTJUIN24!H12+TONTJUIL24!H12+TONTAOUT24!H12+TONTSEPT24!H12+TONTOCT24!H12+TONTNOV24!H12+TONTDEC24!H12</f>
        <v>0</v>
      </c>
      <c r="I12" s="7">
        <f>TONTJANV24!I12+TONTFEV24!I12+TONTMARS24!I12+TONTAVRIL24!I12+TONTMAI24!I12+TONTJUIN24!I12+TONTJUIL24!I12+TONTAOUT24!I12+TONTSEPT24!I12+TONTOCT24!I12+TONTNOV24!I12+TONTDEC24!I12</f>
        <v>0</v>
      </c>
      <c r="J12" s="7"/>
      <c r="K12" s="7">
        <f>TONTJANV24!K12+TONTFEV24!K12+TONTMARS24!K12+TONTAVRIL24!K12+TONTMAI24!K12+TONTJUIN24!K12+TONTJUIL24!K12+TONTAOUT24!K12+TONTSEPT24!K12+TONTOCT24!K12+TONTNOV24!K12+TONTDEC24!K12</f>
        <v>0</v>
      </c>
      <c r="L12" s="7">
        <f>TONTJANV24!L12+TONTFEV24!L12+TONTMARS24!L12+TONTAVRIL24!L12+TONTMAI24!L12+TONTJUIN24!L12+TONTJUIL24!L12+TONTAOUT24!L12+TONTSEPT24!L12+TONTOCT24!L12+TONTNOV24!L12+TONTDEC24!L12</f>
        <v>0</v>
      </c>
      <c r="M12" s="7">
        <f>TONTJANV24!M12+TONTFEV24!M12+TONTMARS24!M12+TONTAVRIL24!M12+TONTMAI24!M12+TONTJUIN24!M12+TONTJUIL24!M12+TONTAOUT24!M12+TONTSEPT24!M12+TONTOCT24!M12+TONTNOV24!M12+TONTDEC24!M12</f>
        <v>0</v>
      </c>
      <c r="N12" s="7"/>
      <c r="O12" s="7"/>
      <c r="P12" s="7">
        <f>TONTJANV24!P12+TONTFEV24!P12+TONTMARS24!P12+TONTAVRIL24!P12+TONTMAI24!P12+TONTJUIN24!P12+TONTJUIL24!P12+TONTAOUT24!P12+TONTSEPT24!P12+TONTOCT24!P12+TONTNOV24!P12+TONTDEC24!P12</f>
        <v>0</v>
      </c>
      <c r="Q12" s="7">
        <f>TONTJANV24!Q12+TONTFEV24!Q12+TONTMARS24!Q12+TONTAVRIL24!Q12+TONTMAI24!Q12+TONTJUIN24!Q12+TONTJUIL24!Q12+TONTAOUT24!Q12+TONTSEPT24!Q12+TONTOCT24!Q12+TONTNOV24!Q12+TONTDEC24!Q12</f>
        <v>297500</v>
      </c>
      <c r="R12" s="7">
        <f>TONTJANV24!R12+TONTFEV24!R12+TONTMARS24!R12+TONTAVRIL24!R12+TONTMAI24!R12+TONTJUIN24!R12+TONTJUIL24!R12+TONTAOUT24!R12+TONTSEPT24!R12+TONTOCT24!R12+TONTNOV24!R12+TONTDEC24!R12</f>
        <v>2500</v>
      </c>
      <c r="S12" s="18">
        <v>45474</v>
      </c>
      <c r="T12" s="8">
        <f t="shared" si="0"/>
        <v>7531.25</v>
      </c>
      <c r="U12" s="8">
        <v>7000</v>
      </c>
    </row>
    <row r="13" spans="1:21" ht="17.5" x14ac:dyDescent="0.35">
      <c r="A13" s="1" t="s">
        <v>13</v>
      </c>
      <c r="B13" s="7">
        <f>TONTJANV24!B13+TONTFEV24!B13+TONTMARS24!B13+TONTAVRIL24!B13+TONTMAI24!B13+TONTJUIN24!B13+TONTJUIL24!B13+TONTAOUT24!B13+TONTSEPT24!B13+TONTOCT24!B13+TONTNOV24!B13+TONTDEC24!B13</f>
        <v>12</v>
      </c>
      <c r="C13" s="1" t="str">
        <f>VLOOKUP(A13,[7]LISTADHERENT!A$5:H$60,3,0)</f>
        <v>DONHOU DAVID</v>
      </c>
      <c r="D13" s="7">
        <f>TONTJANV24!D13+TONTFEV24!D13+TONTMARS24!D13+TONTAVRIL24!D13+TONTMAI24!D13+TONTJUIN24!D13+TONTJUIL24!D13+TONTAOUT24!D13+TONTSEPT24!D13+TONTOCT24!D13+TONTNOV24!D13+TONTDEC24!D13</f>
        <v>300000</v>
      </c>
      <c r="E13" s="7">
        <f>TONTJANV24!E13+TONTFEV24!E13+TONTMARS24!E13+TONTAVRIL24!E13+TONTMAI24!E13+TONTJUIN24!E13+TONTJUIL24!E13+TONTAOUT24!E13+TONTSEPT24!E13+TONTOCT24!E13+TONTNOV24!E13+TONTDEC24!E13</f>
        <v>603000</v>
      </c>
      <c r="F13" s="7">
        <f>TONTJANV24!F13+TONTFEV24!F13+TONTMARS24!F13+TONTAVRIL24!F13+TONTMAI24!F13+TONTJUIN24!F13+TONTJUIL24!F13+TONTAOUT24!F13+TONTSEPT24!F13+TONTOCT24!F13+TONTNOV24!F13+TONTDEC24!F13</f>
        <v>3000</v>
      </c>
      <c r="G13" s="7"/>
      <c r="H13" s="7">
        <f>TONTJANV24!H13+TONTFEV24!H13+TONTMARS24!H13+TONTAVRIL24!H13+TONTMAI24!H13+TONTJUIN24!H13+TONTJUIL24!H13+TONTAOUT24!H13+TONTSEPT24!H13+TONTOCT24!H13+TONTNOV24!H13+TONTDEC24!H13</f>
        <v>0</v>
      </c>
      <c r="I13" s="7">
        <f>TONTJANV24!I13+TONTFEV24!I13+TONTMARS24!I13+TONTAVRIL24!I13+TONTMAI24!I13+TONTJUIN24!I13+TONTJUIL24!I13+TONTAOUT24!I13+TONTSEPT24!I13+TONTOCT24!I13+TONTNOV24!I13+TONTDEC24!I13</f>
        <v>0</v>
      </c>
      <c r="J13" s="7"/>
      <c r="K13" s="7">
        <f>TONTJANV24!K13+TONTFEV24!K13+TONTMARS24!K13+TONTAVRIL24!K13+TONTMAI24!K13+TONTJUIN24!K13+TONTJUIL24!K13+TONTAOUT24!K13+TONTSEPT24!K13+TONTOCT24!K13+TONTNOV24!K13+TONTDEC24!K13</f>
        <v>0</v>
      </c>
      <c r="L13" s="7">
        <f>TONTJANV24!L13+TONTFEV24!L13+TONTMARS24!L13+TONTAVRIL24!L13+TONTMAI24!L13+TONTJUIN24!L13+TONTJUIL24!L13+TONTAOUT24!L13+TONTSEPT24!L13+TONTOCT24!L13+TONTNOV24!L13+TONTDEC24!L13</f>
        <v>0</v>
      </c>
      <c r="M13" s="7">
        <f>TONTJANV24!M13+TONTFEV24!M13+TONTMARS24!M13+TONTAVRIL24!M13+TONTMAI24!M13+TONTJUIN24!M13+TONTJUIL24!M13+TONTAOUT24!M13+TONTSEPT24!M13+TONTOCT24!M13+TONTNOV24!M13+TONTDEC24!M13</f>
        <v>0</v>
      </c>
      <c r="N13" s="7"/>
      <c r="O13" s="7"/>
      <c r="P13" s="7">
        <f>TONTJANV24!P13+TONTFEV24!P13+TONTMARS24!P13+TONTAVRIL24!P13+TONTMAI24!P13+TONTJUIN24!P13+TONTJUIL24!P13+TONTAOUT24!P13+TONTSEPT24!P13+TONTOCT24!P13+TONTNOV24!P13+TONTDEC24!P13</f>
        <v>0</v>
      </c>
      <c r="Q13" s="7">
        <f>TONTJANV24!Q13+TONTFEV24!Q13+TONTMARS24!Q13+TONTAVRIL24!Q13+TONTMAI24!Q13+TONTJUIN24!Q13+TONTJUIL24!Q13+TONTAOUT24!Q13+TONTSEPT24!Q13+TONTOCT24!Q13+TONTNOV24!Q13+TONTDEC24!Q13</f>
        <v>297500</v>
      </c>
      <c r="R13" s="7">
        <f>TONTJANV24!R13+TONTFEV24!R13+TONTMARS24!R13+TONTAVRIL24!R13+TONTMAI24!R13+TONTJUIN24!R13+TONTJUIL24!R13+TONTAOUT24!R13+TONTSEPT24!R13+TONTOCT24!R13+TONTNOV24!R13+TONTDEC24!R13</f>
        <v>2500</v>
      </c>
      <c r="S13" s="18">
        <v>45597</v>
      </c>
      <c r="T13" s="8">
        <f t="shared" si="0"/>
        <v>7531.25</v>
      </c>
      <c r="U13" s="8">
        <v>7000</v>
      </c>
    </row>
    <row r="14" spans="1:21" ht="17.5" x14ac:dyDescent="0.35">
      <c r="A14" s="1" t="s">
        <v>14</v>
      </c>
      <c r="B14" s="7">
        <f>TONTJANV24!B14+TONTFEV24!B14+TONTMARS24!B14+TONTAVRIL24!B14+TONTMAI24!B14+TONTJUIN24!B14+TONTJUIL24!B14+TONTAOUT24!B14+TONTSEPT24!B14+TONTOCT24!B14+TONTNOV24!B14+TONTDEC24!B14</f>
        <v>12</v>
      </c>
      <c r="C14" s="1" t="str">
        <f>VLOOKUP(A14,[7]LISTADHERENT!A$5:H$60,3,0)</f>
        <v>HENGUE PAUL OMER</v>
      </c>
      <c r="D14" s="7">
        <f>TONTJANV24!D14+TONTFEV24!D14+TONTMARS24!D14+TONTAVRIL24!D14+TONTMAI24!D14+TONTJUIN24!D14+TONTJUIL24!D14+TONTAOUT24!D14+TONTSEPT24!D14+TONTOCT24!D14+TONTNOV24!D14+TONTDEC24!D14</f>
        <v>300000</v>
      </c>
      <c r="E14" s="7">
        <f>TONTJANV24!E14+TONTFEV24!E14+TONTMARS24!E14+TONTAVRIL24!E14+TONTMAI24!E14+TONTJUIN24!E14+TONTJUIL24!E14+TONTAOUT24!E14+TONTSEPT24!E14+TONTOCT24!E14+TONTNOV24!E14+TONTDEC24!E14</f>
        <v>600000</v>
      </c>
      <c r="F14" s="7">
        <f>TONTJANV24!F14+TONTFEV24!F14+TONTMARS24!F14+TONTAVRIL24!F14+TONTMAI24!F14+TONTJUIN24!F14+TONTJUIL24!F14+TONTAOUT24!F14+TONTSEPT24!F14+TONTOCT24!F14+TONTNOV24!F14+TONTDEC24!F14</f>
        <v>0</v>
      </c>
      <c r="G14" s="7"/>
      <c r="H14" s="7">
        <f>TONTJANV24!H14+TONTFEV24!H14+TONTMARS24!H14+TONTAVRIL24!H14+TONTMAI24!H14+TONTJUIN24!H14+TONTJUIL24!H14+TONTAOUT24!H14+TONTSEPT24!H14+TONTOCT24!H14+TONTNOV24!H14+TONTDEC24!H14</f>
        <v>0</v>
      </c>
      <c r="I14" s="7">
        <f>TONTJANV24!I14+TONTFEV24!I14+TONTMARS24!I14+TONTAVRIL24!I14+TONTMAI24!I14+TONTJUIN24!I14+TONTJUIL24!I14+TONTAOUT24!I14+TONTSEPT24!I14+TONTOCT24!I14+TONTNOV24!I14+TONTDEC24!I14</f>
        <v>0</v>
      </c>
      <c r="J14" s="7"/>
      <c r="K14" s="7">
        <f>TONTJANV24!K14+TONTFEV24!K14+TONTMARS24!K14+TONTAVRIL24!K14+TONTMAI24!K14+TONTJUIN24!K14+TONTJUIL24!K14+TONTAOUT24!K14+TONTSEPT24!K14+TONTOCT24!K14+TONTNOV24!K14+TONTDEC24!K14</f>
        <v>0</v>
      </c>
      <c r="L14" s="7">
        <f>TONTJANV24!L14+TONTFEV24!L14+TONTMARS24!L14+TONTAVRIL24!L14+TONTMAI24!L14+TONTJUIN24!L14+TONTJUIL24!L14+TONTAOUT24!L14+TONTSEPT24!L14+TONTOCT24!L14+TONTNOV24!L14+TONTDEC24!L14</f>
        <v>0</v>
      </c>
      <c r="M14" s="7">
        <f>TONTJANV24!M14+TONTFEV24!M14+TONTMARS24!M14+TONTAVRIL24!M14+TONTMAI24!M14+TONTJUIN24!M14+TONTJUIL24!M14+TONTAOUT24!M14+TONTSEPT24!M14+TONTOCT24!M14+TONTNOV24!M14+TONTDEC24!M14</f>
        <v>0</v>
      </c>
      <c r="N14" s="7"/>
      <c r="O14" s="7"/>
      <c r="P14" s="7">
        <f>TONTJANV24!P14+TONTFEV24!P14+TONTMARS24!P14+TONTAVRIL24!P14+TONTMAI24!P14+TONTJUIN24!P14+TONTJUIL24!P14+TONTAOUT24!P14+TONTSEPT24!P14+TONTOCT24!P14+TONTNOV24!P14+TONTDEC24!P14</f>
        <v>0</v>
      </c>
      <c r="Q14" s="7">
        <f>TONTJANV24!Q14+TONTFEV24!Q14+TONTMARS24!Q14+TONTAVRIL24!Q14+TONTMAI24!Q14+TONTJUIN24!Q14+TONTJUIL24!Q14+TONTAOUT24!Q14+TONTSEPT24!Q14+TONTOCT24!Q14+TONTNOV24!Q14+TONTDEC24!Q14</f>
        <v>290000</v>
      </c>
      <c r="R14" s="7">
        <f>TONTJANV24!R14+TONTFEV24!R14+TONTMARS24!R14+TONTAVRIL24!R14+TONTMAI24!R14+TONTJUIN24!R14+TONTJUIL24!R14+TONTAOUT24!R14+TONTSEPT24!R14+TONTOCT24!R14+TONTNOV24!R14+TONTDEC24!R14</f>
        <v>10000</v>
      </c>
      <c r="S14" s="18">
        <v>45383</v>
      </c>
      <c r="T14" s="8">
        <f t="shared" si="0"/>
        <v>7531.25</v>
      </c>
      <c r="U14" s="8">
        <v>7000</v>
      </c>
    </row>
    <row r="15" spans="1:21" ht="17.5" x14ac:dyDescent="0.35">
      <c r="A15" s="1" t="s">
        <v>15</v>
      </c>
      <c r="B15" s="7">
        <f>TONTJANV24!B15+TONTFEV24!B15+TONTMARS24!B15+TONTAVRIL24!B15+TONTMAI24!B15+TONTJUIN24!B15+TONTJUIL24!B15+TONTAOUT24!B15+TONTSEPT24!B15+TONTOCT24!B15+TONTNOV24!B15+TONTDEC24!B15</f>
        <v>12</v>
      </c>
      <c r="C15" s="1" t="str">
        <f>VLOOKUP(A15,[7]LISTADHERENT!A$5:H$60,3,0)</f>
        <v>HOTCHO BENJAMIN</v>
      </c>
      <c r="D15" s="7">
        <f>TONTJANV24!D15+TONTFEV24!D15+TONTMARS24!D15+TONTAVRIL24!D15+TONTMAI24!D15+TONTJUIN24!D15+TONTJUIL24!D15+TONTAOUT24!D15+TONTSEPT24!D15+TONTOCT24!D15+TONTNOV24!D15+TONTDEC24!D15</f>
        <v>300000</v>
      </c>
      <c r="E15" s="7">
        <f>TONTJANV24!E15+TONTFEV24!E15+TONTMARS24!E15+TONTAVRIL24!E15+TONTMAI24!E15+TONTJUIN24!E15+TONTJUIL24!E15+TONTAOUT24!E15+TONTSEPT24!E15+TONTOCT24!E15+TONTNOV24!E15+TONTDEC24!E15</f>
        <v>959000</v>
      </c>
      <c r="F15" s="7">
        <f>TONTJANV24!F15+TONTFEV24!F15+TONTMARS24!F15+TONTAVRIL24!F15+TONTMAI24!F15+TONTJUIN24!F15+TONTJUIL24!F15+TONTAOUT24!F15+TONTSEPT24!F15+TONTOCT24!F15+TONTNOV24!F15+TONTDEC24!F15</f>
        <v>0</v>
      </c>
      <c r="G15" s="7"/>
      <c r="H15" s="7">
        <f>TONTJANV24!H15+TONTFEV24!H15+TONTMARS24!H15+TONTAVRIL24!H15+TONTMAI24!H15+TONTJUIN24!H15+TONTJUIL24!H15+TONTAOUT24!H15+TONTSEPT24!H15+TONTOCT24!H15+TONTNOV24!H15+TONTDEC24!H15</f>
        <v>0</v>
      </c>
      <c r="I15" s="7">
        <f>TONTJANV24!I15+TONTFEV24!I15+TONTMARS24!I15+TONTAVRIL24!I15+TONTMAI24!I15+TONTJUIN24!I15+TONTJUIL24!I15+TONTAOUT24!I15+TONTSEPT24!I15+TONTOCT24!I15+TONTNOV24!I15+TONTDEC24!I15</f>
        <v>0</v>
      </c>
      <c r="J15" s="7"/>
      <c r="K15" s="7">
        <f>TONTJANV24!K15+TONTFEV24!K15+TONTMARS24!K15+TONTAVRIL24!K15+TONTMAI24!K15+TONTJUIN24!K15+TONTJUIL24!K15+TONTAOUT24!K15+TONTSEPT24!K15+TONTOCT24!K15+TONTNOV24!K15+TONTDEC24!K15</f>
        <v>0</v>
      </c>
      <c r="L15" s="7">
        <f>TONTJANV24!L15+TONTFEV24!L15+TONTMARS24!L15+TONTAVRIL24!L15+TONTMAI24!L15+TONTJUIN24!L15+TONTJUIL24!L15+TONTAOUT24!L15+TONTSEPT24!L15+TONTOCT24!L15+TONTNOV24!L15+TONTDEC24!L15</f>
        <v>0</v>
      </c>
      <c r="M15" s="7">
        <f>TONTJANV24!M15+TONTFEV24!M15+TONTMARS24!M15+TONTAVRIL24!M15+TONTMAI24!M15+TONTJUIN24!M15+TONTJUIL24!M15+TONTAOUT24!M15+TONTSEPT24!M15+TONTOCT24!M15+TONTNOV24!M15+TONTDEC24!M15</f>
        <v>0</v>
      </c>
      <c r="N15" s="7"/>
      <c r="O15" s="7"/>
      <c r="P15" s="7">
        <f>TONTJANV24!P15+TONTFEV24!P15+TONTMARS24!P15+TONTAVRIL24!P15+TONTMAI24!P15+TONTJUIN24!P15+TONTJUIL24!P15+TONTAOUT24!P15+TONTSEPT24!P15+TONTOCT24!P15+TONTNOV24!P15+TONTDEC24!P15</f>
        <v>0</v>
      </c>
      <c r="Q15" s="7">
        <f>TONTJANV24!Q15+TONTFEV24!Q15+TONTMARS24!Q15+TONTAVRIL24!Q15+TONTMAI24!Q15+TONTJUIN24!Q15+TONTJUIL24!Q15+TONTAOUT24!Q15+TONTSEPT24!Q15+TONTOCT24!Q15+TONTNOV24!Q15+TONTDEC24!Q15</f>
        <v>288000</v>
      </c>
      <c r="R15" s="7">
        <f>TONTJANV24!R15+TONTFEV24!R15+TONTMARS24!R15+TONTAVRIL24!R15+TONTMAI24!R15+TONTJUIN24!R15+TONTJUIL24!R15+TONTAOUT24!R15+TONTSEPT24!R15+TONTOCT24!R15+TONTNOV24!R15+TONTDEC24!R15</f>
        <v>12000</v>
      </c>
      <c r="S15" s="18">
        <v>45292</v>
      </c>
      <c r="T15" s="8">
        <f t="shared" si="0"/>
        <v>7531.25</v>
      </c>
      <c r="U15" s="8">
        <v>7000</v>
      </c>
    </row>
    <row r="16" spans="1:21" ht="17.5" x14ac:dyDescent="0.35">
      <c r="A16" s="1" t="s">
        <v>16</v>
      </c>
      <c r="B16" s="7">
        <f>TONTJANV24!B16+TONTFEV24!B16+TONTMARS24!B16+TONTAVRIL24!B16+TONTMAI24!B16+TONTJUIN24!B16+TONTJUIL24!B16+TONTAOUT24!B16+TONTSEPT24!B16+TONTOCT24!B16+TONTNOV24!B16+TONTDEC24!B16</f>
        <v>12</v>
      </c>
      <c r="C16" s="1" t="str">
        <f>VLOOKUP(A16,[7]LISTADHERENT!A$5:H$60,3,0)</f>
        <v>KOUAMOU MOISE</v>
      </c>
      <c r="D16" s="7">
        <f>TONTJANV24!D16+TONTFEV24!D16+TONTMARS24!D16+TONTAVRIL24!D16+TONTMAI24!D16+TONTJUIN24!D16+TONTJUIL24!D16+TONTAOUT24!D16+TONTSEPT24!D16+TONTOCT24!D16+TONTNOV24!D16+TONTDEC24!D16</f>
        <v>300000</v>
      </c>
      <c r="E16" s="7">
        <f>TONTJANV24!E16+TONTFEV24!E16+TONTMARS24!E16+TONTAVRIL24!E16+TONTMAI24!E16+TONTJUIN24!E16+TONTJUIL24!E16+TONTAOUT24!E16+TONTSEPT24!E16+TONTOCT24!E16+TONTNOV24!E16+TONTDEC24!E16</f>
        <v>602000</v>
      </c>
      <c r="F16" s="7">
        <f>TONTJANV24!F16+TONTFEV24!F16+TONTMARS24!F16+TONTAVRIL24!F16+TONTMAI24!F16+TONTJUIN24!F16+TONTJUIL24!F16+TONTAOUT24!F16+TONTSEPT24!F16+TONTOCT24!F16+TONTNOV24!F16+TONTDEC24!F16</f>
        <v>6000</v>
      </c>
      <c r="G16" s="7"/>
      <c r="H16" s="7">
        <f>TONTJANV24!H16+TONTFEV24!H16+TONTMARS24!H16+TONTAVRIL24!H16+TONTMAI24!H16+TONTJUIN24!H16+TONTJUIL24!H16+TONTAOUT24!H16+TONTSEPT24!H16+TONTOCT24!H16+TONTNOV24!H16+TONTDEC24!H16</f>
        <v>80000</v>
      </c>
      <c r="I16" s="7">
        <f>TONTJANV24!I16+TONTFEV24!I16+TONTMARS24!I16+TONTAVRIL24!I16+TONTMAI24!I16+TONTJUIN24!I16+TONTJUIL24!I16+TONTAOUT24!I16+TONTSEPT24!I16+TONTOCT24!I16+TONTNOV24!I16+TONTDEC24!I16</f>
        <v>1000</v>
      </c>
      <c r="J16" s="7"/>
      <c r="K16" s="7">
        <f>TONTJANV24!K16+TONTFEV24!K16+TONTMARS24!K16+TONTAVRIL24!K16+TONTMAI24!K16+TONTJUIN24!K16+TONTJUIL24!K16+TONTAOUT24!K16+TONTSEPT24!K16+TONTOCT24!K16+TONTNOV24!K16+TONTDEC24!K16</f>
        <v>0</v>
      </c>
      <c r="L16" s="7">
        <f>TONTJANV24!L16+TONTFEV24!L16+TONTMARS24!L16+TONTAVRIL24!L16+TONTMAI24!L16+TONTJUIN24!L16+TONTJUIL24!L16+TONTAOUT24!L16+TONTSEPT24!L16+TONTOCT24!L16+TONTNOV24!L16+TONTDEC24!L16</f>
        <v>81000</v>
      </c>
      <c r="M16" s="7">
        <f>TONTJANV24!M16+TONTFEV24!M16+TONTMARS24!M16+TONTAVRIL24!M16+TONTMAI24!M16+TONTJUIN24!M16+TONTJUIL24!M16+TONTAOUT24!M16+TONTSEPT24!M16+TONTOCT24!M16+TONTNOV24!M16+TONTDEC24!M16</f>
        <v>81000</v>
      </c>
      <c r="N16" s="7"/>
      <c r="O16" s="7"/>
      <c r="P16" s="7">
        <f>TONTJANV24!P16+TONTFEV24!P16+TONTMARS24!P16+TONTAVRIL24!P16+TONTMAI24!P16+TONTJUIN24!P16+TONTJUIL24!P16+TONTAOUT24!P16+TONTSEPT24!P16+TONTOCT24!P16+TONTNOV24!P16+TONTDEC24!P16</f>
        <v>0</v>
      </c>
      <c r="Q16" s="7">
        <f>TONTJANV24!Q16+TONTFEV24!Q16+TONTMARS24!Q16+TONTAVRIL24!Q16+TONTMAI24!Q16+TONTJUIN24!Q16+TONTJUIL24!Q16+TONTAOUT24!Q16+TONTSEPT24!Q16+TONTOCT24!Q16+TONTNOV24!Q16+TONTDEC24!Q16</f>
        <v>283000</v>
      </c>
      <c r="R16" s="7">
        <f>TONTJANV24!R16+TONTFEV24!R16+TONTMARS24!R16+TONTAVRIL24!R16+TONTMAI24!R16+TONTJUIN24!R16+TONTJUIL24!R16+TONTAOUT24!R16+TONTSEPT24!R16+TONTOCT24!R16+TONTNOV24!R16+TONTDEC24!R16</f>
        <v>17000</v>
      </c>
      <c r="S16" s="18">
        <v>45323</v>
      </c>
      <c r="T16" s="8">
        <f t="shared" si="0"/>
        <v>7531.25</v>
      </c>
      <c r="U16" s="8">
        <v>7000</v>
      </c>
    </row>
    <row r="17" spans="1:21" ht="17.5" x14ac:dyDescent="0.35">
      <c r="A17" s="1" t="s">
        <v>17</v>
      </c>
      <c r="B17" s="7">
        <f>TONTJANV24!B17+TONTFEV24!B17+TONTMARS24!B17+TONTAVRIL24!B17+TONTMAI24!B17+TONTJUIN24!B17+TONTJUIL24!B17+TONTAOUT24!B17+TONTSEPT24!B17+TONTOCT24!B17+TONTNOV24!B17+TONTDEC24!B17</f>
        <v>12</v>
      </c>
      <c r="C17" s="1" t="str">
        <f>VLOOKUP(A17,[7]LISTADHERENT!A$5:H$60,3,0)</f>
        <v>KOUATCHO MESSACK</v>
      </c>
      <c r="D17" s="7">
        <f>TONTJANV24!D17+TONTFEV24!D17+TONTMARS24!D17+TONTAVRIL24!D17+TONTMAI24!D17+TONTJUIN24!D17+TONTJUIL24!D17+TONTAOUT24!D17+TONTSEPT24!D17+TONTOCT24!D17+TONTNOV24!D17+TONTDEC24!D17</f>
        <v>300000</v>
      </c>
      <c r="E17" s="7">
        <f>TONTJANV24!E17+TONTFEV24!E17+TONTMARS24!E17+TONTAVRIL24!E17+TONTMAI24!E17+TONTJUIN24!E17+TONTJUIL24!E17+TONTAOUT24!E17+TONTSEPT24!E17+TONTOCT24!E17+TONTNOV24!E17+TONTDEC24!E17</f>
        <v>698000</v>
      </c>
      <c r="F17" s="7">
        <f>TONTJANV24!F17+TONTFEV24!F17+TONTMARS24!F17+TONTAVRIL24!F17+TONTMAI24!F17+TONTJUIN24!F17+TONTJUIL24!F17+TONTAOUT24!F17+TONTSEPT24!F17+TONTOCT24!F17+TONTNOV24!F17+TONTDEC24!F17</f>
        <v>6000</v>
      </c>
      <c r="G17" s="7"/>
      <c r="H17" s="7">
        <f>TONTJANV24!H17+TONTFEV24!H17+TONTMARS24!H17+TONTAVRIL24!H17+TONTMAI24!H17+TONTJUIN24!H17+TONTJUIL24!H17+TONTAOUT24!H17+TONTSEPT24!H17+TONTOCT24!H17+TONTNOV24!H17+TONTDEC24!H17</f>
        <v>0</v>
      </c>
      <c r="I17" s="7">
        <f>TONTJANV24!I17+TONTFEV24!I17+TONTMARS24!I17+TONTAVRIL24!I17+TONTMAI24!I17+TONTJUIN24!I17+TONTJUIL24!I17+TONTAOUT24!I17+TONTSEPT24!I17+TONTOCT24!I17+TONTNOV24!I17+TONTDEC24!I17</f>
        <v>0</v>
      </c>
      <c r="J17" s="7"/>
      <c r="K17" s="7">
        <f>TONTJANV24!K17+TONTFEV24!K17+TONTMARS24!K17+TONTAVRIL24!K17+TONTMAI24!K17+TONTJUIN24!K17+TONTJUIL24!K17+TONTAOUT24!K17+TONTSEPT24!K17+TONTOCT24!K17+TONTNOV24!K17+TONTDEC24!K17</f>
        <v>0</v>
      </c>
      <c r="L17" s="7">
        <f>TONTJANV24!L17+TONTFEV24!L17+TONTMARS24!L17+TONTAVRIL24!L17+TONTMAI24!L17+TONTJUIN24!L17+TONTJUIL24!L17+TONTAOUT24!L17+TONTSEPT24!L17+TONTOCT24!L17+TONTNOV24!L17+TONTDEC24!L17</f>
        <v>0</v>
      </c>
      <c r="M17" s="7">
        <f>TONTJANV24!M17+TONTFEV24!M17+TONTMARS24!M17+TONTAVRIL24!M17+TONTMAI24!M17+TONTJUIN24!M17+TONTJUIL24!M17+TONTAOUT24!M17+TONTSEPT24!M17+TONTOCT24!M17+TONTNOV24!M17+TONTDEC24!M17</f>
        <v>0</v>
      </c>
      <c r="N17" s="7"/>
      <c r="O17" s="7"/>
      <c r="P17" s="7">
        <f>TONTJANV24!P17+TONTFEV24!P17+TONTMARS24!P17+TONTAVRIL24!P17+TONTMAI24!P17+TONTJUIN24!P17+TONTJUIL24!P17+TONTAOUT24!P17+TONTSEPT24!P17+TONTOCT24!P17+TONTNOV24!P17+TONTDEC24!P17</f>
        <v>0</v>
      </c>
      <c r="Q17" s="7">
        <f>TONTJANV24!Q17+TONTFEV24!Q17+TONTMARS24!Q17+TONTAVRIL24!Q17+TONTMAI24!Q17+TONTJUIN24!Q17+TONTJUIL24!Q17+TONTAOUT24!Q17+TONTSEPT24!Q17+TONTOCT24!Q17+TONTNOV24!Q17+TONTDEC24!Q17</f>
        <v>287000</v>
      </c>
      <c r="R17" s="7">
        <f>TONTJANV24!R17+TONTFEV24!R17+TONTMARS24!R17+TONTAVRIL24!R17+TONTMAI24!R17+TONTJUIN24!R17+TONTJUIL24!R17+TONTAOUT24!R17+TONTSEPT24!R17+TONTOCT24!R17+TONTNOV24!R17+TONTDEC24!R17</f>
        <v>13000</v>
      </c>
      <c r="S17" s="18">
        <v>45292</v>
      </c>
      <c r="T17" s="8">
        <f t="shared" si="0"/>
        <v>7531.25</v>
      </c>
      <c r="U17" s="8">
        <v>7000</v>
      </c>
    </row>
    <row r="18" spans="1:21" ht="17.5" x14ac:dyDescent="0.35">
      <c r="A18" s="1" t="s">
        <v>96</v>
      </c>
      <c r="B18" s="7">
        <f>TONTJANV24!B18+TONTFEV24!B18+TONTMARS24!B18+TONTAVRIL24!B18+TONTMAI24!B18+TONTJUIN24!B18+TONTJUIL24!B18+TONTAOUT24!B18+TONTSEPT24!B18+TONTOCT24!B18+TONTNOV24!B18+TONTDEC24!B18</f>
        <v>12</v>
      </c>
      <c r="C18" s="1" t="str">
        <f>VLOOKUP(A18,[7]LISTADHERENT!A$5:H$60,3,0)</f>
        <v>MASSEUNGOUE DAGOBERT</v>
      </c>
      <c r="D18" s="7">
        <f>TONTJANV24!D18+TONTFEV24!D18+TONTMARS24!D18+TONTAVRIL24!D18+TONTMAI24!D18+TONTJUIN24!D18+TONTJUIL24!D18+TONTAOUT24!D18+TONTSEPT24!D18+TONTOCT24!D18+TONTNOV24!D18+TONTDEC24!D18</f>
        <v>300000</v>
      </c>
      <c r="E18" s="7">
        <f>TONTJANV24!E18+TONTFEV24!E18+TONTMARS24!E18+TONTAVRIL24!E18+TONTMAI24!E18+TONTJUIN24!E18+TONTJUIL24!E18+TONTAOUT24!E18+TONTSEPT24!E18+TONTOCT24!E18+TONTNOV24!E18+TONTDEC24!E18</f>
        <v>897500</v>
      </c>
      <c r="F18" s="7">
        <f>TONTJANV24!F18+TONTFEV24!F18+TONTMARS24!F18+TONTAVRIL24!F18+TONTMAI24!F18+TONTJUIN24!F18+TONTJUIL24!F18+TONTAOUT24!F18+TONTSEPT24!F18+TONTOCT24!F18+TONTNOV24!F18+TONTDEC24!F18</f>
        <v>0</v>
      </c>
      <c r="G18" s="7"/>
      <c r="H18" s="7">
        <f>TONTJANV24!H18+TONTFEV24!H18+TONTMARS24!H18+TONTAVRIL24!H18+TONTMAI24!H18+TONTJUIN24!H18+TONTJUIL24!H18+TONTAOUT24!H18+TONTSEPT24!H18+TONTOCT24!H18+TONTNOV24!H18+TONTDEC24!H18</f>
        <v>0</v>
      </c>
      <c r="I18" s="7">
        <f>TONTJANV24!I18+TONTFEV24!I18+TONTMARS24!I18+TONTAVRIL24!I18+TONTMAI24!I18+TONTJUIN24!I18+TONTJUIL24!I18+TONTAOUT24!I18+TONTSEPT24!I18+TONTOCT24!I18+TONTNOV24!I18+TONTDEC24!I18</f>
        <v>0</v>
      </c>
      <c r="J18" s="7"/>
      <c r="K18" s="7">
        <f>TONTJANV24!K18+TONTFEV24!K18+TONTMARS24!K18+TONTAVRIL24!K18+TONTMAI24!K18+TONTJUIN24!K18+TONTJUIL24!K18+TONTAOUT24!K18+TONTSEPT24!K18+TONTOCT24!K18+TONTNOV24!K18+TONTDEC24!K18</f>
        <v>0</v>
      </c>
      <c r="L18" s="7">
        <f>TONTJANV24!L18+TONTFEV24!L18+TONTMARS24!L18+TONTAVRIL24!L18+TONTMAI24!L18+TONTJUIN24!L18+TONTJUIL24!L18+TONTAOUT24!L18+TONTSEPT24!L18+TONTOCT24!L18+TONTNOV24!L18+TONTDEC24!L18</f>
        <v>0</v>
      </c>
      <c r="M18" s="7">
        <f>TONTJANV24!M18+TONTFEV24!M18+TONTMARS24!M18+TONTAVRIL24!M18+TONTMAI24!M18+TONTJUIN24!M18+TONTJUIL24!M18+TONTAOUT24!M18+TONTSEPT24!M18+TONTOCT24!M18+TONTNOV24!M18+TONTDEC24!M18</f>
        <v>0</v>
      </c>
      <c r="N18" s="7"/>
      <c r="O18" s="7"/>
      <c r="P18" s="7">
        <f>TONTJANV24!P18+TONTFEV24!P18+TONTMARS24!P18+TONTAVRIL24!P18+TONTMAI24!P18+TONTJUIN24!P18+TONTJUIL24!P18+TONTAOUT24!P18+TONTSEPT24!P18+TONTOCT24!P18+TONTNOV24!P18+TONTDEC24!P18</f>
        <v>0</v>
      </c>
      <c r="Q18" s="7">
        <f>TONTJANV24!Q18+TONTFEV24!Q18+TONTMARS24!Q18+TONTAVRIL24!Q18+TONTMAI24!Q18+TONTJUIN24!Q18+TONTJUIL24!Q18+TONTAOUT24!Q18+TONTSEPT24!Q18+TONTOCT24!Q18+TONTNOV24!Q18+TONTDEC24!Q18</f>
        <v>297500</v>
      </c>
      <c r="R18" s="7">
        <f>TONTJANV24!R18+TONTFEV24!R18+TONTMARS24!R18+TONTAVRIL24!R18+TONTMAI24!R18+TONTJUIN24!R18+TONTJUIL24!R18+TONTAOUT24!R18+TONTSEPT24!R18+TONTOCT24!R18+TONTNOV24!R18+TONTDEC24!R18</f>
        <v>2500</v>
      </c>
      <c r="S18" s="18"/>
      <c r="T18" s="8">
        <f t="shared" si="0"/>
        <v>7531.25</v>
      </c>
      <c r="U18" s="8">
        <v>7000</v>
      </c>
    </row>
    <row r="19" spans="1:21" ht="17.5" x14ac:dyDescent="0.35">
      <c r="A19" s="1" t="s">
        <v>44</v>
      </c>
      <c r="B19" s="7">
        <f>TONTJANV24!B19+TONTFEV24!B19+TONTMARS24!B19+TONTAVRIL24!B19+TONTMAI24!B19+TONTJUIN24!B19+TONTJUIL24!B19+TONTAOUT24!B19+TONTSEPT24!B19+TONTOCT24!B19+TONTNOV24!B19+TONTDEC24!B19</f>
        <v>12</v>
      </c>
      <c r="C19" s="1" t="str">
        <f>VLOOKUP(A19,[7]LISTADHERENT!A$5:H$60,3,0)</f>
        <v>MBOGNING TUGMA GUY</v>
      </c>
      <c r="D19" s="7">
        <f>TONTJANV24!D19+TONTFEV24!D19+TONTMARS24!D19+TONTAVRIL24!D19+TONTMAI24!D19+TONTJUIN24!D19+TONTJUIL24!D19+TONTAOUT24!D19+TONTSEPT24!D19+TONTOCT24!D19+TONTNOV24!D19+TONTDEC24!D19</f>
        <v>300000</v>
      </c>
      <c r="E19" s="7">
        <f>TONTJANV24!E19+TONTFEV24!E19+TONTMARS24!E19+TONTAVRIL24!E19+TONTMAI24!E19+TONTJUIN24!E19+TONTJUIL24!E19+TONTAOUT24!E19+TONTSEPT24!E19+TONTOCT24!E19+TONTNOV24!E19+TONTDEC24!E19</f>
        <v>598500</v>
      </c>
      <c r="F19" s="7">
        <f>TONTJANV24!F19+TONTFEV24!F19+TONTMARS24!F19+TONTAVRIL24!F19+TONTMAI24!F19+TONTJUIN24!F19+TONTJUIL24!F19+TONTAOUT24!F19+TONTSEPT24!F19+TONTOCT24!F19+TONTNOV24!F19+TONTDEC24!F19</f>
        <v>0</v>
      </c>
      <c r="G19" s="7"/>
      <c r="H19" s="7">
        <f>TONTJANV24!H19+TONTFEV24!H19+TONTMARS24!H19+TONTAVRIL24!H19+TONTMAI24!H19+TONTJUIN24!H19+TONTJUIL24!H19+TONTAOUT24!H19+TONTSEPT24!H19+TONTOCT24!H19+TONTNOV24!H19+TONTDEC24!H19</f>
        <v>220000</v>
      </c>
      <c r="I19" s="7">
        <f>TONTJANV24!I19+TONTFEV24!I19+TONTMARS24!I19+TONTAVRIL24!I19+TONTMAI24!I19+TONTJUIN24!I19+TONTJUIL24!I19+TONTAOUT24!I19+TONTSEPT24!I19+TONTOCT24!I19+TONTNOV24!I19+TONTDEC24!I19</f>
        <v>3500</v>
      </c>
      <c r="J19" s="7"/>
      <c r="K19" s="7">
        <f>TONTJANV24!K19+TONTFEV24!K19+TONTMARS24!K19+TONTAVRIL24!K19+TONTMAI24!K19+TONTJUIN24!K19+TONTJUIL24!K19+TONTAOUT24!K19+TONTSEPT24!K19+TONTOCT24!K19+TONTNOV24!K19+TONTDEC24!K19</f>
        <v>0</v>
      </c>
      <c r="L19" s="7">
        <f>TONTJANV24!L19+TONTFEV24!L19+TONTMARS24!L19+TONTAVRIL24!L19+TONTMAI24!L19+TONTJUIN24!L19+TONTJUIL24!L19+TONTAOUT24!L19+TONTSEPT24!L19+TONTOCT24!L19+TONTNOV24!L19+TONTDEC24!L19</f>
        <v>223500</v>
      </c>
      <c r="M19" s="7">
        <f>TONTJANV24!M19+TONTFEV24!M19+TONTMARS24!M19+TONTAVRIL24!M19+TONTMAI24!M19+TONTJUIN24!M19+TONTJUIL24!M19+TONTAOUT24!M19+TONTSEPT24!M19+TONTOCT24!M19+TONTNOV24!M19+TONTDEC24!M19</f>
        <v>223500</v>
      </c>
      <c r="N19" s="7"/>
      <c r="O19" s="7"/>
      <c r="P19" s="7">
        <f>TONTJANV24!P19+TONTFEV24!P19+TONTMARS24!P19+TONTAVRIL24!P19+TONTMAI24!P19+TONTJUIN24!P19+TONTJUIL24!P19+TONTAOUT24!P19+TONTSEPT24!P19+TONTOCT24!P19+TONTNOV24!P19+TONTDEC24!P19</f>
        <v>0</v>
      </c>
      <c r="Q19" s="7">
        <f>TONTJANV24!Q19+TONTFEV24!Q19+TONTMARS24!Q19+TONTAVRIL24!Q19+TONTMAI24!Q19+TONTJUIN24!Q19+TONTJUIL24!Q19+TONTAOUT24!Q19+TONTSEPT24!Q19+TONTOCT24!Q19+TONTNOV24!Q19+TONTDEC24!Q19</f>
        <v>297500</v>
      </c>
      <c r="R19" s="7">
        <f>TONTJANV24!R19+TONTFEV24!R19+TONTMARS24!R19+TONTAVRIL24!R19+TONTMAI24!R19+TONTJUIN24!R19+TONTJUIL24!R19+TONTAOUT24!R19+TONTSEPT24!R19+TONTOCT24!R19+TONTNOV24!R19+TONTDEC24!R19</f>
        <v>2500</v>
      </c>
      <c r="S19" s="18">
        <v>45474</v>
      </c>
      <c r="T19" s="8">
        <f t="shared" si="0"/>
        <v>7531.25</v>
      </c>
      <c r="U19" s="8">
        <v>7000</v>
      </c>
    </row>
    <row r="20" spans="1:21" ht="17.5" x14ac:dyDescent="0.35">
      <c r="A20" s="1" t="s">
        <v>25</v>
      </c>
      <c r="B20" s="7">
        <f>TONTJANV24!B20+TONTFEV24!B20+TONTMARS24!B20+TONTAVRIL24!B20+TONTMAI24!B20+TONTJUIN24!B20+TONTJUIL24!B20+TONTAOUT24!B20+TONTSEPT24!B20+TONTOCT24!B20+TONTNOV24!B20+TONTDEC24!B20</f>
        <v>12</v>
      </c>
      <c r="C20" s="1" t="str">
        <f>VLOOKUP(A20,[7]LISTADHERENT!A$5:H$60,3,0)</f>
        <v>NANGUEN MARTIN</v>
      </c>
      <c r="D20" s="7">
        <f>TONTJANV24!D20+TONTFEV24!D20+TONTMARS24!D20+TONTAVRIL24!D20+TONTMAI24!D20+TONTJUIN24!D20+TONTJUIL24!D20+TONTAOUT24!D20+TONTSEPT24!D20+TONTOCT24!D20+TONTNOV24!D20+TONTDEC24!D20</f>
        <v>300000</v>
      </c>
      <c r="E20" s="7">
        <f>TONTJANV24!E20+TONTFEV24!E20+TONTMARS24!E20+TONTAVRIL24!E20+TONTMAI24!E20+TONTJUIN24!E20+TONTJUIL24!E20+TONTAOUT24!E20+TONTSEPT24!E20+TONTOCT24!E20+TONTNOV24!E20+TONTDEC24!E20</f>
        <v>600000</v>
      </c>
      <c r="F20" s="7">
        <f>TONTJANV24!F20+TONTFEV24!F20+TONTMARS24!F20+TONTAVRIL24!F20+TONTMAI24!F20+TONTJUIN24!F20+TONTJUIL24!F20+TONTAOUT24!F20+TONTSEPT24!F20+TONTOCT24!F20+TONTNOV24!F20+TONTDEC24!F20</f>
        <v>0</v>
      </c>
      <c r="G20" s="7"/>
      <c r="H20" s="7">
        <f>TONTJANV24!H20+TONTFEV24!H20+TONTMARS24!H20+TONTAVRIL24!H20+TONTMAI24!H20+TONTJUIN24!H20+TONTJUIL24!H20+TONTAOUT24!H20+TONTSEPT24!H20+TONTOCT24!H20+TONTNOV24!H20+TONTDEC24!H20</f>
        <v>0</v>
      </c>
      <c r="I20" s="7">
        <f>TONTJANV24!I20+TONTFEV24!I20+TONTMARS24!I20+TONTAVRIL24!I20+TONTMAI24!I20+TONTJUIN24!I20+TONTJUIL24!I20+TONTAOUT24!I20+TONTSEPT24!I20+TONTOCT24!I20+TONTNOV24!I20+TONTDEC24!I20</f>
        <v>0</v>
      </c>
      <c r="J20" s="7"/>
      <c r="K20" s="7">
        <f>TONTJANV24!K20+TONTFEV24!K20+TONTMARS24!K20+TONTAVRIL24!K20+TONTMAI24!K20+TONTJUIN24!K20+TONTJUIL24!K20+TONTAOUT24!K20+TONTSEPT24!K20+TONTOCT24!K20+TONTNOV24!K20+TONTDEC24!K20</f>
        <v>0</v>
      </c>
      <c r="L20" s="7">
        <f>TONTJANV24!L20+TONTFEV24!L20+TONTMARS24!L20+TONTAVRIL24!L20+TONTMAI24!L20+TONTJUIN24!L20+TONTJUIL24!L20+TONTAOUT24!L20+TONTSEPT24!L20+TONTOCT24!L20+TONTNOV24!L20+TONTDEC24!L20</f>
        <v>0</v>
      </c>
      <c r="M20" s="7">
        <f>TONTJANV24!M20+TONTFEV24!M20+TONTMARS24!M20+TONTAVRIL24!M20+TONTMAI24!M20+TONTJUIN24!M20+TONTJUIL24!M20+TONTAOUT24!M20+TONTSEPT24!M20+TONTOCT24!M20+TONTNOV24!M20+TONTDEC24!M20</f>
        <v>0</v>
      </c>
      <c r="N20" s="7"/>
      <c r="O20" s="7"/>
      <c r="P20" s="7">
        <f>TONTJANV24!P20+TONTFEV24!P20+TONTMARS24!P20+TONTAVRIL24!P20+TONTMAI24!P20+TONTJUIN24!P20+TONTJUIL24!P20+TONTAOUT24!P20+TONTSEPT24!P20+TONTOCT24!P20+TONTNOV24!P20+TONTDEC24!P20</f>
        <v>0</v>
      </c>
      <c r="Q20" s="7">
        <f>TONTJANV24!Q20+TONTFEV24!Q20+TONTMARS24!Q20+TONTAVRIL24!Q20+TONTMAI24!Q20+TONTJUIN24!Q20+TONTJUIL24!Q20+TONTAOUT24!Q20+TONTSEPT24!Q20+TONTOCT24!Q20+TONTNOV24!Q20+TONTDEC24!Q20</f>
        <v>297000</v>
      </c>
      <c r="R20" s="7">
        <f>TONTJANV24!R20+TONTFEV24!R20+TONTMARS24!R20+TONTAVRIL24!R20+TONTMAI24!R20+TONTJUIN24!R20+TONTJUIL24!R20+TONTAOUT24!R20+TONTSEPT24!R20+TONTOCT24!R20+TONTNOV24!R20+TONTDEC24!R20</f>
        <v>3000</v>
      </c>
      <c r="S20" s="18">
        <v>45413</v>
      </c>
      <c r="T20" s="8">
        <f t="shared" si="0"/>
        <v>7531.25</v>
      </c>
      <c r="U20" s="8">
        <v>7000</v>
      </c>
    </row>
    <row r="21" spans="1:21" ht="17.5" x14ac:dyDescent="0.35">
      <c r="A21" s="1" t="s">
        <v>18</v>
      </c>
      <c r="B21" s="7">
        <f>TONTJANV24!B21+TONTFEV24!B21+TONTMARS24!B21+TONTAVRIL24!B21+TONTMAI24!B21+TONTJUIN24!B21+TONTJUIL24!B21+TONTAOUT24!B21+TONTSEPT24!B21+TONTOCT24!B21+TONTNOV24!B21+TONTDEC24!B21</f>
        <v>12</v>
      </c>
      <c r="C21" s="1" t="str">
        <f>VLOOKUP(A21,[7]LISTADHERENT!A$5:H$60,3,0)</f>
        <v>NANKAM APPOLINAIRE</v>
      </c>
      <c r="D21" s="7">
        <f>TONTJANV24!D21+TONTFEV24!D21+TONTMARS24!D21+TONTAVRIL24!D21+TONTMAI24!D21+TONTJUIN24!D21+TONTJUIL24!D21+TONTAOUT24!D21+TONTSEPT24!D21+TONTOCT24!D21+TONTNOV24!D21+TONTDEC24!D21</f>
        <v>300000</v>
      </c>
      <c r="E21" s="7">
        <f>TONTJANV24!E21+TONTFEV24!E21+TONTMARS24!E21+TONTAVRIL24!E21+TONTMAI24!E21+TONTJUIN24!E21+TONTJUIL24!E21+TONTAOUT24!E21+TONTSEPT24!E21+TONTOCT24!E21+TONTNOV24!E21+TONTDEC24!E21</f>
        <v>603000</v>
      </c>
      <c r="F21" s="7">
        <f>TONTJANV24!F21+TONTFEV24!F21+TONTMARS24!F21+TONTAVRIL24!F21+TONTMAI24!F21+TONTJUIN24!F21+TONTJUIL24!F21+TONTAOUT24!F21+TONTSEPT24!F21+TONTOCT24!F21+TONTNOV24!F21+TONTDEC24!F21</f>
        <v>3000</v>
      </c>
      <c r="G21" s="7"/>
      <c r="H21" s="7">
        <f>TONTJANV24!H21+TONTFEV24!H21+TONTMARS24!H21+TONTAVRIL24!H21+TONTMAI24!H21+TONTJUIN24!H21+TONTJUIL24!H21+TONTAOUT24!H21+TONTSEPT24!H21+TONTOCT24!H21+TONTNOV24!H21+TONTDEC24!H21</f>
        <v>0</v>
      </c>
      <c r="I21" s="7">
        <f>TONTJANV24!I21+TONTFEV24!I21+TONTMARS24!I21+TONTAVRIL24!I21+TONTMAI24!I21+TONTJUIN24!I21+TONTJUIL24!I21+TONTAOUT24!I21+TONTSEPT24!I21+TONTOCT24!I21+TONTNOV24!I21+TONTDEC24!I21</f>
        <v>0</v>
      </c>
      <c r="J21" s="7"/>
      <c r="K21" s="7">
        <f>TONTJANV24!K21+TONTFEV24!K21+TONTMARS24!K21+TONTAVRIL24!K21+TONTMAI24!K21+TONTJUIN24!K21+TONTJUIL24!K21+TONTAOUT24!K21+TONTSEPT24!K21+TONTOCT24!K21+TONTNOV24!K21+TONTDEC24!K21</f>
        <v>0</v>
      </c>
      <c r="L21" s="7">
        <f>TONTJANV24!L21+TONTFEV24!L21+TONTMARS24!L21+TONTAVRIL24!L21+TONTMAI24!L21+TONTJUIN24!L21+TONTJUIL24!L21+TONTAOUT24!L21+TONTSEPT24!L21+TONTOCT24!L21+TONTNOV24!L21+TONTDEC24!L21</f>
        <v>0</v>
      </c>
      <c r="M21" s="7">
        <f>TONTJANV24!M21+TONTFEV24!M21+TONTMARS24!M21+TONTAVRIL24!M21+TONTMAI24!M21+TONTJUIN24!M21+TONTJUIL24!M21+TONTAOUT24!M21+TONTSEPT24!M21+TONTOCT24!M21+TONTNOV24!M21+TONTDEC24!M21</f>
        <v>0</v>
      </c>
      <c r="N21" s="7"/>
      <c r="O21" s="7"/>
      <c r="P21" s="7">
        <f>TONTJANV24!P21+TONTFEV24!P21+TONTMARS24!P21+TONTAVRIL24!P21+TONTMAI24!P21+TONTJUIN24!P21+TONTJUIL24!P21+TONTAOUT24!P21+TONTSEPT24!P21+TONTOCT24!P21+TONTNOV24!P21+TONTDEC24!P21</f>
        <v>0</v>
      </c>
      <c r="Q21" s="7">
        <f>TONTJANV24!Q21+TONTFEV24!Q21+TONTMARS24!Q21+TONTAVRIL24!Q21+TONTMAI24!Q21+TONTJUIN24!Q21+TONTJUIL24!Q21+TONTAOUT24!Q21+TONTSEPT24!Q21+TONTOCT24!Q21+TONTNOV24!Q21+TONTDEC24!Q21</f>
        <v>283000</v>
      </c>
      <c r="R21" s="7">
        <f>TONTJANV24!R21+TONTFEV24!R21+TONTMARS24!R21+TONTAVRIL24!R21+TONTMAI24!R21+TONTJUIN24!R21+TONTJUIL24!R21+TONTAOUT24!R21+TONTSEPT24!R21+TONTOCT24!R21+TONTNOV24!R21+TONTDEC24!R21</f>
        <v>17000</v>
      </c>
      <c r="S21" s="18">
        <v>45352</v>
      </c>
      <c r="T21" s="8">
        <f t="shared" si="0"/>
        <v>7531.25</v>
      </c>
      <c r="U21" s="8">
        <v>7000</v>
      </c>
    </row>
    <row r="22" spans="1:21" ht="17.5" x14ac:dyDescent="0.35">
      <c r="A22" s="1" t="s">
        <v>19</v>
      </c>
      <c r="B22" s="7">
        <f>TONTJANV24!B22+TONTFEV24!B22+TONTMARS24!B22+TONTAVRIL24!B22+TONTMAI24!B22+TONTJUIN24!B22+TONTJUIL24!B22+TONTAOUT24!B22+TONTSEPT24!B22+TONTOCT24!B22+TONTNOV24!B22+TONTDEC24!B22</f>
        <v>12</v>
      </c>
      <c r="C22" s="1" t="str">
        <f>VLOOKUP(A22,[7]LISTADHERENT!A$5:H$60,3,0)</f>
        <v>NDJOMO ETIENNE</v>
      </c>
      <c r="D22" s="7">
        <f>TONTJANV24!D22+TONTFEV24!D22+TONTMARS24!D22+TONTAVRIL24!D22+TONTMAI24!D22+TONTJUIN24!D22+TONTJUIL24!D22+TONTAOUT24!D22+TONTSEPT24!D22+TONTOCT24!D22+TONTNOV24!D22+TONTDEC24!D22</f>
        <v>300000</v>
      </c>
      <c r="E22" s="7">
        <f>TONTJANV24!E22+TONTFEV24!E22+TONTMARS24!E22+TONTAVRIL24!E22+TONTMAI24!E22+TONTJUIN24!E22+TONTJUIL24!E22+TONTAOUT24!E22+TONTSEPT24!E22+TONTOCT24!E22+TONTNOV24!E22+TONTDEC24!E22</f>
        <v>740000</v>
      </c>
      <c r="F22" s="7">
        <f>TONTJANV24!F22+TONTFEV24!F22+TONTMARS24!F22+TONTAVRIL24!F22+TONTMAI24!F22+TONTJUIN24!F22+TONTJUIL24!F22+TONTAOUT24!F22+TONTSEPT24!F22+TONTOCT24!F22+TONTNOV24!F22+TONTDEC24!F22</f>
        <v>0</v>
      </c>
      <c r="G22" s="7"/>
      <c r="H22" s="7">
        <f>TONTJANV24!H22+TONTFEV24!H22+TONTMARS24!H22+TONTAVRIL24!H22+TONTMAI24!H22+TONTJUIN24!H22+TONTJUIL24!H22+TONTAOUT24!H22+TONTSEPT24!H22+TONTOCT24!H22+TONTNOV24!H22+TONTDEC24!H22</f>
        <v>0</v>
      </c>
      <c r="I22" s="7">
        <f>TONTJANV24!I22+TONTFEV24!I22+TONTMARS24!I22+TONTAVRIL24!I22+TONTMAI24!I22+TONTJUIN24!I22+TONTJUIL24!I22+TONTAOUT24!I22+TONTSEPT24!I22+TONTOCT24!I22+TONTNOV24!I22+TONTDEC24!I22</f>
        <v>0</v>
      </c>
      <c r="J22" s="7"/>
      <c r="K22" s="7">
        <f>TONTJANV24!K22+TONTFEV24!K22+TONTMARS24!K22+TONTAVRIL24!K22+TONTMAI24!K22+TONTJUIN24!K22+TONTJUIL24!K22+TONTAOUT24!K22+TONTSEPT24!K22+TONTOCT24!K22+TONTNOV24!K22+TONTDEC24!K22</f>
        <v>0</v>
      </c>
      <c r="L22" s="7">
        <f>TONTJANV24!L22+TONTFEV24!L22+TONTMARS24!L22+TONTAVRIL24!L22+TONTMAI24!L22+TONTJUIN24!L22+TONTJUIL24!L22+TONTAOUT24!L22+TONTSEPT24!L22+TONTOCT24!L22+TONTNOV24!L22+TONTDEC24!L22</f>
        <v>0</v>
      </c>
      <c r="M22" s="7">
        <f>TONTJANV24!M22+TONTFEV24!M22+TONTMARS24!M22+TONTAVRIL24!M22+TONTMAI24!M22+TONTJUIN24!M22+TONTJUIL24!M22+TONTAOUT24!M22+TONTSEPT24!M22+TONTOCT24!M22+TONTNOV24!M22+TONTDEC24!M22</f>
        <v>0</v>
      </c>
      <c r="N22" s="7"/>
      <c r="O22" s="7"/>
      <c r="P22" s="7">
        <f>TONTJANV24!P22+TONTFEV24!P22+TONTMARS24!P22+TONTAVRIL24!P22+TONTMAI24!P22+TONTJUIN24!P22+TONTJUIL24!P22+TONTAOUT24!P22+TONTSEPT24!P22+TONTOCT24!P22+TONTNOV24!P22+TONTDEC24!P22</f>
        <v>0</v>
      </c>
      <c r="Q22" s="7">
        <f>TONTJANV24!Q22+TONTFEV24!Q22+TONTMARS24!Q22+TONTAVRIL24!Q22+TONTMAI24!Q22+TONTJUIN24!Q22+TONTJUIL24!Q22+TONTAOUT24!Q22+TONTSEPT24!Q22+TONTOCT24!Q22+TONTNOV24!Q22+TONTDEC24!Q22</f>
        <v>297000</v>
      </c>
      <c r="R22" s="7">
        <f>TONTJANV24!R22+TONTFEV24!R22+TONTMARS24!R22+TONTAVRIL24!R22+TONTMAI24!R22+TONTJUIN24!R22+TONTJUIL24!R22+TONTAOUT24!R22+TONTSEPT24!R22+TONTOCT24!R22+TONTNOV24!R22+TONTDEC24!R22</f>
        <v>3000</v>
      </c>
      <c r="S22" s="18">
        <v>45444</v>
      </c>
      <c r="T22" s="8">
        <f t="shared" si="0"/>
        <v>7531.25</v>
      </c>
      <c r="U22" s="8">
        <v>7000</v>
      </c>
    </row>
    <row r="23" spans="1:21" ht="17.5" x14ac:dyDescent="0.35">
      <c r="A23" s="1" t="s">
        <v>20</v>
      </c>
      <c r="B23" s="7">
        <f>TONTJANV24!B23+TONTFEV24!B23+TONTMARS24!B23+TONTAVRIL24!B23+TONTMAI24!B23+TONTJUIN24!B23+TONTJUIL24!B23+TONTAOUT24!B23+TONTSEPT24!B23+TONTOCT24!B23+TONTNOV24!B23+TONTDEC24!B23</f>
        <v>12</v>
      </c>
      <c r="C23" s="1" t="str">
        <f>VLOOKUP(A23,[7]LISTADHERENT!A$5:H$60,3,0)</f>
        <v>NGONDIEP CLAUDE</v>
      </c>
      <c r="D23" s="7">
        <f>TONTJANV24!D23+TONTFEV24!D23+TONTMARS24!D23+TONTAVRIL24!D23+TONTMAI24!D23+TONTJUIN24!D23+TONTJUIL24!D23+TONTAOUT24!D23+TONTSEPT24!D23+TONTOCT24!D23+TONTNOV24!D23+TONTDEC24!D23</f>
        <v>300000</v>
      </c>
      <c r="E23" s="7">
        <f>TONTJANV24!E23+TONTFEV24!E23+TONTMARS24!E23+TONTAVRIL24!E23+TONTMAI24!E23+TONTJUIN24!E23+TONTJUIL24!E23+TONTAOUT24!E23+TONTSEPT24!E23+TONTOCT24!E23+TONTNOV24!E23+TONTDEC24!E23</f>
        <v>777000</v>
      </c>
      <c r="F23" s="7">
        <f>TONTJANV24!F23+TONTFEV24!F23+TONTMARS24!F23+TONTAVRIL24!F23+TONTMAI24!F23+TONTJUIN24!F23+TONTJUIL24!F23+TONTAOUT24!F23+TONTSEPT24!F23+TONTOCT24!F23+TONTNOV24!F23+TONTDEC24!F23</f>
        <v>12000</v>
      </c>
      <c r="G23" s="7"/>
      <c r="H23" s="7">
        <f>TONTJANV24!H23+TONTFEV24!H23+TONTMARS24!H23+TONTAVRIL24!H23+TONTMAI24!H23+TONTJUIN24!H23+TONTJUIL24!H23+TONTAOUT24!H23+TONTSEPT24!H23+TONTOCT24!H23+TONTNOV24!H23+TONTDEC24!H23</f>
        <v>0</v>
      </c>
      <c r="I23" s="7">
        <f>TONTJANV24!I23+TONTFEV24!I23+TONTMARS24!I23+TONTAVRIL24!I23+TONTMAI24!I23+TONTJUIN24!I23+TONTJUIL24!I23+TONTAOUT24!I23+TONTSEPT24!I23+TONTOCT24!I23+TONTNOV24!I23+TONTDEC24!I23</f>
        <v>0</v>
      </c>
      <c r="J23" s="7"/>
      <c r="K23" s="7">
        <f>TONTJANV24!K23+TONTFEV24!K23+TONTMARS24!K23+TONTAVRIL24!K23+TONTMAI24!K23+TONTJUIN24!K23+TONTJUIL24!K23+TONTAOUT24!K23+TONTSEPT24!K23+TONTOCT24!K23+TONTNOV24!K23+TONTDEC24!K23</f>
        <v>0</v>
      </c>
      <c r="L23" s="7">
        <f>TONTJANV24!L23+TONTFEV24!L23+TONTMARS24!L23+TONTAVRIL24!L23+TONTMAI24!L23+TONTJUIN24!L23+TONTJUIL24!L23+TONTAOUT24!L23+TONTSEPT24!L23+TONTOCT24!L23+TONTNOV24!L23+TONTDEC24!L23</f>
        <v>0</v>
      </c>
      <c r="M23" s="7">
        <f>TONTJANV24!M23+TONTFEV24!M23+TONTMARS24!M23+TONTAVRIL24!M23+TONTMAI24!M23+TONTJUIN24!M23+TONTJUIL24!M23+TONTAOUT24!M23+TONTSEPT24!M23+TONTOCT24!M23+TONTNOV24!M23+TONTDEC24!M23</f>
        <v>0</v>
      </c>
      <c r="N23" s="7"/>
      <c r="O23" s="7"/>
      <c r="P23" s="7">
        <f>TONTJANV24!P23+TONTFEV24!P23+TONTMARS24!P23+TONTAVRIL24!P23+TONTMAI24!P23+TONTJUIN24!P23+TONTJUIL24!P23+TONTAOUT24!P23+TONTSEPT24!P23+TONTOCT24!P23+TONTNOV24!P23+TONTDEC24!P23</f>
        <v>0</v>
      </c>
      <c r="Q23" s="7">
        <f>TONTJANV24!Q23+TONTFEV24!Q23+TONTMARS24!Q23+TONTAVRIL24!Q23+TONTMAI24!Q23+TONTJUIN24!Q23+TONTJUIL24!Q23+TONTAOUT24!Q23+TONTSEPT24!Q23+TONTOCT24!Q23+TONTNOV24!Q23+TONTDEC24!Q23</f>
        <v>297000</v>
      </c>
      <c r="R23" s="7">
        <f>TONTJANV24!R23+TONTFEV24!R23+TONTMARS24!R23+TONTAVRIL24!R23+TONTMAI24!R23+TONTJUIN24!R23+TONTJUIL24!R23+TONTAOUT24!R23+TONTSEPT24!R23+TONTOCT24!R23+TONTNOV24!R23+TONTDEC24!R23</f>
        <v>3000</v>
      </c>
      <c r="S23" s="18">
        <v>45444</v>
      </c>
      <c r="T23" s="8">
        <f t="shared" si="0"/>
        <v>7531.25</v>
      </c>
      <c r="U23" s="8">
        <v>7000</v>
      </c>
    </row>
    <row r="24" spans="1:21" ht="17.5" x14ac:dyDescent="0.35">
      <c r="A24" s="1" t="s">
        <v>21</v>
      </c>
      <c r="B24" s="7">
        <f>TONTJANV24!B24+TONTFEV24!B24+TONTMARS24!B24+TONTAVRIL24!B24+TONTMAI24!B24+TONTJUIN24!B24+TONTJUIL24!B24+TONTAOUT24!B24+TONTSEPT24!B24+TONTOCT24!B24+TONTNOV24!B24+TONTDEC24!B24</f>
        <v>12</v>
      </c>
      <c r="C24" s="1" t="str">
        <f>VLOOKUP(A24,[7]LISTADHERENT!A$5:H$60,3,0)</f>
        <v>NGUIEMEGNI MATHIEU BLAISE</v>
      </c>
      <c r="D24" s="7">
        <f>TONTJANV24!D24+TONTFEV24!D24+TONTMARS24!D24+TONTAVRIL24!D24+TONTMAI24!D24+TONTJUIN24!D24+TONTJUIL24!D24+TONTAOUT24!D24+TONTSEPT24!D24+TONTOCT24!D24+TONTNOV24!D24+TONTDEC24!D24</f>
        <v>300000</v>
      </c>
      <c r="E24" s="7">
        <f>TONTJANV24!E24+TONTFEV24!E24+TONTMARS24!E24+TONTAVRIL24!E24+TONTMAI24!E24+TONTJUIN24!E24+TONTJUIL24!E24+TONTAOUT24!E24+TONTSEPT24!E24+TONTOCT24!E24+TONTNOV24!E24+TONTDEC24!E24</f>
        <v>595500</v>
      </c>
      <c r="F24" s="7">
        <f>TONTJANV24!F24+TONTFEV24!F24+TONTMARS24!F24+TONTAVRIL24!F24+TONTMAI24!F24+TONTJUIN24!F24+TONTJUIL24!F24+TONTAOUT24!F24+TONTSEPT24!F24+TONTOCT24!F24+TONTNOV24!F24+TONTDEC24!F24</f>
        <v>3000</v>
      </c>
      <c r="G24" s="7"/>
      <c r="H24" s="7">
        <f>TONTJANV24!H24+TONTFEV24!H24+TONTMARS24!H24+TONTAVRIL24!H24+TONTMAI24!H24+TONTJUIN24!H24+TONTJUIL24!H24+TONTAOUT24!H24+TONTSEPT24!H24+TONTOCT24!H24+TONTNOV24!H24+TONTDEC24!H24</f>
        <v>90000</v>
      </c>
      <c r="I24" s="7">
        <f>TONTJANV24!I24+TONTFEV24!I24+TONTMARS24!I24+TONTAVRIL24!I24+TONTMAI24!I24+TONTJUIN24!I24+TONTJUIL24!I24+TONTAOUT24!I24+TONTSEPT24!I24+TONTOCT24!I24+TONTNOV24!I24+TONTDEC24!I24</f>
        <v>2000</v>
      </c>
      <c r="J24" s="7"/>
      <c r="K24" s="7">
        <f>TONTJANV24!K24+TONTFEV24!K24+TONTMARS24!K24+TONTAVRIL24!K24+TONTMAI24!K24+TONTJUIN24!K24+TONTJUIL24!K24+TONTAOUT24!K24+TONTSEPT24!K24+TONTOCT24!K24+TONTNOV24!K24+TONTDEC24!K24</f>
        <v>0</v>
      </c>
      <c r="L24" s="7">
        <f>TONTJANV24!L24+TONTFEV24!L24+TONTMARS24!L24+TONTAVRIL24!L24+TONTMAI24!L24+TONTJUIN24!L24+TONTJUIL24!L24+TONTAOUT24!L24+TONTSEPT24!L24+TONTOCT24!L24+TONTNOV24!L24+TONTDEC24!L24</f>
        <v>92000</v>
      </c>
      <c r="M24" s="7">
        <f>TONTJANV24!M24+TONTFEV24!M24+TONTMARS24!M24+TONTAVRIL24!M24+TONTMAI24!M24+TONTJUIN24!M24+TONTJUIL24!M24+TONTAOUT24!M24+TONTSEPT24!M24+TONTOCT24!M24+TONTNOV24!M24+TONTDEC24!M24</f>
        <v>92000</v>
      </c>
      <c r="N24" s="7"/>
      <c r="O24" s="7"/>
      <c r="P24" s="7">
        <f>TONTJANV24!P24+TONTFEV24!P24+TONTMARS24!P24+TONTAVRIL24!P24+TONTMAI24!P24+TONTJUIN24!P24+TONTJUIL24!P24+TONTAOUT24!P24+TONTSEPT24!P24+TONTOCT24!P24+TONTNOV24!P24+TONTDEC24!P24</f>
        <v>0</v>
      </c>
      <c r="Q24" s="7">
        <f>TONTJANV24!Q24+TONTFEV24!Q24+TONTMARS24!Q24+TONTAVRIL24!Q24+TONTMAI24!Q24+TONTJUIN24!Q24+TONTJUIL24!Q24+TONTAOUT24!Q24+TONTSEPT24!Q24+TONTOCT24!Q24+TONTNOV24!Q24+TONTDEC24!Q24</f>
        <v>289000</v>
      </c>
      <c r="R24" s="7">
        <f>TONTJANV24!R24+TONTFEV24!R24+TONTMARS24!R24+TONTAVRIL24!R24+TONTMAI24!R24+TONTJUIN24!R24+TONTJUIL24!R24+TONTAOUT24!R24+TONTSEPT24!R24+TONTOCT24!R24+TONTNOV24!R24+TONTDEC24!R24</f>
        <v>11000</v>
      </c>
      <c r="S24" s="18">
        <v>45383</v>
      </c>
      <c r="T24" s="8">
        <f t="shared" si="0"/>
        <v>7531.25</v>
      </c>
      <c r="U24" s="8">
        <v>7000</v>
      </c>
    </row>
    <row r="25" spans="1:21" ht="17.5" x14ac:dyDescent="0.35">
      <c r="A25" s="1" t="s">
        <v>22</v>
      </c>
      <c r="B25" s="7">
        <f>TONTJANV24!B25+TONTFEV24!B25+TONTMARS24!B25+TONTAVRIL24!B25+TONTMAI24!B25+TONTJUIN24!B25+TONTJUIL24!B25+TONTAOUT24!B25+TONTSEPT24!B25+TONTOCT24!B25+TONTNOV24!B25+TONTDEC24!B25</f>
        <v>12</v>
      </c>
      <c r="C25" s="1" t="str">
        <f>VLOOKUP(A25,[7]LISTADHERENT!A$5:H$60,3,0)</f>
        <v>NKAMGANG JUSTIN DEJOLIE</v>
      </c>
      <c r="D25" s="7">
        <f>TONTJANV24!D25+TONTFEV24!D25+TONTMARS24!D25+TONTAVRIL24!D25+TONTMAI24!D25+TONTJUIN24!D25+TONTJUIL24!D25+TONTAOUT24!D25+TONTSEPT24!D25+TONTOCT24!D25+TONTNOV24!D25+TONTDEC24!D25</f>
        <v>300000</v>
      </c>
      <c r="E25" s="7">
        <f>TONTJANV24!E25+TONTFEV24!E25+TONTMARS24!E25+TONTAVRIL24!E25+TONTMAI24!E25+TONTJUIN24!E25+TONTJUIL24!E25+TONTAOUT24!E25+TONTSEPT24!E25+TONTOCT24!E25+TONTNOV24!E25+TONTDEC24!E25</f>
        <v>601500</v>
      </c>
      <c r="F25" s="7">
        <f>TONTJANV24!F25+TONTFEV24!F25+TONTMARS24!F25+TONTAVRIL24!F25+TONTMAI24!F25+TONTJUIN24!F25+TONTJUIL24!F25+TONTAOUT24!F25+TONTSEPT24!F25+TONTOCT24!F25+TONTNOV24!F25+TONTDEC24!F25</f>
        <v>0</v>
      </c>
      <c r="G25" s="7"/>
      <c r="H25" s="7">
        <f>TONTJANV24!H25+TONTFEV24!H25+TONTMARS24!H25+TONTAVRIL24!H25+TONTMAI24!H25+TONTJUIN24!H25+TONTJUIL24!H25+TONTAOUT24!H25+TONTSEPT24!H25+TONTOCT24!H25+TONTNOV24!H25+TONTDEC24!H25</f>
        <v>193500</v>
      </c>
      <c r="I25" s="7">
        <f>TONTJANV24!I25+TONTFEV24!I25+TONTMARS24!I25+TONTAVRIL24!I25+TONTMAI24!I25+TONTJUIN24!I25+TONTJUIL24!I25+TONTAOUT24!I25+TONTSEPT24!I25+TONTOCT24!I25+TONTNOV24!I25+TONTDEC24!I25</f>
        <v>3000</v>
      </c>
      <c r="J25" s="7"/>
      <c r="K25" s="7">
        <f>TONTJANV24!K25+TONTFEV24!K25+TONTMARS24!K25+TONTAVRIL24!K25+TONTMAI24!K25+TONTJUIN24!K25+TONTJUIL24!K25+TONTAOUT24!K25+TONTSEPT24!K25+TONTOCT24!K25+TONTNOV24!K25+TONTDEC24!K25</f>
        <v>0</v>
      </c>
      <c r="L25" s="7">
        <f>TONTJANV24!L25+TONTFEV24!L25+TONTMARS24!L25+TONTAVRIL24!L25+TONTMAI24!L25+TONTJUIN24!L25+TONTJUIL24!L25+TONTAOUT24!L25+TONTSEPT24!L25+TONTOCT24!L25+TONTNOV24!L25+TONTDEC24!L25</f>
        <v>196500</v>
      </c>
      <c r="M25" s="7">
        <f>TONTJANV24!M25+TONTFEV24!M25+TONTMARS24!M25+TONTAVRIL24!M25+TONTMAI24!M25+TONTJUIN24!M25+TONTJUIL24!M25+TONTAOUT24!M25+TONTSEPT24!M25+TONTOCT24!M25+TONTNOV24!M25+TONTDEC24!M25</f>
        <v>196500</v>
      </c>
      <c r="N25" s="7"/>
      <c r="O25" s="7"/>
      <c r="P25" s="7">
        <f>TONTJANV24!P25+TONTFEV24!P25+TONTMARS24!P25+TONTAVRIL24!P25+TONTMAI24!P25+TONTJUIN24!P25+TONTJUIL24!P25+TONTAOUT24!P25+TONTSEPT24!P25+TONTOCT24!P25+TONTNOV24!P25+TONTDEC24!P25</f>
        <v>0</v>
      </c>
      <c r="Q25" s="7">
        <f>TONTJANV24!Q25+TONTFEV24!Q25+TONTMARS24!Q25+TONTAVRIL24!Q25+TONTMAI24!Q25+TONTJUIN24!Q25+TONTJUIL24!Q25+TONTAOUT24!Q25+TONTSEPT24!Q25+TONTOCT24!Q25+TONTNOV24!Q25+TONTDEC24!Q25</f>
        <v>287000</v>
      </c>
      <c r="R25" s="7">
        <f>TONTJANV24!R25+TONTFEV24!R25+TONTMARS24!R25+TONTAVRIL24!R25+TONTMAI24!R25+TONTJUIN24!R25+TONTJUIL24!R25+TONTAOUT24!R25+TONTSEPT24!R25+TONTOCT24!R25+TONTNOV24!R25+TONTDEC24!R25</f>
        <v>13000</v>
      </c>
      <c r="S25" s="18">
        <v>45292</v>
      </c>
      <c r="T25" s="8">
        <f t="shared" si="0"/>
        <v>7531.25</v>
      </c>
      <c r="U25" s="8">
        <v>7000</v>
      </c>
    </row>
    <row r="26" spans="1:21" ht="17.5" x14ac:dyDescent="0.35">
      <c r="A26" s="1" t="s">
        <v>85</v>
      </c>
      <c r="B26" s="7">
        <f>TONTJANV24!B26+TONTFEV24!B26+TONTMARS24!B26+TONTAVRIL24!B26+TONTMAI24!B26+TONTJUIN24!B26+TONTJUIL24!B26+TONTAOUT24!B26+TONTSEPT24!B26+TONTOCT24!B26+TONTNOV24!B26+TONTDEC24!B26</f>
        <v>12</v>
      </c>
      <c r="C26" s="1" t="str">
        <f>VLOOKUP(A26,[7]LISTADHERENT!A$5:H$60,3,0)</f>
        <v>NOUBE ETIENNE</v>
      </c>
      <c r="D26" s="7">
        <f>TONTJANV24!D26+TONTFEV24!D26+TONTMARS24!D26+TONTAVRIL24!D26+TONTMAI24!D26+TONTJUIN24!D26+TONTJUIL24!D26+TONTAOUT24!D26+TONTSEPT24!D26+TONTOCT24!D26+TONTNOV24!D26+TONTDEC24!D26</f>
        <v>300000</v>
      </c>
      <c r="E26" s="7">
        <f>TONTJANV24!E26+TONTFEV24!E26+TONTMARS24!E26+TONTAVRIL24!E26+TONTMAI24!E26+TONTJUIN24!E26+TONTJUIL24!E26+TONTAOUT24!E26+TONTSEPT24!E26+TONTOCT24!E26+TONTNOV24!E26+TONTDEC24!E26</f>
        <v>600000</v>
      </c>
      <c r="F26" s="7">
        <f>TONTJANV24!F26+TONTFEV24!F26+TONTMARS24!F26+TONTAVRIL24!F26+TONTMAI24!F26+TONTJUIN24!F26+TONTJUIL24!F26+TONTAOUT24!F26+TONTSEPT24!F26+TONTOCT24!F26+TONTNOV24!F26+TONTDEC24!F26</f>
        <v>0</v>
      </c>
      <c r="G26" s="7"/>
      <c r="H26" s="7">
        <f>TONTJANV24!H26+TONTFEV24!H26+TONTMARS24!H26+TONTAVRIL24!H26+TONTMAI24!H26+TONTJUIN24!H26+TONTJUIL24!H26+TONTAOUT24!H26+TONTSEPT24!H26+TONTOCT24!H26+TONTNOV24!H26+TONTDEC24!H26</f>
        <v>0</v>
      </c>
      <c r="I26" s="7">
        <f>TONTJANV24!I26+TONTFEV24!I26+TONTMARS24!I26+TONTAVRIL24!I26+TONTMAI24!I26+TONTJUIN24!I26+TONTJUIL24!I26+TONTAOUT24!I26+TONTSEPT24!I26+TONTOCT24!I26+TONTNOV24!I26+TONTDEC24!I26</f>
        <v>0</v>
      </c>
      <c r="J26" s="7"/>
      <c r="K26" s="7">
        <f>TONTJANV24!K26+TONTFEV24!K26+TONTMARS24!K26+TONTAVRIL24!K26+TONTMAI24!K26+TONTJUIN24!K26+TONTJUIL24!K26+TONTAOUT24!K26+TONTSEPT24!K26+TONTOCT24!K26+TONTNOV24!K26+TONTDEC24!K26</f>
        <v>0</v>
      </c>
      <c r="L26" s="7">
        <f>TONTJANV24!L26+TONTFEV24!L26+TONTMARS24!L26+TONTAVRIL24!L26+TONTMAI24!L26+TONTJUIN24!L26+TONTJUIL24!L26+TONTAOUT24!L26+TONTSEPT24!L26+TONTOCT24!L26+TONTNOV24!L26+TONTDEC24!L26</f>
        <v>0</v>
      </c>
      <c r="M26" s="7">
        <f>TONTJANV24!M26+TONTFEV24!M26+TONTMARS24!M26+TONTAVRIL24!M26+TONTMAI24!M26+TONTJUIN24!M26+TONTJUIL24!M26+TONTAOUT24!M26+TONTSEPT24!M26+TONTOCT24!M26+TONTNOV24!M26+TONTDEC24!M26</f>
        <v>0</v>
      </c>
      <c r="N26" s="7"/>
      <c r="O26" s="7"/>
      <c r="P26" s="7">
        <f>TONTJANV24!P26+TONTFEV24!P26+TONTMARS24!P26+TONTAVRIL24!P26+TONTMAI24!P26+TONTJUIN24!P26+TONTJUIL24!P26+TONTAOUT24!P26+TONTSEPT24!P26+TONTOCT24!P26+TONTNOV24!P26+TONTDEC24!P26</f>
        <v>0</v>
      </c>
      <c r="Q26" s="7">
        <f>TONTJANV24!Q26+TONTFEV24!Q26+TONTMARS24!Q26+TONTAVRIL24!Q26+TONTMAI24!Q26+TONTJUIN24!Q26+TONTJUIL24!Q26+TONTAOUT24!Q26+TONTSEPT24!Q26+TONTOCT24!Q26+TONTNOV24!Q26+TONTDEC24!Q26</f>
        <v>297500</v>
      </c>
      <c r="R26" s="7">
        <f>TONTJANV24!R26+TONTFEV24!R26+TONTMARS24!R26+TONTAVRIL24!R26+TONTMAI24!R26+TONTJUIN24!R26+TONTJUIL24!R26+TONTAOUT24!R26+TONTSEPT24!R26+TONTOCT24!R26+TONTNOV24!R26+TONTDEC24!R26</f>
        <v>2500</v>
      </c>
      <c r="S26" s="18">
        <v>45566</v>
      </c>
      <c r="T26" s="8">
        <f t="shared" si="0"/>
        <v>7531.25</v>
      </c>
      <c r="U26" s="8">
        <v>7000</v>
      </c>
    </row>
    <row r="27" spans="1:21" ht="17.5" x14ac:dyDescent="0.35">
      <c r="A27" s="1" t="s">
        <v>23</v>
      </c>
      <c r="B27" s="7">
        <f>TONTJANV24!B27+TONTFEV24!B27+TONTMARS24!B27+TONTAVRIL24!B27+TONTMAI24!B27+TONTJUIN24!B27+TONTJUIL24!B27+TONTAOUT24!B27+TONTSEPT24!B27+TONTOCT24!B27+TONTNOV24!B27+TONTDEC24!B27</f>
        <v>12</v>
      </c>
      <c r="C27" s="1" t="str">
        <f>VLOOKUP(A27,[7]LISTADHERENT!A$5:H$60,3,0)</f>
        <v>PATEGO NJOSSU GUSTAVE</v>
      </c>
      <c r="D27" s="7">
        <f>TONTJANV24!D27+TONTFEV24!D27+TONTMARS24!D27+TONTAVRIL24!D27+TONTMAI24!D27+TONTJUIN24!D27+TONTJUIL24!D27+TONTAOUT24!D27+TONTSEPT24!D27+TONTOCT24!D27+TONTNOV24!D27+TONTDEC24!D27</f>
        <v>300000</v>
      </c>
      <c r="E27" s="7">
        <f>TONTJANV24!E27+TONTFEV24!E27+TONTMARS24!E27+TONTAVRIL24!E27+TONTMAI24!E27+TONTJUIN24!E27+TONTJUIL24!E27+TONTAOUT24!E27+TONTSEPT24!E27+TONTOCT24!E27+TONTNOV24!E27+TONTDEC24!E27</f>
        <v>627000</v>
      </c>
      <c r="F27" s="7">
        <f>TONTJANV24!F27+TONTFEV24!F27+TONTMARS24!F27+TONTAVRIL24!F27+TONTMAI24!F27+TONTJUIN24!F27+TONTJUIL24!F27+TONTAOUT24!F27+TONTSEPT24!F27+TONTOCT24!F27+TONTNOV24!F27+TONTDEC24!F27</f>
        <v>0</v>
      </c>
      <c r="G27" s="7"/>
      <c r="H27" s="7">
        <f>TONTJANV24!H27+TONTFEV24!H27+TONTMARS24!H27+TONTAVRIL24!H27+TONTMAI24!H27+TONTJUIN24!H27+TONTJUIL24!H27+TONTAOUT24!H27+TONTSEPT24!H27+TONTOCT24!H27+TONTNOV24!H27+TONTDEC24!H27</f>
        <v>0</v>
      </c>
      <c r="I27" s="7">
        <f>TONTJANV24!I27+TONTFEV24!I27+TONTMARS24!I27+TONTAVRIL24!I27+TONTMAI24!I27+TONTJUIN24!I27+TONTJUIL24!I27+TONTAOUT24!I27+TONTSEPT24!I27+TONTOCT24!I27+TONTNOV24!I27+TONTDEC24!I27</f>
        <v>0</v>
      </c>
      <c r="J27" s="7"/>
      <c r="K27" s="7">
        <f>TONTJANV24!K27+TONTFEV24!K27+TONTMARS24!K27+TONTAVRIL24!K27+TONTMAI24!K27+TONTJUIN24!K27+TONTJUIL24!K27+TONTAOUT24!K27+TONTSEPT24!K27+TONTOCT24!K27+TONTNOV24!K27+TONTDEC24!K27</f>
        <v>0</v>
      </c>
      <c r="L27" s="7">
        <f>TONTJANV24!L27+TONTFEV24!L27+TONTMARS24!L27+TONTAVRIL24!L27+TONTMAI24!L27+TONTJUIN24!L27+TONTJUIL24!L27+TONTAOUT24!L27+TONTSEPT24!L27+TONTOCT24!L27+TONTNOV24!L27+TONTDEC24!L27</f>
        <v>0</v>
      </c>
      <c r="M27" s="7">
        <f>TONTJANV24!M27+TONTFEV24!M27+TONTMARS24!M27+TONTAVRIL24!M27+TONTMAI24!M27+TONTJUIN24!M27+TONTJUIL24!M27+TONTAOUT24!M27+TONTSEPT24!M27+TONTOCT24!M27+TONTNOV24!M27+TONTDEC24!M27</f>
        <v>0</v>
      </c>
      <c r="N27" s="7"/>
      <c r="O27" s="7"/>
      <c r="P27" s="7">
        <f>TONTJANV24!P27+TONTFEV24!P27+TONTMARS24!P27+TONTAVRIL24!P27+TONTMAI24!P27+TONTJUIN24!P27+TONTJUIL24!P27+TONTAOUT24!P27+TONTSEPT24!P27+TONTOCT24!P27+TONTNOV24!P27+TONTDEC24!P27</f>
        <v>0</v>
      </c>
      <c r="Q27" s="7">
        <f>TONTJANV24!Q27+TONTFEV24!Q27+TONTMARS24!Q27+TONTAVRIL24!Q27+TONTMAI24!Q27+TONTJUIN24!Q27+TONTJUIL24!Q27+TONTAOUT24!Q27+TONTSEPT24!Q27+TONTOCT24!Q27+TONTNOV24!Q27+TONTDEC24!Q27</f>
        <v>297500</v>
      </c>
      <c r="R27" s="7">
        <f>TONTJANV24!R27+TONTFEV24!R27+TONTMARS24!R27+TONTAVRIL24!R27+TONTMAI24!R27+TONTJUIN24!R27+TONTJUIL24!R27+TONTAOUT24!R27+TONTSEPT24!R27+TONTOCT24!R27+TONTNOV24!R27+TONTDEC24!R27</f>
        <v>2500</v>
      </c>
      <c r="S27" s="18">
        <v>45505</v>
      </c>
      <c r="T27" s="8">
        <f t="shared" si="0"/>
        <v>7531.25</v>
      </c>
      <c r="U27" s="8">
        <v>7000</v>
      </c>
    </row>
    <row r="28" spans="1:21" ht="17.5" x14ac:dyDescent="0.35">
      <c r="A28" s="1" t="s">
        <v>86</v>
      </c>
      <c r="B28" s="7">
        <f>TONTJANV24!B28+TONTFEV24!B28+TONTMARS24!B28+TONTAVRIL24!B28+TONTMAI24!B28+TONTJUIN24!B28+TONTJUIL24!B28+TONTAOUT24!B28+TONTSEPT24!B28+TONTOCT24!B28+TONTNOV24!B28+TONTDEC24!B28</f>
        <v>12</v>
      </c>
      <c r="C28" s="1" t="str">
        <f>VLOOKUP(A28,[7]LISTADHERENT!A$5:H$60,3,0)</f>
        <v>SEUMO POLYCARPE</v>
      </c>
      <c r="D28" s="7">
        <f>TONTJANV24!D28+TONTFEV24!D28+TONTMARS24!D28+TONTAVRIL24!D28+TONTMAI24!D28+TONTJUIN24!D28+TONTJUIL24!D28+TONTAOUT24!D28+TONTSEPT24!D28+TONTOCT24!D28+TONTNOV24!D28+TONTDEC24!D28</f>
        <v>300000</v>
      </c>
      <c r="E28" s="7">
        <f>TONTJANV24!E28+TONTFEV24!E28+TONTMARS24!E28+TONTAVRIL24!E28+TONTMAI24!E28+TONTJUIN24!E28+TONTJUIL24!E28+TONTAOUT24!E28+TONTSEPT24!E28+TONTOCT24!E28+TONTNOV24!E28+TONTDEC24!E28</f>
        <v>1057500</v>
      </c>
      <c r="F28" s="7">
        <f>TONTJANV24!F28+TONTFEV24!F28+TONTMARS24!F28+TONTAVRIL24!F28+TONTMAI24!F28+TONTJUIN24!F28+TONTJUIL24!F28+TONTAOUT24!F28+TONTSEPT24!F28+TONTOCT24!F28+TONTNOV24!F28+TONTDEC24!F28</f>
        <v>0</v>
      </c>
      <c r="G28" s="7"/>
      <c r="H28" s="7">
        <f>TONTJANV24!H28+TONTFEV24!H28+TONTMARS24!H28+TONTAVRIL24!H28+TONTMAI24!H28+TONTJUIN24!H28+TONTJUIL24!H28+TONTAOUT24!H28+TONTSEPT24!H28+TONTOCT24!H28+TONTNOV24!H28+TONTDEC24!H28</f>
        <v>325500</v>
      </c>
      <c r="I28" s="7">
        <f>TONTJANV24!I28+TONTFEV24!I28+TONTMARS24!I28+TONTAVRIL24!I28+TONTMAI24!I28+TONTJUIN24!I28+TONTJUIL24!I28+TONTAOUT24!I28+TONTSEPT24!I28+TONTOCT24!I28+TONTNOV24!I28+TONTDEC24!I28</f>
        <v>8500</v>
      </c>
      <c r="J28" s="7"/>
      <c r="K28" s="7">
        <f>TONTJANV24!K28+TONTFEV24!K28+TONTMARS24!K28+TONTAVRIL24!K28+TONTMAI24!K28+TONTJUIN24!K28+TONTJUIL24!K28+TONTAOUT24!K28+TONTSEPT24!K28+TONTOCT24!K28+TONTNOV24!K28+TONTDEC24!K28</f>
        <v>0</v>
      </c>
      <c r="L28" s="7">
        <f>TONTJANV24!L28+TONTFEV24!L28+TONTMARS24!L28+TONTAVRIL24!L28+TONTMAI24!L28+TONTJUIN24!L28+TONTJUIL24!L28+TONTAOUT24!L28+TONTSEPT24!L28+TONTOCT24!L28+TONTNOV24!L28+TONTDEC24!L28</f>
        <v>334000</v>
      </c>
      <c r="M28" s="7">
        <f>TONTJANV24!M28+TONTFEV24!M28+TONTMARS24!M28+TONTAVRIL24!M28+TONTMAI24!M28+TONTJUIN24!M28+TONTJUIL24!M28+TONTAOUT24!M28+TONTSEPT24!M28+TONTOCT24!M28+TONTNOV24!M28+TONTDEC24!M28</f>
        <v>334000</v>
      </c>
      <c r="N28" s="7"/>
      <c r="O28" s="7"/>
      <c r="P28" s="7">
        <f>TONTJANV24!P28+TONTFEV24!P28+TONTMARS24!P28+TONTAVRIL24!P28+TONTMAI24!P28+TONTJUIN24!P28+TONTJUIL24!P28+TONTAOUT24!P28+TONTSEPT24!P28+TONTOCT24!P28+TONTNOV24!P28+TONTDEC24!P28</f>
        <v>0</v>
      </c>
      <c r="Q28" s="7">
        <f>TONTJANV24!Q28+TONTFEV24!Q28+TONTMARS24!Q28+TONTAVRIL24!Q28+TONTMAI24!Q28+TONTJUIN24!Q28+TONTJUIL24!Q28+TONTAOUT24!Q28+TONTSEPT24!Q28+TONTOCT24!Q28+TONTNOV24!Q28+TONTDEC24!Q28</f>
        <v>297000</v>
      </c>
      <c r="R28" s="7">
        <f>TONTJANV24!R28+TONTFEV24!R28+TONTMARS24!R28+TONTAVRIL24!R28+TONTMAI24!R28+TONTJUIN24!R28+TONTJUIL24!R28+TONTAOUT24!R28+TONTSEPT24!R28+TONTOCT24!R28+TONTNOV24!R28+TONTDEC24!R28</f>
        <v>3000</v>
      </c>
      <c r="S28" s="18">
        <v>45536</v>
      </c>
      <c r="T28" s="8">
        <f t="shared" si="0"/>
        <v>7531.25</v>
      </c>
      <c r="U28" s="8">
        <v>7000</v>
      </c>
    </row>
    <row r="29" spans="1:21" ht="17.5" x14ac:dyDescent="0.35">
      <c r="A29" s="1" t="s">
        <v>46</v>
      </c>
      <c r="B29" s="7">
        <f>TONTJANV24!B29+TONTFEV24!B29+TONTMARS24!B29+TONTAVRIL24!B29+TONTMAI24!B29+TONTJUIN24!B29+TONTJUIL24!B29+TONTAOUT24!B29+TONTSEPT24!B29+TONTOCT24!B29+TONTNOV24!B29+TONTDEC24!B29</f>
        <v>12</v>
      </c>
      <c r="C29" s="1" t="str">
        <f>VLOOKUP(A29,[7]LISTADHERENT!A$5:H$60,3,0)</f>
        <v>SIME BRICE</v>
      </c>
      <c r="D29" s="7">
        <f>TONTJANV24!D29+TONTFEV24!D29+TONTMARS24!D29+TONTAVRIL24!D29+TONTMAI24!D29+TONTJUIN24!D29+TONTJUIL24!D29+TONTAOUT24!D29+TONTSEPT24!D29+TONTOCT24!D29+TONTNOV24!D29+TONTDEC24!D29</f>
        <v>300000</v>
      </c>
      <c r="E29" s="7">
        <f>TONTJANV24!E29+TONTFEV24!E29+TONTMARS24!E29+TONTAVRIL24!E29+TONTMAI24!E29+TONTJUIN24!E29+TONTJUIL24!E29+TONTAOUT24!E29+TONTSEPT24!E29+TONTOCT24!E29+TONTNOV24!E29+TONTDEC24!E29</f>
        <v>603000</v>
      </c>
      <c r="F29" s="7">
        <f>TONTJANV24!F29+TONTFEV24!F29+TONTMARS24!F29+TONTAVRIL24!F29+TONTMAI24!F29+TONTJUIN24!F29+TONTJUIL24!F29+TONTAOUT24!F29+TONTSEPT24!F29+TONTOCT24!F29+TONTNOV24!F29+TONTDEC24!F29</f>
        <v>0</v>
      </c>
      <c r="G29" s="7"/>
      <c r="H29" s="7">
        <f>TONTJANV24!H29+TONTFEV24!H29+TONTMARS24!H29+TONTAVRIL24!H29+TONTMAI24!H29+TONTJUIN24!H29+TONTJUIL24!H29+TONTAOUT24!H29+TONTSEPT24!H29+TONTOCT24!H29+TONTNOV24!H29+TONTDEC24!H29</f>
        <v>0</v>
      </c>
      <c r="I29" s="7">
        <f>TONTJANV24!I29+TONTFEV24!I29+TONTMARS24!I29+TONTAVRIL24!I29+TONTMAI24!I29+TONTJUIN24!I29+TONTJUIL24!I29+TONTAOUT24!I29+TONTSEPT24!I29+TONTOCT24!I29+TONTNOV24!I29+TONTDEC24!I29</f>
        <v>0</v>
      </c>
      <c r="J29" s="7"/>
      <c r="K29" s="7">
        <f>TONTJANV24!K29+TONTFEV24!K29+TONTMARS24!K29+TONTAVRIL24!K29+TONTMAI24!K29+TONTJUIN24!K29+TONTJUIL24!K29+TONTAOUT24!K29+TONTSEPT24!K29+TONTOCT24!K29+TONTNOV24!K29+TONTDEC24!K29</f>
        <v>0</v>
      </c>
      <c r="L29" s="7">
        <f>TONTJANV24!L29+TONTFEV24!L29+TONTMARS24!L29+TONTAVRIL24!L29+TONTMAI24!L29+TONTJUIN24!L29+TONTJUIL24!L29+TONTAOUT24!L29+TONTSEPT24!L29+TONTOCT24!L29+TONTNOV24!L29+TONTDEC24!L29</f>
        <v>0</v>
      </c>
      <c r="M29" s="7">
        <f>TONTJANV24!M29+TONTFEV24!M29+TONTMARS24!M29+TONTAVRIL24!M29+TONTMAI24!M29+TONTJUIN24!M29+TONTJUIL24!M29+TONTAOUT24!M29+TONTSEPT24!M29+TONTOCT24!M29+TONTNOV24!M29+TONTDEC24!M29</f>
        <v>0</v>
      </c>
      <c r="N29" s="7"/>
      <c r="O29" s="7"/>
      <c r="P29" s="7">
        <f>TONTJANV24!P29+TONTFEV24!P29+TONTMARS24!P29+TONTAVRIL24!P29+TONTMAI24!P29+TONTJUIN24!P29+TONTJUIL24!P29+TONTAOUT24!P29+TONTSEPT24!P29+TONTOCT24!P29+TONTNOV24!P29+TONTDEC24!P29</f>
        <v>0</v>
      </c>
      <c r="Q29" s="7">
        <f>TONTJANV24!Q29+TONTFEV24!Q29+TONTMARS24!Q29+TONTAVRIL24!Q29+TONTMAI24!Q29+TONTJUIN24!Q29+TONTJUIL24!Q29+TONTAOUT24!Q29+TONTSEPT24!Q29+TONTOCT24!Q29+TONTNOV24!Q29+TONTDEC24!Q29</f>
        <v>297000</v>
      </c>
      <c r="R29" s="7">
        <f>TONTJANV24!R29+TONTFEV24!R29+TONTMARS24!R29+TONTAVRIL24!R29+TONTMAI24!R29+TONTJUIN24!R29+TONTJUIL24!R29+TONTAOUT24!R29+TONTSEPT24!R29+TONTOCT24!R29+TONTNOV24!R29+TONTDEC24!R29</f>
        <v>3000</v>
      </c>
      <c r="S29" s="18">
        <v>45444</v>
      </c>
      <c r="T29" s="8">
        <f t="shared" si="0"/>
        <v>7531.25</v>
      </c>
      <c r="U29" s="8">
        <v>7000</v>
      </c>
    </row>
    <row r="30" spans="1:21" ht="17.5" x14ac:dyDescent="0.35">
      <c r="A30" s="1" t="s">
        <v>24</v>
      </c>
      <c r="B30" s="7">
        <f>TONTJANV24!B30+TONTFEV24!B30+TONTMARS24!B30+TONTAVRIL24!B30+TONTMAI24!B30+TONTJUIN24!B30+TONTJUIL24!B30+TONTAOUT24!B30+TONTSEPT24!B30+TONTOCT24!B30+TONTNOV24!B30+TONTDEC24!B30</f>
        <v>12</v>
      </c>
      <c r="C30" s="1" t="str">
        <f>VLOOKUP(A30,[7]LISTADHERENT!A$5:H$60,3,0)</f>
        <v>SIMO PIERRE</v>
      </c>
      <c r="D30" s="7">
        <f>TONTJANV24!D30+TONTFEV24!D30+TONTMARS24!D30+TONTAVRIL24!D30+TONTMAI24!D30+TONTJUIN24!D30+TONTJUIL24!D30+TONTAOUT24!D30+TONTSEPT24!D30+TONTOCT24!D30+TONTNOV24!D30+TONTDEC24!D30</f>
        <v>300000</v>
      </c>
      <c r="E30" s="7">
        <f>TONTJANV24!E30+TONTFEV24!E30+TONTMARS24!E30+TONTAVRIL24!E30+TONTMAI24!E30+TONTJUIN24!E30+TONTJUIL24!E30+TONTAOUT24!E30+TONTSEPT24!E30+TONTOCT24!E30+TONTNOV24!E30+TONTDEC24!E30</f>
        <v>600000</v>
      </c>
      <c r="F30" s="7">
        <f>TONTJANV24!F30+TONTFEV24!F30+TONTMARS24!F30+TONTAVRIL24!F30+TONTMAI24!F30+TONTJUIN24!F30+TONTJUIL24!F30+TONTAOUT24!F30+TONTSEPT24!F30+TONTOCT24!F30+TONTNOV24!F30+TONTDEC24!F30</f>
        <v>0</v>
      </c>
      <c r="G30" s="7"/>
      <c r="H30" s="7">
        <f>TONTJANV24!H30+TONTFEV24!H30+TONTMARS24!H30+TONTAVRIL24!H30+TONTMAI24!H30+TONTJUIN24!H30+TONTJUIL24!H30+TONTAOUT24!H30+TONTSEPT24!H30+TONTOCT24!H30+TONTNOV24!H30+TONTDEC24!H30</f>
        <v>29500</v>
      </c>
      <c r="I30" s="7">
        <f>TONTJANV24!I30+TONTFEV24!I30+TONTMARS24!I30+TONTAVRIL24!I30+TONTMAI24!I30+TONTJUIN24!I30+TONTJUIL24!I30+TONTAOUT24!I30+TONTSEPT24!I30+TONTOCT24!I30+TONTNOV24!I30+TONTDEC24!I30</f>
        <v>500</v>
      </c>
      <c r="J30" s="7"/>
      <c r="K30" s="7">
        <f>TONTJANV24!K30+TONTFEV24!K30+TONTMARS24!K30+TONTAVRIL24!K30+TONTMAI24!K30+TONTJUIN24!K30+TONTJUIL24!K30+TONTAOUT24!K30+TONTSEPT24!K30+TONTOCT24!K30+TONTNOV24!K30+TONTDEC24!K30</f>
        <v>0</v>
      </c>
      <c r="L30" s="7">
        <f>TONTJANV24!L30+TONTFEV24!L30+TONTMARS24!L30+TONTAVRIL24!L30+TONTMAI24!L30+TONTJUIN24!L30+TONTJUIL24!L30+TONTAOUT24!L30+TONTSEPT24!L30+TONTOCT24!L30+TONTNOV24!L30+TONTDEC24!L30</f>
        <v>30000</v>
      </c>
      <c r="M30" s="7">
        <f>TONTJANV24!M30+TONTFEV24!M30+TONTMARS24!M30+TONTAVRIL24!M30+TONTMAI24!M30+TONTJUIN24!M30+TONTJUIL24!M30+TONTAOUT24!M30+TONTSEPT24!M30+TONTOCT24!M30+TONTNOV24!M30+TONTDEC24!M30</f>
        <v>30000</v>
      </c>
      <c r="N30" s="7"/>
      <c r="O30" s="7"/>
      <c r="P30" s="7">
        <f>TONTJANV24!P30+TONTFEV24!P30+TONTMARS24!P30+TONTAVRIL24!P30+TONTMAI24!P30+TONTJUIN24!P30+TONTJUIL24!P30+TONTAOUT24!P30+TONTSEPT24!P30+TONTOCT24!P30+TONTNOV24!P30+TONTDEC24!P30</f>
        <v>0</v>
      </c>
      <c r="Q30" s="7">
        <f>TONTJANV24!Q30+TONTFEV24!Q30+TONTMARS24!Q30+TONTAVRIL24!Q30+TONTMAI24!Q30+TONTJUIN24!Q30+TONTJUIL24!Q30+TONTAOUT24!Q30+TONTSEPT24!Q30+TONTOCT24!Q30+TONTNOV24!Q30+TONTDEC24!Q30</f>
        <v>296500</v>
      </c>
      <c r="R30" s="7">
        <f>TONTJANV24!R30+TONTFEV24!R30+TONTMARS24!R30+TONTAVRIL24!R30+TONTMAI24!R30+TONTJUIN24!R30+TONTJUIL24!R30+TONTAOUT24!R30+TONTSEPT24!R30+TONTOCT24!R30+TONTNOV24!R30+TONTDEC24!R30</f>
        <v>3500</v>
      </c>
      <c r="S30" s="18">
        <v>45413</v>
      </c>
      <c r="T30" s="8">
        <f t="shared" si="0"/>
        <v>7531.25</v>
      </c>
      <c r="U30" s="8">
        <v>7000</v>
      </c>
    </row>
    <row r="31" spans="1:21" ht="17.5" x14ac:dyDescent="0.35">
      <c r="A31" s="1" t="s">
        <v>26</v>
      </c>
      <c r="B31" s="7">
        <f>TONTJANV24!B31+TONTFEV24!B31+TONTMARS24!B31+TONTAVRIL24!B31+TONTMAI24!B31+TONTJUIN24!B31+TONTJUIL24!B31+TONTAOUT24!B31+TONTSEPT24!B31+TONTOCT24!B31+TONTNOV24!B31+TONTDEC24!B31</f>
        <v>12</v>
      </c>
      <c r="C31" s="1" t="str">
        <f>VLOOKUP(A31,[7]LISTADHERENT!A$5:H$60,3,0)</f>
        <v>TCHOUAMOU MATHIEU</v>
      </c>
      <c r="D31" s="7">
        <f>TONTJANV24!D31+TONTFEV24!D31+TONTMARS24!D31+TONTAVRIL24!D31+TONTMAI24!D31+TONTJUIN24!D31+TONTJUIL24!D31+TONTAOUT24!D31+TONTSEPT24!D31+TONTOCT24!D31+TONTNOV24!D31+TONTDEC24!D31</f>
        <v>300000</v>
      </c>
      <c r="E31" s="7">
        <f>TONTJANV24!E31+TONTFEV24!E31+TONTMARS24!E31+TONTAVRIL24!E31+TONTMAI24!E31+TONTJUIN24!E31+TONTJUIL24!E31+TONTAOUT24!E31+TONTSEPT24!E31+TONTOCT24!E31+TONTNOV24!E31+TONTDEC24!E31</f>
        <v>1600000</v>
      </c>
      <c r="F31" s="7">
        <f>TONTJANV24!F31+TONTFEV24!F31+TONTMARS24!F31+TONTAVRIL24!F31+TONTMAI24!F31+TONTJUIN24!F31+TONTJUIL24!F31+TONTAOUT24!F31+TONTSEPT24!F31+TONTOCT24!F31+TONTNOV24!F31+TONTDEC24!F31</f>
        <v>0</v>
      </c>
      <c r="G31" s="7"/>
      <c r="H31" s="7">
        <f>TONTJANV24!H31+TONTFEV24!H31+TONTMARS24!H31+TONTAVRIL24!H31+TONTMAI24!H31+TONTJUIN24!H31+TONTJUIL24!H31+TONTAOUT24!H31+TONTSEPT24!H31+TONTOCT24!H31+TONTNOV24!H31+TONTDEC24!H31</f>
        <v>0</v>
      </c>
      <c r="I31" s="7">
        <f>TONTJANV24!I31+TONTFEV24!I31+TONTMARS24!I31+TONTAVRIL24!I31+TONTMAI24!I31+TONTJUIN24!I31+TONTJUIL24!I31+TONTAOUT24!I31+TONTSEPT24!I31+TONTOCT24!I31+TONTNOV24!I31+TONTDEC24!I31</f>
        <v>0</v>
      </c>
      <c r="J31" s="7"/>
      <c r="K31" s="7">
        <f>TONTJANV24!K31+TONTFEV24!K31+TONTMARS24!K31+TONTAVRIL24!K31+TONTMAI24!K31+TONTJUIN24!K31+TONTJUIL24!K31+TONTAOUT24!K31+TONTSEPT24!K31+TONTOCT24!K31+TONTNOV24!K31+TONTDEC24!K31</f>
        <v>0</v>
      </c>
      <c r="L31" s="7">
        <f>TONTJANV24!L31+TONTFEV24!L31+TONTMARS24!L31+TONTAVRIL24!L31+TONTMAI24!L31+TONTJUIN24!L31+TONTJUIL24!L31+TONTAOUT24!L31+TONTSEPT24!L31+TONTOCT24!L31+TONTNOV24!L31+TONTDEC24!L31</f>
        <v>0</v>
      </c>
      <c r="M31" s="7">
        <f>TONTJANV24!M31+TONTFEV24!M31+TONTMARS24!M31+TONTAVRIL24!M31+TONTMAI24!M31+TONTJUIN24!M31+TONTJUIL24!M31+TONTAOUT24!M31+TONTSEPT24!M31+TONTOCT24!M31+TONTNOV24!M31+TONTDEC24!M31</f>
        <v>0</v>
      </c>
      <c r="N31" s="7"/>
      <c r="O31" s="7"/>
      <c r="P31" s="7">
        <f>TONTJANV24!P31+TONTFEV24!P31+TONTMARS24!P31+TONTAVRIL24!P31+TONTMAI24!P31+TONTJUIN24!P31+TONTJUIL24!P31+TONTAOUT24!P31+TONTSEPT24!P31+TONTOCT24!P31+TONTNOV24!P31+TONTDEC24!P31</f>
        <v>0</v>
      </c>
      <c r="Q31" s="7">
        <f>TONTJANV24!Q31+TONTFEV24!Q31+TONTMARS24!Q31+TONTAVRIL24!Q31+TONTMAI24!Q31+TONTJUIN24!Q31+TONTJUIL24!Q31+TONTAOUT24!Q31+TONTSEPT24!Q31+TONTOCT24!Q31+TONTNOV24!Q31+TONTDEC24!Q31</f>
        <v>289500</v>
      </c>
      <c r="R31" s="7">
        <f>TONTJANV24!R31+TONTFEV24!R31+TONTMARS24!R31+TONTAVRIL24!R31+TONTMAI24!R31+TONTJUIN24!R31+TONTJUIL24!R31+TONTAOUT24!R31+TONTSEPT24!R31+TONTOCT24!R31+TONTNOV24!R31+TONTDEC24!R31</f>
        <v>10500</v>
      </c>
      <c r="S31" s="18">
        <v>45383</v>
      </c>
      <c r="T31" s="8">
        <f t="shared" si="0"/>
        <v>7531.25</v>
      </c>
      <c r="U31" s="8">
        <v>7000</v>
      </c>
    </row>
    <row r="32" spans="1:21" ht="17.5" x14ac:dyDescent="0.35">
      <c r="A32" s="1" t="s">
        <v>95</v>
      </c>
      <c r="B32" s="7">
        <f>TONTJANV24!B32+TONTFEV24!B32+TONTMARS24!B32+TONTAVRIL24!B32+TONTMAI24!B32+TONTJUIN24!B32+TONTJUIL24!B32+TONTAOUT24!B32+TONTSEPT24!B32+TONTOCT24!B32+TONTNOV24!B32+TONTDEC24!B32</f>
        <v>12</v>
      </c>
      <c r="C32" s="1" t="str">
        <f>VLOOKUP(A32,[7]LISTADHERENT!A$5:H$60,3,0)</f>
        <v>TCHOUATEU AUGUSTIN</v>
      </c>
      <c r="D32" s="7">
        <f>TONTJANV24!D32+TONTFEV24!D32+TONTMARS24!D32+TONTAVRIL24!D32+TONTMAI24!D32+TONTJUIN24!D32+TONTJUIL24!D32+TONTAOUT24!D32+TONTSEPT24!D32+TONTOCT24!D32+TONTNOV24!D32+TONTDEC24!D32</f>
        <v>300000</v>
      </c>
      <c r="E32" s="7">
        <f>TONTJANV24!E32+TONTFEV24!E32+TONTMARS24!E32+TONTAVRIL24!E32+TONTMAI24!E32+TONTJUIN24!E32+TONTJUIL24!E32+TONTAOUT24!E32+TONTSEPT24!E32+TONTOCT24!E32+TONTNOV24!E32+TONTDEC24!E32</f>
        <v>1344000</v>
      </c>
      <c r="F32" s="7">
        <f>TONTJANV24!F32+TONTFEV24!F32+TONTMARS24!F32+TONTAVRIL24!F32+TONTMAI24!F32+TONTJUIN24!F32+TONTJUIL24!F32+TONTAOUT24!F32+TONTSEPT24!F32+TONTOCT24!F32+TONTNOV24!F32+TONTDEC24!F32</f>
        <v>0</v>
      </c>
      <c r="G32" s="7"/>
      <c r="H32" s="7">
        <f>TONTJANV24!H32+TONTFEV24!H32+TONTMARS24!H32+TONTAVRIL24!H32+TONTMAI24!H32+TONTJUIN24!H32+TONTJUIL24!H32+TONTAOUT24!H32+TONTSEPT24!H32+TONTOCT24!H32+TONTNOV24!H32+TONTDEC24!H32</f>
        <v>0</v>
      </c>
      <c r="I32" s="7">
        <f>TONTJANV24!I32+TONTFEV24!I32+TONTMARS24!I32+TONTAVRIL24!I32+TONTMAI24!I32+TONTJUIN24!I32+TONTJUIL24!I32+TONTAOUT24!I32+TONTSEPT24!I32+TONTOCT24!I32+TONTNOV24!I32+TONTDEC24!I32</f>
        <v>0</v>
      </c>
      <c r="J32" s="7"/>
      <c r="K32" s="7">
        <f>TONTJANV24!K32+TONTFEV24!K32+TONTMARS24!K32+TONTAVRIL24!K32+TONTMAI24!K32+TONTJUIN24!K32+TONTJUIL24!K32+TONTAOUT24!K32+TONTSEPT24!K32+TONTOCT24!K32+TONTNOV24!K32+TONTDEC24!K32</f>
        <v>0</v>
      </c>
      <c r="L32" s="7">
        <f>TONTJANV24!L32+TONTFEV24!L32+TONTMARS24!L32+TONTAVRIL24!L32+TONTMAI24!L32+TONTJUIN24!L32+TONTJUIL24!L32+TONTAOUT24!L32+TONTSEPT24!L32+TONTOCT24!L32+TONTNOV24!L32+TONTDEC24!L32</f>
        <v>0</v>
      </c>
      <c r="M32" s="7">
        <f>TONTJANV24!M32+TONTFEV24!M32+TONTMARS24!M32+TONTAVRIL24!M32+TONTMAI24!M32+TONTJUIN24!M32+TONTJUIL24!M32+TONTAOUT24!M32+TONTSEPT24!M32+TONTOCT24!M32+TONTNOV24!M32+TONTDEC24!M32</f>
        <v>0</v>
      </c>
      <c r="N32" s="7"/>
      <c r="O32" s="7"/>
      <c r="P32" s="7">
        <f>TONTJANV24!P32+TONTFEV24!P32+TONTMARS24!P32+TONTAVRIL24!P32+TONTMAI24!P32+TONTJUIN24!P32+TONTJUIL24!P32+TONTAOUT24!P32+TONTSEPT24!P32+TONTOCT24!P32+TONTNOV24!P32+TONTDEC24!P32</f>
        <v>0</v>
      </c>
      <c r="Q32" s="7">
        <f>TONTJANV24!Q32+TONTFEV24!Q32+TONTMARS24!Q32+TONTAVRIL24!Q32+TONTMAI24!Q32+TONTJUIN24!Q32+TONTJUIL24!Q32+TONTAOUT24!Q32+TONTSEPT24!Q32+TONTOCT24!Q32+TONTNOV24!Q32+TONTDEC24!Q32</f>
        <v>294000</v>
      </c>
      <c r="R32" s="7">
        <f>TONTJANV24!R32+TONTFEV24!R32+TONTMARS24!R32+TONTAVRIL24!R32+TONTMAI24!R32+TONTJUIN24!R32+TONTJUIL24!R32+TONTAOUT24!R32+TONTSEPT24!R32+TONTOCT24!R32+TONTNOV24!R32+TONTDEC24!R32</f>
        <v>6000</v>
      </c>
      <c r="S32" s="18">
        <v>45536</v>
      </c>
      <c r="T32" s="8">
        <f t="shared" si="0"/>
        <v>7531.25</v>
      </c>
      <c r="U32" s="8">
        <v>7000</v>
      </c>
    </row>
    <row r="33" spans="1:23" ht="17.5" x14ac:dyDescent="0.35">
      <c r="A33" s="1" t="s">
        <v>87</v>
      </c>
      <c r="B33" s="7">
        <f>TONTJANV24!B33+TONTFEV24!B33+TONTMARS24!B33+TONTAVRIL24!B33+TONTMAI24!B33+TONTJUIN24!B33+TONTJUIL24!B33+TONTAOUT24!B33+TONTSEPT24!B33+TONTOCT24!B33+TONTNOV24!B33+TONTDEC24!B33</f>
        <v>11</v>
      </c>
      <c r="C33" s="1" t="str">
        <f>VLOOKUP(A33,[7]LISTADHERENT!A$5:H$60,3,0)</f>
        <v>TCHOUTOU NANA CLAUDE</v>
      </c>
      <c r="D33" s="7">
        <f>TONTJANV24!D33+TONTFEV24!D33+TONTMARS24!D33+TONTAVRIL24!D33+TONTMAI24!D33+TONTJUIN24!D33+TONTJUIL24!D33+TONTAOUT24!D33+TONTSEPT24!D33+TONTOCT24!D33+TONTNOV24!D33+TONTDEC24!D33</f>
        <v>300000</v>
      </c>
      <c r="E33" s="7">
        <f>TONTJANV24!E33+TONTFEV24!E33+TONTMARS24!E33+TONTAVRIL24!E33+TONTMAI24!E33+TONTJUIN24!E33+TONTJUIL24!E33+TONTAOUT24!E33+TONTSEPT24!E33+TONTOCT24!E33+TONTNOV24!E33+TONTDEC24!E33</f>
        <v>903750</v>
      </c>
      <c r="F33" s="7">
        <f>TONTJANV24!F33+TONTFEV24!F33+TONTMARS24!F33+TONTAVRIL24!F33+TONTMAI24!F33+TONTJUIN24!F33+TONTJUIL24!F33+TONTAOUT24!F33+TONTSEPT24!F33+TONTOCT24!F33+TONTNOV24!F33+TONTDEC24!F33</f>
        <v>3000</v>
      </c>
      <c r="G33" s="7"/>
      <c r="H33" s="7">
        <f>TONTJANV24!H33+TONTFEV24!H33+TONTMARS24!H33+TONTAVRIL24!H33+TONTMAI24!H33+TONTJUIN24!H33+TONTJUIL24!H33+TONTAOUT24!H33+TONTSEPT24!H33+TONTOCT24!H33+TONTNOV24!H33+TONTDEC24!H33</f>
        <v>0</v>
      </c>
      <c r="I33" s="7">
        <f>TONTJANV24!I33+TONTFEV24!I33+TONTMARS24!I33+TONTAVRIL24!I33+TONTMAI24!I33+TONTJUIN24!I33+TONTJUIL24!I33+TONTAOUT24!I33+TONTSEPT24!I33+TONTOCT24!I33+TONTNOV24!I33+TONTDEC24!I33</f>
        <v>0</v>
      </c>
      <c r="J33" s="7"/>
      <c r="K33" s="7">
        <f>TONTJANV24!K33+TONTFEV24!K33+TONTMARS24!K33+TONTAVRIL24!K33+TONTMAI24!K33+TONTJUIN24!K33+TONTJUIL24!K33+TONTAOUT24!K33+TONTSEPT24!K33+TONTOCT24!K33+TONTNOV24!K33+TONTDEC24!K33</f>
        <v>0</v>
      </c>
      <c r="L33" s="7">
        <f>TONTJANV24!L33+TONTFEV24!L33+TONTMARS24!L33+TONTAVRIL24!L33+TONTMAI24!L33+TONTJUIN24!L33+TONTJUIL24!L33+TONTAOUT24!L33+TONTSEPT24!L33+TONTOCT24!L33+TONTNOV24!L33+TONTDEC24!L33</f>
        <v>0</v>
      </c>
      <c r="M33" s="7">
        <f>TONTJANV24!M33+TONTFEV24!M33+TONTMARS24!M33+TONTAVRIL24!M33+TONTMAI24!M33+TONTJUIN24!M33+TONTJUIL24!M33+TONTAOUT24!M33+TONTSEPT24!M33+TONTOCT24!M33+TONTNOV24!M33+TONTDEC24!M33</f>
        <v>0</v>
      </c>
      <c r="N33" s="7"/>
      <c r="O33" s="7"/>
      <c r="P33" s="7">
        <f>TONTJANV24!P33+TONTFEV24!P33+TONTMARS24!P33+TONTAVRIL24!P33+TONTMAI24!P33+TONTJUIN24!P33+TONTJUIL24!P33+TONTAOUT24!P33+TONTSEPT24!P33+TONTOCT24!P33+TONTNOV24!P33+TONTDEC24!P33</f>
        <v>0</v>
      </c>
      <c r="Q33" s="7">
        <f>TONTJANV24!Q33+TONTFEV24!Q33+TONTMARS24!Q33+TONTAVRIL24!Q33+TONTMAI24!Q33+TONTJUIN24!Q33+TONTJUIL24!Q33+TONTAOUT24!Q33+TONTSEPT24!Q33+TONTOCT24!Q33+TONTNOV24!Q33+TONTDEC24!Q33</f>
        <v>297500</v>
      </c>
      <c r="R33" s="7">
        <f>TONTJANV24!R33+TONTFEV24!R33+TONTMARS24!R33+TONTAVRIL24!R33+TONTMAI24!R33+TONTJUIN24!R33+TONTJUIL24!R33+TONTAOUT24!R33+TONTSEPT24!R33+TONTOCT24!R33+TONTNOV24!R33+TONTDEC24!R33</f>
        <v>2500</v>
      </c>
      <c r="S33" s="18"/>
      <c r="T33" s="8">
        <f t="shared" si="0"/>
        <v>7531.25</v>
      </c>
      <c r="U33" s="8">
        <v>7000</v>
      </c>
    </row>
    <row r="34" spans="1:23" ht="17.5" x14ac:dyDescent="0.35">
      <c r="A34" s="17" t="s">
        <v>89</v>
      </c>
      <c r="B34" s="7">
        <f>TONTJANV24!B34+TONTFEV24!B34+TONTMARS24!B34+TONTAVRIL24!B34+TONTMAI24!B34+TONTJUIN24!B34+TONTJUIL24!B34+TONTAOUT24!B34+TONTSEPT24!B34+TONTOCT24!B34+TONTNOV24!B34+TONTDEC24!B34</f>
        <v>12</v>
      </c>
      <c r="C34" s="1" t="str">
        <f>VLOOKUP(A34,[7]LISTADHERENT!A$5:H$60,3,0)</f>
        <v>YANTCHOU GERVAIS</v>
      </c>
      <c r="D34" s="7">
        <f>TONTJANV24!D34+TONTFEV24!D34+TONTMARS24!D34+TONTAVRIL24!D34+TONTMAI24!D34+TONTJUIN24!D34+TONTJUIL24!D34+TONTAOUT24!D34+TONTSEPT24!D34+TONTOCT24!D34+TONTNOV24!D34+TONTDEC24!D34</f>
        <v>300000</v>
      </c>
      <c r="E34" s="7">
        <f>TONTJANV24!E34+TONTFEV24!E34+TONTMARS24!E34+TONTAVRIL24!E34+TONTMAI24!E34+TONTJUIN24!E34+TONTJUIL24!E34+TONTAOUT24!E34+TONTSEPT24!E34+TONTOCT24!E34+TONTNOV24!E34+TONTDEC24!E34</f>
        <v>710000</v>
      </c>
      <c r="F34" s="7">
        <f>TONTJANV24!F34+TONTFEV24!F34+TONTMARS24!F34+TONTAVRIL24!F34+TONTMAI24!F34+TONTJUIN24!F34+TONTJUIL24!F34+TONTAOUT24!F34+TONTSEPT24!F34+TONTOCT24!F34+TONTNOV24!F34+TONTDEC24!F34</f>
        <v>0</v>
      </c>
      <c r="G34" s="7"/>
      <c r="H34" s="7">
        <f>TONTJANV24!H34+TONTFEV24!H34+TONTMARS24!H34+TONTAVRIL24!H34+TONTMAI24!H34+TONTJUIN24!H34+TONTJUIL24!H34+TONTAOUT24!H34+TONTSEPT24!H34+TONTOCT24!H34+TONTNOV24!H34+TONTDEC24!H34</f>
        <v>0</v>
      </c>
      <c r="I34" s="7">
        <f>TONTJANV24!I34+TONTFEV24!I34+TONTMARS24!I34+TONTAVRIL24!I34+TONTMAI24!I34+TONTJUIN24!I34+TONTJUIL24!I34+TONTAOUT24!I34+TONTSEPT24!I34+TONTOCT24!I34+TONTNOV24!I34+TONTDEC24!I34</f>
        <v>0</v>
      </c>
      <c r="J34" s="7"/>
      <c r="K34" s="7">
        <f>TONTJANV24!K34+TONTFEV24!K34+TONTMARS24!K34+TONTAVRIL24!K34+TONTMAI24!K34+TONTJUIN24!K34+TONTJUIL24!K34+TONTAOUT24!K34+TONTSEPT24!K34+TONTOCT24!K34+TONTNOV24!K34+TONTDEC24!K34</f>
        <v>0</v>
      </c>
      <c r="L34" s="7">
        <f>TONTJANV24!L34+TONTFEV24!L34+TONTMARS24!L34+TONTAVRIL24!L34+TONTMAI24!L34+TONTJUIN24!L34+TONTJUIL24!L34+TONTAOUT24!L34+TONTSEPT24!L34+TONTOCT24!L34+TONTNOV24!L34+TONTDEC24!L34</f>
        <v>0</v>
      </c>
      <c r="M34" s="7">
        <f>TONTJANV24!M34+TONTFEV24!M34+TONTMARS24!M34+TONTAVRIL24!M34+TONTMAI24!M34+TONTJUIN24!M34+TONTJUIL24!M34+TONTAOUT24!M34+TONTSEPT24!M34+TONTOCT24!M34+TONTNOV24!M34+TONTDEC24!M34</f>
        <v>0</v>
      </c>
      <c r="N34" s="7"/>
      <c r="O34" s="7"/>
      <c r="P34" s="7">
        <f>TONTJANV24!P34+TONTFEV24!P34+TONTMARS24!P34+TONTAVRIL24!P34+TONTMAI24!P34+TONTJUIN24!P34+TONTJUIL24!P34+TONTAOUT24!P34+TONTSEPT24!P34+TONTOCT24!P34+TONTNOV24!P34+TONTDEC24!P34</f>
        <v>0</v>
      </c>
      <c r="Q34" s="7">
        <f>TONTJANV24!Q34+TONTFEV24!Q34+TONTMARS24!Q34+TONTAVRIL24!Q34+TONTMAI24!Q34+TONTJUIN24!Q34+TONTJUIL24!Q34+TONTAOUT24!Q34+TONTSEPT24!Q34+TONTOCT24!Q34+TONTNOV24!Q34+TONTDEC24!Q34</f>
        <v>297500</v>
      </c>
      <c r="R34" s="7">
        <f>TONTJANV24!R34+TONTFEV24!R34+TONTMARS24!R34+TONTAVRIL24!R34+TONTMAI24!R34+TONTJUIN24!R34+TONTJUIL24!R34+TONTAOUT24!R34+TONTSEPT24!R34+TONTOCT24!R34+TONTNOV24!R34+TONTDEC24!R34</f>
        <v>2500</v>
      </c>
      <c r="S34" s="18">
        <v>45597</v>
      </c>
      <c r="T34" s="8">
        <f t="shared" si="0"/>
        <v>7531.25</v>
      </c>
      <c r="U34" s="8">
        <v>7000</v>
      </c>
    </row>
    <row r="35" spans="1:23" ht="17.5" x14ac:dyDescent="0.35">
      <c r="A35" s="1" t="s">
        <v>27</v>
      </c>
      <c r="B35" s="7">
        <f>TONTJANV24!B35+TONTFEV24!B35+TONTMARS24!B35+TONTAVRIL24!B35+TONTMAI24!B35+TONTJUIN24!B35+TONTJUIL24!B35+TONTAOUT24!B35+TONTSEPT24!B35+TONTOCT24!B35+TONTNOV24!B35+TONTDEC24!B35</f>
        <v>12</v>
      </c>
      <c r="C35" s="1" t="str">
        <f>VLOOKUP(A35,[7]LISTADHERENT!A$5:H$60,3,0)</f>
        <v>YEPMOU JEAN JACQUES</v>
      </c>
      <c r="D35" s="7">
        <f>TONTJANV24!D35+TONTFEV24!D35+TONTMARS24!D35+TONTAVRIL24!D35+TONTMAI24!D35+TONTJUIN24!D35+TONTJUIL24!D35+TONTAOUT24!D35+TONTSEPT24!D35+TONTOCT24!D35+TONTNOV24!D35+TONTDEC24!D35</f>
        <v>300000</v>
      </c>
      <c r="E35" s="7">
        <f>TONTJANV24!E35+TONTFEV24!E35+TONTMARS24!E35+TONTAVRIL24!E35+TONTMAI24!E35+TONTJUIN24!E35+TONTJUIL24!E35+TONTAOUT24!E35+TONTSEPT24!E35+TONTOCT24!E35+TONTNOV24!E35+TONTDEC24!E35</f>
        <v>603000</v>
      </c>
      <c r="F35" s="7">
        <f>TONTJANV24!F35+TONTFEV24!F35+TONTMARS24!F35+TONTAVRIL24!F35+TONTMAI24!F35+TONTJUIN24!F35+TONTJUIL24!F35+TONTAOUT24!F35+TONTSEPT24!F35+TONTOCT24!F35+TONTNOV24!F35+TONTDEC24!F35</f>
        <v>3000</v>
      </c>
      <c r="G35" s="7"/>
      <c r="H35" s="7">
        <f>TONTJANV24!H35+TONTFEV24!H35+TONTMARS24!H35+TONTAVRIL24!H35+TONTMAI24!H35+TONTJUIN24!H35+TONTJUIL24!H35+TONTAOUT24!H35+TONTSEPT24!H35+TONTOCT24!H35+TONTNOV24!H35+TONTDEC24!H35</f>
        <v>0</v>
      </c>
      <c r="I35" s="7">
        <f>TONTJANV24!I35+TONTFEV24!I35+TONTMARS24!I35+TONTAVRIL24!I35+TONTMAI24!I35+TONTJUIN24!I35+TONTJUIL24!I35+TONTAOUT24!I35+TONTSEPT24!I35+TONTOCT24!I35+TONTNOV24!I35+TONTDEC24!I35</f>
        <v>0</v>
      </c>
      <c r="J35" s="7"/>
      <c r="K35" s="7">
        <f>TONTJANV24!K35+TONTFEV24!K35+TONTMARS24!K35+TONTAVRIL24!K35+TONTMAI24!K35+TONTJUIN24!K35+TONTJUIL24!K35+TONTAOUT24!K35+TONTSEPT24!K35+TONTOCT24!K35+TONTNOV24!K35+TONTDEC24!K35</f>
        <v>0</v>
      </c>
      <c r="L35" s="7">
        <f>TONTJANV24!L35+TONTFEV24!L35+TONTMARS24!L35+TONTAVRIL24!L35+TONTMAI24!L35+TONTJUIN24!L35+TONTJUIL24!L35+TONTAOUT24!L35+TONTSEPT24!L35+TONTOCT24!L35+TONTNOV24!L35+TONTDEC24!L35</f>
        <v>0</v>
      </c>
      <c r="M35" s="7">
        <f>TONTJANV24!M35+TONTFEV24!M35+TONTMARS24!M35+TONTAVRIL24!M35+TONTMAI24!M35+TONTJUIN24!M35+TONTJUIL24!M35+TONTAOUT24!M35+TONTSEPT24!M35+TONTOCT24!M35+TONTNOV24!M35+TONTDEC24!M35</f>
        <v>0</v>
      </c>
      <c r="N35" s="7"/>
      <c r="O35" s="7"/>
      <c r="P35" s="7">
        <f>TONTJANV24!P35+TONTFEV24!P35+TONTMARS24!P35+TONTAVRIL24!P35+TONTMAI24!P35+TONTJUIN24!P35+TONTJUIL24!P35+TONTAOUT24!P35+TONTSEPT24!P35+TONTOCT24!P35+TONTNOV24!P35+TONTDEC24!P35</f>
        <v>0</v>
      </c>
      <c r="Q35" s="7">
        <f>TONTJANV24!Q35+TONTFEV24!Q35+TONTMARS24!Q35+TONTAVRIL24!Q35+TONTMAI24!Q35+TONTJUIN24!Q35+TONTJUIL24!Q35+TONTAOUT24!Q35+TONTSEPT24!Q35+TONTOCT24!Q35+TONTNOV24!Q35+TONTDEC24!Q35</f>
        <v>297500</v>
      </c>
      <c r="R35" s="7">
        <f>TONTJANV24!R35+TONTFEV24!R35+TONTMARS24!R35+TONTAVRIL24!R35+TONTMAI24!R35+TONTJUIN24!R35+TONTJUIL24!R35+TONTAOUT24!R35+TONTSEPT24!R35+TONTOCT24!R35+TONTNOV24!R35+TONTDEC24!R35</f>
        <v>2500</v>
      </c>
      <c r="S35" s="18"/>
      <c r="T35" s="8">
        <f t="shared" si="0"/>
        <v>7531.25</v>
      </c>
      <c r="U35" s="8">
        <v>7000</v>
      </c>
    </row>
    <row r="36" spans="1:23" ht="17.5" x14ac:dyDescent="0.35">
      <c r="A36" s="1" t="s">
        <v>94</v>
      </c>
      <c r="B36" s="7">
        <f>TONTJANV24!B36+TONTFEV24!B36+TONTMARS24!B36+TONTAVRIL24!B36+TONTMAI24!B36+TONTJUIN24!B36+TONTJUIL24!B36+TONTAOUT24!B36+TONTSEPT24!B36+TONTOCT24!B36+TONTNOV24!B36+TONTDEC24!B36</f>
        <v>12</v>
      </c>
      <c r="C36" s="1" t="str">
        <f>VLOOKUP(A36,[7]LISTADHERENT!A$5:H$60,3,0)</f>
        <v>YIALA ALAIN OSCAR</v>
      </c>
      <c r="D36" s="7">
        <f>TONTJANV24!D36+TONTFEV24!D36+TONTMARS24!D36+TONTAVRIL24!D36+TONTMAI24!D36+TONTJUIN24!D36+TONTJUIL24!D36+TONTAOUT24!D36+TONTSEPT24!D36+TONTOCT24!D36+TONTNOV24!D36+TONTDEC24!D36</f>
        <v>300000</v>
      </c>
      <c r="E36" s="7">
        <f>TONTJANV24!E36+TONTFEV24!E36+TONTMARS24!E36+TONTAVRIL24!E36+TONTMAI24!E36+TONTJUIN24!E36+TONTJUIL24!E36+TONTAOUT24!E36+TONTSEPT24!E36+TONTOCT24!E36+TONTNOV24!E36+TONTDEC24!E36</f>
        <v>1318000</v>
      </c>
      <c r="F36" s="7">
        <f>TONTJANV24!F36+TONTFEV24!F36+TONTMARS24!F36+TONTAVRIL24!F36+TONTMAI24!F36+TONTJUIN24!F36+TONTJUIL24!F36+TONTAOUT24!F36+TONTSEPT24!F36+TONTOCT24!F36+TONTNOV24!F36+TONTDEC24!F36</f>
        <v>18000</v>
      </c>
      <c r="G36" s="7"/>
      <c r="H36" s="7">
        <f>TONTJANV24!H36+TONTFEV24!H36+TONTMARS24!H36+TONTAVRIL24!H36+TONTMAI24!H36+TONTJUIN24!H36+TONTJUIL24!H36+TONTAOUT24!H36+TONTSEPT24!H36+TONTOCT24!H36+TONTNOV24!H36+TONTDEC24!H36</f>
        <v>0</v>
      </c>
      <c r="I36" s="7">
        <f>TONTJANV24!I36+TONTFEV24!I36+TONTMARS24!I36+TONTAVRIL24!I36+TONTMAI24!I36+TONTJUIN24!I36+TONTJUIL24!I36+TONTAOUT24!I36+TONTSEPT24!I36+TONTOCT24!I36+TONTNOV24!I36+TONTDEC24!I36</f>
        <v>0</v>
      </c>
      <c r="J36" s="7"/>
      <c r="K36" s="7">
        <f>TONTJANV24!K36+TONTFEV24!K36+TONTMARS24!K36+TONTAVRIL24!K36+TONTMAI24!K36+TONTJUIN24!K36+TONTJUIL24!K36+TONTAOUT24!K36+TONTSEPT24!K36+TONTOCT24!K36+TONTNOV24!K36+TONTDEC24!K36</f>
        <v>0</v>
      </c>
      <c r="L36" s="7">
        <f>TONTJANV24!L36+TONTFEV24!L36+TONTMARS24!L36+TONTAVRIL24!L36+TONTMAI24!L36+TONTJUIN24!L36+TONTJUIL24!L36+TONTAOUT24!L36+TONTSEPT24!L36+TONTOCT24!L36+TONTNOV24!L36+TONTDEC24!L36</f>
        <v>0</v>
      </c>
      <c r="M36" s="7">
        <f>TONTJANV24!M36+TONTFEV24!M36+TONTMARS24!M36+TONTAVRIL24!M36+TONTMAI24!M36+TONTJUIN24!M36+TONTJUIL24!M36+TONTAOUT24!M36+TONTSEPT24!M36+TONTOCT24!M36+TONTNOV24!M36+TONTDEC24!M36</f>
        <v>0</v>
      </c>
      <c r="N36" s="7"/>
      <c r="O36" s="7"/>
      <c r="P36" s="7">
        <f>TONTJANV24!P36+TONTFEV24!P36+TONTMARS24!P36+TONTAVRIL24!P36+TONTMAI24!P36+TONTJUIN24!P36+TONTJUIL24!P36+TONTAOUT24!P36+TONTSEPT24!P36+TONTOCT24!P36+TONTNOV24!P36+TONTDEC24!P36</f>
        <v>0</v>
      </c>
      <c r="Q36" s="7">
        <f>TONTJANV24!Q36+TONTFEV24!Q36+TONTMARS24!Q36+TONTAVRIL24!Q36+TONTMAI24!Q36+TONTJUIN24!Q36+TONTJUIL24!Q36+TONTAOUT24!Q36+TONTSEPT24!Q36+TONTOCT24!Q36+TONTNOV24!Q36+TONTDEC24!Q36</f>
        <v>296000</v>
      </c>
      <c r="R36" s="7">
        <f>TONTJANV24!R36+TONTFEV24!R36+TONTMARS24!R36+TONTAVRIL24!R36+TONTMAI24!R36+TONTJUIN24!R36+TONTJUIL24!R36+TONTAOUT24!R36+TONTSEPT24!R36+TONTOCT24!R36+TONTNOV24!R36+TONTDEC24!R36</f>
        <v>4000</v>
      </c>
      <c r="S36" s="18">
        <v>45536</v>
      </c>
      <c r="T36" s="8">
        <f t="shared" si="0"/>
        <v>7531.25</v>
      </c>
      <c r="U36" s="8">
        <v>7000</v>
      </c>
    </row>
    <row r="37" spans="1:23" ht="17.5" x14ac:dyDescent="0.35">
      <c r="A37" s="1" t="s">
        <v>28</v>
      </c>
      <c r="B37" s="7">
        <f>TONTJANV24!B37+TONTFEV24!B37+TONTMARS24!B37+TONTAVRIL24!B37+TONTMAI24!B37+TONTJUIN24!B37+TONTJUIL24!B37+TONTAOUT24!B37+TONTSEPT24!B37+TONTOCT24!B37+TONTNOV24!B37+TONTDEC24!B37</f>
        <v>12</v>
      </c>
      <c r="C37" s="1" t="str">
        <f>VLOOKUP(A37,[7]LISTADHERENT!A$5:H$60,3,0)</f>
        <v>YOUMBI EMMANUEL</v>
      </c>
      <c r="D37" s="7">
        <f>TONTJANV24!D37+TONTFEV24!D37+TONTMARS24!D37+TONTAVRIL24!D37+TONTMAI24!D37+TONTJUIN24!D37+TONTJUIL24!D37+TONTAOUT24!D37+TONTSEPT24!D37+TONTOCT24!D37+TONTNOV24!D37+TONTDEC24!D37</f>
        <v>300000</v>
      </c>
      <c r="E37" s="7">
        <f>TONTJANV24!E37+TONTFEV24!E37+TONTMARS24!E37+TONTAVRIL24!E37+TONTMAI24!E37+TONTJUIN24!E37+TONTJUIL24!E37+TONTAOUT24!E37+TONTSEPT24!E37+TONTOCT24!E37+TONTNOV24!E37+TONTDEC24!E37</f>
        <v>600000</v>
      </c>
      <c r="F37" s="7">
        <f>TONTJANV24!F37+TONTFEV24!F37+TONTMARS24!F37+TONTAVRIL24!F37+TONTMAI24!F37+TONTJUIN24!F37+TONTJUIL24!F37+TONTAOUT24!F37+TONTSEPT24!F37+TONTOCT24!F37+TONTNOV24!F37+TONTDEC24!F37</f>
        <v>0</v>
      </c>
      <c r="G37" s="7"/>
      <c r="H37" s="7">
        <f>TONTJANV24!H37+TONTFEV24!H37+TONTMARS24!H37+TONTAVRIL24!H37+TONTMAI24!H37+TONTJUIN24!H37+TONTJUIL24!H37+TONTAOUT24!H37+TONTSEPT24!H37+TONTOCT24!H37+TONTNOV24!H37+TONTDEC24!H37</f>
        <v>0</v>
      </c>
      <c r="I37" s="7">
        <f>TONTJANV24!I37+TONTFEV24!I37+TONTMARS24!I37+TONTAVRIL24!I37+TONTMAI24!I37+TONTJUIN24!I37+TONTJUIL24!I37+TONTAOUT24!I37+TONTSEPT24!I37+TONTOCT24!I37+TONTNOV24!I37+TONTDEC24!I37</f>
        <v>0</v>
      </c>
      <c r="J37" s="7"/>
      <c r="K37" s="7">
        <f>TONTJANV24!K37+TONTFEV24!K37+TONTMARS24!K37+TONTAVRIL24!K37+TONTMAI24!K37+TONTJUIN24!K37+TONTJUIL24!K37+TONTAOUT24!K37+TONTSEPT24!K37+TONTOCT24!K37+TONTNOV24!K37+TONTDEC24!K37</f>
        <v>0</v>
      </c>
      <c r="L37" s="7">
        <f>TONTJANV24!L37+TONTFEV24!L37+TONTMARS24!L37+TONTAVRIL24!L37+TONTMAI24!L37+TONTJUIN24!L37+TONTJUIL24!L37+TONTAOUT24!L37+TONTSEPT24!L37+TONTOCT24!L37+TONTNOV24!L37+TONTDEC24!L37</f>
        <v>0</v>
      </c>
      <c r="M37" s="7">
        <f>TONTJANV24!M37+TONTFEV24!M37+TONTMARS24!M37+TONTAVRIL24!M37+TONTMAI24!M37+TONTJUIN24!M37+TONTJUIL24!M37+TONTAOUT24!M37+TONTSEPT24!M37+TONTOCT24!M37+TONTNOV24!M37+TONTDEC24!M37</f>
        <v>0</v>
      </c>
      <c r="N37" s="7"/>
      <c r="O37" s="7"/>
      <c r="P37" s="7">
        <f>TONTJANV24!P37+TONTFEV24!P37+TONTMARS24!P37+TONTAVRIL24!P37+TONTMAI24!P37+TONTJUIN24!P37+TONTJUIL24!P37+TONTAOUT24!P37+TONTSEPT24!P37+TONTOCT24!P37+TONTNOV24!P37+TONTDEC24!P37</f>
        <v>0</v>
      </c>
      <c r="Q37" s="7">
        <f>TONTJANV24!Q37+TONTFEV24!Q37+TONTMARS24!Q37+TONTAVRIL24!Q37+TONTMAI24!Q37+TONTJUIN24!Q37+TONTJUIL24!Q37+TONTAOUT24!Q37+TONTSEPT24!Q37+TONTOCT24!Q37+TONTNOV24!Q37+TONTDEC24!Q37</f>
        <v>297500</v>
      </c>
      <c r="R37" s="7">
        <f>TONTJANV24!R37+TONTFEV24!R37+TONTMARS24!R37+TONTAVRIL24!R37+TONTMAI24!R37+TONTJUIN24!R37+TONTJUIL24!R37+TONTAOUT24!R37+TONTSEPT24!R37+TONTOCT24!R37+TONTNOV24!R37+TONTDEC24!R37</f>
        <v>2500</v>
      </c>
      <c r="S37" s="18">
        <v>45566</v>
      </c>
      <c r="T37" s="8">
        <f t="shared" si="0"/>
        <v>7531.25</v>
      </c>
      <c r="U37" s="8">
        <v>7000</v>
      </c>
    </row>
    <row r="38" spans="1:23" ht="17.5" x14ac:dyDescent="0.35">
      <c r="A38" s="1"/>
      <c r="T38" s="8"/>
      <c r="U38" s="8"/>
    </row>
    <row r="39" spans="1:23" ht="26" x14ac:dyDescent="0.6">
      <c r="A39" s="1" t="s">
        <v>83</v>
      </c>
      <c r="B39" s="8">
        <f>SUM(B6:B38)</f>
        <v>383</v>
      </c>
      <c r="I39" s="9"/>
      <c r="S39" s="2"/>
      <c r="T39" s="8">
        <f>SUM(T6:T38)</f>
        <v>241000</v>
      </c>
      <c r="U39" s="8">
        <f>SUM(U6:U38)</f>
        <v>224000</v>
      </c>
      <c r="V39" t="s">
        <v>30</v>
      </c>
      <c r="W39" s="37">
        <f>T39-U39</f>
        <v>17000</v>
      </c>
    </row>
    <row r="40" spans="1:23" ht="17.5" x14ac:dyDescent="0.35">
      <c r="A40" s="1" t="s">
        <v>82</v>
      </c>
      <c r="B40" s="16">
        <f>COUNT(D6:D38)</f>
        <v>32</v>
      </c>
      <c r="C40" s="8"/>
      <c r="D40" s="8">
        <f>SUM(D6:D39)</f>
        <v>9600000</v>
      </c>
      <c r="E40" s="8"/>
      <c r="F40" s="8">
        <f t="shared" ref="F40:R40" si="1">SUM(F6:F39)</f>
        <v>87000</v>
      </c>
      <c r="G40" s="8">
        <f t="shared" si="1"/>
        <v>0</v>
      </c>
      <c r="H40" s="8">
        <f t="shared" si="1"/>
        <v>1596000</v>
      </c>
      <c r="I40" s="8">
        <f t="shared" si="1"/>
        <v>32000</v>
      </c>
      <c r="J40" s="8">
        <f t="shared" si="1"/>
        <v>0</v>
      </c>
      <c r="K40" s="8">
        <f t="shared" si="1"/>
        <v>0</v>
      </c>
      <c r="L40" s="8">
        <f t="shared" si="1"/>
        <v>1628000</v>
      </c>
      <c r="M40" s="8">
        <f t="shared" si="1"/>
        <v>1628000</v>
      </c>
      <c r="N40" s="8">
        <f t="shared" si="1"/>
        <v>0</v>
      </c>
      <c r="O40" s="8">
        <f t="shared" si="1"/>
        <v>0</v>
      </c>
      <c r="P40" s="8">
        <f t="shared" si="1"/>
        <v>0</v>
      </c>
      <c r="Q40" s="8">
        <f t="shared" si="1"/>
        <v>9391000</v>
      </c>
      <c r="R40" s="8">
        <f t="shared" si="1"/>
        <v>209000</v>
      </c>
      <c r="S40" s="2"/>
      <c r="T40" s="2"/>
      <c r="U40" s="2"/>
    </row>
    <row r="41" spans="1:23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23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D46+G46+R40+TONTFEV24!O47</f>
        <v>209000</v>
      </c>
      <c r="N42" s="4"/>
      <c r="O42"/>
      <c r="P42" s="4"/>
      <c r="Q42" s="19" t="s">
        <v>36</v>
      </c>
      <c r="R42" s="8">
        <f>+I40</f>
        <v>32000</v>
      </c>
    </row>
    <row r="43" spans="1:23" s="2" customFormat="1" ht="17.5" x14ac:dyDescent="0.35">
      <c r="D43" s="8">
        <f>SUMIFS(D6:D39,G6:G39,"ESPECES")</f>
        <v>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0</v>
      </c>
      <c r="K43" s="8"/>
      <c r="L43" s="8" t="s">
        <v>79</v>
      </c>
      <c r="M43" s="8">
        <f>C3*COUNTIF(Q7:Q39,"&gt;0")+300000</f>
        <v>9600000</v>
      </c>
      <c r="N43" s="8">
        <f>D3</f>
        <v>0</v>
      </c>
      <c r="O43" s="8">
        <f>COUNTIF(Q6:Q33,"&gt;0")</f>
        <v>28</v>
      </c>
      <c r="P43" s="8"/>
    </row>
    <row r="44" spans="1:23" s="2" customFormat="1" ht="17.5" x14ac:dyDescent="0.35">
      <c r="D44" s="8">
        <f>SUMIFS(D6:D39,G6:G39,"BANQUE")</f>
        <v>0</v>
      </c>
      <c r="E44" s="8"/>
      <c r="F44" s="8" t="s">
        <v>32</v>
      </c>
      <c r="G44" s="8">
        <f>SUMIFS(M6:M33,N6:N33,"BANQUE")</f>
        <v>0</v>
      </c>
      <c r="H44" s="8">
        <f>SUMIFS(H6:H39,J6:J39,"BANQUE")</f>
        <v>0</v>
      </c>
      <c r="I44" s="8">
        <f>SUMIFS(Q6:Q39,O6:O39,"BANQUE")</f>
        <v>0</v>
      </c>
      <c r="J44" s="8">
        <f>D44+G44-H44-I44</f>
        <v>0</v>
      </c>
      <c r="K44" s="8"/>
      <c r="M44" s="8"/>
      <c r="N44" s="8"/>
      <c r="O44" s="8"/>
      <c r="P44" s="8"/>
      <c r="Q44" s="19" t="s">
        <v>92</v>
      </c>
      <c r="R44" s="20">
        <f>R40+R42</f>
        <v>241000</v>
      </c>
    </row>
    <row r="45" spans="1:23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-9391000</v>
      </c>
      <c r="N45" s="8"/>
      <c r="O45" s="8"/>
      <c r="P45" s="8"/>
      <c r="Q45" s="19"/>
    </row>
    <row r="46" spans="1:23" s="2" customFormat="1" ht="17.5" x14ac:dyDescent="0.35">
      <c r="D46" s="8">
        <f>D43+D44</f>
        <v>0</v>
      </c>
      <c r="E46" s="8"/>
      <c r="F46" s="8" t="s">
        <v>29</v>
      </c>
      <c r="G46" s="8">
        <f>G43+G44</f>
        <v>0</v>
      </c>
      <c r="H46" s="8">
        <f>H43+H44</f>
        <v>0</v>
      </c>
      <c r="I46" s="8">
        <f t="shared" ref="I46:J46" si="2">I43+I44</f>
        <v>0</v>
      </c>
      <c r="J46" s="8">
        <f t="shared" si="2"/>
        <v>0</v>
      </c>
      <c r="K46" s="8"/>
      <c r="M46" s="8"/>
      <c r="N46" s="8"/>
      <c r="O46" s="8"/>
      <c r="P46" s="8"/>
      <c r="Q46" s="19" t="s">
        <v>93</v>
      </c>
      <c r="R46" s="20">
        <f>R44/32</f>
        <v>7531.25</v>
      </c>
    </row>
    <row r="47" spans="1:23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-10987000</v>
      </c>
      <c r="N47"/>
      <c r="O47" s="8">
        <f>TONTRESUME24!M47</f>
        <v>-10987000</v>
      </c>
      <c r="P47" s="8" t="s">
        <v>53</v>
      </c>
      <c r="Q47" s="19"/>
      <c r="R47" s="20"/>
      <c r="S47"/>
      <c r="T47"/>
      <c r="U47"/>
    </row>
    <row r="48" spans="1:23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  <c r="S48"/>
      <c r="T48"/>
      <c r="U48"/>
    </row>
    <row r="49" spans="6:16" ht="17.5" x14ac:dyDescent="0.35">
      <c r="L49" s="8" t="s">
        <v>55</v>
      </c>
      <c r="M49" s="8">
        <f>COUNTIFS(G7:G38,"ECHEC")*23000</f>
        <v>0</v>
      </c>
      <c r="O49" s="8">
        <f>TONTRESUME24!M49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1628000</v>
      </c>
      <c r="O50" s="8">
        <f>TONTRESUME24!M50</f>
        <v>1628000</v>
      </c>
      <c r="P50" s="8" t="s">
        <v>53</v>
      </c>
    </row>
  </sheetData>
  <autoFilter ref="A5:U37" xr:uid="{F4C65AC0-152A-4F44-8A20-ACC5350804C4}"/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8DEB-DF61-48B5-A07A-958C00788C18}">
  <dimension ref="A1:T41"/>
  <sheetViews>
    <sheetView workbookViewId="0">
      <pane xSplit="2" ySplit="4" topLeftCell="G5" activePane="bottomRight" state="frozen"/>
      <selection activeCell="G6" sqref="G6:G39"/>
      <selection pane="topRight" activeCell="G6" sqref="G6:G39"/>
      <selection pane="bottomLeft" activeCell="G6" sqref="G6:G39"/>
      <selection pane="bottomRight" activeCell="A9" sqref="A9:XFD9"/>
    </sheetView>
  </sheetViews>
  <sheetFormatPr baseColWidth="10" defaultColWidth="11" defaultRowHeight="14.5" x14ac:dyDescent="0.35"/>
  <cols>
    <col min="1" max="1" width="13.81640625" customWidth="1"/>
    <col min="2" max="2" width="29.54296875" customWidth="1"/>
    <col min="3" max="3" width="21" customWidth="1"/>
    <col min="4" max="4" width="21.453125" customWidth="1"/>
    <col min="5" max="5" width="17.54296875" style="3" customWidth="1"/>
    <col min="6" max="7" width="18.1796875" style="2" customWidth="1"/>
    <col min="8" max="8" width="13" customWidth="1"/>
    <col min="9" max="9" width="15" customWidth="1"/>
    <col min="10" max="10" width="14.453125" customWidth="1"/>
  </cols>
  <sheetData>
    <row r="1" spans="1:10" x14ac:dyDescent="0.35">
      <c r="A1" s="1" t="s">
        <v>0</v>
      </c>
      <c r="B1" s="1" t="s">
        <v>1</v>
      </c>
      <c r="D1" s="1"/>
    </row>
    <row r="2" spans="1:10" x14ac:dyDescent="0.35">
      <c r="A2" s="1" t="s">
        <v>2</v>
      </c>
      <c r="B2" s="1">
        <v>2024</v>
      </c>
      <c r="C2" s="1"/>
      <c r="D2" s="1"/>
    </row>
    <row r="3" spans="1:10" ht="24" thickBot="1" x14ac:dyDescent="0.6">
      <c r="A3" s="40" t="s">
        <v>99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ht="43" thickTop="1" x14ac:dyDescent="0.35">
      <c r="A4" s="33" t="s">
        <v>3</v>
      </c>
      <c r="B4" s="34" t="s">
        <v>4</v>
      </c>
      <c r="C4" s="35" t="s">
        <v>5</v>
      </c>
      <c r="D4" s="34" t="s">
        <v>43</v>
      </c>
      <c r="E4" s="35" t="s">
        <v>36</v>
      </c>
      <c r="F4" s="35" t="s">
        <v>100</v>
      </c>
      <c r="G4" s="35" t="s">
        <v>38</v>
      </c>
      <c r="H4" s="35" t="s">
        <v>90</v>
      </c>
      <c r="I4" s="35" t="s">
        <v>91</v>
      </c>
      <c r="J4" s="36" t="s">
        <v>98</v>
      </c>
    </row>
    <row r="5" spans="1:10" ht="17.5" x14ac:dyDescent="0.35">
      <c r="A5" s="17" t="s">
        <v>88</v>
      </c>
      <c r="B5" s="21" t="str">
        <f>VLOOKUP(A5,[7]LISTADHERENT!A$5:H$60,3,0)</f>
        <v>BAKOP ACHILLE</v>
      </c>
      <c r="C5" s="32">
        <f>TONTRESUME24!D6</f>
        <v>300000</v>
      </c>
      <c r="D5" s="32">
        <f>TONTRESUME24!F6</f>
        <v>12000</v>
      </c>
      <c r="E5" s="32">
        <f>TONTRESUME24!I6</f>
        <v>2000</v>
      </c>
      <c r="F5" s="32">
        <f>TONTRESUME24!Q6</f>
        <v>290000</v>
      </c>
      <c r="G5" s="32">
        <f>TONTRESUME24!R6</f>
        <v>10000</v>
      </c>
      <c r="H5" s="22">
        <f>IF(G5=0,"",VLOOKUP(A5,TONTRESUME24!A6:U37,19,0))</f>
        <v>45352</v>
      </c>
      <c r="I5" s="23">
        <f>TONTRESUME24!T6</f>
        <v>7531.25</v>
      </c>
      <c r="J5" s="24">
        <f>TONTRESUME24!U6</f>
        <v>7000</v>
      </c>
    </row>
    <row r="6" spans="1:10" ht="17.5" x14ac:dyDescent="0.35">
      <c r="A6" s="17" t="s">
        <v>9</v>
      </c>
      <c r="B6" s="21" t="str">
        <f>VLOOKUP(A6,[7]LISTADHERENT!A$5:H$60,3,0)</f>
        <v>BOUTCHOUANG WILLIAM</v>
      </c>
      <c r="C6" s="32">
        <f>TONTRESUME24!D7</f>
        <v>300000</v>
      </c>
      <c r="D6" s="32">
        <f>TONTRESUME24!F7</f>
        <v>6000</v>
      </c>
      <c r="E6" s="32">
        <f>TONTRESUME24!I7</f>
        <v>0</v>
      </c>
      <c r="F6" s="32">
        <f>TONTRESUME24!Q7</f>
        <v>297500</v>
      </c>
      <c r="G6" s="32">
        <f>TONTRESUME24!R7</f>
        <v>2500</v>
      </c>
      <c r="H6" s="22">
        <f>IF(G6=0,"",VLOOKUP(A6,TONTRESUME24!A7:U38,19,0))</f>
        <v>45566</v>
      </c>
      <c r="I6" s="23">
        <f>TONTRESUME24!T7</f>
        <v>7531.25</v>
      </c>
      <c r="J6" s="24">
        <f>TONTRESUME24!U7</f>
        <v>7000</v>
      </c>
    </row>
    <row r="7" spans="1:10" ht="17.5" x14ac:dyDescent="0.35">
      <c r="A7" s="17" t="s">
        <v>10</v>
      </c>
      <c r="B7" s="21" t="str">
        <f>VLOOKUP(A7,[7]LISTADHERENT!A$5:H$60,3,0)</f>
        <v xml:space="preserve">DJOMO JEAN PAUL </v>
      </c>
      <c r="C7" s="32">
        <f>TONTRESUME24!D8</f>
        <v>300000</v>
      </c>
      <c r="D7" s="32">
        <f>TONTRESUME24!F8</f>
        <v>0</v>
      </c>
      <c r="E7" s="32">
        <f>TONTRESUME24!I8</f>
        <v>0</v>
      </c>
      <c r="F7" s="32">
        <f>TONTRESUME24!Q8</f>
        <v>282000</v>
      </c>
      <c r="G7" s="32">
        <f>TONTRESUME24!R8</f>
        <v>18000</v>
      </c>
      <c r="H7" s="22">
        <f>IF(G7=0,"",VLOOKUP(A7,TONTRESUME24!A8:U39,19,0))</f>
        <v>45352</v>
      </c>
      <c r="I7" s="23">
        <f>TONTRESUME24!T8</f>
        <v>7531.25</v>
      </c>
      <c r="J7" s="24">
        <f>TONTRESUME24!U8</f>
        <v>7000</v>
      </c>
    </row>
    <row r="8" spans="1:10" ht="17.5" x14ac:dyDescent="0.35">
      <c r="A8" s="17" t="s">
        <v>52</v>
      </c>
      <c r="B8" s="21" t="str">
        <f>VLOOKUP(A8,[7]LISTADHERENT!A$5:H$60,3,0)</f>
        <v>DJOMOU TCHAPDA</v>
      </c>
      <c r="C8" s="32">
        <f>TONTRESUME24!D9</f>
        <v>300000</v>
      </c>
      <c r="D8" s="32">
        <f>TONTRESUME24!F9</f>
        <v>9000</v>
      </c>
      <c r="E8" s="32">
        <f>TONTRESUME24!I9</f>
        <v>7000</v>
      </c>
      <c r="F8" s="32">
        <f>TONTRESUME24!Q9</f>
        <v>297500</v>
      </c>
      <c r="G8" s="32">
        <f>TONTRESUME24!R9</f>
        <v>2500</v>
      </c>
      <c r="H8" s="22">
        <f>IF(G8=0,"",VLOOKUP(A8,TONTRESUME24!A9:U40,19,0))</f>
        <v>45505</v>
      </c>
      <c r="I8" s="23">
        <f>TONTRESUME24!T9</f>
        <v>7531.25</v>
      </c>
      <c r="J8" s="24">
        <f>TONTRESUME24!U9</f>
        <v>7000</v>
      </c>
    </row>
    <row r="9" spans="1:10" ht="17.5" x14ac:dyDescent="0.35">
      <c r="A9" s="17" t="s">
        <v>11</v>
      </c>
      <c r="B9" s="21" t="str">
        <f>VLOOKUP(A9,[7]LISTADHERENT!A$5:H$60,3,0)</f>
        <v>DJOUKWE NANGUEN GUY BLAISE</v>
      </c>
      <c r="C9" s="32">
        <f>TONTRESUME24!D10</f>
        <v>300000</v>
      </c>
      <c r="D9" s="32">
        <f>TONTRESUME24!F10</f>
        <v>3000</v>
      </c>
      <c r="E9" s="32">
        <f>TONTRESUME24!I10</f>
        <v>3500</v>
      </c>
      <c r="F9" s="32">
        <f>TONTRESUME24!Q10</f>
        <v>284000</v>
      </c>
      <c r="G9" s="32">
        <f>TONTRESUME24!R10</f>
        <v>16000</v>
      </c>
      <c r="H9" s="22">
        <f>IF(G9=0,"",VLOOKUP(A9,TONTRESUME24!A10:U41,19,0))</f>
        <v>45323</v>
      </c>
      <c r="I9" s="23">
        <f>TONTRESUME24!T10</f>
        <v>7531.25</v>
      </c>
      <c r="J9" s="24">
        <f>TONTRESUME24!U10</f>
        <v>7000</v>
      </c>
    </row>
    <row r="10" spans="1:10" ht="17.5" x14ac:dyDescent="0.35">
      <c r="A10" s="17" t="s">
        <v>12</v>
      </c>
      <c r="B10" s="21" t="str">
        <f>VLOOKUP(A10,[7]LISTADHERENT!A$5:H$60,3,0)</f>
        <v>DJUOMBESSY ANTOINE</v>
      </c>
      <c r="C10" s="32">
        <f>TONTRESUME24!D11</f>
        <v>300000</v>
      </c>
      <c r="D10" s="32">
        <f>TONTRESUME24!F11</f>
        <v>0</v>
      </c>
      <c r="E10" s="32">
        <f>TONTRESUME24!I11</f>
        <v>1000</v>
      </c>
      <c r="F10" s="32">
        <f>TONTRESUME24!Q11</f>
        <v>297000</v>
      </c>
      <c r="G10" s="32">
        <f>TONTRESUME24!R11</f>
        <v>3000</v>
      </c>
      <c r="H10" s="22">
        <f>IF(G10=0,"",VLOOKUP(A10,TONTRESUME24!A11:U42,19,0))</f>
        <v>45474</v>
      </c>
      <c r="I10" s="23">
        <f>TONTRESUME24!T11</f>
        <v>7531.25</v>
      </c>
      <c r="J10" s="24">
        <f>TONTRESUME24!U11</f>
        <v>7000</v>
      </c>
    </row>
    <row r="11" spans="1:10" ht="17.5" x14ac:dyDescent="0.35">
      <c r="A11" s="17" t="s">
        <v>45</v>
      </c>
      <c r="B11" s="21" t="str">
        <f>VLOOKUP(A11,[7]LISTADHERENT!A$5:H$60,3,0)</f>
        <v>DOMOU FABIEN</v>
      </c>
      <c r="C11" s="32">
        <f>TONTRESUME24!D12</f>
        <v>300000</v>
      </c>
      <c r="D11" s="32">
        <f>TONTRESUME24!F12</f>
        <v>0</v>
      </c>
      <c r="E11" s="32">
        <f>TONTRESUME24!I12</f>
        <v>0</v>
      </c>
      <c r="F11" s="32">
        <f>TONTRESUME24!Q12</f>
        <v>297500</v>
      </c>
      <c r="G11" s="32">
        <f>TONTRESUME24!R12</f>
        <v>2500</v>
      </c>
      <c r="H11" s="22">
        <f>IF(G11=0,"",VLOOKUP(A11,TONTRESUME24!A12:U43,19,0))</f>
        <v>45474</v>
      </c>
      <c r="I11" s="23">
        <f>TONTRESUME24!T12</f>
        <v>7531.25</v>
      </c>
      <c r="J11" s="24">
        <f>TONTRESUME24!U12</f>
        <v>7000</v>
      </c>
    </row>
    <row r="12" spans="1:10" ht="17.5" x14ac:dyDescent="0.35">
      <c r="A12" s="17" t="s">
        <v>13</v>
      </c>
      <c r="B12" s="21" t="str">
        <f>VLOOKUP(A12,[7]LISTADHERENT!A$5:H$60,3,0)</f>
        <v>DONHOU DAVID</v>
      </c>
      <c r="C12" s="32">
        <f>TONTRESUME24!D13</f>
        <v>300000</v>
      </c>
      <c r="D12" s="32">
        <f>TONTRESUME24!F13</f>
        <v>3000</v>
      </c>
      <c r="E12" s="32">
        <f>TONTRESUME24!I13</f>
        <v>0</v>
      </c>
      <c r="F12" s="32">
        <f>TONTRESUME24!Q13</f>
        <v>297500</v>
      </c>
      <c r="G12" s="32">
        <f>TONTRESUME24!R13</f>
        <v>2500</v>
      </c>
      <c r="H12" s="22">
        <f>IF(G12=0,"",VLOOKUP(A12,TONTRESUME24!A13:U44,19,0))</f>
        <v>45597</v>
      </c>
      <c r="I12" s="23">
        <f>TONTRESUME24!T13</f>
        <v>7531.25</v>
      </c>
      <c r="J12" s="24">
        <f>TONTRESUME24!U13</f>
        <v>7000</v>
      </c>
    </row>
    <row r="13" spans="1:10" ht="17.5" x14ac:dyDescent="0.35">
      <c r="A13" s="17" t="s">
        <v>14</v>
      </c>
      <c r="B13" s="21" t="str">
        <f>VLOOKUP(A13,[7]LISTADHERENT!A$5:H$60,3,0)</f>
        <v>HENGUE PAUL OMER</v>
      </c>
      <c r="C13" s="32">
        <f>TONTRESUME24!D14</f>
        <v>300000</v>
      </c>
      <c r="D13" s="32">
        <f>TONTRESUME24!F14</f>
        <v>0</v>
      </c>
      <c r="E13" s="32">
        <f>TONTRESUME24!I14</f>
        <v>0</v>
      </c>
      <c r="F13" s="32">
        <f>TONTRESUME24!Q14</f>
        <v>290000</v>
      </c>
      <c r="G13" s="32">
        <f>TONTRESUME24!R14</f>
        <v>10000</v>
      </c>
      <c r="H13" s="22">
        <f>IF(G13=0,"",VLOOKUP(A13,TONTRESUME24!A14:U45,19,0))</f>
        <v>45383</v>
      </c>
      <c r="I13" s="23">
        <f>TONTRESUME24!T14</f>
        <v>7531.25</v>
      </c>
      <c r="J13" s="24">
        <f>TONTRESUME24!U14</f>
        <v>7000</v>
      </c>
    </row>
    <row r="14" spans="1:10" ht="17.5" x14ac:dyDescent="0.35">
      <c r="A14" s="17" t="s">
        <v>15</v>
      </c>
      <c r="B14" s="21" t="str">
        <f>VLOOKUP(A14,[7]LISTADHERENT!A$5:H$60,3,0)</f>
        <v>HOTCHO BENJAMIN</v>
      </c>
      <c r="C14" s="32">
        <f>TONTRESUME24!D15</f>
        <v>300000</v>
      </c>
      <c r="D14" s="32">
        <f>TONTRESUME24!F15</f>
        <v>0</v>
      </c>
      <c r="E14" s="32">
        <f>TONTRESUME24!I15</f>
        <v>0</v>
      </c>
      <c r="F14" s="32">
        <f>TONTRESUME24!Q15</f>
        <v>288000</v>
      </c>
      <c r="G14" s="32">
        <f>TONTRESUME24!R15</f>
        <v>12000</v>
      </c>
      <c r="H14" s="22">
        <f>IF(G14=0,"",VLOOKUP(A14,TONTRESUME24!A15:U46,19,0))</f>
        <v>45292</v>
      </c>
      <c r="I14" s="23">
        <f>TONTRESUME24!T15</f>
        <v>7531.25</v>
      </c>
      <c r="J14" s="24">
        <f>TONTRESUME24!U15</f>
        <v>7000</v>
      </c>
    </row>
    <row r="15" spans="1:10" ht="17.5" x14ac:dyDescent="0.35">
      <c r="A15" s="17" t="s">
        <v>16</v>
      </c>
      <c r="B15" s="21" t="str">
        <f>VLOOKUP(A15,[7]LISTADHERENT!A$5:H$60,3,0)</f>
        <v>KOUAMOU MOISE</v>
      </c>
      <c r="C15" s="32">
        <f>TONTRESUME24!D16</f>
        <v>300000</v>
      </c>
      <c r="D15" s="32">
        <f>TONTRESUME24!F16</f>
        <v>6000</v>
      </c>
      <c r="E15" s="32">
        <f>TONTRESUME24!I16</f>
        <v>1000</v>
      </c>
      <c r="F15" s="32">
        <f>TONTRESUME24!Q16</f>
        <v>283000</v>
      </c>
      <c r="G15" s="32">
        <f>TONTRESUME24!R16</f>
        <v>17000</v>
      </c>
      <c r="H15" s="22">
        <f>IF(G15=0,"",VLOOKUP(A15,TONTRESUME24!A16:U47,19,0))</f>
        <v>45323</v>
      </c>
      <c r="I15" s="23">
        <f>TONTRESUME24!T16</f>
        <v>7531.25</v>
      </c>
      <c r="J15" s="24">
        <f>TONTRESUME24!U16</f>
        <v>7000</v>
      </c>
    </row>
    <row r="16" spans="1:10" ht="17.5" x14ac:dyDescent="0.35">
      <c r="A16" s="17" t="s">
        <v>17</v>
      </c>
      <c r="B16" s="21" t="str">
        <f>VLOOKUP(A16,[7]LISTADHERENT!A$5:H$60,3,0)</f>
        <v>KOUATCHO MESSACK</v>
      </c>
      <c r="C16" s="32">
        <f>TONTRESUME24!D17</f>
        <v>300000</v>
      </c>
      <c r="D16" s="32">
        <f>TONTRESUME24!F17</f>
        <v>6000</v>
      </c>
      <c r="E16" s="32">
        <f>TONTRESUME24!I17</f>
        <v>0</v>
      </c>
      <c r="F16" s="32">
        <f>TONTRESUME24!Q17</f>
        <v>287000</v>
      </c>
      <c r="G16" s="32">
        <f>TONTRESUME24!R17</f>
        <v>13000</v>
      </c>
      <c r="H16" s="22">
        <f>IF(G16=0,"",VLOOKUP(A16,TONTRESUME24!A17:U48,19,0))</f>
        <v>45292</v>
      </c>
      <c r="I16" s="23">
        <f>TONTRESUME24!T17</f>
        <v>7531.25</v>
      </c>
      <c r="J16" s="24">
        <f>TONTRESUME24!U17</f>
        <v>7000</v>
      </c>
    </row>
    <row r="17" spans="1:10" ht="17.5" x14ac:dyDescent="0.35">
      <c r="A17" s="17" t="s">
        <v>96</v>
      </c>
      <c r="B17" s="21" t="str">
        <f>VLOOKUP(A17,[7]LISTADHERENT!A$5:H$60,3,0)</f>
        <v>MASSEUNGOUE DAGOBERT</v>
      </c>
      <c r="C17" s="32">
        <f>TONTRESUME24!D18</f>
        <v>300000</v>
      </c>
      <c r="D17" s="32">
        <f>TONTRESUME24!F18</f>
        <v>0</v>
      </c>
      <c r="E17" s="32">
        <f>TONTRESUME24!I18</f>
        <v>0</v>
      </c>
      <c r="F17" s="32">
        <f>TONTRESUME24!Q18</f>
        <v>297500</v>
      </c>
      <c r="G17" s="32">
        <f>TONTRESUME24!R18</f>
        <v>2500</v>
      </c>
      <c r="H17" s="22">
        <f>IF(G17=0,"",VLOOKUP(A17,TONTRESUME24!A18:U49,19,0))</f>
        <v>0</v>
      </c>
      <c r="I17" s="23">
        <f>TONTRESUME24!T18</f>
        <v>7531.25</v>
      </c>
      <c r="J17" s="24">
        <f>TONTRESUME24!U18</f>
        <v>7000</v>
      </c>
    </row>
    <row r="18" spans="1:10" ht="17.5" x14ac:dyDescent="0.35">
      <c r="A18" s="17" t="s">
        <v>44</v>
      </c>
      <c r="B18" s="21" t="str">
        <f>VLOOKUP(A18,[7]LISTADHERENT!A$5:H$60,3,0)</f>
        <v>MBOGNING TUGMA GUY</v>
      </c>
      <c r="C18" s="32">
        <f>TONTRESUME24!D19</f>
        <v>300000</v>
      </c>
      <c r="D18" s="32">
        <f>TONTRESUME24!F19</f>
        <v>0</v>
      </c>
      <c r="E18" s="32">
        <f>TONTRESUME24!I19</f>
        <v>3500</v>
      </c>
      <c r="F18" s="32">
        <f>TONTRESUME24!Q19</f>
        <v>297500</v>
      </c>
      <c r="G18" s="32">
        <f>TONTRESUME24!R19</f>
        <v>2500</v>
      </c>
      <c r="H18" s="22">
        <f>IF(G18=0,"",VLOOKUP(A18,TONTRESUME24!A19:U50,19,0))</f>
        <v>45474</v>
      </c>
      <c r="I18" s="23">
        <f>TONTRESUME24!T19</f>
        <v>7531.25</v>
      </c>
      <c r="J18" s="24">
        <f>TONTRESUME24!U19</f>
        <v>7000</v>
      </c>
    </row>
    <row r="19" spans="1:10" ht="17.5" x14ac:dyDescent="0.35">
      <c r="A19" s="17" t="s">
        <v>25</v>
      </c>
      <c r="B19" s="21" t="str">
        <f>VLOOKUP(A19,[7]LISTADHERENT!A$5:H$60,3,0)</f>
        <v>NANGUEN MARTIN</v>
      </c>
      <c r="C19" s="32">
        <f>TONTRESUME24!D20</f>
        <v>300000</v>
      </c>
      <c r="D19" s="32">
        <f>TONTRESUME24!F20</f>
        <v>0</v>
      </c>
      <c r="E19" s="32">
        <f>TONTRESUME24!I20</f>
        <v>0</v>
      </c>
      <c r="F19" s="32">
        <f>TONTRESUME24!Q20</f>
        <v>297000</v>
      </c>
      <c r="G19" s="32">
        <f>TONTRESUME24!R20</f>
        <v>3000</v>
      </c>
      <c r="H19" s="22">
        <f>IF(G19=0,"",VLOOKUP(A19,TONTRESUME24!A20:U51,19,0))</f>
        <v>45413</v>
      </c>
      <c r="I19" s="23">
        <f>TONTRESUME24!T20</f>
        <v>7531.25</v>
      </c>
      <c r="J19" s="24">
        <f>TONTRESUME24!U20</f>
        <v>7000</v>
      </c>
    </row>
    <row r="20" spans="1:10" ht="17.5" x14ac:dyDescent="0.35">
      <c r="A20" s="17" t="s">
        <v>18</v>
      </c>
      <c r="B20" s="21" t="str">
        <f>VLOOKUP(A20,[7]LISTADHERENT!A$5:H$60,3,0)</f>
        <v>NANKAM APPOLINAIRE</v>
      </c>
      <c r="C20" s="32">
        <f>TONTRESUME24!D21</f>
        <v>300000</v>
      </c>
      <c r="D20" s="32">
        <f>TONTRESUME24!F21</f>
        <v>3000</v>
      </c>
      <c r="E20" s="32">
        <f>TONTRESUME24!I21</f>
        <v>0</v>
      </c>
      <c r="F20" s="32">
        <f>TONTRESUME24!Q21</f>
        <v>283000</v>
      </c>
      <c r="G20" s="32">
        <f>TONTRESUME24!R21</f>
        <v>17000</v>
      </c>
      <c r="H20" s="22">
        <f>IF(G20=0,"",VLOOKUP(A20,TONTRESUME24!A21:U52,19,0))</f>
        <v>45352</v>
      </c>
      <c r="I20" s="23">
        <f>TONTRESUME24!T21</f>
        <v>7531.25</v>
      </c>
      <c r="J20" s="24">
        <f>TONTRESUME24!U21</f>
        <v>7000</v>
      </c>
    </row>
    <row r="21" spans="1:10" ht="17.5" x14ac:dyDescent="0.35">
      <c r="A21" s="17" t="s">
        <v>19</v>
      </c>
      <c r="B21" s="21" t="str">
        <f>VLOOKUP(A21,[7]LISTADHERENT!A$5:H$60,3,0)</f>
        <v>NDJOMO ETIENNE</v>
      </c>
      <c r="C21" s="32">
        <f>TONTRESUME24!D22</f>
        <v>300000</v>
      </c>
      <c r="D21" s="32">
        <f>TONTRESUME24!F22</f>
        <v>0</v>
      </c>
      <c r="E21" s="32">
        <f>TONTRESUME24!I22</f>
        <v>0</v>
      </c>
      <c r="F21" s="32">
        <f>TONTRESUME24!Q22</f>
        <v>297000</v>
      </c>
      <c r="G21" s="32">
        <f>TONTRESUME24!R22</f>
        <v>3000</v>
      </c>
      <c r="H21" s="22">
        <f>IF(G21=0,"",VLOOKUP(A21,TONTRESUME24!A22:U53,19,0))</f>
        <v>45444</v>
      </c>
      <c r="I21" s="23">
        <f>TONTRESUME24!T22</f>
        <v>7531.25</v>
      </c>
      <c r="J21" s="24">
        <f>TONTRESUME24!U22</f>
        <v>7000</v>
      </c>
    </row>
    <row r="22" spans="1:10" ht="17.5" x14ac:dyDescent="0.35">
      <c r="A22" s="17" t="s">
        <v>20</v>
      </c>
      <c r="B22" s="21" t="str">
        <f>VLOOKUP(A22,[7]LISTADHERENT!A$5:H$60,3,0)</f>
        <v>NGONDIEP CLAUDE</v>
      </c>
      <c r="C22" s="32">
        <f>TONTRESUME24!D23</f>
        <v>300000</v>
      </c>
      <c r="D22" s="32">
        <f>TONTRESUME24!F23</f>
        <v>12000</v>
      </c>
      <c r="E22" s="32">
        <f>TONTRESUME24!I23</f>
        <v>0</v>
      </c>
      <c r="F22" s="32">
        <f>TONTRESUME24!Q23</f>
        <v>297000</v>
      </c>
      <c r="G22" s="32">
        <f>TONTRESUME24!R23</f>
        <v>3000</v>
      </c>
      <c r="H22" s="22">
        <f>IF(G22=0,"",VLOOKUP(A22,TONTRESUME24!A23:U54,19,0))</f>
        <v>45444</v>
      </c>
      <c r="I22" s="23">
        <f>TONTRESUME24!T23</f>
        <v>7531.25</v>
      </c>
      <c r="J22" s="24">
        <f>TONTRESUME24!U23</f>
        <v>7000</v>
      </c>
    </row>
    <row r="23" spans="1:10" ht="17.5" x14ac:dyDescent="0.35">
      <c r="A23" s="17" t="s">
        <v>21</v>
      </c>
      <c r="B23" s="21" t="str">
        <f>VLOOKUP(A23,[7]LISTADHERENT!A$5:H$60,3,0)</f>
        <v>NGUIEMEGNI MATHIEU BLAISE</v>
      </c>
      <c r="C23" s="32">
        <f>TONTRESUME24!D24</f>
        <v>300000</v>
      </c>
      <c r="D23" s="32">
        <f>TONTRESUME24!F24</f>
        <v>3000</v>
      </c>
      <c r="E23" s="32">
        <f>TONTRESUME24!I24</f>
        <v>2000</v>
      </c>
      <c r="F23" s="32">
        <f>TONTRESUME24!Q24</f>
        <v>289000</v>
      </c>
      <c r="G23" s="32">
        <f>TONTRESUME24!R24</f>
        <v>11000</v>
      </c>
      <c r="H23" s="22">
        <f>IF(G23=0,"",VLOOKUP(A23,TONTRESUME24!A24:U55,19,0))</f>
        <v>45383</v>
      </c>
      <c r="I23" s="23">
        <f>TONTRESUME24!T24</f>
        <v>7531.25</v>
      </c>
      <c r="J23" s="24">
        <f>TONTRESUME24!U24</f>
        <v>7000</v>
      </c>
    </row>
    <row r="24" spans="1:10" ht="17.5" x14ac:dyDescent="0.35">
      <c r="A24" s="17" t="s">
        <v>22</v>
      </c>
      <c r="B24" s="21" t="str">
        <f>VLOOKUP(A24,[7]LISTADHERENT!A$5:H$60,3,0)</f>
        <v>NKAMGANG JUSTIN DEJOLIE</v>
      </c>
      <c r="C24" s="32">
        <f>TONTRESUME24!D25</f>
        <v>300000</v>
      </c>
      <c r="D24" s="32">
        <f>TONTRESUME24!F25</f>
        <v>0</v>
      </c>
      <c r="E24" s="32">
        <f>TONTRESUME24!I25</f>
        <v>3000</v>
      </c>
      <c r="F24" s="32">
        <f>TONTRESUME24!Q25</f>
        <v>287000</v>
      </c>
      <c r="G24" s="32">
        <f>TONTRESUME24!R25</f>
        <v>13000</v>
      </c>
      <c r="H24" s="22">
        <f>IF(G24=0,"",VLOOKUP(A24,TONTRESUME24!A25:U56,19,0))</f>
        <v>45292</v>
      </c>
      <c r="I24" s="23">
        <f>TONTRESUME24!T25</f>
        <v>7531.25</v>
      </c>
      <c r="J24" s="24">
        <f>TONTRESUME24!U25</f>
        <v>7000</v>
      </c>
    </row>
    <row r="25" spans="1:10" ht="17.5" x14ac:dyDescent="0.35">
      <c r="A25" s="17" t="s">
        <v>85</v>
      </c>
      <c r="B25" s="21" t="str">
        <f>VLOOKUP(A25,[7]LISTADHERENT!A$5:H$60,3,0)</f>
        <v>NOUBE ETIENNE</v>
      </c>
      <c r="C25" s="32">
        <f>TONTRESUME24!D26</f>
        <v>300000</v>
      </c>
      <c r="D25" s="32">
        <f>TONTRESUME24!F26</f>
        <v>0</v>
      </c>
      <c r="E25" s="32">
        <f>TONTRESUME24!I26</f>
        <v>0</v>
      </c>
      <c r="F25" s="32">
        <f>TONTRESUME24!Q26</f>
        <v>297500</v>
      </c>
      <c r="G25" s="32">
        <f>TONTRESUME24!R26</f>
        <v>2500</v>
      </c>
      <c r="H25" s="22">
        <f>IF(G25=0,"",VLOOKUP(A25,TONTRESUME24!A26:U57,19,0))</f>
        <v>45566</v>
      </c>
      <c r="I25" s="23">
        <f>TONTRESUME24!T26</f>
        <v>7531.25</v>
      </c>
      <c r="J25" s="24">
        <f>TONTRESUME24!U26</f>
        <v>7000</v>
      </c>
    </row>
    <row r="26" spans="1:10" ht="17.5" x14ac:dyDescent="0.35">
      <c r="A26" s="17" t="s">
        <v>23</v>
      </c>
      <c r="B26" s="21" t="str">
        <f>VLOOKUP(A26,[7]LISTADHERENT!A$5:H$60,3,0)</f>
        <v>PATEGO NJOSSU GUSTAVE</v>
      </c>
      <c r="C26" s="32">
        <f>TONTRESUME24!D27</f>
        <v>300000</v>
      </c>
      <c r="D26" s="32">
        <f>TONTRESUME24!F27</f>
        <v>0</v>
      </c>
      <c r="E26" s="32">
        <f>TONTRESUME24!I27</f>
        <v>0</v>
      </c>
      <c r="F26" s="32">
        <f>TONTRESUME24!Q27</f>
        <v>297500</v>
      </c>
      <c r="G26" s="32">
        <f>TONTRESUME24!R27</f>
        <v>2500</v>
      </c>
      <c r="H26" s="22">
        <f>IF(G26=0,"",VLOOKUP(A26,TONTRESUME24!A27:U58,19,0))</f>
        <v>45505</v>
      </c>
      <c r="I26" s="23">
        <f>TONTRESUME24!T27</f>
        <v>7531.25</v>
      </c>
      <c r="J26" s="24">
        <f>TONTRESUME24!U27</f>
        <v>7000</v>
      </c>
    </row>
    <row r="27" spans="1:10" ht="17.5" x14ac:dyDescent="0.35">
      <c r="A27" s="17" t="s">
        <v>86</v>
      </c>
      <c r="B27" s="21" t="str">
        <f>VLOOKUP(A27,[7]LISTADHERENT!A$5:H$60,3,0)</f>
        <v>SEUMO POLYCARPE</v>
      </c>
      <c r="C27" s="32">
        <f>TONTRESUME24!D28</f>
        <v>300000</v>
      </c>
      <c r="D27" s="32">
        <f>TONTRESUME24!F28</f>
        <v>0</v>
      </c>
      <c r="E27" s="32">
        <f>TONTRESUME24!I28</f>
        <v>8500</v>
      </c>
      <c r="F27" s="32">
        <f>TONTRESUME24!Q28</f>
        <v>297000</v>
      </c>
      <c r="G27" s="32">
        <f>TONTRESUME24!R28</f>
        <v>3000</v>
      </c>
      <c r="H27" s="22">
        <f>IF(G27=0,"",VLOOKUP(A27,TONTRESUME24!A28:U59,19,0))</f>
        <v>45536</v>
      </c>
      <c r="I27" s="23">
        <f>TONTRESUME24!T28</f>
        <v>7531.25</v>
      </c>
      <c r="J27" s="24">
        <f>TONTRESUME24!U28</f>
        <v>7000</v>
      </c>
    </row>
    <row r="28" spans="1:10" ht="17.5" x14ac:dyDescent="0.35">
      <c r="A28" s="17" t="s">
        <v>46</v>
      </c>
      <c r="B28" s="21" t="str">
        <f>VLOOKUP(A28,[7]LISTADHERENT!A$5:H$60,3,0)</f>
        <v>SIME BRICE</v>
      </c>
      <c r="C28" s="32">
        <f>TONTRESUME24!D29</f>
        <v>300000</v>
      </c>
      <c r="D28" s="32">
        <f>TONTRESUME24!F29</f>
        <v>0</v>
      </c>
      <c r="E28" s="32">
        <f>TONTRESUME24!I29</f>
        <v>0</v>
      </c>
      <c r="F28" s="32">
        <f>TONTRESUME24!Q29</f>
        <v>297000</v>
      </c>
      <c r="G28" s="32">
        <f>TONTRESUME24!R29</f>
        <v>3000</v>
      </c>
      <c r="H28" s="22">
        <f>IF(G28=0,"",VLOOKUP(A28,TONTRESUME24!A29:U60,19,0))</f>
        <v>45444</v>
      </c>
      <c r="I28" s="23">
        <f>TONTRESUME24!T29</f>
        <v>7531.25</v>
      </c>
      <c r="J28" s="24">
        <f>TONTRESUME24!U29</f>
        <v>7000</v>
      </c>
    </row>
    <row r="29" spans="1:10" ht="17.5" x14ac:dyDescent="0.35">
      <c r="A29" s="17" t="s">
        <v>24</v>
      </c>
      <c r="B29" s="21" t="str">
        <f>VLOOKUP(A29,[7]LISTADHERENT!A$5:H$60,3,0)</f>
        <v>SIMO PIERRE</v>
      </c>
      <c r="C29" s="32">
        <f>TONTRESUME24!D30</f>
        <v>300000</v>
      </c>
      <c r="D29" s="32">
        <f>TONTRESUME24!F30</f>
        <v>0</v>
      </c>
      <c r="E29" s="32">
        <f>TONTRESUME24!I30</f>
        <v>500</v>
      </c>
      <c r="F29" s="32">
        <f>TONTRESUME24!Q30</f>
        <v>296500</v>
      </c>
      <c r="G29" s="32">
        <f>TONTRESUME24!R30</f>
        <v>3500</v>
      </c>
      <c r="H29" s="22">
        <f>IF(G29=0,"",VLOOKUP(A29,TONTRESUME24!A30:U61,19,0))</f>
        <v>45413</v>
      </c>
      <c r="I29" s="23">
        <f>TONTRESUME24!T30</f>
        <v>7531.25</v>
      </c>
      <c r="J29" s="24">
        <f>TONTRESUME24!U30</f>
        <v>7000</v>
      </c>
    </row>
    <row r="30" spans="1:10" ht="17.5" x14ac:dyDescent="0.35">
      <c r="A30" s="17" t="s">
        <v>26</v>
      </c>
      <c r="B30" s="21" t="str">
        <f>VLOOKUP(A30,[7]LISTADHERENT!A$5:H$60,3,0)</f>
        <v>TCHOUAMOU MATHIEU</v>
      </c>
      <c r="C30" s="32">
        <f>TONTRESUME24!D31</f>
        <v>300000</v>
      </c>
      <c r="D30" s="32">
        <f>TONTRESUME24!F31</f>
        <v>0</v>
      </c>
      <c r="E30" s="32">
        <f>TONTRESUME24!I31</f>
        <v>0</v>
      </c>
      <c r="F30" s="32">
        <f>TONTRESUME24!Q31</f>
        <v>289500</v>
      </c>
      <c r="G30" s="32">
        <f>TONTRESUME24!R31</f>
        <v>10500</v>
      </c>
      <c r="H30" s="22">
        <f>IF(G30=0,"",VLOOKUP(A30,TONTRESUME24!A31:U62,19,0))</f>
        <v>45383</v>
      </c>
      <c r="I30" s="23">
        <f>TONTRESUME24!T31</f>
        <v>7531.25</v>
      </c>
      <c r="J30" s="24">
        <f>TONTRESUME24!U31</f>
        <v>7000</v>
      </c>
    </row>
    <row r="31" spans="1:10" ht="17.5" x14ac:dyDescent="0.35">
      <c r="A31" s="17" t="s">
        <v>95</v>
      </c>
      <c r="B31" s="21" t="str">
        <f>VLOOKUP(A31,[7]LISTADHERENT!A$5:H$60,3,0)</f>
        <v>TCHOUATEU AUGUSTIN</v>
      </c>
      <c r="C31" s="32">
        <f>TONTRESUME24!D32</f>
        <v>300000</v>
      </c>
      <c r="D31" s="32">
        <f>TONTRESUME24!F32</f>
        <v>0</v>
      </c>
      <c r="E31" s="32">
        <f>TONTRESUME24!I32</f>
        <v>0</v>
      </c>
      <c r="F31" s="32">
        <f>TONTRESUME24!Q32</f>
        <v>294000</v>
      </c>
      <c r="G31" s="32">
        <f>TONTRESUME24!R32</f>
        <v>6000</v>
      </c>
      <c r="H31" s="22">
        <f>IF(G31=0,"",VLOOKUP(A31,TONTRESUME24!A32:U63,19,0))</f>
        <v>45536</v>
      </c>
      <c r="I31" s="23">
        <f>TONTRESUME24!T32</f>
        <v>7531.25</v>
      </c>
      <c r="J31" s="24">
        <f>TONTRESUME24!U32</f>
        <v>7000</v>
      </c>
    </row>
    <row r="32" spans="1:10" ht="17.5" x14ac:dyDescent="0.35">
      <c r="A32" s="17" t="s">
        <v>87</v>
      </c>
      <c r="B32" s="21" t="str">
        <f>VLOOKUP(A32,[7]LISTADHERENT!A$5:H$60,3,0)</f>
        <v>TCHOUTOU NANA CLAUDE</v>
      </c>
      <c r="C32" s="32">
        <f>TONTRESUME24!D33</f>
        <v>300000</v>
      </c>
      <c r="D32" s="32">
        <f>TONTRESUME24!F33</f>
        <v>3000</v>
      </c>
      <c r="E32" s="32">
        <f>TONTRESUME24!I33</f>
        <v>0</v>
      </c>
      <c r="F32" s="32">
        <f>TONTRESUME24!Q33</f>
        <v>297500</v>
      </c>
      <c r="G32" s="32">
        <f>TONTRESUME24!R33</f>
        <v>2500</v>
      </c>
      <c r="H32" s="22">
        <f>IF(G32=0,"",VLOOKUP(A32,TONTRESUME24!A33:U64,19,0))</f>
        <v>0</v>
      </c>
      <c r="I32" s="23">
        <f>TONTRESUME24!T33</f>
        <v>7531.25</v>
      </c>
      <c r="J32" s="24">
        <f>TONTRESUME24!U33</f>
        <v>7000</v>
      </c>
    </row>
    <row r="33" spans="1:20" ht="17.5" x14ac:dyDescent="0.35">
      <c r="A33" s="17" t="s">
        <v>89</v>
      </c>
      <c r="B33" s="21" t="str">
        <f>VLOOKUP(A33,[7]LISTADHERENT!A$5:H$60,3,0)</f>
        <v>YANTCHOU GERVAIS</v>
      </c>
      <c r="C33" s="32">
        <f>TONTRESUME24!D34</f>
        <v>300000</v>
      </c>
      <c r="D33" s="32">
        <f>TONTRESUME24!F34</f>
        <v>0</v>
      </c>
      <c r="E33" s="32">
        <f>TONTRESUME24!I34</f>
        <v>0</v>
      </c>
      <c r="F33" s="32">
        <f>TONTRESUME24!Q34</f>
        <v>297500</v>
      </c>
      <c r="G33" s="32">
        <f>TONTRESUME24!R34</f>
        <v>2500</v>
      </c>
      <c r="H33" s="22">
        <f>IF(G33=0,"",VLOOKUP(A33,TONTRESUME24!A34:U65,19,0))</f>
        <v>45597</v>
      </c>
      <c r="I33" s="23">
        <f>TONTRESUME24!T34</f>
        <v>7531.25</v>
      </c>
      <c r="J33" s="24">
        <f>TONTRESUME24!U34</f>
        <v>7000</v>
      </c>
    </row>
    <row r="34" spans="1:20" ht="17.5" x14ac:dyDescent="0.35">
      <c r="A34" s="17" t="s">
        <v>27</v>
      </c>
      <c r="B34" s="21" t="str">
        <f>VLOOKUP(A34,[7]LISTADHERENT!A$5:H$60,3,0)</f>
        <v>YEPMOU JEAN JACQUES</v>
      </c>
      <c r="C34" s="32">
        <f>TONTRESUME24!D35</f>
        <v>300000</v>
      </c>
      <c r="D34" s="32">
        <f>TONTRESUME24!F35</f>
        <v>3000</v>
      </c>
      <c r="E34" s="32">
        <f>TONTRESUME24!I35</f>
        <v>0</v>
      </c>
      <c r="F34" s="32">
        <f>TONTRESUME24!Q35</f>
        <v>297500</v>
      </c>
      <c r="G34" s="32">
        <f>TONTRESUME24!R35</f>
        <v>2500</v>
      </c>
      <c r="H34" s="22">
        <f>IF(G34=0,"",VLOOKUP(A34,TONTRESUME24!A35:U66,19,0))</f>
        <v>0</v>
      </c>
      <c r="I34" s="23">
        <f>TONTRESUME24!T35</f>
        <v>7531.25</v>
      </c>
      <c r="J34" s="24">
        <f>TONTRESUME24!U35</f>
        <v>7000</v>
      </c>
    </row>
    <row r="35" spans="1:20" ht="17.5" x14ac:dyDescent="0.35">
      <c r="A35" s="17" t="s">
        <v>94</v>
      </c>
      <c r="B35" s="21" t="str">
        <f>VLOOKUP(A35,[7]LISTADHERENT!A$5:H$60,3,0)</f>
        <v>YIALA ALAIN OSCAR</v>
      </c>
      <c r="C35" s="32">
        <f>TONTRESUME24!D36</f>
        <v>300000</v>
      </c>
      <c r="D35" s="32">
        <f>TONTRESUME24!F36</f>
        <v>18000</v>
      </c>
      <c r="E35" s="32">
        <f>TONTRESUME24!I36</f>
        <v>0</v>
      </c>
      <c r="F35" s="32">
        <f>TONTRESUME24!Q36</f>
        <v>296000</v>
      </c>
      <c r="G35" s="32">
        <f>TONTRESUME24!R36</f>
        <v>4000</v>
      </c>
      <c r="H35" s="22">
        <f>IF(G35=0,"",VLOOKUP(A35,TONTRESUME24!A36:U67,19,0))</f>
        <v>45536</v>
      </c>
      <c r="I35" s="23">
        <f>TONTRESUME24!T36</f>
        <v>7531.25</v>
      </c>
      <c r="J35" s="24">
        <f>TONTRESUME24!U36</f>
        <v>7000</v>
      </c>
    </row>
    <row r="36" spans="1:20" ht="17.5" x14ac:dyDescent="0.35">
      <c r="A36" s="17" t="s">
        <v>28</v>
      </c>
      <c r="B36" s="21" t="str">
        <f>VLOOKUP(A36,[7]LISTADHERENT!A$5:H$60,3,0)</f>
        <v>YOUMBI EMMANUEL</v>
      </c>
      <c r="C36" s="32">
        <f>TONTRESUME24!D37</f>
        <v>300000</v>
      </c>
      <c r="D36" s="32">
        <f>TONTRESUME24!F37</f>
        <v>0</v>
      </c>
      <c r="E36" s="32">
        <f>TONTRESUME24!I37</f>
        <v>0</v>
      </c>
      <c r="F36" s="32">
        <f>TONTRESUME24!Q37</f>
        <v>297500</v>
      </c>
      <c r="G36" s="32">
        <f>TONTRESUME24!R37</f>
        <v>2500</v>
      </c>
      <c r="H36" s="22">
        <f>IF(G36=0,"",VLOOKUP(A36,TONTRESUME24!A37:U68,19,0))</f>
        <v>45566</v>
      </c>
      <c r="I36" s="23">
        <f>TONTRESUME24!T37</f>
        <v>7531.25</v>
      </c>
      <c r="J36" s="24">
        <f>TONTRESUME24!U37</f>
        <v>7000</v>
      </c>
    </row>
    <row r="37" spans="1:20" ht="17.5" x14ac:dyDescent="0.35">
      <c r="A37" s="17"/>
      <c r="B37" s="25"/>
      <c r="C37" s="25"/>
      <c r="D37" s="25"/>
      <c r="E37" s="26"/>
      <c r="F37" s="27"/>
      <c r="G37" s="27"/>
      <c r="H37" s="25"/>
      <c r="I37" s="23"/>
      <c r="J37" s="24"/>
    </row>
    <row r="38" spans="1:20" ht="18" thickBot="1" x14ac:dyDescent="0.4">
      <c r="A38" s="28" t="s">
        <v>29</v>
      </c>
      <c r="B38" s="29"/>
      <c r="C38" s="29" t="e">
        <f ca="1">SUM(C5:C38)</f>
        <v>#N/A</v>
      </c>
      <c r="D38" s="29" t="e">
        <f ca="1">SUM(D5:D38)</f>
        <v>#N/A</v>
      </c>
      <c r="E38" s="29" t="e">
        <f ca="1">SUM(E5:E38)</f>
        <v>#N/A</v>
      </c>
      <c r="F38" s="29" t="e">
        <f ca="1">SUM(F5:F38)</f>
        <v>#N/A</v>
      </c>
      <c r="G38" s="29" t="e">
        <f ca="1">SUM(G5:G38)</f>
        <v>#N/A</v>
      </c>
      <c r="H38" s="30"/>
      <c r="I38" s="29">
        <f>SUM(I6:I37)</f>
        <v>233468.75</v>
      </c>
      <c r="J38" s="31">
        <f>SUM(J6:J37)</f>
        <v>217000</v>
      </c>
    </row>
    <row r="39" spans="1:20" ht="15" thickTop="1" x14ac:dyDescent="0.35"/>
    <row r="40" spans="1:20" s="2" customFormat="1" x14ac:dyDescent="0.35">
      <c r="A40"/>
      <c r="B40"/>
      <c r="C40"/>
      <c r="D40"/>
      <c r="E40" s="3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s="2" customFormat="1" x14ac:dyDescent="0.35">
      <c r="A41"/>
      <c r="B41"/>
      <c r="C41"/>
      <c r="E41" s="3"/>
      <c r="H41"/>
      <c r="I41"/>
      <c r="J41"/>
      <c r="K41"/>
      <c r="L41"/>
      <c r="M41"/>
      <c r="N41"/>
      <c r="O41"/>
      <c r="P41"/>
      <c r="Q41"/>
      <c r="R41"/>
      <c r="S41"/>
      <c r="T41"/>
    </row>
  </sheetData>
  <autoFilter ref="A4:J36" xr:uid="{F4C65AC0-152A-4F44-8A20-ACC5350804C4}"/>
  <mergeCells count="1">
    <mergeCell ref="A3:J3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23"/>
  <sheetViews>
    <sheetView workbookViewId="0">
      <selection activeCell="C40" sqref="C40"/>
    </sheetView>
  </sheetViews>
  <sheetFormatPr baseColWidth="10" defaultRowHeight="14.5" x14ac:dyDescent="0.35"/>
  <cols>
    <col min="2" max="2" width="21.26953125" bestFit="1" customWidth="1"/>
    <col min="5" max="5" width="23.453125" bestFit="1" customWidth="1"/>
  </cols>
  <sheetData>
    <row r="1" spans="2:10" ht="23.5" x14ac:dyDescent="0.55000000000000004">
      <c r="B1" s="11" t="s">
        <v>56</v>
      </c>
    </row>
    <row r="3" spans="2:10" x14ac:dyDescent="0.35">
      <c r="C3" t="s">
        <v>33</v>
      </c>
      <c r="D3" t="s">
        <v>57</v>
      </c>
      <c r="E3" t="s">
        <v>58</v>
      </c>
      <c r="F3" t="s">
        <v>57</v>
      </c>
      <c r="G3" t="s">
        <v>59</v>
      </c>
      <c r="H3" t="s">
        <v>29</v>
      </c>
      <c r="I3" t="s">
        <v>33</v>
      </c>
      <c r="J3" t="s">
        <v>30</v>
      </c>
    </row>
    <row r="4" spans="2:10" x14ac:dyDescent="0.35">
      <c r="B4" t="s">
        <v>60</v>
      </c>
      <c r="C4" s="2">
        <f>20000*3</f>
        <v>60000</v>
      </c>
      <c r="D4" s="2">
        <f>C4*10/100</f>
        <v>6000</v>
      </c>
      <c r="E4" s="2"/>
      <c r="F4" s="2"/>
      <c r="G4" s="2"/>
      <c r="H4" s="2">
        <f>C4+D4+E4+F4-G4</f>
        <v>66000</v>
      </c>
    </row>
    <row r="5" spans="2:10" x14ac:dyDescent="0.35">
      <c r="B5" t="s">
        <v>61</v>
      </c>
      <c r="C5" s="2">
        <f>20000*5</f>
        <v>100000</v>
      </c>
      <c r="D5" s="2">
        <f>C5*10/100</f>
        <v>10000</v>
      </c>
      <c r="E5" s="2">
        <v>60000</v>
      </c>
      <c r="F5" s="2">
        <v>7500</v>
      </c>
      <c r="G5" s="2"/>
      <c r="H5" s="2">
        <f>D5+E5+F5-G5</f>
        <v>77500</v>
      </c>
      <c r="I5" s="2">
        <v>220000</v>
      </c>
      <c r="J5" s="2">
        <f>I5-H5</f>
        <v>142500</v>
      </c>
    </row>
    <row r="6" spans="2:10" x14ac:dyDescent="0.35">
      <c r="B6" t="s">
        <v>62</v>
      </c>
      <c r="C6" s="2">
        <f>20000*1</f>
        <v>20000</v>
      </c>
      <c r="D6" s="2">
        <f>C6*10/100</f>
        <v>2000</v>
      </c>
      <c r="E6" s="2"/>
      <c r="F6" s="2"/>
      <c r="G6" s="2"/>
      <c r="H6" s="2">
        <f t="shared" ref="H6:H7" si="0">C6+D6+E6+F6-G6</f>
        <v>22000</v>
      </c>
    </row>
    <row r="7" spans="2:10" x14ac:dyDescent="0.35">
      <c r="B7" t="s">
        <v>63</v>
      </c>
      <c r="C7" s="2">
        <f>20000*1</f>
        <v>20000</v>
      </c>
      <c r="D7" s="2">
        <f>C7*10/100</f>
        <v>2000</v>
      </c>
      <c r="E7" s="2">
        <v>50000</v>
      </c>
      <c r="F7" s="2">
        <v>4500</v>
      </c>
      <c r="G7" s="2"/>
      <c r="H7" s="2">
        <f t="shared" si="0"/>
        <v>76500</v>
      </c>
    </row>
    <row r="8" spans="2:10" x14ac:dyDescent="0.35">
      <c r="C8" s="2"/>
      <c r="D8" s="2"/>
      <c r="E8" s="2"/>
      <c r="F8" s="2"/>
      <c r="G8" s="2"/>
      <c r="H8" s="2"/>
    </row>
    <row r="9" spans="2:10" x14ac:dyDescent="0.35">
      <c r="B9" t="s">
        <v>29</v>
      </c>
      <c r="C9" s="2">
        <f>SUM(C4:C8)</f>
        <v>200000</v>
      </c>
      <c r="D9" s="2">
        <f t="shared" ref="D9:H9" si="1">SUM(D4:D8)</f>
        <v>20000</v>
      </c>
      <c r="E9" s="2">
        <f t="shared" si="1"/>
        <v>110000</v>
      </c>
      <c r="F9" s="2">
        <f t="shared" si="1"/>
        <v>12000</v>
      </c>
      <c r="G9" s="2">
        <f t="shared" si="1"/>
        <v>0</v>
      </c>
      <c r="H9" s="2">
        <f t="shared" si="1"/>
        <v>242000</v>
      </c>
    </row>
    <row r="10" spans="2:10" x14ac:dyDescent="0.35">
      <c r="C10" s="2"/>
      <c r="D10" s="2"/>
      <c r="E10" s="2"/>
      <c r="F10" s="2"/>
      <c r="G10" s="2"/>
      <c r="H10" s="2"/>
    </row>
    <row r="11" spans="2:10" x14ac:dyDescent="0.35">
      <c r="C11" s="2"/>
      <c r="D11" s="2"/>
      <c r="E11" s="2"/>
      <c r="F11" s="2"/>
      <c r="G11" s="2"/>
      <c r="H11" s="2"/>
    </row>
    <row r="12" spans="2:10" x14ac:dyDescent="0.35">
      <c r="B12" t="s">
        <v>74</v>
      </c>
      <c r="E12" t="s">
        <v>68</v>
      </c>
    </row>
    <row r="14" spans="2:10" x14ac:dyDescent="0.35">
      <c r="B14" t="s">
        <v>64</v>
      </c>
      <c r="C14" s="2">
        <v>280000</v>
      </c>
      <c r="D14" s="2"/>
      <c r="E14" s="2" t="s">
        <v>69</v>
      </c>
      <c r="F14" s="2">
        <v>580000</v>
      </c>
    </row>
    <row r="15" spans="2:10" x14ac:dyDescent="0.35">
      <c r="B15" t="s">
        <v>65</v>
      </c>
      <c r="C15" s="2">
        <v>280000</v>
      </c>
      <c r="D15" s="2"/>
      <c r="E15" s="2" t="s">
        <v>58</v>
      </c>
      <c r="F15" s="2">
        <v>175500</v>
      </c>
    </row>
    <row r="16" spans="2:10" x14ac:dyDescent="0.35">
      <c r="B16" t="s">
        <v>66</v>
      </c>
      <c r="C16" s="2">
        <v>280000</v>
      </c>
      <c r="D16" s="2"/>
      <c r="E16" s="2" t="s">
        <v>70</v>
      </c>
      <c r="F16" s="2">
        <v>280000</v>
      </c>
    </row>
    <row r="17" spans="2:6" x14ac:dyDescent="0.35">
      <c r="B17" t="s">
        <v>61</v>
      </c>
      <c r="C17" s="2">
        <v>142500</v>
      </c>
      <c r="D17" s="2"/>
      <c r="E17" s="2" t="s">
        <v>71</v>
      </c>
      <c r="F17" s="2">
        <v>240000</v>
      </c>
    </row>
    <row r="18" spans="2:6" x14ac:dyDescent="0.35">
      <c r="B18" t="s">
        <v>67</v>
      </c>
      <c r="C18" s="2">
        <v>200000</v>
      </c>
      <c r="D18" s="2"/>
      <c r="E18" s="2" t="s">
        <v>63</v>
      </c>
      <c r="F18" s="2">
        <v>76500</v>
      </c>
    </row>
    <row r="19" spans="2:6" x14ac:dyDescent="0.35">
      <c r="C19" s="2"/>
      <c r="D19" s="2"/>
      <c r="E19" s="2" t="s">
        <v>72</v>
      </c>
      <c r="F19" s="2">
        <v>66000</v>
      </c>
    </row>
    <row r="20" spans="2:6" x14ac:dyDescent="0.35">
      <c r="C20" s="2">
        <f>SUM(C14:C19)</f>
        <v>1182500</v>
      </c>
      <c r="D20" s="2"/>
      <c r="E20" s="2" t="s">
        <v>73</v>
      </c>
      <c r="F20" s="2">
        <v>22000</v>
      </c>
    </row>
    <row r="21" spans="2:6" x14ac:dyDescent="0.35">
      <c r="C21" s="2"/>
      <c r="D21" s="2"/>
      <c r="E21" s="2"/>
      <c r="F21" s="2"/>
    </row>
    <row r="22" spans="2:6" x14ac:dyDescent="0.35">
      <c r="C22" s="2"/>
      <c r="D22" s="2"/>
      <c r="E22" s="2"/>
      <c r="F22" s="2">
        <f>SUM(F14:F21)</f>
        <v>1440000</v>
      </c>
    </row>
    <row r="23" spans="2:6" x14ac:dyDescent="0.35">
      <c r="C23" s="2"/>
      <c r="D23" s="2">
        <f>F22-C20</f>
        <v>257500</v>
      </c>
      <c r="E23" s="2"/>
      <c r="F2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2</vt:i4>
      </vt:variant>
    </vt:vector>
  </HeadingPairs>
  <TitlesOfParts>
    <vt:vector size="18" baseType="lpstr">
      <vt:lpstr>MODEVERSEMENT</vt:lpstr>
      <vt:lpstr>TONTJANV24</vt:lpstr>
      <vt:lpstr>TONTFEV24</vt:lpstr>
      <vt:lpstr>TONTMARS24</vt:lpstr>
      <vt:lpstr>TONTAVRIL24</vt:lpstr>
      <vt:lpstr>TONTMAI24</vt:lpstr>
      <vt:lpstr>TONTJUIN24</vt:lpstr>
      <vt:lpstr>TONTJUIL24</vt:lpstr>
      <vt:lpstr>TONTAOUT24</vt:lpstr>
      <vt:lpstr>TONTSEPT24</vt:lpstr>
      <vt:lpstr>TONTOCT24</vt:lpstr>
      <vt:lpstr>TONTNOV24</vt:lpstr>
      <vt:lpstr>TONTDEC24</vt:lpstr>
      <vt:lpstr>TONTRESUME24</vt:lpstr>
      <vt:lpstr>TONTRESUME24EDIT</vt:lpstr>
      <vt:lpstr>DEFAILLANCETONTINE</vt:lpstr>
      <vt:lpstr>TONTRESUME24EDIT!Impression_des_titres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HP</cp:lastModifiedBy>
  <dcterms:created xsi:type="dcterms:W3CDTF">2017-07-22T10:59:38Z</dcterms:created>
  <dcterms:modified xsi:type="dcterms:W3CDTF">2026-02-10T10:58:13Z</dcterms:modified>
</cp:coreProperties>
</file>