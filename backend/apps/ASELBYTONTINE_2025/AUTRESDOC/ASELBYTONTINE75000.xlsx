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15480" windowHeight="6810" firstSheet="4" activeTab="4"/>
  </bookViews>
  <sheets>
    <sheet name="MODEPAID" sheetId="3" r:id="rId1"/>
    <sheet name="TONTJUIL" sheetId="38" r:id="rId2"/>
    <sheet name="TONTAOUT" sheetId="42" r:id="rId3"/>
    <sheet name="TONTSEPT" sheetId="55" r:id="rId4"/>
    <sheet name="TONTOCT" sheetId="44" r:id="rId5"/>
    <sheet name="TONTNOV" sheetId="56" r:id="rId6"/>
    <sheet name="TONTDEC" sheetId="57" r:id="rId7"/>
    <sheet name="TONTJANV" sheetId="58" r:id="rId8"/>
    <sheet name="TONTFEV" sheetId="59" r:id="rId9"/>
    <sheet name="TONTMARS" sheetId="60" r:id="rId10"/>
    <sheet name="TONTAVRIL" sheetId="61" r:id="rId11"/>
    <sheet name="TONTMAI" sheetId="62" r:id="rId12"/>
    <sheet name="TONTJUIN" sheetId="63" r:id="rId13"/>
    <sheet name="TONTJUIL2021" sheetId="64" r:id="rId14"/>
    <sheet name="TONTAOUT2021" sheetId="65" r:id="rId15"/>
    <sheet name="TONTSEPT2021" sheetId="66" r:id="rId16"/>
    <sheet name="TONTRESUME" sheetId="53" r:id="rId17"/>
    <sheet name="TONTRESUME (2)" sheetId="68" r:id="rId18"/>
  </sheets>
  <externalReferences>
    <externalReference r:id="rId19"/>
  </externalReferences>
  <definedNames>
    <definedName name="_xlnm._FilterDatabase" localSheetId="2" hidden="1">TONTAOUT!$A$5:$P$24</definedName>
    <definedName name="_xlnm._FilterDatabase" localSheetId="14" hidden="1">TONTAOUT2021!$A$5:$P$24</definedName>
    <definedName name="_xlnm._FilterDatabase" localSheetId="10" hidden="1">TONTAVRIL!$A$5:$P$24</definedName>
    <definedName name="_xlnm._FilterDatabase" localSheetId="6" hidden="1">TONTDEC!$A$5:$P$24</definedName>
    <definedName name="_xlnm._FilterDatabase" localSheetId="8" hidden="1">TONTFEV!$A$5:$P$24</definedName>
    <definedName name="_xlnm._FilterDatabase" localSheetId="7" hidden="1">TONTJANV!$A$5:$P$24</definedName>
    <definedName name="_xlnm._FilterDatabase" localSheetId="1" hidden="1">TONTJUIL!$A$5:$P$24</definedName>
    <definedName name="_xlnm._FilterDatabase" localSheetId="13" hidden="1">TONTJUIL2021!$A$5:$P$24</definedName>
    <definedName name="_xlnm._FilterDatabase" localSheetId="12" hidden="1">TONTJUIN!$A$5:$P$24</definedName>
    <definedName name="_xlnm._FilterDatabase" localSheetId="11" hidden="1">TONTMAI!$A$5:$P$24</definedName>
    <definedName name="_xlnm._FilterDatabase" localSheetId="9" hidden="1">TONTMARS!$A$5:$P$24</definedName>
    <definedName name="_xlnm._FilterDatabase" localSheetId="5" hidden="1">TONTNOV!$A$5:$P$24</definedName>
    <definedName name="_xlnm._FilterDatabase" localSheetId="4" hidden="1">TONTOCT!$A$5:$P$24</definedName>
    <definedName name="_xlnm._FilterDatabase" localSheetId="16" hidden="1">TONTRESUME!$A$5:$J$24</definedName>
    <definedName name="_xlnm._FilterDatabase" localSheetId="17" hidden="1">'TONTRESUME (2)'!$A$5:$J$25</definedName>
    <definedName name="_xlnm._FilterDatabase" localSheetId="3" hidden="1">TONTSEPT!$A$5:$P$24</definedName>
    <definedName name="_xlnm._FilterDatabase" localSheetId="15" hidden="1">TONTSEPT2021!$A$5:$P$24</definedName>
    <definedName name="MODEPAID" localSheetId="0">MODEPAID!$A$1:$A$3</definedName>
    <definedName name="MODEPAID" localSheetId="2">#REF!</definedName>
    <definedName name="MODEPAID" localSheetId="14">#REF!</definedName>
    <definedName name="MODEPAID" localSheetId="10">#REF!</definedName>
    <definedName name="MODEPAID" localSheetId="6">#REF!</definedName>
    <definedName name="MODEPAID" localSheetId="8">#REF!</definedName>
    <definedName name="MODEPAID" localSheetId="7">#REF!</definedName>
    <definedName name="MODEPAID" localSheetId="1">#REF!</definedName>
    <definedName name="MODEPAID" localSheetId="13">#REF!</definedName>
    <definedName name="MODEPAID" localSheetId="12">#REF!</definedName>
    <definedName name="MODEPAID" localSheetId="11">#REF!</definedName>
    <definedName name="MODEPAID" localSheetId="9">#REF!</definedName>
    <definedName name="MODEPAID" localSheetId="5">#REF!</definedName>
    <definedName name="MODEPAID" localSheetId="4">#REF!</definedName>
    <definedName name="MODEPAID" localSheetId="16">#REF!</definedName>
    <definedName name="MODEPAID" localSheetId="17">#REF!</definedName>
    <definedName name="MODEPAID" localSheetId="3">#REF!</definedName>
    <definedName name="MODEPAID" localSheetId="15">#REF!</definedName>
    <definedName name="MODEPAID">#REF!</definedName>
    <definedName name="VALMODEPAID">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53" l="1"/>
  <c r="L7" i="53"/>
  <c r="L8" i="53"/>
  <c r="L9" i="53"/>
  <c r="L10" i="53"/>
  <c r="L11" i="53"/>
  <c r="L12" i="53"/>
  <c r="L13" i="53"/>
  <c r="L14" i="53"/>
  <c r="L15" i="53"/>
  <c r="L16" i="53"/>
  <c r="L17" i="53"/>
  <c r="L18" i="53"/>
  <c r="L19" i="53"/>
  <c r="L20" i="53"/>
  <c r="L21" i="53"/>
  <c r="L22" i="53"/>
  <c r="L23" i="53"/>
  <c r="L24" i="53"/>
  <c r="L6" i="53"/>
  <c r="J28" i="44" l="1"/>
  <c r="J36" i="55" l="1"/>
  <c r="J28" i="55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J33" i="42" l="1"/>
  <c r="J7" i="53"/>
  <c r="J8" i="53"/>
  <c r="J9" i="53"/>
  <c r="J10" i="53"/>
  <c r="J11" i="53"/>
  <c r="J12" i="53"/>
  <c r="J13" i="53"/>
  <c r="J14" i="53"/>
  <c r="J15" i="53"/>
  <c r="J16" i="53"/>
  <c r="J17" i="53"/>
  <c r="J18" i="53"/>
  <c r="J19" i="53"/>
  <c r="J20" i="53"/>
  <c r="J21" i="53"/>
  <c r="J22" i="53"/>
  <c r="J23" i="53"/>
  <c r="J24" i="53"/>
  <c r="J6" i="53"/>
  <c r="K7" i="44"/>
  <c r="J7" i="44" s="1"/>
  <c r="G7" i="53" s="1"/>
  <c r="K8" i="44"/>
  <c r="K9" i="44"/>
  <c r="H8" i="68" s="1"/>
  <c r="K10" i="44"/>
  <c r="J10" i="44" s="1"/>
  <c r="G10" i="68" s="1"/>
  <c r="K11" i="44"/>
  <c r="J11" i="44" s="1"/>
  <c r="K12" i="44"/>
  <c r="K13" i="44"/>
  <c r="K14" i="44"/>
  <c r="J14" i="44" s="1"/>
  <c r="G16" i="68" s="1"/>
  <c r="K15" i="44"/>
  <c r="J15" i="44" s="1"/>
  <c r="G17" i="68" s="1"/>
  <c r="K16" i="44"/>
  <c r="K17" i="44"/>
  <c r="K18" i="44"/>
  <c r="J18" i="44" s="1"/>
  <c r="G20" i="68" s="1"/>
  <c r="K19" i="44"/>
  <c r="H21" i="68" s="1"/>
  <c r="K20" i="44"/>
  <c r="K21" i="44"/>
  <c r="K22" i="44"/>
  <c r="J22" i="44" s="1"/>
  <c r="G22" i="53" s="1"/>
  <c r="K23" i="44"/>
  <c r="J23" i="44" s="1"/>
  <c r="G24" i="68" s="1"/>
  <c r="K24" i="44"/>
  <c r="J8" i="44"/>
  <c r="G8" i="53" s="1"/>
  <c r="J9" i="44"/>
  <c r="J12" i="44"/>
  <c r="G14" i="68" s="1"/>
  <c r="J13" i="44"/>
  <c r="G15" i="68" s="1"/>
  <c r="J16" i="44"/>
  <c r="J17" i="44"/>
  <c r="J20" i="44"/>
  <c r="J21" i="44"/>
  <c r="G23" i="68" s="1"/>
  <c r="J24" i="44"/>
  <c r="J8" i="56"/>
  <c r="J11" i="56"/>
  <c r="J12" i="56"/>
  <c r="J15" i="56"/>
  <c r="J16" i="56"/>
  <c r="J19" i="56"/>
  <c r="J20" i="56"/>
  <c r="J22" i="56"/>
  <c r="J23" i="56"/>
  <c r="J24" i="56"/>
  <c r="J9" i="55"/>
  <c r="J10" i="55"/>
  <c r="J11" i="55"/>
  <c r="J12" i="55"/>
  <c r="G12" i="53" s="1"/>
  <c r="J13" i="55"/>
  <c r="J14" i="55"/>
  <c r="J15" i="55"/>
  <c r="J16" i="55"/>
  <c r="G16" i="53" s="1"/>
  <c r="J17" i="55"/>
  <c r="J18" i="55"/>
  <c r="J19" i="55"/>
  <c r="J11" i="42"/>
  <c r="J12" i="42"/>
  <c r="J13" i="42"/>
  <c r="J14" i="42"/>
  <c r="J15" i="42"/>
  <c r="J16" i="42"/>
  <c r="J17" i="42"/>
  <c r="H7" i="53"/>
  <c r="H8" i="53"/>
  <c r="H12" i="53"/>
  <c r="H19" i="53"/>
  <c r="H20" i="53"/>
  <c r="H21" i="53"/>
  <c r="H6" i="53"/>
  <c r="G6" i="53"/>
  <c r="J10" i="66"/>
  <c r="J11" i="66"/>
  <c r="J12" i="66"/>
  <c r="J13" i="66"/>
  <c r="J14" i="66"/>
  <c r="J15" i="66"/>
  <c r="J16" i="66"/>
  <c r="J17" i="66"/>
  <c r="J18" i="66"/>
  <c r="J19" i="66"/>
  <c r="J20" i="66"/>
  <c r="J21" i="66"/>
  <c r="J22" i="66"/>
  <c r="K7" i="66"/>
  <c r="K8" i="66"/>
  <c r="J8" i="66" s="1"/>
  <c r="D31" i="66" s="1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6" i="66"/>
  <c r="J11" i="65"/>
  <c r="J12" i="65"/>
  <c r="J13" i="65"/>
  <c r="J14" i="65"/>
  <c r="J15" i="65"/>
  <c r="J16" i="65"/>
  <c r="J17" i="65"/>
  <c r="J18" i="65"/>
  <c r="J19" i="65"/>
  <c r="D30" i="65" s="1"/>
  <c r="J20" i="65"/>
  <c r="J21" i="65"/>
  <c r="J22" i="65"/>
  <c r="K7" i="65"/>
  <c r="K8" i="65"/>
  <c r="K9" i="65"/>
  <c r="K10" i="65"/>
  <c r="J10" i="65" s="1"/>
  <c r="K11" i="65"/>
  <c r="K12" i="65"/>
  <c r="K13" i="65"/>
  <c r="K14" i="65"/>
  <c r="K15" i="65"/>
  <c r="K16" i="65"/>
  <c r="K17" i="65"/>
  <c r="K18" i="65"/>
  <c r="K19" i="65"/>
  <c r="K20" i="65"/>
  <c r="K21" i="65"/>
  <c r="K22" i="65"/>
  <c r="K23" i="65"/>
  <c r="K24" i="65"/>
  <c r="K6" i="65"/>
  <c r="J6" i="65" s="1"/>
  <c r="J9" i="65"/>
  <c r="J12" i="64"/>
  <c r="J13" i="64"/>
  <c r="J14" i="64"/>
  <c r="J15" i="64"/>
  <c r="J16" i="64"/>
  <c r="J17" i="64"/>
  <c r="J18" i="64"/>
  <c r="J19" i="64"/>
  <c r="D30" i="64" s="1"/>
  <c r="G30" i="64" s="1"/>
  <c r="J20" i="64"/>
  <c r="J21" i="64"/>
  <c r="K7" i="64"/>
  <c r="K8" i="64"/>
  <c r="K9" i="64"/>
  <c r="K10" i="64"/>
  <c r="J10" i="64" s="1"/>
  <c r="K11" i="64"/>
  <c r="K12" i="64"/>
  <c r="K13" i="64"/>
  <c r="K14" i="64"/>
  <c r="K15" i="64"/>
  <c r="K16" i="64"/>
  <c r="K17" i="64"/>
  <c r="K18" i="64"/>
  <c r="K19" i="64"/>
  <c r="K20" i="64"/>
  <c r="K21" i="64"/>
  <c r="K22" i="64"/>
  <c r="K23" i="64"/>
  <c r="K24" i="64"/>
  <c r="K6" i="64"/>
  <c r="J8" i="62"/>
  <c r="J9" i="62"/>
  <c r="J10" i="62"/>
  <c r="J11" i="62"/>
  <c r="J12" i="62"/>
  <c r="J13" i="62"/>
  <c r="J14" i="62"/>
  <c r="J15" i="62"/>
  <c r="J16" i="62"/>
  <c r="J17" i="62"/>
  <c r="J18" i="62"/>
  <c r="J19" i="62"/>
  <c r="J11" i="63"/>
  <c r="J12" i="63"/>
  <c r="J13" i="63"/>
  <c r="J14" i="63"/>
  <c r="J15" i="63"/>
  <c r="J16" i="63"/>
  <c r="J17" i="63"/>
  <c r="J18" i="63"/>
  <c r="J19" i="63"/>
  <c r="J20" i="63"/>
  <c r="J21" i="63"/>
  <c r="K7" i="63"/>
  <c r="K8" i="63"/>
  <c r="K9" i="63"/>
  <c r="J9" i="63" s="1"/>
  <c r="K10" i="63"/>
  <c r="K11" i="63"/>
  <c r="K12" i="63"/>
  <c r="K13" i="63"/>
  <c r="K14" i="63"/>
  <c r="K15" i="63"/>
  <c r="K16" i="63"/>
  <c r="K17" i="63"/>
  <c r="K18" i="63"/>
  <c r="K19" i="63"/>
  <c r="K20" i="63"/>
  <c r="K21" i="63"/>
  <c r="K22" i="63"/>
  <c r="J22" i="63" s="1"/>
  <c r="K23" i="63"/>
  <c r="K24" i="63"/>
  <c r="K6" i="63"/>
  <c r="K7" i="62"/>
  <c r="K8" i="62"/>
  <c r="K9" i="62"/>
  <c r="K10" i="62"/>
  <c r="K11" i="62"/>
  <c r="K12" i="62"/>
  <c r="K13" i="62"/>
  <c r="K14" i="62"/>
  <c r="K15" i="62"/>
  <c r="K16" i="62"/>
  <c r="K17" i="62"/>
  <c r="K18" i="62"/>
  <c r="K19" i="62"/>
  <c r="K20" i="62"/>
  <c r="K21" i="62"/>
  <c r="J21" i="62" s="1"/>
  <c r="K22" i="62"/>
  <c r="J22" i="62" s="1"/>
  <c r="K23" i="62"/>
  <c r="K24" i="62"/>
  <c r="K6" i="62"/>
  <c r="J11" i="61"/>
  <c r="J12" i="61"/>
  <c r="J13" i="61"/>
  <c r="J14" i="61"/>
  <c r="J15" i="61"/>
  <c r="J16" i="61"/>
  <c r="J17" i="61"/>
  <c r="J18" i="61"/>
  <c r="J19" i="61"/>
  <c r="J20" i="61"/>
  <c r="J21" i="61"/>
  <c r="J22" i="61"/>
  <c r="J23" i="61"/>
  <c r="J24" i="61"/>
  <c r="K7" i="61"/>
  <c r="K8" i="61"/>
  <c r="K9" i="61"/>
  <c r="J9" i="61" s="1"/>
  <c r="K10" i="61"/>
  <c r="K11" i="61"/>
  <c r="K12" i="61"/>
  <c r="K13" i="61"/>
  <c r="K14" i="61"/>
  <c r="K15" i="61"/>
  <c r="K16" i="61"/>
  <c r="K17" i="61"/>
  <c r="K18" i="61"/>
  <c r="K19" i="61"/>
  <c r="K20" i="61"/>
  <c r="K21" i="61"/>
  <c r="K22" i="61"/>
  <c r="K23" i="61"/>
  <c r="K24" i="61"/>
  <c r="K6" i="61"/>
  <c r="J11" i="60"/>
  <c r="J12" i="60"/>
  <c r="J13" i="60"/>
  <c r="J14" i="60"/>
  <c r="J15" i="60"/>
  <c r="J16" i="60"/>
  <c r="J17" i="60"/>
  <c r="J18" i="60"/>
  <c r="J19" i="60"/>
  <c r="J20" i="60"/>
  <c r="J21" i="60"/>
  <c r="J22" i="60"/>
  <c r="J23" i="60"/>
  <c r="J24" i="60"/>
  <c r="K7" i="60"/>
  <c r="K8" i="60"/>
  <c r="K9" i="60"/>
  <c r="J9" i="60" s="1"/>
  <c r="K10" i="60"/>
  <c r="J10" i="60" s="1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6" i="60"/>
  <c r="J11" i="59"/>
  <c r="J12" i="59"/>
  <c r="J13" i="59"/>
  <c r="J14" i="59"/>
  <c r="J15" i="59"/>
  <c r="J16" i="59"/>
  <c r="J17" i="59"/>
  <c r="J18" i="59"/>
  <c r="J19" i="59"/>
  <c r="J20" i="59"/>
  <c r="J21" i="59"/>
  <c r="J22" i="59"/>
  <c r="K7" i="59"/>
  <c r="K8" i="59"/>
  <c r="J8" i="59" s="1"/>
  <c r="K9" i="59"/>
  <c r="K10" i="59"/>
  <c r="J10" i="59" s="1"/>
  <c r="K11" i="59"/>
  <c r="K12" i="59"/>
  <c r="K13" i="59"/>
  <c r="K14" i="59"/>
  <c r="K15" i="59"/>
  <c r="K16" i="59"/>
  <c r="K17" i="59"/>
  <c r="K18" i="59"/>
  <c r="K19" i="59"/>
  <c r="K20" i="59"/>
  <c r="K21" i="59"/>
  <c r="K22" i="59"/>
  <c r="K23" i="59"/>
  <c r="K24" i="59"/>
  <c r="K6" i="59"/>
  <c r="J12" i="58"/>
  <c r="J13" i="58"/>
  <c r="J14" i="58"/>
  <c r="J15" i="58"/>
  <c r="J16" i="58"/>
  <c r="J17" i="58"/>
  <c r="J18" i="58"/>
  <c r="J19" i="58"/>
  <c r="J20" i="58"/>
  <c r="J21" i="58"/>
  <c r="K7" i="58"/>
  <c r="K8" i="58"/>
  <c r="K9" i="58"/>
  <c r="J9" i="58" s="1"/>
  <c r="K10" i="58"/>
  <c r="K11" i="58"/>
  <c r="K12" i="58"/>
  <c r="K13" i="58"/>
  <c r="K14" i="58"/>
  <c r="K15" i="58"/>
  <c r="K16" i="58"/>
  <c r="K17" i="58"/>
  <c r="K18" i="58"/>
  <c r="K19" i="58"/>
  <c r="K20" i="58"/>
  <c r="K21" i="58"/>
  <c r="K22" i="58"/>
  <c r="J22" i="58" s="1"/>
  <c r="K23" i="58"/>
  <c r="K24" i="58"/>
  <c r="K6" i="58"/>
  <c r="J6" i="58" s="1"/>
  <c r="J17" i="57"/>
  <c r="J7" i="57"/>
  <c r="J8" i="57"/>
  <c r="J9" i="57"/>
  <c r="J10" i="57"/>
  <c r="J11" i="57"/>
  <c r="J12" i="57"/>
  <c r="J13" i="57"/>
  <c r="J14" i="57"/>
  <c r="J15" i="57"/>
  <c r="J1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J21" i="57" s="1"/>
  <c r="K22" i="57"/>
  <c r="K23" i="57"/>
  <c r="K24" i="57"/>
  <c r="K6" i="57"/>
  <c r="J6" i="57" s="1"/>
  <c r="K7" i="56"/>
  <c r="K8" i="56"/>
  <c r="K9" i="56"/>
  <c r="J9" i="56" s="1"/>
  <c r="K10" i="56"/>
  <c r="J10" i="56" s="1"/>
  <c r="K11" i="56"/>
  <c r="K12" i="56"/>
  <c r="K13" i="56"/>
  <c r="J13" i="56" s="1"/>
  <c r="G13" i="53" s="1"/>
  <c r="K14" i="56"/>
  <c r="J14" i="56" s="1"/>
  <c r="K15" i="56"/>
  <c r="K16" i="56"/>
  <c r="H16" i="53" s="1"/>
  <c r="K17" i="56"/>
  <c r="J17" i="56" s="1"/>
  <c r="K18" i="56"/>
  <c r="J18" i="56" s="1"/>
  <c r="K19" i="56"/>
  <c r="D30" i="56" s="1"/>
  <c r="K20" i="56"/>
  <c r="K21" i="56"/>
  <c r="J21" i="56" s="1"/>
  <c r="K22" i="56"/>
  <c r="K23" i="56"/>
  <c r="K24" i="56"/>
  <c r="K6" i="56"/>
  <c r="J6" i="56" s="1"/>
  <c r="F6" i="53"/>
  <c r="E7" i="53"/>
  <c r="F7" i="53"/>
  <c r="E8" i="53"/>
  <c r="F8" i="53"/>
  <c r="E9" i="53"/>
  <c r="F9" i="53"/>
  <c r="E10" i="53"/>
  <c r="F10" i="53"/>
  <c r="E11" i="53"/>
  <c r="F11" i="53"/>
  <c r="E12" i="53"/>
  <c r="F12" i="53"/>
  <c r="E13" i="53"/>
  <c r="F13" i="53"/>
  <c r="E14" i="53"/>
  <c r="F14" i="53"/>
  <c r="E15" i="53"/>
  <c r="F15" i="53"/>
  <c r="E16" i="53"/>
  <c r="F16" i="53"/>
  <c r="E17" i="53"/>
  <c r="F17" i="53"/>
  <c r="E18" i="53"/>
  <c r="F18" i="53"/>
  <c r="E19" i="53"/>
  <c r="F19" i="53"/>
  <c r="E20" i="53"/>
  <c r="F20" i="53"/>
  <c r="E21" i="53"/>
  <c r="F21" i="53"/>
  <c r="E22" i="53"/>
  <c r="F22" i="53"/>
  <c r="E23" i="53"/>
  <c r="F23" i="53"/>
  <c r="E24" i="53"/>
  <c r="F24" i="53"/>
  <c r="E6" i="53"/>
  <c r="D7" i="53"/>
  <c r="B24" i="53"/>
  <c r="B23" i="53"/>
  <c r="B22" i="53"/>
  <c r="B21" i="53"/>
  <c r="B20" i="53"/>
  <c r="B19" i="53"/>
  <c r="B18" i="53"/>
  <c r="B17" i="53"/>
  <c r="B16" i="53"/>
  <c r="B15" i="53"/>
  <c r="B14" i="53"/>
  <c r="B13" i="53"/>
  <c r="B12" i="53"/>
  <c r="B11" i="53"/>
  <c r="B10" i="53"/>
  <c r="B9" i="53"/>
  <c r="B8" i="53"/>
  <c r="B7" i="53"/>
  <c r="B6" i="53"/>
  <c r="G2" i="66"/>
  <c r="P26" i="68"/>
  <c r="O26" i="68"/>
  <c r="J25" i="68"/>
  <c r="M25" i="68" s="1"/>
  <c r="H25" i="68"/>
  <c r="F25" i="68"/>
  <c r="E25" i="68"/>
  <c r="B25" i="68"/>
  <c r="J24" i="68"/>
  <c r="M24" i="68" s="1"/>
  <c r="F24" i="68"/>
  <c r="E24" i="68"/>
  <c r="B24" i="68"/>
  <c r="J23" i="68"/>
  <c r="M23" i="68" s="1"/>
  <c r="H23" i="68"/>
  <c r="F23" i="68"/>
  <c r="E23" i="68"/>
  <c r="B23" i="68"/>
  <c r="J22" i="68"/>
  <c r="M22" i="68" s="1"/>
  <c r="H22" i="68"/>
  <c r="F22" i="68"/>
  <c r="E22" i="68"/>
  <c r="B22" i="68"/>
  <c r="J21" i="68"/>
  <c r="M21" i="68" s="1"/>
  <c r="F21" i="68"/>
  <c r="E21" i="68"/>
  <c r="B21" i="68"/>
  <c r="J20" i="68"/>
  <c r="M20" i="68" s="1"/>
  <c r="F20" i="68"/>
  <c r="E20" i="68"/>
  <c r="B20" i="68"/>
  <c r="J19" i="68"/>
  <c r="M19" i="68" s="1"/>
  <c r="H19" i="68"/>
  <c r="F19" i="68"/>
  <c r="E19" i="68"/>
  <c r="B19" i="68"/>
  <c r="J18" i="68"/>
  <c r="M18" i="68" s="1"/>
  <c r="H18" i="68"/>
  <c r="G18" i="68"/>
  <c r="F18" i="68"/>
  <c r="E18" i="68"/>
  <c r="B18" i="68"/>
  <c r="J17" i="68"/>
  <c r="M17" i="68" s="1"/>
  <c r="F17" i="68"/>
  <c r="E17" i="68"/>
  <c r="B17" i="68"/>
  <c r="J16" i="68"/>
  <c r="M16" i="68" s="1"/>
  <c r="H16" i="68"/>
  <c r="F16" i="68"/>
  <c r="E16" i="68"/>
  <c r="B16" i="68"/>
  <c r="J15" i="68"/>
  <c r="M15" i="68" s="1"/>
  <c r="H15" i="68"/>
  <c r="F15" i="68"/>
  <c r="E15" i="68"/>
  <c r="B15" i="68"/>
  <c r="J14" i="68"/>
  <c r="M14" i="68" s="1"/>
  <c r="H14" i="68"/>
  <c r="F14" i="68"/>
  <c r="E14" i="68"/>
  <c r="B14" i="68"/>
  <c r="J13" i="68"/>
  <c r="I13" i="68"/>
  <c r="H13" i="68"/>
  <c r="G13" i="68"/>
  <c r="F13" i="68"/>
  <c r="E13" i="68"/>
  <c r="D13" i="68"/>
  <c r="C13" i="68"/>
  <c r="B13" i="68"/>
  <c r="J12" i="68"/>
  <c r="M12" i="68" s="1"/>
  <c r="I12" i="68"/>
  <c r="H12" i="68"/>
  <c r="G12" i="68"/>
  <c r="F12" i="68"/>
  <c r="E12" i="68"/>
  <c r="D12" i="68"/>
  <c r="C12" i="68"/>
  <c r="B12" i="68"/>
  <c r="J11" i="68"/>
  <c r="M11" i="68" s="1"/>
  <c r="F11" i="68"/>
  <c r="E11" i="68"/>
  <c r="B11" i="68"/>
  <c r="J10" i="68"/>
  <c r="M10" i="68" s="1"/>
  <c r="H10" i="68"/>
  <c r="F10" i="68"/>
  <c r="E10" i="68"/>
  <c r="B10" i="68"/>
  <c r="J9" i="68"/>
  <c r="M9" i="68" s="1"/>
  <c r="I9" i="68"/>
  <c r="H9" i="68"/>
  <c r="G9" i="68"/>
  <c r="F9" i="68"/>
  <c r="E9" i="68"/>
  <c r="D9" i="68"/>
  <c r="C9" i="68"/>
  <c r="B9" i="68"/>
  <c r="J8" i="68"/>
  <c r="M8" i="68" s="1"/>
  <c r="F8" i="68"/>
  <c r="E8" i="68"/>
  <c r="B8" i="68"/>
  <c r="J7" i="68"/>
  <c r="M7" i="68" s="1"/>
  <c r="H7" i="68"/>
  <c r="G7" i="68"/>
  <c r="F7" i="68"/>
  <c r="E7" i="68"/>
  <c r="B7" i="68"/>
  <c r="J6" i="68"/>
  <c r="J27" i="68" s="1"/>
  <c r="H6" i="68"/>
  <c r="H27" i="68" s="1"/>
  <c r="G6" i="68"/>
  <c r="G27" i="68" s="1"/>
  <c r="F6" i="68"/>
  <c r="F27" i="68" s="1"/>
  <c r="E6" i="68"/>
  <c r="E27" i="68" s="1"/>
  <c r="B6" i="68"/>
  <c r="F31" i="66"/>
  <c r="E31" i="66"/>
  <c r="E33" i="66" s="1"/>
  <c r="C31" i="66"/>
  <c r="F30" i="66"/>
  <c r="E30" i="66"/>
  <c r="C30" i="66"/>
  <c r="C33" i="66" s="1"/>
  <c r="P26" i="66"/>
  <c r="N26" i="66"/>
  <c r="M26" i="66"/>
  <c r="I26" i="66"/>
  <c r="G26" i="66"/>
  <c r="F26" i="66"/>
  <c r="O24" i="66"/>
  <c r="J24" i="66"/>
  <c r="D24" i="66"/>
  <c r="C24" i="66"/>
  <c r="B24" i="66"/>
  <c r="O23" i="66"/>
  <c r="J23" i="66"/>
  <c r="D23" i="66"/>
  <c r="C23" i="66"/>
  <c r="B23" i="66"/>
  <c r="O22" i="66"/>
  <c r="D22" i="66"/>
  <c r="C22" i="66"/>
  <c r="B22" i="66"/>
  <c r="O21" i="66"/>
  <c r="D21" i="66"/>
  <c r="C21" i="66"/>
  <c r="B21" i="66"/>
  <c r="O20" i="66"/>
  <c r="D20" i="66"/>
  <c r="C20" i="66"/>
  <c r="B20" i="66"/>
  <c r="O19" i="66"/>
  <c r="D30" i="66"/>
  <c r="G30" i="66" s="1"/>
  <c r="D19" i="66"/>
  <c r="C19" i="66"/>
  <c r="B19" i="66"/>
  <c r="O18" i="66"/>
  <c r="D18" i="66"/>
  <c r="C18" i="66"/>
  <c r="B18" i="66"/>
  <c r="O17" i="66"/>
  <c r="D17" i="66"/>
  <c r="C17" i="66"/>
  <c r="B17" i="66"/>
  <c r="O16" i="66"/>
  <c r="D16" i="66"/>
  <c r="D26" i="66" s="1"/>
  <c r="C16" i="66"/>
  <c r="B16" i="66"/>
  <c r="O15" i="66"/>
  <c r="D15" i="66"/>
  <c r="C15" i="66"/>
  <c r="B15" i="66"/>
  <c r="O14" i="66"/>
  <c r="D14" i="66"/>
  <c r="C14" i="66"/>
  <c r="B14" i="66"/>
  <c r="O13" i="66"/>
  <c r="D13" i="66"/>
  <c r="C13" i="66"/>
  <c r="B13" i="66"/>
  <c r="O12" i="66"/>
  <c r="D12" i="66"/>
  <c r="C12" i="66"/>
  <c r="B12" i="66"/>
  <c r="O11" i="66"/>
  <c r="D11" i="66"/>
  <c r="C11" i="66"/>
  <c r="B11" i="66"/>
  <c r="O10" i="66"/>
  <c r="D10" i="66"/>
  <c r="C10" i="66"/>
  <c r="B10" i="66"/>
  <c r="O9" i="66"/>
  <c r="J9" i="66"/>
  <c r="D9" i="66"/>
  <c r="C9" i="66"/>
  <c r="B9" i="66"/>
  <c r="O8" i="66"/>
  <c r="D8" i="66"/>
  <c r="C8" i="66"/>
  <c r="B8" i="66"/>
  <c r="O7" i="66"/>
  <c r="J7" i="66"/>
  <c r="D7" i="66"/>
  <c r="C7" i="66"/>
  <c r="B7" i="66"/>
  <c r="O6" i="66"/>
  <c r="J6" i="66"/>
  <c r="D6" i="66"/>
  <c r="C6" i="66"/>
  <c r="B6" i="66"/>
  <c r="F31" i="65"/>
  <c r="E31" i="65"/>
  <c r="C31" i="65"/>
  <c r="F30" i="65"/>
  <c r="F33" i="65" s="1"/>
  <c r="E30" i="65"/>
  <c r="E33" i="65" s="1"/>
  <c r="C30" i="65"/>
  <c r="P26" i="65"/>
  <c r="N26" i="65"/>
  <c r="M26" i="65"/>
  <c r="I26" i="65"/>
  <c r="G26" i="65"/>
  <c r="F26" i="65"/>
  <c r="O24" i="65"/>
  <c r="J24" i="65"/>
  <c r="D24" i="65"/>
  <c r="C24" i="65"/>
  <c r="B24" i="65"/>
  <c r="O23" i="65"/>
  <c r="J23" i="65"/>
  <c r="D23" i="65"/>
  <c r="C23" i="65"/>
  <c r="B23" i="65"/>
  <c r="O22" i="65"/>
  <c r="D22" i="65"/>
  <c r="C22" i="65"/>
  <c r="B22" i="65"/>
  <c r="O21" i="65"/>
  <c r="D21" i="65"/>
  <c r="C21" i="65"/>
  <c r="B21" i="65"/>
  <c r="O20" i="65"/>
  <c r="D20" i="65"/>
  <c r="C20" i="65"/>
  <c r="B20" i="65"/>
  <c r="O19" i="65"/>
  <c r="D19" i="65"/>
  <c r="C19" i="65"/>
  <c r="B19" i="65"/>
  <c r="O18" i="65"/>
  <c r="D18" i="65"/>
  <c r="C18" i="65"/>
  <c r="B18" i="65"/>
  <c r="O17" i="65"/>
  <c r="D17" i="65"/>
  <c r="C17" i="65"/>
  <c r="B17" i="65"/>
  <c r="O16" i="65"/>
  <c r="D16" i="65"/>
  <c r="C16" i="65"/>
  <c r="B16" i="65"/>
  <c r="O15" i="65"/>
  <c r="D15" i="65"/>
  <c r="C15" i="65"/>
  <c r="B15" i="65"/>
  <c r="O14" i="65"/>
  <c r="D14" i="65"/>
  <c r="C14" i="65"/>
  <c r="B14" i="65"/>
  <c r="O13" i="65"/>
  <c r="D13" i="65"/>
  <c r="C13" i="65"/>
  <c r="B13" i="65"/>
  <c r="O12" i="65"/>
  <c r="D12" i="65"/>
  <c r="C12" i="65"/>
  <c r="B12" i="65"/>
  <c r="O11" i="65"/>
  <c r="D11" i="65"/>
  <c r="C11" i="65"/>
  <c r="B11" i="65"/>
  <c r="O10" i="65"/>
  <c r="D10" i="65"/>
  <c r="C10" i="65"/>
  <c r="B10" i="65"/>
  <c r="O9" i="65"/>
  <c r="D9" i="65"/>
  <c r="C9" i="65"/>
  <c r="B9" i="65"/>
  <c r="O8" i="65"/>
  <c r="J8" i="65"/>
  <c r="D8" i="65"/>
  <c r="C8" i="65"/>
  <c r="B8" i="65"/>
  <c r="O7" i="65"/>
  <c r="J7" i="65"/>
  <c r="D7" i="65"/>
  <c r="C7" i="65"/>
  <c r="B7" i="65"/>
  <c r="O6" i="65"/>
  <c r="D6" i="65"/>
  <c r="D26" i="65" s="1"/>
  <c r="C6" i="65"/>
  <c r="B6" i="65"/>
  <c r="F31" i="64"/>
  <c r="E31" i="64"/>
  <c r="E33" i="64" s="1"/>
  <c r="C31" i="64"/>
  <c r="F30" i="64"/>
  <c r="E30" i="64"/>
  <c r="C30" i="64"/>
  <c r="C33" i="64" s="1"/>
  <c r="P26" i="64"/>
  <c r="N26" i="64"/>
  <c r="M26" i="64"/>
  <c r="I26" i="64"/>
  <c r="G26" i="64"/>
  <c r="F26" i="64"/>
  <c r="O24" i="64"/>
  <c r="J24" i="64"/>
  <c r="D24" i="64"/>
  <c r="C24" i="64"/>
  <c r="B24" i="64"/>
  <c r="O23" i="64"/>
  <c r="J23" i="64"/>
  <c r="D23" i="64"/>
  <c r="C23" i="64"/>
  <c r="B23" i="64"/>
  <c r="O22" i="64"/>
  <c r="J22" i="64"/>
  <c r="D22" i="64"/>
  <c r="C22" i="64"/>
  <c r="B22" i="64"/>
  <c r="O21" i="64"/>
  <c r="D21" i="64"/>
  <c r="C21" i="64"/>
  <c r="B21" i="64"/>
  <c r="O20" i="64"/>
  <c r="D20" i="64"/>
  <c r="C20" i="64"/>
  <c r="B20" i="64"/>
  <c r="O19" i="64"/>
  <c r="D19" i="64"/>
  <c r="C19" i="64"/>
  <c r="B19" i="64"/>
  <c r="O18" i="64"/>
  <c r="D18" i="64"/>
  <c r="C18" i="64"/>
  <c r="B18" i="64"/>
  <c r="O17" i="64"/>
  <c r="D17" i="64"/>
  <c r="C17" i="64"/>
  <c r="B17" i="64"/>
  <c r="O16" i="64"/>
  <c r="D16" i="64"/>
  <c r="C16" i="64"/>
  <c r="B16" i="64"/>
  <c r="O15" i="64"/>
  <c r="D15" i="64"/>
  <c r="C15" i="64"/>
  <c r="B15" i="64"/>
  <c r="O14" i="64"/>
  <c r="D14" i="64"/>
  <c r="C14" i="64"/>
  <c r="B14" i="64"/>
  <c r="O13" i="64"/>
  <c r="D13" i="64"/>
  <c r="C13" i="64"/>
  <c r="B13" i="64"/>
  <c r="O12" i="64"/>
  <c r="D12" i="64"/>
  <c r="C12" i="64"/>
  <c r="B12" i="64"/>
  <c r="O11" i="64"/>
  <c r="J11" i="64"/>
  <c r="D11" i="64"/>
  <c r="C11" i="64"/>
  <c r="B11" i="64"/>
  <c r="O10" i="64"/>
  <c r="D10" i="64"/>
  <c r="C10" i="64"/>
  <c r="B10" i="64"/>
  <c r="O9" i="64"/>
  <c r="J9" i="64"/>
  <c r="D9" i="64"/>
  <c r="C9" i="64"/>
  <c r="B9" i="64"/>
  <c r="O8" i="64"/>
  <c r="O26" i="64" s="1"/>
  <c r="J8" i="64"/>
  <c r="D8" i="64"/>
  <c r="C8" i="64"/>
  <c r="B8" i="64"/>
  <c r="O7" i="64"/>
  <c r="J7" i="64"/>
  <c r="D7" i="64"/>
  <c r="D26" i="64" s="1"/>
  <c r="C7" i="64"/>
  <c r="B7" i="64"/>
  <c r="O6" i="64"/>
  <c r="D6" i="64"/>
  <c r="C6" i="64"/>
  <c r="B6" i="64"/>
  <c r="F33" i="63"/>
  <c r="E33" i="63"/>
  <c r="F31" i="63"/>
  <c r="E31" i="63"/>
  <c r="C31" i="63"/>
  <c r="C33" i="63" s="1"/>
  <c r="F30" i="63"/>
  <c r="E30" i="63"/>
  <c r="D30" i="63"/>
  <c r="C30" i="63"/>
  <c r="G30" i="63" s="1"/>
  <c r="P26" i="63"/>
  <c r="N26" i="63"/>
  <c r="M26" i="63"/>
  <c r="I26" i="63"/>
  <c r="G26" i="63"/>
  <c r="F26" i="63"/>
  <c r="O24" i="63"/>
  <c r="J24" i="63"/>
  <c r="D24" i="63"/>
  <c r="C24" i="63"/>
  <c r="B24" i="63"/>
  <c r="O23" i="63"/>
  <c r="J23" i="63"/>
  <c r="D23" i="63"/>
  <c r="C23" i="63"/>
  <c r="B23" i="63"/>
  <c r="O22" i="63"/>
  <c r="D22" i="63"/>
  <c r="C22" i="63"/>
  <c r="B22" i="63"/>
  <c r="O21" i="63"/>
  <c r="D21" i="63"/>
  <c r="C21" i="63"/>
  <c r="B21" i="63"/>
  <c r="O20" i="63"/>
  <c r="D20" i="63"/>
  <c r="C20" i="63"/>
  <c r="B20" i="63"/>
  <c r="O19" i="63"/>
  <c r="D19" i="63"/>
  <c r="C19" i="63"/>
  <c r="B19" i="63"/>
  <c r="O18" i="63"/>
  <c r="D18" i="63"/>
  <c r="C18" i="63"/>
  <c r="B18" i="63"/>
  <c r="O17" i="63"/>
  <c r="D17" i="63"/>
  <c r="C17" i="63"/>
  <c r="B17" i="63"/>
  <c r="O16" i="63"/>
  <c r="D16" i="63"/>
  <c r="C16" i="63"/>
  <c r="B16" i="63"/>
  <c r="O15" i="63"/>
  <c r="D15" i="63"/>
  <c r="C15" i="63"/>
  <c r="B15" i="63"/>
  <c r="O14" i="63"/>
  <c r="D14" i="63"/>
  <c r="C14" i="63"/>
  <c r="B14" i="63"/>
  <c r="O13" i="63"/>
  <c r="D13" i="63"/>
  <c r="C13" i="63"/>
  <c r="B13" i="63"/>
  <c r="O12" i="63"/>
  <c r="D12" i="63"/>
  <c r="C12" i="63"/>
  <c r="B12" i="63"/>
  <c r="O11" i="63"/>
  <c r="D11" i="63"/>
  <c r="C11" i="63"/>
  <c r="B11" i="63"/>
  <c r="O10" i="63"/>
  <c r="J10" i="63"/>
  <c r="D10" i="63"/>
  <c r="C10" i="63"/>
  <c r="B10" i="63"/>
  <c r="O9" i="63"/>
  <c r="D9" i="63"/>
  <c r="C9" i="63"/>
  <c r="B9" i="63"/>
  <c r="O8" i="63"/>
  <c r="J8" i="63"/>
  <c r="D8" i="63"/>
  <c r="C8" i="63"/>
  <c r="B8" i="63"/>
  <c r="O7" i="63"/>
  <c r="J7" i="63"/>
  <c r="D7" i="63"/>
  <c r="C7" i="63"/>
  <c r="B7" i="63"/>
  <c r="O6" i="63"/>
  <c r="J6" i="63"/>
  <c r="D6" i="63"/>
  <c r="D26" i="63" s="1"/>
  <c r="C6" i="63"/>
  <c r="C26" i="63" s="1"/>
  <c r="B6" i="63"/>
  <c r="C33" i="62"/>
  <c r="F31" i="62"/>
  <c r="E31" i="62"/>
  <c r="E33" i="62" s="1"/>
  <c r="C31" i="62"/>
  <c r="F30" i="62"/>
  <c r="F33" i="62" s="1"/>
  <c r="E30" i="62"/>
  <c r="C30" i="62"/>
  <c r="P26" i="62"/>
  <c r="N26" i="62"/>
  <c r="M26" i="62"/>
  <c r="I26" i="62"/>
  <c r="G26" i="62"/>
  <c r="F26" i="62"/>
  <c r="O24" i="62"/>
  <c r="J24" i="62"/>
  <c r="D24" i="62"/>
  <c r="C24" i="62"/>
  <c r="B24" i="62"/>
  <c r="O23" i="62"/>
  <c r="J23" i="62"/>
  <c r="D23" i="62"/>
  <c r="C23" i="62"/>
  <c r="B23" i="62"/>
  <c r="O22" i="62"/>
  <c r="D22" i="62"/>
  <c r="C22" i="62"/>
  <c r="B22" i="62"/>
  <c r="O21" i="62"/>
  <c r="D21" i="62"/>
  <c r="C21" i="62"/>
  <c r="B21" i="62"/>
  <c r="O20" i="62"/>
  <c r="J20" i="62"/>
  <c r="D20" i="62"/>
  <c r="C20" i="62"/>
  <c r="B20" i="62"/>
  <c r="O19" i="62"/>
  <c r="D30" i="62"/>
  <c r="D19" i="62"/>
  <c r="C19" i="62"/>
  <c r="B19" i="62"/>
  <c r="O18" i="62"/>
  <c r="D18" i="62"/>
  <c r="C18" i="62"/>
  <c r="B18" i="62"/>
  <c r="O17" i="62"/>
  <c r="D17" i="62"/>
  <c r="C17" i="62"/>
  <c r="B17" i="62"/>
  <c r="O16" i="62"/>
  <c r="D16" i="62"/>
  <c r="C16" i="62"/>
  <c r="B16" i="62"/>
  <c r="O15" i="62"/>
  <c r="D15" i="62"/>
  <c r="C15" i="62"/>
  <c r="B15" i="62"/>
  <c r="O14" i="62"/>
  <c r="D14" i="62"/>
  <c r="C14" i="62"/>
  <c r="C26" i="62" s="1"/>
  <c r="B14" i="62"/>
  <c r="O13" i="62"/>
  <c r="D13" i="62"/>
  <c r="C13" i="62"/>
  <c r="B13" i="62"/>
  <c r="O12" i="62"/>
  <c r="D12" i="62"/>
  <c r="C12" i="62"/>
  <c r="B12" i="62"/>
  <c r="O11" i="62"/>
  <c r="D11" i="62"/>
  <c r="C11" i="62"/>
  <c r="B11" i="62"/>
  <c r="O10" i="62"/>
  <c r="D10" i="62"/>
  <c r="C10" i="62"/>
  <c r="B10" i="62"/>
  <c r="O9" i="62"/>
  <c r="D9" i="62"/>
  <c r="C9" i="62"/>
  <c r="B9" i="62"/>
  <c r="O8" i="62"/>
  <c r="D8" i="62"/>
  <c r="C8" i="62"/>
  <c r="B8" i="62"/>
  <c r="O7" i="62"/>
  <c r="J7" i="62"/>
  <c r="D7" i="62"/>
  <c r="D26" i="62" s="1"/>
  <c r="C7" i="62"/>
  <c r="B7" i="62"/>
  <c r="O6" i="62"/>
  <c r="O26" i="62" s="1"/>
  <c r="J6" i="62"/>
  <c r="D6" i="62"/>
  <c r="C6" i="62"/>
  <c r="B6" i="62"/>
  <c r="E33" i="61"/>
  <c r="F31" i="61"/>
  <c r="E31" i="61"/>
  <c r="C31" i="61"/>
  <c r="F30" i="61"/>
  <c r="F33" i="61" s="1"/>
  <c r="E30" i="61"/>
  <c r="D30" i="61"/>
  <c r="C30" i="61"/>
  <c r="P26" i="61"/>
  <c r="N26" i="61"/>
  <c r="M26" i="61"/>
  <c r="I26" i="61"/>
  <c r="G26" i="61"/>
  <c r="F26" i="61"/>
  <c r="O24" i="61"/>
  <c r="D24" i="61"/>
  <c r="C24" i="61"/>
  <c r="B24" i="61"/>
  <c r="O23" i="61"/>
  <c r="D23" i="61"/>
  <c r="C23" i="61"/>
  <c r="B23" i="61"/>
  <c r="O22" i="61"/>
  <c r="D22" i="61"/>
  <c r="C22" i="61"/>
  <c r="B22" i="61"/>
  <c r="O21" i="61"/>
  <c r="D21" i="61"/>
  <c r="C21" i="61"/>
  <c r="B21" i="61"/>
  <c r="O20" i="61"/>
  <c r="D20" i="61"/>
  <c r="C20" i="61"/>
  <c r="B20" i="61"/>
  <c r="O19" i="61"/>
  <c r="D19" i="61"/>
  <c r="C19" i="61"/>
  <c r="B19" i="61"/>
  <c r="O18" i="61"/>
  <c r="D18" i="61"/>
  <c r="C18" i="61"/>
  <c r="B18" i="61"/>
  <c r="O17" i="61"/>
  <c r="D17" i="61"/>
  <c r="C17" i="61"/>
  <c r="B17" i="61"/>
  <c r="O16" i="61"/>
  <c r="D16" i="61"/>
  <c r="C16" i="61"/>
  <c r="B16" i="61"/>
  <c r="O15" i="61"/>
  <c r="D15" i="61"/>
  <c r="C15" i="61"/>
  <c r="B15" i="61"/>
  <c r="O14" i="61"/>
  <c r="D14" i="61"/>
  <c r="C14" i="61"/>
  <c r="B14" i="61"/>
  <c r="O13" i="61"/>
  <c r="D13" i="61"/>
  <c r="C13" i="61"/>
  <c r="B13" i="61"/>
  <c r="O12" i="61"/>
  <c r="D12" i="61"/>
  <c r="C12" i="61"/>
  <c r="B12" i="61"/>
  <c r="O11" i="61"/>
  <c r="D11" i="61"/>
  <c r="C11" i="61"/>
  <c r="B11" i="61"/>
  <c r="O10" i="61"/>
  <c r="J10" i="61"/>
  <c r="D10" i="61"/>
  <c r="C10" i="61"/>
  <c r="B10" i="61"/>
  <c r="O9" i="61"/>
  <c r="D9" i="61"/>
  <c r="C9" i="61"/>
  <c r="B9" i="61"/>
  <c r="O8" i="61"/>
  <c r="J8" i="61"/>
  <c r="D8" i="61"/>
  <c r="C8" i="61"/>
  <c r="B8" i="61"/>
  <c r="O7" i="61"/>
  <c r="J7" i="61"/>
  <c r="D7" i="61"/>
  <c r="C7" i="61"/>
  <c r="C26" i="61" s="1"/>
  <c r="B7" i="61"/>
  <c r="O6" i="61"/>
  <c r="J6" i="61"/>
  <c r="D6" i="61"/>
  <c r="D26" i="61" s="1"/>
  <c r="C6" i="61"/>
  <c r="B6" i="61"/>
  <c r="C33" i="60"/>
  <c r="F31" i="60"/>
  <c r="E31" i="60"/>
  <c r="E33" i="60" s="1"/>
  <c r="C31" i="60"/>
  <c r="F30" i="60"/>
  <c r="F33" i="60" s="1"/>
  <c r="E30" i="60"/>
  <c r="C30" i="60"/>
  <c r="P26" i="60"/>
  <c r="N26" i="60"/>
  <c r="M26" i="60"/>
  <c r="I26" i="60"/>
  <c r="G26" i="60"/>
  <c r="F26" i="60"/>
  <c r="O24" i="60"/>
  <c r="D24" i="60"/>
  <c r="C24" i="60"/>
  <c r="B24" i="60"/>
  <c r="O23" i="60"/>
  <c r="D23" i="60"/>
  <c r="C23" i="60"/>
  <c r="B23" i="60"/>
  <c r="O22" i="60"/>
  <c r="D22" i="60"/>
  <c r="C22" i="60"/>
  <c r="B22" i="60"/>
  <c r="O21" i="60"/>
  <c r="D21" i="60"/>
  <c r="C21" i="60"/>
  <c r="B21" i="60"/>
  <c r="O20" i="60"/>
  <c r="D20" i="60"/>
  <c r="C20" i="60"/>
  <c r="B20" i="60"/>
  <c r="O19" i="60"/>
  <c r="D30" i="60"/>
  <c r="D19" i="60"/>
  <c r="C19" i="60"/>
  <c r="B19" i="60"/>
  <c r="O18" i="60"/>
  <c r="D18" i="60"/>
  <c r="C18" i="60"/>
  <c r="B18" i="60"/>
  <c r="O17" i="60"/>
  <c r="D17" i="60"/>
  <c r="C17" i="60"/>
  <c r="B17" i="60"/>
  <c r="O16" i="60"/>
  <c r="D16" i="60"/>
  <c r="C16" i="60"/>
  <c r="B16" i="60"/>
  <c r="O15" i="60"/>
  <c r="D15" i="60"/>
  <c r="C15" i="60"/>
  <c r="B15" i="60"/>
  <c r="O14" i="60"/>
  <c r="D14" i="60"/>
  <c r="C14" i="60"/>
  <c r="C26" i="60" s="1"/>
  <c r="B14" i="60"/>
  <c r="O13" i="60"/>
  <c r="D13" i="60"/>
  <c r="C13" i="60"/>
  <c r="B13" i="60"/>
  <c r="O12" i="60"/>
  <c r="D12" i="60"/>
  <c r="C12" i="60"/>
  <c r="B12" i="60"/>
  <c r="O11" i="60"/>
  <c r="D11" i="60"/>
  <c r="C11" i="60"/>
  <c r="B11" i="60"/>
  <c r="O10" i="60"/>
  <c r="D10" i="60"/>
  <c r="C10" i="60"/>
  <c r="B10" i="60"/>
  <c r="O9" i="60"/>
  <c r="D9" i="60"/>
  <c r="C9" i="60"/>
  <c r="B9" i="60"/>
  <c r="O8" i="60"/>
  <c r="J8" i="60"/>
  <c r="D8" i="60"/>
  <c r="C8" i="60"/>
  <c r="B8" i="60"/>
  <c r="O7" i="60"/>
  <c r="J7" i="60"/>
  <c r="D7" i="60"/>
  <c r="D26" i="60" s="1"/>
  <c r="C7" i="60"/>
  <c r="B7" i="60"/>
  <c r="O6" i="60"/>
  <c r="J6" i="60"/>
  <c r="D6" i="60"/>
  <c r="C6" i="60"/>
  <c r="B6" i="60"/>
  <c r="E33" i="59"/>
  <c r="F31" i="59"/>
  <c r="E31" i="59"/>
  <c r="C31" i="59"/>
  <c r="C33" i="59" s="1"/>
  <c r="F30" i="59"/>
  <c r="F33" i="59" s="1"/>
  <c r="E30" i="59"/>
  <c r="C30" i="59"/>
  <c r="P26" i="59"/>
  <c r="N26" i="59"/>
  <c r="M26" i="59"/>
  <c r="I26" i="59"/>
  <c r="G26" i="59"/>
  <c r="F26" i="59"/>
  <c r="O24" i="59"/>
  <c r="J24" i="59"/>
  <c r="D24" i="59"/>
  <c r="C24" i="59"/>
  <c r="B24" i="59"/>
  <c r="O23" i="59"/>
  <c r="J23" i="59"/>
  <c r="D23" i="59"/>
  <c r="C23" i="59"/>
  <c r="B23" i="59"/>
  <c r="O22" i="59"/>
  <c r="D22" i="59"/>
  <c r="C22" i="59"/>
  <c r="B22" i="59"/>
  <c r="O21" i="59"/>
  <c r="D21" i="59"/>
  <c r="C21" i="59"/>
  <c r="B21" i="59"/>
  <c r="O20" i="59"/>
  <c r="D20" i="59"/>
  <c r="C20" i="59"/>
  <c r="B20" i="59"/>
  <c r="O19" i="59"/>
  <c r="D30" i="59"/>
  <c r="D19" i="59"/>
  <c r="C19" i="59"/>
  <c r="B19" i="59"/>
  <c r="O18" i="59"/>
  <c r="D18" i="59"/>
  <c r="C18" i="59"/>
  <c r="B18" i="59"/>
  <c r="O17" i="59"/>
  <c r="D17" i="59"/>
  <c r="C17" i="59"/>
  <c r="B17" i="59"/>
  <c r="O16" i="59"/>
  <c r="D16" i="59"/>
  <c r="C16" i="59"/>
  <c r="B16" i="59"/>
  <c r="O15" i="59"/>
  <c r="D15" i="59"/>
  <c r="C15" i="59"/>
  <c r="B15" i="59"/>
  <c r="O14" i="59"/>
  <c r="D14" i="59"/>
  <c r="C14" i="59"/>
  <c r="B14" i="59"/>
  <c r="O13" i="59"/>
  <c r="D13" i="59"/>
  <c r="C13" i="59"/>
  <c r="B13" i="59"/>
  <c r="O12" i="59"/>
  <c r="D12" i="59"/>
  <c r="C12" i="59"/>
  <c r="B12" i="59"/>
  <c r="O11" i="59"/>
  <c r="D11" i="59"/>
  <c r="C11" i="59"/>
  <c r="B11" i="59"/>
  <c r="O10" i="59"/>
  <c r="D10" i="59"/>
  <c r="C10" i="59"/>
  <c r="B10" i="59"/>
  <c r="O9" i="59"/>
  <c r="J9" i="59"/>
  <c r="D9" i="59"/>
  <c r="C9" i="59"/>
  <c r="B9" i="59"/>
  <c r="O8" i="59"/>
  <c r="D8" i="59"/>
  <c r="C8" i="59"/>
  <c r="B8" i="59"/>
  <c r="O7" i="59"/>
  <c r="J7" i="59"/>
  <c r="D7" i="59"/>
  <c r="C7" i="59"/>
  <c r="C26" i="59" s="1"/>
  <c r="B7" i="59"/>
  <c r="O6" i="59"/>
  <c r="J6" i="59"/>
  <c r="D6" i="59"/>
  <c r="D26" i="59" s="1"/>
  <c r="C6" i="59"/>
  <c r="B6" i="59"/>
  <c r="C33" i="58"/>
  <c r="F31" i="58"/>
  <c r="E31" i="58"/>
  <c r="E33" i="58" s="1"/>
  <c r="C31" i="58"/>
  <c r="F30" i="58"/>
  <c r="F33" i="58" s="1"/>
  <c r="E30" i="58"/>
  <c r="C30" i="58"/>
  <c r="P26" i="58"/>
  <c r="N26" i="58"/>
  <c r="M26" i="58"/>
  <c r="I26" i="58"/>
  <c r="G26" i="58"/>
  <c r="F26" i="58"/>
  <c r="O24" i="58"/>
  <c r="J24" i="58"/>
  <c r="D24" i="58"/>
  <c r="C24" i="58"/>
  <c r="B24" i="58"/>
  <c r="O23" i="58"/>
  <c r="J23" i="58"/>
  <c r="D23" i="58"/>
  <c r="C23" i="58"/>
  <c r="B23" i="58"/>
  <c r="O22" i="58"/>
  <c r="D22" i="58"/>
  <c r="C22" i="58"/>
  <c r="B22" i="58"/>
  <c r="O21" i="58"/>
  <c r="D21" i="58"/>
  <c r="C21" i="58"/>
  <c r="B21" i="58"/>
  <c r="O20" i="58"/>
  <c r="D20" i="58"/>
  <c r="C20" i="58"/>
  <c r="B20" i="58"/>
  <c r="O19" i="58"/>
  <c r="D30" i="58"/>
  <c r="D19" i="58"/>
  <c r="C19" i="58"/>
  <c r="B19" i="58"/>
  <c r="O18" i="58"/>
  <c r="D18" i="58"/>
  <c r="C18" i="58"/>
  <c r="B18" i="58"/>
  <c r="O17" i="58"/>
  <c r="D17" i="58"/>
  <c r="C17" i="58"/>
  <c r="B17" i="58"/>
  <c r="O16" i="58"/>
  <c r="D16" i="58"/>
  <c r="C16" i="58"/>
  <c r="B16" i="58"/>
  <c r="O15" i="58"/>
  <c r="D15" i="58"/>
  <c r="C15" i="58"/>
  <c r="B15" i="58"/>
  <c r="O14" i="58"/>
  <c r="D14" i="58"/>
  <c r="C14" i="58"/>
  <c r="C26" i="58" s="1"/>
  <c r="B14" i="58"/>
  <c r="O13" i="58"/>
  <c r="D13" i="58"/>
  <c r="C13" i="58"/>
  <c r="B13" i="58"/>
  <c r="O12" i="58"/>
  <c r="D12" i="58"/>
  <c r="C12" i="58"/>
  <c r="B12" i="58"/>
  <c r="O11" i="58"/>
  <c r="J11" i="58"/>
  <c r="D11" i="58"/>
  <c r="C11" i="58"/>
  <c r="B11" i="58"/>
  <c r="O10" i="58"/>
  <c r="J10" i="58"/>
  <c r="D10" i="58"/>
  <c r="C10" i="58"/>
  <c r="B10" i="58"/>
  <c r="O9" i="58"/>
  <c r="D9" i="58"/>
  <c r="C9" i="58"/>
  <c r="B9" i="58"/>
  <c r="O8" i="58"/>
  <c r="J8" i="58"/>
  <c r="D8" i="58"/>
  <c r="C8" i="58"/>
  <c r="B8" i="58"/>
  <c r="O7" i="58"/>
  <c r="J7" i="58"/>
  <c r="D7" i="58"/>
  <c r="D26" i="58" s="1"/>
  <c r="C7" i="58"/>
  <c r="B7" i="58"/>
  <c r="O6" i="58"/>
  <c r="D6" i="58"/>
  <c r="C6" i="58"/>
  <c r="B6" i="58"/>
  <c r="E33" i="57"/>
  <c r="F31" i="57"/>
  <c r="E31" i="57"/>
  <c r="C31" i="57"/>
  <c r="F30" i="57"/>
  <c r="E30" i="57"/>
  <c r="C30" i="57"/>
  <c r="C33" i="57" s="1"/>
  <c r="P26" i="57"/>
  <c r="N26" i="57"/>
  <c r="M26" i="57"/>
  <c r="I26" i="57"/>
  <c r="G26" i="57"/>
  <c r="F26" i="57"/>
  <c r="O24" i="57"/>
  <c r="J24" i="57"/>
  <c r="D24" i="57"/>
  <c r="C24" i="57"/>
  <c r="B24" i="57"/>
  <c r="O23" i="57"/>
  <c r="J23" i="57"/>
  <c r="D23" i="57"/>
  <c r="C23" i="57"/>
  <c r="B23" i="57"/>
  <c r="O22" i="57"/>
  <c r="J22" i="57"/>
  <c r="D22" i="57"/>
  <c r="C22" i="57"/>
  <c r="B22" i="57"/>
  <c r="O21" i="57"/>
  <c r="D21" i="57"/>
  <c r="C21" i="57"/>
  <c r="B21" i="57"/>
  <c r="O20" i="57"/>
  <c r="J20" i="57"/>
  <c r="D20" i="57"/>
  <c r="C20" i="57"/>
  <c r="B20" i="57"/>
  <c r="O19" i="57"/>
  <c r="J19" i="57"/>
  <c r="D30" i="57" s="1"/>
  <c r="D19" i="57"/>
  <c r="C19" i="57"/>
  <c r="B19" i="57"/>
  <c r="O18" i="57"/>
  <c r="J18" i="57"/>
  <c r="D18" i="57"/>
  <c r="C18" i="57"/>
  <c r="B18" i="57"/>
  <c r="O17" i="57"/>
  <c r="D17" i="57"/>
  <c r="C17" i="57"/>
  <c r="B17" i="57"/>
  <c r="O16" i="57"/>
  <c r="D16" i="57"/>
  <c r="C16" i="57"/>
  <c r="B16" i="57"/>
  <c r="O15" i="57"/>
  <c r="D15" i="57"/>
  <c r="C15" i="57"/>
  <c r="B15" i="57"/>
  <c r="O14" i="57"/>
  <c r="D14" i="57"/>
  <c r="D26" i="57" s="1"/>
  <c r="C14" i="57"/>
  <c r="B14" i="57"/>
  <c r="O13" i="57"/>
  <c r="D13" i="57"/>
  <c r="C13" i="57"/>
  <c r="B13" i="57"/>
  <c r="O12" i="57"/>
  <c r="D12" i="57"/>
  <c r="C12" i="57"/>
  <c r="B12" i="57"/>
  <c r="O11" i="57"/>
  <c r="D11" i="57"/>
  <c r="C11" i="57"/>
  <c r="B11" i="57"/>
  <c r="O10" i="57"/>
  <c r="D10" i="57"/>
  <c r="C10" i="57"/>
  <c r="B10" i="57"/>
  <c r="O9" i="57"/>
  <c r="D9" i="57"/>
  <c r="C9" i="57"/>
  <c r="B9" i="57"/>
  <c r="O8" i="57"/>
  <c r="D8" i="57"/>
  <c r="C8" i="57"/>
  <c r="B8" i="57"/>
  <c r="O7" i="57"/>
  <c r="D7" i="57"/>
  <c r="C7" i="57"/>
  <c r="B7" i="57"/>
  <c r="O6" i="57"/>
  <c r="D6" i="57"/>
  <c r="C6" i="57"/>
  <c r="C26" i="57" s="1"/>
  <c r="B6" i="57"/>
  <c r="D22" i="44"/>
  <c r="D22" i="53" s="1"/>
  <c r="C22" i="44"/>
  <c r="C22" i="53" s="1"/>
  <c r="B22" i="44"/>
  <c r="D7" i="44"/>
  <c r="C7" i="44"/>
  <c r="C7" i="53" s="1"/>
  <c r="B7" i="44"/>
  <c r="D7" i="38"/>
  <c r="D8" i="38"/>
  <c r="K6" i="44"/>
  <c r="F31" i="56"/>
  <c r="F33" i="56" s="1"/>
  <c r="E31" i="56"/>
  <c r="F30" i="56"/>
  <c r="E30" i="56"/>
  <c r="E33" i="56" s="1"/>
  <c r="P26" i="56"/>
  <c r="N26" i="56"/>
  <c r="M26" i="56"/>
  <c r="I26" i="56"/>
  <c r="G26" i="56"/>
  <c r="F26" i="56"/>
  <c r="O24" i="56"/>
  <c r="D24" i="56"/>
  <c r="C24" i="56"/>
  <c r="B24" i="56"/>
  <c r="O23" i="56"/>
  <c r="D23" i="56"/>
  <c r="C23" i="56"/>
  <c r="B23" i="56"/>
  <c r="O22" i="56"/>
  <c r="D22" i="56"/>
  <c r="C22" i="56"/>
  <c r="B22" i="56"/>
  <c r="O21" i="56"/>
  <c r="D21" i="56"/>
  <c r="C21" i="56"/>
  <c r="B21" i="56"/>
  <c r="O20" i="56"/>
  <c r="D20" i="56"/>
  <c r="C20" i="56"/>
  <c r="B20" i="56"/>
  <c r="O19" i="56"/>
  <c r="D19" i="56"/>
  <c r="C19" i="56"/>
  <c r="C30" i="56" s="1"/>
  <c r="B19" i="56"/>
  <c r="O18" i="56"/>
  <c r="D18" i="56"/>
  <c r="C18" i="56"/>
  <c r="B18" i="56"/>
  <c r="O17" i="56"/>
  <c r="D17" i="56"/>
  <c r="C17" i="56"/>
  <c r="B17" i="56"/>
  <c r="O16" i="56"/>
  <c r="D16" i="56"/>
  <c r="C16" i="56"/>
  <c r="B16" i="56"/>
  <c r="O15" i="56"/>
  <c r="D15" i="56"/>
  <c r="C15" i="56"/>
  <c r="B15" i="56"/>
  <c r="O14" i="56"/>
  <c r="D14" i="56"/>
  <c r="C14" i="56"/>
  <c r="B14" i="56"/>
  <c r="O13" i="56"/>
  <c r="D13" i="56"/>
  <c r="C13" i="56"/>
  <c r="B13" i="56"/>
  <c r="O12" i="56"/>
  <c r="D12" i="56"/>
  <c r="C12" i="56"/>
  <c r="B12" i="56"/>
  <c r="O11" i="56"/>
  <c r="D11" i="56"/>
  <c r="C11" i="56"/>
  <c r="B11" i="56"/>
  <c r="O10" i="56"/>
  <c r="D10" i="56"/>
  <c r="C10" i="56"/>
  <c r="B10" i="56"/>
  <c r="O9" i="56"/>
  <c r="D9" i="56"/>
  <c r="C9" i="56"/>
  <c r="B9" i="56"/>
  <c r="O8" i="56"/>
  <c r="D8" i="56"/>
  <c r="C8" i="56"/>
  <c r="B8" i="56"/>
  <c r="O7" i="56"/>
  <c r="J7" i="56"/>
  <c r="D7" i="56"/>
  <c r="C7" i="56"/>
  <c r="B7" i="56"/>
  <c r="O6" i="56"/>
  <c r="O26" i="56" s="1"/>
  <c r="D6" i="56"/>
  <c r="C6" i="56"/>
  <c r="B6" i="56"/>
  <c r="O26" i="66" l="1"/>
  <c r="O26" i="65"/>
  <c r="O26" i="58"/>
  <c r="O26" i="57"/>
  <c r="G17" i="53"/>
  <c r="G9" i="53"/>
  <c r="H17" i="53"/>
  <c r="H13" i="53"/>
  <c r="H10" i="53"/>
  <c r="K26" i="56"/>
  <c r="H9" i="53"/>
  <c r="G20" i="53"/>
  <c r="J26" i="53"/>
  <c r="G11" i="53"/>
  <c r="G11" i="68"/>
  <c r="H11" i="68"/>
  <c r="H17" i="68"/>
  <c r="H24" i="68"/>
  <c r="G21" i="53"/>
  <c r="H15" i="53"/>
  <c r="G23" i="53"/>
  <c r="G15" i="53"/>
  <c r="G8" i="68"/>
  <c r="H20" i="68"/>
  <c r="H23" i="53"/>
  <c r="H18" i="53"/>
  <c r="H14" i="53"/>
  <c r="H11" i="53"/>
  <c r="J19" i="44"/>
  <c r="G22" i="68"/>
  <c r="H22" i="53"/>
  <c r="G19" i="68"/>
  <c r="G18" i="53"/>
  <c r="G14" i="53"/>
  <c r="G10" i="53"/>
  <c r="G24" i="53"/>
  <c r="G25" i="68"/>
  <c r="H24" i="53"/>
  <c r="F33" i="66"/>
  <c r="J26" i="66"/>
  <c r="D31" i="65"/>
  <c r="G31" i="65" s="1"/>
  <c r="F33" i="64"/>
  <c r="O26" i="63"/>
  <c r="J26" i="62"/>
  <c r="D31" i="62"/>
  <c r="G31" i="62" s="1"/>
  <c r="O26" i="60"/>
  <c r="O26" i="59"/>
  <c r="O26" i="61"/>
  <c r="F33" i="57"/>
  <c r="J26" i="61"/>
  <c r="G30" i="61"/>
  <c r="D31" i="60"/>
  <c r="G31" i="60" s="1"/>
  <c r="G30" i="59"/>
  <c r="J26" i="58"/>
  <c r="D31" i="58"/>
  <c r="G31" i="58" s="1"/>
  <c r="D33" i="58"/>
  <c r="J28" i="58" s="1"/>
  <c r="D31" i="57"/>
  <c r="D33" i="57" s="1"/>
  <c r="J28" i="57" s="1"/>
  <c r="K26" i="57"/>
  <c r="D31" i="56"/>
  <c r="D33" i="56" s="1"/>
  <c r="J26" i="56"/>
  <c r="M6" i="68"/>
  <c r="M26" i="68" s="1"/>
  <c r="J6" i="64"/>
  <c r="J26" i="64" s="1"/>
  <c r="K26" i="64"/>
  <c r="G30" i="65"/>
  <c r="C26" i="64"/>
  <c r="J26" i="65"/>
  <c r="C26" i="65"/>
  <c r="D33" i="66"/>
  <c r="J28" i="66" s="1"/>
  <c r="D31" i="64"/>
  <c r="D33" i="64" s="1"/>
  <c r="J28" i="64" s="1"/>
  <c r="K26" i="65"/>
  <c r="C26" i="66"/>
  <c r="G31" i="66"/>
  <c r="G33" i="66" s="1"/>
  <c r="L27" i="68"/>
  <c r="J30" i="68" s="1"/>
  <c r="J32" i="68" s="1"/>
  <c r="K26" i="66"/>
  <c r="C33" i="65"/>
  <c r="J26" i="60"/>
  <c r="G30" i="62"/>
  <c r="D33" i="60"/>
  <c r="J28" i="60" s="1"/>
  <c r="G30" i="60"/>
  <c r="D31" i="63"/>
  <c r="D33" i="63" s="1"/>
  <c r="J28" i="63" s="1"/>
  <c r="D31" i="61"/>
  <c r="D33" i="61" s="1"/>
  <c r="J26" i="63"/>
  <c r="K26" i="61"/>
  <c r="K26" i="60"/>
  <c r="C33" i="61"/>
  <c r="K26" i="62"/>
  <c r="K26" i="63"/>
  <c r="G30" i="58"/>
  <c r="D31" i="59"/>
  <c r="D33" i="59" s="1"/>
  <c r="J28" i="59" s="1"/>
  <c r="J26" i="59"/>
  <c r="K26" i="59"/>
  <c r="K26" i="58"/>
  <c r="G31" i="57"/>
  <c r="J26" i="57"/>
  <c r="G30" i="57"/>
  <c r="C26" i="56"/>
  <c r="D26" i="56"/>
  <c r="G30" i="56"/>
  <c r="C31" i="56"/>
  <c r="J29" i="38"/>
  <c r="D30" i="38"/>
  <c r="D31" i="42"/>
  <c r="D30" i="42"/>
  <c r="D31" i="55"/>
  <c r="D30" i="55"/>
  <c r="C22" i="55"/>
  <c r="K7" i="55"/>
  <c r="K8" i="55"/>
  <c r="K9" i="55"/>
  <c r="K10" i="55"/>
  <c r="K11" i="55"/>
  <c r="K12" i="55"/>
  <c r="K13" i="55"/>
  <c r="K14" i="55"/>
  <c r="K15" i="55"/>
  <c r="K16" i="55"/>
  <c r="K17" i="55"/>
  <c r="K18" i="55"/>
  <c r="K19" i="55"/>
  <c r="K20" i="55"/>
  <c r="K21" i="55"/>
  <c r="J21" i="55" s="1"/>
  <c r="K22" i="55"/>
  <c r="J22" i="55" s="1"/>
  <c r="K23" i="55"/>
  <c r="K24" i="55"/>
  <c r="K6" i="55"/>
  <c r="F31" i="55"/>
  <c r="E31" i="55"/>
  <c r="F30" i="55"/>
  <c r="E30" i="55"/>
  <c r="P26" i="55"/>
  <c r="N26" i="55"/>
  <c r="M26" i="55"/>
  <c r="I26" i="55"/>
  <c r="G26" i="55"/>
  <c r="F26" i="55"/>
  <c r="J33" i="55" s="1"/>
  <c r="O24" i="55"/>
  <c r="J24" i="55"/>
  <c r="D24" i="55"/>
  <c r="C24" i="55"/>
  <c r="B24" i="55"/>
  <c r="O23" i="55"/>
  <c r="J23" i="55"/>
  <c r="D23" i="55"/>
  <c r="C23" i="55"/>
  <c r="B23" i="55"/>
  <c r="O22" i="55"/>
  <c r="D22" i="55"/>
  <c r="B22" i="55"/>
  <c r="O21" i="55"/>
  <c r="D21" i="55"/>
  <c r="C21" i="55"/>
  <c r="B21" i="55"/>
  <c r="O20" i="55"/>
  <c r="J20" i="55"/>
  <c r="D20" i="55"/>
  <c r="C20" i="55"/>
  <c r="B20" i="55"/>
  <c r="O19" i="55"/>
  <c r="D19" i="55"/>
  <c r="C19" i="55"/>
  <c r="C30" i="55" s="1"/>
  <c r="B19" i="55"/>
  <c r="O18" i="55"/>
  <c r="D18" i="55"/>
  <c r="C18" i="55"/>
  <c r="B18" i="55"/>
  <c r="O17" i="55"/>
  <c r="D17" i="55"/>
  <c r="C17" i="55"/>
  <c r="B17" i="55"/>
  <c r="O16" i="55"/>
  <c r="D16" i="55"/>
  <c r="C16" i="55"/>
  <c r="B16" i="55"/>
  <c r="O15" i="55"/>
  <c r="D15" i="55"/>
  <c r="C15" i="55"/>
  <c r="B15" i="55"/>
  <c r="O14" i="55"/>
  <c r="D14" i="55"/>
  <c r="C14" i="55"/>
  <c r="B14" i="55"/>
  <c r="O13" i="55"/>
  <c r="D13" i="55"/>
  <c r="C13" i="55"/>
  <c r="B13" i="55"/>
  <c r="O12" i="55"/>
  <c r="D12" i="55"/>
  <c r="C12" i="55"/>
  <c r="B12" i="55"/>
  <c r="O11" i="55"/>
  <c r="D11" i="55"/>
  <c r="C11" i="55"/>
  <c r="B11" i="55"/>
  <c r="O10" i="55"/>
  <c r="D10" i="55"/>
  <c r="C10" i="55"/>
  <c r="B10" i="55"/>
  <c r="O9" i="55"/>
  <c r="D9" i="55"/>
  <c r="C9" i="55"/>
  <c r="B9" i="55"/>
  <c r="O8" i="55"/>
  <c r="D8" i="55"/>
  <c r="C8" i="55"/>
  <c r="B8" i="55"/>
  <c r="O7" i="55"/>
  <c r="J7" i="55"/>
  <c r="D7" i="55"/>
  <c r="C7" i="55"/>
  <c r="B7" i="55"/>
  <c r="O6" i="55"/>
  <c r="D6" i="55"/>
  <c r="C6" i="55"/>
  <c r="B6" i="55"/>
  <c r="C22" i="38"/>
  <c r="O22" i="38"/>
  <c r="K22" i="38"/>
  <c r="J22" i="38"/>
  <c r="D22" i="38"/>
  <c r="B22" i="38"/>
  <c r="O22" i="42"/>
  <c r="K22" i="42"/>
  <c r="J22" i="42"/>
  <c r="D22" i="42"/>
  <c r="B22" i="42"/>
  <c r="D7" i="42"/>
  <c r="D8" i="42"/>
  <c r="K7" i="42"/>
  <c r="K8" i="42"/>
  <c r="K9" i="42"/>
  <c r="J9" i="42" s="1"/>
  <c r="K10" i="42"/>
  <c r="J10" i="42" s="1"/>
  <c r="K11" i="42"/>
  <c r="K12" i="42"/>
  <c r="K13" i="42"/>
  <c r="K14" i="42"/>
  <c r="K15" i="42"/>
  <c r="K16" i="42"/>
  <c r="K17" i="42"/>
  <c r="K18" i="42"/>
  <c r="J18" i="42" s="1"/>
  <c r="K19" i="42"/>
  <c r="K20" i="42"/>
  <c r="K21" i="42"/>
  <c r="J21" i="42" s="1"/>
  <c r="K23" i="42"/>
  <c r="K24" i="42"/>
  <c r="J24" i="42" s="1"/>
  <c r="J8" i="42"/>
  <c r="O7" i="42"/>
  <c r="C7" i="42"/>
  <c r="B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3" i="42"/>
  <c r="C24" i="42"/>
  <c r="J19" i="42"/>
  <c r="J20" i="42"/>
  <c r="J23" i="42"/>
  <c r="K6" i="42"/>
  <c r="J6" i="42" s="1"/>
  <c r="D33" i="65" l="1"/>
  <c r="I22" i="53"/>
  <c r="G21" i="68"/>
  <c r="G19" i="53"/>
  <c r="G26" i="53" s="1"/>
  <c r="H26" i="53"/>
  <c r="G33" i="65"/>
  <c r="J28" i="65"/>
  <c r="J29" i="65" s="1"/>
  <c r="J31" i="65" s="1"/>
  <c r="D33" i="62"/>
  <c r="J28" i="62" s="1"/>
  <c r="G33" i="62"/>
  <c r="G31" i="56"/>
  <c r="G33" i="60"/>
  <c r="G33" i="58"/>
  <c r="G33" i="57"/>
  <c r="J29" i="64"/>
  <c r="J31" i="64" s="1"/>
  <c r="J29" i="66"/>
  <c r="J31" i="66"/>
  <c r="G31" i="64"/>
  <c r="G33" i="64" s="1"/>
  <c r="J29" i="60"/>
  <c r="J31" i="60" s="1"/>
  <c r="J29" i="63"/>
  <c r="J31" i="63" s="1"/>
  <c r="G31" i="61"/>
  <c r="G33" i="61" s="1"/>
  <c r="G31" i="63"/>
  <c r="G33" i="63" s="1"/>
  <c r="J28" i="61"/>
  <c r="J29" i="62"/>
  <c r="J31" i="62" s="1"/>
  <c r="J29" i="59"/>
  <c r="J31" i="59"/>
  <c r="J29" i="58"/>
  <c r="J31" i="58" s="1"/>
  <c r="G31" i="59"/>
  <c r="G33" i="59" s="1"/>
  <c r="J29" i="57"/>
  <c r="J31" i="57" s="1"/>
  <c r="C33" i="56"/>
  <c r="J28" i="56" s="1"/>
  <c r="J29" i="56" s="1"/>
  <c r="J31" i="56" s="1"/>
  <c r="G33" i="56"/>
  <c r="E33" i="55"/>
  <c r="F33" i="55"/>
  <c r="O26" i="55"/>
  <c r="C31" i="55"/>
  <c r="G31" i="55" s="1"/>
  <c r="D26" i="55"/>
  <c r="K26" i="55"/>
  <c r="D33" i="55"/>
  <c r="G30" i="55"/>
  <c r="C26" i="55"/>
  <c r="J6" i="55"/>
  <c r="J8" i="55"/>
  <c r="O7" i="38"/>
  <c r="I7" i="53" s="1"/>
  <c r="O8" i="38"/>
  <c r="K7" i="38"/>
  <c r="K8" i="38"/>
  <c r="K9" i="38"/>
  <c r="K10" i="38"/>
  <c r="C7" i="38"/>
  <c r="B7" i="38"/>
  <c r="C11" i="38"/>
  <c r="C12" i="38"/>
  <c r="C13" i="38"/>
  <c r="C14" i="38"/>
  <c r="C15" i="38"/>
  <c r="D11" i="38"/>
  <c r="J29" i="61" l="1"/>
  <c r="J31" i="61" s="1"/>
  <c r="C33" i="55"/>
  <c r="G33" i="55"/>
  <c r="J26" i="55"/>
  <c r="J29" i="55" l="1"/>
  <c r="J31" i="55" s="1"/>
  <c r="B8" i="44" l="1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3" i="44"/>
  <c r="B24" i="44"/>
  <c r="B6" i="44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3" i="42"/>
  <c r="B24" i="42"/>
  <c r="B6" i="42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3" i="38"/>
  <c r="B24" i="38"/>
  <c r="B6" i="38"/>
  <c r="O11" i="38" l="1"/>
  <c r="O12" i="38"/>
  <c r="O13" i="38"/>
  <c r="O14" i="38"/>
  <c r="O15" i="38"/>
  <c r="O16" i="38"/>
  <c r="O17" i="38"/>
  <c r="O18" i="38"/>
  <c r="O19" i="38"/>
  <c r="O20" i="38"/>
  <c r="O21" i="38"/>
  <c r="O23" i="38"/>
  <c r="O24" i="38"/>
  <c r="O9" i="38"/>
  <c r="O10" i="38"/>
  <c r="K11" i="38"/>
  <c r="K12" i="38"/>
  <c r="K13" i="38"/>
  <c r="K14" i="38"/>
  <c r="K15" i="38"/>
  <c r="K16" i="38"/>
  <c r="K17" i="38"/>
  <c r="K18" i="38"/>
  <c r="K19" i="38"/>
  <c r="K20" i="38"/>
  <c r="K21" i="38"/>
  <c r="K23" i="38"/>
  <c r="K24" i="38"/>
  <c r="J6" i="44"/>
  <c r="F31" i="44"/>
  <c r="E31" i="44"/>
  <c r="D31" i="44"/>
  <c r="F30" i="44"/>
  <c r="E30" i="44"/>
  <c r="P26" i="44"/>
  <c r="N26" i="44"/>
  <c r="M26" i="44"/>
  <c r="I26" i="44"/>
  <c r="G26" i="44"/>
  <c r="F26" i="44"/>
  <c r="D24" i="44"/>
  <c r="C24" i="44"/>
  <c r="D23" i="44"/>
  <c r="C23" i="44"/>
  <c r="D21" i="44"/>
  <c r="C21" i="44"/>
  <c r="D20" i="44"/>
  <c r="C20" i="44"/>
  <c r="D19" i="44"/>
  <c r="C19" i="44"/>
  <c r="D18" i="44"/>
  <c r="C18" i="44"/>
  <c r="D17" i="44"/>
  <c r="C17" i="44"/>
  <c r="D16" i="44"/>
  <c r="C16" i="44"/>
  <c r="D15" i="44"/>
  <c r="C15" i="44"/>
  <c r="D14" i="44"/>
  <c r="C14" i="44"/>
  <c r="D13" i="44"/>
  <c r="C13" i="44"/>
  <c r="D12" i="44"/>
  <c r="C12" i="44"/>
  <c r="D11" i="44"/>
  <c r="C11" i="44"/>
  <c r="D10" i="44"/>
  <c r="C10" i="44"/>
  <c r="D9" i="44"/>
  <c r="C9" i="44"/>
  <c r="D8" i="44"/>
  <c r="C8" i="44"/>
  <c r="O6" i="44"/>
  <c r="D6" i="44"/>
  <c r="C6" i="44"/>
  <c r="C8" i="53" l="1"/>
  <c r="C7" i="68"/>
  <c r="D9" i="53"/>
  <c r="D8" i="68"/>
  <c r="C12" i="53"/>
  <c r="C14" i="68"/>
  <c r="D15" i="68"/>
  <c r="D13" i="53"/>
  <c r="C16" i="53"/>
  <c r="C18" i="68"/>
  <c r="D19" i="68"/>
  <c r="D17" i="53"/>
  <c r="C20" i="53"/>
  <c r="C22" i="68"/>
  <c r="D23" i="68"/>
  <c r="D21" i="53"/>
  <c r="D7" i="68"/>
  <c r="D8" i="53"/>
  <c r="C11" i="68"/>
  <c r="C11" i="53"/>
  <c r="D12" i="53"/>
  <c r="D14" i="68"/>
  <c r="C15" i="53"/>
  <c r="C17" i="68"/>
  <c r="D16" i="53"/>
  <c r="D18" i="68"/>
  <c r="C21" i="68"/>
  <c r="C19" i="53"/>
  <c r="D22" i="68"/>
  <c r="D20" i="53"/>
  <c r="C24" i="53"/>
  <c r="C25" i="68"/>
  <c r="C10" i="53"/>
  <c r="C10" i="68"/>
  <c r="D11" i="53"/>
  <c r="D11" i="68"/>
  <c r="C14" i="53"/>
  <c r="C16" i="68"/>
  <c r="D17" i="68"/>
  <c r="D15" i="53"/>
  <c r="C18" i="53"/>
  <c r="C20" i="68"/>
  <c r="D19" i="53"/>
  <c r="D21" i="68"/>
  <c r="C24" i="68"/>
  <c r="C23" i="53"/>
  <c r="D24" i="53"/>
  <c r="D25" i="68"/>
  <c r="C8" i="68"/>
  <c r="C9" i="53"/>
  <c r="D10" i="53"/>
  <c r="D10" i="68"/>
  <c r="C13" i="53"/>
  <c r="C15" i="68"/>
  <c r="D14" i="53"/>
  <c r="D16" i="68"/>
  <c r="C17" i="53"/>
  <c r="C19" i="68"/>
  <c r="D18" i="53"/>
  <c r="D20" i="68"/>
  <c r="C23" i="68"/>
  <c r="C21" i="53"/>
  <c r="D24" i="68"/>
  <c r="D23" i="53"/>
  <c r="D6" i="53"/>
  <c r="D6" i="68"/>
  <c r="D27" i="68" s="1"/>
  <c r="C6" i="68"/>
  <c r="C27" i="68" s="1"/>
  <c r="C6" i="53"/>
  <c r="F33" i="44"/>
  <c r="O26" i="44"/>
  <c r="E33" i="44"/>
  <c r="D30" i="44"/>
  <c r="D33" i="44" s="1"/>
  <c r="F26" i="53"/>
  <c r="C30" i="44"/>
  <c r="C31" i="44"/>
  <c r="G31" i="44" s="1"/>
  <c r="D26" i="44"/>
  <c r="C26" i="44"/>
  <c r="K26" i="44"/>
  <c r="E26" i="53"/>
  <c r="J26" i="44"/>
  <c r="G30" i="44" l="1"/>
  <c r="G33" i="44" s="1"/>
  <c r="J29" i="53"/>
  <c r="J31" i="53" s="1"/>
  <c r="C33" i="44"/>
  <c r="J29" i="44" s="1"/>
  <c r="F31" i="42"/>
  <c r="E31" i="42"/>
  <c r="F30" i="42"/>
  <c r="E30" i="42"/>
  <c r="P26" i="42"/>
  <c r="N26" i="42"/>
  <c r="M26" i="42"/>
  <c r="I26" i="42"/>
  <c r="G26" i="42"/>
  <c r="F26" i="42"/>
  <c r="O24" i="42"/>
  <c r="D24" i="42"/>
  <c r="O23" i="42"/>
  <c r="D23" i="42"/>
  <c r="O21" i="42"/>
  <c r="D21" i="42"/>
  <c r="O20" i="42"/>
  <c r="D20" i="42"/>
  <c r="O19" i="42"/>
  <c r="D19" i="42"/>
  <c r="O18" i="42"/>
  <c r="D18" i="42"/>
  <c r="O17" i="42"/>
  <c r="D17" i="42"/>
  <c r="O16" i="42"/>
  <c r="D16" i="42"/>
  <c r="O15" i="42"/>
  <c r="D15" i="42"/>
  <c r="O14" i="42"/>
  <c r="D14" i="42"/>
  <c r="O13" i="42"/>
  <c r="D13" i="42"/>
  <c r="O12" i="42"/>
  <c r="D12" i="42"/>
  <c r="O11" i="42"/>
  <c r="D11" i="42"/>
  <c r="O10" i="42"/>
  <c r="D10" i="42"/>
  <c r="O9" i="42"/>
  <c r="D9" i="42"/>
  <c r="O8" i="42"/>
  <c r="O6" i="42"/>
  <c r="D6" i="42"/>
  <c r="C6" i="42"/>
  <c r="I7" i="68" l="1"/>
  <c r="I8" i="53"/>
  <c r="I10" i="68"/>
  <c r="I10" i="53"/>
  <c r="I14" i="68"/>
  <c r="I12" i="53"/>
  <c r="I14" i="53"/>
  <c r="I16" i="68"/>
  <c r="I16" i="53"/>
  <c r="I18" i="68"/>
  <c r="I18" i="53"/>
  <c r="I20" i="68"/>
  <c r="I22" i="68"/>
  <c r="I20" i="53"/>
  <c r="I24" i="68"/>
  <c r="I23" i="53"/>
  <c r="I8" i="68"/>
  <c r="I9" i="53"/>
  <c r="I11" i="68"/>
  <c r="I11" i="53"/>
  <c r="I13" i="53"/>
  <c r="I15" i="68"/>
  <c r="I17" i="68"/>
  <c r="I15" i="53"/>
  <c r="I19" i="68"/>
  <c r="I17" i="53"/>
  <c r="I19" i="53"/>
  <c r="I21" i="68"/>
  <c r="I23" i="68"/>
  <c r="I21" i="53"/>
  <c r="I24" i="53"/>
  <c r="I25" i="68"/>
  <c r="J31" i="44"/>
  <c r="J33" i="44" s="1"/>
  <c r="J33" i="56" s="1"/>
  <c r="J33" i="57" s="1"/>
  <c r="J33" i="58" s="1"/>
  <c r="J33" i="59" s="1"/>
  <c r="J33" i="60" s="1"/>
  <c r="J33" i="61" s="1"/>
  <c r="J33" i="62" s="1"/>
  <c r="J33" i="63" s="1"/>
  <c r="J33" i="64" s="1"/>
  <c r="J33" i="65" s="1"/>
  <c r="J33" i="66" s="1"/>
  <c r="C30" i="42"/>
  <c r="D33" i="42"/>
  <c r="E33" i="42"/>
  <c r="F33" i="42"/>
  <c r="O26" i="42"/>
  <c r="C31" i="42"/>
  <c r="G31" i="42" s="1"/>
  <c r="D26" i="42"/>
  <c r="C26" i="42"/>
  <c r="O6" i="38"/>
  <c r="I6" i="53" l="1"/>
  <c r="I26" i="53" s="1"/>
  <c r="I6" i="68"/>
  <c r="I27" i="68" s="1"/>
  <c r="G30" i="42"/>
  <c r="G33" i="42" s="1"/>
  <c r="C33" i="42"/>
  <c r="J28" i="42" s="1"/>
  <c r="J29" i="42" s="1"/>
  <c r="P26" i="38"/>
  <c r="D13" i="38"/>
  <c r="C6" i="38"/>
  <c r="C8" i="38"/>
  <c r="C9" i="38"/>
  <c r="C10" i="38"/>
  <c r="C16" i="38"/>
  <c r="C17" i="38"/>
  <c r="C18" i="38"/>
  <c r="C19" i="38"/>
  <c r="C20" i="38"/>
  <c r="C21" i="38"/>
  <c r="C23" i="38"/>
  <c r="C24" i="38"/>
  <c r="J31" i="42" l="1"/>
  <c r="C26" i="53"/>
  <c r="D31" i="38" l="1"/>
  <c r="D20" i="38" l="1"/>
  <c r="D21" i="38"/>
  <c r="D23" i="38"/>
  <c r="D24" i="38"/>
  <c r="F31" i="38" l="1"/>
  <c r="E31" i="38"/>
  <c r="C31" i="38"/>
  <c r="F30" i="38"/>
  <c r="E30" i="38"/>
  <c r="N26" i="38"/>
  <c r="I26" i="38"/>
  <c r="F33" i="38" l="1"/>
  <c r="C30" i="38"/>
  <c r="C33" i="38" s="1"/>
  <c r="E33" i="38"/>
  <c r="F26" i="38"/>
  <c r="D19" i="38"/>
  <c r="D18" i="38"/>
  <c r="D17" i="38"/>
  <c r="D16" i="38"/>
  <c r="D15" i="38"/>
  <c r="D14" i="38"/>
  <c r="D12" i="38"/>
  <c r="D10" i="38"/>
  <c r="D9" i="38"/>
  <c r="D6" i="38"/>
  <c r="D26" i="53" l="1"/>
  <c r="G31" i="38"/>
  <c r="D26" i="38"/>
  <c r="O26" i="38"/>
  <c r="C26" i="38" l="1"/>
  <c r="D33" i="38"/>
  <c r="J28" i="38" s="1"/>
  <c r="G30" i="38"/>
  <c r="G33" i="38" s="1"/>
  <c r="G26" i="38"/>
  <c r="J31" i="38" l="1"/>
  <c r="J33" i="38" s="1"/>
  <c r="M26" i="38"/>
  <c r="J26" i="38"/>
  <c r="K6" i="38"/>
  <c r="K26" i="38" l="1"/>
  <c r="K26" i="42" l="1"/>
  <c r="J7" i="42"/>
  <c r="J26" i="42" s="1"/>
</calcChain>
</file>

<file path=xl/sharedStrings.xml><?xml version="1.0" encoding="utf-8"?>
<sst xmlns="http://schemas.openxmlformats.org/spreadsheetml/2006/main" count="1210" uniqueCount="60">
  <si>
    <t>ASSOCIATION</t>
  </si>
  <si>
    <t>ASELBY</t>
  </si>
  <si>
    <t>ANNEE</t>
  </si>
  <si>
    <t xml:space="preserve">TONTINE </t>
  </si>
  <si>
    <t>MATRICULE</t>
  </si>
  <si>
    <t>NOM ET PRENOM</t>
  </si>
  <si>
    <t>MONTANT TONTINE</t>
  </si>
  <si>
    <t>PENALITE</t>
  </si>
  <si>
    <t>ECHEC</t>
  </si>
  <si>
    <t>BANQUE</t>
  </si>
  <si>
    <t>AS201619</t>
  </si>
  <si>
    <t>AS201621</t>
  </si>
  <si>
    <t>AS201628</t>
  </si>
  <si>
    <t>TOTAL</t>
  </si>
  <si>
    <t>ESPECES</t>
  </si>
  <si>
    <t>AVALISTE</t>
  </si>
  <si>
    <t xml:space="preserve"> </t>
  </si>
  <si>
    <t>TONTINE</t>
  </si>
  <si>
    <t>INTERET PETIT LOT</t>
  </si>
  <si>
    <t>MODE VERSEMENT REMBOURSEMENT</t>
  </si>
  <si>
    <t>MODE VERSEMENT TONTINE</t>
  </si>
  <si>
    <t>MODE VERSEMENT TONTINE PRINCIPAL</t>
  </si>
  <si>
    <t>REMBOURSEMENT PETIT LOT</t>
  </si>
  <si>
    <t>MONTANT TONTINE LOT PRINCIPAL</t>
  </si>
  <si>
    <t>INTERET LOT PRINCIPAL</t>
  </si>
  <si>
    <t>VENTE PETIT LOT</t>
  </si>
  <si>
    <t>MODE VERSEMENT VENTE PETIT LOT</t>
  </si>
  <si>
    <t>VENTE LOT PRINCIPAL</t>
  </si>
  <si>
    <t>SOLDE EN CAISSE</t>
  </si>
  <si>
    <t>AS201613</t>
  </si>
  <si>
    <t>AS201647</t>
  </si>
  <si>
    <t>AS201626</t>
  </si>
  <si>
    <t>AS201649</t>
  </si>
  <si>
    <t>PETIT LOT</t>
  </si>
  <si>
    <t>RESTE</t>
  </si>
  <si>
    <t>NUMERO CHEQUE</t>
  </si>
  <si>
    <t>TONTINE + REMB + INTERET VENTE</t>
  </si>
  <si>
    <t>AS201602</t>
  </si>
  <si>
    <t>AS201604</t>
  </si>
  <si>
    <t>AS201605</t>
  </si>
  <si>
    <t>AS201610</t>
  </si>
  <si>
    <t>AS201611</t>
  </si>
  <si>
    <t>AS201618</t>
  </si>
  <si>
    <t>AS201633</t>
  </si>
  <si>
    <t>AS201638</t>
  </si>
  <si>
    <t>VENTE LOT</t>
  </si>
  <si>
    <t>2019/2020</t>
  </si>
  <si>
    <t>MONTANT REMBOURSE</t>
  </si>
  <si>
    <t>MONTANT A REMOURSER</t>
  </si>
  <si>
    <t>MONTANT A REMBOURSER</t>
  </si>
  <si>
    <t>CRITERE</t>
  </si>
  <si>
    <t>MISE A PRIX INTERET LOT PRINCIPAL</t>
  </si>
  <si>
    <t>AS201603</t>
  </si>
  <si>
    <t>AS201655</t>
  </si>
  <si>
    <t>EN CAISSE</t>
  </si>
  <si>
    <t>DATE ACHAT</t>
  </si>
  <si>
    <t>ECHEC TONTINE</t>
  </si>
  <si>
    <t>ECHEC REMBOURSEMENT</t>
  </si>
  <si>
    <t>NGUIEMENI/MBONING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</si>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</sst>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3" fontId="7" fillId="0" borderId="0" xfId="0" applyNumberFormat="1" applyFont="1"/>
    <xf numFmtId="0" fontId="6" fillId="0" borderId="0" xfId="0" applyFont="1"/>
    <xf numFmtId="3" fontId="9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1" fillId="0" borderId="0" xfId="0" applyFont="1"/>
    <xf numFmtId="3" fontId="11" fillId="0" borderId="0" xfId="0" applyNumberFormat="1" applyFont="1"/>
    <xf numFmtId="3" fontId="10" fillId="0" borderId="0" xfId="0" applyNumberFormat="1" applyFont="1"/>
    <xf numFmtId="3" fontId="8" fillId="0" borderId="0" xfId="0" applyNumberFormat="1" applyFont="1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/>
    <xf numFmtId="14" fontId="6" fillId="0" borderId="0" xfId="0" applyNumberFormat="1" applyFont="1"/>
    <xf numFmtId="14" fontId="0" fillId="0" borderId="0" xfId="0" applyNumberFormat="1"/>
    <xf numFmtId="14" fontId="10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9</v>
      </c>
    </row>
    <row r="2" spans="1:1" x14ac:dyDescent="0.25">
      <c r="A2" t="s">
        <v>14</v>
      </c>
    </row>
    <row r="3" spans="1:1" x14ac:dyDescent="0.25">
      <c r="A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G27" activePane="bottomRight" state="frozen"/>
      <selection activeCell="I3" sqref="I3"/>
      <selection pane="topRight" activeCell="I3" sqref="I3"/>
      <selection pane="bottomLeft" activeCell="I3" sqref="I3"/>
      <selection pane="bottomRight" activeCell="A8" sqref="A8:XFD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44031</v>
      </c>
      <c r="D4" s="34"/>
      <c r="E4" s="34"/>
      <c r="F4" s="34"/>
      <c r="G4" s="34"/>
      <c r="H4" s="34"/>
      <c r="I4" s="34"/>
      <c r="J4" s="34"/>
      <c r="K4" s="24"/>
      <c r="L4" s="19"/>
      <c r="M4" s="19"/>
      <c r="N4" s="19"/>
      <c r="O4" s="19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48</v>
      </c>
      <c r="K5" s="18" t="s">
        <v>47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75000</v>
      </c>
      <c r="D6" s="14">
        <f t="shared" ref="D6:D19" si="1">IF(E6="ESPECES",0,0)</f>
        <v>0</v>
      </c>
      <c r="E6" s="7" t="s">
        <v>9</v>
      </c>
      <c r="F6" s="14"/>
      <c r="G6" s="14"/>
      <c r="H6" s="15"/>
      <c r="I6" s="12"/>
      <c r="J6" s="8"/>
      <c r="K6" s="8">
        <f t="shared" ref="K6:K24" si="2">J6</f>
        <v>0</v>
      </c>
      <c r="L6" s="7"/>
      <c r="M6" s="15"/>
      <c r="N6" s="12"/>
      <c r="O6" s="8">
        <f t="shared" ref="O6:O24" si="3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75000</v>
      </c>
      <c r="D7" s="14">
        <f t="shared" si="1"/>
        <v>0</v>
      </c>
      <c r="E7" s="7" t="s">
        <v>9</v>
      </c>
      <c r="F7" s="14"/>
      <c r="G7" s="14"/>
      <c r="H7" s="15"/>
      <c r="I7" s="12"/>
      <c r="J7" s="8"/>
      <c r="K7" s="8">
        <f t="shared" si="2"/>
        <v>0</v>
      </c>
      <c r="L7" s="7"/>
      <c r="M7" s="15"/>
      <c r="N7" s="12"/>
      <c r="O7" s="8">
        <f t="shared" si="3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7" t="s">
        <v>9</v>
      </c>
      <c r="F8" s="8">
        <v>100000</v>
      </c>
      <c r="G8" s="8">
        <v>2000</v>
      </c>
      <c r="H8" s="7"/>
      <c r="I8" s="12"/>
      <c r="J8" s="8"/>
      <c r="K8" s="8">
        <f t="shared" si="2"/>
        <v>0</v>
      </c>
      <c r="L8" s="7"/>
      <c r="M8" s="7"/>
      <c r="N8" s="12"/>
      <c r="O8" s="8">
        <f t="shared" si="3"/>
        <v>1000000</v>
      </c>
      <c r="P8" s="8">
        <v>200000</v>
      </c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8"/>
      <c r="G9" s="8"/>
      <c r="H9" s="7"/>
      <c r="I9" s="12"/>
      <c r="J9" s="8"/>
      <c r="K9" s="8">
        <f t="shared" si="2"/>
        <v>0</v>
      </c>
      <c r="L9" s="7"/>
      <c r="M9" s="7"/>
      <c r="N9" s="12"/>
      <c r="O9" s="8">
        <f t="shared" si="3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8"/>
      <c r="G10" s="8"/>
      <c r="H10" s="7"/>
      <c r="I10" s="12"/>
      <c r="J10" s="8"/>
      <c r="K10" s="8">
        <f t="shared" si="2"/>
        <v>0</v>
      </c>
      <c r="L10" s="7"/>
      <c r="M10" s="7"/>
      <c r="N10" s="12"/>
      <c r="O10" s="8">
        <f t="shared" si="3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8"/>
      <c r="G11" s="8"/>
      <c r="H11" s="7"/>
      <c r="I11" s="12"/>
      <c r="J11" s="8"/>
      <c r="K11" s="8">
        <f t="shared" si="2"/>
        <v>0</v>
      </c>
      <c r="L11" s="7"/>
      <c r="M11" s="7"/>
      <c r="N11" s="12"/>
      <c r="O11" s="8">
        <f t="shared" si="3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8">
        <v>100000</v>
      </c>
      <c r="G12" s="8">
        <v>2000</v>
      </c>
      <c r="H12" s="7"/>
      <c r="I12" s="12"/>
      <c r="J12" s="8"/>
      <c r="K12" s="8">
        <f t="shared" si="2"/>
        <v>0</v>
      </c>
      <c r="L12" s="7"/>
      <c r="M12" s="7"/>
      <c r="N12" s="12"/>
      <c r="O12" s="8">
        <f t="shared" si="3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75000</v>
      </c>
      <c r="D13" s="8">
        <f t="shared" ref="D13" si="4">IF(E13="ESPECES",0,0)</f>
        <v>0</v>
      </c>
      <c r="E13" s="7" t="s">
        <v>9</v>
      </c>
      <c r="F13" s="8"/>
      <c r="G13" s="8"/>
      <c r="H13" s="7"/>
      <c r="I13" s="12"/>
      <c r="J13" s="8"/>
      <c r="K13" s="8">
        <f t="shared" si="2"/>
        <v>0</v>
      </c>
      <c r="L13" s="7"/>
      <c r="M13" s="7"/>
      <c r="N13" s="12"/>
      <c r="O13" s="8">
        <f t="shared" si="3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75000</v>
      </c>
      <c r="D14" s="8">
        <f t="shared" si="1"/>
        <v>0</v>
      </c>
      <c r="E14" s="7" t="s">
        <v>9</v>
      </c>
      <c r="F14" s="8">
        <v>100000</v>
      </c>
      <c r="G14" s="8">
        <v>2000</v>
      </c>
      <c r="H14" s="7"/>
      <c r="I14" s="12"/>
      <c r="J14" s="8"/>
      <c r="K14" s="8">
        <f t="shared" si="2"/>
        <v>0</v>
      </c>
      <c r="L14" s="7"/>
      <c r="M14" s="7"/>
      <c r="N14" s="12"/>
      <c r="O14" s="8">
        <f t="shared" si="3"/>
        <v>0</v>
      </c>
      <c r="P14" s="8"/>
      <c r="Q14" s="27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75000</v>
      </c>
      <c r="D15" s="8">
        <f t="shared" si="1"/>
        <v>0</v>
      </c>
      <c r="E15" s="7" t="s">
        <v>9</v>
      </c>
      <c r="F15" s="8"/>
      <c r="G15" s="8"/>
      <c r="H15" s="7"/>
      <c r="I15" s="12"/>
      <c r="J15" s="8"/>
      <c r="K15" s="8">
        <f t="shared" si="2"/>
        <v>0</v>
      </c>
      <c r="L15" s="7"/>
      <c r="M15" s="7"/>
      <c r="N15" s="12"/>
      <c r="O15" s="8">
        <f t="shared" si="3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75000</v>
      </c>
      <c r="D16" s="8">
        <f t="shared" si="1"/>
        <v>0</v>
      </c>
      <c r="E16" s="7" t="s">
        <v>9</v>
      </c>
      <c r="F16" s="8"/>
      <c r="G16" s="8"/>
      <c r="H16" s="7"/>
      <c r="I16" s="12"/>
      <c r="J16" s="8"/>
      <c r="K16" s="8">
        <f t="shared" si="2"/>
        <v>0</v>
      </c>
      <c r="L16" s="7"/>
      <c r="M16" s="7"/>
      <c r="N16" s="12"/>
      <c r="O16" s="8">
        <f t="shared" si="3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75000</v>
      </c>
      <c r="D17" s="8">
        <f t="shared" si="1"/>
        <v>0</v>
      </c>
      <c r="E17" s="7" t="s">
        <v>9</v>
      </c>
      <c r="F17" s="8"/>
      <c r="G17" s="8"/>
      <c r="H17" s="7"/>
      <c r="I17" s="12"/>
      <c r="J17" s="8"/>
      <c r="K17" s="8">
        <f t="shared" si="2"/>
        <v>0</v>
      </c>
      <c r="L17" s="7"/>
      <c r="M17" s="7"/>
      <c r="N17" s="12"/>
      <c r="O17" s="8">
        <f t="shared" si="3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75000</v>
      </c>
      <c r="D18" s="8">
        <f t="shared" si="1"/>
        <v>0</v>
      </c>
      <c r="E18" s="7" t="s">
        <v>9</v>
      </c>
      <c r="F18" s="8"/>
      <c r="G18" s="8"/>
      <c r="H18" s="7"/>
      <c r="I18" s="12"/>
      <c r="J18" s="8"/>
      <c r="K18" s="8">
        <f t="shared" si="2"/>
        <v>0</v>
      </c>
      <c r="L18" s="7"/>
      <c r="M18" s="7"/>
      <c r="N18" s="12"/>
      <c r="O18" s="8">
        <f t="shared" si="3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9</v>
      </c>
      <c r="F19" s="8">
        <v>50000</v>
      </c>
      <c r="G19" s="8">
        <v>1000</v>
      </c>
      <c r="H19" s="7"/>
      <c r="I19" s="7"/>
      <c r="J19" s="8"/>
      <c r="K19" s="8">
        <f t="shared" si="2"/>
        <v>0</v>
      </c>
      <c r="L19" s="7"/>
      <c r="M19" s="7"/>
      <c r="N19" s="12"/>
      <c r="O19" s="8">
        <f t="shared" si="3"/>
        <v>0</v>
      </c>
      <c r="P19" s="8"/>
      <c r="Q19" s="1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75000</v>
      </c>
      <c r="D20" s="8">
        <f t="shared" ref="D20:D24" si="5">IF(E20="ESPECES",0,0)</f>
        <v>0</v>
      </c>
      <c r="E20" s="7" t="s">
        <v>9</v>
      </c>
      <c r="F20" s="8"/>
      <c r="G20" s="8"/>
      <c r="H20" s="7"/>
      <c r="I20" s="7"/>
      <c r="J20" s="8"/>
      <c r="K20" s="8">
        <f t="shared" si="2"/>
        <v>0</v>
      </c>
      <c r="L20" s="7"/>
      <c r="M20" s="7"/>
      <c r="N20" s="12"/>
      <c r="O20" s="8">
        <f t="shared" si="3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75000</v>
      </c>
      <c r="D21" s="8">
        <f t="shared" si="5"/>
        <v>0</v>
      </c>
      <c r="E21" s="7" t="s">
        <v>9</v>
      </c>
      <c r="F21" s="8"/>
      <c r="G21" s="8"/>
      <c r="H21" s="7"/>
      <c r="I21" s="7"/>
      <c r="J21" s="8"/>
      <c r="K21" s="8">
        <f t="shared" si="2"/>
        <v>0</v>
      </c>
      <c r="L21" s="7"/>
      <c r="M21" s="7"/>
      <c r="N21" s="12"/>
      <c r="O21" s="8">
        <f t="shared" si="3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5"/>
        <v>0</v>
      </c>
      <c r="E22" s="7" t="s">
        <v>8</v>
      </c>
      <c r="F22" s="8"/>
      <c r="G22" s="8"/>
      <c r="H22" s="7"/>
      <c r="I22" s="7"/>
      <c r="J22" s="8">
        <f t="shared" ref="J22" si="6">K22</f>
        <v>0</v>
      </c>
      <c r="K22" s="8">
        <f>+TONTJUIL!F21+TONTJUIL!G21</f>
        <v>0</v>
      </c>
      <c r="L22" s="7"/>
      <c r="M22" s="7"/>
      <c r="N22" s="12"/>
      <c r="O22" s="8">
        <f t="shared" si="3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75000</v>
      </c>
      <c r="D23" s="8">
        <f t="shared" si="5"/>
        <v>0</v>
      </c>
      <c r="E23" s="7" t="s">
        <v>9</v>
      </c>
      <c r="F23" s="8"/>
      <c r="G23" s="8"/>
      <c r="H23" s="7"/>
      <c r="I23" s="7"/>
      <c r="J23" s="8"/>
      <c r="K23" s="8">
        <f t="shared" si="2"/>
        <v>0</v>
      </c>
      <c r="L23" s="7"/>
      <c r="M23" s="7"/>
      <c r="N23" s="12"/>
      <c r="O23" s="8">
        <f t="shared" si="3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75000</v>
      </c>
      <c r="D24" s="8">
        <f t="shared" si="5"/>
        <v>0</v>
      </c>
      <c r="E24" s="7" t="s">
        <v>9</v>
      </c>
      <c r="F24" s="8"/>
      <c r="G24" s="8"/>
      <c r="H24" s="7"/>
      <c r="I24" s="7"/>
      <c r="J24" s="8"/>
      <c r="K24" s="8">
        <f t="shared" si="2"/>
        <v>0</v>
      </c>
      <c r="L24" s="7"/>
      <c r="M24" s="7"/>
      <c r="N24" s="12"/>
      <c r="O24" s="8">
        <f t="shared" si="3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350000</v>
      </c>
      <c r="G26" s="21">
        <f>SUM(G6:G24)</f>
        <v>7000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1000000</v>
      </c>
      <c r="P26" s="21">
        <f>SUM(P6:P24)</f>
        <v>200000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1550000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1350000</v>
      </c>
      <c r="D31" s="9">
        <f>SUMIFS(K6:K24,L6:L24,"BANQUE")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7">C31+D31-E31-F31</f>
        <v>1350000</v>
      </c>
      <c r="I31" s="9" t="s">
        <v>33</v>
      </c>
      <c r="J31" s="9">
        <f>IF(J28&gt;0,J28-J29,0)</f>
        <v>350000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1350000</v>
      </c>
      <c r="D33" s="21">
        <f t="shared" ref="D33:G33" si="8">D30+D31</f>
        <v>0</v>
      </c>
      <c r="E33" s="21">
        <f t="shared" si="8"/>
        <v>0</v>
      </c>
      <c r="F33" s="21">
        <f t="shared" si="8"/>
        <v>0</v>
      </c>
      <c r="G33" s="21">
        <f t="shared" si="8"/>
        <v>1350000</v>
      </c>
      <c r="I33" s="9" t="s">
        <v>34</v>
      </c>
      <c r="J33" s="9">
        <f>J31-F26</f>
        <v>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E6:E24 H6:I24 L6:M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12" activePane="bottomRight" state="frozen"/>
      <selection activeCell="F27" sqref="F27"/>
      <selection pane="topRight" activeCell="F27" sqref="F27"/>
      <selection pane="bottomLeft" activeCell="F27" sqref="F27"/>
      <selection pane="bottomRight" activeCell="A14" sqref="A14:XFD1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44059</v>
      </c>
      <c r="D4" s="34"/>
      <c r="E4" s="34"/>
      <c r="F4" s="34"/>
      <c r="G4" s="34"/>
      <c r="H4" s="34"/>
      <c r="I4" s="34"/>
      <c r="J4" s="34"/>
      <c r="K4" s="25"/>
      <c r="L4" s="25"/>
      <c r="M4" s="25"/>
      <c r="N4" s="25"/>
      <c r="O4" s="25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75000</v>
      </c>
      <c r="D6" s="14">
        <f t="shared" ref="D6:D24" si="1">IF(E6="ESPECES",0,0)</f>
        <v>0</v>
      </c>
      <c r="E6" s="7" t="s">
        <v>9</v>
      </c>
      <c r="F6" s="14"/>
      <c r="G6" s="14"/>
      <c r="H6" s="15"/>
      <c r="I6" s="12"/>
      <c r="J6" s="8">
        <f>K6</f>
        <v>0</v>
      </c>
      <c r="K6" s="8">
        <f>+TONTJUIL!F6+TONTJUIL!G6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8" si="3">K7</f>
        <v>0</v>
      </c>
      <c r="K7" s="8">
        <f>+TONTJUIL!F7+TONTJUIL!G7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7" t="s">
        <v>9</v>
      </c>
      <c r="F8" s="8">
        <v>100000</v>
      </c>
      <c r="G8" s="8">
        <v>2000</v>
      </c>
      <c r="H8" s="7"/>
      <c r="I8" s="12"/>
      <c r="J8" s="8">
        <f t="shared" si="3"/>
        <v>102000</v>
      </c>
      <c r="K8" s="8">
        <f>+TONTJUIL!F8+TONTJUIL!G8</f>
        <v>102000</v>
      </c>
      <c r="L8" s="7" t="s">
        <v>14</v>
      </c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8">
        <v>100000</v>
      </c>
      <c r="G9" s="8">
        <v>2000</v>
      </c>
      <c r="H9" s="7"/>
      <c r="I9" s="12"/>
      <c r="J9" s="8">
        <f t="shared" ref="J9:J24" si="4">K9</f>
        <v>0</v>
      </c>
      <c r="K9" s="8">
        <f>+TONTJUIL!F9+TONTJUIL!G9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8"/>
      <c r="G10" s="8"/>
      <c r="H10" s="7"/>
      <c r="I10" s="12"/>
      <c r="J10" s="8">
        <f t="shared" si="4"/>
        <v>0</v>
      </c>
      <c r="K10" s="8">
        <f>+TONTJUIL!F10+TONTJUIL!G10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8"/>
      <c r="G11" s="8"/>
      <c r="H11" s="7"/>
      <c r="I11" s="12"/>
      <c r="J11" s="8">
        <f t="shared" si="4"/>
        <v>0</v>
      </c>
      <c r="K11" s="8">
        <f>+TONTJUIL!F11+TONTJUIL!G11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8"/>
      <c r="G12" s="8"/>
      <c r="H12" s="7"/>
      <c r="I12" s="12"/>
      <c r="J12" s="8">
        <f t="shared" si="4"/>
        <v>102000</v>
      </c>
      <c r="K12" s="8">
        <f>+TONTJUIL!F12+TONTJUIL!G12</f>
        <v>102000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75000</v>
      </c>
      <c r="D13" s="8">
        <f t="shared" si="1"/>
        <v>0</v>
      </c>
      <c r="E13" s="7" t="s">
        <v>9</v>
      </c>
      <c r="F13" s="8"/>
      <c r="G13" s="8"/>
      <c r="H13" s="7"/>
      <c r="I13" s="12"/>
      <c r="J13" s="8">
        <f t="shared" si="4"/>
        <v>0</v>
      </c>
      <c r="K13" s="8">
        <f>+TONTJUIL!F13+TONTJUIL!G13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75000</v>
      </c>
      <c r="D14" s="8">
        <f t="shared" si="1"/>
        <v>0</v>
      </c>
      <c r="E14" s="7" t="s">
        <v>9</v>
      </c>
      <c r="F14" s="8">
        <v>100000</v>
      </c>
      <c r="G14" s="8">
        <v>2000</v>
      </c>
      <c r="H14" s="7"/>
      <c r="I14" s="12"/>
      <c r="J14" s="8">
        <f t="shared" si="4"/>
        <v>102000</v>
      </c>
      <c r="K14" s="8">
        <f>+TONTJUIL!F14+TONTJUIL!G14</f>
        <v>102000</v>
      </c>
      <c r="L14" s="7" t="s">
        <v>9</v>
      </c>
      <c r="M14" s="7"/>
      <c r="N14" s="12"/>
      <c r="O14" s="8">
        <f t="shared" si="2"/>
        <v>1040000</v>
      </c>
      <c r="P14" s="8">
        <v>160000</v>
      </c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75000</v>
      </c>
      <c r="D15" s="8">
        <f t="shared" si="1"/>
        <v>0</v>
      </c>
      <c r="E15" s="7" t="s">
        <v>9</v>
      </c>
      <c r="F15" s="8"/>
      <c r="G15" s="8"/>
      <c r="H15" s="7"/>
      <c r="I15" s="12"/>
      <c r="J15" s="8">
        <f t="shared" si="4"/>
        <v>0</v>
      </c>
      <c r="K15" s="8">
        <f>+TONTJUIL!F15+TONTJUIL!G15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75000</v>
      </c>
      <c r="D16" s="8">
        <f t="shared" si="1"/>
        <v>0</v>
      </c>
      <c r="E16" s="7" t="s">
        <v>9</v>
      </c>
      <c r="F16" s="8"/>
      <c r="G16" s="8"/>
      <c r="H16" s="7"/>
      <c r="I16" s="12"/>
      <c r="J16" s="8">
        <f t="shared" si="4"/>
        <v>0</v>
      </c>
      <c r="K16" s="8">
        <f>+TONTJUIL!F16+TONTJUIL!G16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75000</v>
      </c>
      <c r="D17" s="8">
        <f t="shared" si="1"/>
        <v>0</v>
      </c>
      <c r="E17" s="7" t="s">
        <v>9</v>
      </c>
      <c r="F17" s="8">
        <v>100000</v>
      </c>
      <c r="G17" s="8">
        <v>2000</v>
      </c>
      <c r="H17" s="7"/>
      <c r="I17" s="12"/>
      <c r="J17" s="8">
        <f t="shared" si="4"/>
        <v>0</v>
      </c>
      <c r="K17" s="8">
        <f>+TONTJUIL!F17+TONTJUIL!G17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75000</v>
      </c>
      <c r="D18" s="8">
        <f t="shared" si="1"/>
        <v>0</v>
      </c>
      <c r="E18" s="7" t="s">
        <v>9</v>
      </c>
      <c r="F18" s="8"/>
      <c r="G18" s="8"/>
      <c r="H18" s="7"/>
      <c r="I18" s="12"/>
      <c r="J18" s="8">
        <f t="shared" si="4"/>
        <v>0</v>
      </c>
      <c r="K18" s="8">
        <f>+TONTJUIL!F18+TONTJUIL!G18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8">
        <v>100000</v>
      </c>
      <c r="G19" s="8">
        <v>2000</v>
      </c>
      <c r="H19" s="7"/>
      <c r="I19" s="7"/>
      <c r="J19" s="8">
        <f t="shared" si="4"/>
        <v>51000</v>
      </c>
      <c r="K19" s="8">
        <f>+TONTJUIL!F19+TONTJUIL!G19</f>
        <v>51000</v>
      </c>
      <c r="L19" s="7" t="s">
        <v>14</v>
      </c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75000</v>
      </c>
      <c r="D20" s="8">
        <f t="shared" si="1"/>
        <v>0</v>
      </c>
      <c r="E20" s="7" t="s">
        <v>9</v>
      </c>
      <c r="F20" s="8"/>
      <c r="G20" s="8"/>
      <c r="H20" s="7"/>
      <c r="I20" s="7"/>
      <c r="J20" s="8">
        <f t="shared" si="4"/>
        <v>0</v>
      </c>
      <c r="K20" s="8">
        <f>+TONTJUIL!F20+TONTJUIL!G20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75000</v>
      </c>
      <c r="D21" s="8">
        <f t="shared" si="1"/>
        <v>0</v>
      </c>
      <c r="E21" s="7" t="s">
        <v>9</v>
      </c>
      <c r="F21" s="8"/>
      <c r="G21" s="8"/>
      <c r="H21" s="7"/>
      <c r="I21" s="7"/>
      <c r="J21" s="8">
        <f t="shared" si="4"/>
        <v>0</v>
      </c>
      <c r="K21" s="8">
        <f>+TONTJUIL!F21+TONTJUIL!G21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v>161500</v>
      </c>
      <c r="D22" s="8">
        <f t="shared" ref="D22" si="5">IF(E22="ESPECES",0,0)</f>
        <v>0</v>
      </c>
      <c r="E22" s="7" t="s">
        <v>14</v>
      </c>
      <c r="F22" s="8"/>
      <c r="G22" s="8"/>
      <c r="H22" s="7"/>
      <c r="I22" s="7"/>
      <c r="J22" s="8">
        <f t="shared" si="4"/>
        <v>0</v>
      </c>
      <c r="K22" s="8">
        <f>+TONTJUIL!F21+TONTJUIL!G21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75000</v>
      </c>
      <c r="D23" s="8">
        <f t="shared" si="1"/>
        <v>0</v>
      </c>
      <c r="E23" s="7" t="s">
        <v>9</v>
      </c>
      <c r="F23" s="8"/>
      <c r="G23" s="8"/>
      <c r="H23" s="7"/>
      <c r="I23" s="7"/>
      <c r="J23" s="8">
        <f t="shared" si="4"/>
        <v>0</v>
      </c>
      <c r="K23" s="8">
        <f>+TONTJUIL!F23+TONTJUIL!G23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75000</v>
      </c>
      <c r="D24" s="8">
        <f t="shared" si="1"/>
        <v>0</v>
      </c>
      <c r="E24" s="7" t="s">
        <v>9</v>
      </c>
      <c r="F24" s="8"/>
      <c r="G24" s="8"/>
      <c r="H24" s="7"/>
      <c r="I24" s="7"/>
      <c r="J24" s="8">
        <f t="shared" si="4"/>
        <v>0</v>
      </c>
      <c r="K24" s="8">
        <f>+TONTJUIL!F24+TONTJUIL!G24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1436500</v>
      </c>
      <c r="D26" s="21">
        <f>SUM(D6:D24)</f>
        <v>0</v>
      </c>
      <c r="E26" s="21"/>
      <c r="F26" s="21">
        <f>SUM(F6:F24)</f>
        <v>500000</v>
      </c>
      <c r="G26" s="21">
        <f>SUM(G6:G24)</f>
        <v>10000</v>
      </c>
      <c r="H26" s="21"/>
      <c r="I26" s="21">
        <f>SUM(I6:I24)</f>
        <v>0</v>
      </c>
      <c r="J26" s="21">
        <f>SUM(J6:J24)</f>
        <v>357000</v>
      </c>
      <c r="K26" s="21">
        <f>SUM(K6:K24)</f>
        <v>357000</v>
      </c>
      <c r="L26" s="21"/>
      <c r="M26" s="21">
        <f>SUM(M6:M24)</f>
        <v>0</v>
      </c>
      <c r="N26" s="21">
        <f>SUM(N6:N24)</f>
        <v>0</v>
      </c>
      <c r="O26" s="21">
        <f>SUM(O6:O24)</f>
        <v>1040000</v>
      </c>
      <c r="P26" s="21">
        <f>SUM(P6:P24)</f>
        <v>160000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1851500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236500</v>
      </c>
      <c r="D30" s="9">
        <f>SUMIFS(J6:J24,L6:L24,"ESPECES")</f>
        <v>153000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389500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1200000</v>
      </c>
      <c r="D31" s="9">
        <f>SUMIFS(J6:J24,L6:L24,"BANQUE")</f>
        <v>102000</v>
      </c>
      <c r="E31" s="9">
        <f>SUMIFS(F6:F24,H6:H24,"BANQUE")</f>
        <v>0</v>
      </c>
      <c r="F31" s="9">
        <f>SUMIFS(M6:M24,L6:L24,"BANQUE")</f>
        <v>0</v>
      </c>
      <c r="G31" s="9">
        <f t="shared" ref="G31" si="6">C31+D31-E31-F31</f>
        <v>1302000</v>
      </c>
      <c r="I31" s="9" t="s">
        <v>33</v>
      </c>
      <c r="J31" s="9">
        <f>IF(J28&gt;0,J28-J29,0)</f>
        <v>651500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1436500</v>
      </c>
      <c r="D33" s="21">
        <f t="shared" ref="D33:G33" si="7">D30+D31</f>
        <v>255000</v>
      </c>
      <c r="E33" s="21">
        <f t="shared" si="7"/>
        <v>0</v>
      </c>
      <c r="F33" s="21">
        <f t="shared" si="7"/>
        <v>0</v>
      </c>
      <c r="G33" s="21">
        <f t="shared" si="7"/>
        <v>1691500</v>
      </c>
      <c r="I33" s="9" t="s">
        <v>34</v>
      </c>
      <c r="J33" s="9">
        <f>J31-F26+TONTJUIL!J33</f>
        <v>151500</v>
      </c>
      <c r="K33" s="9" t="s">
        <v>54</v>
      </c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6" activePane="bottomRight" state="frozen"/>
      <selection activeCell="F27" sqref="F27"/>
      <selection pane="topRight" activeCell="F27" sqref="F27"/>
      <selection pane="bottomLeft" activeCell="F27" sqref="F27"/>
      <selection pane="bottomRight" activeCell="J28" sqref="J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44094</v>
      </c>
      <c r="D4" s="34"/>
      <c r="E4" s="34"/>
      <c r="F4" s="34"/>
      <c r="G4" s="34"/>
      <c r="H4" s="34"/>
      <c r="I4" s="34"/>
      <c r="J4" s="34"/>
      <c r="K4" s="31"/>
      <c r="L4" s="31"/>
      <c r="M4" s="31"/>
      <c r="N4" s="31"/>
      <c r="O4" s="31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75000</v>
      </c>
      <c r="D6" s="14">
        <f t="shared" ref="D6:D24" si="1">IF(E6="ESPECES",0,0)</f>
        <v>0</v>
      </c>
      <c r="E6" s="7" t="s">
        <v>9</v>
      </c>
      <c r="F6" s="14"/>
      <c r="G6" s="14"/>
      <c r="H6" s="15"/>
      <c r="I6" s="12"/>
      <c r="J6" s="8">
        <f>K6</f>
        <v>0</v>
      </c>
      <c r="K6" s="8">
        <f>+TONTAOUT!F6+TONTAOUT!G6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+TONTAOUT!F7+TONTAOUT!G7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7" t="s">
        <v>9</v>
      </c>
      <c r="F8" s="8">
        <v>50000</v>
      </c>
      <c r="G8" s="8">
        <v>1000</v>
      </c>
      <c r="H8" s="7"/>
      <c r="I8" s="12"/>
      <c r="J8" s="8">
        <f t="shared" si="3"/>
        <v>102000</v>
      </c>
      <c r="K8" s="8">
        <f>+TONTAOUT!F8+TONTAOUT!G8</f>
        <v>102000</v>
      </c>
      <c r="L8" s="7" t="s">
        <v>9</v>
      </c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8">
        <v>150000</v>
      </c>
      <c r="G9" s="8">
        <v>3000</v>
      </c>
      <c r="H9" s="7"/>
      <c r="I9" s="12"/>
      <c r="J9" s="8">
        <f t="shared" si="3"/>
        <v>102000</v>
      </c>
      <c r="K9" s="8">
        <f>+TONTAOUT!F9+TONTAOUT!G9</f>
        <v>102000</v>
      </c>
      <c r="L9" s="7" t="s">
        <v>9</v>
      </c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8"/>
      <c r="G10" s="8"/>
      <c r="H10" s="7"/>
      <c r="I10" s="12"/>
      <c r="J10" s="8">
        <f t="shared" si="3"/>
        <v>0</v>
      </c>
      <c r="K10" s="8">
        <f>+TONTAOUT!F10+TONTAOUT!G10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8"/>
      <c r="G11" s="8"/>
      <c r="H11" s="7"/>
      <c r="I11" s="12"/>
      <c r="J11" s="8">
        <f t="shared" si="3"/>
        <v>0</v>
      </c>
      <c r="K11" s="8">
        <f>+TONTAOUT!F11+TONTAOUT!G11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8">
        <v>100000</v>
      </c>
      <c r="G12" s="8">
        <v>2000</v>
      </c>
      <c r="H12" s="7"/>
      <c r="I12" s="12"/>
      <c r="J12" s="8">
        <f t="shared" si="3"/>
        <v>0</v>
      </c>
      <c r="K12" s="8">
        <f>+TONTAOUT!F12+TONTAOUT!G12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75000</v>
      </c>
      <c r="D13" s="8">
        <f t="shared" si="1"/>
        <v>0</v>
      </c>
      <c r="E13" s="7" t="s">
        <v>9</v>
      </c>
      <c r="F13" s="8"/>
      <c r="G13" s="8"/>
      <c r="H13" s="7"/>
      <c r="I13" s="12"/>
      <c r="J13" s="8">
        <f t="shared" si="3"/>
        <v>0</v>
      </c>
      <c r="K13" s="8">
        <f>+TONTAOUT!F13+TONTAOUT!G13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75000</v>
      </c>
      <c r="D14" s="8">
        <f t="shared" si="1"/>
        <v>0</v>
      </c>
      <c r="E14" s="7" t="s">
        <v>9</v>
      </c>
      <c r="F14" s="8">
        <v>100000</v>
      </c>
      <c r="G14" s="8">
        <v>2000</v>
      </c>
      <c r="H14" s="7"/>
      <c r="I14" s="12"/>
      <c r="J14" s="8">
        <f t="shared" si="3"/>
        <v>102000</v>
      </c>
      <c r="K14" s="8">
        <f>+TONTAOUT!F14+TONTAOUT!G14</f>
        <v>102000</v>
      </c>
      <c r="L14" s="7" t="s">
        <v>9</v>
      </c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75000</v>
      </c>
      <c r="D15" s="8">
        <f t="shared" si="1"/>
        <v>0</v>
      </c>
      <c r="E15" s="7" t="s">
        <v>9</v>
      </c>
      <c r="F15" s="8"/>
      <c r="G15" s="8"/>
      <c r="H15" s="7"/>
      <c r="I15" s="12"/>
      <c r="J15" s="8">
        <f t="shared" si="3"/>
        <v>0</v>
      </c>
      <c r="K15" s="8">
        <f>+TONTAOUT!F15+TONTAOUT!G15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75000</v>
      </c>
      <c r="D16" s="8">
        <f t="shared" si="1"/>
        <v>0</v>
      </c>
      <c r="E16" s="7" t="s">
        <v>9</v>
      </c>
      <c r="F16" s="8"/>
      <c r="G16" s="8"/>
      <c r="H16" s="7"/>
      <c r="I16" s="12"/>
      <c r="J16" s="8">
        <f t="shared" si="3"/>
        <v>0</v>
      </c>
      <c r="K16" s="8">
        <f>+TONTAOUT!F16+TONTAOUT!G16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75000</v>
      </c>
      <c r="D17" s="8">
        <f t="shared" si="1"/>
        <v>0</v>
      </c>
      <c r="E17" s="7" t="s">
        <v>9</v>
      </c>
      <c r="F17" s="8">
        <v>102000</v>
      </c>
      <c r="G17" s="8">
        <v>4000</v>
      </c>
      <c r="H17" s="7" t="s">
        <v>8</v>
      </c>
      <c r="I17" s="12"/>
      <c r="J17" s="8">
        <f t="shared" si="3"/>
        <v>102000</v>
      </c>
      <c r="K17" s="8">
        <f>+TONTAOUT!F17+TONTAOUT!G17</f>
        <v>102000</v>
      </c>
      <c r="L17" s="7" t="s">
        <v>8</v>
      </c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75000</v>
      </c>
      <c r="D18" s="8">
        <f t="shared" si="1"/>
        <v>0</v>
      </c>
      <c r="E18" s="7" t="s">
        <v>9</v>
      </c>
      <c r="F18" s="8"/>
      <c r="G18" s="8"/>
      <c r="H18" s="7"/>
      <c r="I18" s="12"/>
      <c r="J18" s="8">
        <f t="shared" si="3"/>
        <v>0</v>
      </c>
      <c r="K18" s="8">
        <f>+TONTAOUT!F18+TONTAOUT!G18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8">
        <v>100000</v>
      </c>
      <c r="G19" s="8">
        <v>2000</v>
      </c>
      <c r="H19" s="7"/>
      <c r="I19" s="7"/>
      <c r="J19" s="8">
        <f t="shared" si="3"/>
        <v>102000</v>
      </c>
      <c r="K19" s="8">
        <f>+TONTAOUT!F19+TONTAOUT!G19</f>
        <v>102000</v>
      </c>
      <c r="L19" s="7" t="s">
        <v>14</v>
      </c>
      <c r="M19" s="7"/>
      <c r="N19" s="12"/>
      <c r="O19" s="8">
        <f t="shared" si="2"/>
        <v>1115000</v>
      </c>
      <c r="P19" s="8">
        <v>85000</v>
      </c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75000</v>
      </c>
      <c r="D20" s="8">
        <f t="shared" si="1"/>
        <v>0</v>
      </c>
      <c r="E20" s="7" t="s">
        <v>9</v>
      </c>
      <c r="F20" s="8"/>
      <c r="G20" s="8"/>
      <c r="H20" s="7"/>
      <c r="I20" s="7"/>
      <c r="J20" s="8">
        <f t="shared" si="3"/>
        <v>0</v>
      </c>
      <c r="K20" s="8">
        <f>+TONTAOUT!F20+TONTAOUT!G20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75000</v>
      </c>
      <c r="D21" s="8">
        <f t="shared" si="1"/>
        <v>0</v>
      </c>
      <c r="E21" s="7" t="s">
        <v>9</v>
      </c>
      <c r="F21" s="8"/>
      <c r="G21" s="8"/>
      <c r="H21" s="7"/>
      <c r="I21" s="7"/>
      <c r="J21" s="8">
        <f t="shared" si="3"/>
        <v>0</v>
      </c>
      <c r="K21" s="8">
        <f>+TONTAOUT!F21+TONTAOUT!G21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75000</v>
      </c>
      <c r="D22" s="8">
        <f t="shared" si="1"/>
        <v>0</v>
      </c>
      <c r="E22" s="7" t="s">
        <v>9</v>
      </c>
      <c r="F22" s="8"/>
      <c r="G22" s="8"/>
      <c r="H22" s="7"/>
      <c r="I22" s="7"/>
      <c r="J22" s="8">
        <f t="shared" si="3"/>
        <v>0</v>
      </c>
      <c r="K22" s="8">
        <f>+TONTAOUT!F22+TONTAOUT!G22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75000</v>
      </c>
      <c r="D23" s="8">
        <f t="shared" si="1"/>
        <v>0</v>
      </c>
      <c r="E23" s="7" t="s">
        <v>9</v>
      </c>
      <c r="F23" s="8"/>
      <c r="G23" s="8"/>
      <c r="H23" s="7"/>
      <c r="I23" s="7"/>
      <c r="J23" s="8">
        <f t="shared" si="3"/>
        <v>0</v>
      </c>
      <c r="K23" s="8">
        <f>+TONTAOUT!F23+TONTAOUT!G23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75000</v>
      </c>
      <c r="D24" s="8">
        <f t="shared" si="1"/>
        <v>0</v>
      </c>
      <c r="E24" s="7" t="s">
        <v>9</v>
      </c>
      <c r="F24" s="8"/>
      <c r="G24" s="8"/>
      <c r="H24" s="7"/>
      <c r="I24" s="7"/>
      <c r="J24" s="8">
        <f t="shared" si="3"/>
        <v>0</v>
      </c>
      <c r="K24" s="8">
        <f>+TONTAOUT!F24+TONTAOUT!G24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602000</v>
      </c>
      <c r="G26" s="21">
        <f>SUM(G6:G24)</f>
        <v>14000</v>
      </c>
      <c r="H26" s="21"/>
      <c r="I26" s="21">
        <f>SUM(I6:I24)</f>
        <v>0</v>
      </c>
      <c r="J26" s="21">
        <f>SUM(J6:J24)</f>
        <v>510000</v>
      </c>
      <c r="K26" s="21">
        <f>SUM(K6:K24)</f>
        <v>510000</v>
      </c>
      <c r="L26" s="21"/>
      <c r="M26" s="21">
        <f>SUM(M6:M24)</f>
        <v>0</v>
      </c>
      <c r="N26" s="21">
        <f>SUM(N6:N24)</f>
        <v>0</v>
      </c>
      <c r="O26" s="21">
        <f>SUM(O6:O24)</f>
        <v>1115000</v>
      </c>
      <c r="P26" s="21">
        <f>SUM(P6:P24)</f>
        <v>85000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1843000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75000</v>
      </c>
      <c r="D30" s="9">
        <f>SUMIFS(J6:J24,L6:L24,"ESPECES")</f>
        <v>102000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177000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1275000</v>
      </c>
      <c r="D31" s="9">
        <f>SUMIFS(J6:J24,L6:L24,"BANQUE")</f>
        <v>306000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1581000</v>
      </c>
      <c r="I31" s="9" t="s">
        <v>33</v>
      </c>
      <c r="J31" s="9">
        <f>IF(J28&gt;0,J28-J29,0)</f>
        <v>643000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1350000</v>
      </c>
      <c r="D33" s="21">
        <f t="shared" ref="D33:G33" si="5">D30+D31</f>
        <v>408000</v>
      </c>
      <c r="E33" s="21">
        <f t="shared" si="5"/>
        <v>0</v>
      </c>
      <c r="F33" s="21">
        <f t="shared" si="5"/>
        <v>0</v>
      </c>
      <c r="G33" s="21">
        <f t="shared" si="5"/>
        <v>1758000</v>
      </c>
      <c r="I33" s="9" t="s">
        <v>34</v>
      </c>
      <c r="J33" s="9">
        <f>J31-F26+TONTAOUT!J33</f>
        <v>192500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 s="9" t="s">
        <v>56</v>
      </c>
      <c r="J35" s="9">
        <v>0</v>
      </c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 s="9" t="s">
        <v>57</v>
      </c>
      <c r="J36" s="9">
        <f>106000+53000</f>
        <v>159000</v>
      </c>
      <c r="K36" s="3" t="s">
        <v>58</v>
      </c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workbookViewId="0">
      <pane xSplit="2" ySplit="5" topLeftCell="C12" activePane="bottomRight" state="frozen"/>
      <selection activeCell="I3" sqref="I3"/>
      <selection pane="topRight" activeCell="I3" sqref="I3"/>
      <selection pane="bottomLeft" activeCell="I3" sqref="I3"/>
      <selection pane="bottomRight" activeCell="A14" sqref="A14:XFD1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44122</v>
      </c>
      <c r="D4" s="34"/>
      <c r="E4" s="34"/>
      <c r="F4" s="34"/>
      <c r="G4" s="34"/>
      <c r="H4" s="34"/>
      <c r="I4" s="34"/>
      <c r="J4" s="34"/>
      <c r="K4" s="26"/>
      <c r="L4" s="26"/>
      <c r="M4" s="26"/>
      <c r="N4" s="26"/>
      <c r="O4" s="26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75000</v>
      </c>
      <c r="D6" s="14">
        <f t="shared" ref="D6:D24" si="1">IF(E6="ESPECES",0,0)</f>
        <v>0</v>
      </c>
      <c r="E6" s="7" t="s">
        <v>9</v>
      </c>
      <c r="F6" s="14"/>
      <c r="G6" s="14"/>
      <c r="H6" s="15"/>
      <c r="I6" s="12"/>
      <c r="J6" s="8">
        <f>K6</f>
        <v>0</v>
      </c>
      <c r="K6" s="8">
        <f>TONTSEPT!F6+TONTSEPT!G6</f>
        <v>0</v>
      </c>
      <c r="L6" s="7"/>
      <c r="M6" s="15"/>
      <c r="N6" s="12"/>
      <c r="O6" s="8">
        <f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2">K7</f>
        <v>0</v>
      </c>
      <c r="K7" s="8">
        <f>TONTSEPT!F7+TONTSEPT!G7</f>
        <v>0</v>
      </c>
      <c r="L7" s="7"/>
      <c r="M7" s="15"/>
      <c r="N7" s="12"/>
      <c r="O7" s="8">
        <f t="shared" ref="O7:O24" si="3">IF(P7=0,0,($C$36-P7))</f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75000</v>
      </c>
      <c r="D8" s="8">
        <f t="shared" si="1"/>
        <v>0</v>
      </c>
      <c r="E8" s="7" t="s">
        <v>9</v>
      </c>
      <c r="F8" s="8"/>
      <c r="G8" s="8"/>
      <c r="H8" s="7"/>
      <c r="I8" s="12"/>
      <c r="J8" s="8">
        <f t="shared" si="2"/>
        <v>51000</v>
      </c>
      <c r="K8" s="8">
        <f>TONTSEPT!F8+TONTSEPT!G8</f>
        <v>51000</v>
      </c>
      <c r="L8" s="7" t="s">
        <v>9</v>
      </c>
      <c r="M8" s="7"/>
      <c r="N8" s="12"/>
      <c r="O8" s="8">
        <f t="shared" si="3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8"/>
      <c r="G9" s="8"/>
      <c r="H9" s="7"/>
      <c r="I9" s="12"/>
      <c r="J9" s="8">
        <f t="shared" si="2"/>
        <v>153000</v>
      </c>
      <c r="K9" s="8">
        <f>TONTSEPT!F9+TONTSEPT!G9</f>
        <v>153000</v>
      </c>
      <c r="L9" s="7" t="s">
        <v>9</v>
      </c>
      <c r="M9" s="7"/>
      <c r="N9" s="12"/>
      <c r="O9" s="8">
        <f t="shared" si="3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8"/>
      <c r="G10" s="8"/>
      <c r="H10" s="7"/>
      <c r="I10" s="12"/>
      <c r="J10" s="8">
        <f t="shared" si="2"/>
        <v>0</v>
      </c>
      <c r="K10" s="8">
        <f>TONTSEPT!F10+TONTSEPT!G10</f>
        <v>0</v>
      </c>
      <c r="L10" s="7"/>
      <c r="M10" s="7"/>
      <c r="N10" s="12"/>
      <c r="O10" s="8">
        <f t="shared" si="3"/>
        <v>1125000</v>
      </c>
      <c r="P10" s="8">
        <v>75000</v>
      </c>
    </row>
    <row r="11" spans="1:17" ht="14.25" customHeight="1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8"/>
      <c r="G11" s="8"/>
      <c r="H11" s="7"/>
      <c r="I11" s="12"/>
      <c r="J11" s="8">
        <f t="shared" si="2"/>
        <v>0</v>
      </c>
      <c r="K11" s="8">
        <f>TONTSEPT!F11+TONTSEPT!G11</f>
        <v>0</v>
      </c>
      <c r="L11" s="7"/>
      <c r="M11" s="7"/>
      <c r="N11" s="12"/>
      <c r="O11" s="8">
        <f t="shared" si="3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8"/>
      <c r="G12" s="8"/>
      <c r="H12" s="7"/>
      <c r="I12" s="12"/>
      <c r="J12" s="8">
        <f t="shared" si="2"/>
        <v>102000</v>
      </c>
      <c r="K12" s="8">
        <f>TONTSEPT!F12+TONTSEPT!G12</f>
        <v>102000</v>
      </c>
      <c r="L12" s="7" t="s">
        <v>9</v>
      </c>
      <c r="M12" s="7"/>
      <c r="N12" s="12"/>
      <c r="O12" s="8">
        <f t="shared" si="3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75000</v>
      </c>
      <c r="D13" s="8">
        <f t="shared" si="1"/>
        <v>0</v>
      </c>
      <c r="E13" s="7" t="s">
        <v>9</v>
      </c>
      <c r="F13" s="8"/>
      <c r="G13" s="8"/>
      <c r="H13" s="7"/>
      <c r="I13" s="12"/>
      <c r="J13" s="8">
        <f t="shared" si="2"/>
        <v>0</v>
      </c>
      <c r="K13" s="8">
        <f>TONTSEPT!F13+TONTSEPT!G13</f>
        <v>0</v>
      </c>
      <c r="L13" s="7"/>
      <c r="M13" s="7"/>
      <c r="N13" s="12"/>
      <c r="O13" s="8">
        <f t="shared" si="3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75000</v>
      </c>
      <c r="D14" s="8">
        <f t="shared" si="1"/>
        <v>0</v>
      </c>
      <c r="E14" s="7" t="s">
        <v>9</v>
      </c>
      <c r="F14" s="8"/>
      <c r="G14" s="8"/>
      <c r="H14" s="7"/>
      <c r="I14" s="12"/>
      <c r="J14" s="8">
        <f t="shared" si="2"/>
        <v>102000</v>
      </c>
      <c r="K14" s="8">
        <f>TONTSEPT!F14+TONTSEPT!G14</f>
        <v>102000</v>
      </c>
      <c r="L14" s="7" t="s">
        <v>9</v>
      </c>
      <c r="M14" s="7"/>
      <c r="N14" s="12"/>
      <c r="O14" s="8">
        <f t="shared" si="3"/>
        <v>0</v>
      </c>
      <c r="P14" s="8"/>
      <c r="Q14" s="27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75000</v>
      </c>
      <c r="D15" s="8">
        <f t="shared" si="1"/>
        <v>0</v>
      </c>
      <c r="E15" s="7" t="s">
        <v>9</v>
      </c>
      <c r="F15" s="8"/>
      <c r="G15" s="8"/>
      <c r="H15" s="7"/>
      <c r="I15" s="12"/>
      <c r="J15" s="8">
        <f t="shared" si="2"/>
        <v>0</v>
      </c>
      <c r="K15" s="8">
        <f>TONTSEPT!F15+TONTSEPT!G15</f>
        <v>0</v>
      </c>
      <c r="L15" s="7"/>
      <c r="M15" s="7"/>
      <c r="N15" s="12"/>
      <c r="O15" s="8">
        <f t="shared" si="3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75000</v>
      </c>
      <c r="D16" s="8">
        <f t="shared" si="1"/>
        <v>0</v>
      </c>
      <c r="E16" s="7" t="s">
        <v>9</v>
      </c>
      <c r="F16" s="8"/>
      <c r="G16" s="8"/>
      <c r="H16" s="7"/>
      <c r="I16" s="12"/>
      <c r="J16" s="8">
        <f t="shared" si="2"/>
        <v>0</v>
      </c>
      <c r="K16" s="8">
        <f>TONTSEPT!F16+TONTSEPT!G16</f>
        <v>0</v>
      </c>
      <c r="L16" s="7"/>
      <c r="M16" s="7"/>
      <c r="N16" s="12"/>
      <c r="O16" s="8">
        <f t="shared" si="3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75000</v>
      </c>
      <c r="D17" s="8">
        <f t="shared" si="1"/>
        <v>0</v>
      </c>
      <c r="E17" s="7" t="s">
        <v>9</v>
      </c>
      <c r="F17" s="8"/>
      <c r="G17" s="8"/>
      <c r="H17" s="7"/>
      <c r="I17" s="12"/>
      <c r="J17" s="8">
        <f t="shared" si="2"/>
        <v>106000</v>
      </c>
      <c r="K17" s="8">
        <f>TONTSEPT!F17+TONTSEPT!G17</f>
        <v>106000</v>
      </c>
      <c r="L17" s="7" t="s">
        <v>9</v>
      </c>
      <c r="M17" s="7"/>
      <c r="N17" s="12"/>
      <c r="O17" s="8">
        <f t="shared" si="3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75000</v>
      </c>
      <c r="D18" s="8">
        <f t="shared" si="1"/>
        <v>0</v>
      </c>
      <c r="E18" s="7" t="s">
        <v>9</v>
      </c>
      <c r="F18" s="8"/>
      <c r="G18" s="8"/>
      <c r="H18" s="7"/>
      <c r="I18" s="12"/>
      <c r="J18" s="8">
        <f t="shared" si="2"/>
        <v>0</v>
      </c>
      <c r="K18" s="8">
        <f>TONTSEPT!F18+TONTSEPT!G18</f>
        <v>0</v>
      </c>
      <c r="L18" s="7"/>
      <c r="M18" s="7"/>
      <c r="N18" s="12"/>
      <c r="O18" s="8">
        <f t="shared" si="3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8"/>
      <c r="G19" s="8"/>
      <c r="H19" s="7"/>
      <c r="I19" s="7"/>
      <c r="J19" s="8">
        <f t="shared" si="2"/>
        <v>102000</v>
      </c>
      <c r="K19" s="8">
        <f>TONTSEPT!F19+TONTSEPT!G19</f>
        <v>102000</v>
      </c>
      <c r="L19" s="7" t="s">
        <v>14</v>
      </c>
      <c r="M19" s="7"/>
      <c r="N19" s="12"/>
      <c r="O19" s="8">
        <f t="shared" si="3"/>
        <v>0</v>
      </c>
      <c r="P19" s="8"/>
      <c r="Q19" s="1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75000</v>
      </c>
      <c r="D20" s="8">
        <f t="shared" si="1"/>
        <v>0</v>
      </c>
      <c r="E20" s="7" t="s">
        <v>9</v>
      </c>
      <c r="F20" s="8"/>
      <c r="G20" s="8"/>
      <c r="H20" s="7"/>
      <c r="I20" s="7"/>
      <c r="J20" s="8">
        <f t="shared" si="2"/>
        <v>0</v>
      </c>
      <c r="K20" s="8">
        <f>TONTSEPT!F20+TONTSEPT!G20</f>
        <v>0</v>
      </c>
      <c r="L20" s="7"/>
      <c r="M20" s="7"/>
      <c r="N20" s="12"/>
      <c r="O20" s="8">
        <f t="shared" si="3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75000</v>
      </c>
      <c r="D21" s="8">
        <f t="shared" si="1"/>
        <v>0</v>
      </c>
      <c r="E21" s="7" t="s">
        <v>9</v>
      </c>
      <c r="F21" s="8"/>
      <c r="G21" s="8"/>
      <c r="H21" s="7"/>
      <c r="I21" s="7"/>
      <c r="J21" s="8">
        <f t="shared" si="2"/>
        <v>0</v>
      </c>
      <c r="K21" s="8">
        <f>TONTSEPT!F21+TONTSEPT!G21</f>
        <v>0</v>
      </c>
      <c r="L21" s="7"/>
      <c r="M21" s="7"/>
      <c r="N21" s="12"/>
      <c r="O21" s="8">
        <f t="shared" si="3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75000</v>
      </c>
      <c r="D22" s="8">
        <f t="shared" si="1"/>
        <v>0</v>
      </c>
      <c r="E22" s="7" t="s">
        <v>9</v>
      </c>
      <c r="F22" s="8"/>
      <c r="G22" s="8"/>
      <c r="H22" s="7"/>
      <c r="I22" s="7"/>
      <c r="J22" s="8">
        <f t="shared" si="2"/>
        <v>0</v>
      </c>
      <c r="K22" s="8">
        <f>TONTSEPT!F22+TONTSEPT!G22</f>
        <v>0</v>
      </c>
      <c r="L22" s="7"/>
      <c r="M22" s="7"/>
      <c r="N22" s="12"/>
      <c r="O22" s="8">
        <f t="shared" si="3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75000</v>
      </c>
      <c r="D23" s="8">
        <f t="shared" si="1"/>
        <v>0</v>
      </c>
      <c r="E23" s="7" t="s">
        <v>9</v>
      </c>
      <c r="F23" s="8"/>
      <c r="G23" s="8"/>
      <c r="H23" s="7"/>
      <c r="I23" s="7"/>
      <c r="J23" s="8">
        <f t="shared" si="2"/>
        <v>0</v>
      </c>
      <c r="K23" s="8">
        <f>TONTSEPT!F23+TONTSEPT!G23</f>
        <v>0</v>
      </c>
      <c r="L23" s="7"/>
      <c r="M23" s="7"/>
      <c r="N23" s="12"/>
      <c r="O23" s="8">
        <f t="shared" si="3"/>
        <v>1125000</v>
      </c>
      <c r="P23">
        <v>75000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75000</v>
      </c>
      <c r="D24" s="8">
        <f t="shared" si="1"/>
        <v>0</v>
      </c>
      <c r="E24" s="7" t="s">
        <v>9</v>
      </c>
      <c r="F24" s="8"/>
      <c r="G24" s="8"/>
      <c r="H24" s="7"/>
      <c r="I24" s="7"/>
      <c r="J24" s="8">
        <f t="shared" si="2"/>
        <v>0</v>
      </c>
      <c r="K24" s="8">
        <f>TONTSEPT!F24+TONTSEPT!G24</f>
        <v>0</v>
      </c>
      <c r="L24" s="7"/>
      <c r="M24" s="7"/>
      <c r="N24" s="12"/>
      <c r="O24" s="8">
        <f t="shared" si="3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616000</v>
      </c>
      <c r="K26" s="21">
        <f>SUM(K6:K24)</f>
        <v>616000</v>
      </c>
      <c r="L26" s="21"/>
      <c r="M26" s="21">
        <f>SUM(M6:M24)</f>
        <v>0</v>
      </c>
      <c r="N26" s="21">
        <f>SUM(N6:N24)</f>
        <v>0</v>
      </c>
      <c r="O26" s="21">
        <f>SUM(O6:O24)</f>
        <v>2250000</v>
      </c>
      <c r="P26" s="21">
        <f>SUM(P6:P24)</f>
        <v>150000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2116000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2400000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75000</v>
      </c>
      <c r="D30" s="9">
        <f>SUMIFS(K6:K24,L6:L24,"ESPECES")</f>
        <v>102000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177000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1275000</v>
      </c>
      <c r="D31" s="9">
        <f>SUMIFS(K6:K24,L6:L24,"BANQUE")</f>
        <v>514000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1789000</v>
      </c>
      <c r="I31" s="9" t="s">
        <v>33</v>
      </c>
      <c r="J31" s="9">
        <f>IF(J28&gt;0,J28-J29,0)</f>
        <v>-284000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1350000</v>
      </c>
      <c r="D33" s="21">
        <f t="shared" ref="D33:G33" si="5">D30+D31</f>
        <v>616000</v>
      </c>
      <c r="E33" s="21">
        <f t="shared" si="5"/>
        <v>0</v>
      </c>
      <c r="F33" s="21">
        <f t="shared" si="5"/>
        <v>0</v>
      </c>
      <c r="G33" s="21">
        <f t="shared" si="5"/>
        <v>1966000</v>
      </c>
      <c r="I33" s="9" t="s">
        <v>34</v>
      </c>
      <c r="J33" s="9">
        <f>J31-F26+TONTSEPT!J33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disablePrompts="1"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M24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44150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+TONTOCT!F6+TONTOCT!G6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+TONTOCT!F7+TONTOCT!G7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+TONTOCT!F8+TONTOCT!G8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+TONTOCT!F9+TONTOCT!G9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+TONTOCT!F10+TONTOCT!G10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+TONTOCT!F11+TONTOCT!G11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+TONTOCT!F12+TONTOCT!G12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+TONTOCT!F13+TONTOCT!G13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+TONTOCT!F14+TONTOCT!G14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+TONTOCT!F15+TONTOCT!G15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+TONTOCT!F16+TONTOCT!G16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+TONTOCT!F17+TONTOCT!G17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+TONTOCT!F18+TONTOCT!G18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+TONTOCT!F19+TONTOCT!G19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+TONTOCT!F20+TONTOCT!G20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+TONTOCT!F21+TONTOCT!G21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+TONTOCT!F22+TONTOCT!G22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+TONTOCT!F23+TONTOCT!G23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+TONTOCT!F24+TONTOCT!G24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J31-F26+TONTOCT!J33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30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44185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+TONTNOV!F6+TONTNOV!G6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16" si="3">K7</f>
        <v>0</v>
      </c>
      <c r="K7" s="8">
        <f>+TONTNOV!F7+TONTNOV!G7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+TONTNOV!F8+TONTNOV!G8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+TONTNOV!F9+TONTNOV!G9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+TONTNOV!F10+TONTNOV!G10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+TONTNOV!F11+TONTNOV!G11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+TONTNOV!F12+TONTNOV!G12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+TONTNOV!F13+TONTNOV!G13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+TONTNOV!F14+TONTNOV!G14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+TONTNOV!F15+TONTNOV!G15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+TONTNOV!F16+TONTNOV!G16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>K17</f>
        <v>0</v>
      </c>
      <c r="K17" s="8">
        <f>+TONTNOV!F17+TONTNOV!G17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ref="J18:J24" si="4">K18</f>
        <v>0</v>
      </c>
      <c r="K18" s="8">
        <f>+TONTNOV!F18+TONTNOV!G18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4"/>
        <v>0</v>
      </c>
      <c r="K19" s="8">
        <f>+TONTNOV!F19+TONTNOV!G19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4"/>
        <v>0</v>
      </c>
      <c r="K20" s="8">
        <f>+TONTNOV!F20+TONTNOV!G20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4"/>
        <v>0</v>
      </c>
      <c r="K21" s="8">
        <f>+TONTNOV!F21+TONTNOV!G21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4"/>
        <v>0</v>
      </c>
      <c r="K22" s="8">
        <f>+TONTNOV!F22+TONTNOV!G22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4"/>
        <v>0</v>
      </c>
      <c r="K23" s="8">
        <f>+TONTNOV!F23+TONTNOV!G23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4"/>
        <v>0</v>
      </c>
      <c r="K24" s="8">
        <f>+TONTNOV!F24+TONTNOV!G24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5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6">D30+D31</f>
        <v>0</v>
      </c>
      <c r="E33" s="21">
        <f t="shared" si="6"/>
        <v>0</v>
      </c>
      <c r="F33" s="21">
        <f t="shared" si="6"/>
        <v>0</v>
      </c>
      <c r="G33" s="21">
        <f t="shared" si="6"/>
        <v>0</v>
      </c>
      <c r="I33" s="9" t="s">
        <v>34</v>
      </c>
      <c r="J33" s="9">
        <f>J31-F26+TONTNOV!J33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27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44213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+TONTDEC!F6+TONTDEC!G6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+TONTDEC!F7+TONTDEC!G7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+TONTDEC!F8+TONTDEC!G8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+TONTDEC!F9+TONTDEC!G9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+TONTDEC!F10+TONTDEC!G10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+TONTDEC!F11+TONTDEC!G11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+TONTDEC!F12+TONTDEC!G12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+TONTDEC!F13+TONTDEC!G13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+TONTDEC!F14+TONTDEC!G14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+TONTDEC!F15+TONTDEC!G15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+TONTDEC!F16+TONTDEC!G16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+TONTDEC!F17+TONTDEC!G17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+TONTDEC!F18+TONTDEC!G18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+TONTDEC!F19+TONTDEC!G19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+TONTDEC!F20+TONTDEC!G20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+TONTDEC!F21+TONTDEC!G21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+TONTDEC!F22+TONTDEC!G22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+TONTDEC!F23+TONTDEC!G23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+TONTDEC!F24+TONTDEC!G24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J31-F26+TONTDEC!J33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27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44248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+TONTJANV!F6+TONTJANV!G6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+TONTJANV!F7+TONTJANV!G7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+TONTJANV!F8+TONTJANV!G8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+TONTJANV!F9+TONTJANV!G9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+TONTJANV!F10+TONTJANV!G10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+TONTJANV!F11+TONTJANV!G11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+TONTJANV!F12+TONTJANV!G12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+TONTJANV!F13+TONTJANV!G13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+TONTJANV!F14+TONTJANV!G14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+TONTJANV!F15+TONTJANV!G15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+TONTJANV!F16+TONTJANV!G16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+TONTJANV!F17+TONTJANV!G17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+TONTJANV!F18+TONTJANV!G18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+TONTJANV!F19+TONTJANV!G19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+TONTJANV!F20+TONTJANV!G20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+TONTJANV!F21+TONTJANV!G21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+TONTJANV!F22+TONTJANV!G22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+TONTJANV!F23+TONTJANV!G23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+TONTJANV!F24+TONTJANV!G24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J31-F26+TONTJANV!J33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30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44276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+TONTFEV!F6+TONTFEV!G6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+TONTFEV!F7+TONTFEV!G7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+TONTFEV!F8+TONTFEV!G8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+TONTFEV!F9+TONTFEV!G9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+TONTFEV!F10+TONTFEV!G10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+TONTFEV!F11+TONTFEV!G11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+TONTFEV!F12+TONTFEV!G12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+TONTFEV!F13+TONTFEV!G13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+TONTFEV!F14+TONTFEV!G14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+TONTFEV!F15+TONTFEV!G15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+TONTFEV!F16+TONTFEV!G16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+TONTFEV!F17+TONTFEV!G17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+TONTFEV!F18+TONTFEV!G18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+TONTFEV!F19+TONTFEV!G19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+TONTFEV!F20+TONTFEV!G20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+TONTFEV!F21+TONTFEV!G21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+TONTFEV!F22+TONTFEV!G22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+TONTFEV!F23+TONTFEV!G23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+TONTFEV!F24+TONTFEV!G24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J31-F26+TONTFEV!J33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30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44304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+TONTMARS!F6+TONTMARS!G6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+TONTMARS!F7+TONTMARS!G7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+TONTMARS!F8+TONTMARS!G8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+TONTMARS!F9+TONTMARS!G9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+TONTMARS!F10+TONTMARS!G10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+TONTMARS!F11+TONTMARS!G11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+TONTMARS!F12+TONTMARS!G12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+TONTMARS!F13+TONTMARS!G13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+TONTMARS!F14+TONTMARS!G14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+TONTMARS!F15+TONTMARS!G15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+TONTMARS!F16+TONTMARS!G16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+TONTMARS!F17+TONTMARS!G17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+TONTMARS!F18+TONTMARS!G18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+TONTMARS!F19+TONTMARS!G19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+TONTMARS!F20+TONTMARS!G20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+TONTMARS!F21+TONTMARS!G21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+TONTMARS!F22+TONTMARS!G22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+TONTMARS!F23+TONTMARS!G23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+TONTMARS!F24+TONTMARS!G24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J31-F26+TONTMARS!J33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24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44332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+TONTAVRIL!F6+TONTAVRIL!G6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+TONTAVRIL!F7+TONTAVRIL!G7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+TONTAVRIL!F8+TONTAVRIL!G8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+TONTAVRIL!F9+TONTAVRIL!G9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+TONTAVRIL!F10+TONTAVRIL!G10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+TONTAVRIL!F11+TONTAVRIL!G11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+TONTAVRIL!F12+TONTAVRIL!G12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+TONTAVRIL!F13+TONTAVRIL!G13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+TONTAVRIL!F14+TONTAVRIL!G14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+TONTAVRIL!F15+TONTAVRIL!G15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+TONTAVRIL!F16+TONTAVRIL!G16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+TONTAVRIL!F17+TONTAVRIL!G17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+TONTAVRIL!F18+TONTAVRIL!G18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+TONTAVRIL!F19+TONTAVRIL!G19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+TONTAVRIL!F20+TONTAVRIL!G20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+TONTAVRIL!F21+TONTAVRIL!G21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+TONTAVRIL!F22+TONTAVRIL!G22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+TONTAVRIL!F23+TONTAVRIL!G23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+TONTAVRIL!F24+TONTAVRIL!G24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J31-F26+TONTAVRIL!J33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27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44367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+TONTMAI!F6+TONTMAI!G6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+TONTMAI!F7+TONTMAI!G7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+TONTMAI!F8+TONTMAI!G8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+TONTMAI!F9+TONTMAI!G9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+TONTMAI!F10+TONTMAI!G10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+TONTMAI!F11+TONTMAI!G11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+TONTMAI!F12+TONTMAI!G12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+TONTMAI!F13+TONTMAI!G13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+TONTMAI!F14+TONTMAI!G14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+TONTMAI!F15+TONTMAI!G15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+TONTMAI!F16+TONTMAI!G16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+TONTMAI!F17+TONTMAI!G17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+TONTMAI!F18+TONTMAI!G18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+TONTMAI!F19+TONTMAI!G19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+TONTMAI!F20+TONTMAI!G20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+TONTMAI!F21+TONTMAI!G21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+TONTMAI!F22+TONTMAI!G22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+TONTMAI!F23+TONTMAI!G23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+TONTMAI!F24+TONTMAI!G24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J31-F26+TONTMAI!J33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C24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44395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+TONTJUIN!F6+TONTJUIN!G6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+TONTJUIN!F7+TONTJUIN!G7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+TONTJUIN!F8+TONTJUIN!G8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+TONTJUIN!F9+TONTJUIN!G9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+TONTJUIN!F10+TONTJUIN!G10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+TONTJUIN!F11+TONTJUIN!G11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+TONTJUIN!F12+TONTJUIN!G12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+TONTJUIN!F13+TONTJUIN!G13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+TONTJUIN!F14+TONTJUIN!G14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+TONTJUIN!F15+TONTJUIN!G15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+TONTJUIN!F16+TONTJUIN!G16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+TONTJUIN!F17+TONTJUIN!G17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+TONTJUIN!F18+TONTJUIN!G18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+TONTJUIN!F19+TONTJUIN!G19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+TONTJUIN!F20+TONTJUIN!G20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+TONTJUIN!F21+TONTJUIN!G21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+TONTJUIN!F22+TONTJUIN!G22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+TONTJUIN!F23+TONTJUIN!G23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+TONTJUIN!F24+TONTJUIN!G24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J31-F26+TONTJUIN!J33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I24" activePane="bottomRight" state="frozen"/>
      <selection activeCell="K6" sqref="K6"/>
      <selection pane="topRight" activeCell="K6" sqref="K6"/>
      <selection pane="bottomLeft" activeCell="K6" sqref="K6"/>
      <selection pane="bottomRight" activeCell="L6" sqref="L6:L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44430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+TONTJUIL2021!F6+TONTJUIL2021!G6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+TONTJUIL2021!F7+TONTJUIL2021!G7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+TONTJUIL2021!F8+TONTJUIL2021!G8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+TONTJUIL2021!F9+TONTJUIL2021!G9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+TONTJUIL2021!F10+TONTJUIL2021!G10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+TONTJUIL2021!F11+TONTJUIL2021!G11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+TONTJUIL2021!F12+TONTJUIL2021!G12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+TONTJUIL2021!F13+TONTJUIL2021!G13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+TONTJUIL2021!F14+TONTJUIL2021!G14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+TONTJUIL2021!F15+TONTJUIL2021!G15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+TONTJUIL2021!F16+TONTJUIL2021!G16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+TONTJUIL2021!F17+TONTJUIL2021!G17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+TONTJUIL2021!F18+TONTJUIL2021!G18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+TONTJUIL2021!F19+TONTJUIL2021!G19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+TONTJUIL2021!F20+TONTJUIL2021!G20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+TONTJUIL2021!F21+TONTJUIL2021!G21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+TONTJUIL2021!F22+TONTJUIL2021!G22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+TONTJUIL2021!F23+TONTJUIL2021!G23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+TONTJUIL2021!F24+TONTJUIL2021!G24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J31-F26+TONTJUIL2021!J33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Normal="100" workbookViewId="0">
      <pane xSplit="2" ySplit="5" topLeftCell="F6" activePane="bottomRight" state="frozen"/>
      <selection activeCell="K6" sqref="K6"/>
      <selection pane="topRight" activeCell="K6" sqref="K6"/>
      <selection pane="bottomLeft" activeCell="K6" sqref="K6"/>
      <selection pane="bottomRight" activeCell="J33" sqref="J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5.42578125" style="3" customWidth="1"/>
    <col min="10" max="11" width="17.42578125" customWidth="1"/>
    <col min="12" max="12" width="17.5703125" style="3" bestFit="1" customWidth="1"/>
    <col min="13" max="13" width="17.5703125" style="3" customWidth="1"/>
    <col min="14" max="14" width="15.42578125" style="3" customWidth="1"/>
    <col min="15" max="15" width="17.5703125" style="3" customWidth="1"/>
    <col min="16" max="16" width="19" bestFit="1" customWidth="1"/>
  </cols>
  <sheetData>
    <row r="1" spans="1:17" x14ac:dyDescent="0.25">
      <c r="A1" s="1" t="s">
        <v>0</v>
      </c>
      <c r="B1" s="1" t="s">
        <v>1</v>
      </c>
    </row>
    <row r="2" spans="1:17" x14ac:dyDescent="0.25">
      <c r="A2" s="1" t="s">
        <v>2</v>
      </c>
      <c r="B2" s="1" t="s">
        <v>46</v>
      </c>
      <c r="G2">
        <f>1200000/75000</f>
        <v>16</v>
      </c>
    </row>
    <row r="3" spans="1:17" x14ac:dyDescent="0.25">
      <c r="A3" s="1" t="s">
        <v>3</v>
      </c>
      <c r="B3" s="4">
        <v>75000</v>
      </c>
    </row>
    <row r="4" spans="1:17" ht="18" x14ac:dyDescent="0.25">
      <c r="B4" s="5"/>
      <c r="C4" s="33">
        <v>44458</v>
      </c>
      <c r="D4" s="34"/>
      <c r="E4" s="34"/>
      <c r="F4" s="34"/>
      <c r="G4" s="34"/>
      <c r="H4" s="34"/>
      <c r="I4" s="34"/>
      <c r="J4" s="34"/>
      <c r="K4" s="32"/>
      <c r="L4" s="32"/>
      <c r="M4" s="32"/>
      <c r="N4" s="32"/>
      <c r="O4" s="32"/>
    </row>
    <row r="5" spans="1:17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25</v>
      </c>
      <c r="G5" s="6" t="s">
        <v>18</v>
      </c>
      <c r="H5" s="18" t="s">
        <v>26</v>
      </c>
      <c r="I5" s="18" t="s">
        <v>35</v>
      </c>
      <c r="J5" s="18" t="s">
        <v>47</v>
      </c>
      <c r="K5" s="18" t="s">
        <v>49</v>
      </c>
      <c r="L5" s="18" t="s">
        <v>19</v>
      </c>
      <c r="M5" s="6" t="s">
        <v>21</v>
      </c>
      <c r="N5" s="18" t="s">
        <v>35</v>
      </c>
      <c r="O5" s="6" t="s">
        <v>23</v>
      </c>
      <c r="P5" s="4" t="s">
        <v>24</v>
      </c>
    </row>
    <row r="6" spans="1:17" s="17" customFormat="1" x14ac:dyDescent="0.25">
      <c r="A6" s="1" t="s">
        <v>37</v>
      </c>
      <c r="B6" s="1" t="str">
        <f>VLOOKUP(A6,[1]LISTADHERENT!A$5:H$60,3,0)</f>
        <v>BOUTCHOUANG WILLIAM</v>
      </c>
      <c r="C6" s="8">
        <f t="shared" ref="C6:C24" si="0">IF(E6="ECHEC",0,IF(E6="",0,75000))</f>
        <v>0</v>
      </c>
      <c r="D6" s="14">
        <f t="shared" ref="D6:D24" si="1">IF(E6="ESPECES",0,0)</f>
        <v>0</v>
      </c>
      <c r="E6" s="7" t="s">
        <v>8</v>
      </c>
      <c r="F6" s="14"/>
      <c r="G6" s="14"/>
      <c r="H6" s="15"/>
      <c r="I6" s="12"/>
      <c r="J6" s="8">
        <f>K6</f>
        <v>0</v>
      </c>
      <c r="K6" s="8">
        <f>+TONTAOUT2021!F6+TONTAOUT2021!G6</f>
        <v>0</v>
      </c>
      <c r="L6" s="7"/>
      <c r="M6" s="15"/>
      <c r="N6" s="12"/>
      <c r="O6" s="8">
        <f t="shared" ref="O6:O24" si="2">IF(P6=0,0,($C$36-P6))</f>
        <v>0</v>
      </c>
      <c r="P6" s="14"/>
    </row>
    <row r="7" spans="1:17" s="17" customFormat="1" x14ac:dyDescent="0.25">
      <c r="A7" s="1" t="s">
        <v>52</v>
      </c>
      <c r="B7" s="1" t="str">
        <f>VLOOKUP(A7,[1]LISTADHERENT!A$5:H$60,3,0)</f>
        <v>CHINGUE FABRICE</v>
      </c>
      <c r="C7" s="8">
        <f t="shared" si="0"/>
        <v>0</v>
      </c>
      <c r="D7" s="14">
        <f t="shared" si="1"/>
        <v>0</v>
      </c>
      <c r="E7" s="7" t="s">
        <v>8</v>
      </c>
      <c r="F7" s="14"/>
      <c r="G7" s="14"/>
      <c r="H7" s="15"/>
      <c r="I7" s="12"/>
      <c r="J7" s="8">
        <f t="shared" ref="J7:J24" si="3">K7</f>
        <v>0</v>
      </c>
      <c r="K7" s="8">
        <f>+TONTAOUT2021!F7+TONTAOUT2021!G7</f>
        <v>0</v>
      </c>
      <c r="L7" s="7"/>
      <c r="M7" s="15"/>
      <c r="N7" s="12"/>
      <c r="O7" s="8">
        <f t="shared" si="2"/>
        <v>0</v>
      </c>
      <c r="P7" s="14"/>
    </row>
    <row r="8" spans="1:17" s="13" customFormat="1" x14ac:dyDescent="0.25">
      <c r="A8" s="1" t="s">
        <v>38</v>
      </c>
      <c r="B8" s="1" t="str">
        <f>VLOOKUP(A8,[1]LISTADHERENT!A$5:H$60,3,0)</f>
        <v xml:space="preserve">DJOMO JEAN PAUL </v>
      </c>
      <c r="C8" s="8">
        <f t="shared" si="0"/>
        <v>0</v>
      </c>
      <c r="D8" s="14">
        <f t="shared" si="1"/>
        <v>0</v>
      </c>
      <c r="E8" s="7" t="s">
        <v>8</v>
      </c>
      <c r="F8" s="8"/>
      <c r="G8" s="8"/>
      <c r="H8" s="7"/>
      <c r="I8" s="12"/>
      <c r="J8" s="8">
        <f t="shared" si="3"/>
        <v>0</v>
      </c>
      <c r="K8" s="8">
        <f>+TONTAOUT2021!F8+TONTAOUT2021!G8</f>
        <v>0</v>
      </c>
      <c r="L8" s="7"/>
      <c r="M8" s="7"/>
      <c r="N8" s="12"/>
      <c r="O8" s="8">
        <f t="shared" si="2"/>
        <v>0</v>
      </c>
      <c r="P8" s="8"/>
    </row>
    <row r="9" spans="1:17" x14ac:dyDescent="0.25">
      <c r="A9" s="1" t="s">
        <v>39</v>
      </c>
      <c r="B9" s="1" t="str">
        <f>VLOOKUP(A9,[1]LISTADHERENT!A$5:H$60,3,0)</f>
        <v>DJOUKWE NANGUEN GUY BLAISE</v>
      </c>
      <c r="C9" s="8">
        <f t="shared" si="0"/>
        <v>0</v>
      </c>
      <c r="D9" s="8">
        <f t="shared" si="1"/>
        <v>0</v>
      </c>
      <c r="E9" s="7" t="s">
        <v>8</v>
      </c>
      <c r="F9" s="8"/>
      <c r="G9" s="8"/>
      <c r="H9" s="7"/>
      <c r="I9" s="12"/>
      <c r="J9" s="8">
        <f t="shared" si="3"/>
        <v>0</v>
      </c>
      <c r="K9" s="8">
        <f>+TONTAOUT2021!F9+TONTAOUT2021!G9</f>
        <v>0</v>
      </c>
      <c r="L9" s="7"/>
      <c r="M9" s="7"/>
      <c r="N9" s="12"/>
      <c r="O9" s="8">
        <f t="shared" si="2"/>
        <v>0</v>
      </c>
      <c r="P9" s="8"/>
    </row>
    <row r="10" spans="1:17" x14ac:dyDescent="0.25">
      <c r="A10" s="1" t="s">
        <v>29</v>
      </c>
      <c r="B10" s="1" t="str">
        <f>VLOOKUP(A10,[1]LISTADHERENT!A$5:H$60,3,0)</f>
        <v>HOTCHO BENJAMIN</v>
      </c>
      <c r="C10" s="8">
        <f t="shared" si="0"/>
        <v>0</v>
      </c>
      <c r="D10" s="8">
        <f t="shared" si="1"/>
        <v>0</v>
      </c>
      <c r="E10" s="7" t="s">
        <v>8</v>
      </c>
      <c r="F10" s="8"/>
      <c r="G10" s="8"/>
      <c r="H10" s="7"/>
      <c r="I10" s="12"/>
      <c r="J10" s="8">
        <f t="shared" si="3"/>
        <v>0</v>
      </c>
      <c r="K10" s="8">
        <f>+TONTAOUT2021!F10+TONTAOUT2021!G10</f>
        <v>0</v>
      </c>
      <c r="L10" s="7"/>
      <c r="M10" s="7"/>
      <c r="N10" s="12"/>
      <c r="O10" s="8">
        <f t="shared" si="2"/>
        <v>0</v>
      </c>
      <c r="P10" s="8"/>
    </row>
    <row r="11" spans="1:17" x14ac:dyDescent="0.25">
      <c r="A11" s="1" t="s">
        <v>41</v>
      </c>
      <c r="B11" s="1" t="str">
        <f>VLOOKUP(A11,[1]LISTADHERENT!A$5:H$60,3,0)</f>
        <v>HENGUE PAUL OMER</v>
      </c>
      <c r="C11" s="8">
        <f t="shared" si="0"/>
        <v>0</v>
      </c>
      <c r="D11" s="8">
        <f t="shared" si="1"/>
        <v>0</v>
      </c>
      <c r="E11" s="7" t="s">
        <v>8</v>
      </c>
      <c r="F11" s="8"/>
      <c r="G11" s="8"/>
      <c r="H11" s="7"/>
      <c r="I11" s="12"/>
      <c r="J11" s="8">
        <f t="shared" si="3"/>
        <v>0</v>
      </c>
      <c r="K11" s="8">
        <f>+TONTAOUT2021!F11+TONTAOUT2021!G11</f>
        <v>0</v>
      </c>
      <c r="L11" s="7"/>
      <c r="M11" s="7"/>
      <c r="N11" s="12"/>
      <c r="O11" s="8">
        <f t="shared" si="2"/>
        <v>0</v>
      </c>
      <c r="P11" s="8"/>
    </row>
    <row r="12" spans="1:17" x14ac:dyDescent="0.25">
      <c r="A12" s="1" t="s">
        <v>10</v>
      </c>
      <c r="B12" s="1" t="str">
        <f>VLOOKUP(A12,[1]LISTADHERENT!A$5:H$60,3,0)</f>
        <v>KOUATCHO MESSACK</v>
      </c>
      <c r="C12" s="8">
        <f t="shared" si="0"/>
        <v>0</v>
      </c>
      <c r="D12" s="8">
        <f t="shared" si="1"/>
        <v>0</v>
      </c>
      <c r="E12" s="7" t="s">
        <v>8</v>
      </c>
      <c r="F12" s="8"/>
      <c r="G12" s="8"/>
      <c r="H12" s="7"/>
      <c r="I12" s="12"/>
      <c r="J12" s="8">
        <f t="shared" si="3"/>
        <v>0</v>
      </c>
      <c r="K12" s="8">
        <f>+TONTAOUT2021!F12+TONTAOUT2021!G12</f>
        <v>0</v>
      </c>
      <c r="L12" s="7"/>
      <c r="M12" s="7"/>
      <c r="N12" s="12"/>
      <c r="O12" s="8">
        <f t="shared" si="2"/>
        <v>0</v>
      </c>
      <c r="P12" s="8"/>
    </row>
    <row r="13" spans="1:17" x14ac:dyDescent="0.25">
      <c r="A13" s="1" t="s">
        <v>11</v>
      </c>
      <c r="B13" s="1" t="str">
        <f>VLOOKUP(A13,[1]LISTADHERENT!A$5:H$60,3,0)</f>
        <v>NANKAM APPOLINAIRE</v>
      </c>
      <c r="C13" s="8">
        <f t="shared" si="0"/>
        <v>0</v>
      </c>
      <c r="D13" s="8">
        <f t="shared" si="1"/>
        <v>0</v>
      </c>
      <c r="E13" s="7" t="s">
        <v>8</v>
      </c>
      <c r="F13" s="8"/>
      <c r="G13" s="8"/>
      <c r="H13" s="7"/>
      <c r="I13" s="12"/>
      <c r="J13" s="8">
        <f t="shared" si="3"/>
        <v>0</v>
      </c>
      <c r="K13" s="8">
        <f>+TONTAOUT2021!F13+TONTAOUT2021!G13</f>
        <v>0</v>
      </c>
      <c r="L13" s="7"/>
      <c r="M13" s="7"/>
      <c r="N13" s="12"/>
      <c r="O13" s="8">
        <f t="shared" si="2"/>
        <v>0</v>
      </c>
      <c r="P13" s="8"/>
    </row>
    <row r="14" spans="1:17" x14ac:dyDescent="0.25">
      <c r="A14" s="1" t="s">
        <v>32</v>
      </c>
      <c r="B14" s="1" t="str">
        <f>VLOOKUP(A14,[1]LISTADHERENT!A$5:H$60,3,0)</f>
        <v>MBOGNING TUGMA GUY</v>
      </c>
      <c r="C14" s="8">
        <f t="shared" si="0"/>
        <v>0</v>
      </c>
      <c r="D14" s="8">
        <f t="shared" si="1"/>
        <v>0</v>
      </c>
      <c r="E14" s="7" t="s">
        <v>8</v>
      </c>
      <c r="F14" s="8"/>
      <c r="G14" s="8"/>
      <c r="H14" s="7"/>
      <c r="I14" s="12"/>
      <c r="J14" s="8">
        <f t="shared" si="3"/>
        <v>0</v>
      </c>
      <c r="K14" s="8">
        <f>+TONTAOUT2021!F14+TONTAOUT2021!G14</f>
        <v>0</v>
      </c>
      <c r="L14" s="7"/>
      <c r="M14" s="7"/>
      <c r="N14" s="12"/>
      <c r="O14" s="8">
        <f t="shared" si="2"/>
        <v>0</v>
      </c>
      <c r="P14" s="8"/>
      <c r="Q14" s="8"/>
    </row>
    <row r="15" spans="1:17" x14ac:dyDescent="0.25">
      <c r="A15" s="1" t="s">
        <v>32</v>
      </c>
      <c r="B15" s="1" t="str">
        <f>VLOOKUP(A15,[1]LISTADHERENT!A$5:H$60,3,0)</f>
        <v>MBOGNING TUGMA GUY</v>
      </c>
      <c r="C15" s="8">
        <f t="shared" si="0"/>
        <v>0</v>
      </c>
      <c r="D15" s="8">
        <f t="shared" si="1"/>
        <v>0</v>
      </c>
      <c r="E15" s="7" t="s">
        <v>8</v>
      </c>
      <c r="F15" s="8"/>
      <c r="G15" s="8"/>
      <c r="H15" s="7"/>
      <c r="I15" s="12"/>
      <c r="J15" s="8">
        <f t="shared" si="3"/>
        <v>0</v>
      </c>
      <c r="K15" s="8">
        <f>+TONTAOUT2021!F15+TONTAOUT2021!G15</f>
        <v>0</v>
      </c>
      <c r="L15" s="7"/>
      <c r="M15" s="7"/>
      <c r="N15" s="12"/>
      <c r="O15" s="8">
        <f t="shared" si="2"/>
        <v>0</v>
      </c>
      <c r="P15" s="8"/>
    </row>
    <row r="16" spans="1:17" x14ac:dyDescent="0.25">
      <c r="A16" s="1" t="s">
        <v>32</v>
      </c>
      <c r="B16" s="1" t="str">
        <f>VLOOKUP(A16,[1]LISTADHERENT!A$5:H$60,3,0)</f>
        <v>MBOGNING TUGMA GUY</v>
      </c>
      <c r="C16" s="8">
        <f t="shared" si="0"/>
        <v>0</v>
      </c>
      <c r="D16" s="8">
        <f t="shared" si="1"/>
        <v>0</v>
      </c>
      <c r="E16" s="7" t="s">
        <v>8</v>
      </c>
      <c r="F16" s="8"/>
      <c r="G16" s="8"/>
      <c r="H16" s="7"/>
      <c r="I16" s="12"/>
      <c r="J16" s="8">
        <f t="shared" si="3"/>
        <v>0</v>
      </c>
      <c r="K16" s="8">
        <f>+TONTAOUT2021!F16+TONTAOUT2021!G16</f>
        <v>0</v>
      </c>
      <c r="L16" s="7"/>
      <c r="M16" s="7"/>
      <c r="N16" s="12"/>
      <c r="O16" s="8">
        <f t="shared" si="2"/>
        <v>0</v>
      </c>
      <c r="P16" s="8"/>
    </row>
    <row r="17" spans="1:22" s="13" customFormat="1" x14ac:dyDescent="0.25">
      <c r="A17" s="1" t="s">
        <v>31</v>
      </c>
      <c r="B17" s="1" t="str">
        <f>VLOOKUP(A17,[1]LISTADHERENT!A$5:H$60,3,0)</f>
        <v>NGUIEMEGNI MATHIEU BLAISE</v>
      </c>
      <c r="C17" s="8">
        <f t="shared" si="0"/>
        <v>0</v>
      </c>
      <c r="D17" s="8">
        <f t="shared" si="1"/>
        <v>0</v>
      </c>
      <c r="E17" s="7" t="s">
        <v>8</v>
      </c>
      <c r="F17" s="8"/>
      <c r="G17" s="8"/>
      <c r="H17" s="7"/>
      <c r="I17" s="12"/>
      <c r="J17" s="8">
        <f t="shared" si="3"/>
        <v>0</v>
      </c>
      <c r="K17" s="8">
        <f>+TONTAOUT2021!F17+TONTAOUT2021!G17</f>
        <v>0</v>
      </c>
      <c r="L17" s="7"/>
      <c r="M17" s="7"/>
      <c r="N17" s="12"/>
      <c r="O17" s="8">
        <f t="shared" si="2"/>
        <v>0</v>
      </c>
      <c r="P17" s="8"/>
    </row>
    <row r="18" spans="1:22" x14ac:dyDescent="0.25">
      <c r="A18" s="1" t="s">
        <v>31</v>
      </c>
      <c r="B18" s="1" t="str">
        <f>VLOOKUP(A18,[1]LISTADHERENT!A$5:H$60,3,0)</f>
        <v>NGUIEMEGNI MATHIEU BLAISE</v>
      </c>
      <c r="C18" s="8">
        <f t="shared" si="0"/>
        <v>0</v>
      </c>
      <c r="D18" s="8">
        <f t="shared" si="1"/>
        <v>0</v>
      </c>
      <c r="E18" s="7" t="s">
        <v>8</v>
      </c>
      <c r="F18" s="8"/>
      <c r="G18" s="8"/>
      <c r="H18" s="7"/>
      <c r="I18" s="12"/>
      <c r="J18" s="8">
        <f t="shared" si="3"/>
        <v>0</v>
      </c>
      <c r="K18" s="8">
        <f>+TONTAOUT2021!F18+TONTAOUT2021!G18</f>
        <v>0</v>
      </c>
      <c r="L18" s="7"/>
      <c r="M18" s="7"/>
      <c r="N18" s="12"/>
      <c r="O18" s="8">
        <f t="shared" si="2"/>
        <v>0</v>
      </c>
      <c r="P18" s="8"/>
    </row>
    <row r="19" spans="1:22" x14ac:dyDescent="0.25">
      <c r="A19" s="16" t="s">
        <v>12</v>
      </c>
      <c r="B19" s="1" t="str">
        <f>VLOOKUP(A19,[1]LISTADHERENT!A$5:H$60,3,0)</f>
        <v>NKAMGANG JUSTIN DEJOLIE</v>
      </c>
      <c r="C19" s="8">
        <f t="shared" si="0"/>
        <v>0</v>
      </c>
      <c r="D19" s="8">
        <f t="shared" si="1"/>
        <v>0</v>
      </c>
      <c r="E19" s="7" t="s">
        <v>8</v>
      </c>
      <c r="F19" s="8"/>
      <c r="G19" s="8"/>
      <c r="H19" s="7"/>
      <c r="I19" s="7"/>
      <c r="J19" s="8">
        <f t="shared" si="3"/>
        <v>0</v>
      </c>
      <c r="K19" s="8">
        <f>+TONTAOUT2021!F19+TONTAOUT2021!G19</f>
        <v>0</v>
      </c>
      <c r="L19" s="7"/>
      <c r="M19" s="7"/>
      <c r="N19" s="12"/>
      <c r="O19" s="8">
        <f t="shared" si="2"/>
        <v>0</v>
      </c>
      <c r="P19" s="8"/>
      <c r="Q19" s="8"/>
    </row>
    <row r="20" spans="1:22" x14ac:dyDescent="0.25">
      <c r="A20" s="1" t="s">
        <v>43</v>
      </c>
      <c r="B20" s="1" t="str">
        <f>VLOOKUP(A20,[1]LISTADHERENT!A$5:H$60,3,0)</f>
        <v>PATEGO NJOSSU GUSTAVE</v>
      </c>
      <c r="C20" s="8">
        <f t="shared" si="0"/>
        <v>0</v>
      </c>
      <c r="D20" s="8">
        <f t="shared" si="1"/>
        <v>0</v>
      </c>
      <c r="E20" s="7" t="s">
        <v>8</v>
      </c>
      <c r="F20" s="8"/>
      <c r="G20" s="8"/>
      <c r="H20" s="7"/>
      <c r="I20" s="7"/>
      <c r="J20" s="8">
        <f t="shared" si="3"/>
        <v>0</v>
      </c>
      <c r="K20" s="8">
        <f>+TONTAOUT2021!F20+TONTAOUT2021!G20</f>
        <v>0</v>
      </c>
      <c r="L20" s="7"/>
      <c r="M20" s="7"/>
      <c r="N20" s="12"/>
      <c r="O20" s="8">
        <f t="shared" si="2"/>
        <v>0</v>
      </c>
    </row>
    <row r="21" spans="1:22" x14ac:dyDescent="0.25">
      <c r="A21" s="16" t="s">
        <v>44</v>
      </c>
      <c r="B21" s="1" t="str">
        <f>VLOOKUP(A21,[1]LISTADHERENT!A$5:H$60,3,0)</f>
        <v>SIMO PIERRE</v>
      </c>
      <c r="C21" s="8">
        <f t="shared" si="0"/>
        <v>0</v>
      </c>
      <c r="D21" s="8">
        <f t="shared" si="1"/>
        <v>0</v>
      </c>
      <c r="E21" s="7" t="s">
        <v>8</v>
      </c>
      <c r="F21" s="8"/>
      <c r="G21" s="8"/>
      <c r="H21" s="7"/>
      <c r="I21" s="7"/>
      <c r="J21" s="8">
        <f t="shared" si="3"/>
        <v>0</v>
      </c>
      <c r="K21" s="8">
        <f>+TONTAOUT2021!F21+TONTAOUT2021!G21</f>
        <v>0</v>
      </c>
      <c r="L21" s="7"/>
      <c r="M21" s="7"/>
      <c r="N21" s="12"/>
      <c r="O21" s="8">
        <f t="shared" si="2"/>
        <v>0</v>
      </c>
    </row>
    <row r="22" spans="1:22" x14ac:dyDescent="0.25">
      <c r="A22" s="16" t="s">
        <v>53</v>
      </c>
      <c r="B22" s="1" t="str">
        <f>VLOOKUP(A22,[1]LISTADHERENT!A$5:H$60,3,0)</f>
        <v>TCHEMHOU EMMANUEL</v>
      </c>
      <c r="C22" s="8">
        <f t="shared" si="0"/>
        <v>0</v>
      </c>
      <c r="D22" s="8">
        <f t="shared" si="1"/>
        <v>0</v>
      </c>
      <c r="E22" s="7" t="s">
        <v>8</v>
      </c>
      <c r="F22" s="8"/>
      <c r="G22" s="8"/>
      <c r="H22" s="7"/>
      <c r="I22" s="7"/>
      <c r="J22" s="8">
        <f t="shared" si="3"/>
        <v>0</v>
      </c>
      <c r="K22" s="8">
        <f>+TONTAOUT2021!F22+TONTAOUT2021!G22</f>
        <v>0</v>
      </c>
      <c r="L22" s="7"/>
      <c r="M22" s="7"/>
      <c r="N22" s="12"/>
      <c r="O22" s="8">
        <f t="shared" si="2"/>
        <v>0</v>
      </c>
    </row>
    <row r="23" spans="1:22" x14ac:dyDescent="0.25">
      <c r="A23" s="1" t="s">
        <v>30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8</v>
      </c>
      <c r="F23" s="8"/>
      <c r="G23" s="8"/>
      <c r="H23" s="7"/>
      <c r="I23" s="7"/>
      <c r="J23" s="8">
        <f t="shared" si="3"/>
        <v>0</v>
      </c>
      <c r="K23" s="8">
        <f>+TONTAOUT2021!F23+TONTAOUT2021!G23</f>
        <v>0</v>
      </c>
      <c r="L23" s="7"/>
      <c r="M23" s="7"/>
      <c r="N23" s="12"/>
      <c r="O23" s="8">
        <f t="shared" si="2"/>
        <v>0</v>
      </c>
    </row>
    <row r="24" spans="1:22" x14ac:dyDescent="0.25">
      <c r="A24" s="1" t="s">
        <v>30</v>
      </c>
      <c r="B24" s="1" t="str">
        <f>VLOOKUP(A24,[1]LISTADHERENT!A$5:H$60,3,0)</f>
        <v>YOUMBI EMMANUEL</v>
      </c>
      <c r="C24" s="8">
        <f t="shared" si="0"/>
        <v>0</v>
      </c>
      <c r="D24" s="8">
        <f t="shared" si="1"/>
        <v>0</v>
      </c>
      <c r="E24" s="7" t="s">
        <v>8</v>
      </c>
      <c r="F24" s="8"/>
      <c r="G24" s="8"/>
      <c r="H24" s="7"/>
      <c r="I24" s="7"/>
      <c r="J24" s="8">
        <f t="shared" si="3"/>
        <v>0</v>
      </c>
      <c r="K24" s="8">
        <f>+TONTAOUT2021!F24+TONTAOUT2021!G24</f>
        <v>0</v>
      </c>
      <c r="L24" s="7"/>
      <c r="M24" s="7"/>
      <c r="N24" s="12"/>
      <c r="O24" s="8">
        <f t="shared" si="2"/>
        <v>0</v>
      </c>
    </row>
    <row r="25" spans="1:22" ht="18" x14ac:dyDescent="0.25">
      <c r="B25" s="9"/>
      <c r="C25" s="9"/>
      <c r="D25" s="9"/>
      <c r="E25" s="9"/>
      <c r="F25" s="9"/>
      <c r="G25" s="9"/>
    </row>
    <row r="26" spans="1:22" ht="18" x14ac:dyDescent="0.25">
      <c r="A26" s="20" t="s">
        <v>13</v>
      </c>
      <c r="B26" s="20"/>
      <c r="C26" s="21">
        <f>SUM(C6:C24)</f>
        <v>0</v>
      </c>
      <c r="D26" s="21">
        <f>SUM(D6:D24)</f>
        <v>0</v>
      </c>
      <c r="E26" s="21"/>
      <c r="F26" s="21">
        <f>SUM(F6:F24)</f>
        <v>0</v>
      </c>
      <c r="G26" s="21">
        <f>SUM(G6:G24)</f>
        <v>0</v>
      </c>
      <c r="H26" s="21"/>
      <c r="I26" s="21">
        <f>SUM(I6:I24)</f>
        <v>0</v>
      </c>
      <c r="J26" s="21">
        <f>SUM(J6:J24)</f>
        <v>0</v>
      </c>
      <c r="K26" s="21">
        <f>SUM(K6:K24)</f>
        <v>0</v>
      </c>
      <c r="L26" s="21"/>
      <c r="M26" s="21">
        <f>SUM(M6:M24)</f>
        <v>0</v>
      </c>
      <c r="N26" s="21">
        <f>SUM(N6:N24)</f>
        <v>0</v>
      </c>
      <c r="O26" s="21">
        <f>SUM(O6:O24)</f>
        <v>0</v>
      </c>
      <c r="P26" s="21">
        <f>SUM(P6:P24)</f>
        <v>0</v>
      </c>
      <c r="Q26" s="17"/>
      <c r="R26" s="17"/>
      <c r="S26" s="17"/>
      <c r="T26" s="17"/>
      <c r="U26" s="17"/>
      <c r="V26" s="17"/>
    </row>
    <row r="27" spans="1:22" x14ac:dyDescent="0.25">
      <c r="C27" s="22" t="s">
        <v>16</v>
      </c>
      <c r="I27" s="2"/>
      <c r="J27" s="3"/>
      <c r="K27" s="3"/>
      <c r="N27"/>
      <c r="O27"/>
    </row>
    <row r="28" spans="1:22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I28" s="9" t="s">
        <v>36</v>
      </c>
      <c r="J28" s="9">
        <f>(C33+D33+P26)</f>
        <v>0</v>
      </c>
      <c r="K28" s="9"/>
      <c r="N28"/>
      <c r="O28"/>
    </row>
    <row r="29" spans="1:22" ht="18" x14ac:dyDescent="0.25">
      <c r="C29" s="22"/>
      <c r="I29" s="9" t="s">
        <v>45</v>
      </c>
      <c r="J29" s="9">
        <f>IF(J28&gt;=2000000,1200000*2,1200000)</f>
        <v>1200000</v>
      </c>
      <c r="K29" s="9"/>
      <c r="N29"/>
      <c r="O29"/>
    </row>
    <row r="30" spans="1:22" ht="18" x14ac:dyDescent="0.25">
      <c r="B30" s="9" t="s">
        <v>14</v>
      </c>
      <c r="C30" s="21">
        <f>SUMIFS(C6:C24,E6:E24,"ESPECES")</f>
        <v>0</v>
      </c>
      <c r="D30" s="9">
        <f>SUMIFS(J6:J24,L6:L24,"ESPECES")</f>
        <v>0</v>
      </c>
      <c r="E30" s="9">
        <f>SUMIFS(F6:F24,H6:H24,"ESPECES")</f>
        <v>0</v>
      </c>
      <c r="F30" s="9">
        <f>SUMIFS(M6:M24,L6:L24,"ESPECES")</f>
        <v>0</v>
      </c>
      <c r="G30" s="9">
        <f>C30+D30-E30-F30</f>
        <v>0</v>
      </c>
      <c r="L30" s="9"/>
      <c r="M30" s="9"/>
      <c r="N30"/>
      <c r="O30"/>
    </row>
    <row r="31" spans="1:22" ht="18" x14ac:dyDescent="0.25">
      <c r="B31" s="9" t="s">
        <v>9</v>
      </c>
      <c r="C31" s="21">
        <f>SUMIFS(C6:C24,E6:E24,"BANQUE")</f>
        <v>0</v>
      </c>
      <c r="D31" s="9">
        <f>SUMIFS(J6:J24,L6:L24,"BANQUE")</f>
        <v>0</v>
      </c>
      <c r="E31" s="9">
        <f>SUMIFS(F6:F24,H6:H24,"BANQUE")</f>
        <v>0</v>
      </c>
      <c r="F31" s="9">
        <f>SUMIFS(M6:M24,L6:L24,"BANQUE")</f>
        <v>0</v>
      </c>
      <c r="G31" s="9">
        <f t="shared" ref="G31" si="4">C31+D31-E31-F31</f>
        <v>0</v>
      </c>
      <c r="I31" s="9" t="s">
        <v>33</v>
      </c>
      <c r="J31" s="9">
        <f>IF(J28&gt;0,J28-J29,0)</f>
        <v>0</v>
      </c>
      <c r="K31" s="9"/>
      <c r="L31" s="9"/>
      <c r="M31" s="9"/>
      <c r="N31"/>
      <c r="O31"/>
    </row>
    <row r="32" spans="1:22" ht="18" x14ac:dyDescent="0.25">
      <c r="B32" s="9"/>
      <c r="C32" s="21"/>
      <c r="E32"/>
      <c r="F32" s="9"/>
      <c r="G32" s="9"/>
      <c r="I32" s="9"/>
      <c r="J32" s="11"/>
      <c r="K32" s="11"/>
      <c r="L32" s="9"/>
      <c r="M32" s="9"/>
      <c r="N32"/>
      <c r="O32"/>
    </row>
    <row r="33" spans="2:15" ht="18" x14ac:dyDescent="0.25">
      <c r="B33" s="9" t="s">
        <v>13</v>
      </c>
      <c r="C33" s="21">
        <f>C30+C31</f>
        <v>0</v>
      </c>
      <c r="D33" s="21">
        <f t="shared" ref="D33:G33" si="5">D30+D31</f>
        <v>0</v>
      </c>
      <c r="E33" s="21">
        <f t="shared" si="5"/>
        <v>0</v>
      </c>
      <c r="F33" s="21">
        <f t="shared" si="5"/>
        <v>0</v>
      </c>
      <c r="G33" s="21">
        <f t="shared" si="5"/>
        <v>0</v>
      </c>
      <c r="I33" s="9" t="s">
        <v>34</v>
      </c>
      <c r="J33" s="9">
        <f>J31-F26+TONTAOUT2021!J33</f>
        <v>-91500</v>
      </c>
      <c r="K33" s="9"/>
      <c r="N33"/>
      <c r="O33"/>
    </row>
    <row r="34" spans="2:15" ht="18" x14ac:dyDescent="0.25">
      <c r="B34" s="9"/>
      <c r="C34" s="21"/>
      <c r="D34" s="9"/>
      <c r="I34" s="9"/>
      <c r="J34" s="9"/>
      <c r="K34" s="9"/>
      <c r="N34"/>
      <c r="O34"/>
    </row>
    <row r="35" spans="2:15" ht="18" x14ac:dyDescent="0.25">
      <c r="B35" s="9"/>
      <c r="C35" s="21"/>
      <c r="D35" s="9"/>
      <c r="I35"/>
      <c r="J35" s="3"/>
      <c r="K35" s="3"/>
      <c r="N35"/>
      <c r="O35"/>
    </row>
    <row r="36" spans="2:15" ht="18" x14ac:dyDescent="0.25">
      <c r="B36" s="9" t="s">
        <v>6</v>
      </c>
      <c r="C36" s="21">
        <v>1200000</v>
      </c>
      <c r="G36" s="9"/>
      <c r="H36" s="9"/>
      <c r="I36"/>
      <c r="J36" s="3"/>
      <c r="K36" s="3"/>
      <c r="N36"/>
      <c r="O36"/>
    </row>
    <row r="37" spans="2:15" ht="18" x14ac:dyDescent="0.25">
      <c r="B37" s="9"/>
      <c r="C37" s="21"/>
      <c r="G37" s="9"/>
      <c r="H37" s="9"/>
      <c r="I37"/>
      <c r="J37" s="3"/>
      <c r="K37" s="3"/>
      <c r="N37"/>
      <c r="O37"/>
    </row>
    <row r="38" spans="2:15" x14ac:dyDescent="0.25">
      <c r="C38" s="22"/>
      <c r="G38" s="2"/>
      <c r="H38"/>
      <c r="I38"/>
      <c r="J38" s="3"/>
      <c r="K38" s="3"/>
      <c r="N38"/>
      <c r="O38"/>
    </row>
    <row r="39" spans="2:15" ht="18" x14ac:dyDescent="0.25">
      <c r="B39" s="6"/>
      <c r="C39" s="21"/>
      <c r="G39" s="9"/>
      <c r="H39" s="9"/>
      <c r="I39"/>
      <c r="J39" s="3"/>
      <c r="K39" s="3"/>
      <c r="N39"/>
      <c r="O39"/>
    </row>
    <row r="40" spans="2:15" ht="18" x14ac:dyDescent="0.25">
      <c r="B40" s="10"/>
      <c r="C40" s="21"/>
      <c r="G40" s="2"/>
      <c r="H40"/>
      <c r="I40"/>
      <c r="J40" s="3"/>
      <c r="K40" s="3"/>
      <c r="N40"/>
      <c r="O40"/>
    </row>
    <row r="41" spans="2:15" ht="18" x14ac:dyDescent="0.25">
      <c r="C41" s="22"/>
      <c r="G41" s="9"/>
      <c r="H41" s="9"/>
      <c r="I41"/>
      <c r="J41" s="3"/>
      <c r="K41" s="3"/>
      <c r="N41"/>
      <c r="O41"/>
    </row>
    <row r="42" spans="2:15" x14ac:dyDescent="0.25">
      <c r="C42" s="22"/>
      <c r="I42"/>
      <c r="J42" s="3"/>
      <c r="K42" s="3"/>
      <c r="N42"/>
      <c r="O42"/>
    </row>
    <row r="43" spans="2:15" x14ac:dyDescent="0.25">
      <c r="C43" s="22"/>
      <c r="I43"/>
      <c r="J43" s="3"/>
      <c r="K43" s="3"/>
      <c r="N43"/>
      <c r="O43"/>
    </row>
    <row r="44" spans="2:15" x14ac:dyDescent="0.25">
      <c r="C44" s="22"/>
      <c r="I44"/>
      <c r="J44" s="3"/>
      <c r="K44" s="3"/>
      <c r="N44"/>
      <c r="O44"/>
    </row>
    <row r="45" spans="2:15" ht="18" x14ac:dyDescent="0.25">
      <c r="B45" s="9"/>
      <c r="C45" s="9"/>
      <c r="D45" s="9"/>
    </row>
    <row r="46" spans="2:15" ht="18" x14ac:dyDescent="0.25">
      <c r="B46" s="9"/>
      <c r="C46" s="9"/>
      <c r="D46" s="9"/>
    </row>
    <row r="47" spans="2:15" ht="18" x14ac:dyDescent="0.25">
      <c r="B47" s="9"/>
      <c r="C47" s="9"/>
    </row>
    <row r="48" spans="2:15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P24">
    <sortState ref="A6:P32">
      <sortCondition ref="B6:B32"/>
    </sortState>
  </autoFilter>
  <mergeCells count="1">
    <mergeCell ref="C4:J4"/>
  </mergeCells>
  <dataValidations count="1">
    <dataValidation type="list" allowBlank="1" showInputMessage="1" showErrorMessage="1" sqref="L6:M24 H6:I24 E6:E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5" topLeftCell="C6" activePane="bottomRight" state="frozen"/>
      <selection activeCell="K6" sqref="K6"/>
      <selection pane="topRight" activeCell="K6" sqref="K6"/>
      <selection pane="bottomLeft" activeCell="K6" sqref="K6"/>
      <selection pane="bottomRight" activeCell="L27" sqref="L27:L41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8.28515625" customWidth="1"/>
    <col min="6" max="6" width="16.7109375" customWidth="1"/>
    <col min="7" max="8" width="17.42578125" customWidth="1"/>
    <col min="9" max="9" width="17.5703125" style="3" customWidth="1"/>
    <col min="10" max="10" width="19" bestFit="1" customWidth="1"/>
    <col min="12" max="12" width="17.140625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46</v>
      </c>
    </row>
    <row r="3" spans="1:12" x14ac:dyDescent="0.25">
      <c r="A3" s="1" t="s">
        <v>3</v>
      </c>
      <c r="B3" s="4">
        <v>75000</v>
      </c>
    </row>
    <row r="4" spans="1:12" ht="18" x14ac:dyDescent="0.25">
      <c r="B4" s="5"/>
      <c r="C4" s="33">
        <v>44460</v>
      </c>
      <c r="D4" s="33"/>
      <c r="E4" s="34"/>
      <c r="F4" s="34"/>
      <c r="G4" s="34"/>
      <c r="H4" s="26"/>
      <c r="I4" s="26"/>
    </row>
    <row r="5" spans="1:12" ht="43.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25</v>
      </c>
      <c r="F5" s="6" t="s">
        <v>18</v>
      </c>
      <c r="G5" s="18" t="s">
        <v>47</v>
      </c>
      <c r="H5" s="18" t="s">
        <v>49</v>
      </c>
      <c r="I5" s="6" t="s">
        <v>23</v>
      </c>
      <c r="J5" s="4" t="s">
        <v>24</v>
      </c>
      <c r="K5" s="4" t="s">
        <v>55</v>
      </c>
      <c r="L5" s="6" t="s">
        <v>59</v>
      </c>
    </row>
    <row r="6" spans="1:12" s="17" customFormat="1" x14ac:dyDescent="0.25">
      <c r="A6" s="1" t="s">
        <v>37</v>
      </c>
      <c r="B6" s="1" t="str">
        <f>VLOOKUP(A6,[1]LISTADHERENT!A$5:H$60,3,0)</f>
        <v>BOUTCHOUANG WILLIAM</v>
      </c>
      <c r="C6" s="8">
        <f>TONTJUIL!C6+TONTAOUT!C6+TONTSEPT!C6+TONTOCT!C6+TONTNOV!C6+TONTDEC!C6+TONTFEV!C6+TONTMARS!C6+TONTAVRIL!C6+TONTMAI!C6+TONTJUIN!C6+TONTJUIL2021!C6+TONTAOUT2021!C6+TONTSEPT2021!C6</f>
        <v>300000</v>
      </c>
      <c r="D6" s="8">
        <f>TONTJUIL!D6+TONTAOUT!D6+TONTSEPT!D6+TONTOCT!D6+TONTNOV!D6+TONTDEC!D6+TONTFEV!D6+TONTMARS!D6+TONTAVRIL!D6+TONTMAI!D6+TONTJUIN!D6+TONTJUIL2021!D6+TONTAOUT2021!D6+TONTSEPT2021!D6</f>
        <v>0</v>
      </c>
      <c r="E6" s="8">
        <f>TONTJUIL!F6+TONTAOUT!F6+TONTSEPT!F6+TONTOCT!F6+TONTNOV!F6+TONTDEC!F6+TONTFEV!F6+TONTMARS!F6+TONTAVRIL!F6+TONTMAI!F6+TONTJUIN!F6+TONTJUIL2021!F6+TONTAOUT2021!F6+TONTSEPT2021!F6</f>
        <v>0</v>
      </c>
      <c r="F6" s="8">
        <f>TONTJUIL!G6+TONTAOUT!G6+TONTSEPT!G6+TONTOCT!G6+TONTNOV!G6+TONTDEC!G6+TONTFEV!G6+TONTMARS!G6+TONTAVRIL!G6+TONTMAI!G6+TONTJUIN!G6+TONTJUIL2021!G6+TONTAOUT2021!G6+TONTSEPT2021!G6</f>
        <v>0</v>
      </c>
      <c r="G6" s="8">
        <f>TONTJUIL!J6+TONTAOUT!J6+TONTSEPT!J6+TONTOCT!J6+TONTNOV!J6+TONTDEC!J6+TONTFEV!J6+TONTMARS!J6+TONTAVRIL!J6+TONTMAI!J6+TONTJUIN!J6+TONTJUIL2021!J6+TONTAOUT2021!J6+TONTSEPT2021!J6</f>
        <v>0</v>
      </c>
      <c r="H6" s="8">
        <f>TONTJUIL!K6+TONTAOUT!K6+TONTSEPT!K6+TONTOCT!K6+TONTNOV!K6+TONTDEC!K6+TONTFEV!K6+TONTMARS!K6+TONTAVRIL!K6+TONTMAI!K6+TONTJUIN!K6+TONTJUIL2021!K6+TONTAOUT2021!K6+TONTSEPT2021!K6</f>
        <v>0</v>
      </c>
      <c r="I6" s="8">
        <f>TONTJUIL!O6+TONTAOUT!O6+TONTSEPT!O6+TONTOCT!O6+TONTNOV!O6+TONTDEC!O6+TONTFEV!O6+TONTMARS!O6+TONTAVRIL!O6+TONTMAI!O6+TONTJUIN!O6+TONTJUIL2021!O6+TONTAOUT2021!O6+TONTSEPT2021!O6</f>
        <v>0</v>
      </c>
      <c r="J6" s="8">
        <f>TONTJUIL!P6+TONTAOUT!P6+TONTSEPT!P6+TONTOCT!P6+TONTNOV!P6+TONTDEC!P6+TONTFEV!P6+TONTMARS!P6+TONTAVRIL!P6+TONTMAI!P6+TONTJUIN!P6+TONTJUIL2021!P6+TONTAOUT2021!P6+TONTSEPT2021!P6</f>
        <v>0</v>
      </c>
      <c r="K6" s="30"/>
      <c r="L6" s="8">
        <f>IF(I6=0,0,(J6-75000))</f>
        <v>0</v>
      </c>
    </row>
    <row r="7" spans="1:12" s="13" customFormat="1" x14ac:dyDescent="0.25">
      <c r="A7" s="1" t="s">
        <v>52</v>
      </c>
      <c r="B7" s="1" t="str">
        <f>VLOOKUP(A7,[1]LISTADHERENT!A$5:H$60,3,0)</f>
        <v>CHINGUE FABRICE</v>
      </c>
      <c r="C7" s="8">
        <f>TONTJUIL!C7+TONTAOUT!C7+TONTSEPT!C7+TONTOCT!C7+TONTNOV!C7+TONTDEC!C7+TONTFEV!C7+TONTMARS!C7+TONTAVRIL!C7+TONTMAI!C7+TONTJUIN!C7+TONTJUIL2021!C7+TONTAOUT2021!C7+TONTSEPT2021!C7</f>
        <v>75000</v>
      </c>
      <c r="D7" s="8">
        <f>TONTJUIL!D7+TONTAOUT!D7+TONTSEPT!D7+TONTOCT!D7+TONTNOV!D7+TONTDEC!D7+TONTFEV!D7+TONTMARS!D7+TONTAVRIL!D7+TONTMAI!D7+TONTJUIN!D7+TONTJUIL2021!D7+TONTAOUT2021!D7+TONTSEPT2021!D7</f>
        <v>0</v>
      </c>
      <c r="E7" s="8">
        <f>TONTJUIL!F7+TONTAOUT!F7+TONTSEPT!F7+TONTOCT!F7+TONTNOV!F7+TONTDEC!F7+TONTFEV!F7+TONTMARS!F7+TONTAVRIL!F7+TONTMAI!F7+TONTJUIN!F7+TONTJUIL2021!F7+TONTAOUT2021!F7+TONTSEPT2021!F7</f>
        <v>0</v>
      </c>
      <c r="F7" s="8">
        <f>TONTJUIL!G7+TONTAOUT!G7+TONTSEPT!G7+TONTOCT!G7+TONTNOV!G7+TONTDEC!G7+TONTFEV!G7+TONTMARS!G7+TONTAVRIL!G7+TONTMAI!G7+TONTJUIN!G7+TONTJUIL2021!G7+TONTAOUT2021!G7+TONTSEPT2021!G7</f>
        <v>0</v>
      </c>
      <c r="G7" s="8">
        <f>TONTJUIL!J7+TONTAOUT!J7+TONTSEPT!J7+TONTOCT!J7+TONTNOV!J7+TONTDEC!J7+TONTFEV!J7+TONTMARS!J7+TONTAVRIL!J7+TONTMAI!J7+TONTJUIN!J7+TONTJUIL2021!J7+TONTAOUT2021!J7+TONTSEPT2021!J7</f>
        <v>0</v>
      </c>
      <c r="H7" s="8">
        <f>TONTJUIL!K7+TONTAOUT!K7+TONTSEPT!K7+TONTOCT!K7+TONTNOV!K7+TONTDEC!K7+TONTFEV!K7+TONTMARS!K7+TONTAVRIL!K7+TONTMAI!K7+TONTJUIN!K7+TONTJUIL2021!K7+TONTAOUT2021!K7+TONTSEPT2021!K7</f>
        <v>0</v>
      </c>
      <c r="I7" s="8">
        <f>TONTJUIL!O7+TONTAOUT!O7+TONTSEPT!O7+TONTOCT!O7+TONTNOV!O7+TONTDEC!O7+TONTFEV!O7+TONTMARS!O7+TONTAVRIL!O7+TONTMAI!O7+TONTJUIN!O7+TONTJUIL2021!O7+TONTAOUT2021!O7+TONTSEPT2021!O7</f>
        <v>0</v>
      </c>
      <c r="J7" s="8">
        <f>TONTJUIL!P7+TONTAOUT!P7+TONTSEPT!P7+TONTOCT!P7+TONTNOV!P7+TONTDEC!P7+TONTFEV!P7+TONTMARS!P7+TONTAVRIL!P7+TONTMAI!P7+TONTJUIN!P7+TONTJUIL2021!P7+TONTAOUT2021!P7+TONTSEPT2021!P7</f>
        <v>0</v>
      </c>
      <c r="K7" s="28"/>
      <c r="L7" s="8">
        <f t="shared" ref="L7:L24" si="0">IF(I7=0,0,(J7-75000))</f>
        <v>0</v>
      </c>
    </row>
    <row r="8" spans="1:12" x14ac:dyDescent="0.25">
      <c r="A8" s="1" t="s">
        <v>38</v>
      </c>
      <c r="B8" s="1" t="str">
        <f>VLOOKUP(A8,[1]LISTADHERENT!A$5:H$60,3,0)</f>
        <v xml:space="preserve">DJOMO JEAN PAUL </v>
      </c>
      <c r="C8" s="8">
        <f>TONTJUIL!C8+TONTAOUT!C8+TONTSEPT!C8+TONTOCT!C8+TONTNOV!C8+TONTDEC!C8+TONTFEV!C8+TONTMARS!C8+TONTAVRIL!C8+TONTMAI!C8+TONTJUIN!C8+TONTJUIL2021!C8+TONTAOUT2021!C8+TONTSEPT2021!C8</f>
        <v>300000</v>
      </c>
      <c r="D8" s="8">
        <f>TONTJUIL!D8+TONTAOUT!D8+TONTSEPT!D8+TONTOCT!D8+TONTNOV!D8+TONTDEC!D8+TONTFEV!D8+TONTMARS!D8+TONTAVRIL!D8+TONTMAI!D8+TONTJUIN!D8+TONTJUIL2021!D8+TONTAOUT2021!D8+TONTSEPT2021!D8</f>
        <v>0</v>
      </c>
      <c r="E8" s="8">
        <f>TONTJUIL!F8+TONTAOUT!F8+TONTSEPT!F8+TONTOCT!F8+TONTNOV!F8+TONTDEC!F8+TONTFEV!F8+TONTMARS!F8+TONTAVRIL!F8+TONTMAI!F8+TONTJUIN!F8+TONTJUIL2021!F8+TONTAOUT2021!F8+TONTSEPT2021!F8</f>
        <v>250000</v>
      </c>
      <c r="F8" s="8">
        <f>TONTJUIL!G8+TONTAOUT!G8+TONTSEPT!G8+TONTOCT!G8+TONTNOV!G8+TONTDEC!G8+TONTFEV!G8+TONTMARS!G8+TONTAVRIL!G8+TONTMAI!G8+TONTJUIN!G8+TONTJUIL2021!G8+TONTAOUT2021!G8+TONTSEPT2021!G8</f>
        <v>5000</v>
      </c>
      <c r="G8" s="8">
        <f>TONTJUIL!J8+TONTAOUT!J8+TONTSEPT!J8+TONTOCT!J8+TONTNOV!J8+TONTDEC!J8+TONTFEV!J8+TONTMARS!J8+TONTAVRIL!J8+TONTMAI!J8+TONTJUIN!J8+TONTJUIL2021!J8+TONTAOUT2021!J8+TONTSEPT2021!J8</f>
        <v>255000</v>
      </c>
      <c r="H8" s="8">
        <f>TONTJUIL!K8+TONTAOUT!K8+TONTSEPT!K8+TONTOCT!K8+TONTNOV!K8+TONTDEC!K8+TONTFEV!K8+TONTMARS!K8+TONTAVRIL!K8+TONTMAI!K8+TONTJUIN!K8+TONTJUIL2021!K8+TONTAOUT2021!K8+TONTSEPT2021!K8</f>
        <v>255000</v>
      </c>
      <c r="I8" s="8">
        <f>TONTJUIL!O8+TONTAOUT!O8+TONTSEPT!O8+TONTOCT!O8+TONTNOV!O8+TONTDEC!O8+TONTFEV!O8+TONTMARS!O8+TONTAVRIL!O8+TONTMAI!O8+TONTJUIN!O8+TONTJUIL2021!O8+TONTAOUT2021!O8+TONTSEPT2021!O8</f>
        <v>1000000</v>
      </c>
      <c r="J8" s="8">
        <f>TONTJUIL!P8+TONTAOUT!P8+TONTSEPT!P8+TONTOCT!P8+TONTNOV!P8+TONTDEC!P8+TONTFEV!P8+TONTMARS!P8+TONTAVRIL!P8+TONTMAI!P8+TONTJUIN!P8+TONTJUIL2021!P8+TONTAOUT2021!P8+TONTSEPT2021!P8</f>
        <v>200000</v>
      </c>
      <c r="K8" s="29">
        <v>44031</v>
      </c>
      <c r="L8" s="8">
        <f t="shared" si="0"/>
        <v>125000</v>
      </c>
    </row>
    <row r="9" spans="1:12" x14ac:dyDescent="0.25">
      <c r="A9" s="1" t="s">
        <v>39</v>
      </c>
      <c r="B9" s="1" t="str">
        <f>VLOOKUP(A9,[1]LISTADHERENT!A$5:H$60,3,0)</f>
        <v>DJOUKWE NANGUEN GUY BLAISE</v>
      </c>
      <c r="C9" s="8">
        <f>TONTJUIL!C9+TONTAOUT!C9+TONTSEPT!C9+TONTOCT!C9+TONTNOV!C9+TONTDEC!C9+TONTFEV!C9+TONTMARS!C9+TONTAVRIL!C9+TONTMAI!C9+TONTJUIN!C9+TONTJUIL2021!C9+TONTAOUT2021!C9+TONTSEPT2021!C9</f>
        <v>300000</v>
      </c>
      <c r="D9" s="8">
        <f>TONTJUIL!D9+TONTAOUT!D9+TONTSEPT!D9+TONTOCT!D9+TONTNOV!D9+TONTDEC!D9+TONTFEV!D9+TONTMARS!D9+TONTAVRIL!D9+TONTMAI!D9+TONTJUIN!D9+TONTJUIL2021!D9+TONTAOUT2021!D9+TONTSEPT2021!D9</f>
        <v>0</v>
      </c>
      <c r="E9" s="8">
        <f>TONTJUIL!F9+TONTAOUT!F9+TONTSEPT!F9+TONTOCT!F9+TONTNOV!F9+TONTDEC!F9+TONTFEV!F9+TONTMARS!F9+TONTAVRIL!F9+TONTMAI!F9+TONTJUIN!F9+TONTJUIL2021!F9+TONTAOUT2021!F9+TONTSEPT2021!F9</f>
        <v>250000</v>
      </c>
      <c r="F9" s="8">
        <f>TONTJUIL!G9+TONTAOUT!G9+TONTSEPT!G9+TONTOCT!G9+TONTNOV!G9+TONTDEC!G9+TONTFEV!G9+TONTMARS!G9+TONTAVRIL!G9+TONTMAI!G9+TONTJUIN!G9+TONTJUIL2021!G9+TONTAOUT2021!G9+TONTSEPT2021!G9</f>
        <v>5000</v>
      </c>
      <c r="G9" s="8">
        <f>TONTJUIL!J9+TONTAOUT!J9+TONTSEPT!J9+TONTOCT!J9+TONTNOV!J9+TONTDEC!J9+TONTFEV!J9+TONTMARS!J9+TONTAVRIL!J9+TONTMAI!J9+TONTJUIN!J9+TONTJUIL2021!J9+TONTAOUT2021!J9+TONTSEPT2021!J9</f>
        <v>255000</v>
      </c>
      <c r="H9" s="8">
        <f>TONTJUIL!K9+TONTAOUT!K9+TONTSEPT!K9+TONTOCT!K9+TONTNOV!K9+TONTDEC!K9+TONTFEV!K9+TONTMARS!K9+TONTAVRIL!K9+TONTMAI!K9+TONTJUIN!K9+TONTJUIL2021!K9+TONTAOUT2021!K9+TONTSEPT2021!K9</f>
        <v>255000</v>
      </c>
      <c r="I9" s="8">
        <f>TONTJUIL!O9+TONTAOUT!O9+TONTSEPT!O9+TONTOCT!O9+TONTNOV!O9+TONTDEC!O9+TONTFEV!O9+TONTMARS!O9+TONTAVRIL!O9+TONTMAI!O9+TONTJUIN!O9+TONTJUIL2021!O9+TONTAOUT2021!O9+TONTSEPT2021!O9</f>
        <v>0</v>
      </c>
      <c r="J9" s="8">
        <f>TONTJUIL!P9+TONTAOUT!P9+TONTSEPT!P9+TONTOCT!P9+TONTNOV!P9+TONTDEC!P9+TONTFEV!P9+TONTMARS!P9+TONTAVRIL!P9+TONTMAI!P9+TONTJUIN!P9+TONTJUIL2021!P9+TONTAOUT2021!P9+TONTSEPT2021!P9</f>
        <v>0</v>
      </c>
      <c r="K9" s="29"/>
      <c r="L9" s="8">
        <f t="shared" si="0"/>
        <v>0</v>
      </c>
    </row>
    <row r="10" spans="1:12" x14ac:dyDescent="0.25">
      <c r="A10" s="1" t="s">
        <v>29</v>
      </c>
      <c r="B10" s="1" t="str">
        <f>VLOOKUP(A10,[1]LISTADHERENT!A$5:H$60,3,0)</f>
        <v>HOTCHO BENJAMIN</v>
      </c>
      <c r="C10" s="8">
        <f>TONTJUIL!C10+TONTAOUT!C10+TONTSEPT!C10+TONTOCT!C10+TONTNOV!C10+TONTDEC!C10+TONTFEV!C10+TONTMARS!C10+TONTAVRIL!C10+TONTMAI!C10+TONTJUIN!C10+TONTJUIL2021!C10+TONTAOUT2021!C10+TONTSEPT2021!C10</f>
        <v>300000</v>
      </c>
      <c r="D10" s="8">
        <f>TONTJUIL!D10+TONTAOUT!D10+TONTSEPT!D10+TONTOCT!D10+TONTNOV!D10+TONTDEC!D10+TONTFEV!D10+TONTMARS!D10+TONTAVRIL!D10+TONTMAI!D10+TONTJUIN!D10+TONTJUIL2021!D10+TONTAOUT2021!D10+TONTSEPT2021!D10</f>
        <v>0</v>
      </c>
      <c r="E10" s="8">
        <f>TONTJUIL!F10+TONTAOUT!F10+TONTSEPT!F10+TONTOCT!F10+TONTNOV!F10+TONTDEC!F10+TONTFEV!F10+TONTMARS!F10+TONTAVRIL!F10+TONTMAI!F10+TONTJUIN!F10+TONTJUIL2021!F10+TONTAOUT2021!F10+TONTSEPT2021!F10</f>
        <v>0</v>
      </c>
      <c r="F10" s="8">
        <f>TONTJUIL!G10+TONTAOUT!G10+TONTSEPT!G10+TONTOCT!G10+TONTNOV!G10+TONTDEC!G10+TONTFEV!G10+TONTMARS!G10+TONTAVRIL!G10+TONTMAI!G10+TONTJUIN!G10+TONTJUIL2021!G10+TONTAOUT2021!G10+TONTSEPT2021!G10</f>
        <v>0</v>
      </c>
      <c r="G10" s="8">
        <f>TONTJUIL!J10+TONTAOUT!J10+TONTSEPT!J10+TONTOCT!J10+TONTNOV!J10+TONTDEC!J10+TONTFEV!J10+TONTMARS!J10+TONTAVRIL!J10+TONTMAI!J10+TONTJUIN!J10+TONTJUIL2021!J10+TONTAOUT2021!J10+TONTSEPT2021!J10</f>
        <v>0</v>
      </c>
      <c r="H10" s="8">
        <f>TONTJUIL!K10+TONTAOUT!K10+TONTSEPT!K10+TONTOCT!K10+TONTNOV!K10+TONTDEC!K10+TONTFEV!K10+TONTMARS!K10+TONTAVRIL!K10+TONTMAI!K10+TONTJUIN!K10+TONTJUIL2021!K10+TONTAOUT2021!K10+TONTSEPT2021!K10</f>
        <v>0</v>
      </c>
      <c r="I10" s="8">
        <f>TONTJUIL!O10+TONTAOUT!O10+TONTSEPT!O10+TONTOCT!O10+TONTNOV!O10+TONTDEC!O10+TONTFEV!O10+TONTMARS!O10+TONTAVRIL!O10+TONTMAI!O10+TONTJUIN!O10+TONTJUIL2021!O10+TONTAOUT2021!O10+TONTSEPT2021!O10</f>
        <v>1125000</v>
      </c>
      <c r="J10" s="8">
        <f>TONTJUIL!P10+TONTAOUT!P10+TONTSEPT!P10+TONTOCT!P10+TONTNOV!P10+TONTDEC!P10+TONTFEV!P10+TONTMARS!P10+TONTAVRIL!P10+TONTMAI!P10+TONTJUIN!P10+TONTJUIL2021!P10+TONTAOUT2021!P10+TONTSEPT2021!P10</f>
        <v>75000</v>
      </c>
      <c r="K10" s="29">
        <v>44122</v>
      </c>
      <c r="L10" s="8">
        <f t="shared" si="0"/>
        <v>0</v>
      </c>
    </row>
    <row r="11" spans="1:12" x14ac:dyDescent="0.25">
      <c r="A11" s="1" t="s">
        <v>41</v>
      </c>
      <c r="B11" s="1" t="str">
        <f>VLOOKUP(A11,[1]LISTADHERENT!A$5:H$60,3,0)</f>
        <v>HENGUE PAUL OMER</v>
      </c>
      <c r="C11" s="8">
        <f>TONTJUIL!C11+TONTAOUT!C11+TONTSEPT!C11+TONTOCT!C11+TONTNOV!C11+TONTDEC!C11+TONTFEV!C11+TONTMARS!C11+TONTAVRIL!C11+TONTMAI!C11+TONTJUIN!C11+TONTJUIL2021!C11+TONTAOUT2021!C11+TONTSEPT2021!C11</f>
        <v>300000</v>
      </c>
      <c r="D11" s="8">
        <f>TONTJUIL!D11+TONTAOUT!D11+TONTSEPT!D11+TONTOCT!D11+TONTNOV!D11+TONTDEC!D11+TONTFEV!D11+TONTMARS!D11+TONTAVRIL!D11+TONTMAI!D11+TONTJUIN!D11+TONTJUIL2021!D11+TONTAOUT2021!D11+TONTSEPT2021!D11</f>
        <v>0</v>
      </c>
      <c r="E11" s="8">
        <f>TONTJUIL!F11+TONTAOUT!F11+TONTSEPT!F11+TONTOCT!F11+TONTNOV!F11+TONTDEC!F11+TONTFEV!F11+TONTMARS!F11+TONTAVRIL!F11+TONTMAI!F11+TONTJUIN!F11+TONTJUIL2021!F11+TONTAOUT2021!F11+TONTSEPT2021!F11</f>
        <v>0</v>
      </c>
      <c r="F11" s="8">
        <f>TONTJUIL!G11+TONTAOUT!G11+TONTSEPT!G11+TONTOCT!G11+TONTNOV!G11+TONTDEC!G11+TONTFEV!G11+TONTMARS!G11+TONTAVRIL!G11+TONTMAI!G11+TONTJUIN!G11+TONTJUIL2021!G11+TONTAOUT2021!G11+TONTSEPT2021!G11</f>
        <v>0</v>
      </c>
      <c r="G11" s="8">
        <f>TONTJUIL!J11+TONTAOUT!J11+TONTSEPT!J11+TONTOCT!J11+TONTNOV!J11+TONTDEC!J11+TONTFEV!J11+TONTMARS!J11+TONTAVRIL!J11+TONTMAI!J11+TONTJUIN!J11+TONTJUIL2021!J11+TONTAOUT2021!J11+TONTSEPT2021!J11</f>
        <v>0</v>
      </c>
      <c r="H11" s="8">
        <f>TONTJUIL!K11+TONTAOUT!K11+TONTSEPT!K11+TONTOCT!K11+TONTNOV!K11+TONTDEC!K11+TONTFEV!K11+TONTMARS!K11+TONTAVRIL!K11+TONTMAI!K11+TONTJUIN!K11+TONTJUIL2021!K11+TONTAOUT2021!K11+TONTSEPT2021!K11</f>
        <v>0</v>
      </c>
      <c r="I11" s="8">
        <f>TONTJUIL!O11+TONTAOUT!O11+TONTSEPT!O11+TONTOCT!O11+TONTNOV!O11+TONTDEC!O11+TONTFEV!O11+TONTMARS!O11+TONTAVRIL!O11+TONTMAI!O11+TONTJUIN!O11+TONTJUIL2021!O11+TONTAOUT2021!O11+TONTSEPT2021!O11</f>
        <v>0</v>
      </c>
      <c r="J11" s="8">
        <f>TONTJUIL!P11+TONTAOUT!P11+TONTSEPT!P11+TONTOCT!P11+TONTNOV!P11+TONTDEC!P11+TONTFEV!P11+TONTMARS!P11+TONTAVRIL!P11+TONTMAI!P11+TONTJUIN!P11+TONTJUIL2021!P11+TONTAOUT2021!P11+TONTSEPT2021!P11</f>
        <v>0</v>
      </c>
      <c r="K11" s="29"/>
      <c r="L11" s="8">
        <f t="shared" si="0"/>
        <v>0</v>
      </c>
    </row>
    <row r="12" spans="1:12" x14ac:dyDescent="0.25">
      <c r="A12" s="1" t="s">
        <v>10</v>
      </c>
      <c r="B12" s="1" t="str">
        <f>VLOOKUP(A12,[1]LISTADHERENT!A$5:H$60,3,0)</f>
        <v>KOUATCHO MESSACK</v>
      </c>
      <c r="C12" s="8">
        <f>TONTJUIL!C12+TONTAOUT!C12+TONTSEPT!C12+TONTOCT!C12+TONTNOV!C12+TONTDEC!C12+TONTFEV!C12+TONTMARS!C12+TONTAVRIL!C12+TONTMAI!C12+TONTJUIN!C12+TONTJUIL2021!C12+TONTAOUT2021!C12+TONTSEPT2021!C12</f>
        <v>300000</v>
      </c>
      <c r="D12" s="8">
        <f>TONTJUIL!D12+TONTAOUT!D12+TONTSEPT!D12+TONTOCT!D12+TONTNOV!D12+TONTDEC!D12+TONTFEV!D12+TONTMARS!D12+TONTAVRIL!D12+TONTMAI!D12+TONTJUIN!D12+TONTJUIL2021!D12+TONTAOUT2021!D12+TONTSEPT2021!D12</f>
        <v>0</v>
      </c>
      <c r="E12" s="8">
        <f>TONTJUIL!F12+TONTAOUT!F12+TONTSEPT!F12+TONTOCT!F12+TONTNOV!F12+TONTDEC!F12+TONTFEV!F12+TONTMARS!F12+TONTAVRIL!F12+TONTMAI!F12+TONTJUIN!F12+TONTJUIL2021!F12+TONTAOUT2021!F12+TONTSEPT2021!F12</f>
        <v>200000</v>
      </c>
      <c r="F12" s="8">
        <f>TONTJUIL!G12+TONTAOUT!G12+TONTSEPT!G12+TONTOCT!G12+TONTNOV!G12+TONTDEC!G12+TONTFEV!G12+TONTMARS!G12+TONTAVRIL!G12+TONTMAI!G12+TONTJUIN!G12+TONTJUIL2021!G12+TONTAOUT2021!G12+TONTSEPT2021!G12</f>
        <v>4000</v>
      </c>
      <c r="G12" s="8">
        <f>TONTJUIL!J12+TONTAOUT!J12+TONTSEPT!J12+TONTOCT!J12+TONTNOV!J12+TONTDEC!J12+TONTFEV!J12+TONTMARS!J12+TONTAVRIL!J12+TONTMAI!J12+TONTJUIN!J12+TONTJUIL2021!J12+TONTAOUT2021!J12+TONTSEPT2021!J12</f>
        <v>204000</v>
      </c>
      <c r="H12" s="8">
        <f>TONTJUIL!K12+TONTAOUT!K12+TONTSEPT!K12+TONTOCT!K12+TONTNOV!K12+TONTDEC!K12+TONTFEV!K12+TONTMARS!K12+TONTAVRIL!K12+TONTMAI!K12+TONTJUIN!K12+TONTJUIL2021!K12+TONTAOUT2021!K12+TONTSEPT2021!K12</f>
        <v>204000</v>
      </c>
      <c r="I12" s="8">
        <f>TONTJUIL!O12+TONTAOUT!O12+TONTSEPT!O12+TONTOCT!O12+TONTNOV!O12+TONTDEC!O12+TONTFEV!O12+TONTMARS!O12+TONTAVRIL!O12+TONTMAI!O12+TONTJUIN!O12+TONTJUIL2021!O12+TONTAOUT2021!O12+TONTSEPT2021!O12</f>
        <v>0</v>
      </c>
      <c r="J12" s="8">
        <f>TONTJUIL!P12+TONTAOUT!P12+TONTSEPT!P12+TONTOCT!P12+TONTNOV!P12+TONTDEC!P12+TONTFEV!P12+TONTMARS!P12+TONTAVRIL!P12+TONTMAI!P12+TONTJUIN!P12+TONTJUIL2021!P12+TONTAOUT2021!P12+TONTSEPT2021!P12</f>
        <v>0</v>
      </c>
      <c r="K12" s="29"/>
      <c r="L12" s="8">
        <f t="shared" si="0"/>
        <v>0</v>
      </c>
    </row>
    <row r="13" spans="1:12" x14ac:dyDescent="0.25">
      <c r="A13" s="1" t="s">
        <v>11</v>
      </c>
      <c r="B13" s="1" t="str">
        <f>VLOOKUP(A13,[1]LISTADHERENT!A$5:H$60,3,0)</f>
        <v>NANKAM APPOLINAIRE</v>
      </c>
      <c r="C13" s="8">
        <f>TONTJUIL!C13+TONTAOUT!C13+TONTSEPT!C13+TONTOCT!C13+TONTNOV!C13+TONTDEC!C13+TONTFEV!C13+TONTMARS!C13+TONTAVRIL!C13+TONTMAI!C13+TONTJUIN!C13+TONTJUIL2021!C13+TONTAOUT2021!C13+TONTSEPT2021!C13</f>
        <v>300000</v>
      </c>
      <c r="D13" s="8">
        <f>TONTJUIL!D13+TONTAOUT!D13+TONTSEPT!D13+TONTOCT!D13+TONTNOV!D13+TONTDEC!D13+TONTFEV!D13+TONTMARS!D13+TONTAVRIL!D13+TONTMAI!D13+TONTJUIN!D13+TONTJUIL2021!D13+TONTAOUT2021!D13+TONTSEPT2021!D13</f>
        <v>0</v>
      </c>
      <c r="E13" s="8">
        <f>TONTJUIL!F13+TONTAOUT!F13+TONTSEPT!F13+TONTOCT!F13+TONTNOV!F13+TONTDEC!F13+TONTFEV!F13+TONTMARS!F13+TONTAVRIL!F13+TONTMAI!F13+TONTJUIN!F13+TONTJUIL2021!F13+TONTAOUT2021!F13+TONTSEPT2021!F13</f>
        <v>0</v>
      </c>
      <c r="F13" s="8">
        <f>TONTJUIL!G13+TONTAOUT!G13+TONTSEPT!G13+TONTOCT!G13+TONTNOV!G13+TONTDEC!G13+TONTFEV!G13+TONTMARS!G13+TONTAVRIL!G13+TONTMAI!G13+TONTJUIN!G13+TONTJUIL2021!G13+TONTAOUT2021!G13+TONTSEPT2021!G13</f>
        <v>0</v>
      </c>
      <c r="G13" s="8">
        <f>TONTJUIL!J13+TONTAOUT!J13+TONTSEPT!J13+TONTOCT!J13+TONTNOV!J13+TONTDEC!J13+TONTFEV!J13+TONTMARS!J13+TONTAVRIL!J13+TONTMAI!J13+TONTJUIN!J13+TONTJUIL2021!J13+TONTAOUT2021!J13+TONTSEPT2021!J13</f>
        <v>0</v>
      </c>
      <c r="H13" s="8">
        <f>TONTJUIL!K13+TONTAOUT!K13+TONTSEPT!K13+TONTOCT!K13+TONTNOV!K13+TONTDEC!K13+TONTFEV!K13+TONTMARS!K13+TONTAVRIL!K13+TONTMAI!K13+TONTJUIN!K13+TONTJUIL2021!K13+TONTAOUT2021!K13+TONTSEPT2021!K13</f>
        <v>0</v>
      </c>
      <c r="I13" s="8">
        <f>TONTJUIL!O13+TONTAOUT!O13+TONTSEPT!O13+TONTOCT!O13+TONTNOV!O13+TONTDEC!O13+TONTFEV!O13+TONTMARS!O13+TONTAVRIL!O13+TONTMAI!O13+TONTJUIN!O13+TONTJUIL2021!O13+TONTAOUT2021!O13+TONTSEPT2021!O13</f>
        <v>0</v>
      </c>
      <c r="J13" s="8">
        <f>TONTJUIL!P13+TONTAOUT!P13+TONTSEPT!P13+TONTOCT!P13+TONTNOV!P13+TONTDEC!P13+TONTFEV!P13+TONTMARS!P13+TONTAVRIL!P13+TONTMAI!P13+TONTJUIN!P13+TONTJUIL2021!P13+TONTAOUT2021!P13+TONTSEPT2021!P13</f>
        <v>0</v>
      </c>
      <c r="L13" s="8">
        <f t="shared" si="0"/>
        <v>0</v>
      </c>
    </row>
    <row r="14" spans="1:12" x14ac:dyDescent="0.25">
      <c r="A14" s="1" t="s">
        <v>32</v>
      </c>
      <c r="B14" s="1" t="str">
        <f>VLOOKUP(A14,[1]LISTADHERENT!A$5:H$60,3,0)</f>
        <v>MBOGNING TUGMA GUY</v>
      </c>
      <c r="C14" s="8">
        <f>TONTJUIL!C14+TONTAOUT!C14+TONTSEPT!C14+TONTOCT!C14+TONTNOV!C14+TONTDEC!C14+TONTFEV!C14+TONTMARS!C14+TONTAVRIL!C14+TONTMAI!C14+TONTJUIN!C14+TONTJUIL2021!C14+TONTAOUT2021!C14+TONTSEPT2021!C14</f>
        <v>300000</v>
      </c>
      <c r="D14" s="8">
        <f>TONTJUIL!D14+TONTAOUT!D14+TONTSEPT!D14+TONTOCT!D14+TONTNOV!D14+TONTDEC!D14+TONTFEV!D14+TONTMARS!D14+TONTAVRIL!D14+TONTMAI!D14+TONTJUIN!D14+TONTJUIL2021!D14+TONTAOUT2021!D14+TONTSEPT2021!D14</f>
        <v>0</v>
      </c>
      <c r="E14" s="8">
        <f>TONTJUIL!F14+TONTAOUT!F14+TONTSEPT!F14+TONTOCT!F14+TONTNOV!F14+TONTDEC!F14+TONTFEV!F14+TONTMARS!F14+TONTAVRIL!F14+TONTMAI!F14+TONTJUIN!F14+TONTJUIL2021!F14+TONTAOUT2021!F14+TONTSEPT2021!F14</f>
        <v>300000</v>
      </c>
      <c r="F14" s="8">
        <f>TONTJUIL!G14+TONTAOUT!G14+TONTSEPT!G14+TONTOCT!G14+TONTNOV!G14+TONTDEC!G14+TONTFEV!G14+TONTMARS!G14+TONTAVRIL!G14+TONTMAI!G14+TONTJUIN!G14+TONTJUIL2021!G14+TONTAOUT2021!G14+TONTSEPT2021!G14</f>
        <v>6000</v>
      </c>
      <c r="G14" s="8">
        <f>TONTJUIL!J14+TONTAOUT!J14+TONTSEPT!J14+TONTOCT!J14+TONTNOV!J14+TONTDEC!J14+TONTFEV!J14+TONTMARS!J14+TONTAVRIL!J14+TONTMAI!J14+TONTJUIN!J14+TONTJUIL2021!J14+TONTAOUT2021!J14+TONTSEPT2021!J14</f>
        <v>306000</v>
      </c>
      <c r="H14" s="8">
        <f>TONTJUIL!K14+TONTAOUT!K14+TONTSEPT!K14+TONTOCT!K14+TONTNOV!K14+TONTDEC!K14+TONTFEV!K14+TONTMARS!K14+TONTAVRIL!K14+TONTMAI!K14+TONTJUIN!K14+TONTJUIL2021!K14+TONTAOUT2021!K14+TONTSEPT2021!K14</f>
        <v>306000</v>
      </c>
      <c r="I14" s="8">
        <f>TONTJUIL!O14+TONTAOUT!O14+TONTSEPT!O14+TONTOCT!O14+TONTNOV!O14+TONTDEC!O14+TONTFEV!O14+TONTMARS!O14+TONTAVRIL!O14+TONTMAI!O14+TONTJUIN!O14+TONTJUIL2021!O14+TONTAOUT2021!O14+TONTSEPT2021!O14</f>
        <v>1040000</v>
      </c>
      <c r="J14" s="8">
        <f>TONTJUIL!P14+TONTAOUT!P14+TONTSEPT!P14+TONTOCT!P14+TONTNOV!P14+TONTDEC!P14+TONTFEV!P14+TONTMARS!P14+TONTAVRIL!P14+TONTMAI!P14+TONTJUIN!P14+TONTJUIL2021!P14+TONTAOUT2021!P14+TONTSEPT2021!P14</f>
        <v>160000</v>
      </c>
      <c r="K14" s="29">
        <v>44061</v>
      </c>
      <c r="L14" s="8">
        <f t="shared" si="0"/>
        <v>85000</v>
      </c>
    </row>
    <row r="15" spans="1:12" x14ac:dyDescent="0.25">
      <c r="A15" s="1" t="s">
        <v>32</v>
      </c>
      <c r="B15" s="1" t="str">
        <f>VLOOKUP(A15,[1]LISTADHERENT!A$5:H$60,3,0)</f>
        <v>MBOGNING TUGMA GUY</v>
      </c>
      <c r="C15" s="8">
        <f>TONTJUIL!C15+TONTAOUT!C15+TONTSEPT!C15+TONTOCT!C15+TONTNOV!C15+TONTDEC!C15+TONTFEV!C15+TONTMARS!C15+TONTAVRIL!C15+TONTMAI!C15+TONTJUIN!C15+TONTJUIL2021!C15+TONTAOUT2021!C15+TONTSEPT2021!C15</f>
        <v>300000</v>
      </c>
      <c r="D15" s="8">
        <f>TONTJUIL!D15+TONTAOUT!D15+TONTSEPT!D15+TONTOCT!D15+TONTNOV!D15+TONTDEC!D15+TONTFEV!D15+TONTMARS!D15+TONTAVRIL!D15+TONTMAI!D15+TONTJUIN!D15+TONTJUIL2021!D15+TONTAOUT2021!D15+TONTSEPT2021!D15</f>
        <v>0</v>
      </c>
      <c r="E15" s="8">
        <f>TONTJUIL!F15+TONTAOUT!F15+TONTSEPT!F15+TONTOCT!F15+TONTNOV!F15+TONTDEC!F15+TONTFEV!F15+TONTMARS!F15+TONTAVRIL!F15+TONTMAI!F15+TONTJUIN!F15+TONTJUIL2021!F15+TONTAOUT2021!F15+TONTSEPT2021!F15</f>
        <v>0</v>
      </c>
      <c r="F15" s="8">
        <f>TONTJUIL!G15+TONTAOUT!G15+TONTSEPT!G15+TONTOCT!G15+TONTNOV!G15+TONTDEC!G15+TONTFEV!G15+TONTMARS!G15+TONTAVRIL!G15+TONTMAI!G15+TONTJUIN!G15+TONTJUIL2021!G15+TONTAOUT2021!G15+TONTSEPT2021!G15</f>
        <v>0</v>
      </c>
      <c r="G15" s="8">
        <f>TONTJUIL!J15+TONTAOUT!J15+TONTSEPT!J15+TONTOCT!J15+TONTNOV!J15+TONTDEC!J15+TONTFEV!J15+TONTMARS!J15+TONTAVRIL!J15+TONTMAI!J15+TONTJUIN!J15+TONTJUIL2021!J15+TONTAOUT2021!J15+TONTSEPT2021!J15</f>
        <v>0</v>
      </c>
      <c r="H15" s="8">
        <f>TONTJUIL!K15+TONTAOUT!K15+TONTSEPT!K15+TONTOCT!K15+TONTNOV!K15+TONTDEC!K15+TONTFEV!K15+TONTMARS!K15+TONTAVRIL!K15+TONTMAI!K15+TONTJUIN!K15+TONTJUIL2021!K15+TONTAOUT2021!K15+TONTSEPT2021!K15</f>
        <v>0</v>
      </c>
      <c r="I15" s="8">
        <f>TONTJUIL!O15+TONTAOUT!O15+TONTSEPT!O15+TONTOCT!O15+TONTNOV!O15+TONTDEC!O15+TONTFEV!O15+TONTMARS!O15+TONTAVRIL!O15+TONTMAI!O15+TONTJUIN!O15+TONTJUIL2021!O15+TONTAOUT2021!O15+TONTSEPT2021!O15</f>
        <v>0</v>
      </c>
      <c r="J15" s="8">
        <f>TONTJUIL!P15+TONTAOUT!P15+TONTSEPT!P15+TONTOCT!P15+TONTNOV!P15+TONTDEC!P15+TONTFEV!P15+TONTMARS!P15+TONTAVRIL!P15+TONTMAI!P15+TONTJUIN!P15+TONTJUIL2021!P15+TONTAOUT2021!P15+TONTSEPT2021!P15</f>
        <v>0</v>
      </c>
      <c r="K15" s="29"/>
      <c r="L15" s="8">
        <f t="shared" si="0"/>
        <v>0</v>
      </c>
    </row>
    <row r="16" spans="1:12" x14ac:dyDescent="0.25">
      <c r="A16" s="1" t="s">
        <v>32</v>
      </c>
      <c r="B16" s="1" t="str">
        <f>VLOOKUP(A16,[1]LISTADHERENT!A$5:H$60,3,0)</f>
        <v>MBOGNING TUGMA GUY</v>
      </c>
      <c r="C16" s="8">
        <f>TONTJUIL!C16+TONTAOUT!C16+TONTSEPT!C16+TONTOCT!C16+TONTNOV!C16+TONTDEC!C16+TONTFEV!C16+TONTMARS!C16+TONTAVRIL!C16+TONTMAI!C16+TONTJUIN!C16+TONTJUIL2021!C16+TONTAOUT2021!C16+TONTSEPT2021!C16</f>
        <v>300000</v>
      </c>
      <c r="D16" s="8">
        <f>TONTJUIL!D16+TONTAOUT!D16+TONTSEPT!D16+TONTOCT!D16+TONTNOV!D16+TONTDEC!D16+TONTFEV!D16+TONTMARS!D16+TONTAVRIL!D16+TONTMAI!D16+TONTJUIN!D16+TONTJUIL2021!D16+TONTAOUT2021!D16+TONTSEPT2021!D16</f>
        <v>0</v>
      </c>
      <c r="E16" s="8">
        <f>TONTJUIL!F16+TONTAOUT!F16+TONTSEPT!F16+TONTOCT!F16+TONTNOV!F16+TONTDEC!F16+TONTFEV!F16+TONTMARS!F16+TONTAVRIL!F16+TONTMAI!F16+TONTJUIN!F16+TONTJUIL2021!F16+TONTAOUT2021!F16+TONTSEPT2021!F16</f>
        <v>0</v>
      </c>
      <c r="F16" s="8">
        <f>TONTJUIL!G16+TONTAOUT!G16+TONTSEPT!G16+TONTOCT!G16+TONTNOV!G16+TONTDEC!G16+TONTFEV!G16+TONTMARS!G16+TONTAVRIL!G16+TONTMAI!G16+TONTJUIN!G16+TONTJUIL2021!G16+TONTAOUT2021!G16+TONTSEPT2021!G16</f>
        <v>0</v>
      </c>
      <c r="G16" s="8">
        <f>TONTJUIL!J16+TONTAOUT!J16+TONTSEPT!J16+TONTOCT!J16+TONTNOV!J16+TONTDEC!J16+TONTFEV!J16+TONTMARS!J16+TONTAVRIL!J16+TONTMAI!J16+TONTJUIN!J16+TONTJUIL2021!J16+TONTAOUT2021!J16+TONTSEPT2021!J16</f>
        <v>0</v>
      </c>
      <c r="H16" s="8">
        <f>TONTJUIL!K16+TONTAOUT!K16+TONTSEPT!K16+TONTOCT!K16+TONTNOV!K16+TONTDEC!K16+TONTFEV!K16+TONTMARS!K16+TONTAVRIL!K16+TONTMAI!K16+TONTJUIN!K16+TONTJUIL2021!K16+TONTAOUT2021!K16+TONTSEPT2021!K16</f>
        <v>0</v>
      </c>
      <c r="I16" s="8">
        <f>TONTJUIL!O16+TONTAOUT!O16+TONTSEPT!O16+TONTOCT!O16+TONTNOV!O16+TONTDEC!O16+TONTFEV!O16+TONTMARS!O16+TONTAVRIL!O16+TONTMAI!O16+TONTJUIN!O16+TONTJUIL2021!O16+TONTAOUT2021!O16+TONTSEPT2021!O16</f>
        <v>0</v>
      </c>
      <c r="J16" s="8">
        <f>TONTJUIL!P16+TONTAOUT!P16+TONTSEPT!P16+TONTOCT!P16+TONTNOV!P16+TONTDEC!P16+TONTFEV!P16+TONTMARS!P16+TONTAVRIL!P16+TONTMAI!P16+TONTJUIN!P16+TONTJUIL2021!P16+TONTAOUT2021!P16+TONTSEPT2021!P16</f>
        <v>0</v>
      </c>
      <c r="K16" s="29"/>
      <c r="L16" s="8">
        <f t="shared" si="0"/>
        <v>0</v>
      </c>
    </row>
    <row r="17" spans="1:15" x14ac:dyDescent="0.25">
      <c r="A17" s="1" t="s">
        <v>31</v>
      </c>
      <c r="B17" s="1" t="str">
        <f>VLOOKUP(A17,[1]LISTADHERENT!A$5:H$60,3,0)</f>
        <v>NGUIEMEGNI MATHIEU BLAISE</v>
      </c>
      <c r="C17" s="8">
        <f>TONTJUIL!C17+TONTAOUT!C17+TONTSEPT!C17+TONTOCT!C17+TONTNOV!C17+TONTDEC!C17+TONTFEV!C17+TONTMARS!C17+TONTAVRIL!C17+TONTMAI!C17+TONTJUIN!C17+TONTJUIL2021!C17+TONTAOUT2021!C17+TONTSEPT2021!C17</f>
        <v>300000</v>
      </c>
      <c r="D17" s="8">
        <f>TONTJUIL!D17+TONTAOUT!D17+TONTSEPT!D17+TONTOCT!D17+TONTNOV!D17+TONTDEC!D17+TONTFEV!D17+TONTMARS!D17+TONTAVRIL!D17+TONTMAI!D17+TONTJUIN!D17+TONTJUIL2021!D17+TONTAOUT2021!D17+TONTSEPT2021!D17</f>
        <v>0</v>
      </c>
      <c r="E17" s="8">
        <f>TONTJUIL!F17+TONTAOUT!F17+TONTSEPT!F17+TONTOCT!F17+TONTNOV!F17+TONTDEC!F17+TONTFEV!F17+TONTMARS!F17+TONTAVRIL!F17+TONTMAI!F17+TONTJUIN!F17+TONTJUIL2021!F17+TONTAOUT2021!F17+TONTSEPT2021!F17</f>
        <v>202000</v>
      </c>
      <c r="F17" s="8">
        <f>TONTJUIL!G17+TONTAOUT!G17+TONTSEPT!G17+TONTOCT!G17+TONTNOV!G17+TONTDEC!G17+TONTFEV!G17+TONTMARS!G17+TONTAVRIL!G17+TONTMAI!G17+TONTJUIN!G17+TONTJUIL2021!G17+TONTAOUT2021!G17+TONTSEPT2021!G17</f>
        <v>6000</v>
      </c>
      <c r="G17" s="8">
        <f>TONTJUIL!J17+TONTAOUT!J17+TONTSEPT!J17+TONTOCT!J17+TONTNOV!J17+TONTDEC!J17+TONTFEV!J17+TONTMARS!J17+TONTAVRIL!J17+TONTMAI!J17+TONTJUIN!J17+TONTJUIL2021!J17+TONTAOUT2021!J17+TONTSEPT2021!J17</f>
        <v>208000</v>
      </c>
      <c r="H17" s="8">
        <f>TONTJUIL!K17+TONTAOUT!K17+TONTSEPT!K17+TONTOCT!K17+TONTNOV!K17+TONTDEC!K17+TONTFEV!K17+TONTMARS!K17+TONTAVRIL!K17+TONTMAI!K17+TONTJUIN!K17+TONTJUIL2021!K17+TONTAOUT2021!K17+TONTSEPT2021!K17</f>
        <v>208000</v>
      </c>
      <c r="I17" s="8">
        <f>TONTJUIL!O17+TONTAOUT!O17+TONTSEPT!O17+TONTOCT!O17+TONTNOV!O17+TONTDEC!O17+TONTFEV!O17+TONTMARS!O17+TONTAVRIL!O17+TONTMAI!O17+TONTJUIN!O17+TONTJUIL2021!O17+TONTAOUT2021!O17+TONTSEPT2021!O17</f>
        <v>0</v>
      </c>
      <c r="J17" s="8">
        <f>TONTJUIL!P17+TONTAOUT!P17+TONTSEPT!P17+TONTOCT!P17+TONTNOV!P17+TONTDEC!P17+TONTFEV!P17+TONTMARS!P17+TONTAVRIL!P17+TONTMAI!P17+TONTJUIN!P17+TONTJUIL2021!P17+TONTAOUT2021!P17+TONTSEPT2021!P17</f>
        <v>0</v>
      </c>
      <c r="K17" s="29"/>
      <c r="L17" s="8">
        <f t="shared" si="0"/>
        <v>0</v>
      </c>
    </row>
    <row r="18" spans="1:15" x14ac:dyDescent="0.25">
      <c r="A18" s="1" t="s">
        <v>31</v>
      </c>
      <c r="B18" s="1" t="str">
        <f>VLOOKUP(A18,[1]LISTADHERENT!A$5:H$60,3,0)</f>
        <v>NGUIEMEGNI MATHIEU BLAISE</v>
      </c>
      <c r="C18" s="8">
        <f>TONTJUIL!C18+TONTAOUT!C18+TONTSEPT!C18+TONTOCT!C18+TONTNOV!C18+TONTDEC!C18+TONTFEV!C18+TONTMARS!C18+TONTAVRIL!C18+TONTMAI!C18+TONTJUIN!C18+TONTJUIL2021!C18+TONTAOUT2021!C18+TONTSEPT2021!C18</f>
        <v>300000</v>
      </c>
      <c r="D18" s="8">
        <f>TONTJUIL!D18+TONTAOUT!D18+TONTSEPT!D18+TONTOCT!D18+TONTNOV!D18+TONTDEC!D18+TONTFEV!D18+TONTMARS!D18+TONTAVRIL!D18+TONTMAI!D18+TONTJUIN!D18+TONTJUIL2021!D18+TONTAOUT2021!D18+TONTSEPT2021!D18</f>
        <v>0</v>
      </c>
      <c r="E18" s="8">
        <f>TONTJUIL!F18+TONTAOUT!F18+TONTSEPT!F18+TONTOCT!F18+TONTNOV!F18+TONTDEC!F18+TONTFEV!F18+TONTMARS!F18+TONTAVRIL!F18+TONTMAI!F18+TONTJUIN!F18+TONTJUIL2021!F18+TONTAOUT2021!F18+TONTSEPT2021!F18</f>
        <v>0</v>
      </c>
      <c r="F18" s="8">
        <f>TONTJUIL!G18+TONTAOUT!G18+TONTSEPT!G18+TONTOCT!G18+TONTNOV!G18+TONTDEC!G18+TONTFEV!G18+TONTMARS!G18+TONTAVRIL!G18+TONTMAI!G18+TONTJUIN!G18+TONTJUIL2021!G18+TONTAOUT2021!G18+TONTSEPT2021!G18</f>
        <v>0</v>
      </c>
      <c r="G18" s="8">
        <f>TONTJUIL!J18+TONTAOUT!J18+TONTSEPT!J18+TONTOCT!J18+TONTNOV!J18+TONTDEC!J18+TONTFEV!J18+TONTMARS!J18+TONTAVRIL!J18+TONTMAI!J18+TONTJUIN!J18+TONTJUIL2021!J18+TONTAOUT2021!J18+TONTSEPT2021!J18</f>
        <v>0</v>
      </c>
      <c r="H18" s="8">
        <f>TONTJUIL!K18+TONTAOUT!K18+TONTSEPT!K18+TONTOCT!K18+TONTNOV!K18+TONTDEC!K18+TONTFEV!K18+TONTMARS!K18+TONTAVRIL!K18+TONTMAI!K18+TONTJUIN!K18+TONTJUIL2021!K18+TONTAOUT2021!K18+TONTSEPT2021!K18</f>
        <v>0</v>
      </c>
      <c r="I18" s="8">
        <f>TONTJUIL!O18+TONTAOUT!O18+TONTSEPT!O18+TONTOCT!O18+TONTNOV!O18+TONTDEC!O18+TONTFEV!O18+TONTMARS!O18+TONTAVRIL!O18+TONTMAI!O18+TONTJUIN!O18+TONTJUIL2021!O18+TONTAOUT2021!O18+TONTSEPT2021!O18</f>
        <v>0</v>
      </c>
      <c r="J18" s="8">
        <f>TONTJUIL!P18+TONTAOUT!P18+TONTSEPT!P18+TONTOCT!P18+TONTNOV!P18+TONTDEC!P18+TONTFEV!P18+TONTMARS!P18+TONTAVRIL!P18+TONTMAI!P18+TONTJUIN!P18+TONTJUIL2021!P18+TONTAOUT2021!P18+TONTSEPT2021!P18</f>
        <v>0</v>
      </c>
      <c r="K18" s="29"/>
      <c r="L18" s="8">
        <f t="shared" si="0"/>
        <v>0</v>
      </c>
    </row>
    <row r="19" spans="1:15" s="13" customFormat="1" x14ac:dyDescent="0.25">
      <c r="A19" s="16" t="s">
        <v>12</v>
      </c>
      <c r="B19" s="1" t="str">
        <f>VLOOKUP(A19,[1]LISTADHERENT!A$5:H$60,3,0)</f>
        <v>NKAMGANG JUSTIN DEJOLIE</v>
      </c>
      <c r="C19" s="8">
        <f>TONTJUIL!C19+TONTAOUT!C19+TONTSEPT!C19+TONTOCT!C19+TONTNOV!C19+TONTDEC!C19+TONTFEV!C19+TONTMARS!C19+TONTAVRIL!C19+TONTMAI!C19+TONTJUIN!C19+TONTJUIL2021!C19+TONTAOUT2021!C19+TONTSEPT2021!C19</f>
        <v>300000</v>
      </c>
      <c r="D19" s="8">
        <f>TONTJUIL!D19+TONTAOUT!D19+TONTSEPT!D19+TONTOCT!D19+TONTNOV!D19+TONTDEC!D19+TONTFEV!D19+TONTMARS!D19+TONTAVRIL!D19+TONTMAI!D19+TONTJUIN!D19+TONTJUIL2021!D19+TONTAOUT2021!D19+TONTSEPT2021!D19</f>
        <v>0</v>
      </c>
      <c r="E19" s="8">
        <f>TONTJUIL!F19+TONTAOUT!F19+TONTSEPT!F19+TONTOCT!F19+TONTNOV!F19+TONTDEC!F19+TONTFEV!F19+TONTMARS!F19+TONTAVRIL!F19+TONTMAI!F19+TONTJUIN!F19+TONTJUIL2021!F19+TONTAOUT2021!F19+TONTSEPT2021!F19</f>
        <v>250000</v>
      </c>
      <c r="F19" s="8">
        <f>TONTJUIL!G19+TONTAOUT!G19+TONTSEPT!G19+TONTOCT!G19+TONTNOV!G19+TONTDEC!G19+TONTFEV!G19+TONTMARS!G19+TONTAVRIL!G19+TONTMAI!G19+TONTJUIN!G19+TONTJUIL2021!G19+TONTAOUT2021!G19+TONTSEPT2021!G19</f>
        <v>5000</v>
      </c>
      <c r="G19" s="8">
        <f>TONTJUIL!J19+TONTAOUT!J19+TONTSEPT!J19+TONTOCT!J19+TONTNOV!J19+TONTDEC!J19+TONTFEV!J19+TONTMARS!J19+TONTAVRIL!J19+TONTMAI!J19+TONTJUIN!J19+TONTJUIL2021!J19+TONTAOUT2021!J19+TONTSEPT2021!J19</f>
        <v>255000</v>
      </c>
      <c r="H19" s="8">
        <f>TONTJUIL!K19+TONTAOUT!K19+TONTSEPT!K19+TONTOCT!K19+TONTNOV!K19+TONTDEC!K19+TONTFEV!K19+TONTMARS!K19+TONTAVRIL!K19+TONTMAI!K19+TONTJUIN!K19+TONTJUIL2021!K19+TONTAOUT2021!K19+TONTSEPT2021!K19</f>
        <v>255000</v>
      </c>
      <c r="I19" s="8">
        <f>TONTJUIL!O19+TONTAOUT!O19+TONTSEPT!O19+TONTOCT!O19+TONTNOV!O19+TONTDEC!O19+TONTFEV!O19+TONTMARS!O19+TONTAVRIL!O19+TONTMAI!O19+TONTJUIN!O19+TONTJUIL2021!O19+TONTAOUT2021!O19+TONTSEPT2021!O19</f>
        <v>1115000</v>
      </c>
      <c r="J19" s="8">
        <f>TONTJUIL!P19+TONTAOUT!P19+TONTSEPT!P19+TONTOCT!P19+TONTNOV!P19+TONTDEC!P19+TONTFEV!P19+TONTMARS!P19+TONTAVRIL!P19+TONTMAI!P19+TONTJUIN!P19+TONTJUIL2021!P19+TONTAOUT2021!P19+TONTSEPT2021!P19</f>
        <v>85000</v>
      </c>
      <c r="K19" s="29">
        <v>44090</v>
      </c>
      <c r="L19" s="8">
        <f t="shared" si="0"/>
        <v>10000</v>
      </c>
    </row>
    <row r="20" spans="1:15" x14ac:dyDescent="0.25">
      <c r="A20" s="1" t="s">
        <v>43</v>
      </c>
      <c r="B20" s="1" t="str">
        <f>VLOOKUP(A20,[1]LISTADHERENT!A$5:H$60,3,0)</f>
        <v>PATEGO NJOSSU GUSTAVE</v>
      </c>
      <c r="C20" s="8">
        <f>TONTJUIL!C20+TONTAOUT!C20+TONTSEPT!C20+TONTOCT!C20+TONTNOV!C20+TONTDEC!C20+TONTFEV!C20+TONTMARS!C20+TONTAVRIL!C20+TONTMAI!C20+TONTJUIN!C20+TONTJUIL2021!C20+TONTAOUT2021!C20+TONTSEPT2021!C20</f>
        <v>300000</v>
      </c>
      <c r="D20" s="8">
        <f>TONTJUIL!D20+TONTAOUT!D20+TONTSEPT!D20+TONTOCT!D20+TONTNOV!D20+TONTDEC!D20+TONTFEV!D20+TONTMARS!D20+TONTAVRIL!D20+TONTMAI!D20+TONTJUIN!D20+TONTJUIL2021!D20+TONTAOUT2021!D20+TONTSEPT2021!D20</f>
        <v>0</v>
      </c>
      <c r="E20" s="8">
        <f>TONTJUIL!F20+TONTAOUT!F20+TONTSEPT!F20+TONTOCT!F20+TONTNOV!F20+TONTDEC!F20+TONTFEV!F20+TONTMARS!F20+TONTAVRIL!F20+TONTMAI!F20+TONTJUIN!F20+TONTJUIL2021!F20+TONTAOUT2021!F20+TONTSEPT2021!F20</f>
        <v>0</v>
      </c>
      <c r="F20" s="8">
        <f>TONTJUIL!G20+TONTAOUT!G20+TONTSEPT!G20+TONTOCT!G20+TONTNOV!G20+TONTDEC!G20+TONTFEV!G20+TONTMARS!G20+TONTAVRIL!G20+TONTMAI!G20+TONTJUIN!G20+TONTJUIL2021!G20+TONTAOUT2021!G20+TONTSEPT2021!G20</f>
        <v>0</v>
      </c>
      <c r="G20" s="8">
        <f>TONTJUIL!J20+TONTAOUT!J20+TONTSEPT!J20+TONTOCT!J20+TONTNOV!J20+TONTDEC!J20+TONTFEV!J20+TONTMARS!J20+TONTAVRIL!J20+TONTMAI!J20+TONTJUIN!J20+TONTJUIL2021!J20+TONTAOUT2021!J20+TONTSEPT2021!J20</f>
        <v>0</v>
      </c>
      <c r="H20" s="8">
        <f>TONTJUIL!K20+TONTAOUT!K20+TONTSEPT!K20+TONTOCT!K20+TONTNOV!K20+TONTDEC!K20+TONTFEV!K20+TONTMARS!K20+TONTAVRIL!K20+TONTMAI!K20+TONTJUIN!K20+TONTJUIL2021!K20+TONTAOUT2021!K20+TONTSEPT2021!K20</f>
        <v>0</v>
      </c>
      <c r="I20" s="8">
        <f>TONTJUIL!O20+TONTAOUT!O20+TONTSEPT!O20+TONTOCT!O20+TONTNOV!O20+TONTDEC!O20+TONTFEV!O20+TONTMARS!O20+TONTAVRIL!O20+TONTMAI!O20+TONTJUIN!O20+TONTJUIL2021!O20+TONTAOUT2021!O20+TONTSEPT2021!O20</f>
        <v>0</v>
      </c>
      <c r="J20" s="8">
        <f>TONTJUIL!P20+TONTAOUT!P20+TONTSEPT!P20+TONTOCT!P20+TONTNOV!P20+TONTDEC!P20+TONTFEV!P20+TONTMARS!P20+TONTAVRIL!P20+TONTMAI!P20+TONTJUIN!P20+TONTJUIL2021!P20+TONTAOUT2021!P20+TONTSEPT2021!P20</f>
        <v>0</v>
      </c>
      <c r="K20" s="29"/>
      <c r="L20" s="8">
        <f t="shared" si="0"/>
        <v>0</v>
      </c>
    </row>
    <row r="21" spans="1:15" x14ac:dyDescent="0.25">
      <c r="A21" s="16" t="s">
        <v>44</v>
      </c>
      <c r="B21" s="1" t="str">
        <f>VLOOKUP(A21,[1]LISTADHERENT!A$5:H$60,3,0)</f>
        <v>SIMO PIERRE</v>
      </c>
      <c r="C21" s="8">
        <f>TONTJUIL!C21+TONTAOUT!C21+TONTSEPT!C21+TONTOCT!C21+TONTNOV!C21+TONTDEC!C21+TONTFEV!C21+TONTMARS!C21+TONTAVRIL!C21+TONTMAI!C21+TONTJUIN!C21+TONTJUIL2021!C21+TONTAOUT2021!C21+TONTSEPT2021!C21</f>
        <v>300000</v>
      </c>
      <c r="D21" s="8">
        <f>TONTJUIL!D21+TONTAOUT!D21+TONTSEPT!D21+TONTOCT!D21+TONTNOV!D21+TONTDEC!D21+TONTFEV!D21+TONTMARS!D21+TONTAVRIL!D21+TONTMAI!D21+TONTJUIN!D21+TONTJUIL2021!D21+TONTAOUT2021!D21+TONTSEPT2021!D21</f>
        <v>0</v>
      </c>
      <c r="E21" s="8">
        <f>TONTJUIL!F21+TONTAOUT!F21+TONTSEPT!F21+TONTOCT!F21+TONTNOV!F21+TONTDEC!F21+TONTFEV!F21+TONTMARS!F21+TONTAVRIL!F21+TONTMAI!F21+TONTJUIN!F21+TONTJUIL2021!F21+TONTAOUT2021!F21+TONTSEPT2021!F21</f>
        <v>0</v>
      </c>
      <c r="F21" s="8">
        <f>TONTJUIL!G21+TONTAOUT!G21+TONTSEPT!G21+TONTOCT!G21+TONTNOV!G21+TONTDEC!G21+TONTFEV!G21+TONTMARS!G21+TONTAVRIL!G21+TONTMAI!G21+TONTJUIN!G21+TONTJUIL2021!G21+TONTAOUT2021!G21+TONTSEPT2021!G21</f>
        <v>0</v>
      </c>
      <c r="G21" s="8">
        <f>TONTJUIL!J21+TONTAOUT!J21+TONTSEPT!J21+TONTOCT!J21+TONTNOV!J21+TONTDEC!J21+TONTFEV!J21+TONTMARS!J21+TONTAVRIL!J21+TONTMAI!J21+TONTJUIN!J21+TONTJUIL2021!J21+TONTAOUT2021!J21+TONTSEPT2021!J21</f>
        <v>0</v>
      </c>
      <c r="H21" s="8">
        <f>TONTJUIL!K21+TONTAOUT!K21+TONTSEPT!K21+TONTOCT!K21+TONTNOV!K21+TONTDEC!K21+TONTFEV!K21+TONTMARS!K21+TONTAVRIL!K21+TONTMAI!K21+TONTJUIN!K21+TONTJUIL2021!K21+TONTAOUT2021!K21+TONTSEPT2021!K21</f>
        <v>0</v>
      </c>
      <c r="I21" s="8">
        <f>TONTJUIL!O21+TONTAOUT!O21+TONTSEPT!O21+TONTOCT!O21+TONTNOV!O21+TONTDEC!O21+TONTFEV!O21+TONTMARS!O21+TONTAVRIL!O21+TONTMAI!O21+TONTJUIN!O21+TONTJUIL2021!O21+TONTAOUT2021!O21+TONTSEPT2021!O21</f>
        <v>0</v>
      </c>
      <c r="J21" s="8">
        <f>TONTJUIL!P21+TONTAOUT!P21+TONTSEPT!P21+TONTOCT!P21+TONTNOV!P21+TONTDEC!P21+TONTFEV!P21+TONTMARS!P21+TONTAVRIL!P21+TONTMAI!P21+TONTJUIN!P21+TONTJUIL2021!P21+TONTAOUT2021!P21+TONTSEPT2021!P21</f>
        <v>0</v>
      </c>
      <c r="K21" s="29"/>
      <c r="L21" s="8">
        <f t="shared" si="0"/>
        <v>0</v>
      </c>
    </row>
    <row r="22" spans="1:15" x14ac:dyDescent="0.25">
      <c r="A22" s="16" t="s">
        <v>53</v>
      </c>
      <c r="B22" s="1" t="str">
        <f>VLOOKUP(A22,[1]LISTADHERENT!A$5:H$60,3,0)</f>
        <v>TCHEMHOU EMMANUEL</v>
      </c>
      <c r="C22" s="8">
        <f>TONTJUIL!C22+TONTAOUT!C22+TONTSEPT!C22+TONTOCT!C22+TONTNOV!C22+TONTDEC!C22+TONTFEV!C22+TONTMARS!C22+TONTAVRIL!C22+TONTMAI!C22+TONTJUIN!C22+TONTJUIL2021!C22+TONTAOUT2021!C22+TONTSEPT2021!C22</f>
        <v>311500</v>
      </c>
      <c r="D22" s="8">
        <f>TONTJUIL!D22+TONTAOUT!D22+TONTSEPT!D22+TONTOCT!D22+TONTNOV!D22+TONTDEC!D22+TONTFEV!D22+TONTMARS!D22+TONTAVRIL!D22+TONTMAI!D22+TONTJUIN!D22+TONTJUIL2021!D22+TONTAOUT2021!D22+TONTSEPT2021!D22</f>
        <v>0</v>
      </c>
      <c r="E22" s="8">
        <f>TONTJUIL!F22+TONTAOUT!F22+TONTSEPT!F22+TONTOCT!F22+TONTNOV!F22+TONTDEC!F22+TONTFEV!F22+TONTMARS!F22+TONTAVRIL!F22+TONTMAI!F22+TONTJUIN!F22+TONTJUIL2021!F22+TONTAOUT2021!F22+TONTSEPT2021!F22</f>
        <v>0</v>
      </c>
      <c r="F22" s="8">
        <f>TONTJUIL!G22+TONTAOUT!G22+TONTSEPT!G22+TONTOCT!G22+TONTNOV!G22+TONTDEC!G22+TONTFEV!G22+TONTMARS!G22+TONTAVRIL!G22+TONTMAI!G22+TONTJUIN!G22+TONTJUIL2021!G22+TONTAOUT2021!G22+TONTSEPT2021!G22</f>
        <v>0</v>
      </c>
      <c r="G22" s="8">
        <f>TONTJUIL!J22+TONTAOUT!J22+TONTSEPT!J22+TONTOCT!J22+TONTNOV!J22+TONTDEC!J22+TONTFEV!J22+TONTMARS!J22+TONTAVRIL!J22+TONTMAI!J22+TONTJUIN!J22+TONTJUIL2021!J22+TONTAOUT2021!J22+TONTSEPT2021!J22</f>
        <v>0</v>
      </c>
      <c r="H22" s="8">
        <f>TONTJUIL!K22+TONTAOUT!K22+TONTSEPT!K22+TONTOCT!K22+TONTNOV!K22+TONTDEC!K22+TONTFEV!K22+TONTMARS!K22+TONTAVRIL!K22+TONTMAI!K22+TONTJUIN!K22+TONTJUIL2021!K22+TONTAOUT2021!K22+TONTSEPT2021!K22</f>
        <v>0</v>
      </c>
      <c r="I22" s="8">
        <f>TONTJUIL!O22+TONTAOUT!O22+TONTSEPT!O22+TONTOCT!O22+TONTNOV!O22+TONTDEC!O22+TONTFEV!O22+TONTMARS!O22+TONTAVRIL!O22+TONTMAI!O22+TONTJUIN!O22+TONTJUIL2021!O22+TONTAOUT2021!O22+TONTSEPT2021!O22</f>
        <v>0</v>
      </c>
      <c r="J22" s="8">
        <f>TONTJUIL!P22+TONTAOUT!P22+TONTSEPT!P22+TONTOCT!P22+TONTNOV!P22+TONTDEC!P22+TONTFEV!P22+TONTMARS!P22+TONTAVRIL!P22+TONTMAI!P22+TONTJUIN!P22+TONTJUIL2021!P22+TONTAOUT2021!P22+TONTSEPT2021!P22</f>
        <v>0</v>
      </c>
      <c r="K22" s="29"/>
      <c r="L22" s="8">
        <f t="shared" si="0"/>
        <v>0</v>
      </c>
    </row>
    <row r="23" spans="1:15" x14ac:dyDescent="0.25">
      <c r="A23" s="1" t="s">
        <v>30</v>
      </c>
      <c r="B23" s="1" t="str">
        <f>VLOOKUP(A23,[1]LISTADHERENT!A$5:H$60,3,0)</f>
        <v>YOUMBI EMMANUEL</v>
      </c>
      <c r="C23" s="8">
        <f>TONTJUIL!C23+TONTAOUT!C23+TONTSEPT!C23+TONTOCT!C23+TONTNOV!C23+TONTDEC!C23+TONTFEV!C23+TONTMARS!C23+TONTAVRIL!C23+TONTMAI!C23+TONTJUIN!C23+TONTJUIL2021!C23+TONTAOUT2021!C23+TONTSEPT2021!C23</f>
        <v>300000</v>
      </c>
      <c r="D23" s="8">
        <f>TONTJUIL!D23+TONTAOUT!D23+TONTSEPT!D23+TONTOCT!D23+TONTNOV!D23+TONTDEC!D23+TONTFEV!D23+TONTMARS!D23+TONTAVRIL!D23+TONTMAI!D23+TONTJUIN!D23+TONTJUIL2021!D23+TONTAOUT2021!D23+TONTSEPT2021!D23</f>
        <v>0</v>
      </c>
      <c r="E23" s="8">
        <f>TONTJUIL!F23+TONTAOUT!F23+TONTSEPT!F23+TONTOCT!F23+TONTNOV!F23+TONTDEC!F23+TONTFEV!F23+TONTMARS!F23+TONTAVRIL!F23+TONTMAI!F23+TONTJUIN!F23+TONTJUIL2021!F23+TONTAOUT2021!F23+TONTSEPT2021!F23</f>
        <v>0</v>
      </c>
      <c r="F23" s="8">
        <f>TONTJUIL!G23+TONTAOUT!G23+TONTSEPT!G23+TONTOCT!G23+TONTNOV!G23+TONTDEC!G23+TONTFEV!G23+TONTMARS!G23+TONTAVRIL!G23+TONTMAI!G23+TONTJUIN!G23+TONTJUIL2021!G23+TONTAOUT2021!G23+TONTSEPT2021!G23</f>
        <v>0</v>
      </c>
      <c r="G23" s="8">
        <f>TONTJUIL!J23+TONTAOUT!J23+TONTSEPT!J23+TONTOCT!J23+TONTNOV!J23+TONTDEC!J23+TONTFEV!J23+TONTMARS!J23+TONTAVRIL!J23+TONTMAI!J23+TONTJUIN!J23+TONTJUIL2021!J23+TONTAOUT2021!J23+TONTSEPT2021!J23</f>
        <v>0</v>
      </c>
      <c r="H23" s="8">
        <f>TONTJUIL!K23+TONTAOUT!K23+TONTSEPT!K23+TONTOCT!K23+TONTNOV!K23+TONTDEC!K23+TONTFEV!K23+TONTMARS!K23+TONTAVRIL!K23+TONTMAI!K23+TONTJUIN!K23+TONTJUIL2021!K23+TONTAOUT2021!K23+TONTSEPT2021!K23</f>
        <v>0</v>
      </c>
      <c r="I23" s="8">
        <f>TONTJUIL!O23+TONTAOUT!O23+TONTSEPT!O23+TONTOCT!O23+TONTNOV!O23+TONTDEC!O23+TONTFEV!O23+TONTMARS!O23+TONTAVRIL!O23+TONTMAI!O23+TONTJUIN!O23+TONTJUIL2021!O23+TONTAOUT2021!O23+TONTSEPT2021!O23</f>
        <v>1125000</v>
      </c>
      <c r="J23" s="8">
        <f>TONTJUIL!P23+TONTAOUT!P23+TONTSEPT!P23+TONTOCT!P23+TONTNOV!P23+TONTDEC!P23+TONTFEV!P23+TONTMARS!P23+TONTAVRIL!P23+TONTMAI!P23+TONTJUIN!P23+TONTJUIL2021!P23+TONTAOUT2021!P23+TONTSEPT2021!P23</f>
        <v>75000</v>
      </c>
      <c r="K23" s="29">
        <v>44122</v>
      </c>
      <c r="L23" s="8">
        <f t="shared" si="0"/>
        <v>0</v>
      </c>
    </row>
    <row r="24" spans="1:15" x14ac:dyDescent="0.25">
      <c r="A24" s="1" t="s">
        <v>30</v>
      </c>
      <c r="B24" s="1" t="str">
        <f>VLOOKUP(A24,[1]LISTADHERENT!A$5:H$60,3,0)</f>
        <v>YOUMBI EMMANUEL</v>
      </c>
      <c r="C24" s="8">
        <f>TONTJUIL!C24+TONTAOUT!C24+TONTSEPT!C24+TONTOCT!C24+TONTNOV!C24+TONTDEC!C24+TONTFEV!C24+TONTMARS!C24+TONTAVRIL!C24+TONTMAI!C24+TONTJUIN!C24+TONTJUIL2021!C24+TONTAOUT2021!C24+TONTSEPT2021!C24</f>
        <v>300000</v>
      </c>
      <c r="D24" s="8">
        <f>TONTJUIL!D24+TONTAOUT!D24+TONTSEPT!D24+TONTOCT!D24+TONTNOV!D24+TONTDEC!D24+TONTFEV!D24+TONTMARS!D24+TONTAVRIL!D24+TONTMAI!D24+TONTJUIN!D24+TONTJUIL2021!D24+TONTAOUT2021!D24+TONTSEPT2021!D24</f>
        <v>0</v>
      </c>
      <c r="E24" s="8">
        <f>TONTJUIL!F24+TONTAOUT!F24+TONTSEPT!F24+TONTOCT!F24+TONTNOV!F24+TONTDEC!F24+TONTFEV!F24+TONTMARS!F24+TONTAVRIL!F24+TONTMAI!F24+TONTJUIN!F24+TONTJUIL2021!F24+TONTAOUT2021!F24+TONTSEPT2021!F24</f>
        <v>0</v>
      </c>
      <c r="F24" s="8">
        <f>TONTJUIL!G24+TONTAOUT!G24+TONTSEPT!G24+TONTOCT!G24+TONTNOV!G24+TONTDEC!G24+TONTFEV!G24+TONTMARS!G24+TONTAVRIL!G24+TONTMAI!G24+TONTJUIN!G24+TONTJUIL2021!G24+TONTAOUT2021!G24+TONTSEPT2021!G24</f>
        <v>0</v>
      </c>
      <c r="G24" s="8">
        <f>TONTJUIL!J24+TONTAOUT!J24+TONTSEPT!J24+TONTOCT!J24+TONTNOV!J24+TONTDEC!J24+TONTFEV!J24+TONTMARS!J24+TONTAVRIL!J24+TONTMAI!J24+TONTJUIN!J24+TONTJUIL2021!J24+TONTAOUT2021!J24+TONTSEPT2021!J24</f>
        <v>0</v>
      </c>
      <c r="H24" s="8">
        <f>TONTJUIL!K24+TONTAOUT!K24+TONTSEPT!K24+TONTOCT!K24+TONTNOV!K24+TONTDEC!K24+TONTFEV!K24+TONTMARS!K24+TONTAVRIL!K24+TONTMAI!K24+TONTJUIN!K24+TONTJUIL2021!K24+TONTAOUT2021!K24+TONTSEPT2021!K24</f>
        <v>0</v>
      </c>
      <c r="I24" s="8">
        <f>TONTJUIL!O24+TONTAOUT!O24+TONTSEPT!O24+TONTOCT!O24+TONTNOV!O24+TONTDEC!O24+TONTFEV!O24+TONTMARS!O24+TONTAVRIL!O24+TONTMAI!O24+TONTJUIN!O24+TONTJUIL2021!O24+TONTAOUT2021!O24+TONTSEPT2021!O24</f>
        <v>0</v>
      </c>
      <c r="J24" s="8">
        <f>TONTJUIL!P24+TONTAOUT!P24+TONTSEPT!P24+TONTOCT!P24+TONTNOV!P24+TONTDEC!P24+TONTFEV!P24+TONTMARS!P24+TONTAVRIL!P24+TONTMAI!P24+TONTJUIN!P24+TONTJUIL2021!P24+TONTAOUT2021!P24+TONTSEPT2021!P24</f>
        <v>0</v>
      </c>
      <c r="K24" s="29"/>
      <c r="L24" s="8">
        <f t="shared" si="0"/>
        <v>0</v>
      </c>
    </row>
    <row r="25" spans="1:15" ht="18" x14ac:dyDescent="0.25">
      <c r="B25" s="9"/>
      <c r="C25" s="9"/>
      <c r="D25" s="9"/>
      <c r="E25" s="9"/>
      <c r="F25" s="9"/>
      <c r="L25" s="8"/>
    </row>
    <row r="26" spans="1:15" ht="18" x14ac:dyDescent="0.25">
      <c r="A26" s="20" t="s">
        <v>13</v>
      </c>
      <c r="B26" s="20"/>
      <c r="C26" s="21">
        <f>SUM(C6:C24)</f>
        <v>5486500</v>
      </c>
      <c r="D26" s="21">
        <f>SUM(D6:D24)</f>
        <v>0</v>
      </c>
      <c r="E26" s="21">
        <f>SUM(E6:E24)</f>
        <v>1452000</v>
      </c>
      <c r="F26" s="21">
        <f>SUM(F6:F24)</f>
        <v>31000</v>
      </c>
      <c r="G26" s="21">
        <f t="shared" ref="G26:L26" si="1">SUM(G6:G24)</f>
        <v>1483000</v>
      </c>
      <c r="H26" s="21">
        <f t="shared" si="1"/>
        <v>1483000</v>
      </c>
      <c r="I26" s="21">
        <f t="shared" si="1"/>
        <v>5405000</v>
      </c>
      <c r="J26" s="21">
        <f t="shared" si="1"/>
        <v>595000</v>
      </c>
      <c r="K26" s="17"/>
      <c r="L26" s="21">
        <f t="shared" si="1"/>
        <v>220000</v>
      </c>
      <c r="M26" s="17"/>
      <c r="N26" s="17"/>
      <c r="O26" s="17"/>
    </row>
    <row r="27" spans="1:15" x14ac:dyDescent="0.25">
      <c r="C27" s="22" t="s">
        <v>16</v>
      </c>
      <c r="G27" s="3"/>
      <c r="H27" s="3"/>
      <c r="I27"/>
      <c r="L27" s="8"/>
    </row>
    <row r="28" spans="1:15" x14ac:dyDescent="0.25">
      <c r="L28" s="8"/>
    </row>
    <row r="29" spans="1:15" ht="18" x14ac:dyDescent="0.25">
      <c r="E29" s="2"/>
      <c r="J29" s="21">
        <f>J26-(75000*L26)</f>
        <v>-16499405000</v>
      </c>
      <c r="L29" s="8"/>
    </row>
    <row r="30" spans="1:15" x14ac:dyDescent="0.25">
      <c r="L30" s="8"/>
    </row>
    <row r="31" spans="1:15" ht="18" x14ac:dyDescent="0.25">
      <c r="J31" s="21">
        <f>J29-O25</f>
        <v>-16499405000</v>
      </c>
      <c r="L31" s="8"/>
    </row>
    <row r="32" spans="1:15" x14ac:dyDescent="0.25">
      <c r="L32" s="8"/>
    </row>
    <row r="33" spans="12:12" x14ac:dyDescent="0.25">
      <c r="L33" s="8"/>
    </row>
    <row r="34" spans="12:12" x14ac:dyDescent="0.25">
      <c r="L34" s="8"/>
    </row>
    <row r="35" spans="12:12" x14ac:dyDescent="0.25">
      <c r="L35" s="8"/>
    </row>
    <row r="36" spans="12:12" x14ac:dyDescent="0.25">
      <c r="L36" s="8"/>
    </row>
    <row r="37" spans="12:12" x14ac:dyDescent="0.25">
      <c r="L37" s="8"/>
    </row>
    <row r="38" spans="12:12" x14ac:dyDescent="0.25">
      <c r="L38" s="8"/>
    </row>
    <row r="39" spans="12:12" x14ac:dyDescent="0.25">
      <c r="L39" s="8"/>
    </row>
    <row r="40" spans="12:12" x14ac:dyDescent="0.25">
      <c r="L40" s="8"/>
    </row>
  </sheetData>
  <autoFilter ref="A5:J24">
    <sortState ref="A6:P32">
      <sortCondition ref="B6:B32"/>
    </sortState>
  </autoFilter>
  <mergeCells count="1">
    <mergeCell ref="C4:G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2" ySplit="5" topLeftCell="G12" activePane="bottomRight" state="frozen"/>
      <selection activeCell="K6" sqref="K6"/>
      <selection pane="topRight" activeCell="K6" sqref="K6"/>
      <selection pane="bottomLeft" activeCell="K6" sqref="K6"/>
      <selection pane="bottomRight" activeCell="K6" sqref="K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8.28515625" customWidth="1"/>
    <col min="6" max="6" width="16.7109375" customWidth="1"/>
    <col min="7" max="8" width="17.42578125" customWidth="1"/>
    <col min="9" max="9" width="17.5703125" style="3" customWidth="1"/>
    <col min="10" max="10" width="19" bestFit="1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1" t="s">
        <v>2</v>
      </c>
      <c r="B2" s="1" t="s">
        <v>46</v>
      </c>
    </row>
    <row r="3" spans="1:13" x14ac:dyDescent="0.25">
      <c r="A3" s="1" t="s">
        <v>3</v>
      </c>
      <c r="B3" s="4">
        <v>75000</v>
      </c>
    </row>
    <row r="4" spans="1:13" ht="18" x14ac:dyDescent="0.25">
      <c r="B4" s="5"/>
      <c r="C4" s="33">
        <v>44003</v>
      </c>
      <c r="D4" s="33"/>
      <c r="E4" s="34"/>
      <c r="F4" s="34"/>
      <c r="G4" s="34"/>
      <c r="H4" s="32"/>
      <c r="I4" s="32"/>
    </row>
    <row r="5" spans="1:13" ht="43.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25</v>
      </c>
      <c r="F5" s="6" t="s">
        <v>18</v>
      </c>
      <c r="G5" s="18" t="s">
        <v>47</v>
      </c>
      <c r="H5" s="18" t="s">
        <v>49</v>
      </c>
      <c r="I5" s="6" t="s">
        <v>23</v>
      </c>
      <c r="J5" s="4" t="s">
        <v>24</v>
      </c>
      <c r="K5" s="4" t="s">
        <v>15</v>
      </c>
      <c r="L5" s="4" t="s">
        <v>51</v>
      </c>
    </row>
    <row r="6" spans="1:13" s="17" customFormat="1" x14ac:dyDescent="0.25">
      <c r="A6" s="1" t="s">
        <v>37</v>
      </c>
      <c r="B6" s="1" t="str">
        <f>VLOOKUP(A6,[1]LISTADHERENT!A$5:H$60,3,0)</f>
        <v>BOUTCHOUANG WILLIAM</v>
      </c>
      <c r="C6" s="8" t="e">
        <f>TONTJUIL!C6+TONTAOUT!C6+#REF!+TONTOCT!C6+#REF!+#REF!+#REF!+#REF!+#REF!+#REF!+#REF!+#REF!</f>
        <v>#REF!</v>
      </c>
      <c r="D6" s="8" t="e">
        <f>TONTJUIL!D6+TONTAOUT!D6+#REF!+TONTOCT!D6+#REF!+#REF!+#REF!+#REF!+#REF!+#REF!+#REF!+#REF!</f>
        <v>#REF!</v>
      </c>
      <c r="E6" s="8" t="e">
        <f>TONTJUIL!F6+TONTAOUT!F6+#REF!+TONTOCT!F6+#REF!+#REF!+#REF!+#REF!+#REF!+#REF!+#REF!+#REF!</f>
        <v>#REF!</v>
      </c>
      <c r="F6" s="8" t="e">
        <f>TONTJUIL!G6+TONTAOUT!G6+#REF!+TONTOCT!G6+#REF!+#REF!+#REF!+#REF!+#REF!+#REF!+#REF!+#REF!</f>
        <v>#REF!</v>
      </c>
      <c r="G6" s="8" t="e">
        <f>TONTJUIL!J6+TONTAOUT!J6+#REF!+TONTOCT!J6+#REF!+#REF!+#REF!+#REF!+#REF!+#REF!+#REF!+#REF!</f>
        <v>#REF!</v>
      </c>
      <c r="H6" s="8" t="e">
        <f>TONTJUIL!K6+TONTAOUT!K6+#REF!+TONTOCT!K6+#REF!+#REF!+#REF!+#REF!+#REF!+#REF!+#REF!+#REF!</f>
        <v>#REF!</v>
      </c>
      <c r="I6" s="8" t="e">
        <f>TONTJUIL!O6+TONTAOUT!O6+#REF!+TONTOCT!O6+#REF!+#REF!+#REF!+#REF!+#REF!+#REF!+#REF!+#REF!</f>
        <v>#REF!</v>
      </c>
      <c r="J6" s="8" t="e">
        <f>TONTJUIL!P6+TONTAOUT!P6+#REF!+TONTOCT!P6+#REF!+#REF!+#REF!+#REF!+#REF!+#REF!+#REF!+#REF!</f>
        <v>#REF!</v>
      </c>
      <c r="K6" s="30">
        <v>43968</v>
      </c>
      <c r="L6" s="8">
        <v>75000</v>
      </c>
      <c r="M6" s="8" t="e">
        <f>J6-L6</f>
        <v>#REF!</v>
      </c>
    </row>
    <row r="7" spans="1:13" s="13" customFormat="1" x14ac:dyDescent="0.25">
      <c r="A7" s="1" t="s">
        <v>38</v>
      </c>
      <c r="B7" s="1" t="str">
        <f>VLOOKUP(A7,[1]LISTADHERENT!A$5:H$60,3,0)</f>
        <v xml:space="preserve">DJOMO JEAN PAUL </v>
      </c>
      <c r="C7" s="8" t="e">
        <f>TONTJUIL!C8+TONTAOUT!C8+#REF!+TONTOCT!C8+#REF!+#REF!+#REF!+#REF!+#REF!+#REF!+#REF!+#REF!</f>
        <v>#REF!</v>
      </c>
      <c r="D7" s="8" t="e">
        <f>TONTJUIL!D8+TONTAOUT!D8+#REF!+TONTOCT!D8+#REF!+#REF!+#REF!+#REF!+#REF!+#REF!+#REF!+#REF!</f>
        <v>#REF!</v>
      </c>
      <c r="E7" s="8" t="e">
        <f>TONTJUIL!F8+TONTAOUT!F8+#REF!+TONTOCT!F8+#REF!+#REF!+#REF!+#REF!+#REF!+#REF!+#REF!+#REF!</f>
        <v>#REF!</v>
      </c>
      <c r="F7" s="8" t="e">
        <f>TONTJUIL!G8+TONTAOUT!G8+#REF!+TONTOCT!G8+#REF!+#REF!+#REF!+#REF!+#REF!+#REF!+#REF!+#REF!</f>
        <v>#REF!</v>
      </c>
      <c r="G7" s="8" t="e">
        <f>TONTJUIL!J8+TONTAOUT!J8+#REF!+TONTOCT!J8+#REF!+#REF!+#REF!+#REF!+#REF!+#REF!+#REF!+#REF!</f>
        <v>#REF!</v>
      </c>
      <c r="H7" s="8" t="e">
        <f>TONTJUIL!K8+TONTAOUT!K8+#REF!+TONTOCT!K8+#REF!+#REF!+#REF!+#REF!+#REF!+#REF!+#REF!+#REF!</f>
        <v>#REF!</v>
      </c>
      <c r="I7" s="8" t="e">
        <f>TONTJUIL!O8+TONTAOUT!O8+#REF!+TONTOCT!O8+#REF!+#REF!+#REF!+#REF!+#REF!+#REF!+#REF!+#REF!</f>
        <v>#REF!</v>
      </c>
      <c r="J7" s="8" t="e">
        <f>TONTJUIL!P8+TONTAOUT!P8+#REF!+TONTOCT!P8+#REF!+#REF!+#REF!+#REF!+#REF!+#REF!+#REF!+#REF!</f>
        <v>#REF!</v>
      </c>
      <c r="K7" s="28">
        <v>43758</v>
      </c>
      <c r="L7" s="8">
        <v>75000</v>
      </c>
      <c r="M7" s="8" t="e">
        <f t="shared" ref="M7:M25" si="0">J7-L7</f>
        <v>#REF!</v>
      </c>
    </row>
    <row r="8" spans="1:13" x14ac:dyDescent="0.25">
      <c r="A8" s="1" t="s">
        <v>39</v>
      </c>
      <c r="B8" s="1" t="str">
        <f>VLOOKUP(A8,[1]LISTADHERENT!A$5:H$60,3,0)</f>
        <v>DJOUKWE NANGUEN GUY BLAISE</v>
      </c>
      <c r="C8" s="8" t="e">
        <f>TONTJUIL!C9+TONTAOUT!C9+#REF!+TONTOCT!C9+#REF!+#REF!+#REF!+#REF!+#REF!+#REF!+#REF!+#REF!</f>
        <v>#REF!</v>
      </c>
      <c r="D8" s="8" t="e">
        <f>TONTJUIL!D9+TONTAOUT!D9+#REF!+TONTOCT!D9+#REF!+#REF!+#REF!+#REF!+#REF!+#REF!+#REF!+#REF!</f>
        <v>#REF!</v>
      </c>
      <c r="E8" s="8" t="e">
        <f>TONTJUIL!F9+TONTAOUT!F9+#REF!+TONTOCT!F9+#REF!+#REF!+#REF!+#REF!+#REF!+#REF!+#REF!+#REF!</f>
        <v>#REF!</v>
      </c>
      <c r="F8" s="8" t="e">
        <f>TONTJUIL!G9+TONTAOUT!G9+#REF!+TONTOCT!G9+#REF!+#REF!+#REF!+#REF!+#REF!+#REF!+#REF!+#REF!</f>
        <v>#REF!</v>
      </c>
      <c r="G8" s="8" t="e">
        <f>TONTJUIL!J9+TONTAOUT!J9+#REF!+TONTOCT!J9+#REF!+#REF!+#REF!+#REF!+#REF!+#REF!+#REF!+#REF!</f>
        <v>#REF!</v>
      </c>
      <c r="H8" s="8" t="e">
        <f>TONTJUIL!K9+TONTAOUT!K9+#REF!+TONTOCT!K9+#REF!+#REF!+#REF!+#REF!+#REF!+#REF!+#REF!+#REF!</f>
        <v>#REF!</v>
      </c>
      <c r="I8" s="8" t="e">
        <f>TONTJUIL!O9+TONTAOUT!O9+#REF!+TONTOCT!O9+#REF!+#REF!+#REF!+#REF!+#REF!+#REF!+#REF!+#REF!</f>
        <v>#REF!</v>
      </c>
      <c r="J8" s="8" t="e">
        <f>TONTJUIL!P9+TONTAOUT!P9+#REF!+TONTOCT!P9+#REF!+#REF!+#REF!+#REF!+#REF!+#REF!+#REF!+#REF!</f>
        <v>#REF!</v>
      </c>
      <c r="K8" s="29">
        <v>43912</v>
      </c>
      <c r="L8" s="8">
        <v>75000</v>
      </c>
      <c r="M8" s="8" t="e">
        <f t="shared" si="0"/>
        <v>#REF!</v>
      </c>
    </row>
    <row r="9" spans="1:13" x14ac:dyDescent="0.25">
      <c r="A9" s="1" t="s">
        <v>40</v>
      </c>
      <c r="B9" s="1" t="str">
        <f>VLOOKUP(A9,[1]LISTADHERENT!A$5:H$60,3,0)</f>
        <v>FOTSO THOMAS</v>
      </c>
      <c r="C9" s="8" t="e">
        <f>TONTJUIL!#REF!+TONTAOUT!#REF!+#REF!+TONTOCT!#REF!+#REF!+#REF!+#REF!+#REF!+#REF!+#REF!+#REF!+#REF!</f>
        <v>#REF!</v>
      </c>
      <c r="D9" s="8" t="e">
        <f>TONTJUIL!#REF!+TONTAOUT!#REF!+#REF!+TONTOCT!#REF!+#REF!+#REF!+#REF!+#REF!+#REF!+#REF!+#REF!+#REF!</f>
        <v>#REF!</v>
      </c>
      <c r="E9" s="8" t="e">
        <f>TONTJUIL!#REF!+TONTAOUT!#REF!+#REF!+TONTOCT!#REF!+#REF!+#REF!+#REF!+#REF!+#REF!+#REF!+#REF!+#REF!</f>
        <v>#REF!</v>
      </c>
      <c r="F9" s="8" t="e">
        <f>TONTJUIL!#REF!+TONTAOUT!#REF!+#REF!+TONTOCT!#REF!+#REF!+#REF!+#REF!+#REF!+#REF!+#REF!+#REF!+#REF!</f>
        <v>#REF!</v>
      </c>
      <c r="G9" s="8" t="e">
        <f>TONTJUIL!#REF!+TONTAOUT!#REF!+#REF!+TONTOCT!#REF!+#REF!+#REF!+#REF!+#REF!+#REF!+#REF!+#REF!+#REF!</f>
        <v>#REF!</v>
      </c>
      <c r="H9" s="8" t="e">
        <f>TONTJUIL!#REF!+TONTAOUT!#REF!+#REF!+TONTOCT!#REF!+#REF!+#REF!+#REF!+#REF!+#REF!+#REF!+#REF!+#REF!</f>
        <v>#REF!</v>
      </c>
      <c r="I9" s="8" t="e">
        <f>TONTJUIL!#REF!+TONTAOUT!#REF!+#REF!+TONTOCT!#REF!+#REF!+#REF!+#REF!+#REF!+#REF!+#REF!+#REF!+#REF!</f>
        <v>#REF!</v>
      </c>
      <c r="J9" s="8" t="e">
        <f>TONTJUIL!#REF!+TONTAOUT!#REF!+#REF!+TONTOCT!#REF!+#REF!+#REF!+#REF!+#REF!+#REF!+#REF!+#REF!+#REF!</f>
        <v>#REF!</v>
      </c>
      <c r="K9" s="29">
        <v>43358</v>
      </c>
      <c r="L9" s="8">
        <v>75000</v>
      </c>
      <c r="M9" s="8" t="e">
        <f t="shared" si="0"/>
        <v>#REF!</v>
      </c>
    </row>
    <row r="10" spans="1:13" x14ac:dyDescent="0.25">
      <c r="A10" s="1" t="s">
        <v>29</v>
      </c>
      <c r="B10" s="1" t="str">
        <f>VLOOKUP(A10,[1]LISTADHERENT!A$5:H$60,3,0)</f>
        <v>HOTCHO BENJAMIN</v>
      </c>
      <c r="C10" s="8" t="e">
        <f>TONTJUIL!C10+TONTAOUT!C10+#REF!+TONTOCT!C10+#REF!+#REF!+#REF!+#REF!+#REF!+#REF!+#REF!+#REF!</f>
        <v>#REF!</v>
      </c>
      <c r="D10" s="8" t="e">
        <f>TONTJUIL!D10+TONTAOUT!D10+#REF!+TONTOCT!D10+#REF!+#REF!+#REF!+#REF!+#REF!+#REF!+#REF!+#REF!</f>
        <v>#REF!</v>
      </c>
      <c r="E10" s="8" t="e">
        <f>TONTJUIL!F10+TONTAOUT!F10+#REF!+TONTOCT!F10+#REF!+#REF!+#REF!+#REF!+#REF!+#REF!+#REF!+#REF!</f>
        <v>#REF!</v>
      </c>
      <c r="F10" s="8" t="e">
        <f>TONTJUIL!G10+TONTAOUT!G10+#REF!+TONTOCT!G10+#REF!+#REF!+#REF!+#REF!+#REF!+#REF!+#REF!+#REF!</f>
        <v>#REF!</v>
      </c>
      <c r="G10" s="8" t="e">
        <f>TONTJUIL!J10+TONTAOUT!J10+#REF!+TONTOCT!J10+#REF!+#REF!+#REF!+#REF!+#REF!+#REF!+#REF!+#REF!</f>
        <v>#REF!</v>
      </c>
      <c r="H10" s="8" t="e">
        <f>TONTJUIL!K10+TONTAOUT!K10+#REF!+TONTOCT!K10+#REF!+#REF!+#REF!+#REF!+#REF!+#REF!+#REF!+#REF!</f>
        <v>#REF!</v>
      </c>
      <c r="I10" s="8" t="e">
        <f>TONTJUIL!O10+TONTAOUT!O10+#REF!+TONTOCT!O10+#REF!+#REF!+#REF!+#REF!+#REF!+#REF!+#REF!+#REF!</f>
        <v>#REF!</v>
      </c>
      <c r="J10" s="8" t="e">
        <f>TONTJUIL!P10+TONTAOUT!P10+#REF!+TONTOCT!P10+#REF!+#REF!+#REF!+#REF!+#REF!+#REF!+#REF!+#REF!</f>
        <v>#REF!</v>
      </c>
      <c r="K10" s="29">
        <v>43849</v>
      </c>
      <c r="L10" s="8">
        <v>75000</v>
      </c>
      <c r="M10" s="8" t="e">
        <f t="shared" si="0"/>
        <v>#REF!</v>
      </c>
    </row>
    <row r="11" spans="1:13" x14ac:dyDescent="0.25">
      <c r="A11" s="1" t="s">
        <v>41</v>
      </c>
      <c r="B11" s="1" t="str">
        <f>VLOOKUP(A11,[1]LISTADHERENT!A$5:H$60,3,0)</f>
        <v>HENGUE PAUL OMER</v>
      </c>
      <c r="C11" s="8" t="e">
        <f>TONTJUIL!C11+TONTAOUT!C11+#REF!+TONTOCT!C11+#REF!+#REF!+#REF!+#REF!+#REF!+#REF!+#REF!+#REF!</f>
        <v>#REF!</v>
      </c>
      <c r="D11" s="8" t="e">
        <f>TONTJUIL!D11+TONTAOUT!D11+#REF!+TONTOCT!D11+#REF!+#REF!+#REF!+#REF!+#REF!+#REF!+#REF!+#REF!</f>
        <v>#REF!</v>
      </c>
      <c r="E11" s="8" t="e">
        <f>TONTJUIL!F11+TONTAOUT!F11+#REF!+TONTOCT!F11+#REF!+#REF!+#REF!+#REF!+#REF!+#REF!+#REF!+#REF!</f>
        <v>#REF!</v>
      </c>
      <c r="F11" s="8" t="e">
        <f>TONTJUIL!G11+TONTAOUT!G11+#REF!+TONTOCT!G11+#REF!+#REF!+#REF!+#REF!+#REF!+#REF!+#REF!+#REF!</f>
        <v>#REF!</v>
      </c>
      <c r="G11" s="8" t="e">
        <f>TONTJUIL!J11+TONTAOUT!J11+#REF!+TONTOCT!J11+#REF!+#REF!+#REF!+#REF!+#REF!+#REF!+#REF!+#REF!</f>
        <v>#REF!</v>
      </c>
      <c r="H11" s="8" t="e">
        <f>TONTJUIL!K11+TONTAOUT!K11+#REF!+TONTOCT!K11+#REF!+#REF!+#REF!+#REF!+#REF!+#REF!+#REF!+#REF!</f>
        <v>#REF!</v>
      </c>
      <c r="I11" s="8" t="e">
        <f>TONTJUIL!O11+TONTAOUT!O11+#REF!+TONTOCT!O11+#REF!+#REF!+#REF!+#REF!+#REF!+#REF!+#REF!+#REF!</f>
        <v>#REF!</v>
      </c>
      <c r="J11" s="8" t="e">
        <f>TONTJUIL!P11+TONTAOUT!P11+#REF!+TONTOCT!P11+#REF!+#REF!+#REF!+#REF!+#REF!+#REF!+#REF!+#REF!</f>
        <v>#REF!</v>
      </c>
      <c r="K11" s="29">
        <v>43877</v>
      </c>
      <c r="L11" s="8">
        <v>75000</v>
      </c>
      <c r="M11" s="8" t="e">
        <f t="shared" si="0"/>
        <v>#REF!</v>
      </c>
    </row>
    <row r="12" spans="1:13" x14ac:dyDescent="0.25">
      <c r="A12" s="1" t="s">
        <v>42</v>
      </c>
      <c r="B12" s="1" t="str">
        <f>VLOOKUP(A12,[1]LISTADHERENT!A$5:H$60,3,0)</f>
        <v>KOUAMO VICTOR PEGUY</v>
      </c>
      <c r="C12" s="8" t="e">
        <f>TONTJUIL!#REF!+TONTAOUT!#REF!+#REF!+TONTOCT!#REF!+#REF!+#REF!+#REF!+#REF!+#REF!+#REF!+#REF!+#REF!</f>
        <v>#REF!</v>
      </c>
      <c r="D12" s="8" t="e">
        <f>TONTJUIL!#REF!+TONTAOUT!#REF!+#REF!+TONTOCT!#REF!+#REF!+#REF!+#REF!+#REF!+#REF!+#REF!+#REF!+#REF!</f>
        <v>#REF!</v>
      </c>
      <c r="E12" s="8" t="e">
        <f>TONTJUIL!#REF!+TONTAOUT!#REF!+#REF!+TONTOCT!#REF!+#REF!+#REF!+#REF!+#REF!+#REF!+#REF!+#REF!+#REF!</f>
        <v>#REF!</v>
      </c>
      <c r="F12" s="8" t="e">
        <f>TONTJUIL!#REF!+TONTAOUT!#REF!+#REF!+TONTOCT!#REF!+#REF!+#REF!+#REF!+#REF!+#REF!+#REF!+#REF!+#REF!</f>
        <v>#REF!</v>
      </c>
      <c r="G12" s="8" t="e">
        <f>TONTJUIL!#REF!+TONTAOUT!#REF!+#REF!+TONTOCT!#REF!+#REF!+#REF!+#REF!+#REF!+#REF!+#REF!+#REF!+#REF!</f>
        <v>#REF!</v>
      </c>
      <c r="H12" s="8" t="e">
        <f>TONTJUIL!#REF!+TONTAOUT!#REF!+#REF!+TONTOCT!#REF!+#REF!+#REF!+#REF!+#REF!+#REF!+#REF!+#REF!+#REF!</f>
        <v>#REF!</v>
      </c>
      <c r="I12" s="8" t="e">
        <f>TONTJUIL!#REF!+TONTAOUT!#REF!+#REF!+TONTOCT!#REF!+#REF!+#REF!+#REF!+#REF!+#REF!+#REF!+#REF!+#REF!</f>
        <v>#REF!</v>
      </c>
      <c r="J12" s="8" t="e">
        <f>TONTJUIL!#REF!+TONTAOUT!#REF!+#REF!+TONTOCT!#REF!+#REF!+#REF!+#REF!+#REF!+#REF!+#REF!+#REF!+#REF!</f>
        <v>#REF!</v>
      </c>
      <c r="K12" s="29">
        <v>43667</v>
      </c>
      <c r="L12" s="8">
        <v>75000</v>
      </c>
      <c r="M12" s="8" t="e">
        <f t="shared" si="0"/>
        <v>#REF!</v>
      </c>
    </row>
    <row r="13" spans="1:13" x14ac:dyDescent="0.25">
      <c r="A13" s="1" t="s">
        <v>42</v>
      </c>
      <c r="B13" s="1" t="str">
        <f>VLOOKUP(A13,[1]LISTADHERENT!A$5:H$60,3,0)</f>
        <v>KOUAMO VICTOR PEGUY</v>
      </c>
      <c r="C13" s="8" t="e">
        <f>TONTJUIL!#REF!+TONTAOUT!#REF!+#REF!+TONTOCT!#REF!+#REF!+#REF!+#REF!+#REF!+#REF!+#REF!+#REF!+#REF!</f>
        <v>#REF!</v>
      </c>
      <c r="D13" s="8" t="e">
        <f>TONTJUIL!#REF!+TONTAOUT!#REF!+#REF!+TONTOCT!#REF!+#REF!+#REF!+#REF!+#REF!+#REF!+#REF!+#REF!+#REF!</f>
        <v>#REF!</v>
      </c>
      <c r="E13" s="8" t="e">
        <f>TONTJUIL!#REF!+TONTAOUT!#REF!+#REF!+TONTOCT!#REF!+#REF!+#REF!+#REF!+#REF!+#REF!+#REF!+#REF!+#REF!</f>
        <v>#REF!</v>
      </c>
      <c r="F13" s="8" t="e">
        <f>TONTJUIL!#REF!+TONTAOUT!#REF!+#REF!+TONTOCT!#REF!+#REF!+#REF!+#REF!+#REF!+#REF!+#REF!+#REF!+#REF!</f>
        <v>#REF!</v>
      </c>
      <c r="G13" s="8" t="e">
        <f>TONTJUIL!#REF!+TONTAOUT!#REF!+#REF!+TONTOCT!#REF!+#REF!+#REF!+#REF!+#REF!+#REF!+#REF!+#REF!+#REF!</f>
        <v>#REF!</v>
      </c>
      <c r="H13" s="8" t="e">
        <f>TONTJUIL!#REF!+TONTAOUT!#REF!+#REF!+TONTOCT!#REF!+#REF!+#REF!+#REF!+#REF!+#REF!+#REF!+#REF!+#REF!</f>
        <v>#REF!</v>
      </c>
      <c r="I13" s="8" t="e">
        <f>TONTJUIL!#REF!+TONTAOUT!#REF!+#REF!+TONTOCT!#REF!+#REF!+#REF!+#REF!+#REF!+#REF!+#REF!+#REF!+#REF!</f>
        <v>#REF!</v>
      </c>
      <c r="J13" s="8" t="e">
        <f>TONTJUIL!#REF!+TONTAOUT!#REF!+#REF!+TONTOCT!#REF!+#REF!+#REF!+#REF!+#REF!+#REF!+#REF!+#REF!+#REF!</f>
        <v>#REF!</v>
      </c>
      <c r="L13" s="8">
        <v>75000</v>
      </c>
      <c r="M13" s="8">
        <v>0</v>
      </c>
    </row>
    <row r="14" spans="1:13" x14ac:dyDescent="0.25">
      <c r="A14" s="1" t="s">
        <v>10</v>
      </c>
      <c r="B14" s="1" t="str">
        <f>VLOOKUP(A14,[1]LISTADHERENT!A$5:H$60,3,0)</f>
        <v>KOUATCHO MESSACK</v>
      </c>
      <c r="C14" s="8" t="e">
        <f>TONTJUIL!C12+TONTAOUT!C12+#REF!+TONTOCT!C12+#REF!+#REF!+#REF!+#REF!+#REF!+#REF!+#REF!+#REF!</f>
        <v>#REF!</v>
      </c>
      <c r="D14" s="8" t="e">
        <f>TONTJUIL!D12+TONTAOUT!D12+#REF!+TONTOCT!D12+#REF!+#REF!+#REF!+#REF!+#REF!+#REF!+#REF!+#REF!</f>
        <v>#REF!</v>
      </c>
      <c r="E14" s="8" t="e">
        <f>TONTJUIL!F12+TONTAOUT!F12+#REF!+TONTOCT!F12+#REF!+#REF!+#REF!+#REF!+#REF!+#REF!+#REF!+#REF!</f>
        <v>#REF!</v>
      </c>
      <c r="F14" s="8" t="e">
        <f>TONTJUIL!G12+TONTAOUT!G12+#REF!+TONTOCT!G12+#REF!+#REF!+#REF!+#REF!+#REF!+#REF!+#REF!+#REF!</f>
        <v>#REF!</v>
      </c>
      <c r="G14" s="8" t="e">
        <f>TONTJUIL!J12+TONTAOUT!J12+#REF!+TONTOCT!J12+#REF!+#REF!+#REF!+#REF!+#REF!+#REF!+#REF!+#REF!</f>
        <v>#REF!</v>
      </c>
      <c r="H14" s="8" t="e">
        <f>TONTJUIL!K12+TONTAOUT!K12+#REF!+TONTOCT!K12+#REF!+#REF!+#REF!+#REF!+#REF!+#REF!+#REF!+#REF!</f>
        <v>#REF!</v>
      </c>
      <c r="I14" s="8" t="e">
        <f>TONTJUIL!O12+TONTAOUT!O12+#REF!+TONTOCT!O12+#REF!+#REF!+#REF!+#REF!+#REF!+#REF!+#REF!+#REF!</f>
        <v>#REF!</v>
      </c>
      <c r="J14" s="8" t="e">
        <f>TONTJUIL!P12+TONTAOUT!P12+#REF!+TONTOCT!P12+#REF!+#REF!+#REF!+#REF!+#REF!+#REF!+#REF!+#REF!</f>
        <v>#REF!</v>
      </c>
      <c r="K14" s="29">
        <v>43358</v>
      </c>
      <c r="L14" s="8">
        <v>75000</v>
      </c>
      <c r="M14" s="8" t="e">
        <f t="shared" si="0"/>
        <v>#REF!</v>
      </c>
    </row>
    <row r="15" spans="1:13" x14ac:dyDescent="0.25">
      <c r="A15" s="1" t="s">
        <v>11</v>
      </c>
      <c r="B15" s="1" t="str">
        <f>VLOOKUP(A15,[1]LISTADHERENT!A$5:H$60,3,0)</f>
        <v>NANKAM APPOLINAIRE</v>
      </c>
      <c r="C15" s="8" t="e">
        <f>TONTJUIL!C13+TONTAOUT!C13+#REF!+TONTOCT!C13+#REF!+#REF!+#REF!+#REF!+#REF!+#REF!+#REF!+#REF!</f>
        <v>#REF!</v>
      </c>
      <c r="D15" s="8" t="e">
        <f>TONTJUIL!D13+TONTAOUT!D13+#REF!+TONTOCT!D13+#REF!+#REF!+#REF!+#REF!+#REF!+#REF!+#REF!+#REF!</f>
        <v>#REF!</v>
      </c>
      <c r="E15" s="8" t="e">
        <f>TONTJUIL!F13+TONTAOUT!F13+#REF!+TONTOCT!F13+#REF!+#REF!+#REF!+#REF!+#REF!+#REF!+#REF!+#REF!</f>
        <v>#REF!</v>
      </c>
      <c r="F15" s="8" t="e">
        <f>TONTJUIL!G13+TONTAOUT!G13+#REF!+TONTOCT!G13+#REF!+#REF!+#REF!+#REF!+#REF!+#REF!+#REF!+#REF!</f>
        <v>#REF!</v>
      </c>
      <c r="G15" s="8" t="e">
        <f>TONTJUIL!J13+TONTAOUT!J13+#REF!+TONTOCT!J13+#REF!+#REF!+#REF!+#REF!+#REF!+#REF!+#REF!+#REF!</f>
        <v>#REF!</v>
      </c>
      <c r="H15" s="8" t="e">
        <f>TONTJUIL!K13+TONTAOUT!K13+#REF!+TONTOCT!K13+#REF!+#REF!+#REF!+#REF!+#REF!+#REF!+#REF!+#REF!</f>
        <v>#REF!</v>
      </c>
      <c r="I15" s="8" t="e">
        <f>TONTJUIL!O13+TONTAOUT!O13+#REF!+TONTOCT!O13+#REF!+#REF!+#REF!+#REF!+#REF!+#REF!+#REF!+#REF!</f>
        <v>#REF!</v>
      </c>
      <c r="J15" s="8" t="e">
        <f>TONTJUIL!P13+TONTAOUT!P13+#REF!+TONTOCT!P13+#REF!+#REF!+#REF!+#REF!+#REF!+#REF!+#REF!+#REF!</f>
        <v>#REF!</v>
      </c>
      <c r="K15" s="29">
        <v>44003</v>
      </c>
      <c r="L15" s="8">
        <v>75000</v>
      </c>
      <c r="M15" s="8" t="e">
        <f t="shared" si="0"/>
        <v>#REF!</v>
      </c>
    </row>
    <row r="16" spans="1:13" x14ac:dyDescent="0.25">
      <c r="A16" s="1" t="s">
        <v>32</v>
      </c>
      <c r="B16" s="1" t="str">
        <f>VLOOKUP(A16,[1]LISTADHERENT!A$5:H$60,3,0)</f>
        <v>MBOGNING TUGMA GUY</v>
      </c>
      <c r="C16" s="8" t="e">
        <f>TONTJUIL!C14+TONTAOUT!C14+#REF!+TONTOCT!C14+#REF!+#REF!+#REF!+#REF!+#REF!+#REF!+#REF!+#REF!</f>
        <v>#REF!</v>
      </c>
      <c r="D16" s="8" t="e">
        <f>TONTJUIL!D14+TONTAOUT!D14+#REF!+TONTOCT!D14+#REF!+#REF!+#REF!+#REF!+#REF!+#REF!+#REF!+#REF!</f>
        <v>#REF!</v>
      </c>
      <c r="E16" s="8" t="e">
        <f>TONTJUIL!F14+TONTAOUT!F14+#REF!+TONTOCT!F14+#REF!+#REF!+#REF!+#REF!+#REF!+#REF!+#REF!+#REF!</f>
        <v>#REF!</v>
      </c>
      <c r="F16" s="8" t="e">
        <f>TONTJUIL!G14+TONTAOUT!G14+#REF!+TONTOCT!G14+#REF!+#REF!+#REF!+#REF!+#REF!+#REF!+#REF!+#REF!</f>
        <v>#REF!</v>
      </c>
      <c r="G16" s="8" t="e">
        <f>TONTJUIL!J14+TONTAOUT!J14+#REF!+TONTOCT!J14+#REF!+#REF!+#REF!+#REF!+#REF!+#REF!+#REF!+#REF!</f>
        <v>#REF!</v>
      </c>
      <c r="H16" s="8" t="e">
        <f>TONTJUIL!K14+TONTAOUT!K14+#REF!+TONTOCT!K14+#REF!+#REF!+#REF!+#REF!+#REF!+#REF!+#REF!+#REF!</f>
        <v>#REF!</v>
      </c>
      <c r="I16" s="8" t="e">
        <f>TONTJUIL!O14+TONTAOUT!O14+#REF!+TONTOCT!O14+#REF!+#REF!+#REF!+#REF!+#REF!+#REF!+#REF!+#REF!</f>
        <v>#REF!</v>
      </c>
      <c r="J16" s="8" t="e">
        <f>TONTJUIL!P14+TONTAOUT!P14+#REF!+TONTOCT!P14+#REF!+#REF!+#REF!+#REF!+#REF!+#REF!+#REF!+#REF!</f>
        <v>#REF!</v>
      </c>
      <c r="K16" s="29">
        <v>43695</v>
      </c>
      <c r="L16" s="8">
        <v>75000</v>
      </c>
      <c r="M16" s="8" t="e">
        <f t="shared" si="0"/>
        <v>#REF!</v>
      </c>
    </row>
    <row r="17" spans="1:16" x14ac:dyDescent="0.25">
      <c r="A17" s="1" t="s">
        <v>32</v>
      </c>
      <c r="B17" s="1" t="str">
        <f>VLOOKUP(A17,[1]LISTADHERENT!A$5:H$60,3,0)</f>
        <v>MBOGNING TUGMA GUY</v>
      </c>
      <c r="C17" s="8" t="e">
        <f>TONTJUIL!C15+TONTAOUT!C15+#REF!+TONTOCT!C15+#REF!+#REF!+#REF!+#REF!+#REF!+#REF!+#REF!+#REF!</f>
        <v>#REF!</v>
      </c>
      <c r="D17" s="8" t="e">
        <f>TONTJUIL!D15+TONTAOUT!D15+#REF!+TONTOCT!D15+#REF!+#REF!+#REF!+#REF!+#REF!+#REF!+#REF!+#REF!</f>
        <v>#REF!</v>
      </c>
      <c r="E17" s="8" t="e">
        <f>TONTJUIL!F15+TONTAOUT!F15+#REF!+TONTOCT!F15+#REF!+#REF!+#REF!+#REF!+#REF!+#REF!+#REF!+#REF!</f>
        <v>#REF!</v>
      </c>
      <c r="F17" s="8" t="e">
        <f>TONTJUIL!G15+TONTAOUT!G15+#REF!+TONTOCT!G15+#REF!+#REF!+#REF!+#REF!+#REF!+#REF!+#REF!+#REF!</f>
        <v>#REF!</v>
      </c>
      <c r="G17" s="8" t="e">
        <f>TONTJUIL!J15+TONTAOUT!J15+#REF!+TONTOCT!J15+#REF!+#REF!+#REF!+#REF!+#REF!+#REF!+#REF!+#REF!</f>
        <v>#REF!</v>
      </c>
      <c r="H17" s="8" t="e">
        <f>TONTJUIL!K15+TONTAOUT!K15+#REF!+TONTOCT!K15+#REF!+#REF!+#REF!+#REF!+#REF!+#REF!+#REF!+#REF!</f>
        <v>#REF!</v>
      </c>
      <c r="I17" s="8" t="e">
        <f>TONTJUIL!O15+TONTAOUT!O15+#REF!+TONTOCT!O15+#REF!+#REF!+#REF!+#REF!+#REF!+#REF!+#REF!+#REF!</f>
        <v>#REF!</v>
      </c>
      <c r="J17" s="8" t="e">
        <f>TONTJUIL!P15+TONTAOUT!P15+#REF!+TONTOCT!P15+#REF!+#REF!+#REF!+#REF!+#REF!+#REF!+#REF!+#REF!</f>
        <v>#REF!</v>
      </c>
      <c r="K17" s="29">
        <v>43814</v>
      </c>
      <c r="L17" s="8">
        <v>75000</v>
      </c>
      <c r="M17" s="8" t="e">
        <f t="shared" si="0"/>
        <v>#REF!</v>
      </c>
    </row>
    <row r="18" spans="1:16" x14ac:dyDescent="0.25">
      <c r="A18" s="1" t="s">
        <v>32</v>
      </c>
      <c r="B18" s="1" t="str">
        <f>VLOOKUP(A18,[1]LISTADHERENT!A$5:H$60,3,0)</f>
        <v>MBOGNING TUGMA GUY</v>
      </c>
      <c r="C18" s="8" t="e">
        <f>TONTJUIL!C16+TONTAOUT!C16+#REF!+TONTOCT!C16+#REF!+#REF!+#REF!+#REF!+#REF!+#REF!+#REF!+#REF!</f>
        <v>#REF!</v>
      </c>
      <c r="D18" s="8" t="e">
        <f>TONTJUIL!D16+TONTAOUT!D16+#REF!+TONTOCT!D16+#REF!+#REF!+#REF!+#REF!+#REF!+#REF!+#REF!+#REF!</f>
        <v>#REF!</v>
      </c>
      <c r="E18" s="8" t="e">
        <f>TONTJUIL!F16+TONTAOUT!F16+#REF!+TONTOCT!F16+#REF!+#REF!+#REF!+#REF!+#REF!+#REF!+#REF!+#REF!</f>
        <v>#REF!</v>
      </c>
      <c r="F18" s="8" t="e">
        <f>TONTJUIL!G16+TONTAOUT!G16+#REF!+TONTOCT!G16+#REF!+#REF!+#REF!+#REF!+#REF!+#REF!+#REF!+#REF!</f>
        <v>#REF!</v>
      </c>
      <c r="G18" s="8" t="e">
        <f>TONTJUIL!J16+TONTAOUT!J16+#REF!+TONTOCT!J16+#REF!+#REF!+#REF!+#REF!+#REF!+#REF!+#REF!+#REF!</f>
        <v>#REF!</v>
      </c>
      <c r="H18" s="8" t="e">
        <f>TONTJUIL!K16+TONTAOUT!K16+#REF!+TONTOCT!K16+#REF!+#REF!+#REF!+#REF!+#REF!+#REF!+#REF!+#REF!</f>
        <v>#REF!</v>
      </c>
      <c r="I18" s="8" t="e">
        <f>TONTJUIL!O16+TONTAOUT!O16+#REF!+TONTOCT!O16+#REF!+#REF!+#REF!+#REF!+#REF!+#REF!+#REF!+#REF!</f>
        <v>#REF!</v>
      </c>
      <c r="J18" s="8" t="e">
        <f>TONTJUIL!P16+TONTAOUT!P16+#REF!+TONTOCT!P16+#REF!+#REF!+#REF!+#REF!+#REF!+#REF!+#REF!+#REF!</f>
        <v>#REF!</v>
      </c>
      <c r="K18" s="29">
        <v>43940</v>
      </c>
      <c r="L18" s="8">
        <v>75000</v>
      </c>
      <c r="M18" s="8" t="e">
        <f t="shared" si="0"/>
        <v>#REF!</v>
      </c>
    </row>
    <row r="19" spans="1:16" s="13" customFormat="1" x14ac:dyDescent="0.25">
      <c r="A19" s="1" t="s">
        <v>31</v>
      </c>
      <c r="B19" s="1" t="str">
        <f>VLOOKUP(A19,[1]LISTADHERENT!A$5:H$60,3,0)</f>
        <v>NGUIEMEGNI MATHIEU BLAISE</v>
      </c>
      <c r="C19" s="8" t="e">
        <f>TONTJUIL!C17+TONTAOUT!C17+#REF!+TONTOCT!C17+#REF!+#REF!+#REF!+#REF!+#REF!+#REF!+#REF!+#REF!</f>
        <v>#REF!</v>
      </c>
      <c r="D19" s="8" t="e">
        <f>TONTJUIL!D17+TONTAOUT!D17+#REF!+TONTOCT!D17+#REF!+#REF!+#REF!+#REF!+#REF!+#REF!+#REF!+#REF!</f>
        <v>#REF!</v>
      </c>
      <c r="E19" s="8" t="e">
        <f>TONTJUIL!F17+TONTAOUT!F17+#REF!+TONTOCT!F17+#REF!+#REF!+#REF!+#REF!+#REF!+#REF!+#REF!+#REF!</f>
        <v>#REF!</v>
      </c>
      <c r="F19" s="8" t="e">
        <f>TONTJUIL!G17+TONTAOUT!G17+#REF!+TONTOCT!G17+#REF!+#REF!+#REF!+#REF!+#REF!+#REF!+#REF!+#REF!</f>
        <v>#REF!</v>
      </c>
      <c r="G19" s="8" t="e">
        <f>TONTJUIL!J17+TONTAOUT!J17+#REF!+TONTOCT!J17+#REF!+#REF!+#REF!+#REF!+#REF!+#REF!+#REF!+#REF!</f>
        <v>#REF!</v>
      </c>
      <c r="H19" s="8" t="e">
        <f>TONTJUIL!K17+TONTAOUT!K17+#REF!+TONTOCT!K17+#REF!+#REF!+#REF!+#REF!+#REF!+#REF!+#REF!+#REF!</f>
        <v>#REF!</v>
      </c>
      <c r="I19" s="8" t="e">
        <f>TONTJUIL!O17+TONTAOUT!O17+#REF!+TONTOCT!O17+#REF!+#REF!+#REF!+#REF!+#REF!+#REF!+#REF!+#REF!</f>
        <v>#REF!</v>
      </c>
      <c r="J19" s="8" t="e">
        <f>TONTJUIL!P17+TONTAOUT!P17+#REF!+TONTOCT!P17+#REF!+#REF!+#REF!+#REF!+#REF!+#REF!+#REF!+#REF!</f>
        <v>#REF!</v>
      </c>
      <c r="K19" s="28">
        <v>43758</v>
      </c>
      <c r="L19" s="8">
        <v>75000</v>
      </c>
      <c r="M19" s="8" t="e">
        <f t="shared" si="0"/>
        <v>#REF!</v>
      </c>
    </row>
    <row r="20" spans="1:16" x14ac:dyDescent="0.25">
      <c r="A20" s="1" t="s">
        <v>31</v>
      </c>
      <c r="B20" s="1" t="str">
        <f>VLOOKUP(A20,[1]LISTADHERENT!A$5:H$60,3,0)</f>
        <v>NGUIEMEGNI MATHIEU BLAISE</v>
      </c>
      <c r="C20" s="8" t="e">
        <f>TONTJUIL!C18+TONTAOUT!C18+#REF!+TONTOCT!C18+#REF!+#REF!+#REF!+#REF!+#REF!+#REF!+#REF!+#REF!</f>
        <v>#REF!</v>
      </c>
      <c r="D20" s="8" t="e">
        <f>TONTJUIL!D18+TONTAOUT!D18+#REF!+TONTOCT!D18+#REF!+#REF!+#REF!+#REF!+#REF!+#REF!+#REF!+#REF!</f>
        <v>#REF!</v>
      </c>
      <c r="E20" s="8" t="e">
        <f>TONTJUIL!F18+TONTAOUT!F18+#REF!+TONTOCT!F18+#REF!+#REF!+#REF!+#REF!+#REF!+#REF!+#REF!+#REF!</f>
        <v>#REF!</v>
      </c>
      <c r="F20" s="8" t="e">
        <f>TONTJUIL!G18+TONTAOUT!G18+#REF!+TONTOCT!G18+#REF!+#REF!+#REF!+#REF!+#REF!+#REF!+#REF!+#REF!</f>
        <v>#REF!</v>
      </c>
      <c r="G20" s="8" t="e">
        <f>TONTJUIL!J18+TONTAOUT!J18+#REF!+TONTOCT!J18+#REF!+#REF!+#REF!+#REF!+#REF!+#REF!+#REF!+#REF!</f>
        <v>#REF!</v>
      </c>
      <c r="H20" s="8" t="e">
        <f>TONTJUIL!K18+TONTAOUT!K18+#REF!+TONTOCT!K18+#REF!+#REF!+#REF!+#REF!+#REF!+#REF!+#REF!+#REF!</f>
        <v>#REF!</v>
      </c>
      <c r="I20" s="8" t="e">
        <f>TONTJUIL!O18+TONTAOUT!O18+#REF!+TONTOCT!O18+#REF!+#REF!+#REF!+#REF!+#REF!+#REF!+#REF!+#REF!</f>
        <v>#REF!</v>
      </c>
      <c r="J20" s="8" t="e">
        <f>TONTJUIL!P18+TONTAOUT!P18+#REF!+TONTOCT!P18+#REF!+#REF!+#REF!+#REF!+#REF!+#REF!+#REF!+#REF!</f>
        <v>#REF!</v>
      </c>
      <c r="K20" s="29">
        <v>43849</v>
      </c>
      <c r="L20" s="8">
        <v>75000</v>
      </c>
      <c r="M20" s="8" t="e">
        <f t="shared" si="0"/>
        <v>#REF!</v>
      </c>
    </row>
    <row r="21" spans="1:16" x14ac:dyDescent="0.25">
      <c r="A21" s="16" t="s">
        <v>12</v>
      </c>
      <c r="B21" s="1" t="str">
        <f>VLOOKUP(A21,[1]LISTADHERENT!A$5:H$60,3,0)</f>
        <v>NKAMGANG JUSTIN DEJOLIE</v>
      </c>
      <c r="C21" s="8" t="e">
        <f>TONTJUIL!C19+TONTAOUT!C19+#REF!+TONTOCT!C19+#REF!+#REF!+#REF!+#REF!+#REF!+#REF!+#REF!+#REF!</f>
        <v>#REF!</v>
      </c>
      <c r="D21" s="8" t="e">
        <f>TONTJUIL!D19+TONTAOUT!D19+#REF!+TONTOCT!D19+#REF!+#REF!+#REF!+#REF!+#REF!+#REF!+#REF!+#REF!</f>
        <v>#REF!</v>
      </c>
      <c r="E21" s="8" t="e">
        <f>TONTJUIL!F19+TONTAOUT!F19+#REF!+TONTOCT!F19+#REF!+#REF!+#REF!+#REF!+#REF!+#REF!+#REF!+#REF!</f>
        <v>#REF!</v>
      </c>
      <c r="F21" s="8" t="e">
        <f>TONTJUIL!G19+TONTAOUT!G19+#REF!+TONTOCT!G19+#REF!+#REF!+#REF!+#REF!+#REF!+#REF!+#REF!+#REF!</f>
        <v>#REF!</v>
      </c>
      <c r="G21" s="8" t="e">
        <f>TONTJUIL!J19+TONTAOUT!J19+#REF!+TONTOCT!J19+#REF!+#REF!+#REF!+#REF!+#REF!+#REF!+#REF!+#REF!</f>
        <v>#REF!</v>
      </c>
      <c r="H21" s="8" t="e">
        <f>TONTJUIL!K19+TONTAOUT!K19+#REF!+TONTOCT!K19+#REF!+#REF!+#REF!+#REF!+#REF!+#REF!+#REF!+#REF!</f>
        <v>#REF!</v>
      </c>
      <c r="I21" s="8" t="e">
        <f>TONTJUIL!O19+TONTAOUT!O19+#REF!+TONTOCT!O19+#REF!+#REF!+#REF!+#REF!+#REF!+#REF!+#REF!+#REF!</f>
        <v>#REF!</v>
      </c>
      <c r="J21" s="8" t="e">
        <f>TONTJUIL!P19+TONTAOUT!P19+#REF!+TONTOCT!P19+#REF!+#REF!+#REF!+#REF!+#REF!+#REF!+#REF!+#REF!</f>
        <v>#REF!</v>
      </c>
      <c r="K21" s="29">
        <v>43695</v>
      </c>
      <c r="L21" s="8">
        <v>75000</v>
      </c>
      <c r="M21" s="8" t="e">
        <f t="shared" si="0"/>
        <v>#REF!</v>
      </c>
    </row>
    <row r="22" spans="1:16" x14ac:dyDescent="0.25">
      <c r="A22" s="1" t="s">
        <v>43</v>
      </c>
      <c r="B22" s="1" t="str">
        <f>VLOOKUP(A22,[1]LISTADHERENT!A$5:H$60,3,0)</f>
        <v>PATEGO NJOSSU GUSTAVE</v>
      </c>
      <c r="C22" s="8" t="e">
        <f>TONTJUIL!C20+TONTAOUT!C20+#REF!+TONTOCT!C20+#REF!+#REF!+#REF!+#REF!+#REF!+#REF!+#REF!+#REF!</f>
        <v>#REF!</v>
      </c>
      <c r="D22" s="8" t="e">
        <f>TONTJUIL!D20+TONTAOUT!D20+#REF!+TONTOCT!D20+#REF!+#REF!+#REF!+#REF!+#REF!+#REF!+#REF!+#REF!</f>
        <v>#REF!</v>
      </c>
      <c r="E22" s="8" t="e">
        <f>TONTJUIL!F20+TONTAOUT!F20+#REF!+TONTOCT!F20+#REF!+#REF!+#REF!+#REF!+#REF!+#REF!+#REF!+#REF!</f>
        <v>#REF!</v>
      </c>
      <c r="F22" s="8" t="e">
        <f>TONTJUIL!G20+TONTAOUT!G20+#REF!+TONTOCT!G20+#REF!+#REF!+#REF!+#REF!+#REF!+#REF!+#REF!+#REF!</f>
        <v>#REF!</v>
      </c>
      <c r="G22" s="8" t="e">
        <f>TONTJUIL!J20+TONTAOUT!J20+#REF!+TONTOCT!J20+#REF!+#REF!+#REF!+#REF!+#REF!+#REF!+#REF!+#REF!</f>
        <v>#REF!</v>
      </c>
      <c r="H22" s="8" t="e">
        <f>TONTJUIL!K20+TONTAOUT!K20+#REF!+TONTOCT!K20+#REF!+#REF!+#REF!+#REF!+#REF!+#REF!+#REF!+#REF!</f>
        <v>#REF!</v>
      </c>
      <c r="I22" s="8" t="e">
        <f>TONTJUIL!O20+TONTAOUT!O20+#REF!+TONTOCT!O20+#REF!+#REF!+#REF!+#REF!+#REF!+#REF!+#REF!+#REF!</f>
        <v>#REF!</v>
      </c>
      <c r="J22" s="8" t="e">
        <f>TONTJUIL!P20+TONTAOUT!P20+#REF!+TONTOCT!P20+#REF!+#REF!+#REF!+#REF!+#REF!+#REF!+#REF!+#REF!</f>
        <v>#REF!</v>
      </c>
      <c r="K22" s="29">
        <v>43940</v>
      </c>
      <c r="L22" s="8">
        <v>75000</v>
      </c>
      <c r="M22" s="8" t="e">
        <f t="shared" si="0"/>
        <v>#REF!</v>
      </c>
    </row>
    <row r="23" spans="1:16" x14ac:dyDescent="0.25">
      <c r="A23" s="16" t="s">
        <v>44</v>
      </c>
      <c r="B23" s="1" t="str">
        <f>VLOOKUP(A23,[1]LISTADHERENT!A$5:H$60,3,0)</f>
        <v>SIMO PIERRE</v>
      </c>
      <c r="C23" s="8" t="e">
        <f>TONTJUIL!C21+TONTAOUT!C21+#REF!+TONTOCT!C21+#REF!+#REF!+#REF!+#REF!+#REF!+#REF!+#REF!+#REF!</f>
        <v>#REF!</v>
      </c>
      <c r="D23" s="8" t="e">
        <f>TONTJUIL!D21+TONTAOUT!D21+#REF!+TONTOCT!D21+#REF!+#REF!+#REF!+#REF!+#REF!+#REF!+#REF!+#REF!</f>
        <v>#REF!</v>
      </c>
      <c r="E23" s="8" t="e">
        <f>TONTJUIL!F21+TONTAOUT!F21+#REF!+TONTOCT!F21+#REF!+#REF!+#REF!+#REF!+#REF!+#REF!+#REF!+#REF!</f>
        <v>#REF!</v>
      </c>
      <c r="F23" s="8" t="e">
        <f>TONTJUIL!G21+TONTAOUT!G21+#REF!+TONTOCT!G21+#REF!+#REF!+#REF!+#REF!+#REF!+#REF!+#REF!+#REF!</f>
        <v>#REF!</v>
      </c>
      <c r="G23" s="8" t="e">
        <f>TONTJUIL!J21+TONTAOUT!J21+#REF!+TONTOCT!J21+#REF!+#REF!+#REF!+#REF!+#REF!+#REF!+#REF!+#REF!</f>
        <v>#REF!</v>
      </c>
      <c r="H23" s="8" t="e">
        <f>TONTJUIL!K21+TONTAOUT!K21+#REF!+TONTOCT!K21+#REF!+#REF!+#REF!+#REF!+#REF!+#REF!+#REF!+#REF!</f>
        <v>#REF!</v>
      </c>
      <c r="I23" s="8" t="e">
        <f>TONTJUIL!O21+TONTAOUT!O21+#REF!+TONTOCT!O21+#REF!+#REF!+#REF!+#REF!+#REF!+#REF!+#REF!+#REF!</f>
        <v>#REF!</v>
      </c>
      <c r="J23" s="8" t="e">
        <f>TONTJUIL!P21+TONTAOUT!P21+#REF!+TONTOCT!P21+#REF!+#REF!+#REF!+#REF!+#REF!+#REF!+#REF!+#REF!</f>
        <v>#REF!</v>
      </c>
      <c r="K23" s="29">
        <v>43793</v>
      </c>
      <c r="L23" s="8">
        <v>75000</v>
      </c>
      <c r="M23" s="8" t="e">
        <f t="shared" si="0"/>
        <v>#REF!</v>
      </c>
    </row>
    <row r="24" spans="1:16" x14ac:dyDescent="0.25">
      <c r="A24" s="1" t="s">
        <v>30</v>
      </c>
      <c r="B24" s="1" t="str">
        <f>VLOOKUP(A24,[1]LISTADHERENT!A$5:H$60,3,0)</f>
        <v>YOUMBI EMMANUEL</v>
      </c>
      <c r="C24" s="8" t="e">
        <f>TONTJUIL!C23+TONTAOUT!C23+#REF!+TONTOCT!C23+#REF!+#REF!+#REF!+#REF!+#REF!+#REF!+#REF!+#REF!</f>
        <v>#REF!</v>
      </c>
      <c r="D24" s="8" t="e">
        <f>TONTJUIL!D23+TONTAOUT!D23+#REF!+TONTOCT!D23+#REF!+#REF!+#REF!+#REF!+#REF!+#REF!+#REF!+#REF!</f>
        <v>#REF!</v>
      </c>
      <c r="E24" s="8" t="e">
        <f>TONTJUIL!F23+TONTAOUT!F23+#REF!+TONTOCT!F23+#REF!+#REF!+#REF!+#REF!+#REF!+#REF!+#REF!+#REF!</f>
        <v>#REF!</v>
      </c>
      <c r="F24" s="8" t="e">
        <f>TONTJUIL!G23+TONTAOUT!G23+#REF!+TONTOCT!G23+#REF!+#REF!+#REF!+#REF!+#REF!+#REF!+#REF!+#REF!</f>
        <v>#REF!</v>
      </c>
      <c r="G24" s="8" t="e">
        <f>TONTJUIL!J23+TONTAOUT!J23+#REF!+TONTOCT!J23+#REF!+#REF!+#REF!+#REF!+#REF!+#REF!+#REF!+#REF!</f>
        <v>#REF!</v>
      </c>
      <c r="H24" s="8" t="e">
        <f>TONTJUIL!K23+TONTAOUT!K23+#REF!+TONTOCT!K23+#REF!+#REF!+#REF!+#REF!+#REF!+#REF!+#REF!+#REF!</f>
        <v>#REF!</v>
      </c>
      <c r="I24" s="8" t="e">
        <f>TONTJUIL!O23+TONTAOUT!O23+#REF!+TONTOCT!O23+#REF!+#REF!+#REF!+#REF!+#REF!+#REF!+#REF!+#REF!</f>
        <v>#REF!</v>
      </c>
      <c r="J24" s="8" t="e">
        <f>TONTJUIL!P23+TONTAOUT!P23+#REF!+TONTOCT!P23+#REF!+#REF!+#REF!+#REF!+#REF!+#REF!+#REF!+#REF!</f>
        <v>#REF!</v>
      </c>
      <c r="K24" s="29">
        <v>43877</v>
      </c>
      <c r="L24" s="8">
        <v>75000</v>
      </c>
      <c r="M24" s="8" t="e">
        <f t="shared" si="0"/>
        <v>#REF!</v>
      </c>
    </row>
    <row r="25" spans="1:16" x14ac:dyDescent="0.25">
      <c r="A25" s="1" t="s">
        <v>30</v>
      </c>
      <c r="B25" s="1" t="str">
        <f>VLOOKUP(A25,[1]LISTADHERENT!A$5:H$60,3,0)</f>
        <v>YOUMBI EMMANUEL</v>
      </c>
      <c r="C25" s="8" t="e">
        <f>TONTJUIL!C24+TONTAOUT!C24+#REF!+TONTOCT!C24+#REF!+#REF!+#REF!+#REF!+#REF!+#REF!+#REF!+#REF!</f>
        <v>#REF!</v>
      </c>
      <c r="D25" s="8" t="e">
        <f>TONTJUIL!D24+TONTAOUT!D24+#REF!+TONTOCT!D24+#REF!+#REF!+#REF!+#REF!+#REF!+#REF!+#REF!+#REF!</f>
        <v>#REF!</v>
      </c>
      <c r="E25" s="8" t="e">
        <f>TONTJUIL!F24+TONTAOUT!F24+#REF!+TONTOCT!F24+#REF!+#REF!+#REF!+#REF!+#REF!+#REF!+#REF!+#REF!</f>
        <v>#REF!</v>
      </c>
      <c r="F25" s="8" t="e">
        <f>TONTJUIL!G24+TONTAOUT!G24+#REF!+TONTOCT!G24+#REF!+#REF!+#REF!+#REF!+#REF!+#REF!+#REF!+#REF!</f>
        <v>#REF!</v>
      </c>
      <c r="G25" s="8" t="e">
        <f>TONTJUIL!J24+TONTAOUT!J24+#REF!+TONTOCT!J24+#REF!+#REF!+#REF!+#REF!+#REF!+#REF!+#REF!+#REF!</f>
        <v>#REF!</v>
      </c>
      <c r="H25" s="8" t="e">
        <f>TONTJUIL!K24+TONTAOUT!K24+#REF!+TONTOCT!K24+#REF!+#REF!+#REF!+#REF!+#REF!+#REF!+#REF!+#REF!</f>
        <v>#REF!</v>
      </c>
      <c r="I25" s="8" t="e">
        <f>TONTJUIL!O24+TONTAOUT!O24+#REF!+TONTOCT!O24+#REF!+#REF!+#REF!+#REF!+#REF!+#REF!+#REF!+#REF!</f>
        <v>#REF!</v>
      </c>
      <c r="J25" s="8" t="e">
        <f>TONTJUIL!P24+TONTAOUT!P24+#REF!+TONTOCT!P24+#REF!+#REF!+#REF!+#REF!+#REF!+#REF!+#REF!+#REF!</f>
        <v>#REF!</v>
      </c>
      <c r="K25" s="29">
        <v>44003</v>
      </c>
      <c r="L25" s="8">
        <v>75000</v>
      </c>
      <c r="M25" s="8" t="e">
        <f t="shared" si="0"/>
        <v>#REF!</v>
      </c>
      <c r="O25">
        <v>1000000</v>
      </c>
    </row>
    <row r="26" spans="1:16" ht="18" x14ac:dyDescent="0.25">
      <c r="B26" s="9"/>
      <c r="C26" s="9"/>
      <c r="D26" s="9"/>
      <c r="E26" s="9"/>
      <c r="F26" s="9"/>
      <c r="M26" s="2" t="e">
        <f>SUM(M6:M25)</f>
        <v>#REF!</v>
      </c>
      <c r="O26">
        <f>75000*13</f>
        <v>975000</v>
      </c>
      <c r="P26">
        <f>(O25-O26)*12</f>
        <v>300000</v>
      </c>
    </row>
    <row r="27" spans="1:16" ht="18" x14ac:dyDescent="0.25">
      <c r="A27" s="20" t="s">
        <v>13</v>
      </c>
      <c r="B27" s="20"/>
      <c r="C27" s="21" t="e">
        <f>SUM(C6:C25)</f>
        <v>#REF!</v>
      </c>
      <c r="D27" s="21" t="e">
        <f>SUM(D6:D25)</f>
        <v>#REF!</v>
      </c>
      <c r="E27" s="21" t="e">
        <f t="shared" ref="E27:J27" si="1">SUM(E6:E25)</f>
        <v>#REF!</v>
      </c>
      <c r="F27" s="21" t="e">
        <f t="shared" si="1"/>
        <v>#REF!</v>
      </c>
      <c r="G27" s="21" t="e">
        <f t="shared" si="1"/>
        <v>#REF!</v>
      </c>
      <c r="H27" s="21" t="e">
        <f t="shared" si="1"/>
        <v>#REF!</v>
      </c>
      <c r="I27" s="21" t="e">
        <f t="shared" si="1"/>
        <v>#REF!</v>
      </c>
      <c r="J27" s="21" t="e">
        <f t="shared" si="1"/>
        <v>#REF!</v>
      </c>
      <c r="K27" s="17"/>
      <c r="L27" s="21">
        <f>COUNTIFS(J6:J25,"&lt;&gt;0")</f>
        <v>20</v>
      </c>
      <c r="M27" s="21" t="s">
        <v>50</v>
      </c>
      <c r="N27" s="17"/>
      <c r="O27" s="17"/>
      <c r="P27" s="17"/>
    </row>
    <row r="28" spans="1:16" x14ac:dyDescent="0.25">
      <c r="C28" s="22" t="s">
        <v>16</v>
      </c>
      <c r="G28" s="3"/>
      <c r="H28" s="3"/>
      <c r="I28"/>
      <c r="O28">
        <v>656441329</v>
      </c>
    </row>
    <row r="30" spans="1:16" ht="18" x14ac:dyDescent="0.25">
      <c r="E30" s="2"/>
      <c r="J30" s="21" t="e">
        <f>J27-(75000*L27)</f>
        <v>#REF!</v>
      </c>
    </row>
    <row r="32" spans="1:16" ht="18" x14ac:dyDescent="0.25">
      <c r="J32" s="21" t="e">
        <f>J30-P26</f>
        <v>#REF!</v>
      </c>
    </row>
  </sheetData>
  <autoFilter ref="A5:J25">
    <sortState ref="A6:P32">
      <sortCondition ref="B6:B32"/>
    </sortState>
  </autoFilter>
  <mergeCells count="1">
    <mergeCell ref="C4:G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2</vt:i4>
      </vt:variant>
    </vt:vector>
  </HeadingPairs>
  <TitlesOfParts>
    <vt:vector size="20" baseType="lpstr">
      <vt:lpstr>MODEPAID</vt:lpstr>
      <vt:lpstr>TONTJUIL</vt:lpstr>
      <vt:lpstr>TONTAOUT</vt:lpstr>
      <vt:lpstr>TONTSEPT</vt:lpstr>
      <vt:lpstr>TONTOCT</vt:lpstr>
      <vt:lpstr>TONTNOV</vt:lpstr>
      <vt:lpstr>TONTDEC</vt:lpstr>
      <vt:lpstr>TONTJANV</vt:lpstr>
      <vt:lpstr>TONTFEV</vt:lpstr>
      <vt:lpstr>TONTMARS</vt:lpstr>
      <vt:lpstr>TONTAVRIL</vt:lpstr>
      <vt:lpstr>TONTMAI</vt:lpstr>
      <vt:lpstr>TONTJUIN</vt:lpstr>
      <vt:lpstr>TONTJUIL2021</vt:lpstr>
      <vt:lpstr>TONTAOUT2021</vt:lpstr>
      <vt:lpstr>TONTSEPT2021</vt:lpstr>
      <vt:lpstr>TONTRESUME</vt:lpstr>
      <vt:lpstr>TONTRESUME (2)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2020-11-02T11:57:58Z</dcterms:modified>
</cp:coreProperties>
</file>