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SELBYBURAEUDPA\ASELBYTONTINE2017\"/>
    </mc:Choice>
  </mc:AlternateContent>
  <bookViews>
    <workbookView xWindow="0" yWindow="0" windowWidth="20490" windowHeight="6810" firstSheet="5" activeTab="10"/>
  </bookViews>
  <sheets>
    <sheet name="MODEPAID" sheetId="3" r:id="rId1"/>
    <sheet name="TONTDEC2016" sheetId="1" r:id="rId2"/>
    <sheet name="TONTJANV" sheetId="4" r:id="rId3"/>
    <sheet name="TONTFEV" sheetId="5" r:id="rId4"/>
    <sheet name="TONTMARS" sheetId="6" r:id="rId5"/>
    <sheet name="TONTAVRIL" sheetId="7" r:id="rId6"/>
    <sheet name="TONTMAI" sheetId="8" r:id="rId7"/>
    <sheet name="TONTJUIN" sheetId="9" r:id="rId8"/>
    <sheet name="TONTJUIL" sheetId="10" r:id="rId9"/>
    <sheet name="TONTAOUT" sheetId="11" r:id="rId10"/>
    <sheet name="TONTSEPT" sheetId="12" r:id="rId11"/>
  </sheets>
  <externalReferences>
    <externalReference r:id="rId12"/>
  </externalReferences>
  <definedNames>
    <definedName name="_xlnm._FilterDatabase" localSheetId="9" hidden="1">TONTAOUT!$A$5:$L$31</definedName>
    <definedName name="_xlnm._FilterDatabase" localSheetId="5" hidden="1">TONTAVRIL!$A$5:$L$31</definedName>
    <definedName name="_xlnm._FilterDatabase" localSheetId="1" hidden="1">TONTDEC2016!$A$5:$J$31</definedName>
    <definedName name="_xlnm._FilterDatabase" localSheetId="3" hidden="1">TONTFEV!$A$5:$J$31</definedName>
    <definedName name="_xlnm._FilterDatabase" localSheetId="2" hidden="1">TONTJANV!$A$5:$J$31</definedName>
    <definedName name="_xlnm._FilterDatabase" localSheetId="8" hidden="1">TONTJUIL!$A$5:$L$31</definedName>
    <definedName name="_xlnm._FilterDatabase" localSheetId="7" hidden="1">TONTJUIN!$A$5:$L$31</definedName>
    <definedName name="_xlnm._FilterDatabase" localSheetId="6" hidden="1">TONTMAI!$A$5:$L$31</definedName>
    <definedName name="_xlnm._FilterDatabase" localSheetId="4" hidden="1">TONTMARS!$A$5:$J$31</definedName>
    <definedName name="_xlnm._FilterDatabase" localSheetId="10" hidden="1">TONTSEPT!$A$5:$L$31</definedName>
    <definedName name="MODEPAID" localSheetId="0">MODEPAID!$A$1:$A$3</definedName>
    <definedName name="MODEPAID" localSheetId="9">#REF!</definedName>
    <definedName name="MODEPAID" localSheetId="5">#REF!</definedName>
    <definedName name="MODEPAID" localSheetId="3">#REF!</definedName>
    <definedName name="MODEPAID" localSheetId="2">#REF!</definedName>
    <definedName name="MODEPAID" localSheetId="8">#REF!</definedName>
    <definedName name="MODEPAID" localSheetId="7">#REF!</definedName>
    <definedName name="MODEPAID" localSheetId="6">#REF!</definedName>
    <definedName name="MODEPAID" localSheetId="4">#REF!</definedName>
    <definedName name="MODEPAID" localSheetId="10">#REF!</definedName>
    <definedName name="MODEPAID">#REF!</definedName>
    <definedName name="VALMODEPAID">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2" l="1"/>
  <c r="D38" i="12"/>
  <c r="D37" i="12"/>
  <c r="C40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6" i="12"/>
  <c r="G33" i="12"/>
  <c r="F33" i="12"/>
  <c r="C43" i="12" s="1"/>
  <c r="D31" i="12"/>
  <c r="C31" i="12"/>
  <c r="B31" i="12"/>
  <c r="D30" i="12"/>
  <c r="C30" i="12"/>
  <c r="B30" i="12"/>
  <c r="D29" i="12"/>
  <c r="C29" i="12"/>
  <c r="B29" i="12"/>
  <c r="D28" i="12"/>
  <c r="C28" i="12"/>
  <c r="B28" i="12"/>
  <c r="D27" i="12"/>
  <c r="C27" i="12"/>
  <c r="B27" i="12"/>
  <c r="D26" i="12"/>
  <c r="C26" i="12"/>
  <c r="B26" i="12"/>
  <c r="D25" i="12"/>
  <c r="C25" i="12"/>
  <c r="B25" i="12"/>
  <c r="D24" i="12"/>
  <c r="C24" i="12"/>
  <c r="B24" i="12"/>
  <c r="D23" i="12"/>
  <c r="C23" i="12"/>
  <c r="B23" i="12"/>
  <c r="D22" i="12"/>
  <c r="C22" i="12"/>
  <c r="B22" i="12"/>
  <c r="D21" i="12"/>
  <c r="C21" i="12"/>
  <c r="B21" i="12"/>
  <c r="D20" i="12"/>
  <c r="C20" i="12"/>
  <c r="B20" i="12"/>
  <c r="D19" i="12"/>
  <c r="C19" i="12"/>
  <c r="B19" i="12"/>
  <c r="D18" i="12"/>
  <c r="C18" i="12"/>
  <c r="B18" i="12"/>
  <c r="D17" i="12"/>
  <c r="C17" i="12"/>
  <c r="B17" i="12"/>
  <c r="D16" i="12"/>
  <c r="C16" i="12"/>
  <c r="B16" i="12"/>
  <c r="D15" i="12"/>
  <c r="C15" i="12"/>
  <c r="B15" i="12"/>
  <c r="D14" i="12"/>
  <c r="C14" i="12"/>
  <c r="B14" i="12"/>
  <c r="D13" i="12"/>
  <c r="C13" i="12"/>
  <c r="B13" i="12"/>
  <c r="D12" i="12"/>
  <c r="C12" i="12"/>
  <c r="B12" i="12"/>
  <c r="D11" i="12"/>
  <c r="C11" i="12"/>
  <c r="B11" i="12"/>
  <c r="D10" i="12"/>
  <c r="C10" i="12"/>
  <c r="B10" i="12"/>
  <c r="D9" i="12"/>
  <c r="C9" i="12"/>
  <c r="B9" i="12"/>
  <c r="D8" i="12"/>
  <c r="C8" i="12"/>
  <c r="B8" i="12"/>
  <c r="D7" i="12"/>
  <c r="C7" i="12"/>
  <c r="C38" i="12" s="1"/>
  <c r="F38" i="12" s="1"/>
  <c r="B7" i="12"/>
  <c r="D6" i="12"/>
  <c r="D33" i="12" s="1"/>
  <c r="C6" i="12"/>
  <c r="C33" i="12" s="1"/>
  <c r="B6" i="12"/>
  <c r="H33" i="12" l="1"/>
  <c r="D40" i="12"/>
  <c r="C37" i="12"/>
  <c r="C40" i="11"/>
  <c r="M6" i="11"/>
  <c r="N6" i="11" s="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F37" i="12" l="1"/>
  <c r="M21" i="12"/>
  <c r="N21" i="12" s="1"/>
  <c r="M15" i="12"/>
  <c r="N15" i="12" s="1"/>
  <c r="M13" i="12"/>
  <c r="N13" i="12" s="1"/>
  <c r="M11" i="12"/>
  <c r="N11" i="12" s="1"/>
  <c r="M7" i="12"/>
  <c r="N7" i="12" s="1"/>
  <c r="M14" i="12"/>
  <c r="N14" i="12" s="1"/>
  <c r="M8" i="12"/>
  <c r="N8" i="12" s="1"/>
  <c r="M31" i="12"/>
  <c r="N31" i="12" s="1"/>
  <c r="M29" i="12"/>
  <c r="N29" i="12" s="1"/>
  <c r="M27" i="12"/>
  <c r="N27" i="12" s="1"/>
  <c r="M25" i="12"/>
  <c r="N25" i="12" s="1"/>
  <c r="M23" i="12"/>
  <c r="N23" i="12" s="1"/>
  <c r="M19" i="12"/>
  <c r="N19" i="12" s="1"/>
  <c r="M17" i="12"/>
  <c r="N17" i="12" s="1"/>
  <c r="M9" i="12"/>
  <c r="N9" i="12" s="1"/>
  <c r="M24" i="12"/>
  <c r="N24" i="12" s="1"/>
  <c r="M20" i="12"/>
  <c r="N20" i="12" s="1"/>
  <c r="M18" i="12"/>
  <c r="N18" i="12" s="1"/>
  <c r="M12" i="12"/>
  <c r="N12" i="12" s="1"/>
  <c r="M6" i="12"/>
  <c r="M30" i="12"/>
  <c r="N30" i="12" s="1"/>
  <c r="M28" i="12"/>
  <c r="N28" i="12" s="1"/>
  <c r="M26" i="12"/>
  <c r="N26" i="12" s="1"/>
  <c r="M22" i="12"/>
  <c r="N22" i="12" s="1"/>
  <c r="M16" i="12"/>
  <c r="N16" i="12" s="1"/>
  <c r="M10" i="12"/>
  <c r="N10" i="12" s="1"/>
  <c r="H37" i="11"/>
  <c r="M33" i="12" l="1"/>
  <c r="N6" i="12"/>
  <c r="N33" i="12" s="1"/>
  <c r="C37" i="11"/>
  <c r="H7" i="11" l="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6" i="11"/>
  <c r="I33" i="11"/>
  <c r="G33" i="11"/>
  <c r="F33" i="11"/>
  <c r="D31" i="11"/>
  <c r="C31" i="11"/>
  <c r="B31" i="11"/>
  <c r="D30" i="11"/>
  <c r="C30" i="11"/>
  <c r="B30" i="11"/>
  <c r="D29" i="11"/>
  <c r="C29" i="11"/>
  <c r="B29" i="11"/>
  <c r="D28" i="11"/>
  <c r="C28" i="11"/>
  <c r="B28" i="11"/>
  <c r="D27" i="11"/>
  <c r="C27" i="11"/>
  <c r="B27" i="11"/>
  <c r="D26" i="11"/>
  <c r="C26" i="11"/>
  <c r="B26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D15" i="11"/>
  <c r="C15" i="11"/>
  <c r="B15" i="11"/>
  <c r="D14" i="11"/>
  <c r="C14" i="11"/>
  <c r="B14" i="11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C39" i="11" l="1"/>
  <c r="C42" i="11" s="1"/>
  <c r="H33" i="11"/>
  <c r="D33" i="11"/>
  <c r="C38" i="11"/>
  <c r="C33" i="11"/>
  <c r="H29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30" i="10"/>
  <c r="H31" i="10"/>
  <c r="H6" i="10"/>
  <c r="N7" i="11" l="1"/>
  <c r="N23" i="11"/>
  <c r="N12" i="11"/>
  <c r="N28" i="11"/>
  <c r="N17" i="11"/>
  <c r="N10" i="11"/>
  <c r="N26" i="11"/>
  <c r="N11" i="11"/>
  <c r="N27" i="11"/>
  <c r="N16" i="11"/>
  <c r="N21" i="11"/>
  <c r="N14" i="11"/>
  <c r="N15" i="11"/>
  <c r="N31" i="11"/>
  <c r="N20" i="11"/>
  <c r="N9" i="11"/>
  <c r="N25" i="11"/>
  <c r="N18" i="11"/>
  <c r="N19" i="11"/>
  <c r="N8" i="11"/>
  <c r="N24" i="11"/>
  <c r="N13" i="11"/>
  <c r="N29" i="11"/>
  <c r="N22" i="11"/>
  <c r="N30" i="11"/>
  <c r="F38" i="11"/>
  <c r="F37" i="11"/>
  <c r="I33" i="10"/>
  <c r="G33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F33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H33" i="10"/>
  <c r="C38" i="10" s="1"/>
  <c r="D6" i="10"/>
  <c r="C6" i="10"/>
  <c r="B6" i="10"/>
  <c r="M33" i="11" l="1"/>
  <c r="N33" i="11"/>
  <c r="C36" i="10"/>
  <c r="C37" i="10"/>
  <c r="D33" i="10"/>
  <c r="C33" i="10"/>
  <c r="G19" i="9"/>
  <c r="F19" i="9"/>
  <c r="G29" i="9"/>
  <c r="F29" i="9"/>
  <c r="F37" i="9"/>
  <c r="F36" i="9"/>
  <c r="H7" i="9"/>
  <c r="H8" i="9"/>
  <c r="H9" i="9"/>
  <c r="H10" i="9"/>
  <c r="H11" i="9"/>
  <c r="H12" i="9"/>
  <c r="H13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6" i="9"/>
  <c r="F37" i="10" l="1"/>
  <c r="F36" i="10"/>
  <c r="I33" i="9"/>
  <c r="F33" i="9"/>
  <c r="D31" i="9"/>
  <c r="C31" i="9"/>
  <c r="B31" i="9"/>
  <c r="D30" i="9"/>
  <c r="C30" i="9"/>
  <c r="B30" i="9"/>
  <c r="G33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C33" i="9" l="1"/>
  <c r="C37" i="9"/>
  <c r="D33" i="9"/>
  <c r="H33" i="9"/>
  <c r="C38" i="9" s="1"/>
  <c r="C36" i="9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G29" i="8" l="1"/>
  <c r="F29" i="8"/>
  <c r="H7" i="8" l="1"/>
  <c r="H8" i="8"/>
  <c r="H33" i="8" s="1"/>
  <c r="C38" i="8" s="1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6" i="8"/>
  <c r="I33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G33" i="8"/>
  <c r="F33" i="8"/>
  <c r="C9" i="8"/>
  <c r="B9" i="8"/>
  <c r="C8" i="8"/>
  <c r="B8" i="8"/>
  <c r="C7" i="8"/>
  <c r="B7" i="8"/>
  <c r="C6" i="8"/>
  <c r="B6" i="8"/>
  <c r="C37" i="8" l="1"/>
  <c r="C33" i="8"/>
  <c r="D33" i="8"/>
  <c r="C36" i="8"/>
  <c r="G29" i="7"/>
  <c r="G33" i="7" s="1"/>
  <c r="F9" i="7"/>
  <c r="G9" i="7"/>
  <c r="G14" i="7"/>
  <c r="F14" i="7"/>
  <c r="F29" i="7"/>
  <c r="F33" i="7" s="1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6" i="7"/>
  <c r="C10" i="7"/>
  <c r="C11" i="7"/>
  <c r="I33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B11" i="7"/>
  <c r="B10" i="7"/>
  <c r="C9" i="7"/>
  <c r="B9" i="7"/>
  <c r="C8" i="7"/>
  <c r="B8" i="7"/>
  <c r="C7" i="7"/>
  <c r="B7" i="7"/>
  <c r="C6" i="7"/>
  <c r="B6" i="7"/>
  <c r="C37" i="7" l="1"/>
  <c r="C36" i="7"/>
  <c r="H33" i="7"/>
  <c r="C38" i="7" s="1"/>
  <c r="C33" i="7"/>
  <c r="D33" i="7"/>
  <c r="I33" i="6"/>
  <c r="H33" i="6"/>
  <c r="C38" i="6" s="1"/>
  <c r="H31" i="6"/>
  <c r="C31" i="6"/>
  <c r="B31" i="6"/>
  <c r="H30" i="6"/>
  <c r="C30" i="6"/>
  <c r="B30" i="6"/>
  <c r="H29" i="6"/>
  <c r="C29" i="6"/>
  <c r="B29" i="6"/>
  <c r="H28" i="6"/>
  <c r="C28" i="6"/>
  <c r="B28" i="6"/>
  <c r="H27" i="6"/>
  <c r="C27" i="6"/>
  <c r="B27" i="6"/>
  <c r="H26" i="6"/>
  <c r="C26" i="6"/>
  <c r="B26" i="6"/>
  <c r="H25" i="6"/>
  <c r="C25" i="6"/>
  <c r="B25" i="6"/>
  <c r="H24" i="6"/>
  <c r="C24" i="6"/>
  <c r="B24" i="6"/>
  <c r="H23" i="6"/>
  <c r="C23" i="6"/>
  <c r="B23" i="6"/>
  <c r="H22" i="6"/>
  <c r="C22" i="6"/>
  <c r="B22" i="6"/>
  <c r="H21" i="6"/>
  <c r="C21" i="6"/>
  <c r="B21" i="6"/>
  <c r="H20" i="6"/>
  <c r="C20" i="6"/>
  <c r="B20" i="6"/>
  <c r="H19" i="6"/>
  <c r="C19" i="6"/>
  <c r="B19" i="6"/>
  <c r="H18" i="6"/>
  <c r="C18" i="6"/>
  <c r="B18" i="6"/>
  <c r="H17" i="6"/>
  <c r="C17" i="6"/>
  <c r="B17" i="6"/>
  <c r="H16" i="6"/>
  <c r="C16" i="6"/>
  <c r="B16" i="6"/>
  <c r="H15" i="6"/>
  <c r="C15" i="6"/>
  <c r="B15" i="6"/>
  <c r="H14" i="6"/>
  <c r="C14" i="6"/>
  <c r="B14" i="6"/>
  <c r="H13" i="6"/>
  <c r="C13" i="6"/>
  <c r="B13" i="6"/>
  <c r="H12" i="6"/>
  <c r="C12" i="6"/>
  <c r="B12" i="6"/>
  <c r="H11" i="6"/>
  <c r="B11" i="6"/>
  <c r="H10" i="6"/>
  <c r="B10" i="6"/>
  <c r="H9" i="6"/>
  <c r="G33" i="6"/>
  <c r="F33" i="6"/>
  <c r="C9" i="6"/>
  <c r="B9" i="6"/>
  <c r="H8" i="6"/>
  <c r="C8" i="6"/>
  <c r="B8" i="6"/>
  <c r="H7" i="6"/>
  <c r="C7" i="6"/>
  <c r="B7" i="6"/>
  <c r="H6" i="6"/>
  <c r="C6" i="6"/>
  <c r="C33" i="6" s="1"/>
  <c r="C36" i="6" s="1"/>
  <c r="B6" i="6"/>
  <c r="D33" i="6" l="1"/>
  <c r="G15" i="5"/>
  <c r="G9" i="5"/>
  <c r="F9" i="5"/>
  <c r="G19" i="5"/>
  <c r="G14" i="5"/>
  <c r="F14" i="5"/>
  <c r="F15" i="5"/>
  <c r="F19" i="5"/>
  <c r="H7" i="5" l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6" i="5"/>
  <c r="D27" i="5" l="1"/>
  <c r="D20" i="5"/>
  <c r="D21" i="5"/>
  <c r="I33" i="5"/>
  <c r="H33" i="5"/>
  <c r="C38" i="5" s="1"/>
  <c r="G33" i="5"/>
  <c r="F33" i="5"/>
  <c r="D31" i="5"/>
  <c r="C31" i="5"/>
  <c r="B31" i="5"/>
  <c r="D30" i="5"/>
  <c r="C30" i="5"/>
  <c r="B30" i="5"/>
  <c r="D29" i="5"/>
  <c r="C29" i="5"/>
  <c r="B29" i="5"/>
  <c r="D28" i="5"/>
  <c r="C28" i="5"/>
  <c r="B28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C21" i="5"/>
  <c r="B21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B11" i="5"/>
  <c r="D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33" i="5" l="1"/>
  <c r="C33" i="5"/>
  <c r="C37" i="5" s="1"/>
  <c r="I33" i="4"/>
  <c r="H33" i="4"/>
  <c r="G33" i="4"/>
  <c r="F33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B11" i="4"/>
  <c r="B10" i="4"/>
  <c r="C9" i="4"/>
  <c r="B9" i="4"/>
  <c r="C8" i="4"/>
  <c r="B8" i="4"/>
  <c r="D33" i="4"/>
  <c r="C7" i="4"/>
  <c r="B7" i="4"/>
  <c r="C6" i="4"/>
  <c r="C33" i="4" s="1"/>
  <c r="B6" i="4"/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6" i="1"/>
  <c r="C30" i="1" l="1"/>
  <c r="B30" i="1"/>
  <c r="C27" i="1"/>
  <c r="B27" i="1"/>
  <c r="C24" i="1"/>
  <c r="B24" i="1"/>
  <c r="C20" i="1"/>
  <c r="B20" i="1"/>
  <c r="C21" i="1"/>
  <c r="B21" i="1"/>
  <c r="B11" i="1"/>
  <c r="I33" i="1" l="1"/>
  <c r="H33" i="1"/>
  <c r="G33" i="1"/>
  <c r="F33" i="1"/>
  <c r="C31" i="1"/>
  <c r="B31" i="1"/>
  <c r="C29" i="1"/>
  <c r="B29" i="1"/>
  <c r="C28" i="1"/>
  <c r="B28" i="1"/>
  <c r="C26" i="1"/>
  <c r="B26" i="1"/>
  <c r="C25" i="1"/>
  <c r="B25" i="1"/>
  <c r="C23" i="1"/>
  <c r="B23" i="1"/>
  <c r="C22" i="1"/>
  <c r="B22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B10" i="1"/>
  <c r="C9" i="1"/>
  <c r="B9" i="1"/>
  <c r="C8" i="1"/>
  <c r="B8" i="1"/>
  <c r="C7" i="1"/>
  <c r="B7" i="1"/>
  <c r="C6" i="1"/>
  <c r="B6" i="1"/>
  <c r="C33" i="1" l="1"/>
  <c r="D33" i="1"/>
</calcChain>
</file>

<file path=xl/sharedStrings.xml><?xml version="1.0" encoding="utf-8"?>
<sst xmlns="http://schemas.openxmlformats.org/spreadsheetml/2006/main" count="815" uniqueCount="57">
  <si>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</si>
  <si>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</si>
  <si>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</si>
  <si>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</si>
  <si>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</si>
  <si>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</si>
  <si>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</si>
  <si>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</si>
  <si>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</si>
  <si>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</si>
  <si>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PRÊT</t>
  </si>
  <si>
    <t>INTERET PRÊT</t>
  </si>
  <si>
    <t>REMBOURSEMENT</t>
  </si>
  <si>
    <t>STATUT PRÊT</t>
  </si>
  <si>
    <t>INTERET ACHAT</t>
  </si>
  <si>
    <t>DATE ACHAT</t>
  </si>
  <si>
    <t>ECHEC</t>
  </si>
  <si>
    <t>AS201602</t>
  </si>
  <si>
    <t>AS201606</t>
  </si>
  <si>
    <t>BANQUE</t>
  </si>
  <si>
    <t>AS201607</t>
  </si>
  <si>
    <t>AS201609</t>
  </si>
  <si>
    <t>AS201612</t>
  </si>
  <si>
    <t>AS201614</t>
  </si>
  <si>
    <t>AS201617</t>
  </si>
  <si>
    <t>AS201618</t>
  </si>
  <si>
    <t>AS201619</t>
  </si>
  <si>
    <t>AS201621</t>
  </si>
  <si>
    <t>AS201622</t>
  </si>
  <si>
    <t>AS201624</t>
  </si>
  <si>
    <t>AS201628</t>
  </si>
  <si>
    <t>AS201629</t>
  </si>
  <si>
    <t>AS201633</t>
  </si>
  <si>
    <t>AS201635</t>
  </si>
  <si>
    <t>AS201636</t>
  </si>
  <si>
    <t>AS201639</t>
  </si>
  <si>
    <t>AS201642</t>
  </si>
  <si>
    <t>AS201645</t>
  </si>
  <si>
    <t>TOTAL</t>
  </si>
  <si>
    <t>ESPECES</t>
  </si>
  <si>
    <t>AVALISTE</t>
  </si>
  <si>
    <t>SIME MATHIEU</t>
  </si>
  <si>
    <t>HOTCHO BENJAMIN</t>
  </si>
  <si>
    <t xml:space="preserve"> </t>
  </si>
  <si>
    <t>OK</t>
  </si>
  <si>
    <t>NDJOMO ETIENNE</t>
  </si>
  <si>
    <t>FOTSO THOMAS</t>
  </si>
  <si>
    <t>RESTE 36000</t>
  </si>
  <si>
    <t>NANKAM APPOLINAIRE</t>
  </si>
  <si>
    <t>TIEYAM ERNEST</t>
  </si>
  <si>
    <t>OK ESPECES</t>
  </si>
  <si>
    <t>INTERET</t>
  </si>
  <si>
    <t>PERCU</t>
  </si>
  <si>
    <t>ACHAT LOT PRINCIPAL</t>
  </si>
  <si>
    <t>ACHAT PETIT LOT</t>
  </si>
  <si>
    <t>TONTINE</t>
  </si>
  <si>
    <t>INTERET PETIT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</si>
</sst>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C]d\-mmm\-yy;@"/>
    <numFmt numFmtId="165" formatCode="#,##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wrapText="1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D5">
            <v>0</v>
          </cell>
          <cell r="E5">
            <v>677841881</v>
          </cell>
          <cell r="F5">
            <v>0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D6">
            <v>0</v>
          </cell>
          <cell r="E6">
            <v>677704694</v>
          </cell>
          <cell r="F6">
            <v>0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D7">
            <v>0</v>
          </cell>
          <cell r="E7">
            <v>677881912</v>
          </cell>
          <cell r="F7">
            <v>0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D8">
            <v>0</v>
          </cell>
          <cell r="E8">
            <v>677986676</v>
          </cell>
          <cell r="F8">
            <v>0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D9">
            <v>0</v>
          </cell>
          <cell r="E9">
            <v>675250451</v>
          </cell>
          <cell r="F9">
            <v>0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DJOUNKEP SAMUEL</v>
          </cell>
          <cell r="C10" t="str">
            <v>COMPTABLE RETRAITE</v>
          </cell>
          <cell r="D10">
            <v>0</v>
          </cell>
          <cell r="E10">
            <v>697103557</v>
          </cell>
          <cell r="F10">
            <v>0</v>
          </cell>
          <cell r="G10" t="str">
            <v>BIYEM ASSI LYCEE</v>
          </cell>
          <cell r="H10">
            <v>42401</v>
          </cell>
        </row>
        <row r="11">
          <cell r="A11" t="str">
            <v>AS201607</v>
          </cell>
          <cell r="B11" t="str">
            <v>DJUOMBESSY ANTOINE</v>
          </cell>
          <cell r="C11" t="str">
            <v>ANALYSTE CONCEPTEUR SI</v>
          </cell>
          <cell r="D11">
            <v>0</v>
          </cell>
          <cell r="E11">
            <v>677501239</v>
          </cell>
          <cell r="F11">
            <v>699324095</v>
          </cell>
          <cell r="G11" t="str">
            <v>MESSASSI</v>
          </cell>
          <cell r="H11">
            <v>43647</v>
          </cell>
        </row>
        <row r="12">
          <cell r="A12" t="str">
            <v>AS201608</v>
          </cell>
          <cell r="B12" t="str">
            <v>DONHOU DAVID</v>
          </cell>
          <cell r="C12" t="str">
            <v>MAGISTRAT</v>
          </cell>
          <cell r="D12">
            <v>0</v>
          </cell>
          <cell r="E12">
            <v>699908065</v>
          </cell>
          <cell r="F12">
            <v>0</v>
          </cell>
          <cell r="G12" t="str">
            <v>TONGOLO</v>
          </cell>
          <cell r="H12">
            <v>42979</v>
          </cell>
        </row>
        <row r="13">
          <cell r="A13" t="str">
            <v>AS201609</v>
          </cell>
          <cell r="B13" t="str">
            <v>FOTSO THOMAS</v>
          </cell>
          <cell r="C13" t="str">
            <v>CADRE BANQUE</v>
          </cell>
          <cell r="D13">
            <v>0</v>
          </cell>
          <cell r="E13">
            <v>677910278</v>
          </cell>
          <cell r="F13">
            <v>0</v>
          </cell>
          <cell r="G13" t="str">
            <v>OYOMABANG</v>
          </cell>
          <cell r="H13">
            <v>43344</v>
          </cell>
        </row>
        <row r="14">
          <cell r="A14" t="str">
            <v>AS201610</v>
          </cell>
          <cell r="B14" t="str">
            <v>HENGUE PAUL OMER</v>
          </cell>
          <cell r="C14" t="str">
            <v>SOCIOLOGUE</v>
          </cell>
          <cell r="D14">
            <v>0</v>
          </cell>
          <cell r="E14">
            <v>694468080</v>
          </cell>
          <cell r="F14">
            <v>0</v>
          </cell>
          <cell r="G14" t="str">
            <v>MESSASSI</v>
          </cell>
          <cell r="H14">
            <v>42583</v>
          </cell>
        </row>
        <row r="15">
          <cell r="A15" t="str">
            <v>AS201611</v>
          </cell>
          <cell r="B15" t="str">
            <v>HODIEP JULES</v>
          </cell>
          <cell r="C15" t="str">
            <v>CADRE CNPS</v>
          </cell>
          <cell r="D15">
            <v>0</v>
          </cell>
          <cell r="E15">
            <v>675291170</v>
          </cell>
          <cell r="F15">
            <v>0</v>
          </cell>
          <cell r="G15" t="str">
            <v>NYOM 2</v>
          </cell>
          <cell r="H15">
            <v>43009</v>
          </cell>
        </row>
        <row r="16">
          <cell r="A16" t="str">
            <v>AS201612</v>
          </cell>
          <cell r="B16" t="str">
            <v>HOTCHO BENJAMIN</v>
          </cell>
          <cell r="C16" t="str">
            <v>COMPTABLE</v>
          </cell>
          <cell r="D16">
            <v>0</v>
          </cell>
          <cell r="E16">
            <v>699956355</v>
          </cell>
          <cell r="F16">
            <v>0</v>
          </cell>
          <cell r="G16" t="str">
            <v>DAMAS</v>
          </cell>
          <cell r="H16">
            <v>42614</v>
          </cell>
        </row>
        <row r="17">
          <cell r="A17" t="str">
            <v>AS201613</v>
          </cell>
          <cell r="B17" t="str">
            <v>KEPHE DAVID</v>
          </cell>
          <cell r="C17" t="str">
            <v>OPERATEUR ECONOMIQUE</v>
          </cell>
          <cell r="D17">
            <v>0</v>
          </cell>
          <cell r="E17">
            <v>677053815</v>
          </cell>
          <cell r="F17">
            <v>0</v>
          </cell>
          <cell r="G17" t="str">
            <v>MESSASSI</v>
          </cell>
          <cell r="H17">
            <v>43374</v>
          </cell>
        </row>
        <row r="18">
          <cell r="A18" t="str">
            <v>AS201614</v>
          </cell>
          <cell r="B18" t="str">
            <v>KEPSEU FRANCIS</v>
          </cell>
          <cell r="C18" t="str">
            <v>OFFICIER DE POLICE RETRAITE</v>
          </cell>
          <cell r="D18">
            <v>0</v>
          </cell>
          <cell r="E18">
            <v>699528700</v>
          </cell>
          <cell r="F18">
            <v>0</v>
          </cell>
          <cell r="G18" t="str">
            <v>SIMBOCK</v>
          </cell>
          <cell r="H18">
            <v>43405</v>
          </cell>
        </row>
        <row r="19">
          <cell r="A19" t="str">
            <v>AS201615</v>
          </cell>
          <cell r="B19" t="str">
            <v>KEPSEU HENANG RENE</v>
          </cell>
          <cell r="C19" t="str">
            <v>CADRE SONEL RETRAITE</v>
          </cell>
          <cell r="D19">
            <v>0</v>
          </cell>
          <cell r="E19">
            <v>699843118</v>
          </cell>
          <cell r="F19">
            <v>0</v>
          </cell>
          <cell r="G19" t="str">
            <v>BIYEM ASSI LYCEE</v>
          </cell>
          <cell r="H19">
            <v>42522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D20">
            <v>0</v>
          </cell>
          <cell r="E20">
            <v>699335584</v>
          </cell>
          <cell r="F20">
            <v>0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D21">
            <v>0</v>
          </cell>
          <cell r="E21">
            <v>675836725</v>
          </cell>
          <cell r="F21">
            <v>0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D22">
            <v>0</v>
          </cell>
          <cell r="E22">
            <v>696564847</v>
          </cell>
          <cell r="F22">
            <v>0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D23">
            <v>0</v>
          </cell>
          <cell r="E23">
            <v>677735778</v>
          </cell>
          <cell r="F23">
            <v>0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NANGUEN MARTIN</v>
          </cell>
          <cell r="C24" t="str">
            <v>SECRETAIRE D'ADMINISTRATION</v>
          </cell>
          <cell r="D24">
            <v>0</v>
          </cell>
          <cell r="E24">
            <v>677648306</v>
          </cell>
          <cell r="F24">
            <v>0</v>
          </cell>
          <cell r="G24" t="str">
            <v>RUE MANGUIERS</v>
          </cell>
          <cell r="H24">
            <v>43040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D25">
            <v>0</v>
          </cell>
          <cell r="E25">
            <v>693055118</v>
          </cell>
          <cell r="F25">
            <v>0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D26">
            <v>0</v>
          </cell>
          <cell r="E26">
            <v>677553702</v>
          </cell>
          <cell r="F26">
            <v>0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D27">
            <v>0</v>
          </cell>
          <cell r="E27">
            <v>699358350</v>
          </cell>
          <cell r="F27">
            <v>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D28">
            <v>0</v>
          </cell>
          <cell r="E28">
            <v>675249207</v>
          </cell>
          <cell r="F28">
            <v>0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D29">
            <v>0</v>
          </cell>
          <cell r="E29">
            <v>677766503</v>
          </cell>
          <cell r="F29">
            <v>0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D30">
            <v>0</v>
          </cell>
          <cell r="E30">
            <v>677068360</v>
          </cell>
          <cell r="F30">
            <v>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D31">
            <v>0</v>
          </cell>
          <cell r="E31">
            <v>670909070</v>
          </cell>
          <cell r="F31">
            <v>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D32">
            <v>0</v>
          </cell>
          <cell r="E32">
            <v>676659191</v>
          </cell>
          <cell r="F32">
            <v>0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D33">
            <v>0</v>
          </cell>
          <cell r="E33">
            <v>677575366</v>
          </cell>
          <cell r="F33">
            <v>0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NTEPDIE TUEMAC MZ</v>
          </cell>
          <cell r="C34" t="str">
            <v>OPERATEUR ECONOMIQUE</v>
          </cell>
          <cell r="D34">
            <v>0</v>
          </cell>
          <cell r="E34">
            <v>677377251</v>
          </cell>
          <cell r="F34">
            <v>0</v>
          </cell>
          <cell r="G34" t="str">
            <v>MONTEE JOUVENCE</v>
          </cell>
          <cell r="H34">
            <v>43282</v>
          </cell>
        </row>
        <row r="35">
          <cell r="A35" t="str">
            <v>AS201631</v>
          </cell>
          <cell r="B35" t="str">
            <v>NTOMBOU ADOLPHE</v>
          </cell>
          <cell r="C35" t="str">
            <v xml:space="preserve">INGENIEUR </v>
          </cell>
          <cell r="D35">
            <v>0</v>
          </cell>
          <cell r="E35">
            <v>677867173</v>
          </cell>
          <cell r="F35">
            <v>0</v>
          </cell>
          <cell r="G35" t="str">
            <v>BIYEM ASSI LYCEE</v>
          </cell>
          <cell r="H35">
            <v>42461</v>
          </cell>
        </row>
        <row r="36">
          <cell r="A36" t="str">
            <v>AS201632</v>
          </cell>
          <cell r="B36" t="str">
            <v>PATEGO NJOSSU GUSTAVE</v>
          </cell>
          <cell r="C36" t="str">
            <v>INGENIEUR T-P</v>
          </cell>
          <cell r="D36">
            <v>0</v>
          </cell>
          <cell r="E36">
            <v>699995086</v>
          </cell>
          <cell r="F36">
            <v>0</v>
          </cell>
          <cell r="G36" t="str">
            <v>EBOGO 1(SOA)</v>
          </cell>
          <cell r="H36">
            <v>43525</v>
          </cell>
        </row>
        <row r="37">
          <cell r="A37" t="str">
            <v>AS201633</v>
          </cell>
          <cell r="B37" t="str">
            <v>SEUNOU RICHELOT</v>
          </cell>
          <cell r="C37" t="str">
            <v>OPERATEUR ECONOMIQUE</v>
          </cell>
          <cell r="D37">
            <v>0</v>
          </cell>
          <cell r="E37">
            <v>677054646</v>
          </cell>
          <cell r="F37">
            <v>0</v>
          </cell>
          <cell r="G37" t="str">
            <v>EMANA</v>
          </cell>
          <cell r="H37">
            <v>43160</v>
          </cell>
        </row>
        <row r="38">
          <cell r="A38" t="str">
            <v>AS201634</v>
          </cell>
          <cell r="B38" t="str">
            <v>SIME ABEL</v>
          </cell>
          <cell r="C38" t="str">
            <v>OPERATEUR ECONOMIQUE</v>
          </cell>
          <cell r="D38">
            <v>0</v>
          </cell>
          <cell r="E38">
            <v>699549665</v>
          </cell>
          <cell r="F38">
            <v>0</v>
          </cell>
          <cell r="G38" t="str">
            <v>ELEVEUR</v>
          </cell>
          <cell r="H38">
            <v>43556</v>
          </cell>
        </row>
        <row r="39">
          <cell r="A39" t="str">
            <v>AS201635</v>
          </cell>
          <cell r="B39" t="str">
            <v>SIME FONGANG ERIC</v>
          </cell>
          <cell r="C39" t="str">
            <v>CADRE BANQUE</v>
          </cell>
          <cell r="D39">
            <v>0</v>
          </cell>
          <cell r="E39">
            <v>699350133</v>
          </cell>
          <cell r="F39">
            <v>0</v>
          </cell>
          <cell r="G39" t="str">
            <v>DAMAS</v>
          </cell>
          <cell r="H39">
            <v>43435</v>
          </cell>
        </row>
        <row r="40">
          <cell r="A40" t="str">
            <v>AS201636</v>
          </cell>
          <cell r="B40" t="str">
            <v>SIME MATHIEU</v>
          </cell>
          <cell r="C40" t="str">
            <v>CHEF ENTREPRISE</v>
          </cell>
          <cell r="D40">
            <v>0</v>
          </cell>
          <cell r="E40">
            <v>677477649</v>
          </cell>
          <cell r="F40">
            <v>0</v>
          </cell>
          <cell r="G40" t="str">
            <v>PARC NATIONAL</v>
          </cell>
          <cell r="H40">
            <v>42948</v>
          </cell>
        </row>
        <row r="41">
          <cell r="A41" t="str">
            <v>AS201637</v>
          </cell>
          <cell r="B41" t="str">
            <v>SIME PIERRE</v>
          </cell>
          <cell r="C41" t="str">
            <v>TECHNICIEN DE SANTE RETRAITE</v>
          </cell>
          <cell r="D41">
            <v>0</v>
          </cell>
          <cell r="E41">
            <v>677546060</v>
          </cell>
          <cell r="F41">
            <v>0</v>
          </cell>
          <cell r="G41" t="str">
            <v>OYOMABANG</v>
          </cell>
          <cell r="H41">
            <v>42736</v>
          </cell>
        </row>
        <row r="42">
          <cell r="A42" t="str">
            <v>AS201638</v>
          </cell>
          <cell r="B42" t="str">
            <v>TCHOUAMOU JEAN PAUL</v>
          </cell>
          <cell r="C42" t="str">
            <v>CADRE CNPS</v>
          </cell>
          <cell r="D42">
            <v>0</v>
          </cell>
          <cell r="E42">
            <v>677780149</v>
          </cell>
          <cell r="F42">
            <v>0</v>
          </cell>
          <cell r="G42" t="str">
            <v>MESSASSI</v>
          </cell>
          <cell r="H42">
            <v>42552</v>
          </cell>
        </row>
        <row r="43">
          <cell r="A43" t="str">
            <v>AS201639</v>
          </cell>
          <cell r="B43" t="str">
            <v>TCHOUAMOU MATHIEU</v>
          </cell>
          <cell r="C43" t="str">
            <v>OFFICIER SUPERIEUR</v>
          </cell>
          <cell r="D43">
            <v>0</v>
          </cell>
          <cell r="E43">
            <v>699778906</v>
          </cell>
          <cell r="F43">
            <v>0</v>
          </cell>
          <cell r="G43" t="str">
            <v>MENDONG</v>
          </cell>
          <cell r="H43">
            <v>43709</v>
          </cell>
        </row>
        <row r="44">
          <cell r="A44" t="str">
            <v>AS201640</v>
          </cell>
          <cell r="B44" t="str">
            <v>TCHOUANTE FRANCOIS</v>
          </cell>
          <cell r="C44" t="str">
            <v>ENSEIGNANT</v>
          </cell>
          <cell r="D44">
            <v>0</v>
          </cell>
          <cell r="E44">
            <v>678639806</v>
          </cell>
          <cell r="F44">
            <v>0</v>
          </cell>
          <cell r="G44" t="str">
            <v>MENDONG</v>
          </cell>
          <cell r="H44">
            <v>43252</v>
          </cell>
        </row>
        <row r="45">
          <cell r="A45" t="str">
            <v>AS201641</v>
          </cell>
          <cell r="B45" t="str">
            <v>TCHOUTOU NANA CLAUDE</v>
          </cell>
          <cell r="C45" t="str">
            <v>OPERATEUR ECONOMIQUE</v>
          </cell>
          <cell r="D45">
            <v>0</v>
          </cell>
          <cell r="E45">
            <v>677775940</v>
          </cell>
          <cell r="F45">
            <v>0</v>
          </cell>
          <cell r="G45" t="str">
            <v>NKOL FOULOU</v>
          </cell>
          <cell r="H45">
            <v>43221</v>
          </cell>
        </row>
        <row r="46">
          <cell r="A46" t="str">
            <v>AS201642</v>
          </cell>
          <cell r="B46" t="str">
            <v>TIEYAM ERNEST</v>
          </cell>
          <cell r="C46" t="str">
            <v>INGENIEUR ELECTRONICIEN</v>
          </cell>
          <cell r="D46">
            <v>0</v>
          </cell>
          <cell r="E46">
            <v>677508603</v>
          </cell>
          <cell r="F46">
            <v>0</v>
          </cell>
          <cell r="G46" t="str">
            <v>BASTOS</v>
          </cell>
          <cell r="H46">
            <v>42856</v>
          </cell>
        </row>
        <row r="47">
          <cell r="A47" t="str">
            <v>AS201643</v>
          </cell>
          <cell r="B47" t="str">
            <v>TUGMA PIERRE LOTI</v>
          </cell>
          <cell r="C47" t="str">
            <v>PROFESSEUR DES LYCEES RETRAITE</v>
          </cell>
          <cell r="D47">
            <v>0</v>
          </cell>
          <cell r="E47">
            <v>677726329</v>
          </cell>
          <cell r="F47">
            <v>0</v>
          </cell>
          <cell r="G47" t="str">
            <v>BIYEM ASSI LYCEE</v>
          </cell>
          <cell r="H47">
            <v>42430</v>
          </cell>
        </row>
        <row r="48">
          <cell r="A48" t="str">
            <v>AS201644</v>
          </cell>
          <cell r="B48" t="str">
            <v>YEPMOU JEAN JACQUES</v>
          </cell>
          <cell r="C48" t="str">
            <v>ADMINISTRATEUR CIVIL</v>
          </cell>
          <cell r="D48">
            <v>0</v>
          </cell>
          <cell r="E48">
            <v>699663416</v>
          </cell>
          <cell r="F48">
            <v>0</v>
          </cell>
          <cell r="G48" t="str">
            <v>MENDONG (NKOLZIE)</v>
          </cell>
          <cell r="H48">
            <v>42826</v>
          </cell>
        </row>
        <row r="49">
          <cell r="A49" t="str">
            <v>AS201645</v>
          </cell>
          <cell r="B49" t="str">
            <v>YOUMBI EMMANUEL</v>
          </cell>
          <cell r="C49" t="str">
            <v>PROFESSEUR DES UNIVERSITES</v>
          </cell>
          <cell r="D49">
            <v>0</v>
          </cell>
          <cell r="E49">
            <v>677547311</v>
          </cell>
          <cell r="F49">
            <v>0</v>
          </cell>
          <cell r="G49" t="str">
            <v>MENDONG (GUINNESS)</v>
          </cell>
          <cell r="H49">
            <v>42675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RowHeight="15" x14ac:dyDescent="0.25"/>
  <sheetData>
    <row r="1" spans="1:1" x14ac:dyDescent="0.25">
      <c r="A1" t="s">
        <v>19</v>
      </c>
    </row>
    <row r="2" spans="1:1" x14ac:dyDescent="0.25">
      <c r="A2" t="s">
        <v>39</v>
      </c>
    </row>
    <row r="3" spans="1:1" x14ac:dyDescent="0.25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xSplit="2" ySplit="5" topLeftCell="C21" activePane="bottomRight" state="frozen"/>
      <selection activeCell="I3" sqref="I3"/>
      <selection pane="topRight" activeCell="I3" sqref="I3"/>
      <selection pane="bottomLeft" activeCell="I3" sqref="I3"/>
      <selection pane="bottomRight" activeCell="J6" sqref="J6:K3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" t="s">
        <v>2</v>
      </c>
      <c r="B2" s="1" t="s">
        <v>3</v>
      </c>
    </row>
    <row r="3" spans="1:11" x14ac:dyDescent="0.25">
      <c r="A3" s="1" t="s">
        <v>4</v>
      </c>
      <c r="B3" s="4">
        <v>100000</v>
      </c>
    </row>
    <row r="4" spans="1:11" ht="18" x14ac:dyDescent="0.25">
      <c r="B4" s="5"/>
      <c r="C4" s="15">
        <v>42723</v>
      </c>
      <c r="D4" s="16"/>
      <c r="E4" s="16"/>
      <c r="F4" s="16"/>
      <c r="G4" s="16"/>
      <c r="H4" s="16"/>
    </row>
    <row r="5" spans="1:11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</row>
    <row r="6" spans="1:11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IF(E6="ESPECES",1000,0)</f>
        <v>1000</v>
      </c>
      <c r="E6" s="7" t="s">
        <v>39</v>
      </c>
      <c r="F6" s="8"/>
      <c r="G6" s="8"/>
      <c r="J6" s="8">
        <v>200000</v>
      </c>
      <c r="K6" s="11">
        <v>42694</v>
      </c>
    </row>
    <row r="7" spans="1:11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IF(E7="ESPECES",1000,0)</f>
        <v>0</v>
      </c>
      <c r="E7" s="7" t="s">
        <v>19</v>
      </c>
      <c r="F7" s="8"/>
      <c r="G7" s="8"/>
      <c r="J7" s="8"/>
    </row>
    <row r="8" spans="1:11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J8" s="8">
        <v>155000</v>
      </c>
      <c r="K8" s="11">
        <v>42723</v>
      </c>
    </row>
    <row r="9" spans="1:11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1000</v>
      </c>
      <c r="E9" s="7" t="s">
        <v>39</v>
      </c>
      <c r="F9" s="8">
        <v>200000</v>
      </c>
      <c r="G9" s="8">
        <v>2500</v>
      </c>
      <c r="J9" s="8">
        <v>191000</v>
      </c>
      <c r="K9" s="11">
        <v>42603</v>
      </c>
    </row>
    <row r="10" spans="1:11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J10" s="8">
        <v>195000</v>
      </c>
      <c r="K10" s="11">
        <v>42694</v>
      </c>
    </row>
    <row r="11" spans="1:11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J11" s="8"/>
    </row>
    <row r="12" spans="1:11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J12" s="8"/>
    </row>
    <row r="13" spans="1:11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1000</v>
      </c>
      <c r="E13" s="7" t="s">
        <v>39</v>
      </c>
      <c r="F13" s="8">
        <v>100000</v>
      </c>
      <c r="G13" s="8">
        <v>1000</v>
      </c>
      <c r="J13" s="8"/>
    </row>
    <row r="14" spans="1:11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1000</v>
      </c>
      <c r="E14" s="7" t="s">
        <v>39</v>
      </c>
      <c r="F14" s="8"/>
      <c r="G14" s="8"/>
      <c r="J14" s="8">
        <v>136000</v>
      </c>
      <c r="K14" s="11">
        <v>42659</v>
      </c>
    </row>
    <row r="15" spans="1:11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1000</v>
      </c>
      <c r="E15" s="7" t="s">
        <v>39</v>
      </c>
      <c r="F15" s="8">
        <v>200000</v>
      </c>
      <c r="G15" s="8">
        <v>2000</v>
      </c>
      <c r="J15" s="8">
        <v>136000</v>
      </c>
      <c r="K15" s="11">
        <v>42659</v>
      </c>
    </row>
    <row r="16" spans="1:11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J16" s="8">
        <v>157000</v>
      </c>
      <c r="K16" s="11">
        <v>42632</v>
      </c>
    </row>
    <row r="17" spans="1:11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1000</v>
      </c>
      <c r="E17" s="7" t="s">
        <v>39</v>
      </c>
      <c r="F17" s="8"/>
      <c r="G17" s="8"/>
      <c r="J17" s="8"/>
    </row>
    <row r="18" spans="1:11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>
        <v>100000</v>
      </c>
      <c r="G18" s="8">
        <v>1000</v>
      </c>
      <c r="J18" s="8"/>
    </row>
    <row r="19" spans="1:11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1000</v>
      </c>
      <c r="E19" s="7" t="s">
        <v>39</v>
      </c>
      <c r="F19" s="8">
        <v>200000</v>
      </c>
      <c r="G19" s="8">
        <v>2000</v>
      </c>
      <c r="J19" s="8">
        <v>200000</v>
      </c>
      <c r="K19" s="11">
        <v>42603</v>
      </c>
    </row>
    <row r="20" spans="1:11" x14ac:dyDescent="0.25">
      <c r="A20" s="1" t="s">
        <v>30</v>
      </c>
      <c r="B20" s="1" t="str">
        <f>VLOOKUP(A20,[1]LISTADHERENT!A$5:H$49,2)</f>
        <v>NKAMGANG JUSTIN DEJOLIE</v>
      </c>
      <c r="C20" s="8">
        <f t="shared" ref="C20" si="2">IF(E20="ECHEC",0,100000)</f>
        <v>100000</v>
      </c>
      <c r="D20" s="8">
        <f t="shared" si="1"/>
        <v>1000</v>
      </c>
      <c r="E20" s="7" t="s">
        <v>39</v>
      </c>
      <c r="F20" s="8"/>
      <c r="G20" s="8"/>
      <c r="J20" s="8">
        <v>127000</v>
      </c>
      <c r="K20" s="11">
        <v>42750</v>
      </c>
    </row>
    <row r="21" spans="1:11" x14ac:dyDescent="0.25">
      <c r="A21" s="1" t="s">
        <v>30</v>
      </c>
      <c r="B21" s="1" t="str">
        <f>VLOOKUP(A21,[1]LISTADHERENT!A$5:H$49,2)</f>
        <v>NKAMGANG JUSTIN DEJOLIE</v>
      </c>
      <c r="C21" s="8">
        <f t="shared" ref="C21" si="3">IF(E21="ECHEC",0,100000)</f>
        <v>100000</v>
      </c>
      <c r="D21" s="8">
        <f t="shared" si="1"/>
        <v>1000</v>
      </c>
      <c r="E21" s="7" t="s">
        <v>39</v>
      </c>
      <c r="F21" s="8"/>
      <c r="G21" s="8"/>
      <c r="J21" s="8"/>
    </row>
    <row r="22" spans="1:11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1000</v>
      </c>
      <c r="E22" s="7" t="s">
        <v>39</v>
      </c>
      <c r="F22" s="8"/>
      <c r="G22" s="8"/>
      <c r="J22" s="8">
        <v>127000</v>
      </c>
      <c r="K22" s="11">
        <v>42750</v>
      </c>
    </row>
    <row r="23" spans="1:11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1000</v>
      </c>
      <c r="E23" s="7" t="s">
        <v>39</v>
      </c>
      <c r="F23" s="8">
        <v>200000</v>
      </c>
      <c r="G23" s="8">
        <v>2000</v>
      </c>
      <c r="J23" s="8">
        <v>265000</v>
      </c>
      <c r="K23" s="11">
        <v>42568</v>
      </c>
    </row>
    <row r="24" spans="1:11" x14ac:dyDescent="0.25">
      <c r="A24" s="1" t="s">
        <v>32</v>
      </c>
      <c r="B24" s="1" t="str">
        <f>VLOOKUP(A24,[1]LISTADHERENT!A$5:H$49,2)</f>
        <v>SEUNOU RICHELOT</v>
      </c>
      <c r="C24" s="8">
        <f t="shared" ref="C24" si="4">IF(E24="ECHEC",0,100000)</f>
        <v>100000</v>
      </c>
      <c r="D24" s="8">
        <f t="shared" si="1"/>
        <v>0</v>
      </c>
      <c r="E24" s="7" t="s">
        <v>19</v>
      </c>
      <c r="F24" s="8"/>
      <c r="G24" s="8"/>
      <c r="J24" s="8"/>
    </row>
    <row r="25" spans="1:11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J25" s="8"/>
    </row>
    <row r="26" spans="1:11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1000</v>
      </c>
      <c r="E26" s="7" t="s">
        <v>39</v>
      </c>
      <c r="F26" s="8"/>
      <c r="G26" s="8"/>
      <c r="J26" s="8">
        <v>147000</v>
      </c>
      <c r="K26" s="11">
        <v>42632</v>
      </c>
    </row>
    <row r="27" spans="1:11" x14ac:dyDescent="0.25">
      <c r="A27" s="1" t="s">
        <v>34</v>
      </c>
      <c r="B27" s="1" t="str">
        <f>VLOOKUP(A27,[1]LISTADHERENT!A$5:H$49,2)</f>
        <v>SIME MATHIEU</v>
      </c>
      <c r="C27" s="8">
        <f t="shared" ref="C27" si="5">IF(E27="ECHEC",0,100000)</f>
        <v>100000</v>
      </c>
      <c r="D27" s="8">
        <f t="shared" si="1"/>
        <v>1000</v>
      </c>
      <c r="E27" s="7" t="s">
        <v>39</v>
      </c>
      <c r="F27" s="8"/>
      <c r="G27" s="8"/>
      <c r="J27" s="8">
        <v>155000</v>
      </c>
      <c r="K27" s="11">
        <v>42785</v>
      </c>
    </row>
    <row r="28" spans="1:11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J28" s="8"/>
    </row>
    <row r="29" spans="1:11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/>
      <c r="G29" s="8"/>
      <c r="J29" s="8">
        <v>270000</v>
      </c>
      <c r="K29" s="11">
        <v>42568</v>
      </c>
    </row>
    <row r="30" spans="1:11" x14ac:dyDescent="0.25">
      <c r="A30" s="1" t="s">
        <v>36</v>
      </c>
      <c r="B30" s="1" t="str">
        <f>VLOOKUP(A30,[1]LISTADHERENT!A$5:H$49,2)</f>
        <v>TIEYAM ERNEST</v>
      </c>
      <c r="C30" s="8">
        <f t="shared" ref="C30" si="6">IF(E30="ECHEC",0,100000)</f>
        <v>100000</v>
      </c>
      <c r="D30" s="8">
        <f t="shared" si="1"/>
        <v>0</v>
      </c>
      <c r="E30" s="7" t="s">
        <v>19</v>
      </c>
      <c r="F30" s="8"/>
      <c r="G30" s="8"/>
      <c r="J30" s="8">
        <v>170000</v>
      </c>
      <c r="K30" s="11">
        <v>42785</v>
      </c>
    </row>
    <row r="31" spans="1:11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13000</v>
      </c>
      <c r="E33" s="10"/>
      <c r="F33" s="10">
        <f>SUM(F6:F32)</f>
        <v>1000000</v>
      </c>
      <c r="G33" s="10">
        <f>SUM(G6:G32)</f>
        <v>10500</v>
      </c>
      <c r="H33" s="10">
        <f>SUM(H6:H32)</f>
        <v>0</v>
      </c>
      <c r="I33" s="10">
        <f>SUM(I6:I32)</f>
        <v>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pane xSplit="2" ySplit="5" topLeftCell="C21" activePane="bottomRight" state="frozen"/>
      <selection activeCell="I3" sqref="I3"/>
      <selection pane="topRight" activeCell="I3" sqref="I3"/>
      <selection pane="bottomLeft" activeCell="I3" sqref="I3"/>
      <selection pane="bottomRight" activeCell="D7" sqref="D7:D3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5">
        <v>42754</v>
      </c>
      <c r="D4" s="16"/>
      <c r="E4" s="16"/>
      <c r="F4" s="16"/>
      <c r="G4" s="16"/>
      <c r="H4" s="16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IF(E6="ESPECES",0,0)</f>
        <v>0</v>
      </c>
      <c r="E6" s="7" t="s">
        <v>39</v>
      </c>
      <c r="F6" s="8"/>
      <c r="G6" s="8"/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IF(E7="ESPECES",0,0)</f>
        <v>0</v>
      </c>
      <c r="E7" s="7" t="s">
        <v>19</v>
      </c>
      <c r="F7" s="8"/>
      <c r="G7" s="8"/>
      <c r="J7" s="8"/>
    </row>
    <row r="8" spans="1:12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>
        <v>200000</v>
      </c>
      <c r="G9" s="8">
        <v>4000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J11" s="8"/>
    </row>
    <row r="12" spans="1:12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J12" s="8"/>
    </row>
    <row r="13" spans="1:12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39</v>
      </c>
      <c r="F13" s="8"/>
      <c r="G13" s="8"/>
      <c r="J13" s="8"/>
    </row>
    <row r="14" spans="1:12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39</v>
      </c>
      <c r="F14" s="8">
        <v>100000</v>
      </c>
      <c r="G14" s="8">
        <v>1500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39</v>
      </c>
      <c r="F15" s="8">
        <v>100000</v>
      </c>
      <c r="G15" s="8">
        <v>1500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J16" s="8">
        <v>157000</v>
      </c>
      <c r="K16" s="11">
        <v>42632</v>
      </c>
    </row>
    <row r="17" spans="1:11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39</v>
      </c>
      <c r="F17" s="8">
        <v>100000</v>
      </c>
      <c r="G17" s="8">
        <v>1000</v>
      </c>
      <c r="J17" s="8"/>
    </row>
    <row r="18" spans="1:11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J18" s="8"/>
    </row>
    <row r="19" spans="1:11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39</v>
      </c>
      <c r="F19" s="8">
        <v>83000</v>
      </c>
      <c r="G19" s="8">
        <v>1000</v>
      </c>
      <c r="J19" s="8">
        <v>200000</v>
      </c>
      <c r="K19" s="11">
        <v>42603</v>
      </c>
    </row>
    <row r="20" spans="1:11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J20" s="8">
        <v>127000</v>
      </c>
      <c r="K20" s="11">
        <v>42750</v>
      </c>
    </row>
    <row r="21" spans="1:11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/>
      <c r="G21" s="8"/>
      <c r="J21" s="8"/>
    </row>
    <row r="22" spans="1:11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>
        <v>100000</v>
      </c>
      <c r="G22" s="8">
        <v>1000</v>
      </c>
      <c r="J22" s="8">
        <v>127000</v>
      </c>
      <c r="K22" s="11">
        <v>42750</v>
      </c>
    </row>
    <row r="23" spans="1:11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>
        <v>200000</v>
      </c>
      <c r="G23" s="8">
        <v>3500</v>
      </c>
      <c r="J23" s="8">
        <v>265000</v>
      </c>
      <c r="K23" s="11">
        <v>42568</v>
      </c>
    </row>
    <row r="24" spans="1:11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19</v>
      </c>
      <c r="F24" s="8"/>
      <c r="G24" s="8"/>
      <c r="J24" s="8"/>
    </row>
    <row r="25" spans="1:11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J25" s="8"/>
    </row>
    <row r="26" spans="1:11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39</v>
      </c>
      <c r="F26" s="8"/>
      <c r="G26" s="8"/>
      <c r="J26" s="8">
        <v>147000</v>
      </c>
      <c r="K26" s="11">
        <v>42632</v>
      </c>
    </row>
    <row r="27" spans="1:11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39</v>
      </c>
      <c r="F27" s="8"/>
      <c r="G27" s="8"/>
      <c r="J27" s="8">
        <v>155000</v>
      </c>
      <c r="K27" s="11">
        <v>42785</v>
      </c>
    </row>
    <row r="28" spans="1:11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J28" s="8"/>
    </row>
    <row r="29" spans="1:11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>
        <v>200000</v>
      </c>
      <c r="G29" s="8">
        <v>5000</v>
      </c>
      <c r="J29" s="8">
        <v>270000</v>
      </c>
      <c r="K29" s="11">
        <v>42568</v>
      </c>
    </row>
    <row r="30" spans="1:11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J30" s="8">
        <v>170000</v>
      </c>
      <c r="K30" s="11">
        <v>42785</v>
      </c>
    </row>
    <row r="31" spans="1:11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1083000</v>
      </c>
      <c r="G33" s="10">
        <f>SUM(G6:G32)</f>
        <v>18500</v>
      </c>
      <c r="H33" s="10">
        <f>SUM(H6:H32)</f>
        <v>0</v>
      </c>
      <c r="I33" s="10">
        <f>SUM(I6:I32)</f>
        <v>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30" activePane="bottomRight" state="frozen"/>
      <selection activeCell="I3" sqref="I3"/>
      <selection pane="topRight" activeCell="I3" sqref="I3"/>
      <selection pane="bottomLeft" activeCell="I3" sqref="I3"/>
      <selection pane="bottomRight" activeCell="E28" sqref="E28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5">
        <v>42785</v>
      </c>
      <c r="D4" s="16"/>
      <c r="E4" s="16"/>
      <c r="F4" s="16"/>
      <c r="G4" s="16"/>
      <c r="H4" s="16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IF(E6="ESPECES",1000,0)</f>
        <v>0</v>
      </c>
      <c r="E6" s="7" t="s">
        <v>19</v>
      </c>
      <c r="F6" s="8"/>
      <c r="G6" s="8"/>
      <c r="H6" s="8">
        <f>TONTJANV!F6+TONTJANV!G6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IF(E7="ESPECES",1000,0)</f>
        <v>0</v>
      </c>
      <c r="E7" s="7" t="s">
        <v>19</v>
      </c>
      <c r="F7" s="8"/>
      <c r="G7" s="8"/>
      <c r="H7" s="8">
        <f>TONTJANV!F7+TONTJANV!G7</f>
        <v>0</v>
      </c>
      <c r="J7" s="8"/>
    </row>
    <row r="8" spans="1:12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TONTJANV!F8+TONTJANV!G8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19</v>
      </c>
      <c r="F9" s="8">
        <f>100000+100000</f>
        <v>200000</v>
      </c>
      <c r="G9" s="8">
        <f>1000+2000</f>
        <v>3000</v>
      </c>
      <c r="H9" s="8">
        <f>TONTJANV!F9+TONTJANV!G9</f>
        <v>204000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H10" s="8">
        <f>TONTJANV!F10+TONTJANV!G10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H11" s="8">
        <f>TONTJANV!F11+TONTJANV!G11</f>
        <v>0</v>
      </c>
      <c r="J11" s="8"/>
    </row>
    <row r="12" spans="1:12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TONTJANV!F12+TONTJANV!G12</f>
        <v>0</v>
      </c>
      <c r="J12" s="8"/>
    </row>
    <row r="13" spans="1:12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/>
      <c r="G13" s="8"/>
      <c r="H13" s="8">
        <f>TONTJANV!F13+TONTJANV!G13</f>
        <v>0</v>
      </c>
      <c r="J13" s="8"/>
    </row>
    <row r="14" spans="1:12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19</v>
      </c>
      <c r="F14" s="8">
        <f>100000+100000</f>
        <v>200000</v>
      </c>
      <c r="G14" s="8">
        <f>1500+1500</f>
        <v>3000</v>
      </c>
      <c r="H14" s="8">
        <f>TONTJANV!F14+TONTJANV!G14</f>
        <v>101500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19</v>
      </c>
      <c r="F15" s="8">
        <f>100000+100000</f>
        <v>200000</v>
      </c>
      <c r="G15" s="8">
        <f>2000+1500</f>
        <v>3500</v>
      </c>
      <c r="H15" s="8">
        <f>TONTJANV!F15+TONTJANV!G15</f>
        <v>101500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TONTJANV!F16+TONTJANV!G16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TONTJANV!F17+TONTJANV!G17</f>
        <v>101000</v>
      </c>
      <c r="J17" s="8"/>
    </row>
    <row r="18" spans="1:12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TONTJANV!F18+TONTJANV!G18</f>
        <v>0</v>
      </c>
      <c r="J18" s="8"/>
    </row>
    <row r="19" spans="1:12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19</v>
      </c>
      <c r="F19" s="8">
        <f>100000+100000</f>
        <v>200000</v>
      </c>
      <c r="G19" s="8">
        <f>2000+1500</f>
        <v>3500</v>
      </c>
      <c r="H19" s="8">
        <f>TONTJANV!F19+TONTJANV!G19</f>
        <v>84000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19</v>
      </c>
      <c r="F20" s="8"/>
      <c r="G20" s="8"/>
      <c r="H20" s="8">
        <f>TONTJANV!F20+TONTJANV!G20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19</v>
      </c>
      <c r="F21" s="8"/>
      <c r="G21" s="8"/>
      <c r="H21" s="8">
        <f>TONTJANV!F21+TONTJANV!G21</f>
        <v>0</v>
      </c>
      <c r="J21" s="8"/>
    </row>
    <row r="22" spans="1:12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19</v>
      </c>
      <c r="F22" s="8"/>
      <c r="G22" s="8"/>
      <c r="H22" s="8">
        <f>TONTJANV!F22+TONTJANV!G22</f>
        <v>101000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19</v>
      </c>
      <c r="F23" s="8">
        <v>126500</v>
      </c>
      <c r="G23" s="8">
        <v>2000</v>
      </c>
      <c r="H23" s="8">
        <f>TONTJANV!F23+TONTJANV!G23</f>
        <v>203500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19</v>
      </c>
      <c r="F24" s="8"/>
      <c r="G24" s="8"/>
      <c r="H24" s="8">
        <f>TONTJANV!F24+TONTJANV!G24</f>
        <v>0</v>
      </c>
      <c r="J24" s="8"/>
    </row>
    <row r="25" spans="1:12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H25" s="8">
        <f>TONTJANV!F25+TONTJANV!G25</f>
        <v>0</v>
      </c>
      <c r="J25" s="8"/>
    </row>
    <row r="26" spans="1:12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TONTJANV!F26+TONTJANV!G26</f>
        <v>0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TONTJANV!F27+TONTJANV!G27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TONTJANV!F28+TONTJANV!G28</f>
        <v>0</v>
      </c>
      <c r="J28" s="8"/>
    </row>
    <row r="29" spans="1:12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>
        <v>100000</v>
      </c>
      <c r="G29" s="8">
        <v>1500</v>
      </c>
      <c r="H29" s="8">
        <f>TONTJANV!F29+TONTJANV!G29</f>
        <v>205000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H30" s="8">
        <f>TONTJANV!F30+TONTJANV!G30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TONTJANV!F31+TONTJANV!G31</f>
        <v>0</v>
      </c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1026500</v>
      </c>
      <c r="G33" s="10">
        <f>SUM(G6:G32)</f>
        <v>16500</v>
      </c>
      <c r="H33" s="10">
        <f>SUM(H6:H32)</f>
        <v>1101500</v>
      </c>
      <c r="I33" s="10">
        <f>SUM(I6:I32)</f>
        <v>0</v>
      </c>
    </row>
    <row r="36" spans="1:9" ht="18" x14ac:dyDescent="0.25">
      <c r="B36" s="10" t="s">
        <v>39</v>
      </c>
    </row>
    <row r="37" spans="1:9" ht="18" x14ac:dyDescent="0.25">
      <c r="B37" s="10" t="s">
        <v>19</v>
      </c>
      <c r="C37" s="10">
        <f>C33-C36</f>
        <v>2600000</v>
      </c>
    </row>
    <row r="38" spans="1:9" ht="18" x14ac:dyDescent="0.25">
      <c r="B38" s="10" t="s">
        <v>12</v>
      </c>
      <c r="C38" s="10">
        <f>H33</f>
        <v>1101500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21" activePane="bottomRight" state="frozen"/>
      <selection activeCell="I3" sqref="I3"/>
      <selection pane="topRight" activeCell="I3" sqref="I3"/>
      <selection pane="bottomLeft" activeCell="I3" sqref="I3"/>
      <selection pane="bottomRight" activeCell="D6" sqref="D6:D3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5">
        <v>42813</v>
      </c>
      <c r="D4" s="16"/>
      <c r="E4" s="16"/>
      <c r="F4" s="16"/>
      <c r="G4" s="16"/>
      <c r="H4" s="16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TONTJANV!F6+TONTJANV!G6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TONTJANV!F7+TONTJANV!G7</f>
        <v>0</v>
      </c>
      <c r="J7" s="8"/>
    </row>
    <row r="8" spans="1:12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TONTJANV!F8+TONTJANV!G8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>
        <v>200000</v>
      </c>
      <c r="G9" s="8">
        <v>5500</v>
      </c>
      <c r="H9" s="8">
        <f>TONTJANV!F9+TONTJANV!G9</f>
        <v>204000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H10" s="8">
        <f>TONTJANV!F10+TONTJANV!G10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H11" s="8">
        <f>TONTJANV!F11+TONTJANV!G11</f>
        <v>0</v>
      </c>
      <c r="J11" s="8"/>
    </row>
    <row r="12" spans="1:12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TONTJANV!F12+TONTJANV!G12</f>
        <v>0</v>
      </c>
      <c r="J12" s="8"/>
    </row>
    <row r="13" spans="1:12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/>
      <c r="G13" s="8"/>
      <c r="H13" s="8">
        <f>TONTJANV!F13+TONTJANV!G13</f>
        <v>0</v>
      </c>
      <c r="J13" s="8">
        <v>110000</v>
      </c>
      <c r="K13" s="11">
        <v>42448</v>
      </c>
    </row>
    <row r="14" spans="1:12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39</v>
      </c>
      <c r="F14" s="8">
        <v>200000</v>
      </c>
      <c r="G14" s="8">
        <v>7000</v>
      </c>
      <c r="H14" s="8">
        <f>TONTJANV!F14+TONTJANV!G14</f>
        <v>101500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19</v>
      </c>
      <c r="F15" s="8"/>
      <c r="G15" s="8"/>
      <c r="H15" s="8">
        <f>TONTJANV!F15+TONTJANV!G15</f>
        <v>101500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39</v>
      </c>
      <c r="F16" s="8"/>
      <c r="G16" s="8"/>
      <c r="H16" s="8">
        <f>TONTJANV!F16+TONTJANV!G16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39</v>
      </c>
      <c r="F17" s="8"/>
      <c r="G17" s="8"/>
      <c r="H17" s="8">
        <f>TONTJANV!F17+TONTJANV!G17</f>
        <v>101000</v>
      </c>
      <c r="J17" s="8"/>
    </row>
    <row r="18" spans="1:12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39</v>
      </c>
      <c r="F18" s="8"/>
      <c r="G18" s="8"/>
      <c r="H18" s="8">
        <f>TONTJANV!F18+TONTJANV!G18</f>
        <v>0</v>
      </c>
      <c r="J18" s="8"/>
    </row>
    <row r="19" spans="1:12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19</v>
      </c>
      <c r="F19" s="8">
        <v>100000</v>
      </c>
      <c r="G19" s="8">
        <v>2000</v>
      </c>
      <c r="H19" s="8">
        <f>TONTJANV!F19+TONTJANV!G19</f>
        <v>84000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H20" s="8">
        <f>TONTJANV!F20+TONTJANV!G20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/>
      <c r="G21" s="8"/>
      <c r="H21" s="8">
        <f>TONTJANV!F21+TONTJANV!G21</f>
        <v>0</v>
      </c>
      <c r="J21" s="8"/>
    </row>
    <row r="22" spans="1:12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/>
      <c r="G22" s="8"/>
      <c r="H22" s="8">
        <f>TONTJANV!F22+TONTJANV!G22</f>
        <v>101000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TONTJANV!F23+TONTJANV!G23</f>
        <v>203500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TONTJANV!F24+TONTJANV!G24</f>
        <v>0</v>
      </c>
      <c r="J24" s="8">
        <v>111000</v>
      </c>
      <c r="K24" s="11">
        <v>42813</v>
      </c>
    </row>
    <row r="25" spans="1:12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39</v>
      </c>
      <c r="F25" s="8"/>
      <c r="G25" s="8"/>
      <c r="H25" s="8">
        <f>TONTJANV!F25+TONTJANV!G25</f>
        <v>0</v>
      </c>
      <c r="J25" s="8"/>
    </row>
    <row r="26" spans="1:12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>
        <v>164000</v>
      </c>
      <c r="G26" s="8">
        <v>5500</v>
      </c>
      <c r="H26" s="8">
        <f>TONTJANV!F26+TONTJANV!G26</f>
        <v>0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TONTJANV!F27+TONTJANV!G27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TONTJANV!F28+TONTJANV!G28</f>
        <v>0</v>
      </c>
      <c r="J28" s="8"/>
    </row>
    <row r="29" spans="1:12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>
        <v>200000</v>
      </c>
      <c r="G29" s="8">
        <v>6000</v>
      </c>
      <c r="H29" s="8">
        <f>TONTJANV!F29+TONTJANV!G29</f>
        <v>205000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H30" s="8">
        <f>TONTJANV!F30+TONTJANV!G30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TONTJANV!F31+TONTJANV!G31</f>
        <v>0</v>
      </c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864000</v>
      </c>
      <c r="G33" s="10">
        <f>SUM(G6:G32)</f>
        <v>26000</v>
      </c>
      <c r="H33" s="10">
        <f>SUM(H6:H32)</f>
        <v>1101500</v>
      </c>
      <c r="I33" s="10">
        <f>SUM(I6:I32)</f>
        <v>0</v>
      </c>
    </row>
    <row r="36" spans="1:9" ht="18" x14ac:dyDescent="0.25">
      <c r="B36" s="10" t="s">
        <v>39</v>
      </c>
      <c r="C36" s="10">
        <f>C33-C37</f>
        <v>1200000</v>
      </c>
    </row>
    <row r="37" spans="1:9" ht="18" x14ac:dyDescent="0.25">
      <c r="B37" s="10" t="s">
        <v>19</v>
      </c>
      <c r="C37" s="10">
        <v>1400000</v>
      </c>
    </row>
    <row r="38" spans="1:9" ht="18" x14ac:dyDescent="0.25">
      <c r="B38" s="10" t="s">
        <v>12</v>
      </c>
      <c r="C38" s="10">
        <f>H33</f>
        <v>1101500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D6" activePane="bottomRight" state="frozen"/>
      <selection activeCell="I3" sqref="I3"/>
      <selection pane="topRight" activeCell="I3" sqref="I3"/>
      <selection pane="bottomLeft" activeCell="I3" sqref="I3"/>
      <selection pane="bottomRight" activeCell="D6" sqref="D6:D3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5">
        <v>42841</v>
      </c>
      <c r="D4" s="16"/>
      <c r="E4" s="16"/>
      <c r="F4" s="16"/>
      <c r="G4" s="16"/>
      <c r="H4" s="16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TONTMARS!F6+TONTMARS!G6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TONTMARS!F7+TONTMARS!G7</f>
        <v>0</v>
      </c>
      <c r="J7" s="8"/>
    </row>
    <row r="8" spans="1:12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TONTMARS!F8+TONTMARS!G8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>
        <f>100000+110000</f>
        <v>210000</v>
      </c>
      <c r="G9" s="8">
        <f>4000+11500</f>
        <v>15500</v>
      </c>
      <c r="H9" s="8">
        <f>TONTMARS!F9+TONTMARS!G9</f>
        <v>205500</v>
      </c>
      <c r="I9" t="s">
        <v>44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VLOOKUP(A10,[1]LISTADHERENT!A$5:H$49,2)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TONTMARS!F10+TONTMARS!G10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VLOOKUP(A11,[1]LISTADHERENT!A$5:H$49,2)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TONTMARS!F11+TONTMARS!G11</f>
        <v>0</v>
      </c>
      <c r="J11" s="8">
        <v>110000</v>
      </c>
      <c r="K11" s="11">
        <v>42476</v>
      </c>
    </row>
    <row r="12" spans="1:12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TONTMARS!F12+TONTMARS!G12</f>
        <v>0</v>
      </c>
      <c r="J12" s="8"/>
    </row>
    <row r="13" spans="1:12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/>
      <c r="G13" s="8"/>
      <c r="H13" s="8">
        <f>TONTMARS!F13+TONTMARS!G13</f>
        <v>0</v>
      </c>
      <c r="J13" s="8">
        <v>110000</v>
      </c>
      <c r="K13" s="11">
        <v>42448</v>
      </c>
    </row>
    <row r="14" spans="1:12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39</v>
      </c>
      <c r="F14" s="8">
        <f>100000+100000</f>
        <v>200000</v>
      </c>
      <c r="G14" s="8">
        <f>7000+11000</f>
        <v>18000</v>
      </c>
      <c r="H14" s="8">
        <f>TONTMARS!F14+TONTMARS!G14</f>
        <v>207000</v>
      </c>
      <c r="I14" t="s">
        <v>44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39</v>
      </c>
      <c r="F15" s="8"/>
      <c r="G15" s="8"/>
      <c r="H15" s="8">
        <f>TONTMARS!F15+TONTMARS!G15</f>
        <v>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TONTMARS!F16+TONTMARS!G16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TONTMARS!F17+TONTMARS!G17</f>
        <v>0</v>
      </c>
      <c r="J17" s="8"/>
    </row>
    <row r="18" spans="1:12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TONTMARS!F18+TONTMARS!G18</f>
        <v>0</v>
      </c>
      <c r="J18" s="8"/>
    </row>
    <row r="19" spans="1:12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39</v>
      </c>
      <c r="F19" s="8"/>
      <c r="G19" s="8"/>
      <c r="H19" s="8">
        <f>TONTMARS!F19+TONTMARS!G19</f>
        <v>102000</v>
      </c>
      <c r="I19" t="s">
        <v>44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H20" s="8">
        <f>TONTMARS!F20+TONTMARS!G20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/>
      <c r="G21" s="8"/>
      <c r="H21" s="8">
        <f>TONTMARS!F21+TONTMARS!G21</f>
        <v>0</v>
      </c>
      <c r="J21" s="8">
        <v>110000</v>
      </c>
      <c r="K21" s="11">
        <v>42841</v>
      </c>
    </row>
    <row r="22" spans="1:12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/>
      <c r="G22" s="8"/>
      <c r="H22" s="8">
        <f>TONTMARS!F22+TONTMARS!G22</f>
        <v>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>
        <v>100000</v>
      </c>
      <c r="G23" s="8">
        <v>7500</v>
      </c>
      <c r="H23" s="8">
        <f>TONTMARS!F23+TONTMARS!G23</f>
        <v>0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TONTMARS!F24+TONTMARS!G24</f>
        <v>0</v>
      </c>
      <c r="J24" s="8">
        <v>111000</v>
      </c>
      <c r="K24" s="11">
        <v>42813</v>
      </c>
    </row>
    <row r="25" spans="1:12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H25" s="8">
        <f>TONTMARS!F25+TONTMARS!G25</f>
        <v>0</v>
      </c>
      <c r="J25" s="8"/>
    </row>
    <row r="26" spans="1:12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TONTMARS!F26+TONTMARS!G26</f>
        <v>169500</v>
      </c>
      <c r="I26" t="s">
        <v>44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TONTMARS!F27+TONTMARS!G27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TONTMARS!F28+TONTMARS!G28</f>
        <v>0</v>
      </c>
      <c r="J28" s="8"/>
    </row>
    <row r="29" spans="1:12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39</v>
      </c>
      <c r="F29" s="8">
        <f>100000+100000</f>
        <v>200000</v>
      </c>
      <c r="G29" s="8">
        <f>5000+7000</f>
        <v>12000</v>
      </c>
      <c r="H29" s="8">
        <f>TONTMARS!F29+TONTMARS!G29</f>
        <v>206000</v>
      </c>
      <c r="I29" t="s">
        <v>44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39</v>
      </c>
      <c r="F30" s="8"/>
      <c r="G30" s="8"/>
      <c r="H30" s="8">
        <f>TONTMARS!F30+TONTMARS!G30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TONTMARS!F31+TONTMARS!G31</f>
        <v>0</v>
      </c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710000</v>
      </c>
      <c r="G33" s="10">
        <f>SUM(G6:G32)</f>
        <v>53000</v>
      </c>
      <c r="H33" s="10">
        <f>SUM(H6:H32)</f>
        <v>890000</v>
      </c>
      <c r="I33" s="10">
        <f>SUM(I6:I32)</f>
        <v>0</v>
      </c>
    </row>
    <row r="34" spans="1:9" x14ac:dyDescent="0.25">
      <c r="C34" s="2" t="s">
        <v>43</v>
      </c>
    </row>
    <row r="36" spans="1:9" ht="18" x14ac:dyDescent="0.25">
      <c r="B36" s="10" t="s">
        <v>39</v>
      </c>
      <c r="C36" s="10">
        <f>SUMIFS(C6:C31,E6:E31,"ESPECES")</f>
        <v>1200000</v>
      </c>
    </row>
    <row r="37" spans="1:9" ht="18" x14ac:dyDescent="0.25">
      <c r="B37" s="10" t="s">
        <v>19</v>
      </c>
      <c r="C37" s="10">
        <f>SUMIFS(C6:C31,E6:E31,"BANQUE")</f>
        <v>1400000</v>
      </c>
    </row>
    <row r="38" spans="1:9" ht="18" x14ac:dyDescent="0.25">
      <c r="B38" s="10" t="s">
        <v>12</v>
      </c>
      <c r="C38" s="10">
        <f>H33</f>
        <v>890000</v>
      </c>
    </row>
  </sheetData>
  <autoFilter ref="A5:L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D6" activePane="bottomRight" state="frozen"/>
      <selection activeCell="I3" sqref="I3"/>
      <selection pane="topRight" activeCell="I3" sqref="I3"/>
      <selection pane="bottomLeft" activeCell="I3" sqref="I3"/>
      <selection pane="bottomRight" activeCell="D6" sqref="D6:D3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5">
        <v>42876</v>
      </c>
      <c r="D4" s="16"/>
      <c r="E4" s="16"/>
      <c r="F4" s="16"/>
      <c r="G4" s="16"/>
      <c r="H4" s="16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TONTAVRIL!F6+TONTAVRIL!G6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TONTAVRIL!F7+TONTAVRIL!G7</f>
        <v>0</v>
      </c>
      <c r="J7" s="8"/>
    </row>
    <row r="8" spans="1:12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39</v>
      </c>
      <c r="F8" s="8"/>
      <c r="G8" s="8"/>
      <c r="H8" s="8">
        <f>TONTAVRIL!F8+TONTAVRIL!G8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>
        <v>100000</v>
      </c>
      <c r="G9" s="8">
        <v>3000</v>
      </c>
      <c r="H9" s="8">
        <f>TONTAVRIL!F9+TONTAVRIL!G9</f>
        <v>225500</v>
      </c>
      <c r="I9" t="s">
        <v>44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VLOOKUP(A10,[1]LISTADHERENT!A$5:H$49,2)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TONTAVRIL!F10+TONTAVRIL!G10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VLOOKUP(A11,[1]LISTADHERENT!A$5:H$49,2)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TONTAVRIL!F11+TONTAVRIL!G11</f>
        <v>0</v>
      </c>
      <c r="J11" s="8">
        <v>110000</v>
      </c>
      <c r="K11" s="11">
        <v>42476</v>
      </c>
    </row>
    <row r="12" spans="1:12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TONTAVRIL!F12+TONTAVRIL!G12</f>
        <v>0</v>
      </c>
      <c r="J12" s="8"/>
    </row>
    <row r="13" spans="1:12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/>
      <c r="G13" s="8"/>
      <c r="H13" s="8">
        <f>TONTAVRIL!F13+TONTAVRIL!G13</f>
        <v>0</v>
      </c>
      <c r="J13" s="8">
        <v>110000</v>
      </c>
      <c r="K13" s="11">
        <v>42448</v>
      </c>
    </row>
    <row r="14" spans="1:12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39</v>
      </c>
      <c r="F14" s="8">
        <v>218000</v>
      </c>
      <c r="G14" s="8">
        <v>36000</v>
      </c>
      <c r="H14" s="8">
        <f>TONTAVRIL!F14+TONTAVRIL!G14</f>
        <v>218000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19</v>
      </c>
      <c r="F15" s="8"/>
      <c r="G15" s="8"/>
      <c r="H15" s="8">
        <f>TONTAVRIL!F15+TONTAVRIL!G15</f>
        <v>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TONTAVRIL!F16+TONTAVRIL!G16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TONTAVRIL!F17+TONTAVRIL!G17</f>
        <v>0</v>
      </c>
      <c r="J17" s="8"/>
    </row>
    <row r="18" spans="1:12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TONTAVRIL!F18+TONTAVRIL!G18</f>
        <v>0</v>
      </c>
      <c r="J18" s="8"/>
    </row>
    <row r="19" spans="1:12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19</v>
      </c>
      <c r="F19" s="8"/>
      <c r="G19" s="8"/>
      <c r="H19" s="8">
        <f>TONTAVRIL!F19+TONTAVRIL!G19</f>
        <v>0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H20" s="8">
        <f>TONTAVRIL!F20+TONTAVRIL!G20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>
        <v>38000</v>
      </c>
      <c r="G21" s="8">
        <v>1000</v>
      </c>
      <c r="H21" s="8">
        <f>TONTAVRIL!F21+TONTAVRIL!G21</f>
        <v>0</v>
      </c>
      <c r="J21" s="8">
        <v>110000</v>
      </c>
      <c r="K21" s="11">
        <v>42841</v>
      </c>
    </row>
    <row r="22" spans="1:12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/>
      <c r="G22" s="8"/>
      <c r="H22" s="8">
        <f>TONTAVRIL!F22+TONTAVRIL!G22</f>
        <v>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TONTAVRIL!F23+TONTAVRIL!G23</f>
        <v>107500</v>
      </c>
      <c r="I23" t="s">
        <v>44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TONTAVRIL!F24+TONTAVRIL!G24</f>
        <v>0</v>
      </c>
      <c r="J24" s="8">
        <v>111000</v>
      </c>
      <c r="K24" s="11">
        <v>42813</v>
      </c>
    </row>
    <row r="25" spans="1:12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39</v>
      </c>
      <c r="F25" s="8"/>
      <c r="G25" s="8"/>
      <c r="H25" s="8">
        <f>TONTAVRIL!F25+TONTAVRIL!G25</f>
        <v>0</v>
      </c>
      <c r="J25" s="8">
        <v>100000</v>
      </c>
      <c r="K25" s="11">
        <v>42876</v>
      </c>
      <c r="L25" t="s">
        <v>46</v>
      </c>
    </row>
    <row r="26" spans="1:12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TONTAVRIL!F26+TONTAVRIL!G26</f>
        <v>0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TONTAVRIL!F27+TONTAVRIL!G27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TONTAVRIL!F28+TONTAVRIL!G28</f>
        <v>0</v>
      </c>
      <c r="J28" s="8">
        <v>100000</v>
      </c>
      <c r="K28" s="11">
        <v>42876</v>
      </c>
      <c r="L28" t="s">
        <v>45</v>
      </c>
    </row>
    <row r="29" spans="1:12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>
        <f>100000+100000</f>
        <v>200000</v>
      </c>
      <c r="G29" s="8">
        <f>10000+10000</f>
        <v>20000</v>
      </c>
      <c r="H29" s="8">
        <f>TONTAVRIL!F29+TONTAVRIL!G29</f>
        <v>212000</v>
      </c>
      <c r="I29" t="s">
        <v>44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H30" s="8">
        <f>TONTAVRIL!F30+TONTAVRIL!G30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TONTAVRIL!F31+TONTAVRIL!G31</f>
        <v>0</v>
      </c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556000</v>
      </c>
      <c r="G33" s="10">
        <f>SUM(G6:G32)</f>
        <v>60000</v>
      </c>
      <c r="H33" s="10">
        <f>SUM(H6:H32)</f>
        <v>763000</v>
      </c>
      <c r="I33" s="10">
        <f>SUM(I6:I32)</f>
        <v>0</v>
      </c>
    </row>
    <row r="34" spans="1:9" x14ac:dyDescent="0.25">
      <c r="C34" s="2" t="s">
        <v>43</v>
      </c>
    </row>
    <row r="36" spans="1:9" ht="18" x14ac:dyDescent="0.25">
      <c r="B36" s="10" t="s">
        <v>39</v>
      </c>
      <c r="C36" s="10">
        <f>SUMIFS(C6:C31,E6:E31,"ESPECES")</f>
        <v>1000000</v>
      </c>
    </row>
    <row r="37" spans="1:9" ht="18" x14ac:dyDescent="0.25">
      <c r="B37" s="10" t="s">
        <v>19</v>
      </c>
      <c r="C37" s="10">
        <f>SUMIFS(C6:C31,E6:E31,"BANQUE")</f>
        <v>1600000</v>
      </c>
    </row>
    <row r="38" spans="1:9" ht="18" x14ac:dyDescent="0.25">
      <c r="B38" s="10" t="s">
        <v>12</v>
      </c>
      <c r="C38" s="10">
        <f>H33</f>
        <v>763000</v>
      </c>
    </row>
  </sheetData>
  <autoFilter ref="A5:L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C4" sqref="C4:H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5">
        <v>42904</v>
      </c>
      <c r="D4" s="16"/>
      <c r="E4" s="16"/>
      <c r="F4" s="16"/>
      <c r="G4" s="16"/>
      <c r="H4" s="16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TONTMAI!F6+TONTMAI!G6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TONTMAI!F7+TONTMAI!G7</f>
        <v>0</v>
      </c>
      <c r="J7" s="8"/>
    </row>
    <row r="8" spans="1:12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TONTMAI!F8+TONTMAI!G8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/>
      <c r="G9" s="8"/>
      <c r="H9" s="8">
        <f>TONTMAI!F9+TONTMAI!G9</f>
        <v>103000</v>
      </c>
      <c r="I9" t="s">
        <v>44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VLOOKUP(A10,[1]LISTADHERENT!A$5:H$49,2)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TONTMAI!F10+TONTMAI!G10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VLOOKUP(A11,[1]LISTADHERENT!A$5:H$49,2)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TONTMAI!F11+TONTMAI!G11</f>
        <v>0</v>
      </c>
      <c r="J11" s="8">
        <v>110000</v>
      </c>
      <c r="K11" s="11">
        <v>42476</v>
      </c>
    </row>
    <row r="12" spans="1:12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TONTMAI!F12+TONTMAI!G12</f>
        <v>0</v>
      </c>
      <c r="J12" s="8">
        <v>126000</v>
      </c>
      <c r="K12" s="11">
        <v>42904</v>
      </c>
      <c r="L12" s="1" t="s">
        <v>48</v>
      </c>
    </row>
    <row r="13" spans="1:12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>
        <v>31000</v>
      </c>
      <c r="G13" s="8">
        <v>500</v>
      </c>
      <c r="H13" s="8">
        <f>TONTMAI!F13+TONTMAI!G13</f>
        <v>0</v>
      </c>
      <c r="J13" s="8">
        <v>110000</v>
      </c>
      <c r="K13" s="11">
        <v>42448</v>
      </c>
    </row>
    <row r="14" spans="1:12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19</v>
      </c>
      <c r="F14" s="8"/>
      <c r="G14" s="8"/>
      <c r="H14" s="8">
        <v>218000</v>
      </c>
      <c r="I14" t="s">
        <v>47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19</v>
      </c>
      <c r="F15" s="8"/>
      <c r="G15" s="8"/>
      <c r="H15" s="8">
        <f>TONTMAI!F15+TONTMAI!G15</f>
        <v>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TONTMAI!F16+TONTMAI!G16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TONTMAI!F17+TONTMAI!G17</f>
        <v>0</v>
      </c>
      <c r="J17" s="8"/>
    </row>
    <row r="18" spans="1:12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TONTMAI!F18+TONTMAI!G18</f>
        <v>0</v>
      </c>
      <c r="J18" s="8">
        <v>125000</v>
      </c>
      <c r="K18" s="11">
        <v>42904</v>
      </c>
      <c r="L18" s="1" t="s">
        <v>49</v>
      </c>
    </row>
    <row r="19" spans="1:12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19</v>
      </c>
      <c r="F19" s="8">
        <f>100000+100000</f>
        <v>200000</v>
      </c>
      <c r="G19" s="8">
        <f>2000+2000</f>
        <v>4000</v>
      </c>
      <c r="H19" s="8">
        <f>TONTMAI!F19+TONTMAI!G19</f>
        <v>0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19</v>
      </c>
      <c r="F20" s="8"/>
      <c r="G20" s="8"/>
      <c r="H20" s="8">
        <f>TONTMAI!F20+TONTMAI!G20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19</v>
      </c>
      <c r="F21" s="8"/>
      <c r="G21" s="8"/>
      <c r="H21" s="8">
        <f>TONTMAI!F21+TONTMAI!G21</f>
        <v>39000</v>
      </c>
      <c r="I21" t="s">
        <v>44</v>
      </c>
      <c r="J21" s="8">
        <v>110000</v>
      </c>
      <c r="K21" s="11">
        <v>42841</v>
      </c>
    </row>
    <row r="22" spans="1:12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/>
      <c r="G22" s="8"/>
      <c r="H22" s="8">
        <f>TONTMAI!F22+TONTMAI!G22</f>
        <v>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TONTMAI!F23+TONTMAI!G23</f>
        <v>0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TONTMAI!F24+TONTMAI!G24</f>
        <v>0</v>
      </c>
      <c r="J24" s="8">
        <v>111000</v>
      </c>
      <c r="K24" s="11">
        <v>42813</v>
      </c>
    </row>
    <row r="25" spans="1:12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H25" s="8">
        <f>TONTMAI!F25+TONTMAI!G25</f>
        <v>0</v>
      </c>
      <c r="J25" s="8">
        <v>100000</v>
      </c>
      <c r="K25" s="11">
        <v>42876</v>
      </c>
      <c r="L25" t="s">
        <v>46</v>
      </c>
    </row>
    <row r="26" spans="1:12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TONTMAI!F26+TONTMAI!G26</f>
        <v>0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TONTMAI!F27+TONTMAI!G27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TONTMAI!F28+TONTMAI!G28</f>
        <v>0</v>
      </c>
      <c r="J28" s="8">
        <v>100000</v>
      </c>
      <c r="K28" s="11">
        <v>42876</v>
      </c>
      <c r="L28" t="s">
        <v>45</v>
      </c>
    </row>
    <row r="29" spans="1:12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>
        <f>100000+100000</f>
        <v>200000</v>
      </c>
      <c r="G29" s="8">
        <f>4000+3000</f>
        <v>7000</v>
      </c>
      <c r="H29" s="8">
        <f>TONTMAI!F29+TONTMAI!G29</f>
        <v>220000</v>
      </c>
      <c r="I29" t="s">
        <v>44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H30" s="8">
        <f>TONTMAI!F30+TONTMAI!G30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TONTMAI!F31+TONTMAI!G31</f>
        <v>0</v>
      </c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431000</v>
      </c>
      <c r="G33" s="10">
        <f>SUM(G6:G32)</f>
        <v>11500</v>
      </c>
      <c r="H33" s="10">
        <f>SUM(H6:H32)</f>
        <v>580000</v>
      </c>
      <c r="I33" s="10">
        <f>SUM(I6:I32)</f>
        <v>0</v>
      </c>
    </row>
    <row r="34" spans="1:9" x14ac:dyDescent="0.25">
      <c r="C34" s="2" t="s">
        <v>43</v>
      </c>
    </row>
    <row r="36" spans="1:9" ht="18" x14ac:dyDescent="0.25">
      <c r="B36" s="10" t="s">
        <v>39</v>
      </c>
      <c r="C36" s="10">
        <f>SUMIFS(C6:C31,E6:E31,"ESPECES")</f>
        <v>500000</v>
      </c>
      <c r="E36" s="10">
        <v>375000</v>
      </c>
      <c r="F36" s="10">
        <f>C36+E36</f>
        <v>875000</v>
      </c>
      <c r="G36" s="10"/>
    </row>
    <row r="37" spans="1:9" ht="18" x14ac:dyDescent="0.25">
      <c r="B37" s="10" t="s">
        <v>19</v>
      </c>
      <c r="C37" s="10">
        <f>SUMIFS(C6:C31,E6:E31,"BANQUE")</f>
        <v>2100000</v>
      </c>
      <c r="E37" s="10">
        <v>205000</v>
      </c>
      <c r="F37" s="10">
        <f>C37+E37</f>
        <v>2305000</v>
      </c>
      <c r="G37" s="10"/>
    </row>
    <row r="38" spans="1:9" ht="18" x14ac:dyDescent="0.25">
      <c r="B38" s="10" t="s">
        <v>12</v>
      </c>
      <c r="C38" s="10">
        <f>H33</f>
        <v>580000</v>
      </c>
    </row>
  </sheetData>
  <autoFilter ref="A5:L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24" activePane="bottomRight" state="frozen"/>
      <selection activeCell="I3" sqref="I3"/>
      <selection pane="topRight" activeCell="I3" sqref="I3"/>
      <selection pane="bottomLeft" activeCell="I3" sqref="I3"/>
      <selection pane="bottomRight" activeCell="F13" sqref="F1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5">
        <v>42932</v>
      </c>
      <c r="D4" s="16"/>
      <c r="E4" s="16"/>
      <c r="F4" s="16"/>
      <c r="G4" s="16"/>
      <c r="H4" s="16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TONTJUIN!F6+TONTJUIN!G6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TONTJUIN!F7+TONTJUIN!G7</f>
        <v>0</v>
      </c>
      <c r="J7" s="8"/>
    </row>
    <row r="8" spans="1:12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TONTJUIN!F8+TONTJUIN!G8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19</v>
      </c>
      <c r="F9" s="8"/>
      <c r="G9" s="8"/>
      <c r="H9" s="8">
        <f>TONTJUIN!F9+TONTJUIN!G9</f>
        <v>0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VLOOKUP(A10,[1]LISTADHERENT!A$5:H$49,2)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TONTJUIN!F10+TONTJUIN!G10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VLOOKUP(A11,[1]LISTADHERENT!A$5:H$49,2)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TONTJUIN!F11+TONTJUIN!G11</f>
        <v>0</v>
      </c>
      <c r="J11" s="8">
        <v>110000</v>
      </c>
      <c r="K11" s="11">
        <v>42476</v>
      </c>
    </row>
    <row r="12" spans="1:12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TONTJUIN!F12+TONTJUIN!G12</f>
        <v>0</v>
      </c>
      <c r="J12" s="8">
        <v>126000</v>
      </c>
      <c r="K12" s="11">
        <v>42904</v>
      </c>
      <c r="L12" s="1" t="s">
        <v>48</v>
      </c>
    </row>
    <row r="13" spans="1:12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>
        <v>79500</v>
      </c>
      <c r="G13" s="8">
        <v>5000</v>
      </c>
      <c r="H13" s="8">
        <f>TONTJUIN!F13+TONTJUIN!G13</f>
        <v>31500</v>
      </c>
      <c r="I13" t="s">
        <v>50</v>
      </c>
      <c r="J13" s="8">
        <v>110000</v>
      </c>
      <c r="K13" s="11">
        <v>42448</v>
      </c>
    </row>
    <row r="14" spans="1:12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19</v>
      </c>
      <c r="F14" s="8"/>
      <c r="G14" s="8"/>
      <c r="H14" s="8">
        <f>TONTJUIN!F14+TONTJUIN!G14</f>
        <v>0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19</v>
      </c>
      <c r="F15" s="8"/>
      <c r="G15" s="8"/>
      <c r="H15" s="8">
        <f>TONTJUIN!F15+TONTJUIN!G15</f>
        <v>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TONTJUIN!F16+TONTJUIN!G16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TONTJUIN!F17+TONTJUIN!G17</f>
        <v>0</v>
      </c>
      <c r="J17" s="8">
        <v>101000</v>
      </c>
      <c r="K17" s="11">
        <v>42932</v>
      </c>
    </row>
    <row r="18" spans="1:12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TONTJUIN!F18+TONTJUIN!G18</f>
        <v>0</v>
      </c>
      <c r="J18" s="8">
        <v>125000</v>
      </c>
      <c r="K18" s="11">
        <v>42904</v>
      </c>
      <c r="L18" s="1" t="s">
        <v>49</v>
      </c>
    </row>
    <row r="19" spans="1:12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39</v>
      </c>
      <c r="F19" s="8">
        <v>100000</v>
      </c>
      <c r="G19" s="8">
        <v>9000</v>
      </c>
      <c r="H19" s="8">
        <f>TONTJUIN!F19+TONTJUIN!G19</f>
        <v>204000</v>
      </c>
      <c r="I19" t="s">
        <v>50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H20" s="8">
        <f>TONTJUIN!F20+TONTJUIN!G20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/>
      <c r="G21" s="8"/>
      <c r="H21" s="8">
        <f>TONTJUIN!F21+TONTJUIN!G21</f>
        <v>0</v>
      </c>
      <c r="J21" s="8">
        <v>110000</v>
      </c>
      <c r="K21" s="11">
        <v>42841</v>
      </c>
    </row>
    <row r="22" spans="1:12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19</v>
      </c>
      <c r="F22" s="8"/>
      <c r="G22" s="8"/>
      <c r="H22" s="8">
        <f>TONTJUIN!F22+TONTJUIN!G22</f>
        <v>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TONTJUIN!F23+TONTJUIN!G23</f>
        <v>0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TONTJUIN!F24+TONTJUIN!G24</f>
        <v>0</v>
      </c>
      <c r="J24" s="8">
        <v>111000</v>
      </c>
      <c r="K24" s="11">
        <v>42813</v>
      </c>
    </row>
    <row r="25" spans="1:12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39</v>
      </c>
      <c r="F25" s="8"/>
      <c r="G25" s="8"/>
      <c r="H25" s="8">
        <f>TONTJUIN!F25+TONTJUIN!G25</f>
        <v>0</v>
      </c>
      <c r="J25" s="8">
        <v>100000</v>
      </c>
      <c r="K25" s="11">
        <v>42876</v>
      </c>
      <c r="L25" t="s">
        <v>46</v>
      </c>
    </row>
    <row r="26" spans="1:12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TONTJUIN!F26+TONTJUIN!G26</f>
        <v>0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TONTJUIN!F27+TONTJUIN!G27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TONTJUIN!F28+TONTJUIN!G28</f>
        <v>0</v>
      </c>
      <c r="J28" s="8">
        <v>100000</v>
      </c>
      <c r="K28" s="11">
        <v>42876</v>
      </c>
      <c r="L28" t="s">
        <v>45</v>
      </c>
    </row>
    <row r="29" spans="1:12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39</v>
      </c>
      <c r="F29" s="8">
        <v>100000</v>
      </c>
      <c r="G29" s="8">
        <v>10000</v>
      </c>
      <c r="H29" s="8">
        <f>TONTJUIN!F29+TONTJUIN!G29</f>
        <v>207000</v>
      </c>
      <c r="I29" t="s">
        <v>50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39</v>
      </c>
      <c r="F30" s="8"/>
      <c r="G30" s="8"/>
      <c r="H30" s="8">
        <f>TONTJUIN!F30+TONTJUIN!G30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TONTJUIN!F31+TONTJUIN!G31</f>
        <v>0</v>
      </c>
      <c r="J31" s="8">
        <v>100000</v>
      </c>
      <c r="K31" s="11">
        <v>42932</v>
      </c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279500</v>
      </c>
      <c r="G33" s="10">
        <f>SUM(G6:G32)</f>
        <v>24000</v>
      </c>
      <c r="H33" s="10">
        <f>SUM(H6:H32)</f>
        <v>442500</v>
      </c>
      <c r="I33" s="10">
        <f>SUM(I6:I32)</f>
        <v>0</v>
      </c>
    </row>
    <row r="34" spans="1:9" x14ac:dyDescent="0.25">
      <c r="C34" s="2" t="s">
        <v>43</v>
      </c>
    </row>
    <row r="36" spans="1:9" ht="18" x14ac:dyDescent="0.25">
      <c r="B36" s="10" t="s">
        <v>39</v>
      </c>
      <c r="C36" s="10">
        <f>SUMIFS(C6:C31,E6:E31,"ESPECES")</f>
        <v>900000</v>
      </c>
      <c r="E36" s="10">
        <v>375000</v>
      </c>
      <c r="F36" s="10">
        <f>C36+E36</f>
        <v>1275000</v>
      </c>
      <c r="G36" s="10"/>
    </row>
    <row r="37" spans="1:9" ht="18" x14ac:dyDescent="0.25">
      <c r="B37" s="10" t="s">
        <v>19</v>
      </c>
      <c r="C37" s="10">
        <f>SUMIFS(C6:C31,E6:E31,"BANQUE")</f>
        <v>1700000</v>
      </c>
      <c r="E37" s="10">
        <v>205000</v>
      </c>
      <c r="F37" s="10">
        <f>C37+E37</f>
        <v>1905000</v>
      </c>
      <c r="G37" s="10"/>
    </row>
    <row r="38" spans="1:9" ht="18" x14ac:dyDescent="0.25">
      <c r="B38" s="10" t="s">
        <v>12</v>
      </c>
      <c r="C38" s="10">
        <f>H33</f>
        <v>442500</v>
      </c>
    </row>
  </sheetData>
  <autoFilter ref="A5:L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5" topLeftCell="G27" activePane="bottomRight" state="frozen"/>
      <selection activeCell="I3" sqref="I3"/>
      <selection pane="topRight" activeCell="I3" sqref="I3"/>
      <selection pane="bottomLeft" activeCell="I3" sqref="I3"/>
      <selection pane="bottomRight" activeCell="C40" sqref="C4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8.140625" bestFit="1" customWidth="1"/>
    <col min="9" max="9" width="21.28515625" bestFit="1" customWidth="1"/>
    <col min="10" max="10" width="19" bestFit="1" customWidth="1"/>
    <col min="13" max="13" width="24.5703125" style="12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4">
        <v>100000</v>
      </c>
    </row>
    <row r="4" spans="1:14" ht="18" x14ac:dyDescent="0.25">
      <c r="B4" s="5"/>
      <c r="C4" s="15">
        <v>42967</v>
      </c>
      <c r="D4" s="16"/>
      <c r="E4" s="16"/>
      <c r="F4" s="16"/>
      <c r="G4" s="16"/>
      <c r="H4" s="16"/>
      <c r="N4">
        <v>26</v>
      </c>
    </row>
    <row r="5" spans="1:14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  <c r="M5" s="13" t="s">
        <v>51</v>
      </c>
      <c r="N5" s="6" t="s">
        <v>52</v>
      </c>
    </row>
    <row r="6" spans="1:14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TONTJUIL!F6+TONTJUIL!G6</f>
        <v>0</v>
      </c>
      <c r="J6" s="8">
        <v>200000</v>
      </c>
      <c r="K6" s="11">
        <v>42694</v>
      </c>
      <c r="M6" s="12">
        <f t="shared" ref="M6:M31" si="2">$C$42/$N$4</f>
        <v>57826.923076923078</v>
      </c>
      <c r="N6">
        <f>M6-57000</f>
        <v>826.92307692307804</v>
      </c>
    </row>
    <row r="7" spans="1:14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TONTJUIL!F7+TONTJUIL!G7</f>
        <v>0</v>
      </c>
      <c r="J7" s="8">
        <v>100000</v>
      </c>
      <c r="K7" s="11">
        <v>42967</v>
      </c>
      <c r="M7" s="12">
        <f t="shared" si="2"/>
        <v>57826.923076923078</v>
      </c>
      <c r="N7">
        <f t="shared" ref="N7:N31" si="3">M7-57000</f>
        <v>826.92307692307804</v>
      </c>
    </row>
    <row r="8" spans="1:14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TONTJUIL!F8+TONTJUIL!G8</f>
        <v>0</v>
      </c>
      <c r="J8" s="8">
        <v>155000</v>
      </c>
      <c r="K8" s="11">
        <v>42723</v>
      </c>
      <c r="M8" s="12">
        <f t="shared" si="2"/>
        <v>57826.923076923078</v>
      </c>
      <c r="N8">
        <f t="shared" si="3"/>
        <v>826.92307692307804</v>
      </c>
    </row>
    <row r="9" spans="1:14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/>
      <c r="G9" s="8"/>
      <c r="H9" s="8">
        <f>TONTJUIL!F9+TONTJUIL!G9</f>
        <v>0</v>
      </c>
      <c r="J9" s="8">
        <v>191000</v>
      </c>
      <c r="K9" s="11">
        <v>42603</v>
      </c>
      <c r="M9" s="12">
        <f t="shared" si="2"/>
        <v>57826.923076923078</v>
      </c>
      <c r="N9">
        <f t="shared" si="3"/>
        <v>826.92307692307804</v>
      </c>
    </row>
    <row r="10" spans="1:14" x14ac:dyDescent="0.25">
      <c r="A10" s="1" t="s">
        <v>22</v>
      </c>
      <c r="B10" s="1" t="str">
        <f>VLOOKUP(A10,[1]LISTADHERENT!A$5:H$49,2)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TONTJUIL!F10+TONTJUIL!G10</f>
        <v>0</v>
      </c>
      <c r="J10" s="8">
        <v>195000</v>
      </c>
      <c r="K10" s="11">
        <v>42694</v>
      </c>
      <c r="M10" s="12">
        <f t="shared" si="2"/>
        <v>57826.923076923078</v>
      </c>
      <c r="N10">
        <f t="shared" si="3"/>
        <v>826.92307692307804</v>
      </c>
    </row>
    <row r="11" spans="1:14" x14ac:dyDescent="0.25">
      <c r="A11" s="1" t="s">
        <v>22</v>
      </c>
      <c r="B11" s="1" t="str">
        <f>VLOOKUP(A11,[1]LISTADHERENT!A$5:H$49,2)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TONTJUIL!F11+TONTJUIL!G11</f>
        <v>0</v>
      </c>
      <c r="J11" s="8">
        <v>110000</v>
      </c>
      <c r="K11" s="11">
        <v>42476</v>
      </c>
      <c r="M11" s="12">
        <f t="shared" si="2"/>
        <v>57826.923076923078</v>
      </c>
      <c r="N11">
        <f t="shared" si="3"/>
        <v>826.92307692307804</v>
      </c>
    </row>
    <row r="12" spans="1:14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TONTJUIL!F12+TONTJUIL!G12</f>
        <v>0</v>
      </c>
      <c r="J12" s="8">
        <v>126000</v>
      </c>
      <c r="K12" s="11">
        <v>42904</v>
      </c>
      <c r="L12" t="s">
        <v>48</v>
      </c>
      <c r="M12" s="12">
        <f t="shared" si="2"/>
        <v>57826.923076923078</v>
      </c>
      <c r="N12">
        <f t="shared" si="3"/>
        <v>826.92307692307804</v>
      </c>
    </row>
    <row r="13" spans="1:14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/>
      <c r="G13" s="8"/>
      <c r="H13" s="8">
        <f>TONTJUIL!F13+TONTJUIL!G13</f>
        <v>84500</v>
      </c>
      <c r="I13" t="s">
        <v>44</v>
      </c>
      <c r="J13" s="8">
        <v>110000</v>
      </c>
      <c r="K13" s="11">
        <v>42448</v>
      </c>
      <c r="M13" s="12">
        <f t="shared" si="2"/>
        <v>57826.923076923078</v>
      </c>
      <c r="N13">
        <f t="shared" si="3"/>
        <v>826.92307692307804</v>
      </c>
    </row>
    <row r="14" spans="1:14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39</v>
      </c>
      <c r="F14" s="8"/>
      <c r="G14" s="8"/>
      <c r="H14" s="8">
        <f>TONTJUIL!F14+TONTJUIL!G14</f>
        <v>0</v>
      </c>
      <c r="J14" s="8">
        <v>136000</v>
      </c>
      <c r="K14" s="11">
        <v>42659</v>
      </c>
      <c r="M14" s="12">
        <f t="shared" si="2"/>
        <v>57826.923076923078</v>
      </c>
      <c r="N14">
        <f t="shared" si="3"/>
        <v>826.92307692307804</v>
      </c>
    </row>
    <row r="15" spans="1:14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39</v>
      </c>
      <c r="F15" s="8"/>
      <c r="G15" s="8"/>
      <c r="H15" s="8">
        <f>TONTJUIL!F15+TONTJUIL!G15</f>
        <v>0</v>
      </c>
      <c r="J15" s="8">
        <v>136000</v>
      </c>
      <c r="K15" s="11">
        <v>42659</v>
      </c>
      <c r="M15" s="12">
        <f t="shared" si="2"/>
        <v>57826.923076923078</v>
      </c>
      <c r="N15">
        <f t="shared" si="3"/>
        <v>826.92307692307804</v>
      </c>
    </row>
    <row r="16" spans="1:14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TONTJUIL!F16+TONTJUIL!G16</f>
        <v>0</v>
      </c>
      <c r="J16" s="8">
        <v>157000</v>
      </c>
      <c r="K16" s="11">
        <v>42632</v>
      </c>
      <c r="M16" s="12">
        <f t="shared" si="2"/>
        <v>57826.923076923078</v>
      </c>
      <c r="N16">
        <f t="shared" si="3"/>
        <v>826.92307692307804</v>
      </c>
    </row>
    <row r="17" spans="1:14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TONTJUIL!F17+TONTJUIL!G17</f>
        <v>0</v>
      </c>
      <c r="J17" s="8">
        <v>101000</v>
      </c>
      <c r="K17" s="11">
        <v>42932</v>
      </c>
      <c r="M17" s="12">
        <f t="shared" si="2"/>
        <v>57826.923076923078</v>
      </c>
      <c r="N17">
        <f t="shared" si="3"/>
        <v>826.92307692307804</v>
      </c>
    </row>
    <row r="18" spans="1:14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TONTJUIL!F18+TONTJUIL!G18</f>
        <v>0</v>
      </c>
      <c r="J18" s="8">
        <v>125000</v>
      </c>
      <c r="K18" s="11">
        <v>42904</v>
      </c>
      <c r="L18" t="s">
        <v>49</v>
      </c>
      <c r="M18" s="12">
        <f t="shared" si="2"/>
        <v>57826.923076923078</v>
      </c>
      <c r="N18">
        <f t="shared" si="3"/>
        <v>826.92307692307804</v>
      </c>
    </row>
    <row r="19" spans="1:14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39</v>
      </c>
      <c r="F19" s="8"/>
      <c r="G19" s="8"/>
      <c r="H19" s="8">
        <f>TONTJUIL!F19+TONTJUIL!G19</f>
        <v>109000</v>
      </c>
      <c r="I19" t="s">
        <v>44</v>
      </c>
      <c r="J19" s="8">
        <v>200000</v>
      </c>
      <c r="K19" s="11">
        <v>42603</v>
      </c>
      <c r="M19" s="12">
        <f t="shared" si="2"/>
        <v>57826.923076923078</v>
      </c>
      <c r="N19">
        <f t="shared" si="3"/>
        <v>826.92307692307804</v>
      </c>
    </row>
    <row r="20" spans="1:14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H20" s="8">
        <f>TONTJUIL!F20+TONTJUIL!G20</f>
        <v>0</v>
      </c>
      <c r="J20" s="8">
        <v>127000</v>
      </c>
      <c r="K20" s="11">
        <v>42750</v>
      </c>
      <c r="M20" s="12">
        <f t="shared" si="2"/>
        <v>57826.923076923078</v>
      </c>
      <c r="N20">
        <f t="shared" si="3"/>
        <v>826.92307692307804</v>
      </c>
    </row>
    <row r="21" spans="1:14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/>
      <c r="G21" s="8"/>
      <c r="H21" s="8">
        <f>TONTJUIL!F21+TONTJUIL!G21</f>
        <v>0</v>
      </c>
      <c r="J21" s="8">
        <v>110000</v>
      </c>
      <c r="K21" s="11">
        <v>42841</v>
      </c>
      <c r="M21" s="12">
        <f t="shared" si="2"/>
        <v>57826.923076923078</v>
      </c>
      <c r="N21">
        <f t="shared" si="3"/>
        <v>826.92307692307804</v>
      </c>
    </row>
    <row r="22" spans="1:14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/>
      <c r="G22" s="8"/>
      <c r="H22" s="8">
        <f>TONTJUIL!F22+TONTJUIL!G22</f>
        <v>0</v>
      </c>
      <c r="J22" s="8">
        <v>127000</v>
      </c>
      <c r="K22" s="11">
        <v>42750</v>
      </c>
      <c r="M22" s="12">
        <f t="shared" si="2"/>
        <v>57826.923076923078</v>
      </c>
      <c r="N22">
        <f t="shared" si="3"/>
        <v>826.92307692307804</v>
      </c>
    </row>
    <row r="23" spans="1:14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TONTJUIL!F23+TONTJUIL!G23</f>
        <v>0</v>
      </c>
      <c r="J23" s="8">
        <v>265000</v>
      </c>
      <c r="K23" s="11">
        <v>42568</v>
      </c>
      <c r="M23" s="12">
        <f t="shared" si="2"/>
        <v>57826.923076923078</v>
      </c>
      <c r="N23">
        <f t="shared" si="3"/>
        <v>826.92307692307804</v>
      </c>
    </row>
    <row r="24" spans="1:14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TONTJUIL!F24+TONTJUIL!G24</f>
        <v>0</v>
      </c>
      <c r="J24" s="8">
        <v>111000</v>
      </c>
      <c r="K24" s="11">
        <v>42813</v>
      </c>
      <c r="M24" s="12">
        <f t="shared" si="2"/>
        <v>57826.923076923078</v>
      </c>
      <c r="N24">
        <f t="shared" si="3"/>
        <v>826.92307692307804</v>
      </c>
    </row>
    <row r="25" spans="1:14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H25" s="8">
        <f>TONTJUIL!F25+TONTJUIL!G25</f>
        <v>0</v>
      </c>
      <c r="J25" s="8">
        <v>100000</v>
      </c>
      <c r="K25" s="11">
        <v>42876</v>
      </c>
      <c r="L25" t="s">
        <v>46</v>
      </c>
      <c r="M25" s="12">
        <f t="shared" si="2"/>
        <v>57826.923076923078</v>
      </c>
      <c r="N25">
        <f t="shared" si="3"/>
        <v>826.92307692307804</v>
      </c>
    </row>
    <row r="26" spans="1:14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TONTJUIL!F26+TONTJUIL!G26</f>
        <v>0</v>
      </c>
      <c r="J26" s="8">
        <v>147000</v>
      </c>
      <c r="K26" s="11">
        <v>42632</v>
      </c>
      <c r="M26" s="12">
        <f t="shared" si="2"/>
        <v>57826.923076923078</v>
      </c>
      <c r="N26">
        <f t="shared" si="3"/>
        <v>826.92307692307804</v>
      </c>
    </row>
    <row r="27" spans="1:14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TONTJUIL!F27+TONTJUIL!G27</f>
        <v>0</v>
      </c>
      <c r="J27" s="8">
        <v>155000</v>
      </c>
      <c r="K27" s="11">
        <v>42785</v>
      </c>
      <c r="L27" t="s">
        <v>42</v>
      </c>
      <c r="M27" s="12">
        <f t="shared" si="2"/>
        <v>57826.923076923078</v>
      </c>
      <c r="N27">
        <f t="shared" si="3"/>
        <v>826.92307692307804</v>
      </c>
    </row>
    <row r="28" spans="1:14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TONTJUIL!F28+TONTJUIL!G28</f>
        <v>0</v>
      </c>
      <c r="J28" s="8">
        <v>100000</v>
      </c>
      <c r="K28" s="11">
        <v>42876</v>
      </c>
      <c r="L28" t="s">
        <v>45</v>
      </c>
      <c r="M28" s="12">
        <f t="shared" si="2"/>
        <v>57826.923076923078</v>
      </c>
      <c r="N28">
        <f t="shared" si="3"/>
        <v>826.92307692307804</v>
      </c>
    </row>
    <row r="29" spans="1:14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39</v>
      </c>
      <c r="F29" s="8"/>
      <c r="G29" s="8"/>
      <c r="H29" s="8">
        <f>TONTJUIL!F29+TONTJUIL!G29</f>
        <v>110000</v>
      </c>
      <c r="I29" t="s">
        <v>44</v>
      </c>
      <c r="J29" s="8">
        <v>270000</v>
      </c>
      <c r="K29" s="11">
        <v>42568</v>
      </c>
      <c r="M29" s="12">
        <f t="shared" si="2"/>
        <v>57826.923076923078</v>
      </c>
      <c r="N29">
        <f t="shared" si="3"/>
        <v>826.92307692307804</v>
      </c>
    </row>
    <row r="30" spans="1:14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39</v>
      </c>
      <c r="F30" s="8"/>
      <c r="G30" s="8"/>
      <c r="H30" s="8">
        <f>TONTJUIL!F30+TONTJUIL!G30</f>
        <v>0</v>
      </c>
      <c r="J30" s="8">
        <v>170000</v>
      </c>
      <c r="K30" s="11">
        <v>42785</v>
      </c>
      <c r="L30" t="s">
        <v>41</v>
      </c>
      <c r="M30" s="12">
        <f t="shared" si="2"/>
        <v>57826.923076923078</v>
      </c>
      <c r="N30">
        <f t="shared" si="3"/>
        <v>826.92307692307804</v>
      </c>
    </row>
    <row r="31" spans="1:14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TONTJUIL!F31+TONTJUIL!G31</f>
        <v>0</v>
      </c>
      <c r="J31" s="8">
        <v>100000</v>
      </c>
      <c r="K31" s="11">
        <v>42932</v>
      </c>
      <c r="M31" s="12">
        <f t="shared" si="2"/>
        <v>57826.923076923078</v>
      </c>
      <c r="N31">
        <f t="shared" si="3"/>
        <v>826.92307692307804</v>
      </c>
    </row>
    <row r="33" spans="1:14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0</v>
      </c>
      <c r="G33" s="10">
        <f>SUM(G6:G32)</f>
        <v>0</v>
      </c>
      <c r="H33" s="10">
        <f>SUM(H6:H32)</f>
        <v>303500</v>
      </c>
      <c r="I33" s="10">
        <f>SUM(I6:I32)</f>
        <v>0</v>
      </c>
      <c r="M33" s="10">
        <f t="shared" ref="M33:N33" si="4">SUM(M6:M32)</f>
        <v>1503499.9999999998</v>
      </c>
      <c r="N33" s="10">
        <f t="shared" si="4"/>
        <v>21500.000000000029</v>
      </c>
    </row>
    <row r="34" spans="1:14" x14ac:dyDescent="0.25">
      <c r="C34" s="2" t="s">
        <v>43</v>
      </c>
    </row>
    <row r="35" spans="1:14" ht="18" x14ac:dyDescent="0.25">
      <c r="H35" s="10" t="s">
        <v>53</v>
      </c>
    </row>
    <row r="36" spans="1:14" ht="18" x14ac:dyDescent="0.25">
      <c r="H36" s="10"/>
    </row>
    <row r="37" spans="1:14" ht="18" x14ac:dyDescent="0.25">
      <c r="B37" s="10" t="s">
        <v>39</v>
      </c>
      <c r="C37" s="10">
        <f>SUMIFS(C6:C31,E6:E31,"ESPECES")</f>
        <v>1200000</v>
      </c>
      <c r="E37" s="10"/>
      <c r="F37" s="10">
        <f>C37+E37</f>
        <v>1200000</v>
      </c>
      <c r="G37" s="10"/>
      <c r="H37" s="10">
        <f>1500000-J7</f>
        <v>1400000</v>
      </c>
    </row>
    <row r="38" spans="1:14" ht="18" x14ac:dyDescent="0.25">
      <c r="B38" s="10" t="s">
        <v>19</v>
      </c>
      <c r="C38" s="10">
        <f>SUMIFS(C6:C31,E6:E31,"BANQUE")</f>
        <v>1400000</v>
      </c>
      <c r="E38" s="10"/>
      <c r="F38" s="10">
        <f>C38+E38</f>
        <v>1400000</v>
      </c>
      <c r="G38" s="10"/>
    </row>
    <row r="39" spans="1:14" ht="18" x14ac:dyDescent="0.25">
      <c r="B39" s="10" t="s">
        <v>12</v>
      </c>
      <c r="C39" s="10">
        <f>SUMIFS(H6:H31,I6:I31,"OK")</f>
        <v>303500</v>
      </c>
    </row>
    <row r="40" spans="1:14" ht="18" x14ac:dyDescent="0.25">
      <c r="B40" s="10" t="s">
        <v>54</v>
      </c>
      <c r="C40" s="10">
        <f>F33</f>
        <v>0</v>
      </c>
    </row>
    <row r="42" spans="1:14" x14ac:dyDescent="0.25">
      <c r="C42" s="2">
        <f>SUM(C37:C39)-1400000</f>
        <v>1503500</v>
      </c>
    </row>
  </sheetData>
  <autoFilter ref="A5:L31"/>
  <mergeCells count="1">
    <mergeCell ref="C4:H4"/>
  </mergeCells>
  <dataValidations disablePrompts="1"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F44" sqref="F4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8.140625" bestFit="1" customWidth="1"/>
    <col min="9" max="9" width="17.5703125" style="3" bestFit="1" customWidth="1"/>
    <col min="10" max="10" width="19" bestFit="1" customWidth="1"/>
    <col min="13" max="13" width="24.5703125" style="12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4">
        <v>100000</v>
      </c>
    </row>
    <row r="4" spans="1:14" ht="18" x14ac:dyDescent="0.25">
      <c r="B4" s="5"/>
      <c r="C4" s="15">
        <v>42995</v>
      </c>
      <c r="D4" s="16"/>
      <c r="E4" s="16"/>
      <c r="F4" s="16"/>
      <c r="G4" s="16"/>
      <c r="H4" s="16"/>
      <c r="I4" s="14"/>
      <c r="N4">
        <v>26</v>
      </c>
    </row>
    <row r="5" spans="1:14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7" t="s">
        <v>9</v>
      </c>
      <c r="J5" s="4" t="s">
        <v>14</v>
      </c>
      <c r="K5" s="1" t="s">
        <v>15</v>
      </c>
      <c r="L5" s="6" t="s">
        <v>40</v>
      </c>
      <c r="M5" s="13" t="s">
        <v>51</v>
      </c>
      <c r="N5" s="6" t="s">
        <v>52</v>
      </c>
    </row>
    <row r="6" spans="1:14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0</v>
      </c>
      <c r="D6" s="8">
        <f t="shared" ref="D6:D31" si="1">IF(E6="ESPECES",0,0)</f>
        <v>0</v>
      </c>
      <c r="E6" s="7" t="s">
        <v>16</v>
      </c>
      <c r="F6" s="8"/>
      <c r="G6" s="8"/>
      <c r="H6" s="8">
        <f>TONTAOUT!F6+TONTAOUT!G6</f>
        <v>0</v>
      </c>
      <c r="I6" s="7" t="s">
        <v>16</v>
      </c>
      <c r="J6" s="8"/>
      <c r="K6" s="11"/>
      <c r="M6" s="12">
        <f t="shared" ref="M6:M31" si="2">$C$45/$N$4</f>
        <v>0</v>
      </c>
      <c r="N6">
        <f>M6-57000</f>
        <v>-57000</v>
      </c>
    </row>
    <row r="7" spans="1:14" x14ac:dyDescent="0.25">
      <c r="A7" s="1" t="s">
        <v>18</v>
      </c>
      <c r="B7" s="1" t="str">
        <f>VLOOKUP(A7,[1]LISTADHERENT!A$5:H$49,2)</f>
        <v>DJOUNKEP SAMUEL</v>
      </c>
      <c r="C7" s="8">
        <f t="shared" si="0"/>
        <v>0</v>
      </c>
      <c r="D7" s="8">
        <f t="shared" si="1"/>
        <v>0</v>
      </c>
      <c r="E7" s="7" t="s">
        <v>16</v>
      </c>
      <c r="F7" s="8"/>
      <c r="G7" s="8"/>
      <c r="H7" s="8">
        <f>TONTAOUT!F7+TONTAOUT!G7</f>
        <v>0</v>
      </c>
      <c r="I7" s="7" t="s">
        <v>16</v>
      </c>
      <c r="J7" s="8"/>
      <c r="K7" s="11"/>
      <c r="M7" s="12">
        <f t="shared" si="2"/>
        <v>0</v>
      </c>
      <c r="N7">
        <f t="shared" ref="N7:N31" si="3">M7-57000</f>
        <v>-57000</v>
      </c>
    </row>
    <row r="8" spans="1:14" x14ac:dyDescent="0.25">
      <c r="A8" s="1" t="s">
        <v>20</v>
      </c>
      <c r="B8" s="1" t="str">
        <f>VLOOKUP(A8,[1]LISTADHERENT!A$5:H$49,2)</f>
        <v>DJUOMBESSY ANTOINE</v>
      </c>
      <c r="C8" s="8">
        <f t="shared" si="0"/>
        <v>0</v>
      </c>
      <c r="D8" s="8">
        <f t="shared" si="1"/>
        <v>0</v>
      </c>
      <c r="E8" s="7" t="s">
        <v>16</v>
      </c>
      <c r="F8" s="8"/>
      <c r="G8" s="8"/>
      <c r="H8" s="8">
        <f>TONTAOUT!F8+TONTAOUT!G8</f>
        <v>0</v>
      </c>
      <c r="I8" s="7" t="s">
        <v>16</v>
      </c>
      <c r="J8" s="8"/>
      <c r="K8" s="11"/>
      <c r="M8" s="12">
        <f t="shared" si="2"/>
        <v>0</v>
      </c>
      <c r="N8">
        <f t="shared" si="3"/>
        <v>-57000</v>
      </c>
    </row>
    <row r="9" spans="1:14" x14ac:dyDescent="0.25">
      <c r="A9" s="1" t="s">
        <v>21</v>
      </c>
      <c r="B9" s="1" t="str">
        <f>VLOOKUP(A9,[1]LISTADHERENT!A$5:H$49,2)</f>
        <v>FOTSO THOMAS</v>
      </c>
      <c r="C9" s="8">
        <f t="shared" si="0"/>
        <v>0</v>
      </c>
      <c r="D9" s="8">
        <f t="shared" si="1"/>
        <v>0</v>
      </c>
      <c r="E9" s="7" t="s">
        <v>16</v>
      </c>
      <c r="F9" s="8"/>
      <c r="G9" s="8"/>
      <c r="H9" s="8">
        <f>TONTAOUT!F9+TONTAOUT!G9</f>
        <v>0</v>
      </c>
      <c r="I9" s="7" t="s">
        <v>16</v>
      </c>
      <c r="J9" s="8"/>
      <c r="K9" s="11"/>
      <c r="M9" s="12">
        <f t="shared" si="2"/>
        <v>0</v>
      </c>
      <c r="N9">
        <f t="shared" si="3"/>
        <v>-57000</v>
      </c>
    </row>
    <row r="10" spans="1:14" x14ac:dyDescent="0.25">
      <c r="A10" s="1" t="s">
        <v>22</v>
      </c>
      <c r="B10" s="1" t="str">
        <f>VLOOKUP(A10,[1]LISTADHERENT!A$5:H$49,2)</f>
        <v>HOTCHO BENJAMIN</v>
      </c>
      <c r="C10" s="8">
        <f t="shared" si="0"/>
        <v>0</v>
      </c>
      <c r="D10" s="8">
        <f t="shared" si="1"/>
        <v>0</v>
      </c>
      <c r="E10" s="7" t="s">
        <v>16</v>
      </c>
      <c r="F10" s="8"/>
      <c r="G10" s="8"/>
      <c r="H10" s="8">
        <f>TONTAOUT!F10+TONTAOUT!G10</f>
        <v>0</v>
      </c>
      <c r="I10" s="7" t="s">
        <v>16</v>
      </c>
      <c r="J10" s="8"/>
      <c r="K10" s="11"/>
      <c r="M10" s="12">
        <f t="shared" si="2"/>
        <v>0</v>
      </c>
      <c r="N10">
        <f t="shared" si="3"/>
        <v>-57000</v>
      </c>
    </row>
    <row r="11" spans="1:14" x14ac:dyDescent="0.25">
      <c r="A11" s="1" t="s">
        <v>22</v>
      </c>
      <c r="B11" s="1" t="str">
        <f>VLOOKUP(A11,[1]LISTADHERENT!A$5:H$49,2)</f>
        <v>HOTCHO BENJAMIN</v>
      </c>
      <c r="C11" s="8">
        <f t="shared" si="0"/>
        <v>0</v>
      </c>
      <c r="D11" s="8">
        <f t="shared" si="1"/>
        <v>0</v>
      </c>
      <c r="E11" s="7" t="s">
        <v>16</v>
      </c>
      <c r="F11" s="8"/>
      <c r="G11" s="8"/>
      <c r="H11" s="8">
        <f>TONTAOUT!F11+TONTAOUT!G11</f>
        <v>0</v>
      </c>
      <c r="I11" s="7" t="s">
        <v>16</v>
      </c>
      <c r="J11" s="8"/>
      <c r="K11" s="11"/>
      <c r="M11" s="12">
        <f t="shared" si="2"/>
        <v>0</v>
      </c>
      <c r="N11">
        <f t="shared" si="3"/>
        <v>-57000</v>
      </c>
    </row>
    <row r="12" spans="1:14" x14ac:dyDescent="0.25">
      <c r="A12" s="1" t="s">
        <v>23</v>
      </c>
      <c r="B12" s="1" t="str">
        <f>VLOOKUP(A12,[1]LISTADHERENT!A$5:H$49,2)</f>
        <v>KEPSEU FRANCIS</v>
      </c>
      <c r="C12" s="8">
        <f t="shared" si="0"/>
        <v>0</v>
      </c>
      <c r="D12" s="8">
        <f t="shared" si="1"/>
        <v>0</v>
      </c>
      <c r="E12" s="7" t="s">
        <v>16</v>
      </c>
      <c r="F12" s="8"/>
      <c r="G12" s="8"/>
      <c r="H12" s="8">
        <f>TONTAOUT!F12+TONTAOUT!G12</f>
        <v>0</v>
      </c>
      <c r="I12" s="7" t="s">
        <v>16</v>
      </c>
      <c r="J12" s="8"/>
      <c r="K12" s="11"/>
      <c r="M12" s="12">
        <f t="shared" si="2"/>
        <v>0</v>
      </c>
      <c r="N12">
        <f t="shared" si="3"/>
        <v>-57000</v>
      </c>
    </row>
    <row r="13" spans="1:14" x14ac:dyDescent="0.25">
      <c r="A13" s="1" t="s">
        <v>24</v>
      </c>
      <c r="B13" s="1" t="str">
        <f>VLOOKUP(A13,[1]LISTADHERENT!A$5:H$49,2)</f>
        <v>KOUAMOU MOISE</v>
      </c>
      <c r="C13" s="8">
        <f t="shared" si="0"/>
        <v>0</v>
      </c>
      <c r="D13" s="8">
        <f t="shared" si="1"/>
        <v>0</v>
      </c>
      <c r="E13" s="7" t="s">
        <v>16</v>
      </c>
      <c r="F13" s="8"/>
      <c r="G13" s="8"/>
      <c r="H13" s="8">
        <f>TONTAOUT!F13+TONTAOUT!G13</f>
        <v>0</v>
      </c>
      <c r="I13" s="7" t="s">
        <v>16</v>
      </c>
      <c r="J13" s="8"/>
      <c r="K13" s="11"/>
      <c r="M13" s="12">
        <f t="shared" si="2"/>
        <v>0</v>
      </c>
      <c r="N13">
        <f t="shared" si="3"/>
        <v>-57000</v>
      </c>
    </row>
    <row r="14" spans="1:14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0</v>
      </c>
      <c r="D14" s="8">
        <f t="shared" si="1"/>
        <v>0</v>
      </c>
      <c r="E14" s="7" t="s">
        <v>16</v>
      </c>
      <c r="F14" s="8"/>
      <c r="G14" s="8"/>
      <c r="H14" s="8">
        <f>TONTAOUT!F14+TONTAOUT!G14</f>
        <v>0</v>
      </c>
      <c r="I14" s="7" t="s">
        <v>16</v>
      </c>
      <c r="J14" s="8"/>
      <c r="K14" s="11"/>
      <c r="M14" s="12">
        <f t="shared" si="2"/>
        <v>0</v>
      </c>
      <c r="N14">
        <f t="shared" si="3"/>
        <v>-57000</v>
      </c>
    </row>
    <row r="15" spans="1:14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0</v>
      </c>
      <c r="D15" s="8">
        <f t="shared" si="1"/>
        <v>0</v>
      </c>
      <c r="E15" s="7" t="s">
        <v>16</v>
      </c>
      <c r="F15" s="8"/>
      <c r="G15" s="8"/>
      <c r="H15" s="8">
        <f>TONTAOUT!F15+TONTAOUT!G15</f>
        <v>0</v>
      </c>
      <c r="I15" s="7" t="s">
        <v>16</v>
      </c>
      <c r="J15" s="8"/>
      <c r="K15" s="11"/>
      <c r="M15" s="12">
        <f t="shared" si="2"/>
        <v>0</v>
      </c>
      <c r="N15">
        <f t="shared" si="3"/>
        <v>-57000</v>
      </c>
    </row>
    <row r="16" spans="1:14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0</v>
      </c>
      <c r="D16" s="8">
        <f t="shared" si="1"/>
        <v>0</v>
      </c>
      <c r="E16" s="7" t="s">
        <v>16</v>
      </c>
      <c r="F16" s="8"/>
      <c r="G16" s="8"/>
      <c r="H16" s="8">
        <f>TONTAOUT!F16+TONTAOUT!G16</f>
        <v>0</v>
      </c>
      <c r="I16" s="7" t="s">
        <v>16</v>
      </c>
      <c r="J16" s="8"/>
      <c r="K16" s="11"/>
      <c r="M16" s="12">
        <f t="shared" si="2"/>
        <v>0</v>
      </c>
      <c r="N16">
        <f t="shared" si="3"/>
        <v>-57000</v>
      </c>
    </row>
    <row r="17" spans="1:14" x14ac:dyDescent="0.25">
      <c r="A17" s="1" t="s">
        <v>28</v>
      </c>
      <c r="B17" s="1" t="str">
        <f>VLOOKUP(A17,[1]LISTADHERENT!A$5:H$49,2)</f>
        <v>NDJOMO ETIENNE</v>
      </c>
      <c r="C17" s="8">
        <f t="shared" si="0"/>
        <v>0</v>
      </c>
      <c r="D17" s="8">
        <f t="shared" si="1"/>
        <v>0</v>
      </c>
      <c r="E17" s="7" t="s">
        <v>16</v>
      </c>
      <c r="F17" s="8"/>
      <c r="G17" s="8"/>
      <c r="H17" s="8">
        <f>TONTAOUT!F17+TONTAOUT!G17</f>
        <v>0</v>
      </c>
      <c r="I17" s="7" t="s">
        <v>16</v>
      </c>
      <c r="J17" s="8"/>
      <c r="K17" s="11"/>
      <c r="M17" s="12">
        <f t="shared" si="2"/>
        <v>0</v>
      </c>
      <c r="N17">
        <f t="shared" si="3"/>
        <v>-57000</v>
      </c>
    </row>
    <row r="18" spans="1:14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0</v>
      </c>
      <c r="D18" s="8">
        <f t="shared" si="1"/>
        <v>0</v>
      </c>
      <c r="E18" s="7" t="s">
        <v>16</v>
      </c>
      <c r="F18" s="8"/>
      <c r="G18" s="8"/>
      <c r="H18" s="8">
        <f>TONTAOUT!F18+TONTAOUT!G18</f>
        <v>0</v>
      </c>
      <c r="I18" s="7" t="s">
        <v>16</v>
      </c>
      <c r="J18" s="8"/>
      <c r="K18" s="11"/>
      <c r="M18" s="12">
        <f t="shared" si="2"/>
        <v>0</v>
      </c>
      <c r="N18">
        <f t="shared" si="3"/>
        <v>-57000</v>
      </c>
    </row>
    <row r="19" spans="1:14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0</v>
      </c>
      <c r="D19" s="8">
        <f t="shared" si="1"/>
        <v>0</v>
      </c>
      <c r="E19" s="7" t="s">
        <v>16</v>
      </c>
      <c r="F19" s="8"/>
      <c r="G19" s="8"/>
      <c r="H19" s="8">
        <f>TONTAOUT!F19+TONTAOUT!G19</f>
        <v>0</v>
      </c>
      <c r="I19" s="7" t="s">
        <v>16</v>
      </c>
      <c r="J19" s="8"/>
      <c r="K19" s="11"/>
      <c r="M19" s="12">
        <f t="shared" si="2"/>
        <v>0</v>
      </c>
      <c r="N19">
        <f t="shared" si="3"/>
        <v>-57000</v>
      </c>
    </row>
    <row r="20" spans="1:14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0</v>
      </c>
      <c r="D20" s="8">
        <f t="shared" si="1"/>
        <v>0</v>
      </c>
      <c r="E20" s="7" t="s">
        <v>16</v>
      </c>
      <c r="F20" s="8"/>
      <c r="G20" s="8"/>
      <c r="H20" s="8">
        <f>TONTAOUT!F20+TONTAOUT!G20</f>
        <v>0</v>
      </c>
      <c r="I20" s="7" t="s">
        <v>16</v>
      </c>
      <c r="J20" s="8"/>
      <c r="K20" s="11"/>
      <c r="M20" s="12">
        <f t="shared" si="2"/>
        <v>0</v>
      </c>
      <c r="N20">
        <f t="shared" si="3"/>
        <v>-57000</v>
      </c>
    </row>
    <row r="21" spans="1:14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0</v>
      </c>
      <c r="D21" s="8">
        <f t="shared" si="1"/>
        <v>0</v>
      </c>
      <c r="E21" s="7" t="s">
        <v>16</v>
      </c>
      <c r="F21" s="8"/>
      <c r="G21" s="8"/>
      <c r="H21" s="8">
        <f>TONTAOUT!F21+TONTAOUT!G21</f>
        <v>0</v>
      </c>
      <c r="I21" s="7" t="s">
        <v>16</v>
      </c>
      <c r="J21" s="8"/>
      <c r="K21" s="11"/>
      <c r="M21" s="12">
        <f t="shared" si="2"/>
        <v>0</v>
      </c>
      <c r="N21">
        <f t="shared" si="3"/>
        <v>-57000</v>
      </c>
    </row>
    <row r="22" spans="1:14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0</v>
      </c>
      <c r="D22" s="8">
        <f t="shared" si="1"/>
        <v>0</v>
      </c>
      <c r="E22" s="7" t="s">
        <v>16</v>
      </c>
      <c r="F22" s="8"/>
      <c r="G22" s="8"/>
      <c r="H22" s="8">
        <f>TONTAOUT!F22+TONTAOUT!G22</f>
        <v>0</v>
      </c>
      <c r="I22" s="7" t="s">
        <v>16</v>
      </c>
      <c r="J22" s="8"/>
      <c r="K22" s="11"/>
      <c r="M22" s="12">
        <f t="shared" si="2"/>
        <v>0</v>
      </c>
      <c r="N22">
        <f t="shared" si="3"/>
        <v>-57000</v>
      </c>
    </row>
    <row r="23" spans="1:14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0</v>
      </c>
      <c r="D23" s="8">
        <f t="shared" si="1"/>
        <v>0</v>
      </c>
      <c r="E23" s="7" t="s">
        <v>16</v>
      </c>
      <c r="F23" s="8"/>
      <c r="G23" s="8"/>
      <c r="H23" s="8">
        <f>TONTAOUT!F23+TONTAOUT!G23</f>
        <v>0</v>
      </c>
      <c r="I23" s="7" t="s">
        <v>16</v>
      </c>
      <c r="J23" s="8"/>
      <c r="K23" s="11"/>
      <c r="M23" s="12">
        <f t="shared" si="2"/>
        <v>0</v>
      </c>
      <c r="N23">
        <f t="shared" si="3"/>
        <v>-57000</v>
      </c>
    </row>
    <row r="24" spans="1:14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0</v>
      </c>
      <c r="D24" s="8">
        <f t="shared" si="1"/>
        <v>0</v>
      </c>
      <c r="E24" s="7" t="s">
        <v>16</v>
      </c>
      <c r="F24" s="8"/>
      <c r="G24" s="8"/>
      <c r="H24" s="8">
        <f>TONTAOUT!F24+TONTAOUT!G24</f>
        <v>0</v>
      </c>
      <c r="I24" s="7" t="s">
        <v>16</v>
      </c>
      <c r="J24" s="8"/>
      <c r="K24" s="11"/>
      <c r="M24" s="12">
        <f t="shared" si="2"/>
        <v>0</v>
      </c>
      <c r="N24">
        <f t="shared" si="3"/>
        <v>-57000</v>
      </c>
    </row>
    <row r="25" spans="1:14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0</v>
      </c>
      <c r="D25" s="8">
        <f t="shared" si="1"/>
        <v>0</v>
      </c>
      <c r="E25" s="7" t="s">
        <v>16</v>
      </c>
      <c r="F25" s="8"/>
      <c r="G25" s="8"/>
      <c r="H25" s="8">
        <f>TONTAOUT!F25+TONTAOUT!G25</f>
        <v>0</v>
      </c>
      <c r="I25" s="7" t="s">
        <v>16</v>
      </c>
      <c r="J25" s="8"/>
      <c r="K25" s="11"/>
      <c r="M25" s="12">
        <f t="shared" si="2"/>
        <v>0</v>
      </c>
      <c r="N25">
        <f t="shared" si="3"/>
        <v>-57000</v>
      </c>
    </row>
    <row r="26" spans="1:14" x14ac:dyDescent="0.25">
      <c r="A26" s="1" t="s">
        <v>34</v>
      </c>
      <c r="B26" s="1" t="str">
        <f>VLOOKUP(A26,[1]LISTADHERENT!A$5:H$49,2)</f>
        <v>SIME MATHIEU</v>
      </c>
      <c r="C26" s="8">
        <f t="shared" si="0"/>
        <v>0</v>
      </c>
      <c r="D26" s="8">
        <f t="shared" si="1"/>
        <v>0</v>
      </c>
      <c r="E26" s="7" t="s">
        <v>16</v>
      </c>
      <c r="F26" s="8"/>
      <c r="G26" s="8"/>
      <c r="H26" s="8">
        <f>TONTAOUT!F26+TONTAOUT!G26</f>
        <v>0</v>
      </c>
      <c r="I26" s="7" t="s">
        <v>16</v>
      </c>
      <c r="J26" s="8"/>
      <c r="K26" s="11"/>
      <c r="M26" s="12">
        <f t="shared" si="2"/>
        <v>0</v>
      </c>
      <c r="N26">
        <f t="shared" si="3"/>
        <v>-57000</v>
      </c>
    </row>
    <row r="27" spans="1:14" x14ac:dyDescent="0.25">
      <c r="A27" s="1" t="s">
        <v>34</v>
      </c>
      <c r="B27" s="1" t="str">
        <f>VLOOKUP(A27,[1]LISTADHERENT!A$5:H$49,2)</f>
        <v>SIME MATHIEU</v>
      </c>
      <c r="C27" s="8">
        <f t="shared" si="0"/>
        <v>0</v>
      </c>
      <c r="D27" s="8">
        <f t="shared" si="1"/>
        <v>0</v>
      </c>
      <c r="E27" s="7" t="s">
        <v>16</v>
      </c>
      <c r="F27" s="8"/>
      <c r="G27" s="8"/>
      <c r="H27" s="8">
        <f>TONTAOUT!F27+TONTAOUT!G27</f>
        <v>0</v>
      </c>
      <c r="I27" s="7" t="s">
        <v>16</v>
      </c>
      <c r="J27" s="8"/>
      <c r="K27" s="11"/>
      <c r="M27" s="12">
        <f t="shared" si="2"/>
        <v>0</v>
      </c>
      <c r="N27">
        <f t="shared" si="3"/>
        <v>-57000</v>
      </c>
    </row>
    <row r="28" spans="1:14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0</v>
      </c>
      <c r="D28" s="8">
        <f t="shared" si="1"/>
        <v>0</v>
      </c>
      <c r="E28" s="7" t="s">
        <v>16</v>
      </c>
      <c r="F28" s="8"/>
      <c r="G28" s="8"/>
      <c r="H28" s="8">
        <f>TONTAOUT!F28+TONTAOUT!G28</f>
        <v>0</v>
      </c>
      <c r="I28" s="7" t="s">
        <v>16</v>
      </c>
      <c r="J28" s="8"/>
      <c r="K28" s="11"/>
      <c r="M28" s="12">
        <f t="shared" si="2"/>
        <v>0</v>
      </c>
      <c r="N28">
        <f t="shared" si="3"/>
        <v>-57000</v>
      </c>
    </row>
    <row r="29" spans="1:14" x14ac:dyDescent="0.25">
      <c r="A29" s="1" t="s">
        <v>36</v>
      </c>
      <c r="B29" s="1" t="str">
        <f>VLOOKUP(A29,[1]LISTADHERENT!A$5:H$49,2)</f>
        <v>TIEYAM ERNEST</v>
      </c>
      <c r="C29" s="8">
        <f t="shared" si="0"/>
        <v>0</v>
      </c>
      <c r="D29" s="8">
        <f t="shared" si="1"/>
        <v>0</v>
      </c>
      <c r="E29" s="7" t="s">
        <v>16</v>
      </c>
      <c r="F29" s="8"/>
      <c r="G29" s="8"/>
      <c r="H29" s="8">
        <f>TONTAOUT!F29+TONTAOUT!G29</f>
        <v>0</v>
      </c>
      <c r="I29" s="7" t="s">
        <v>16</v>
      </c>
      <c r="J29" s="8"/>
      <c r="K29" s="11"/>
      <c r="M29" s="12">
        <f t="shared" si="2"/>
        <v>0</v>
      </c>
      <c r="N29">
        <f t="shared" si="3"/>
        <v>-57000</v>
      </c>
    </row>
    <row r="30" spans="1:14" x14ac:dyDescent="0.25">
      <c r="A30" s="1" t="s">
        <v>36</v>
      </c>
      <c r="B30" s="1" t="str">
        <f>VLOOKUP(A30,[1]LISTADHERENT!A$5:H$49,2)</f>
        <v>TIEYAM ERNEST</v>
      </c>
      <c r="C30" s="8">
        <f t="shared" si="0"/>
        <v>0</v>
      </c>
      <c r="D30" s="8">
        <f t="shared" si="1"/>
        <v>0</v>
      </c>
      <c r="E30" s="7" t="s">
        <v>16</v>
      </c>
      <c r="F30" s="8"/>
      <c r="G30" s="8"/>
      <c r="H30" s="8">
        <f>TONTAOUT!F30+TONTAOUT!G30</f>
        <v>0</v>
      </c>
      <c r="I30" s="7" t="s">
        <v>16</v>
      </c>
      <c r="J30" s="8"/>
      <c r="K30" s="11"/>
      <c r="M30" s="12">
        <f t="shared" si="2"/>
        <v>0</v>
      </c>
      <c r="N30">
        <f t="shared" si="3"/>
        <v>-57000</v>
      </c>
    </row>
    <row r="31" spans="1:14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0</v>
      </c>
      <c r="D31" s="8">
        <f t="shared" si="1"/>
        <v>0</v>
      </c>
      <c r="E31" s="7" t="s">
        <v>16</v>
      </c>
      <c r="F31" s="8"/>
      <c r="G31" s="8"/>
      <c r="H31" s="8">
        <f>TONTAOUT!F31+TONTAOUT!G31</f>
        <v>0</v>
      </c>
      <c r="I31" s="7" t="s">
        <v>16</v>
      </c>
      <c r="J31" s="8"/>
      <c r="K31" s="11"/>
      <c r="M31" s="12">
        <f t="shared" si="2"/>
        <v>0</v>
      </c>
      <c r="N31">
        <f t="shared" si="3"/>
        <v>-57000</v>
      </c>
    </row>
    <row r="33" spans="1:14" ht="18" x14ac:dyDescent="0.25">
      <c r="A33" s="9" t="s">
        <v>38</v>
      </c>
      <c r="B33" s="9"/>
      <c r="C33" s="10">
        <f>SUM(C6:C32)</f>
        <v>0</v>
      </c>
      <c r="D33" s="10">
        <f>SUM(D6:D32)</f>
        <v>0</v>
      </c>
      <c r="E33" s="10"/>
      <c r="F33" s="10">
        <f>SUM(F6:F32)</f>
        <v>0</v>
      </c>
      <c r="G33" s="10">
        <f>SUM(G6:G32)</f>
        <v>0</v>
      </c>
      <c r="H33" s="10">
        <f>SUM(H6:H32)</f>
        <v>0</v>
      </c>
      <c r="I33" s="10"/>
      <c r="M33" s="10">
        <f t="shared" ref="M33:N33" si="4">SUM(M6:M32)</f>
        <v>0</v>
      </c>
      <c r="N33" s="10">
        <f t="shared" si="4"/>
        <v>-1482000</v>
      </c>
    </row>
    <row r="34" spans="1:14" x14ac:dyDescent="0.25">
      <c r="C34" s="2" t="s">
        <v>43</v>
      </c>
    </row>
    <row r="35" spans="1:14" ht="18" x14ac:dyDescent="0.25">
      <c r="C35" s="10" t="s">
        <v>55</v>
      </c>
      <c r="D35" s="10" t="s">
        <v>12</v>
      </c>
      <c r="H35" s="10"/>
    </row>
    <row r="36" spans="1:14" ht="18" x14ac:dyDescent="0.25">
      <c r="H36" s="10"/>
    </row>
    <row r="37" spans="1:14" ht="18" x14ac:dyDescent="0.25">
      <c r="B37" s="10" t="s">
        <v>39</v>
      </c>
      <c r="C37" s="10">
        <f>SUMIFS(C6:C31,E6:E31,"ESPECES")</f>
        <v>0</v>
      </c>
      <c r="D37" s="10">
        <f>SUMIFS(H6:H31,I6:I31,"ESPECES")</f>
        <v>0</v>
      </c>
      <c r="E37" s="10"/>
      <c r="F37" s="10">
        <f>C37+E37</f>
        <v>0</v>
      </c>
      <c r="G37" s="10"/>
      <c r="I37" s="10"/>
    </row>
    <row r="38" spans="1:14" ht="18" x14ac:dyDescent="0.25">
      <c r="B38" s="10" t="s">
        <v>19</v>
      </c>
      <c r="C38" s="10">
        <f>SUMIFS(C6:C31,E6:E31,"BANQUE")</f>
        <v>0</v>
      </c>
      <c r="D38" s="10">
        <f>SUMIFS(H6:H31,I6:I31,"BANQUE")</f>
        <v>0</v>
      </c>
      <c r="E38" s="10"/>
      <c r="F38" s="10">
        <f>C38+E38</f>
        <v>0</v>
      </c>
      <c r="G38" s="10"/>
      <c r="I38" s="10"/>
    </row>
    <row r="39" spans="1:14" ht="18" x14ac:dyDescent="0.25">
      <c r="B39" s="10"/>
      <c r="C39" s="10"/>
      <c r="E39" s="10"/>
      <c r="F39" s="10"/>
      <c r="G39" s="10"/>
      <c r="I39" s="10"/>
    </row>
    <row r="40" spans="1:14" ht="18" x14ac:dyDescent="0.25">
      <c r="B40" s="10" t="s">
        <v>38</v>
      </c>
      <c r="C40" s="10">
        <f>C37+C38</f>
        <v>0</v>
      </c>
      <c r="D40" s="10">
        <f>D37+D38</f>
        <v>0</v>
      </c>
    </row>
    <row r="41" spans="1:14" ht="18" x14ac:dyDescent="0.25">
      <c r="B41" s="10"/>
      <c r="C41" s="10"/>
      <c r="D41" s="10"/>
    </row>
    <row r="42" spans="1:14" ht="18" x14ac:dyDescent="0.25">
      <c r="B42" s="10" t="s">
        <v>53</v>
      </c>
      <c r="C42" s="10"/>
      <c r="D42" s="10"/>
    </row>
    <row r="43" spans="1:14" ht="18" x14ac:dyDescent="0.25">
      <c r="B43" s="10" t="s">
        <v>54</v>
      </c>
      <c r="C43" s="10">
        <f>F33</f>
        <v>0</v>
      </c>
    </row>
    <row r="44" spans="1:14" ht="18" x14ac:dyDescent="0.25">
      <c r="B44" s="10" t="s">
        <v>56</v>
      </c>
      <c r="C44" s="10">
        <f>+G33</f>
        <v>0</v>
      </c>
    </row>
  </sheetData>
  <autoFilter ref="A5:L31"/>
  <mergeCells count="1">
    <mergeCell ref="C4:H4"/>
  </mergeCells>
  <dataValidations count="1">
    <dataValidation type="list" allowBlank="1" showInputMessage="1" showErrorMessage="1" sqref="I6:I31 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2</vt:i4>
      </vt:variant>
    </vt:vector>
  </HeadingPairs>
  <TitlesOfParts>
    <vt:vector size="13" baseType="lpstr">
      <vt:lpstr>MODEPAID</vt:lpstr>
      <vt:lpstr>TONTDEC2016</vt:lpstr>
      <vt:lpstr>TONTJANV</vt:lpstr>
      <vt:lpstr>TONTFEV</vt:lpstr>
      <vt:lpstr>TONTMARS</vt:lpstr>
      <vt:lpstr>TONTAVRIL</vt:lpstr>
      <vt:lpstr>TONTMAI</vt:lpstr>
      <vt:lpstr>TONTJUIN</vt:lpstr>
      <vt:lpstr>TONTJUIL</vt:lpstr>
      <vt:lpstr>TONTAOUT</vt:lpstr>
      <vt:lpstr>TONTSEPT</vt:lpstr>
      <vt:lpstr>MODEPAID!MODEPAID</vt:lpstr>
      <vt:lpstr>VALMODEPAID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2016-12-19T08:36:25Z</dcterms:created>
  <dcterms:modified xsi:type="dcterms:W3CDTF">2017-08-31T14:16:14Z</dcterms:modified>
</cp:coreProperties>
</file>