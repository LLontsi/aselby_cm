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SELBYTONTINE2017\"/>
    </mc:Choice>
  </mc:AlternateContent>
  <bookViews>
    <workbookView xWindow="240" yWindow="60" windowWidth="15600" windowHeight="7950" firstSheet="15" activeTab="17"/>
  </bookViews>
  <sheets>
    <sheet name="LISTADHERENT" sheetId="15" r:id="rId1"/>
    <sheet name="TRAVAUXINVENTAIRE" sheetId="24" r:id="rId2"/>
    <sheet name="FONDSDECAISSE" sheetId="16" r:id="rId3"/>
    <sheet name="TONT20000DEC2016" sheetId="20" r:id="rId4"/>
    <sheet name="TONT20000JANV2017" sheetId="23" r:id="rId5"/>
    <sheet name="TONT20000FEV2017" sheetId="26" r:id="rId6"/>
    <sheet name="TONT20000MARS2017" sheetId="27" r:id="rId7"/>
    <sheet name="TONT20000AVRIL2017" sheetId="28" r:id="rId8"/>
    <sheet name="TONT20000MAI2017" sheetId="39" r:id="rId9"/>
    <sheet name="TONT20000JUIN2017" sheetId="40" r:id="rId10"/>
    <sheet name="TONT20000JUIL2017" sheetId="41" r:id="rId11"/>
    <sheet name="TONT20000AOUT2017" sheetId="42" r:id="rId12"/>
    <sheet name="TONT20000SEPT2017" sheetId="43" r:id="rId13"/>
    <sheet name="TONT20000OCT2017" sheetId="44" r:id="rId14"/>
    <sheet name="TONT20000NOV2017" sheetId="45" r:id="rId15"/>
    <sheet name="TONT20000ANNUELLE" sheetId="46" r:id="rId16"/>
    <sheet name="TONT20000ANNUELLEBACKUP" sheetId="49" r:id="rId17"/>
    <sheet name="TONTINVENTFINAOUT2017" sheetId="47" r:id="rId18"/>
    <sheet name="DETAILVERSEMENT" sheetId="48" r:id="rId19"/>
    <sheet name="MODEVERSEMENT" sheetId="22" r:id="rId20"/>
    <sheet name="RECAPTONT20000" sheetId="2" r:id="rId21"/>
    <sheet name="FONDSDECAISSEBACKUP" sheetId="25" r:id="rId22"/>
  </sheets>
  <externalReferences>
    <externalReference r:id="rId23"/>
    <externalReference r:id="rId24"/>
    <externalReference r:id="rId25"/>
  </externalReferences>
  <definedNames>
    <definedName name="_xlnm._FilterDatabase" localSheetId="0" hidden="1">LISTADHERENT!$A$4:$H$52</definedName>
    <definedName name="_xlnm._FilterDatabase" localSheetId="20" hidden="1">RECAPTONT20000!$A$4:$V$50</definedName>
    <definedName name="_xlnm._FilterDatabase" localSheetId="15" hidden="1">TONT20000ANNUELLE!$A$4:$V$52</definedName>
    <definedName name="_xlnm._FilterDatabase" localSheetId="16" hidden="1">TONT20000ANNUELLEBACKUP!$A$4:$V$52</definedName>
    <definedName name="_xlnm._FilterDatabase" localSheetId="11" hidden="1">TONT20000AOUT2017!$A$4:$Q$52</definedName>
    <definedName name="_xlnm._FilterDatabase" localSheetId="7" hidden="1">TONT20000AVRIL2017!$A$4:$Q$52</definedName>
    <definedName name="_xlnm._FilterDatabase" localSheetId="3" hidden="1">TONT20000DEC2016!$A$4:$S$49</definedName>
    <definedName name="_xlnm._FilterDatabase" localSheetId="5" hidden="1">TONT20000FEV2017!$A$4:$Q$52</definedName>
    <definedName name="_xlnm._FilterDatabase" localSheetId="4" hidden="1">TONT20000JANV2017!$A$4:$Q$52</definedName>
    <definedName name="_xlnm._FilterDatabase" localSheetId="10" hidden="1">TONT20000JUIL2017!$A$4:$Q$52</definedName>
    <definedName name="_xlnm._FilterDatabase" localSheetId="9" hidden="1">TONT20000JUIN2017!$A$4:$Q$52</definedName>
    <definedName name="_xlnm._FilterDatabase" localSheetId="8" hidden="1">TONT20000MAI2017!$A$4:$V$71</definedName>
    <definedName name="_xlnm._FilterDatabase" localSheetId="6" hidden="1">TONT20000MARS2017!$A$4:$V$52</definedName>
    <definedName name="_xlnm._FilterDatabase" localSheetId="14" hidden="1">TONT20000NOV2017!$A$4:$Q$52</definedName>
    <definedName name="_xlnm._FilterDatabase" localSheetId="13" hidden="1">TONT20000OCT2017!$A$4:$Q$52</definedName>
    <definedName name="_xlnm._FilterDatabase" localSheetId="12" hidden="1">TONT20000SEPT2017!$A$4:$Q$52</definedName>
    <definedName name="_xlnm._FilterDatabase" localSheetId="17" hidden="1">TONTINVENTFINAOUT2017!$A$4:$L$49</definedName>
    <definedName name="_xlnm._FilterDatabase" localSheetId="1" hidden="1">TRAVAUXINVENTAIRE!$A$4:$AD$52</definedName>
    <definedName name="BANQUE" localSheetId="21">#REF!</definedName>
    <definedName name="BANQUE" localSheetId="15">#REF!</definedName>
    <definedName name="BANQUE" localSheetId="16">#REF!</definedName>
    <definedName name="BANQUE" localSheetId="11">#REF!</definedName>
    <definedName name="BANQUE" localSheetId="7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4">#REF!</definedName>
    <definedName name="BANQUE" localSheetId="13">#REF!</definedName>
    <definedName name="BANQUE" localSheetId="12">#REF!</definedName>
    <definedName name="BANQUE">#REF!</definedName>
    <definedName name="_xlnm.Print_Titles" localSheetId="0">LISTADHERENT!$1:$4</definedName>
    <definedName name="_xlnm.Print_Titles" localSheetId="17">TONTINVENTFINAOUT2017!$1:$4</definedName>
    <definedName name="MODEPAID">[1]Feuil2!$A$1:$A$3</definedName>
    <definedName name="MODEVERSEMENT" localSheetId="21">#REF!</definedName>
    <definedName name="MODEVERSEMENT" localSheetId="15">#REF!</definedName>
    <definedName name="MODEVERSEMENT" localSheetId="16">#REF!</definedName>
    <definedName name="MODEVERSEMENT" localSheetId="11">#REF!</definedName>
    <definedName name="MODEVERSEMENT" localSheetId="7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4">#REF!</definedName>
    <definedName name="MODEVERSEMENT" localSheetId="13">#REF!</definedName>
    <definedName name="MODEVERSEMENT" localSheetId="12">#REF!</definedName>
    <definedName name="MODEVERSEMENT">#REF!</definedName>
    <definedName name="MODEVERSEMENTS">MODEVERSEMENT!$A$1:$A$3</definedName>
    <definedName name="MODPAID" localSheetId="15">TONT20000ANNUELLE!$H$5</definedName>
    <definedName name="MODPAID" localSheetId="16">TONT20000ANNUELLEBACKUP!$H$5</definedName>
    <definedName name="MODPAID" localSheetId="11">TONT20000AOUT2017!$H$5</definedName>
    <definedName name="MODPAID" localSheetId="7">TONT20000AVRIL2017!$H$5</definedName>
    <definedName name="MODPAID" localSheetId="5">TONT20000FEV2017!$H$5</definedName>
    <definedName name="MODPAID" localSheetId="4">TONT20000JANV2017!$H$5</definedName>
    <definedName name="MODPAID" localSheetId="10">TONT20000JUIL2017!$H$5</definedName>
    <definedName name="MODPAID" localSheetId="9">TONT20000JUIN2017!$H$5</definedName>
    <definedName name="MODPAID" localSheetId="8">TONT20000MAI2017!$H$5</definedName>
    <definedName name="MODPAID" localSheetId="6">TONT20000MARS2017!$H$5</definedName>
    <definedName name="MODPAID" localSheetId="14">TONT20000NOV2017!$H$5</definedName>
    <definedName name="MODPAID" localSheetId="13">TONT20000OCT2017!$H$5</definedName>
    <definedName name="MODPAID" localSheetId="12">TONT20000SEPT2017!$H$5</definedName>
    <definedName name="MODPAID" localSheetId="17">TONTINVENTFINAOUT2017!#REF!</definedName>
    <definedName name="MODPAID">TONT20000DEC2016!$J$5</definedName>
  </definedNames>
  <calcPr calcId="152511"/>
</workbook>
</file>

<file path=xl/calcChain.xml><?xml version="1.0" encoding="utf-8"?>
<calcChain xmlns="http://schemas.openxmlformats.org/spreadsheetml/2006/main">
  <c r="H55" i="47" l="1"/>
  <c r="H6" i="47"/>
  <c r="H7" i="47"/>
  <c r="H8" i="47"/>
  <c r="H9" i="47"/>
  <c r="H10" i="47"/>
  <c r="H11" i="47"/>
  <c r="H12" i="47"/>
  <c r="H13" i="47"/>
  <c r="H14" i="47"/>
  <c r="H15" i="47"/>
  <c r="H16" i="47"/>
  <c r="H17" i="47"/>
  <c r="H18" i="47"/>
  <c r="H19" i="47"/>
  <c r="H20" i="47"/>
  <c r="H21" i="47"/>
  <c r="H22" i="47"/>
  <c r="H23" i="47"/>
  <c r="H24" i="47"/>
  <c r="H25" i="47"/>
  <c r="H26" i="47"/>
  <c r="H27" i="47"/>
  <c r="H28" i="47"/>
  <c r="H29" i="47"/>
  <c r="H30" i="47"/>
  <c r="H31" i="47"/>
  <c r="H32" i="47"/>
  <c r="H33" i="47"/>
  <c r="H34" i="47"/>
  <c r="H35" i="47"/>
  <c r="H36" i="47"/>
  <c r="H37" i="47"/>
  <c r="H38" i="47"/>
  <c r="H39" i="47"/>
  <c r="H40" i="47"/>
  <c r="H41" i="47"/>
  <c r="H42" i="47"/>
  <c r="H43" i="47"/>
  <c r="H44" i="47"/>
  <c r="H45" i="47"/>
  <c r="H46" i="47"/>
  <c r="H47" i="47"/>
  <c r="H48" i="47"/>
  <c r="H49" i="47"/>
  <c r="H50" i="47"/>
  <c r="H51" i="47"/>
  <c r="H52" i="47"/>
  <c r="H5" i="47"/>
  <c r="K55" i="47"/>
  <c r="J39" i="47"/>
  <c r="K39" i="47"/>
  <c r="L39" i="47"/>
  <c r="J40" i="47"/>
  <c r="K40" i="47"/>
  <c r="L40" i="47"/>
  <c r="J41" i="47"/>
  <c r="K41" i="47"/>
  <c r="L41" i="47"/>
  <c r="J42" i="47"/>
  <c r="K42" i="47"/>
  <c r="L42" i="47"/>
  <c r="J43" i="47"/>
  <c r="K43" i="47"/>
  <c r="L43" i="47"/>
  <c r="J44" i="47"/>
  <c r="K44" i="47"/>
  <c r="L44" i="47"/>
  <c r="J45" i="47"/>
  <c r="K45" i="47"/>
  <c r="L45" i="47"/>
  <c r="J46" i="47"/>
  <c r="K46" i="47"/>
  <c r="L46" i="47"/>
  <c r="M46" i="47"/>
  <c r="J47" i="47"/>
  <c r="K47" i="47"/>
  <c r="L47" i="47"/>
  <c r="K48" i="47"/>
  <c r="J49" i="47"/>
  <c r="K49" i="47"/>
  <c r="L49" i="47"/>
  <c r="J50" i="47"/>
  <c r="K50" i="47"/>
  <c r="L50" i="47"/>
  <c r="J51" i="47"/>
  <c r="K51" i="47"/>
  <c r="L51" i="47"/>
  <c r="J52" i="47"/>
  <c r="K52" i="47"/>
  <c r="L52" i="47"/>
  <c r="L38" i="47"/>
  <c r="K38" i="47"/>
  <c r="J38" i="47"/>
  <c r="M15" i="47"/>
  <c r="M25" i="47"/>
  <c r="M26" i="47"/>
  <c r="J12" i="47"/>
  <c r="K12" i="47"/>
  <c r="L12" i="47"/>
  <c r="J13" i="47"/>
  <c r="K13" i="47"/>
  <c r="L13" i="47"/>
  <c r="J14" i="47"/>
  <c r="K14" i="47"/>
  <c r="L14" i="47"/>
  <c r="J15" i="47"/>
  <c r="K15" i="47"/>
  <c r="L15" i="47"/>
  <c r="J16" i="47"/>
  <c r="K16" i="47"/>
  <c r="L16" i="47"/>
  <c r="J17" i="47"/>
  <c r="K17" i="47"/>
  <c r="L17" i="47"/>
  <c r="J18" i="47"/>
  <c r="K18" i="47"/>
  <c r="L18" i="47"/>
  <c r="J19" i="47"/>
  <c r="K19" i="47"/>
  <c r="L19" i="47"/>
  <c r="J20" i="47"/>
  <c r="K20" i="47"/>
  <c r="L20" i="47"/>
  <c r="J21" i="47"/>
  <c r="K21" i="47"/>
  <c r="L21" i="47"/>
  <c r="J22" i="47"/>
  <c r="K22" i="47"/>
  <c r="L22" i="47"/>
  <c r="J23" i="47"/>
  <c r="K23" i="47"/>
  <c r="L23" i="47"/>
  <c r="J24" i="47"/>
  <c r="K24" i="47"/>
  <c r="L24" i="47"/>
  <c r="J25" i="47"/>
  <c r="K25" i="47"/>
  <c r="L25" i="47"/>
  <c r="J26" i="47"/>
  <c r="K26" i="47"/>
  <c r="L26" i="47"/>
  <c r="J27" i="47"/>
  <c r="K27" i="47"/>
  <c r="L27" i="47"/>
  <c r="J28" i="47"/>
  <c r="K28" i="47"/>
  <c r="L28" i="47"/>
  <c r="J29" i="47"/>
  <c r="K29" i="47"/>
  <c r="L29" i="47"/>
  <c r="J30" i="47"/>
  <c r="K30" i="47"/>
  <c r="L30" i="47"/>
  <c r="J31" i="47"/>
  <c r="K31" i="47"/>
  <c r="L31" i="47"/>
  <c r="J32" i="47"/>
  <c r="K32" i="47"/>
  <c r="L32" i="47"/>
  <c r="J33" i="47"/>
  <c r="K33" i="47"/>
  <c r="L33" i="47"/>
  <c r="J34" i="47"/>
  <c r="K34" i="47"/>
  <c r="L34" i="47"/>
  <c r="J36" i="47"/>
  <c r="K36" i="47"/>
  <c r="L36" i="47"/>
  <c r="J37" i="47"/>
  <c r="K37" i="47"/>
  <c r="L37" i="47"/>
  <c r="M8" i="47"/>
  <c r="J7" i="47"/>
  <c r="K7" i="47"/>
  <c r="L7" i="47"/>
  <c r="J8" i="47"/>
  <c r="K8" i="47"/>
  <c r="L8" i="47"/>
  <c r="J9" i="47"/>
  <c r="K9" i="47"/>
  <c r="L9" i="47"/>
  <c r="J10" i="47"/>
  <c r="K10" i="47"/>
  <c r="L10" i="47"/>
  <c r="M6" i="47"/>
  <c r="L6" i="47"/>
  <c r="K6" i="47"/>
  <c r="J6" i="47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0" i="46"/>
  <c r="M21" i="46"/>
  <c r="M22" i="46"/>
  <c r="M23" i="46"/>
  <c r="M24" i="46"/>
  <c r="M25" i="46"/>
  <c r="M26" i="46"/>
  <c r="M27" i="46"/>
  <c r="M28" i="46"/>
  <c r="M29" i="46"/>
  <c r="M30" i="46"/>
  <c r="M6" i="46"/>
  <c r="L30" i="46"/>
  <c r="K31" i="46"/>
  <c r="J32" i="46"/>
  <c r="M33" i="49"/>
  <c r="L34" i="46"/>
  <c r="J35" i="42"/>
  <c r="I35" i="42" s="1"/>
  <c r="K35" i="42"/>
  <c r="K35" i="49" s="1"/>
  <c r="L35" i="42"/>
  <c r="M35" i="42"/>
  <c r="J36" i="49"/>
  <c r="M36" i="42"/>
  <c r="I37" i="42"/>
  <c r="I37" i="46" s="1"/>
  <c r="J37" i="42"/>
  <c r="K37" i="42"/>
  <c r="L37" i="42"/>
  <c r="M37" i="42"/>
  <c r="M37" i="46" s="1"/>
  <c r="L38" i="49"/>
  <c r="K39" i="46"/>
  <c r="I41" i="46"/>
  <c r="M41" i="46"/>
  <c r="L42" i="46"/>
  <c r="K43" i="49"/>
  <c r="J44" i="49"/>
  <c r="I45" i="46"/>
  <c r="M45" i="46"/>
  <c r="L46" i="49"/>
  <c r="K47" i="46"/>
  <c r="I18" i="49"/>
  <c r="M11" i="42"/>
  <c r="I28" i="49"/>
  <c r="I26" i="49"/>
  <c r="I22" i="49"/>
  <c r="I14" i="49"/>
  <c r="J7" i="46"/>
  <c r="K7" i="46"/>
  <c r="N7" i="46"/>
  <c r="O7" i="46"/>
  <c r="P7" i="46"/>
  <c r="Q7" i="46"/>
  <c r="R7" i="46"/>
  <c r="S7" i="46"/>
  <c r="T7" i="46"/>
  <c r="J8" i="46"/>
  <c r="K8" i="46"/>
  <c r="N8" i="46"/>
  <c r="O8" i="46"/>
  <c r="P8" i="46"/>
  <c r="Q8" i="46"/>
  <c r="R8" i="46"/>
  <c r="S8" i="46"/>
  <c r="T8" i="46"/>
  <c r="J9" i="46"/>
  <c r="K9" i="46"/>
  <c r="N9" i="46"/>
  <c r="O9" i="46"/>
  <c r="P9" i="46"/>
  <c r="Q9" i="46"/>
  <c r="R9" i="46"/>
  <c r="S9" i="46"/>
  <c r="T9" i="46"/>
  <c r="J10" i="46"/>
  <c r="K10" i="46"/>
  <c r="N10" i="46"/>
  <c r="O10" i="46"/>
  <c r="P10" i="46"/>
  <c r="Q10" i="46"/>
  <c r="R10" i="46"/>
  <c r="S10" i="46"/>
  <c r="T10" i="46"/>
  <c r="J11" i="46"/>
  <c r="K11" i="46"/>
  <c r="N11" i="46"/>
  <c r="O11" i="46"/>
  <c r="P11" i="46"/>
  <c r="Q11" i="46"/>
  <c r="R11" i="46"/>
  <c r="S11" i="46"/>
  <c r="T11" i="46"/>
  <c r="J12" i="46"/>
  <c r="K12" i="46"/>
  <c r="N12" i="46"/>
  <c r="O12" i="46"/>
  <c r="P12" i="46"/>
  <c r="Q12" i="46"/>
  <c r="R12" i="46"/>
  <c r="S12" i="46"/>
  <c r="T12" i="46"/>
  <c r="I13" i="46"/>
  <c r="J13" i="46"/>
  <c r="K13" i="46"/>
  <c r="N13" i="46"/>
  <c r="O13" i="46"/>
  <c r="P13" i="46"/>
  <c r="Q13" i="46"/>
  <c r="R13" i="46"/>
  <c r="S13" i="46"/>
  <c r="T13" i="46"/>
  <c r="J14" i="46"/>
  <c r="K14" i="46"/>
  <c r="N14" i="46"/>
  <c r="O14" i="46"/>
  <c r="P14" i="46"/>
  <c r="Q14" i="46"/>
  <c r="R14" i="46"/>
  <c r="S14" i="46"/>
  <c r="T14" i="46"/>
  <c r="J15" i="46"/>
  <c r="K15" i="46"/>
  <c r="L15" i="46"/>
  <c r="N15" i="46"/>
  <c r="O15" i="46"/>
  <c r="P15" i="46"/>
  <c r="Q15" i="46"/>
  <c r="R15" i="46"/>
  <c r="S15" i="46"/>
  <c r="T15" i="46"/>
  <c r="J16" i="46"/>
  <c r="K16" i="46"/>
  <c r="L16" i="46"/>
  <c r="N16" i="46"/>
  <c r="O16" i="46"/>
  <c r="P16" i="46"/>
  <c r="Q16" i="46"/>
  <c r="R16" i="46"/>
  <c r="S16" i="46"/>
  <c r="T16" i="46"/>
  <c r="I17" i="46"/>
  <c r="J17" i="46"/>
  <c r="K17" i="46"/>
  <c r="L17" i="46"/>
  <c r="N17" i="46"/>
  <c r="O17" i="46"/>
  <c r="P17" i="46"/>
  <c r="Q17" i="46"/>
  <c r="R17" i="46"/>
  <c r="S17" i="46"/>
  <c r="T17" i="46"/>
  <c r="J18" i="46"/>
  <c r="K18" i="46"/>
  <c r="N18" i="46"/>
  <c r="O18" i="46"/>
  <c r="P18" i="46"/>
  <c r="Q18" i="46"/>
  <c r="R18" i="46"/>
  <c r="S18" i="46"/>
  <c r="T18" i="46"/>
  <c r="J19" i="46"/>
  <c r="K19" i="46"/>
  <c r="L19" i="46"/>
  <c r="N19" i="46"/>
  <c r="O19" i="46"/>
  <c r="P19" i="46"/>
  <c r="Q19" i="46"/>
  <c r="R19" i="46"/>
  <c r="S19" i="46"/>
  <c r="T19" i="46"/>
  <c r="J20" i="46"/>
  <c r="K20" i="46"/>
  <c r="L20" i="46"/>
  <c r="N20" i="46"/>
  <c r="O20" i="46"/>
  <c r="P20" i="46"/>
  <c r="Q20" i="46"/>
  <c r="R20" i="46"/>
  <c r="S20" i="46"/>
  <c r="T20" i="46"/>
  <c r="I21" i="46"/>
  <c r="J21" i="46"/>
  <c r="K21" i="46"/>
  <c r="L21" i="46"/>
  <c r="N21" i="46"/>
  <c r="O21" i="46"/>
  <c r="P21" i="46"/>
  <c r="Q21" i="46"/>
  <c r="R21" i="46"/>
  <c r="S21" i="46"/>
  <c r="T21" i="46"/>
  <c r="I22" i="46"/>
  <c r="J22" i="46"/>
  <c r="K22" i="46"/>
  <c r="L22" i="46"/>
  <c r="N22" i="46"/>
  <c r="O22" i="46"/>
  <c r="P22" i="46"/>
  <c r="Q22" i="46"/>
  <c r="R22" i="46"/>
  <c r="S22" i="46"/>
  <c r="T22" i="46"/>
  <c r="J23" i="46"/>
  <c r="K23" i="46"/>
  <c r="L23" i="46"/>
  <c r="N23" i="46"/>
  <c r="O23" i="46"/>
  <c r="P23" i="46"/>
  <c r="Q23" i="46"/>
  <c r="R23" i="46"/>
  <c r="S23" i="46"/>
  <c r="T23" i="46"/>
  <c r="J24" i="46"/>
  <c r="K24" i="46"/>
  <c r="L24" i="46"/>
  <c r="N24" i="46"/>
  <c r="O24" i="46"/>
  <c r="P24" i="46"/>
  <c r="Q24" i="46"/>
  <c r="R24" i="46"/>
  <c r="S24" i="46"/>
  <c r="T24" i="46"/>
  <c r="I25" i="46"/>
  <c r="J25" i="46"/>
  <c r="K25" i="46"/>
  <c r="L25" i="46"/>
  <c r="N25" i="46"/>
  <c r="O25" i="46"/>
  <c r="Q25" i="46"/>
  <c r="R25" i="46"/>
  <c r="S25" i="46"/>
  <c r="T25" i="46"/>
  <c r="I26" i="46"/>
  <c r="J26" i="46"/>
  <c r="K26" i="46"/>
  <c r="L26" i="46"/>
  <c r="N26" i="46"/>
  <c r="O26" i="46"/>
  <c r="P26" i="46"/>
  <c r="Q26" i="46"/>
  <c r="R26" i="46"/>
  <c r="S26" i="46"/>
  <c r="T26" i="46"/>
  <c r="J27" i="46"/>
  <c r="K27" i="46"/>
  <c r="L27" i="46"/>
  <c r="N27" i="46"/>
  <c r="O27" i="46"/>
  <c r="P27" i="46"/>
  <c r="Q27" i="46"/>
  <c r="R27" i="46"/>
  <c r="S27" i="46"/>
  <c r="T27" i="46"/>
  <c r="I28" i="46"/>
  <c r="J28" i="46"/>
  <c r="K28" i="46"/>
  <c r="L28" i="46"/>
  <c r="N28" i="46"/>
  <c r="O28" i="46"/>
  <c r="P28" i="46"/>
  <c r="Q28" i="46"/>
  <c r="R28" i="46"/>
  <c r="S28" i="46"/>
  <c r="T28" i="46"/>
  <c r="J29" i="46"/>
  <c r="K29" i="46"/>
  <c r="L29" i="46"/>
  <c r="N29" i="46"/>
  <c r="O29" i="46"/>
  <c r="P29" i="46"/>
  <c r="Q29" i="46"/>
  <c r="R29" i="46"/>
  <c r="S29" i="46"/>
  <c r="T29" i="46"/>
  <c r="J30" i="46"/>
  <c r="K30" i="46"/>
  <c r="N30" i="46"/>
  <c r="O30" i="46"/>
  <c r="P30" i="46"/>
  <c r="Q30" i="46"/>
  <c r="R30" i="46"/>
  <c r="S30" i="46"/>
  <c r="T30" i="46"/>
  <c r="J31" i="46"/>
  <c r="L31" i="46"/>
  <c r="M31" i="46"/>
  <c r="N31" i="46"/>
  <c r="O31" i="46"/>
  <c r="P31" i="46"/>
  <c r="Q31" i="46"/>
  <c r="R31" i="46"/>
  <c r="S31" i="46"/>
  <c r="T31" i="46"/>
  <c r="K32" i="46"/>
  <c r="L32" i="46"/>
  <c r="M32" i="46"/>
  <c r="N32" i="46"/>
  <c r="O32" i="46"/>
  <c r="P32" i="46"/>
  <c r="Q32" i="46"/>
  <c r="R32" i="46"/>
  <c r="S32" i="46"/>
  <c r="T32" i="46"/>
  <c r="J33" i="46"/>
  <c r="K33" i="46"/>
  <c r="L33" i="46"/>
  <c r="N33" i="46"/>
  <c r="O33" i="46"/>
  <c r="P33" i="46"/>
  <c r="Q33" i="46"/>
  <c r="R33" i="46"/>
  <c r="S33" i="46"/>
  <c r="T33" i="46"/>
  <c r="J34" i="46"/>
  <c r="K34" i="46"/>
  <c r="M34" i="46"/>
  <c r="N34" i="46"/>
  <c r="O34" i="46"/>
  <c r="P34" i="46"/>
  <c r="Q34" i="46"/>
  <c r="R34" i="46"/>
  <c r="S34" i="46"/>
  <c r="T34" i="46"/>
  <c r="J35" i="46"/>
  <c r="K35" i="46"/>
  <c r="L35" i="46"/>
  <c r="M35" i="46"/>
  <c r="N35" i="46"/>
  <c r="O35" i="46"/>
  <c r="P35" i="46"/>
  <c r="Q35" i="46"/>
  <c r="R35" i="46"/>
  <c r="S35" i="46"/>
  <c r="T35" i="46"/>
  <c r="K36" i="46"/>
  <c r="L36" i="46"/>
  <c r="M36" i="46"/>
  <c r="N36" i="46"/>
  <c r="O36" i="46"/>
  <c r="P36" i="46"/>
  <c r="Q36" i="46"/>
  <c r="R36" i="46"/>
  <c r="S36" i="46"/>
  <c r="T36" i="46"/>
  <c r="J37" i="46"/>
  <c r="K37" i="46"/>
  <c r="L37" i="46"/>
  <c r="N37" i="46"/>
  <c r="O37" i="46"/>
  <c r="P37" i="46"/>
  <c r="Q37" i="46"/>
  <c r="R37" i="46"/>
  <c r="S37" i="46"/>
  <c r="T37" i="46"/>
  <c r="J38" i="46"/>
  <c r="K38" i="46"/>
  <c r="L38" i="46"/>
  <c r="M38" i="46"/>
  <c r="N38" i="46"/>
  <c r="O38" i="46"/>
  <c r="P38" i="46"/>
  <c r="Q38" i="46"/>
  <c r="R38" i="46"/>
  <c r="S38" i="46"/>
  <c r="T38" i="46"/>
  <c r="J39" i="46"/>
  <c r="L39" i="46"/>
  <c r="M39" i="46"/>
  <c r="N39" i="46"/>
  <c r="O39" i="46"/>
  <c r="P39" i="46"/>
  <c r="Q39" i="46"/>
  <c r="R39" i="46"/>
  <c r="S39" i="46"/>
  <c r="T39" i="46"/>
  <c r="J40" i="46"/>
  <c r="K40" i="46"/>
  <c r="L40" i="46"/>
  <c r="M40" i="46"/>
  <c r="N40" i="46"/>
  <c r="O40" i="46"/>
  <c r="P40" i="46"/>
  <c r="Q40" i="46"/>
  <c r="R40" i="46"/>
  <c r="S40" i="46"/>
  <c r="T40" i="46"/>
  <c r="J41" i="46"/>
  <c r="K41" i="46"/>
  <c r="L41" i="46"/>
  <c r="N41" i="46"/>
  <c r="O41" i="46"/>
  <c r="P41" i="46"/>
  <c r="Q41" i="46"/>
  <c r="R41" i="46"/>
  <c r="S41" i="46"/>
  <c r="T41" i="46"/>
  <c r="J42" i="46"/>
  <c r="K42" i="46"/>
  <c r="M42" i="46"/>
  <c r="N42" i="46"/>
  <c r="O42" i="46"/>
  <c r="P42" i="46"/>
  <c r="Q42" i="46"/>
  <c r="R42" i="46"/>
  <c r="S42" i="46"/>
  <c r="T42" i="46"/>
  <c r="J43" i="46"/>
  <c r="K43" i="46"/>
  <c r="L43" i="46"/>
  <c r="M43" i="46"/>
  <c r="N43" i="46"/>
  <c r="O43" i="46"/>
  <c r="P43" i="46"/>
  <c r="Q43" i="46"/>
  <c r="R43" i="46"/>
  <c r="S43" i="46"/>
  <c r="T43" i="46"/>
  <c r="K44" i="46"/>
  <c r="L44" i="46"/>
  <c r="M44" i="46"/>
  <c r="N44" i="46"/>
  <c r="O44" i="46"/>
  <c r="P44" i="46"/>
  <c r="Q44" i="46"/>
  <c r="R44" i="46"/>
  <c r="S44" i="46"/>
  <c r="T44" i="46"/>
  <c r="J45" i="46"/>
  <c r="K45" i="46"/>
  <c r="L45" i="46"/>
  <c r="N45" i="46"/>
  <c r="O45" i="46"/>
  <c r="P45" i="46"/>
  <c r="Q45" i="46"/>
  <c r="R45" i="46"/>
  <c r="S45" i="46"/>
  <c r="T45" i="46"/>
  <c r="J46" i="46"/>
  <c r="K46" i="46"/>
  <c r="L46" i="46"/>
  <c r="M46" i="46"/>
  <c r="N46" i="46"/>
  <c r="O46" i="46"/>
  <c r="P46" i="46"/>
  <c r="Q46" i="46"/>
  <c r="R46" i="46"/>
  <c r="S46" i="46"/>
  <c r="T46" i="46"/>
  <c r="J47" i="46"/>
  <c r="L47" i="46"/>
  <c r="M47" i="46"/>
  <c r="N47" i="46"/>
  <c r="O47" i="46"/>
  <c r="P47" i="46"/>
  <c r="Q47" i="46"/>
  <c r="R47" i="46"/>
  <c r="S47" i="46"/>
  <c r="T47" i="46"/>
  <c r="J48" i="46"/>
  <c r="K48" i="46"/>
  <c r="L48" i="46"/>
  <c r="M48" i="46"/>
  <c r="N48" i="46"/>
  <c r="O48" i="46"/>
  <c r="P48" i="46"/>
  <c r="Q48" i="46"/>
  <c r="R48" i="46"/>
  <c r="S48" i="46"/>
  <c r="T48" i="46"/>
  <c r="I49" i="46"/>
  <c r="J49" i="46"/>
  <c r="K49" i="46"/>
  <c r="L49" i="46"/>
  <c r="M49" i="46"/>
  <c r="N49" i="46"/>
  <c r="O49" i="46"/>
  <c r="P49" i="46"/>
  <c r="Q49" i="46"/>
  <c r="R49" i="46"/>
  <c r="S49" i="46"/>
  <c r="T49" i="46"/>
  <c r="I50" i="46"/>
  <c r="J50" i="46"/>
  <c r="K50" i="46"/>
  <c r="L50" i="46"/>
  <c r="M50" i="46"/>
  <c r="N50" i="46"/>
  <c r="O50" i="46"/>
  <c r="P50" i="46"/>
  <c r="Q50" i="46"/>
  <c r="R50" i="46"/>
  <c r="S50" i="46"/>
  <c r="T50" i="46"/>
  <c r="I51" i="46"/>
  <c r="J51" i="46"/>
  <c r="K51" i="46"/>
  <c r="L51" i="46"/>
  <c r="M51" i="46"/>
  <c r="N51" i="46"/>
  <c r="O51" i="46"/>
  <c r="P51" i="46"/>
  <c r="Q51" i="46"/>
  <c r="R51" i="46"/>
  <c r="S51" i="46"/>
  <c r="T51" i="46"/>
  <c r="I52" i="46"/>
  <c r="J52" i="46"/>
  <c r="K52" i="46"/>
  <c r="L52" i="46"/>
  <c r="M52" i="46"/>
  <c r="N52" i="46"/>
  <c r="O52" i="46"/>
  <c r="P52" i="46"/>
  <c r="Q52" i="46"/>
  <c r="R52" i="46"/>
  <c r="S52" i="46"/>
  <c r="T52" i="46"/>
  <c r="J6" i="46"/>
  <c r="K6" i="46"/>
  <c r="L6" i="46"/>
  <c r="N6" i="46"/>
  <c r="O6" i="46"/>
  <c r="P6" i="46"/>
  <c r="Q6" i="46"/>
  <c r="R6" i="46"/>
  <c r="S6" i="46"/>
  <c r="T6" i="46"/>
  <c r="I6" i="46"/>
  <c r="G72" i="49"/>
  <c r="F72" i="49"/>
  <c r="G71" i="49"/>
  <c r="F71" i="49"/>
  <c r="G56" i="49"/>
  <c r="F56" i="49"/>
  <c r="E65" i="49" s="1"/>
  <c r="E56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G52" i="49"/>
  <c r="F52" i="49"/>
  <c r="B52" i="49"/>
  <c r="T51" i="49"/>
  <c r="S51" i="49"/>
  <c r="R51" i="49"/>
  <c r="Q51" i="49"/>
  <c r="P51" i="49"/>
  <c r="O51" i="49"/>
  <c r="N51" i="49"/>
  <c r="M51" i="49"/>
  <c r="L51" i="49"/>
  <c r="K51" i="49"/>
  <c r="J51" i="49"/>
  <c r="I51" i="49"/>
  <c r="G51" i="49"/>
  <c r="F51" i="49"/>
  <c r="B51" i="49"/>
  <c r="T50" i="49"/>
  <c r="S50" i="49"/>
  <c r="R50" i="49"/>
  <c r="Q50" i="49"/>
  <c r="P50" i="49"/>
  <c r="O50" i="49"/>
  <c r="N50" i="49"/>
  <c r="M50" i="49"/>
  <c r="L50" i="49"/>
  <c r="K50" i="49"/>
  <c r="J50" i="49"/>
  <c r="I50" i="49"/>
  <c r="G50" i="49"/>
  <c r="F50" i="49"/>
  <c r="B50" i="49"/>
  <c r="T49" i="49"/>
  <c r="S49" i="49"/>
  <c r="R49" i="49"/>
  <c r="Q49" i="49"/>
  <c r="P49" i="49"/>
  <c r="O49" i="49"/>
  <c r="N49" i="49"/>
  <c r="M49" i="49"/>
  <c r="L49" i="49"/>
  <c r="K49" i="49"/>
  <c r="J49" i="49"/>
  <c r="I49" i="49"/>
  <c r="G49" i="49"/>
  <c r="F49" i="49"/>
  <c r="B49" i="49"/>
  <c r="T48" i="49"/>
  <c r="S48" i="49"/>
  <c r="R48" i="49"/>
  <c r="Q48" i="49"/>
  <c r="P48" i="49"/>
  <c r="O48" i="49"/>
  <c r="N48" i="49"/>
  <c r="M48" i="49"/>
  <c r="K48" i="49"/>
  <c r="J48" i="49"/>
  <c r="G48" i="49"/>
  <c r="F48" i="49"/>
  <c r="B48" i="49"/>
  <c r="T47" i="49"/>
  <c r="S47" i="49"/>
  <c r="R47" i="49"/>
  <c r="Q47" i="49"/>
  <c r="P47" i="49"/>
  <c r="O47" i="49"/>
  <c r="N47" i="49"/>
  <c r="M47" i="49"/>
  <c r="J47" i="49"/>
  <c r="G47" i="49"/>
  <c r="F47" i="49"/>
  <c r="B47" i="49"/>
  <c r="T46" i="49"/>
  <c r="S46" i="49"/>
  <c r="R46" i="49"/>
  <c r="Q46" i="49"/>
  <c r="P46" i="49"/>
  <c r="O46" i="49"/>
  <c r="N46" i="49"/>
  <c r="M46" i="49"/>
  <c r="K46" i="49"/>
  <c r="J46" i="49"/>
  <c r="G46" i="49"/>
  <c r="F46" i="49"/>
  <c r="B46" i="49"/>
  <c r="T45" i="49"/>
  <c r="S45" i="49"/>
  <c r="R45" i="49"/>
  <c r="Q45" i="49"/>
  <c r="P45" i="49"/>
  <c r="O45" i="49"/>
  <c r="N45" i="49"/>
  <c r="M45" i="49"/>
  <c r="L45" i="49"/>
  <c r="K45" i="49"/>
  <c r="J45" i="49"/>
  <c r="I45" i="49"/>
  <c r="G45" i="49"/>
  <c r="F45" i="49"/>
  <c r="B45" i="49"/>
  <c r="T44" i="49"/>
  <c r="S44" i="49"/>
  <c r="R44" i="49"/>
  <c r="Q44" i="49"/>
  <c r="P44" i="49"/>
  <c r="O44" i="49"/>
  <c r="N44" i="49"/>
  <c r="M44" i="49"/>
  <c r="K44" i="49"/>
  <c r="G44" i="49"/>
  <c r="F44" i="49"/>
  <c r="B44" i="49"/>
  <c r="T43" i="49"/>
  <c r="S43" i="49"/>
  <c r="R43" i="49"/>
  <c r="Q43" i="49"/>
  <c r="P43" i="49"/>
  <c r="O43" i="49"/>
  <c r="N43" i="49"/>
  <c r="M43" i="49"/>
  <c r="J43" i="49"/>
  <c r="G43" i="49"/>
  <c r="F43" i="49"/>
  <c r="B43" i="49"/>
  <c r="T42" i="49"/>
  <c r="S42" i="49"/>
  <c r="R42" i="49"/>
  <c r="Q42" i="49"/>
  <c r="P42" i="49"/>
  <c r="O42" i="49"/>
  <c r="N42" i="49"/>
  <c r="M42" i="49"/>
  <c r="K42" i="49"/>
  <c r="J42" i="49"/>
  <c r="G42" i="49"/>
  <c r="F42" i="49"/>
  <c r="B42" i="49"/>
  <c r="T41" i="49"/>
  <c r="S41" i="49"/>
  <c r="R41" i="49"/>
  <c r="Q41" i="49"/>
  <c r="P41" i="49"/>
  <c r="O41" i="49"/>
  <c r="N41" i="49"/>
  <c r="L41" i="49"/>
  <c r="K41" i="49"/>
  <c r="J41" i="49"/>
  <c r="G41" i="49"/>
  <c r="F41" i="49"/>
  <c r="B41" i="49"/>
  <c r="T40" i="49"/>
  <c r="S40" i="49"/>
  <c r="R40" i="49"/>
  <c r="Q40" i="49"/>
  <c r="P40" i="49"/>
  <c r="O40" i="49"/>
  <c r="N40" i="49"/>
  <c r="M40" i="49"/>
  <c r="K40" i="49"/>
  <c r="J40" i="49"/>
  <c r="G40" i="49"/>
  <c r="F40" i="49"/>
  <c r="B40" i="49"/>
  <c r="T39" i="49"/>
  <c r="S39" i="49"/>
  <c r="R39" i="49"/>
  <c r="Q39" i="49"/>
  <c r="P39" i="49"/>
  <c r="O39" i="49"/>
  <c r="N39" i="49"/>
  <c r="M39" i="49"/>
  <c r="K39" i="49"/>
  <c r="J39" i="49"/>
  <c r="G39" i="49"/>
  <c r="F39" i="49"/>
  <c r="B39" i="49"/>
  <c r="T38" i="49"/>
  <c r="S38" i="49"/>
  <c r="R38" i="49"/>
  <c r="Q38" i="49"/>
  <c r="P38" i="49"/>
  <c r="O38" i="49"/>
  <c r="N38" i="49"/>
  <c r="M38" i="49"/>
  <c r="K38" i="49"/>
  <c r="J38" i="49"/>
  <c r="G38" i="49"/>
  <c r="F38" i="49"/>
  <c r="B38" i="49"/>
  <c r="T37" i="49"/>
  <c r="S37" i="49"/>
  <c r="R37" i="49"/>
  <c r="Q37" i="49"/>
  <c r="P37" i="49"/>
  <c r="O37" i="49"/>
  <c r="N37" i="49"/>
  <c r="L37" i="49"/>
  <c r="K37" i="49"/>
  <c r="J37" i="49"/>
  <c r="C37" i="49"/>
  <c r="T36" i="49"/>
  <c r="S36" i="49"/>
  <c r="R36" i="49"/>
  <c r="Q36" i="49"/>
  <c r="P36" i="49"/>
  <c r="O36" i="49"/>
  <c r="N36" i="49"/>
  <c r="M36" i="49"/>
  <c r="K36" i="49"/>
  <c r="G36" i="49"/>
  <c r="F36" i="49"/>
  <c r="B36" i="49"/>
  <c r="T35" i="49"/>
  <c r="S35" i="49"/>
  <c r="R35" i="49"/>
  <c r="Q35" i="49"/>
  <c r="P35" i="49"/>
  <c r="O35" i="49"/>
  <c r="N35" i="49"/>
  <c r="M35" i="49"/>
  <c r="L35" i="49"/>
  <c r="J35" i="49"/>
  <c r="C35" i="49"/>
  <c r="T34" i="49"/>
  <c r="S34" i="49"/>
  <c r="R34" i="49"/>
  <c r="Q34" i="49"/>
  <c r="P34" i="49"/>
  <c r="O34" i="49"/>
  <c r="N34" i="49"/>
  <c r="M34" i="49"/>
  <c r="K34" i="49"/>
  <c r="J34" i="49"/>
  <c r="G34" i="49"/>
  <c r="F34" i="49"/>
  <c r="B34" i="49"/>
  <c r="T33" i="49"/>
  <c r="S33" i="49"/>
  <c r="R33" i="49"/>
  <c r="Q33" i="49"/>
  <c r="P33" i="49"/>
  <c r="O33" i="49"/>
  <c r="N33" i="49"/>
  <c r="K33" i="49"/>
  <c r="J33" i="49"/>
  <c r="G33" i="49"/>
  <c r="F33" i="49"/>
  <c r="B33" i="49"/>
  <c r="T32" i="49"/>
  <c r="S32" i="49"/>
  <c r="R32" i="49"/>
  <c r="Q32" i="49"/>
  <c r="P32" i="49"/>
  <c r="O32" i="49"/>
  <c r="N32" i="49"/>
  <c r="M32" i="49"/>
  <c r="L32" i="49"/>
  <c r="K32" i="49"/>
  <c r="G32" i="49"/>
  <c r="F32" i="49"/>
  <c r="B32" i="49"/>
  <c r="T31" i="49"/>
  <c r="S31" i="49"/>
  <c r="R31" i="49"/>
  <c r="Q31" i="49"/>
  <c r="P31" i="49"/>
  <c r="O31" i="49"/>
  <c r="N31" i="49"/>
  <c r="M31" i="49"/>
  <c r="L31" i="49"/>
  <c r="J31" i="49"/>
  <c r="G31" i="49"/>
  <c r="F31" i="49"/>
  <c r="B31" i="49"/>
  <c r="T30" i="49"/>
  <c r="S30" i="49"/>
  <c r="R30" i="49"/>
  <c r="Q30" i="49"/>
  <c r="P30" i="49"/>
  <c r="O30" i="49"/>
  <c r="N30" i="49"/>
  <c r="M30" i="49"/>
  <c r="K30" i="49"/>
  <c r="J30" i="49"/>
  <c r="G30" i="49"/>
  <c r="F30" i="49"/>
  <c r="B30" i="49"/>
  <c r="T29" i="49"/>
  <c r="S29" i="49"/>
  <c r="R29" i="49"/>
  <c r="Q29" i="49"/>
  <c r="P29" i="49"/>
  <c r="O29" i="49"/>
  <c r="N29" i="49"/>
  <c r="M29" i="49"/>
  <c r="K29" i="49"/>
  <c r="J29" i="49"/>
  <c r="G29" i="49"/>
  <c r="F29" i="49"/>
  <c r="B29" i="49"/>
  <c r="T28" i="49"/>
  <c r="S28" i="49"/>
  <c r="R28" i="49"/>
  <c r="Q28" i="49"/>
  <c r="P28" i="49"/>
  <c r="O28" i="49"/>
  <c r="N28" i="49"/>
  <c r="M28" i="49"/>
  <c r="L28" i="49"/>
  <c r="K28" i="49"/>
  <c r="J28" i="49"/>
  <c r="B28" i="49"/>
  <c r="T27" i="49"/>
  <c r="S27" i="49"/>
  <c r="R27" i="49"/>
  <c r="Q27" i="49"/>
  <c r="P27" i="49"/>
  <c r="O27" i="49"/>
  <c r="N27" i="49"/>
  <c r="M27" i="49"/>
  <c r="K27" i="49"/>
  <c r="J27" i="49"/>
  <c r="G27" i="49"/>
  <c r="F27" i="49"/>
  <c r="B27" i="49"/>
  <c r="T26" i="49"/>
  <c r="S26" i="49"/>
  <c r="R26" i="49"/>
  <c r="Q26" i="49"/>
  <c r="P26" i="49"/>
  <c r="O26" i="49"/>
  <c r="N26" i="49"/>
  <c r="M26" i="49"/>
  <c r="L26" i="49"/>
  <c r="K26" i="49"/>
  <c r="J26" i="49"/>
  <c r="G26" i="49"/>
  <c r="F26" i="49"/>
  <c r="B26" i="49"/>
  <c r="T25" i="49"/>
  <c r="S25" i="49"/>
  <c r="R25" i="49"/>
  <c r="Q25" i="49"/>
  <c r="O25" i="49"/>
  <c r="N25" i="49"/>
  <c r="M25" i="49"/>
  <c r="L25" i="49"/>
  <c r="K25" i="49"/>
  <c r="J25" i="49"/>
  <c r="I25" i="49"/>
  <c r="G25" i="49"/>
  <c r="F25" i="49"/>
  <c r="B25" i="49"/>
  <c r="T24" i="49"/>
  <c r="S24" i="49"/>
  <c r="R24" i="49"/>
  <c r="Q24" i="49"/>
  <c r="P24" i="49"/>
  <c r="O24" i="49"/>
  <c r="N24" i="49"/>
  <c r="M24" i="49"/>
  <c r="K24" i="49"/>
  <c r="J24" i="49"/>
  <c r="G24" i="49"/>
  <c r="F24" i="49"/>
  <c r="B24" i="49"/>
  <c r="T23" i="49"/>
  <c r="S23" i="49"/>
  <c r="R23" i="49"/>
  <c r="Q23" i="49"/>
  <c r="P23" i="49"/>
  <c r="O23" i="49"/>
  <c r="N23" i="49"/>
  <c r="M23" i="49"/>
  <c r="K23" i="49"/>
  <c r="J23" i="49"/>
  <c r="G23" i="49"/>
  <c r="F23" i="49"/>
  <c r="B23" i="49"/>
  <c r="T22" i="49"/>
  <c r="S22" i="49"/>
  <c r="R22" i="49"/>
  <c r="Q22" i="49"/>
  <c r="P22" i="49"/>
  <c r="O22" i="49"/>
  <c r="N22" i="49"/>
  <c r="M22" i="49"/>
  <c r="L22" i="49"/>
  <c r="K22" i="49"/>
  <c r="J22" i="49"/>
  <c r="G22" i="49"/>
  <c r="F22" i="49"/>
  <c r="B22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G21" i="49"/>
  <c r="F21" i="49"/>
  <c r="B21" i="49"/>
  <c r="T20" i="49"/>
  <c r="S20" i="49"/>
  <c r="R20" i="49"/>
  <c r="Q20" i="49"/>
  <c r="P20" i="49"/>
  <c r="O20" i="49"/>
  <c r="N20" i="49"/>
  <c r="M20" i="49"/>
  <c r="K20" i="49"/>
  <c r="J20" i="49"/>
  <c r="G20" i="49"/>
  <c r="F20" i="49"/>
  <c r="B20" i="49"/>
  <c r="T19" i="49"/>
  <c r="S19" i="49"/>
  <c r="R19" i="49"/>
  <c r="Q19" i="49"/>
  <c r="P19" i="49"/>
  <c r="O19" i="49"/>
  <c r="N19" i="49"/>
  <c r="M19" i="49"/>
  <c r="K19" i="49"/>
  <c r="J19" i="49"/>
  <c r="G19" i="49"/>
  <c r="F19" i="49"/>
  <c r="B19" i="49"/>
  <c r="T18" i="49"/>
  <c r="S18" i="49"/>
  <c r="R18" i="49"/>
  <c r="Q18" i="49"/>
  <c r="P18" i="49"/>
  <c r="O18" i="49"/>
  <c r="N18" i="49"/>
  <c r="M18" i="49"/>
  <c r="L18" i="49"/>
  <c r="K18" i="49"/>
  <c r="J18" i="49"/>
  <c r="G18" i="49"/>
  <c r="F18" i="49"/>
  <c r="B18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G17" i="49"/>
  <c r="F17" i="49"/>
  <c r="B17" i="49"/>
  <c r="T16" i="49"/>
  <c r="S16" i="49"/>
  <c r="R16" i="49"/>
  <c r="Q16" i="49"/>
  <c r="P16" i="49"/>
  <c r="O16" i="49"/>
  <c r="N16" i="49"/>
  <c r="M16" i="49"/>
  <c r="K16" i="49"/>
  <c r="J16" i="49"/>
  <c r="G16" i="49"/>
  <c r="F16" i="49"/>
  <c r="B16" i="49"/>
  <c r="T15" i="49"/>
  <c r="S15" i="49"/>
  <c r="R15" i="49"/>
  <c r="Q15" i="49"/>
  <c r="P15" i="49"/>
  <c r="O15" i="49"/>
  <c r="N15" i="49"/>
  <c r="M15" i="49"/>
  <c r="K15" i="49"/>
  <c r="J15" i="49"/>
  <c r="G15" i="49"/>
  <c r="F15" i="49"/>
  <c r="B15" i="49"/>
  <c r="T14" i="49"/>
  <c r="S14" i="49"/>
  <c r="R14" i="49"/>
  <c r="Q14" i="49"/>
  <c r="P14" i="49"/>
  <c r="O14" i="49"/>
  <c r="N14" i="49"/>
  <c r="M14" i="49"/>
  <c r="L14" i="49"/>
  <c r="K14" i="49"/>
  <c r="J14" i="49"/>
  <c r="G14" i="49"/>
  <c r="F14" i="49"/>
  <c r="B14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G13" i="49"/>
  <c r="F13" i="49"/>
  <c r="B13" i="49"/>
  <c r="T12" i="49"/>
  <c r="S12" i="49"/>
  <c r="R12" i="49"/>
  <c r="Q12" i="49"/>
  <c r="P12" i="49"/>
  <c r="O12" i="49"/>
  <c r="N12" i="49"/>
  <c r="M12" i="49"/>
  <c r="K12" i="49"/>
  <c r="J12" i="49"/>
  <c r="G12" i="49"/>
  <c r="F12" i="49"/>
  <c r="B12" i="49"/>
  <c r="T11" i="49"/>
  <c r="S11" i="49"/>
  <c r="R11" i="49"/>
  <c r="Q11" i="49"/>
  <c r="P11" i="49"/>
  <c r="O11" i="49"/>
  <c r="N11" i="49"/>
  <c r="M11" i="49"/>
  <c r="K11" i="49"/>
  <c r="J11" i="49"/>
  <c r="C11" i="49"/>
  <c r="T10" i="49"/>
  <c r="S10" i="49"/>
  <c r="R10" i="49"/>
  <c r="Q10" i="49"/>
  <c r="P10" i="49"/>
  <c r="O10" i="49"/>
  <c r="N10" i="49"/>
  <c r="M10" i="49"/>
  <c r="L10" i="49"/>
  <c r="K10" i="49"/>
  <c r="J10" i="49"/>
  <c r="G10" i="49"/>
  <c r="F10" i="49"/>
  <c r="B10" i="49"/>
  <c r="T9" i="49"/>
  <c r="S9" i="49"/>
  <c r="R9" i="49"/>
  <c r="Q9" i="49"/>
  <c r="P9" i="49"/>
  <c r="O9" i="49"/>
  <c r="N9" i="49"/>
  <c r="M9" i="49"/>
  <c r="K9" i="49"/>
  <c r="J9" i="49"/>
  <c r="G9" i="49"/>
  <c r="F9" i="49"/>
  <c r="B9" i="49"/>
  <c r="T8" i="49"/>
  <c r="S8" i="49"/>
  <c r="R8" i="49"/>
  <c r="Q8" i="49"/>
  <c r="P8" i="49"/>
  <c r="O8" i="49"/>
  <c r="N8" i="49"/>
  <c r="M8" i="49"/>
  <c r="K8" i="49"/>
  <c r="J8" i="49"/>
  <c r="G8" i="49"/>
  <c r="F8" i="49"/>
  <c r="B8" i="49"/>
  <c r="T7" i="49"/>
  <c r="S7" i="49"/>
  <c r="R7" i="49"/>
  <c r="Q7" i="49"/>
  <c r="P7" i="49"/>
  <c r="O7" i="49"/>
  <c r="N7" i="49"/>
  <c r="M7" i="49"/>
  <c r="L7" i="49"/>
  <c r="K7" i="49"/>
  <c r="J7" i="49"/>
  <c r="G7" i="49"/>
  <c r="F7" i="49"/>
  <c r="B7" i="49"/>
  <c r="T6" i="49"/>
  <c r="T56" i="49" s="1"/>
  <c r="S6" i="49"/>
  <c r="S56" i="49" s="1"/>
  <c r="R6" i="49"/>
  <c r="R56" i="49" s="1"/>
  <c r="Q6" i="49"/>
  <c r="Q56" i="49" s="1"/>
  <c r="P6" i="49"/>
  <c r="O6" i="49"/>
  <c r="N6" i="49"/>
  <c r="N56" i="49" s="1"/>
  <c r="M6" i="49"/>
  <c r="L6" i="49"/>
  <c r="K6" i="49"/>
  <c r="J6" i="49"/>
  <c r="I6" i="49"/>
  <c r="G6" i="49"/>
  <c r="F6" i="49"/>
  <c r="B6" i="49"/>
  <c r="B5" i="49"/>
  <c r="O56" i="49" l="1"/>
  <c r="M56" i="46"/>
  <c r="I42" i="49"/>
  <c r="I42" i="46"/>
  <c r="I38" i="46"/>
  <c r="I38" i="49"/>
  <c r="I35" i="49"/>
  <c r="I35" i="46"/>
  <c r="I46" i="46"/>
  <c r="I46" i="49"/>
  <c r="I31" i="46"/>
  <c r="I31" i="49"/>
  <c r="I41" i="49"/>
  <c r="M41" i="49"/>
  <c r="M56" i="49" s="1"/>
  <c r="E64" i="49" s="1"/>
  <c r="M33" i="46"/>
  <c r="K31" i="49"/>
  <c r="I37" i="49"/>
  <c r="M37" i="49"/>
  <c r="L42" i="49"/>
  <c r="K47" i="49"/>
  <c r="J44" i="46"/>
  <c r="J36" i="46"/>
  <c r="J32" i="49"/>
  <c r="J56" i="49" s="1"/>
  <c r="E61" i="49" s="1"/>
  <c r="K56" i="49"/>
  <c r="E60" i="49" s="1"/>
  <c r="I18" i="46"/>
  <c r="I14" i="46"/>
  <c r="L8" i="49"/>
  <c r="L8" i="46"/>
  <c r="L12" i="49"/>
  <c r="L12" i="46"/>
  <c r="L16" i="49"/>
  <c r="L20" i="49"/>
  <c r="L24" i="49"/>
  <c r="L36" i="49"/>
  <c r="L40" i="49"/>
  <c r="L44" i="49"/>
  <c r="L48" i="49"/>
  <c r="L18" i="46"/>
  <c r="L14" i="46"/>
  <c r="L13" i="46"/>
  <c r="L7" i="46"/>
  <c r="L11" i="46"/>
  <c r="L11" i="49"/>
  <c r="L15" i="49"/>
  <c r="L19" i="49"/>
  <c r="L23" i="49"/>
  <c r="L27" i="49"/>
  <c r="L39" i="49"/>
  <c r="L43" i="49"/>
  <c r="L47" i="49"/>
  <c r="L10" i="46"/>
  <c r="L30" i="49"/>
  <c r="L34" i="49"/>
  <c r="L9" i="49"/>
  <c r="L9" i="46"/>
  <c r="L29" i="49"/>
  <c r="L33" i="49"/>
  <c r="P35" i="42"/>
  <c r="P37" i="42"/>
  <c r="I32" i="49" l="1"/>
  <c r="I32" i="46"/>
  <c r="L56" i="49"/>
  <c r="E63" i="49" s="1"/>
  <c r="E68" i="49" s="1"/>
  <c r="I34" i="49"/>
  <c r="I34" i="46"/>
  <c r="I15" i="49"/>
  <c r="I15" i="46"/>
  <c r="I7" i="49"/>
  <c r="I7" i="46"/>
  <c r="I12" i="46"/>
  <c r="I12" i="49"/>
  <c r="I8" i="49"/>
  <c r="I8" i="46"/>
  <c r="I33" i="49"/>
  <c r="I33" i="46"/>
  <c r="I9" i="49"/>
  <c r="I9" i="46"/>
  <c r="I10" i="49"/>
  <c r="I10" i="46"/>
  <c r="I43" i="49"/>
  <c r="I43" i="46"/>
  <c r="I27" i="49"/>
  <c r="I27" i="46"/>
  <c r="I19" i="49"/>
  <c r="I19" i="46"/>
  <c r="I48" i="49"/>
  <c r="I48" i="46"/>
  <c r="I40" i="49"/>
  <c r="I40" i="46"/>
  <c r="I24" i="49"/>
  <c r="I24" i="46"/>
  <c r="I16" i="49"/>
  <c r="I16" i="46"/>
  <c r="I30" i="49"/>
  <c r="I30" i="46"/>
  <c r="I29" i="49"/>
  <c r="I29" i="46"/>
  <c r="I47" i="49"/>
  <c r="I47" i="46"/>
  <c r="I39" i="49"/>
  <c r="I39" i="46"/>
  <c r="I23" i="49"/>
  <c r="I23" i="46"/>
  <c r="I11" i="49"/>
  <c r="I11" i="46"/>
  <c r="I44" i="49"/>
  <c r="I44" i="46"/>
  <c r="I36" i="49"/>
  <c r="I36" i="46"/>
  <c r="I20" i="49"/>
  <c r="I20" i="46"/>
  <c r="E67" i="41"/>
  <c r="G56" i="41"/>
  <c r="E67" i="40"/>
  <c r="G56" i="40"/>
  <c r="I56" i="49" l="1"/>
  <c r="J20" i="40"/>
  <c r="Q13" i="40" l="1"/>
  <c r="S42" i="20" l="1"/>
  <c r="F5" i="47" l="1"/>
  <c r="E5" i="47"/>
  <c r="C52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" i="47"/>
  <c r="G55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B39" i="47"/>
  <c r="B38" i="47"/>
  <c r="B36" i="47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0" i="47"/>
  <c r="B9" i="47"/>
  <c r="B8" i="47"/>
  <c r="B7" i="47"/>
  <c r="B6" i="47"/>
  <c r="B5" i="47"/>
  <c r="D55" i="47" l="1"/>
  <c r="C11" i="46" l="1"/>
  <c r="D11" i="39"/>
  <c r="B28" i="26"/>
  <c r="B28" i="28"/>
  <c r="B28" i="39"/>
  <c r="B28" i="40"/>
  <c r="B28" i="41"/>
  <c r="B28" i="42"/>
  <c r="B28" i="43"/>
  <c r="B28" i="44"/>
  <c r="B28" i="45"/>
  <c r="B28" i="23"/>
  <c r="C28" i="20"/>
  <c r="B28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6" i="20"/>
  <c r="C34" i="20"/>
  <c r="C33" i="20"/>
  <c r="C32" i="20"/>
  <c r="C31" i="20"/>
  <c r="C30" i="20"/>
  <c r="C29" i="20"/>
  <c r="C27" i="20"/>
  <c r="C26" i="20"/>
  <c r="C25" i="20"/>
  <c r="C24" i="20"/>
  <c r="C23" i="20"/>
  <c r="C22" i="20"/>
  <c r="C21" i="20"/>
  <c r="C20" i="20"/>
  <c r="C17" i="20"/>
  <c r="C16" i="20"/>
  <c r="C15" i="20"/>
  <c r="C14" i="20"/>
  <c r="C13" i="20"/>
  <c r="C12" i="20"/>
  <c r="C6" i="20"/>
  <c r="C7" i="20"/>
  <c r="C8" i="20"/>
  <c r="C9" i="20"/>
  <c r="C10" i="20"/>
  <c r="C5" i="20"/>
  <c r="F7" i="47" l="1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6" i="47"/>
  <c r="J30" i="39"/>
  <c r="D45" i="20"/>
  <c r="O34" i="24"/>
  <c r="O6" i="24"/>
  <c r="F55" i="47" l="1"/>
  <c r="D31" i="20"/>
  <c r="J47" i="39"/>
  <c r="B28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6" i="46"/>
  <c r="B34" i="46"/>
  <c r="B33" i="46"/>
  <c r="B32" i="46"/>
  <c r="B31" i="46"/>
  <c r="B30" i="46"/>
  <c r="B29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0" i="46"/>
  <c r="B9" i="46"/>
  <c r="B8" i="46"/>
  <c r="B7" i="46"/>
  <c r="B6" i="46"/>
  <c r="B5" i="46"/>
  <c r="P28" i="27"/>
  <c r="G28" i="27"/>
  <c r="F28" i="27"/>
  <c r="M28" i="27" s="1"/>
  <c r="B28" i="27"/>
  <c r="C47" i="16"/>
  <c r="D33" i="20"/>
  <c r="L33" i="20"/>
  <c r="K33" i="16"/>
  <c r="K28" i="27" l="1"/>
  <c r="L28" i="27"/>
  <c r="I28" i="27" s="1"/>
  <c r="G72" i="46"/>
  <c r="F72" i="46"/>
  <c r="G71" i="46"/>
  <c r="F71" i="46"/>
  <c r="E56" i="46"/>
  <c r="G52" i="46"/>
  <c r="F52" i="46"/>
  <c r="G51" i="46"/>
  <c r="F51" i="46"/>
  <c r="G50" i="46"/>
  <c r="F50" i="46"/>
  <c r="G49" i="46"/>
  <c r="F49" i="46"/>
  <c r="G48" i="46"/>
  <c r="F48" i="46"/>
  <c r="G47" i="46"/>
  <c r="F47" i="46"/>
  <c r="G46" i="46"/>
  <c r="F46" i="46"/>
  <c r="G45" i="46"/>
  <c r="F45" i="46"/>
  <c r="G44" i="46"/>
  <c r="F44" i="46"/>
  <c r="G43" i="46"/>
  <c r="F43" i="46"/>
  <c r="G42" i="46"/>
  <c r="F42" i="46"/>
  <c r="G41" i="46"/>
  <c r="F41" i="46"/>
  <c r="G40" i="46"/>
  <c r="F40" i="46"/>
  <c r="G39" i="46"/>
  <c r="F39" i="46"/>
  <c r="G38" i="46"/>
  <c r="F38" i="46"/>
  <c r="G36" i="46"/>
  <c r="F36" i="46"/>
  <c r="G34" i="46"/>
  <c r="F34" i="46"/>
  <c r="G33" i="46"/>
  <c r="F33" i="46"/>
  <c r="G32" i="46"/>
  <c r="F32" i="46"/>
  <c r="G31" i="46"/>
  <c r="F31" i="46"/>
  <c r="G30" i="46"/>
  <c r="F30" i="46"/>
  <c r="G29" i="46"/>
  <c r="F29" i="46"/>
  <c r="G27" i="46"/>
  <c r="F27" i="46"/>
  <c r="G26" i="46"/>
  <c r="F26" i="46"/>
  <c r="G25" i="46"/>
  <c r="F25" i="46"/>
  <c r="G24" i="46"/>
  <c r="F24" i="46"/>
  <c r="G23" i="46"/>
  <c r="F23" i="46"/>
  <c r="G22" i="46"/>
  <c r="F22" i="46"/>
  <c r="G21" i="46"/>
  <c r="F21" i="46"/>
  <c r="G20" i="46"/>
  <c r="F20" i="46"/>
  <c r="G19" i="46"/>
  <c r="F19" i="46"/>
  <c r="G18" i="46"/>
  <c r="F18" i="46"/>
  <c r="G17" i="46"/>
  <c r="F17" i="46"/>
  <c r="G16" i="46"/>
  <c r="F16" i="46"/>
  <c r="G15" i="46"/>
  <c r="F15" i="46"/>
  <c r="G14" i="46"/>
  <c r="F14" i="46"/>
  <c r="G13" i="46"/>
  <c r="F13" i="46"/>
  <c r="G12" i="46"/>
  <c r="F12" i="46"/>
  <c r="G10" i="46"/>
  <c r="F10" i="46"/>
  <c r="G9" i="46"/>
  <c r="F9" i="46"/>
  <c r="G8" i="46"/>
  <c r="F8" i="46"/>
  <c r="G7" i="46"/>
  <c r="F7" i="46"/>
  <c r="G6" i="46"/>
  <c r="F6" i="46"/>
  <c r="Q56" i="46" l="1"/>
  <c r="R56" i="46"/>
  <c r="T56" i="46"/>
  <c r="N56" i="46"/>
  <c r="S56" i="46"/>
  <c r="O56" i="46"/>
  <c r="F56" i="46"/>
  <c r="E65" i="46" s="1"/>
  <c r="G56" i="46"/>
  <c r="J34" i="28"/>
  <c r="G72" i="45"/>
  <c r="G71" i="45"/>
  <c r="G72" i="44"/>
  <c r="G71" i="44"/>
  <c r="G72" i="43"/>
  <c r="G71" i="43"/>
  <c r="G72" i="42"/>
  <c r="G71" i="42"/>
  <c r="F72" i="45"/>
  <c r="F71" i="45"/>
  <c r="T56" i="45"/>
  <c r="S56" i="45"/>
  <c r="R56" i="45"/>
  <c r="Q56" i="45"/>
  <c r="O56" i="45"/>
  <c r="N56" i="45"/>
  <c r="E56" i="45"/>
  <c r="P52" i="45"/>
  <c r="M52" i="45"/>
  <c r="L52" i="45"/>
  <c r="J52" i="45"/>
  <c r="I52" i="45"/>
  <c r="G52" i="45"/>
  <c r="F52" i="45"/>
  <c r="K52" i="45" s="1"/>
  <c r="B52" i="45"/>
  <c r="P51" i="45"/>
  <c r="L51" i="45"/>
  <c r="G51" i="45"/>
  <c r="F51" i="45"/>
  <c r="B51" i="45"/>
  <c r="P50" i="45"/>
  <c r="K50" i="45"/>
  <c r="G50" i="45"/>
  <c r="F50" i="45"/>
  <c r="J50" i="45" s="1"/>
  <c r="B50" i="45"/>
  <c r="P49" i="45"/>
  <c r="M49" i="45"/>
  <c r="J49" i="45"/>
  <c r="I49" i="45"/>
  <c r="G49" i="45"/>
  <c r="F49" i="45"/>
  <c r="L49" i="45" s="1"/>
  <c r="B49" i="45"/>
  <c r="P48" i="45"/>
  <c r="M48" i="45"/>
  <c r="L48" i="45"/>
  <c r="J48" i="45"/>
  <c r="I48" i="45"/>
  <c r="G48" i="45"/>
  <c r="F48" i="45"/>
  <c r="K48" i="45" s="1"/>
  <c r="B48" i="45"/>
  <c r="P47" i="45"/>
  <c r="L47" i="45"/>
  <c r="K47" i="45"/>
  <c r="G47" i="45"/>
  <c r="F47" i="45"/>
  <c r="B47" i="45"/>
  <c r="P46" i="45"/>
  <c r="K46" i="45"/>
  <c r="G46" i="45"/>
  <c r="F46" i="45"/>
  <c r="J46" i="45" s="1"/>
  <c r="B46" i="45"/>
  <c r="P45" i="45"/>
  <c r="M45" i="45"/>
  <c r="J45" i="45"/>
  <c r="I45" i="45"/>
  <c r="G45" i="45"/>
  <c r="F45" i="45"/>
  <c r="L45" i="45" s="1"/>
  <c r="B45" i="45"/>
  <c r="P44" i="45"/>
  <c r="M44" i="45"/>
  <c r="L44" i="45"/>
  <c r="J44" i="45"/>
  <c r="I44" i="45"/>
  <c r="G44" i="45"/>
  <c r="F44" i="45"/>
  <c r="K44" i="45" s="1"/>
  <c r="B44" i="45"/>
  <c r="P43" i="45"/>
  <c r="L43" i="45"/>
  <c r="K43" i="45"/>
  <c r="G43" i="45"/>
  <c r="F43" i="45"/>
  <c r="B43" i="45"/>
  <c r="P42" i="45"/>
  <c r="K42" i="45"/>
  <c r="G42" i="45"/>
  <c r="F42" i="45"/>
  <c r="J42" i="45" s="1"/>
  <c r="B42" i="45"/>
  <c r="P41" i="45"/>
  <c r="M41" i="45"/>
  <c r="J41" i="45"/>
  <c r="I41" i="45"/>
  <c r="G41" i="45"/>
  <c r="F41" i="45"/>
  <c r="L41" i="45" s="1"/>
  <c r="B41" i="45"/>
  <c r="P40" i="45"/>
  <c r="M40" i="45"/>
  <c r="L40" i="45"/>
  <c r="J40" i="45"/>
  <c r="I40" i="45"/>
  <c r="G40" i="45"/>
  <c r="F40" i="45"/>
  <c r="K40" i="45" s="1"/>
  <c r="B40" i="45"/>
  <c r="P39" i="45"/>
  <c r="L39" i="45"/>
  <c r="K39" i="45"/>
  <c r="G39" i="45"/>
  <c r="F39" i="45"/>
  <c r="B39" i="45"/>
  <c r="P38" i="45"/>
  <c r="K38" i="45"/>
  <c r="G38" i="45"/>
  <c r="F38" i="45"/>
  <c r="J38" i="45" s="1"/>
  <c r="B38" i="45"/>
  <c r="P37" i="45"/>
  <c r="M37" i="45"/>
  <c r="L37" i="45"/>
  <c r="K37" i="45"/>
  <c r="J37" i="45"/>
  <c r="P36" i="45"/>
  <c r="G36" i="45"/>
  <c r="F36" i="45"/>
  <c r="L36" i="45" s="1"/>
  <c r="B36" i="45"/>
  <c r="P35" i="45"/>
  <c r="M35" i="45"/>
  <c r="L35" i="45"/>
  <c r="K35" i="45"/>
  <c r="J35" i="45"/>
  <c r="P34" i="45"/>
  <c r="M34" i="45"/>
  <c r="L34" i="45"/>
  <c r="J34" i="45"/>
  <c r="I34" i="45"/>
  <c r="G34" i="45"/>
  <c r="F34" i="45"/>
  <c r="K34" i="45" s="1"/>
  <c r="B34" i="45"/>
  <c r="P33" i="45"/>
  <c r="L33" i="45"/>
  <c r="K33" i="45"/>
  <c r="G33" i="45"/>
  <c r="F33" i="45"/>
  <c r="B33" i="45"/>
  <c r="P32" i="45"/>
  <c r="K32" i="45"/>
  <c r="G32" i="45"/>
  <c r="F32" i="45"/>
  <c r="J32" i="45" s="1"/>
  <c r="B32" i="45"/>
  <c r="P31" i="45"/>
  <c r="M31" i="45"/>
  <c r="J31" i="45"/>
  <c r="I31" i="45"/>
  <c r="G31" i="45"/>
  <c r="F31" i="45"/>
  <c r="L31" i="45" s="1"/>
  <c r="B31" i="45"/>
  <c r="P30" i="45"/>
  <c r="M30" i="45"/>
  <c r="L30" i="45"/>
  <c r="J30" i="45"/>
  <c r="I30" i="45"/>
  <c r="G30" i="45"/>
  <c r="F30" i="45"/>
  <c r="K30" i="45" s="1"/>
  <c r="B30" i="45"/>
  <c r="P29" i="45"/>
  <c r="L29" i="45"/>
  <c r="K29" i="45"/>
  <c r="G29" i="45"/>
  <c r="F29" i="45"/>
  <c r="B29" i="45"/>
  <c r="P28" i="45"/>
  <c r="M28" i="45"/>
  <c r="L28" i="45"/>
  <c r="K28" i="45"/>
  <c r="J28" i="45"/>
  <c r="P27" i="45"/>
  <c r="M27" i="45"/>
  <c r="L27" i="45"/>
  <c r="J27" i="45"/>
  <c r="I27" i="45"/>
  <c r="G27" i="45"/>
  <c r="F27" i="45"/>
  <c r="K27" i="45" s="1"/>
  <c r="B27" i="45"/>
  <c r="P26" i="45"/>
  <c r="K26" i="45"/>
  <c r="G26" i="45"/>
  <c r="F26" i="45"/>
  <c r="B26" i="45"/>
  <c r="P25" i="45"/>
  <c r="G25" i="45"/>
  <c r="F25" i="45"/>
  <c r="B25" i="45"/>
  <c r="P24" i="45"/>
  <c r="M24" i="45"/>
  <c r="J24" i="45"/>
  <c r="I24" i="45"/>
  <c r="G24" i="45"/>
  <c r="F24" i="45"/>
  <c r="L24" i="45" s="1"/>
  <c r="B24" i="45"/>
  <c r="P23" i="45"/>
  <c r="M23" i="45"/>
  <c r="L23" i="45"/>
  <c r="J23" i="45"/>
  <c r="I23" i="45"/>
  <c r="G23" i="45"/>
  <c r="F23" i="45"/>
  <c r="K23" i="45" s="1"/>
  <c r="B23" i="45"/>
  <c r="P22" i="45"/>
  <c r="K22" i="45"/>
  <c r="G22" i="45"/>
  <c r="F22" i="45"/>
  <c r="B22" i="45"/>
  <c r="P21" i="45"/>
  <c r="G21" i="45"/>
  <c r="F21" i="45"/>
  <c r="K21" i="45" s="1"/>
  <c r="B21" i="45"/>
  <c r="P20" i="45"/>
  <c r="M20" i="45"/>
  <c r="J20" i="45"/>
  <c r="I20" i="45"/>
  <c r="G20" i="45"/>
  <c r="F20" i="45"/>
  <c r="L20" i="45" s="1"/>
  <c r="B20" i="45"/>
  <c r="P19" i="45"/>
  <c r="M19" i="45"/>
  <c r="L19" i="45"/>
  <c r="J19" i="45"/>
  <c r="I19" i="45"/>
  <c r="G19" i="45"/>
  <c r="F19" i="45"/>
  <c r="K19" i="45" s="1"/>
  <c r="B19" i="45"/>
  <c r="P18" i="45"/>
  <c r="K18" i="45"/>
  <c r="G18" i="45"/>
  <c r="F18" i="45"/>
  <c r="B18" i="45"/>
  <c r="P17" i="45"/>
  <c r="G17" i="45"/>
  <c r="F17" i="45"/>
  <c r="B17" i="45"/>
  <c r="P16" i="45"/>
  <c r="M16" i="45"/>
  <c r="J16" i="45"/>
  <c r="I16" i="45"/>
  <c r="G16" i="45"/>
  <c r="F16" i="45"/>
  <c r="L16" i="45" s="1"/>
  <c r="B16" i="45"/>
  <c r="P15" i="45"/>
  <c r="M15" i="45"/>
  <c r="L15" i="45"/>
  <c r="J15" i="45"/>
  <c r="I15" i="45"/>
  <c r="G15" i="45"/>
  <c r="F15" i="45"/>
  <c r="K15" i="45" s="1"/>
  <c r="B15" i="45"/>
  <c r="P14" i="45"/>
  <c r="K14" i="45"/>
  <c r="G14" i="45"/>
  <c r="F14" i="45"/>
  <c r="B14" i="45"/>
  <c r="P13" i="45"/>
  <c r="G13" i="45"/>
  <c r="F13" i="45"/>
  <c r="B13" i="45"/>
  <c r="P12" i="45"/>
  <c r="M12" i="45"/>
  <c r="J12" i="45"/>
  <c r="I12" i="45"/>
  <c r="G12" i="45"/>
  <c r="F12" i="45"/>
  <c r="L12" i="45" s="1"/>
  <c r="B12" i="45"/>
  <c r="P11" i="45"/>
  <c r="M11" i="45"/>
  <c r="L11" i="45"/>
  <c r="K11" i="45"/>
  <c r="J11" i="45"/>
  <c r="P10" i="45"/>
  <c r="J10" i="45"/>
  <c r="G10" i="45"/>
  <c r="F10" i="45"/>
  <c r="B10" i="45"/>
  <c r="P9" i="45"/>
  <c r="M9" i="45"/>
  <c r="J9" i="45"/>
  <c r="I9" i="45"/>
  <c r="G9" i="45"/>
  <c r="F9" i="45"/>
  <c r="L9" i="45" s="1"/>
  <c r="B9" i="45"/>
  <c r="P8" i="45"/>
  <c r="M8" i="45"/>
  <c r="L8" i="45"/>
  <c r="J8" i="45"/>
  <c r="I8" i="45"/>
  <c r="G8" i="45"/>
  <c r="F8" i="45"/>
  <c r="K8" i="45" s="1"/>
  <c r="B8" i="45"/>
  <c r="P7" i="45"/>
  <c r="G7" i="45"/>
  <c r="F7" i="45"/>
  <c r="B7" i="45"/>
  <c r="P6" i="45"/>
  <c r="J6" i="45"/>
  <c r="G6" i="45"/>
  <c r="F6" i="45"/>
  <c r="B6" i="45"/>
  <c r="B5" i="45"/>
  <c r="F72" i="44"/>
  <c r="F71" i="44"/>
  <c r="T56" i="44"/>
  <c r="S56" i="44"/>
  <c r="R56" i="44"/>
  <c r="Q56" i="44"/>
  <c r="O56" i="44"/>
  <c r="N56" i="44"/>
  <c r="E56" i="44"/>
  <c r="P52" i="44"/>
  <c r="M52" i="44"/>
  <c r="L52" i="44"/>
  <c r="I52" i="44"/>
  <c r="G52" i="44"/>
  <c r="F52" i="44"/>
  <c r="K52" i="44" s="1"/>
  <c r="B52" i="44"/>
  <c r="P51" i="44"/>
  <c r="L51" i="44"/>
  <c r="G51" i="44"/>
  <c r="F51" i="44"/>
  <c r="B51" i="44"/>
  <c r="P50" i="44"/>
  <c r="K50" i="44"/>
  <c r="J50" i="44"/>
  <c r="G50" i="44"/>
  <c r="F50" i="44"/>
  <c r="B50" i="44"/>
  <c r="P49" i="44"/>
  <c r="M49" i="44"/>
  <c r="J49" i="44"/>
  <c r="I49" i="44"/>
  <c r="G49" i="44"/>
  <c r="F49" i="44"/>
  <c r="L49" i="44" s="1"/>
  <c r="B49" i="44"/>
  <c r="P48" i="44"/>
  <c r="M48" i="44"/>
  <c r="L48" i="44"/>
  <c r="J48" i="44"/>
  <c r="I48" i="44"/>
  <c r="G48" i="44"/>
  <c r="F48" i="44"/>
  <c r="K48" i="44" s="1"/>
  <c r="B48" i="44"/>
  <c r="P47" i="44"/>
  <c r="L47" i="44"/>
  <c r="G47" i="44"/>
  <c r="F47" i="44"/>
  <c r="B47" i="44"/>
  <c r="P46" i="44"/>
  <c r="K46" i="44"/>
  <c r="J46" i="44"/>
  <c r="G46" i="44"/>
  <c r="F46" i="44"/>
  <c r="B46" i="44"/>
  <c r="P45" i="44"/>
  <c r="M45" i="44"/>
  <c r="J45" i="44"/>
  <c r="I45" i="44"/>
  <c r="G45" i="44"/>
  <c r="F45" i="44"/>
  <c r="L45" i="44" s="1"/>
  <c r="B45" i="44"/>
  <c r="P44" i="44"/>
  <c r="M44" i="44"/>
  <c r="L44" i="44"/>
  <c r="J44" i="44"/>
  <c r="I44" i="44"/>
  <c r="G44" i="44"/>
  <c r="F44" i="44"/>
  <c r="K44" i="44" s="1"/>
  <c r="B44" i="44"/>
  <c r="P43" i="44"/>
  <c r="L43" i="44"/>
  <c r="G43" i="44"/>
  <c r="F43" i="44"/>
  <c r="B43" i="44"/>
  <c r="P42" i="44"/>
  <c r="K42" i="44"/>
  <c r="J42" i="44"/>
  <c r="G42" i="44"/>
  <c r="F42" i="44"/>
  <c r="B42" i="44"/>
  <c r="P41" i="44"/>
  <c r="M41" i="44"/>
  <c r="J41" i="44"/>
  <c r="I41" i="44"/>
  <c r="G41" i="44"/>
  <c r="F41" i="44"/>
  <c r="L41" i="44" s="1"/>
  <c r="B41" i="44"/>
  <c r="P40" i="44"/>
  <c r="M40" i="44"/>
  <c r="L40" i="44"/>
  <c r="J40" i="44"/>
  <c r="I40" i="44"/>
  <c r="G40" i="44"/>
  <c r="F40" i="44"/>
  <c r="K40" i="44" s="1"/>
  <c r="B40" i="44"/>
  <c r="P39" i="44"/>
  <c r="L39" i="44"/>
  <c r="G39" i="44"/>
  <c r="F39" i="44"/>
  <c r="B39" i="44"/>
  <c r="P38" i="44"/>
  <c r="K38" i="44"/>
  <c r="J38" i="44"/>
  <c r="G38" i="44"/>
  <c r="F38" i="44"/>
  <c r="B38" i="44"/>
  <c r="P37" i="44"/>
  <c r="M37" i="44"/>
  <c r="L37" i="44"/>
  <c r="K37" i="44"/>
  <c r="J37" i="44"/>
  <c r="P36" i="44"/>
  <c r="L36" i="44"/>
  <c r="K36" i="44"/>
  <c r="G36" i="44"/>
  <c r="F36" i="44"/>
  <c r="B36" i="44"/>
  <c r="P35" i="44"/>
  <c r="M35" i="44"/>
  <c r="L35" i="44"/>
  <c r="K35" i="44"/>
  <c r="J35" i="44"/>
  <c r="P34" i="44"/>
  <c r="M34" i="44"/>
  <c r="L34" i="44"/>
  <c r="J34" i="44"/>
  <c r="I34" i="44"/>
  <c r="G34" i="44"/>
  <c r="F34" i="44"/>
  <c r="K34" i="44" s="1"/>
  <c r="B34" i="44"/>
  <c r="P33" i="44"/>
  <c r="L33" i="44"/>
  <c r="G33" i="44"/>
  <c r="F33" i="44"/>
  <c r="B33" i="44"/>
  <c r="P32" i="44"/>
  <c r="K32" i="44"/>
  <c r="J32" i="44"/>
  <c r="G32" i="44"/>
  <c r="F32" i="44"/>
  <c r="B32" i="44"/>
  <c r="P31" i="44"/>
  <c r="M31" i="44"/>
  <c r="J31" i="44"/>
  <c r="I31" i="44"/>
  <c r="G31" i="44"/>
  <c r="F31" i="44"/>
  <c r="L31" i="44" s="1"/>
  <c r="B31" i="44"/>
  <c r="P30" i="44"/>
  <c r="M30" i="44"/>
  <c r="L30" i="44"/>
  <c r="J30" i="44"/>
  <c r="I30" i="44"/>
  <c r="G30" i="44"/>
  <c r="F30" i="44"/>
  <c r="K30" i="44" s="1"/>
  <c r="B30" i="44"/>
  <c r="P29" i="44"/>
  <c r="L29" i="44"/>
  <c r="G29" i="44"/>
  <c r="F29" i="44"/>
  <c r="B29" i="44"/>
  <c r="P28" i="44"/>
  <c r="M28" i="44"/>
  <c r="L28" i="44"/>
  <c r="K28" i="44"/>
  <c r="J28" i="44"/>
  <c r="P27" i="44"/>
  <c r="M27" i="44"/>
  <c r="L27" i="44"/>
  <c r="J27" i="44"/>
  <c r="I27" i="44"/>
  <c r="G27" i="44"/>
  <c r="F27" i="44"/>
  <c r="K27" i="44" s="1"/>
  <c r="B27" i="44"/>
  <c r="P26" i="44"/>
  <c r="G26" i="44"/>
  <c r="F26" i="44"/>
  <c r="K26" i="44" s="1"/>
  <c r="B26" i="44"/>
  <c r="P25" i="44"/>
  <c r="K25" i="44"/>
  <c r="J25" i="44"/>
  <c r="G25" i="44"/>
  <c r="F25" i="44"/>
  <c r="B25" i="44"/>
  <c r="P24" i="44"/>
  <c r="M24" i="44"/>
  <c r="J24" i="44"/>
  <c r="I24" i="44"/>
  <c r="G24" i="44"/>
  <c r="F24" i="44"/>
  <c r="L24" i="44" s="1"/>
  <c r="B24" i="44"/>
  <c r="P23" i="44"/>
  <c r="M23" i="44"/>
  <c r="L23" i="44"/>
  <c r="J23" i="44"/>
  <c r="I23" i="44"/>
  <c r="G23" i="44"/>
  <c r="F23" i="44"/>
  <c r="K23" i="44" s="1"/>
  <c r="B23" i="44"/>
  <c r="P22" i="44"/>
  <c r="G22" i="44"/>
  <c r="F22" i="44"/>
  <c r="B22" i="44"/>
  <c r="P21" i="44"/>
  <c r="K21" i="44"/>
  <c r="J21" i="44"/>
  <c r="G21" i="44"/>
  <c r="F21" i="44"/>
  <c r="B21" i="44"/>
  <c r="P20" i="44"/>
  <c r="M20" i="44"/>
  <c r="J20" i="44"/>
  <c r="I20" i="44"/>
  <c r="G20" i="44"/>
  <c r="F20" i="44"/>
  <c r="L20" i="44" s="1"/>
  <c r="B20" i="44"/>
  <c r="P19" i="44"/>
  <c r="M19" i="44"/>
  <c r="L19" i="44"/>
  <c r="J19" i="44"/>
  <c r="I19" i="44"/>
  <c r="G19" i="44"/>
  <c r="F19" i="44"/>
  <c r="K19" i="44" s="1"/>
  <c r="B19" i="44"/>
  <c r="P18" i="44"/>
  <c r="G18" i="44"/>
  <c r="F18" i="44"/>
  <c r="K18" i="44" s="1"/>
  <c r="B18" i="44"/>
  <c r="P17" i="44"/>
  <c r="K17" i="44"/>
  <c r="J17" i="44"/>
  <c r="G17" i="44"/>
  <c r="F17" i="44"/>
  <c r="B17" i="44"/>
  <c r="P16" i="44"/>
  <c r="M16" i="44"/>
  <c r="J16" i="44"/>
  <c r="I16" i="44"/>
  <c r="G16" i="44"/>
  <c r="F16" i="44"/>
  <c r="L16" i="44" s="1"/>
  <c r="B16" i="44"/>
  <c r="P15" i="44"/>
  <c r="M15" i="44"/>
  <c r="L15" i="44"/>
  <c r="J15" i="44"/>
  <c r="I15" i="44"/>
  <c r="G15" i="44"/>
  <c r="F15" i="44"/>
  <c r="K15" i="44" s="1"/>
  <c r="B15" i="44"/>
  <c r="P14" i="44"/>
  <c r="G14" i="44"/>
  <c r="F14" i="44"/>
  <c r="B14" i="44"/>
  <c r="P13" i="44"/>
  <c r="K13" i="44"/>
  <c r="J13" i="44"/>
  <c r="G13" i="44"/>
  <c r="F13" i="44"/>
  <c r="B13" i="44"/>
  <c r="P12" i="44"/>
  <c r="M12" i="44"/>
  <c r="J12" i="44"/>
  <c r="I12" i="44"/>
  <c r="G12" i="44"/>
  <c r="F12" i="44"/>
  <c r="L12" i="44" s="1"/>
  <c r="B12" i="44"/>
  <c r="P11" i="44"/>
  <c r="M11" i="44"/>
  <c r="L11" i="44"/>
  <c r="K11" i="44"/>
  <c r="J11" i="44"/>
  <c r="P10" i="44"/>
  <c r="G10" i="44"/>
  <c r="F10" i="44"/>
  <c r="J10" i="44" s="1"/>
  <c r="B10" i="44"/>
  <c r="P9" i="44"/>
  <c r="M9" i="44"/>
  <c r="J9" i="44"/>
  <c r="I9" i="44"/>
  <c r="G9" i="44"/>
  <c r="F9" i="44"/>
  <c r="L9" i="44" s="1"/>
  <c r="B9" i="44"/>
  <c r="P8" i="44"/>
  <c r="M8" i="44"/>
  <c r="L8" i="44"/>
  <c r="J8" i="44"/>
  <c r="I8" i="44"/>
  <c r="G8" i="44"/>
  <c r="F8" i="44"/>
  <c r="K8" i="44" s="1"/>
  <c r="B8" i="44"/>
  <c r="P7" i="44"/>
  <c r="L7" i="44"/>
  <c r="K7" i="44"/>
  <c r="G7" i="44"/>
  <c r="F7" i="44"/>
  <c r="B7" i="44"/>
  <c r="P6" i="44"/>
  <c r="P56" i="44" s="1"/>
  <c r="G6" i="44"/>
  <c r="G56" i="44" s="1"/>
  <c r="F6" i="44"/>
  <c r="J6" i="44" s="1"/>
  <c r="B6" i="44"/>
  <c r="B5" i="44"/>
  <c r="F72" i="43"/>
  <c r="F71" i="43"/>
  <c r="T56" i="43"/>
  <c r="S56" i="43"/>
  <c r="R56" i="43"/>
  <c r="Q56" i="43"/>
  <c r="O56" i="43"/>
  <c r="N56" i="43"/>
  <c r="E56" i="43"/>
  <c r="P52" i="43"/>
  <c r="M52" i="43"/>
  <c r="L52" i="43"/>
  <c r="J52" i="43"/>
  <c r="I52" i="43"/>
  <c r="G52" i="43"/>
  <c r="F52" i="43"/>
  <c r="K52" i="43" s="1"/>
  <c r="B52" i="43"/>
  <c r="P51" i="43"/>
  <c r="G51" i="43"/>
  <c r="F51" i="43"/>
  <c r="B51" i="43"/>
  <c r="P50" i="43"/>
  <c r="J50" i="43"/>
  <c r="G50" i="43"/>
  <c r="F50" i="43"/>
  <c r="K50" i="43" s="1"/>
  <c r="B50" i="43"/>
  <c r="P49" i="43"/>
  <c r="M49" i="43"/>
  <c r="J49" i="43"/>
  <c r="I49" i="43"/>
  <c r="G49" i="43"/>
  <c r="F49" i="43"/>
  <c r="L49" i="43" s="1"/>
  <c r="B49" i="43"/>
  <c r="P48" i="43"/>
  <c r="M48" i="43"/>
  <c r="L48" i="43"/>
  <c r="J48" i="43"/>
  <c r="I48" i="43"/>
  <c r="G48" i="43"/>
  <c r="F48" i="43"/>
  <c r="K48" i="43" s="1"/>
  <c r="B48" i="43"/>
  <c r="P47" i="43"/>
  <c r="L47" i="43"/>
  <c r="G47" i="43"/>
  <c r="F47" i="43"/>
  <c r="B47" i="43"/>
  <c r="P46" i="43"/>
  <c r="K46" i="43"/>
  <c r="J46" i="43"/>
  <c r="G46" i="43"/>
  <c r="F46" i="43"/>
  <c r="B46" i="43"/>
  <c r="P45" i="43"/>
  <c r="M45" i="43"/>
  <c r="J45" i="43"/>
  <c r="I45" i="43"/>
  <c r="G45" i="43"/>
  <c r="F45" i="43"/>
  <c r="L45" i="43" s="1"/>
  <c r="B45" i="43"/>
  <c r="P44" i="43"/>
  <c r="M44" i="43"/>
  <c r="L44" i="43"/>
  <c r="J44" i="43"/>
  <c r="I44" i="43"/>
  <c r="G44" i="43"/>
  <c r="F44" i="43"/>
  <c r="K44" i="43" s="1"/>
  <c r="B44" i="43"/>
  <c r="P43" i="43"/>
  <c r="L43" i="43"/>
  <c r="G43" i="43"/>
  <c r="F43" i="43"/>
  <c r="B43" i="43"/>
  <c r="P42" i="43"/>
  <c r="K42" i="43"/>
  <c r="J42" i="43"/>
  <c r="G42" i="43"/>
  <c r="F42" i="43"/>
  <c r="B42" i="43"/>
  <c r="P41" i="43"/>
  <c r="M41" i="43"/>
  <c r="J41" i="43"/>
  <c r="I41" i="43"/>
  <c r="G41" i="43"/>
  <c r="F41" i="43"/>
  <c r="L41" i="43" s="1"/>
  <c r="B41" i="43"/>
  <c r="P40" i="43"/>
  <c r="M40" i="43"/>
  <c r="L40" i="43"/>
  <c r="J40" i="43"/>
  <c r="I40" i="43"/>
  <c r="G40" i="43"/>
  <c r="F40" i="43"/>
  <c r="K40" i="43" s="1"/>
  <c r="B40" i="43"/>
  <c r="P39" i="43"/>
  <c r="L39" i="43"/>
  <c r="G39" i="43"/>
  <c r="F39" i="43"/>
  <c r="B39" i="43"/>
  <c r="P38" i="43"/>
  <c r="K38" i="43"/>
  <c r="J38" i="43"/>
  <c r="G38" i="43"/>
  <c r="F38" i="43"/>
  <c r="B38" i="43"/>
  <c r="P37" i="43"/>
  <c r="M37" i="43"/>
  <c r="L37" i="43"/>
  <c r="K37" i="43"/>
  <c r="J37" i="43"/>
  <c r="P36" i="43"/>
  <c r="L36" i="43"/>
  <c r="K36" i="43"/>
  <c r="G36" i="43"/>
  <c r="F36" i="43"/>
  <c r="B36" i="43"/>
  <c r="P35" i="43"/>
  <c r="M35" i="43"/>
  <c r="L35" i="43"/>
  <c r="K35" i="43"/>
  <c r="J35" i="43"/>
  <c r="P34" i="43"/>
  <c r="M34" i="43"/>
  <c r="L34" i="43"/>
  <c r="J34" i="43"/>
  <c r="I34" i="43"/>
  <c r="G34" i="43"/>
  <c r="F34" i="43"/>
  <c r="K34" i="43" s="1"/>
  <c r="B34" i="43"/>
  <c r="P33" i="43"/>
  <c r="L33" i="43"/>
  <c r="G33" i="43"/>
  <c r="F33" i="43"/>
  <c r="B33" i="43"/>
  <c r="P32" i="43"/>
  <c r="K32" i="43"/>
  <c r="J32" i="43"/>
  <c r="G32" i="43"/>
  <c r="F32" i="43"/>
  <c r="B32" i="43"/>
  <c r="P31" i="43"/>
  <c r="M31" i="43"/>
  <c r="J31" i="43"/>
  <c r="I31" i="43"/>
  <c r="G31" i="43"/>
  <c r="F31" i="43"/>
  <c r="L31" i="43" s="1"/>
  <c r="B31" i="43"/>
  <c r="P30" i="43"/>
  <c r="M30" i="43"/>
  <c r="L30" i="43"/>
  <c r="J30" i="43"/>
  <c r="I30" i="43"/>
  <c r="G30" i="43"/>
  <c r="F30" i="43"/>
  <c r="K30" i="43" s="1"/>
  <c r="B30" i="43"/>
  <c r="P29" i="43"/>
  <c r="L29" i="43"/>
  <c r="G29" i="43"/>
  <c r="F29" i="43"/>
  <c r="B29" i="43"/>
  <c r="P28" i="43"/>
  <c r="M28" i="43"/>
  <c r="L28" i="43"/>
  <c r="K28" i="43"/>
  <c r="J28" i="43"/>
  <c r="P27" i="43"/>
  <c r="M27" i="43"/>
  <c r="L27" i="43"/>
  <c r="J27" i="43"/>
  <c r="I27" i="43"/>
  <c r="G27" i="43"/>
  <c r="F27" i="43"/>
  <c r="K27" i="43" s="1"/>
  <c r="B27" i="43"/>
  <c r="P26" i="43"/>
  <c r="G26" i="43"/>
  <c r="F26" i="43"/>
  <c r="B26" i="43"/>
  <c r="P25" i="43"/>
  <c r="K25" i="43"/>
  <c r="J25" i="43"/>
  <c r="G25" i="43"/>
  <c r="F25" i="43"/>
  <c r="B25" i="43"/>
  <c r="P24" i="43"/>
  <c r="M24" i="43"/>
  <c r="J24" i="43"/>
  <c r="I24" i="43"/>
  <c r="G24" i="43"/>
  <c r="F24" i="43"/>
  <c r="L24" i="43" s="1"/>
  <c r="B24" i="43"/>
  <c r="P23" i="43"/>
  <c r="M23" i="43"/>
  <c r="L23" i="43"/>
  <c r="J23" i="43"/>
  <c r="I23" i="43"/>
  <c r="G23" i="43"/>
  <c r="F23" i="43"/>
  <c r="K23" i="43" s="1"/>
  <c r="B23" i="43"/>
  <c r="P22" i="43"/>
  <c r="G22" i="43"/>
  <c r="F22" i="43"/>
  <c r="K22" i="43" s="1"/>
  <c r="B22" i="43"/>
  <c r="P21" i="43"/>
  <c r="K21" i="43"/>
  <c r="J21" i="43"/>
  <c r="G21" i="43"/>
  <c r="F21" i="43"/>
  <c r="B21" i="43"/>
  <c r="P20" i="43"/>
  <c r="M20" i="43"/>
  <c r="J20" i="43"/>
  <c r="I20" i="43"/>
  <c r="G20" i="43"/>
  <c r="F20" i="43"/>
  <c r="L20" i="43" s="1"/>
  <c r="B20" i="43"/>
  <c r="P19" i="43"/>
  <c r="M19" i="43"/>
  <c r="L19" i="43"/>
  <c r="J19" i="43"/>
  <c r="I19" i="43"/>
  <c r="G19" i="43"/>
  <c r="F19" i="43"/>
  <c r="K19" i="43" s="1"/>
  <c r="B19" i="43"/>
  <c r="P18" i="43"/>
  <c r="G18" i="43"/>
  <c r="F18" i="43"/>
  <c r="B18" i="43"/>
  <c r="P17" i="43"/>
  <c r="K17" i="43"/>
  <c r="J17" i="43"/>
  <c r="G17" i="43"/>
  <c r="F17" i="43"/>
  <c r="B17" i="43"/>
  <c r="P16" i="43"/>
  <c r="M16" i="43"/>
  <c r="J16" i="43"/>
  <c r="I16" i="43"/>
  <c r="G16" i="43"/>
  <c r="F16" i="43"/>
  <c r="L16" i="43" s="1"/>
  <c r="B16" i="43"/>
  <c r="P15" i="43"/>
  <c r="M15" i="43"/>
  <c r="L15" i="43"/>
  <c r="J15" i="43"/>
  <c r="I15" i="43"/>
  <c r="G15" i="43"/>
  <c r="F15" i="43"/>
  <c r="K15" i="43" s="1"/>
  <c r="B15" i="43"/>
  <c r="P14" i="43"/>
  <c r="G14" i="43"/>
  <c r="F14" i="43"/>
  <c r="K14" i="43" s="1"/>
  <c r="B14" i="43"/>
  <c r="P13" i="43"/>
  <c r="K13" i="43"/>
  <c r="J13" i="43"/>
  <c r="G13" i="43"/>
  <c r="F13" i="43"/>
  <c r="B13" i="43"/>
  <c r="P12" i="43"/>
  <c r="M12" i="43"/>
  <c r="J12" i="43"/>
  <c r="I12" i="43"/>
  <c r="G12" i="43"/>
  <c r="F12" i="43"/>
  <c r="L12" i="43" s="1"/>
  <c r="B12" i="43"/>
  <c r="P11" i="43"/>
  <c r="M11" i="43"/>
  <c r="L11" i="43"/>
  <c r="K11" i="43"/>
  <c r="J11" i="43"/>
  <c r="P10" i="43"/>
  <c r="G10" i="43"/>
  <c r="F10" i="43"/>
  <c r="B10" i="43"/>
  <c r="P9" i="43"/>
  <c r="M9" i="43"/>
  <c r="J9" i="43"/>
  <c r="I9" i="43"/>
  <c r="G9" i="43"/>
  <c r="F9" i="43"/>
  <c r="L9" i="43" s="1"/>
  <c r="B9" i="43"/>
  <c r="P8" i="43"/>
  <c r="M8" i="43"/>
  <c r="L8" i="43"/>
  <c r="J8" i="43"/>
  <c r="I8" i="43"/>
  <c r="G8" i="43"/>
  <c r="F8" i="43"/>
  <c r="K8" i="43" s="1"/>
  <c r="B8" i="43"/>
  <c r="P7" i="43"/>
  <c r="L7" i="43"/>
  <c r="K7" i="43"/>
  <c r="G7" i="43"/>
  <c r="F7" i="43"/>
  <c r="B7" i="43"/>
  <c r="P6" i="43"/>
  <c r="P56" i="43" s="1"/>
  <c r="G6" i="43"/>
  <c r="F6" i="43"/>
  <c r="B6" i="43"/>
  <c r="B5" i="43"/>
  <c r="F72" i="42"/>
  <c r="F71" i="42"/>
  <c r="T56" i="42"/>
  <c r="S56" i="42"/>
  <c r="R56" i="42"/>
  <c r="Q56" i="42"/>
  <c r="O56" i="42"/>
  <c r="N56" i="42"/>
  <c r="E56" i="42"/>
  <c r="P52" i="42"/>
  <c r="G52" i="42"/>
  <c r="F52" i="42"/>
  <c r="B52" i="42"/>
  <c r="P51" i="42"/>
  <c r="G51" i="42"/>
  <c r="F51" i="42"/>
  <c r="B51" i="42"/>
  <c r="P50" i="42"/>
  <c r="G50" i="42"/>
  <c r="F50" i="42"/>
  <c r="B50" i="42"/>
  <c r="P49" i="42"/>
  <c r="G49" i="42"/>
  <c r="F49" i="42"/>
  <c r="B49" i="42"/>
  <c r="P48" i="42"/>
  <c r="G48" i="42"/>
  <c r="F48" i="42"/>
  <c r="B48" i="42"/>
  <c r="P47" i="42"/>
  <c r="G47" i="42"/>
  <c r="F47" i="42"/>
  <c r="B47" i="42"/>
  <c r="P46" i="42"/>
  <c r="G46" i="42"/>
  <c r="F46" i="42"/>
  <c r="B46" i="42"/>
  <c r="P45" i="42"/>
  <c r="G45" i="42"/>
  <c r="F45" i="42"/>
  <c r="B45" i="42"/>
  <c r="P44" i="42"/>
  <c r="G44" i="42"/>
  <c r="F44" i="42"/>
  <c r="B44" i="42"/>
  <c r="P43" i="42"/>
  <c r="G43" i="42"/>
  <c r="F43" i="42"/>
  <c r="B43" i="42"/>
  <c r="P42" i="42"/>
  <c r="G42" i="42"/>
  <c r="F42" i="42"/>
  <c r="B42" i="42"/>
  <c r="P41" i="42"/>
  <c r="G41" i="42"/>
  <c r="F41" i="42"/>
  <c r="B41" i="42"/>
  <c r="P40" i="42"/>
  <c r="G40" i="42"/>
  <c r="F40" i="42"/>
  <c r="B40" i="42"/>
  <c r="P39" i="42"/>
  <c r="G39" i="42"/>
  <c r="F39" i="42"/>
  <c r="B39" i="42"/>
  <c r="P38" i="42"/>
  <c r="G38" i="42"/>
  <c r="F38" i="42"/>
  <c r="B38" i="42"/>
  <c r="P36" i="42"/>
  <c r="G36" i="42"/>
  <c r="F36" i="42"/>
  <c r="B36" i="42"/>
  <c r="P34" i="42"/>
  <c r="G34" i="42"/>
  <c r="F34" i="42"/>
  <c r="B34" i="42"/>
  <c r="P33" i="42"/>
  <c r="G33" i="42"/>
  <c r="F33" i="42"/>
  <c r="B33" i="42"/>
  <c r="P32" i="42"/>
  <c r="G32" i="42"/>
  <c r="F32" i="42"/>
  <c r="B32" i="42"/>
  <c r="P31" i="42"/>
  <c r="G31" i="42"/>
  <c r="F31" i="42"/>
  <c r="B31" i="42"/>
  <c r="P30" i="42"/>
  <c r="G30" i="42"/>
  <c r="F30" i="42"/>
  <c r="B30" i="42"/>
  <c r="P29" i="42"/>
  <c r="G29" i="42"/>
  <c r="F29" i="42"/>
  <c r="B29" i="42"/>
  <c r="P28" i="42"/>
  <c r="P27" i="42"/>
  <c r="G27" i="42"/>
  <c r="F27" i="42"/>
  <c r="B27" i="42"/>
  <c r="P26" i="42"/>
  <c r="G26" i="42"/>
  <c r="F26" i="42"/>
  <c r="B26" i="42"/>
  <c r="P25" i="42"/>
  <c r="G25" i="42"/>
  <c r="F25" i="42"/>
  <c r="B25" i="42"/>
  <c r="P24" i="42"/>
  <c r="G24" i="42"/>
  <c r="F24" i="42"/>
  <c r="B24" i="42"/>
  <c r="P23" i="42"/>
  <c r="G23" i="42"/>
  <c r="F23" i="42"/>
  <c r="B23" i="42"/>
  <c r="P22" i="42"/>
  <c r="G22" i="42"/>
  <c r="F22" i="42"/>
  <c r="B22" i="42"/>
  <c r="P21" i="42"/>
  <c r="G21" i="42"/>
  <c r="F21" i="42"/>
  <c r="B21" i="42"/>
  <c r="P20" i="42"/>
  <c r="G20" i="42"/>
  <c r="F20" i="42"/>
  <c r="B20" i="42"/>
  <c r="P19" i="42"/>
  <c r="G19" i="42"/>
  <c r="F19" i="42"/>
  <c r="B19" i="42"/>
  <c r="P18" i="42"/>
  <c r="G18" i="42"/>
  <c r="F18" i="42"/>
  <c r="B18" i="42"/>
  <c r="P17" i="42"/>
  <c r="G17" i="42"/>
  <c r="F17" i="42"/>
  <c r="B17" i="42"/>
  <c r="P16" i="42"/>
  <c r="G16" i="42"/>
  <c r="F16" i="42"/>
  <c r="B16" i="42"/>
  <c r="P15" i="42"/>
  <c r="G15" i="42"/>
  <c r="F15" i="42"/>
  <c r="B15" i="42"/>
  <c r="P14" i="42"/>
  <c r="G14" i="42"/>
  <c r="F14" i="42"/>
  <c r="B14" i="42"/>
  <c r="P13" i="42"/>
  <c r="G13" i="42"/>
  <c r="F13" i="42"/>
  <c r="B13" i="42"/>
  <c r="P12" i="42"/>
  <c r="G12" i="42"/>
  <c r="F12" i="42"/>
  <c r="B12" i="42"/>
  <c r="P11" i="42"/>
  <c r="P10" i="42"/>
  <c r="G10" i="42"/>
  <c r="F10" i="42"/>
  <c r="B10" i="42"/>
  <c r="P9" i="42"/>
  <c r="G9" i="42"/>
  <c r="F9" i="42"/>
  <c r="B9" i="42"/>
  <c r="P8" i="42"/>
  <c r="G8" i="42"/>
  <c r="F8" i="42"/>
  <c r="B8" i="42"/>
  <c r="P7" i="42"/>
  <c r="G7" i="42"/>
  <c r="F7" i="42"/>
  <c r="B7" i="42"/>
  <c r="P6" i="42"/>
  <c r="G6" i="42"/>
  <c r="F6" i="42"/>
  <c r="B6" i="42"/>
  <c r="B5" i="42"/>
  <c r="T56" i="41"/>
  <c r="S56" i="41"/>
  <c r="R56" i="41"/>
  <c r="Q56" i="41"/>
  <c r="O56" i="41"/>
  <c r="N56" i="41"/>
  <c r="E56" i="41"/>
  <c r="P52" i="41"/>
  <c r="G52" i="41"/>
  <c r="F52" i="41"/>
  <c r="K52" i="41" s="1"/>
  <c r="B52" i="41"/>
  <c r="P51" i="41"/>
  <c r="G51" i="41"/>
  <c r="F51" i="41"/>
  <c r="J51" i="41" s="1"/>
  <c r="B51" i="41"/>
  <c r="P50" i="41"/>
  <c r="G50" i="41"/>
  <c r="F50" i="41"/>
  <c r="K50" i="41" s="1"/>
  <c r="B50" i="41"/>
  <c r="P49" i="41"/>
  <c r="G49" i="41"/>
  <c r="F49" i="41"/>
  <c r="B49" i="41"/>
  <c r="P48" i="41"/>
  <c r="G48" i="41"/>
  <c r="F48" i="41"/>
  <c r="K48" i="41" s="1"/>
  <c r="B48" i="41"/>
  <c r="P47" i="41"/>
  <c r="G47" i="41"/>
  <c r="F47" i="41"/>
  <c r="K47" i="41" s="1"/>
  <c r="B47" i="41"/>
  <c r="P46" i="41"/>
  <c r="G46" i="41"/>
  <c r="F46" i="41"/>
  <c r="K46" i="41" s="1"/>
  <c r="B46" i="41"/>
  <c r="P45" i="41"/>
  <c r="G45" i="41"/>
  <c r="F45" i="41"/>
  <c r="B45" i="41"/>
  <c r="P44" i="41"/>
  <c r="G44" i="41"/>
  <c r="F44" i="41"/>
  <c r="K44" i="41" s="1"/>
  <c r="B44" i="41"/>
  <c r="P43" i="41"/>
  <c r="K43" i="41"/>
  <c r="G43" i="41"/>
  <c r="F43" i="41"/>
  <c r="J43" i="41" s="1"/>
  <c r="B43" i="41"/>
  <c r="P42" i="41"/>
  <c r="G42" i="41"/>
  <c r="F42" i="41"/>
  <c r="K42" i="41" s="1"/>
  <c r="B42" i="41"/>
  <c r="P41" i="41"/>
  <c r="G41" i="41"/>
  <c r="F41" i="41"/>
  <c r="B41" i="41"/>
  <c r="P40" i="41"/>
  <c r="G40" i="41"/>
  <c r="F40" i="41"/>
  <c r="K40" i="41" s="1"/>
  <c r="B40" i="41"/>
  <c r="P39" i="41"/>
  <c r="G39" i="41"/>
  <c r="F39" i="41"/>
  <c r="K39" i="41" s="1"/>
  <c r="B39" i="41"/>
  <c r="P38" i="41"/>
  <c r="G38" i="41"/>
  <c r="F38" i="41"/>
  <c r="K38" i="41" s="1"/>
  <c r="B38" i="41"/>
  <c r="P37" i="41"/>
  <c r="M37" i="41"/>
  <c r="L37" i="41"/>
  <c r="K37" i="41"/>
  <c r="J37" i="41"/>
  <c r="P36" i="41"/>
  <c r="G36" i="41"/>
  <c r="F36" i="41"/>
  <c r="K36" i="41" s="1"/>
  <c r="B36" i="41"/>
  <c r="P35" i="41"/>
  <c r="M35" i="41"/>
  <c r="L35" i="41"/>
  <c r="K35" i="41"/>
  <c r="J35" i="41"/>
  <c r="P34" i="41"/>
  <c r="G34" i="41"/>
  <c r="F34" i="41"/>
  <c r="L34" i="41" s="1"/>
  <c r="B34" i="41"/>
  <c r="P33" i="41"/>
  <c r="G33" i="41"/>
  <c r="F33" i="41"/>
  <c r="B33" i="41"/>
  <c r="P32" i="41"/>
  <c r="G32" i="41"/>
  <c r="F32" i="41"/>
  <c r="K32" i="41" s="1"/>
  <c r="B32" i="41"/>
  <c r="P31" i="41"/>
  <c r="G31" i="41"/>
  <c r="F31" i="41"/>
  <c r="K31" i="41" s="1"/>
  <c r="B31" i="41"/>
  <c r="P30" i="41"/>
  <c r="G30" i="41"/>
  <c r="F30" i="41"/>
  <c r="K30" i="41" s="1"/>
  <c r="B30" i="41"/>
  <c r="P29" i="41"/>
  <c r="G29" i="41"/>
  <c r="F29" i="41"/>
  <c r="K29" i="41" s="1"/>
  <c r="B29" i="41"/>
  <c r="P28" i="41"/>
  <c r="M28" i="41"/>
  <c r="L28" i="41"/>
  <c r="K28" i="41"/>
  <c r="J28" i="41"/>
  <c r="P27" i="41"/>
  <c r="G27" i="41"/>
  <c r="F27" i="41"/>
  <c r="L27" i="41" s="1"/>
  <c r="B27" i="41"/>
  <c r="P26" i="41"/>
  <c r="G26" i="41"/>
  <c r="F26" i="41"/>
  <c r="K26" i="41" s="1"/>
  <c r="B26" i="41"/>
  <c r="P25" i="41"/>
  <c r="G25" i="41"/>
  <c r="F25" i="41"/>
  <c r="K25" i="41" s="1"/>
  <c r="B25" i="41"/>
  <c r="P24" i="41"/>
  <c r="G24" i="41"/>
  <c r="F24" i="41"/>
  <c r="K24" i="41" s="1"/>
  <c r="B24" i="41"/>
  <c r="P23" i="41"/>
  <c r="G23" i="41"/>
  <c r="F23" i="41"/>
  <c r="K23" i="41" s="1"/>
  <c r="B23" i="41"/>
  <c r="P22" i="41"/>
  <c r="G22" i="41"/>
  <c r="F22" i="41"/>
  <c r="K22" i="41" s="1"/>
  <c r="B22" i="41"/>
  <c r="P21" i="41"/>
  <c r="G21" i="41"/>
  <c r="F21" i="41"/>
  <c r="K21" i="41" s="1"/>
  <c r="B21" i="41"/>
  <c r="P20" i="41"/>
  <c r="G20" i="41"/>
  <c r="F20" i="41"/>
  <c r="J20" i="41" s="1"/>
  <c r="B20" i="41"/>
  <c r="P19" i="41"/>
  <c r="G19" i="41"/>
  <c r="F19" i="41"/>
  <c r="K19" i="41" s="1"/>
  <c r="B19" i="41"/>
  <c r="P18" i="41"/>
  <c r="G18" i="41"/>
  <c r="F18" i="41"/>
  <c r="B18" i="41"/>
  <c r="P17" i="41"/>
  <c r="G17" i="41"/>
  <c r="F17" i="41"/>
  <c r="K17" i="41" s="1"/>
  <c r="B17" i="41"/>
  <c r="P16" i="41"/>
  <c r="G16" i="41"/>
  <c r="F16" i="41"/>
  <c r="K16" i="41" s="1"/>
  <c r="B16" i="41"/>
  <c r="P15" i="41"/>
  <c r="G15" i="41"/>
  <c r="F15" i="41"/>
  <c r="K15" i="41" s="1"/>
  <c r="B15" i="41"/>
  <c r="P14" i="41"/>
  <c r="G14" i="41"/>
  <c r="F14" i="41"/>
  <c r="K14" i="41" s="1"/>
  <c r="B14" i="41"/>
  <c r="P13" i="41"/>
  <c r="G13" i="41"/>
  <c r="F13" i="41"/>
  <c r="K13" i="41" s="1"/>
  <c r="B13" i="41"/>
  <c r="P12" i="41"/>
  <c r="G12" i="41"/>
  <c r="F12" i="41"/>
  <c r="K12" i="41" s="1"/>
  <c r="B12" i="41"/>
  <c r="P11" i="41"/>
  <c r="M11" i="41"/>
  <c r="L11" i="41"/>
  <c r="K11" i="41"/>
  <c r="J11" i="41"/>
  <c r="P10" i="41"/>
  <c r="G10" i="41"/>
  <c r="F10" i="41"/>
  <c r="K10" i="41" s="1"/>
  <c r="B10" i="41"/>
  <c r="P9" i="41"/>
  <c r="G9" i="41"/>
  <c r="F9" i="41"/>
  <c r="J9" i="41" s="1"/>
  <c r="B9" i="41"/>
  <c r="P8" i="41"/>
  <c r="G8" i="41"/>
  <c r="F8" i="41"/>
  <c r="K8" i="41" s="1"/>
  <c r="B8" i="41"/>
  <c r="P7" i="41"/>
  <c r="G7" i="41"/>
  <c r="F7" i="41"/>
  <c r="B7" i="41"/>
  <c r="P6" i="41"/>
  <c r="G6" i="41"/>
  <c r="F6" i="41"/>
  <c r="K6" i="41" s="1"/>
  <c r="B6" i="41"/>
  <c r="B5" i="41"/>
  <c r="T56" i="40"/>
  <c r="S56" i="40"/>
  <c r="R56" i="40"/>
  <c r="Q56" i="40"/>
  <c r="E66" i="40" s="1"/>
  <c r="O56" i="40"/>
  <c r="N56" i="40"/>
  <c r="E56" i="40"/>
  <c r="P52" i="40"/>
  <c r="G52" i="40"/>
  <c r="F52" i="40"/>
  <c r="B52" i="40"/>
  <c r="P51" i="40"/>
  <c r="G51" i="40"/>
  <c r="F51" i="40"/>
  <c r="B51" i="40"/>
  <c r="P50" i="40"/>
  <c r="G50" i="40"/>
  <c r="F50" i="40"/>
  <c r="L50" i="40" s="1"/>
  <c r="B50" i="40"/>
  <c r="P49" i="40"/>
  <c r="G49" i="40"/>
  <c r="F49" i="40"/>
  <c r="B49" i="40"/>
  <c r="P48" i="40"/>
  <c r="K48" i="40"/>
  <c r="G48" i="40"/>
  <c r="F48" i="40"/>
  <c r="J48" i="40" s="1"/>
  <c r="B48" i="40"/>
  <c r="P47" i="40"/>
  <c r="K47" i="40"/>
  <c r="G47" i="40"/>
  <c r="F47" i="40"/>
  <c r="J47" i="40" s="1"/>
  <c r="B47" i="40"/>
  <c r="P46" i="40"/>
  <c r="G46" i="40"/>
  <c r="F46" i="40"/>
  <c r="L46" i="40" s="1"/>
  <c r="B46" i="40"/>
  <c r="P45" i="40"/>
  <c r="J45" i="40"/>
  <c r="G45" i="40"/>
  <c r="F45" i="40"/>
  <c r="K45" i="40" s="1"/>
  <c r="B45" i="40"/>
  <c r="P44" i="40"/>
  <c r="K44" i="40"/>
  <c r="G44" i="40"/>
  <c r="F44" i="40"/>
  <c r="J44" i="40" s="1"/>
  <c r="B44" i="40"/>
  <c r="P43" i="40"/>
  <c r="G43" i="40"/>
  <c r="F43" i="40"/>
  <c r="B43" i="40"/>
  <c r="P42" i="40"/>
  <c r="G42" i="40"/>
  <c r="F42" i="40"/>
  <c r="L42" i="40" s="1"/>
  <c r="B42" i="40"/>
  <c r="P41" i="40"/>
  <c r="M41" i="40"/>
  <c r="J41" i="40"/>
  <c r="G41" i="40"/>
  <c r="F41" i="40"/>
  <c r="K41" i="40" s="1"/>
  <c r="B41" i="40"/>
  <c r="P40" i="40"/>
  <c r="K40" i="40"/>
  <c r="G40" i="40"/>
  <c r="F40" i="40"/>
  <c r="J40" i="40" s="1"/>
  <c r="B40" i="40"/>
  <c r="P39" i="40"/>
  <c r="G39" i="40"/>
  <c r="F39" i="40"/>
  <c r="K39" i="40" s="1"/>
  <c r="B39" i="40"/>
  <c r="P38" i="40"/>
  <c r="G38" i="40"/>
  <c r="F38" i="40"/>
  <c r="L38" i="40" s="1"/>
  <c r="B38" i="40"/>
  <c r="P37" i="40"/>
  <c r="M37" i="40"/>
  <c r="L37" i="40"/>
  <c r="K37" i="40"/>
  <c r="J37" i="40"/>
  <c r="P36" i="40"/>
  <c r="G36" i="40"/>
  <c r="F36" i="40"/>
  <c r="K36" i="40" s="1"/>
  <c r="B36" i="40"/>
  <c r="P35" i="40"/>
  <c r="M35" i="40"/>
  <c r="L35" i="40"/>
  <c r="K35" i="40"/>
  <c r="J35" i="40"/>
  <c r="P34" i="40"/>
  <c r="G34" i="40"/>
  <c r="F34" i="40"/>
  <c r="B34" i="40"/>
  <c r="P33" i="40"/>
  <c r="K33" i="40"/>
  <c r="G33" i="40"/>
  <c r="F33" i="40"/>
  <c r="J33" i="40" s="1"/>
  <c r="B33" i="40"/>
  <c r="P32" i="40"/>
  <c r="G32" i="40"/>
  <c r="F32" i="40"/>
  <c r="L32" i="40" s="1"/>
  <c r="B32" i="40"/>
  <c r="P31" i="40"/>
  <c r="G31" i="40"/>
  <c r="F31" i="40"/>
  <c r="K31" i="40" s="1"/>
  <c r="B31" i="40"/>
  <c r="P30" i="40"/>
  <c r="G30" i="40"/>
  <c r="F30" i="40"/>
  <c r="J30" i="40" s="1"/>
  <c r="B30" i="40"/>
  <c r="P29" i="40"/>
  <c r="G29" i="40"/>
  <c r="F29" i="40"/>
  <c r="K29" i="40" s="1"/>
  <c r="B29" i="40"/>
  <c r="P28" i="40"/>
  <c r="M28" i="40"/>
  <c r="L28" i="40"/>
  <c r="K28" i="40"/>
  <c r="J28" i="40"/>
  <c r="P27" i="40"/>
  <c r="K27" i="40"/>
  <c r="G27" i="40"/>
  <c r="F27" i="40"/>
  <c r="J27" i="40" s="1"/>
  <c r="B27" i="40"/>
  <c r="P26" i="40"/>
  <c r="K26" i="40"/>
  <c r="G26" i="40"/>
  <c r="F26" i="40"/>
  <c r="J26" i="40" s="1"/>
  <c r="B26" i="40"/>
  <c r="P25" i="40"/>
  <c r="G25" i="40"/>
  <c r="F25" i="40"/>
  <c r="L25" i="40" s="1"/>
  <c r="B25" i="40"/>
  <c r="P24" i="40"/>
  <c r="G24" i="40"/>
  <c r="F24" i="40"/>
  <c r="K24" i="40" s="1"/>
  <c r="B24" i="40"/>
  <c r="P23" i="40"/>
  <c r="G23" i="40"/>
  <c r="F23" i="40"/>
  <c r="J23" i="40" s="1"/>
  <c r="B23" i="40"/>
  <c r="P22" i="40"/>
  <c r="G22" i="40"/>
  <c r="F22" i="40"/>
  <c r="B22" i="40"/>
  <c r="P21" i="40"/>
  <c r="G21" i="40"/>
  <c r="F21" i="40"/>
  <c r="L21" i="40" s="1"/>
  <c r="B21" i="40"/>
  <c r="P20" i="40"/>
  <c r="G20" i="40"/>
  <c r="F20" i="40"/>
  <c r="K20" i="40" s="1"/>
  <c r="B20" i="40"/>
  <c r="P19" i="40"/>
  <c r="G19" i="40"/>
  <c r="F19" i="40"/>
  <c r="J19" i="40" s="1"/>
  <c r="B19" i="40"/>
  <c r="P18" i="40"/>
  <c r="G18" i="40"/>
  <c r="F18" i="40"/>
  <c r="B18" i="40"/>
  <c r="P17" i="40"/>
  <c r="G17" i="40"/>
  <c r="F17" i="40"/>
  <c r="L17" i="40" s="1"/>
  <c r="B17" i="40"/>
  <c r="P16" i="40"/>
  <c r="M16" i="40"/>
  <c r="J16" i="40"/>
  <c r="G16" i="40"/>
  <c r="F16" i="40"/>
  <c r="K16" i="40" s="1"/>
  <c r="B16" i="40"/>
  <c r="P15" i="40"/>
  <c r="G15" i="40"/>
  <c r="F15" i="40"/>
  <c r="J15" i="40" s="1"/>
  <c r="B15" i="40"/>
  <c r="P14" i="40"/>
  <c r="K14" i="40"/>
  <c r="J14" i="40"/>
  <c r="G14" i="40"/>
  <c r="F14" i="40"/>
  <c r="B14" i="40"/>
  <c r="P13" i="40"/>
  <c r="G13" i="40"/>
  <c r="F13" i="40"/>
  <c r="L13" i="40" s="1"/>
  <c r="B13" i="40"/>
  <c r="P12" i="40"/>
  <c r="M12" i="40"/>
  <c r="G12" i="40"/>
  <c r="F12" i="40"/>
  <c r="K12" i="40" s="1"/>
  <c r="B12" i="40"/>
  <c r="P11" i="40"/>
  <c r="M11" i="40"/>
  <c r="L11" i="40"/>
  <c r="K11" i="40"/>
  <c r="J11" i="40"/>
  <c r="D11" i="40" s="1"/>
  <c r="P10" i="40"/>
  <c r="G10" i="40"/>
  <c r="F10" i="40"/>
  <c r="B10" i="40"/>
  <c r="P9" i="40"/>
  <c r="G9" i="40"/>
  <c r="F9" i="40"/>
  <c r="K9" i="40" s="1"/>
  <c r="B9" i="40"/>
  <c r="P8" i="40"/>
  <c r="G8" i="40"/>
  <c r="F8" i="40"/>
  <c r="J8" i="40" s="1"/>
  <c r="B8" i="40"/>
  <c r="P7" i="40"/>
  <c r="G7" i="40"/>
  <c r="F7" i="40"/>
  <c r="B7" i="40"/>
  <c r="P6" i="40"/>
  <c r="J6" i="40"/>
  <c r="G6" i="40"/>
  <c r="F6" i="40"/>
  <c r="I6" i="40" s="1"/>
  <c r="B6" i="40"/>
  <c r="B5" i="40"/>
  <c r="T56" i="39"/>
  <c r="S56" i="39"/>
  <c r="R56" i="39"/>
  <c r="Q56" i="39"/>
  <c r="O56" i="39"/>
  <c r="N56" i="39"/>
  <c r="E56" i="39"/>
  <c r="P52" i="39"/>
  <c r="G52" i="39"/>
  <c r="F52" i="39"/>
  <c r="K52" i="39" s="1"/>
  <c r="B52" i="39"/>
  <c r="P51" i="39"/>
  <c r="G51" i="39"/>
  <c r="F51" i="39"/>
  <c r="J51" i="39" s="1"/>
  <c r="B51" i="39"/>
  <c r="P50" i="39"/>
  <c r="G50" i="39"/>
  <c r="F50" i="39"/>
  <c r="K50" i="39" s="1"/>
  <c r="B50" i="39"/>
  <c r="P49" i="39"/>
  <c r="G49" i="39"/>
  <c r="F49" i="39"/>
  <c r="K49" i="39" s="1"/>
  <c r="B49" i="39"/>
  <c r="P48" i="39"/>
  <c r="G48" i="39"/>
  <c r="F48" i="39"/>
  <c r="K48" i="39" s="1"/>
  <c r="B48" i="39"/>
  <c r="P47" i="39"/>
  <c r="G47" i="39"/>
  <c r="F47" i="39"/>
  <c r="B47" i="39"/>
  <c r="P46" i="39"/>
  <c r="G46" i="39"/>
  <c r="F46" i="39"/>
  <c r="K46" i="39" s="1"/>
  <c r="B46" i="39"/>
  <c r="P45" i="39"/>
  <c r="G45" i="39"/>
  <c r="F45" i="39"/>
  <c r="B45" i="39"/>
  <c r="P44" i="39"/>
  <c r="G44" i="39"/>
  <c r="F44" i="39"/>
  <c r="K44" i="39" s="1"/>
  <c r="B44" i="39"/>
  <c r="P43" i="39"/>
  <c r="G43" i="39"/>
  <c r="F43" i="39"/>
  <c r="B43" i="39"/>
  <c r="P42" i="39"/>
  <c r="G42" i="39"/>
  <c r="F42" i="39"/>
  <c r="K42" i="39" s="1"/>
  <c r="B42" i="39"/>
  <c r="P41" i="39"/>
  <c r="G41" i="39"/>
  <c r="F41" i="39"/>
  <c r="B41" i="39"/>
  <c r="P40" i="39"/>
  <c r="G40" i="39"/>
  <c r="F40" i="39"/>
  <c r="K40" i="39" s="1"/>
  <c r="B40" i="39"/>
  <c r="P39" i="39"/>
  <c r="G39" i="39"/>
  <c r="F39" i="39"/>
  <c r="K39" i="39" s="1"/>
  <c r="B39" i="39"/>
  <c r="P38" i="39"/>
  <c r="G38" i="39"/>
  <c r="F38" i="39"/>
  <c r="K38" i="39" s="1"/>
  <c r="B38" i="39"/>
  <c r="P37" i="39"/>
  <c r="M37" i="39"/>
  <c r="L37" i="39"/>
  <c r="K37" i="39"/>
  <c r="J37" i="39"/>
  <c r="P36" i="39"/>
  <c r="G36" i="39"/>
  <c r="F36" i="39"/>
  <c r="K36" i="39" s="1"/>
  <c r="B36" i="39"/>
  <c r="P35" i="39"/>
  <c r="M35" i="39"/>
  <c r="L35" i="39"/>
  <c r="K35" i="39"/>
  <c r="J35" i="39"/>
  <c r="E35" i="47" s="1"/>
  <c r="P34" i="39"/>
  <c r="G34" i="39"/>
  <c r="F34" i="39"/>
  <c r="K34" i="39" s="1"/>
  <c r="B34" i="39"/>
  <c r="P33" i="39"/>
  <c r="G33" i="39"/>
  <c r="F33" i="39"/>
  <c r="B33" i="39"/>
  <c r="P32" i="39"/>
  <c r="G32" i="39"/>
  <c r="F32" i="39"/>
  <c r="M32" i="39" s="1"/>
  <c r="B32" i="39"/>
  <c r="P31" i="39"/>
  <c r="G31" i="39"/>
  <c r="F31" i="39"/>
  <c r="B31" i="39"/>
  <c r="P30" i="39"/>
  <c r="G30" i="39"/>
  <c r="F30" i="39"/>
  <c r="K30" i="39" s="1"/>
  <c r="B30" i="39"/>
  <c r="P29" i="39"/>
  <c r="G29" i="39"/>
  <c r="F29" i="39"/>
  <c r="K29" i="39" s="1"/>
  <c r="B29" i="39"/>
  <c r="P28" i="39"/>
  <c r="M28" i="39"/>
  <c r="L28" i="39"/>
  <c r="K28" i="39"/>
  <c r="J28" i="39"/>
  <c r="P27" i="39"/>
  <c r="G27" i="39"/>
  <c r="F27" i="39"/>
  <c r="K27" i="39" s="1"/>
  <c r="B27" i="39"/>
  <c r="P26" i="39"/>
  <c r="G26" i="39"/>
  <c r="F26" i="39"/>
  <c r="K26" i="39" s="1"/>
  <c r="B26" i="39"/>
  <c r="P25" i="39"/>
  <c r="G25" i="39"/>
  <c r="F25" i="39"/>
  <c r="M25" i="39" s="1"/>
  <c r="B25" i="39"/>
  <c r="P24" i="39"/>
  <c r="G24" i="39"/>
  <c r="F24" i="39"/>
  <c r="K24" i="39" s="1"/>
  <c r="B24" i="39"/>
  <c r="P23" i="39"/>
  <c r="G23" i="39"/>
  <c r="F23" i="39"/>
  <c r="K23" i="39" s="1"/>
  <c r="B23" i="39"/>
  <c r="P22" i="39"/>
  <c r="G22" i="39"/>
  <c r="F22" i="39"/>
  <c r="K22" i="39" s="1"/>
  <c r="B22" i="39"/>
  <c r="P21" i="39"/>
  <c r="G21" i="39"/>
  <c r="F21" i="39"/>
  <c r="M21" i="39" s="1"/>
  <c r="B21" i="39"/>
  <c r="P20" i="39"/>
  <c r="G20" i="39"/>
  <c r="F20" i="39"/>
  <c r="K20" i="39" s="1"/>
  <c r="B20" i="39"/>
  <c r="P19" i="39"/>
  <c r="G19" i="39"/>
  <c r="F19" i="39"/>
  <c r="B19" i="39"/>
  <c r="P18" i="39"/>
  <c r="G18" i="39"/>
  <c r="F18" i="39"/>
  <c r="K18" i="39" s="1"/>
  <c r="B18" i="39"/>
  <c r="P17" i="39"/>
  <c r="G17" i="39"/>
  <c r="F17" i="39"/>
  <c r="M17" i="39" s="1"/>
  <c r="B17" i="39"/>
  <c r="P16" i="39"/>
  <c r="G16" i="39"/>
  <c r="F16" i="39"/>
  <c r="B16" i="39"/>
  <c r="P15" i="39"/>
  <c r="G15" i="39"/>
  <c r="F15" i="39"/>
  <c r="K15" i="39" s="1"/>
  <c r="B15" i="39"/>
  <c r="P14" i="39"/>
  <c r="G14" i="39"/>
  <c r="F14" i="39"/>
  <c r="K14" i="39" s="1"/>
  <c r="B14" i="39"/>
  <c r="P13" i="39"/>
  <c r="G13" i="39"/>
  <c r="F13" i="39"/>
  <c r="M13" i="39" s="1"/>
  <c r="B13" i="39"/>
  <c r="P12" i="39"/>
  <c r="G12" i="39"/>
  <c r="F12" i="39"/>
  <c r="B12" i="39"/>
  <c r="P11" i="39"/>
  <c r="M11" i="39"/>
  <c r="L11" i="39"/>
  <c r="K11" i="39"/>
  <c r="J11" i="39"/>
  <c r="P10" i="39"/>
  <c r="G10" i="39"/>
  <c r="F10" i="39"/>
  <c r="B10" i="39"/>
  <c r="P9" i="39"/>
  <c r="G9" i="39"/>
  <c r="F9" i="39"/>
  <c r="B9" i="39"/>
  <c r="P8" i="39"/>
  <c r="G8" i="39"/>
  <c r="F8" i="39"/>
  <c r="K8" i="39" s="1"/>
  <c r="B8" i="39"/>
  <c r="P7" i="39"/>
  <c r="G7" i="39"/>
  <c r="F7" i="39"/>
  <c r="K7" i="39" s="1"/>
  <c r="B7" i="39"/>
  <c r="P6" i="39"/>
  <c r="G6" i="39"/>
  <c r="F6" i="39"/>
  <c r="M6" i="39" s="1"/>
  <c r="B6" i="39"/>
  <c r="B5" i="39"/>
  <c r="B20" i="27"/>
  <c r="F20" i="27"/>
  <c r="M20" i="27" s="1"/>
  <c r="G20" i="27"/>
  <c r="P20" i="27"/>
  <c r="P25" i="46" l="1"/>
  <c r="P25" i="49"/>
  <c r="P56" i="49" s="1"/>
  <c r="J15" i="41"/>
  <c r="E28" i="47"/>
  <c r="L40" i="41"/>
  <c r="D11" i="41"/>
  <c r="D11" i="42" s="1"/>
  <c r="D11" i="43" s="1"/>
  <c r="D11" i="44" s="1"/>
  <c r="L15" i="41"/>
  <c r="M51" i="41"/>
  <c r="J23" i="41"/>
  <c r="L52" i="41"/>
  <c r="J10" i="41"/>
  <c r="K20" i="41"/>
  <c r="I50" i="41"/>
  <c r="I6" i="41"/>
  <c r="J38" i="41"/>
  <c r="J44" i="41"/>
  <c r="L17" i="41"/>
  <c r="E11" i="47"/>
  <c r="J6" i="41"/>
  <c r="M17" i="41"/>
  <c r="L23" i="41"/>
  <c r="K27" i="41"/>
  <c r="J27" i="41"/>
  <c r="J40" i="41"/>
  <c r="L44" i="41"/>
  <c r="J50" i="41"/>
  <c r="J52" i="41"/>
  <c r="J32" i="41"/>
  <c r="K34" i="41"/>
  <c r="J34" i="41"/>
  <c r="J46" i="41"/>
  <c r="L50" i="41"/>
  <c r="L6" i="41"/>
  <c r="I17" i="41"/>
  <c r="J19" i="41"/>
  <c r="M6" i="41"/>
  <c r="J17" i="41"/>
  <c r="M32" i="41"/>
  <c r="L48" i="41"/>
  <c r="M50" i="41"/>
  <c r="J48" i="41"/>
  <c r="J30" i="41"/>
  <c r="E30" i="47" s="1"/>
  <c r="L30" i="41"/>
  <c r="L32" i="41"/>
  <c r="L25" i="41"/>
  <c r="M25" i="41"/>
  <c r="J25" i="41"/>
  <c r="L21" i="41"/>
  <c r="M21" i="41"/>
  <c r="J21" i="41"/>
  <c r="L10" i="41"/>
  <c r="M10" i="41"/>
  <c r="L42" i="41"/>
  <c r="M42" i="41"/>
  <c r="J42" i="41"/>
  <c r="J8" i="41"/>
  <c r="L8" i="41"/>
  <c r="L19" i="41"/>
  <c r="K9" i="41"/>
  <c r="L38" i="41"/>
  <c r="M38" i="41"/>
  <c r="L13" i="41"/>
  <c r="M13" i="41"/>
  <c r="J13" i="41"/>
  <c r="G71" i="41"/>
  <c r="K33" i="41"/>
  <c r="J33" i="41"/>
  <c r="L46" i="41"/>
  <c r="M46" i="41"/>
  <c r="G72" i="41"/>
  <c r="L10" i="40"/>
  <c r="J10" i="40"/>
  <c r="M17" i="40"/>
  <c r="K22" i="40"/>
  <c r="J22" i="40"/>
  <c r="K49" i="40"/>
  <c r="J49" i="40"/>
  <c r="M6" i="40"/>
  <c r="P56" i="40"/>
  <c r="I17" i="40"/>
  <c r="J25" i="40"/>
  <c r="K43" i="40"/>
  <c r="J43" i="40"/>
  <c r="J46" i="40"/>
  <c r="J50" i="40"/>
  <c r="J12" i="40"/>
  <c r="K15" i="40"/>
  <c r="J17" i="40"/>
  <c r="K30" i="40"/>
  <c r="J34" i="40"/>
  <c r="J42" i="40"/>
  <c r="E37" i="47"/>
  <c r="M48" i="40"/>
  <c r="L45" i="40"/>
  <c r="I45" i="40" s="1"/>
  <c r="M45" i="40"/>
  <c r="E43" i="47"/>
  <c r="L41" i="40"/>
  <c r="I41" i="40" s="1"/>
  <c r="K34" i="40"/>
  <c r="J32" i="40"/>
  <c r="L31" i="40"/>
  <c r="M31" i="40"/>
  <c r="G72" i="40"/>
  <c r="J31" i="40"/>
  <c r="I31" i="40" s="1"/>
  <c r="K23" i="40"/>
  <c r="L20" i="40"/>
  <c r="M20" i="40"/>
  <c r="L16" i="40"/>
  <c r="I16" i="40" s="1"/>
  <c r="M15" i="40"/>
  <c r="L9" i="40"/>
  <c r="M9" i="40"/>
  <c r="J9" i="40"/>
  <c r="J13" i="40"/>
  <c r="L12" i="40"/>
  <c r="L24" i="40"/>
  <c r="G73" i="40"/>
  <c r="M24" i="40"/>
  <c r="J24" i="40"/>
  <c r="I24" i="40" s="1"/>
  <c r="L49" i="40"/>
  <c r="M49" i="40"/>
  <c r="M50" i="40"/>
  <c r="M10" i="39"/>
  <c r="J10" i="39"/>
  <c r="K33" i="39"/>
  <c r="J33" i="39"/>
  <c r="L38" i="39"/>
  <c r="M30" i="39"/>
  <c r="J42" i="39"/>
  <c r="J15" i="39"/>
  <c r="E15" i="47" s="1"/>
  <c r="M51" i="39"/>
  <c r="L8" i="39"/>
  <c r="L17" i="39"/>
  <c r="L52" i="39"/>
  <c r="J6" i="39"/>
  <c r="L21" i="39"/>
  <c r="M47" i="39"/>
  <c r="L6" i="39"/>
  <c r="L13" i="39"/>
  <c r="L10" i="39"/>
  <c r="M15" i="39"/>
  <c r="J32" i="39"/>
  <c r="L42" i="39"/>
  <c r="J50" i="39"/>
  <c r="J8" i="39"/>
  <c r="J17" i="39"/>
  <c r="K19" i="39"/>
  <c r="J19" i="39"/>
  <c r="L25" i="39"/>
  <c r="L32" i="39"/>
  <c r="J38" i="39"/>
  <c r="L44" i="39"/>
  <c r="L50" i="39"/>
  <c r="J44" i="39"/>
  <c r="M43" i="39"/>
  <c r="J40" i="39"/>
  <c r="L40" i="39"/>
  <c r="L34" i="39"/>
  <c r="M34" i="39"/>
  <c r="L30" i="39"/>
  <c r="L27" i="39"/>
  <c r="L23" i="39"/>
  <c r="M23" i="39"/>
  <c r="J23" i="39"/>
  <c r="J21" i="39"/>
  <c r="L15" i="39"/>
  <c r="J13" i="39"/>
  <c r="L48" i="39"/>
  <c r="L46" i="39"/>
  <c r="G71" i="39"/>
  <c r="J46" i="39"/>
  <c r="J25" i="39"/>
  <c r="G72" i="39"/>
  <c r="L19" i="39"/>
  <c r="J7" i="45"/>
  <c r="M7" i="45"/>
  <c r="I7" i="45"/>
  <c r="M13" i="45"/>
  <c r="I13" i="45"/>
  <c r="L13" i="45"/>
  <c r="M17" i="45"/>
  <c r="I17" i="45"/>
  <c r="L17" i="45"/>
  <c r="M25" i="45"/>
  <c r="I25" i="45"/>
  <c r="L25" i="45"/>
  <c r="M6" i="45"/>
  <c r="I6" i="45"/>
  <c r="F56" i="45"/>
  <c r="E65" i="45" s="1"/>
  <c r="L6" i="45"/>
  <c r="P56" i="45"/>
  <c r="K7" i="45"/>
  <c r="M10" i="45"/>
  <c r="I10" i="45"/>
  <c r="L10" i="45"/>
  <c r="J13" i="45"/>
  <c r="J14" i="45"/>
  <c r="M14" i="45"/>
  <c r="I14" i="45"/>
  <c r="J17" i="45"/>
  <c r="J18" i="45"/>
  <c r="M18" i="45"/>
  <c r="I18" i="45"/>
  <c r="J21" i="45"/>
  <c r="J22" i="45"/>
  <c r="M22" i="45"/>
  <c r="I22" i="45"/>
  <c r="J25" i="45"/>
  <c r="J26" i="45"/>
  <c r="M26" i="45"/>
  <c r="I26" i="45"/>
  <c r="K36" i="45"/>
  <c r="G56" i="45"/>
  <c r="L7" i="45"/>
  <c r="K13" i="45"/>
  <c r="K17" i="45"/>
  <c r="K25" i="45"/>
  <c r="J29" i="45"/>
  <c r="M29" i="45"/>
  <c r="I29" i="45"/>
  <c r="J33" i="45"/>
  <c r="M33" i="45"/>
  <c r="I33" i="45"/>
  <c r="J39" i="45"/>
  <c r="M39" i="45"/>
  <c r="I39" i="45"/>
  <c r="J43" i="45"/>
  <c r="M43" i="45"/>
  <c r="I43" i="45"/>
  <c r="J47" i="45"/>
  <c r="M47" i="45"/>
  <c r="I47" i="45"/>
  <c r="J51" i="45"/>
  <c r="M51" i="45"/>
  <c r="I51" i="45"/>
  <c r="M21" i="45"/>
  <c r="I21" i="45"/>
  <c r="L21" i="45"/>
  <c r="J36" i="45"/>
  <c r="M36" i="45"/>
  <c r="I36" i="45"/>
  <c r="K6" i="45"/>
  <c r="K10" i="45"/>
  <c r="L14" i="45"/>
  <c r="L18" i="45"/>
  <c r="L22" i="45"/>
  <c r="L26" i="45"/>
  <c r="M32" i="45"/>
  <c r="I32" i="45"/>
  <c r="L32" i="45"/>
  <c r="M38" i="45"/>
  <c r="I38" i="45"/>
  <c r="L38" i="45"/>
  <c r="M42" i="45"/>
  <c r="I42" i="45"/>
  <c r="L42" i="45"/>
  <c r="M46" i="45"/>
  <c r="I46" i="45"/>
  <c r="L46" i="45"/>
  <c r="M50" i="45"/>
  <c r="I50" i="45"/>
  <c r="L50" i="45"/>
  <c r="K51" i="45"/>
  <c r="K9" i="45"/>
  <c r="K12" i="45"/>
  <c r="K16" i="45"/>
  <c r="K20" i="45"/>
  <c r="K24" i="45"/>
  <c r="K31" i="45"/>
  <c r="K41" i="45"/>
  <c r="K45" i="45"/>
  <c r="K49" i="45"/>
  <c r="J14" i="44"/>
  <c r="M14" i="44"/>
  <c r="I14" i="44"/>
  <c r="J22" i="44"/>
  <c r="M22" i="44"/>
  <c r="I22" i="44"/>
  <c r="J29" i="44"/>
  <c r="M29" i="44"/>
  <c r="I29" i="44"/>
  <c r="J33" i="44"/>
  <c r="M33" i="44"/>
  <c r="I33" i="44"/>
  <c r="J43" i="44"/>
  <c r="M43" i="44"/>
  <c r="I43" i="44"/>
  <c r="J7" i="44"/>
  <c r="M7" i="44"/>
  <c r="I7" i="44"/>
  <c r="M13" i="44"/>
  <c r="I13" i="44"/>
  <c r="L13" i="44"/>
  <c r="K14" i="44"/>
  <c r="M17" i="44"/>
  <c r="I17" i="44"/>
  <c r="L17" i="44"/>
  <c r="M21" i="44"/>
  <c r="I21" i="44"/>
  <c r="L21" i="44"/>
  <c r="K22" i="44"/>
  <c r="M25" i="44"/>
  <c r="I25" i="44"/>
  <c r="L25" i="44"/>
  <c r="J36" i="44"/>
  <c r="M36" i="44"/>
  <c r="I36" i="44"/>
  <c r="M6" i="44"/>
  <c r="I6" i="44"/>
  <c r="F56" i="44"/>
  <c r="E65" i="44" s="1"/>
  <c r="L6" i="44"/>
  <c r="M10" i="44"/>
  <c r="I10" i="44"/>
  <c r="L10" i="44"/>
  <c r="J18" i="44"/>
  <c r="M18" i="44"/>
  <c r="I18" i="44"/>
  <c r="J26" i="44"/>
  <c r="M26" i="44"/>
  <c r="I26" i="44"/>
  <c r="J39" i="44"/>
  <c r="M39" i="44"/>
  <c r="I39" i="44"/>
  <c r="J47" i="44"/>
  <c r="M47" i="44"/>
  <c r="I47" i="44"/>
  <c r="J51" i="44"/>
  <c r="M51" i="44"/>
  <c r="I51" i="44"/>
  <c r="K6" i="44"/>
  <c r="K10" i="44"/>
  <c r="L14" i="44"/>
  <c r="L18" i="44"/>
  <c r="L22" i="44"/>
  <c r="L26" i="44"/>
  <c r="K29" i="44"/>
  <c r="M32" i="44"/>
  <c r="I32" i="44"/>
  <c r="L32" i="44"/>
  <c r="K33" i="44"/>
  <c r="M38" i="44"/>
  <c r="I38" i="44"/>
  <c r="L38" i="44"/>
  <c r="K39" i="44"/>
  <c r="M42" i="44"/>
  <c r="I42" i="44"/>
  <c r="L42" i="44"/>
  <c r="K43" i="44"/>
  <c r="M46" i="44"/>
  <c r="I46" i="44"/>
  <c r="L46" i="44"/>
  <c r="K47" i="44"/>
  <c r="M50" i="44"/>
  <c r="I50" i="44"/>
  <c r="L50" i="44"/>
  <c r="K51" i="44"/>
  <c r="K9" i="44"/>
  <c r="K12" i="44"/>
  <c r="K16" i="44"/>
  <c r="K20" i="44"/>
  <c r="K24" i="44"/>
  <c r="K31" i="44"/>
  <c r="K41" i="44"/>
  <c r="K45" i="44"/>
  <c r="K49" i="44"/>
  <c r="J52" i="44"/>
  <c r="M6" i="43"/>
  <c r="I6" i="43"/>
  <c r="F56" i="43"/>
  <c r="E65" i="43" s="1"/>
  <c r="L6" i="43"/>
  <c r="M10" i="43"/>
  <c r="I10" i="43"/>
  <c r="L10" i="43"/>
  <c r="J18" i="43"/>
  <c r="M18" i="43"/>
  <c r="I18" i="43"/>
  <c r="J26" i="43"/>
  <c r="M26" i="43"/>
  <c r="I26" i="43"/>
  <c r="J29" i="43"/>
  <c r="M29" i="43"/>
  <c r="I29" i="43"/>
  <c r="J33" i="43"/>
  <c r="M33" i="43"/>
  <c r="I33" i="43"/>
  <c r="J43" i="43"/>
  <c r="M43" i="43"/>
  <c r="I43" i="43"/>
  <c r="J47" i="43"/>
  <c r="M47" i="43"/>
  <c r="I47" i="43"/>
  <c r="J51" i="43"/>
  <c r="M51" i="43"/>
  <c r="I51" i="43"/>
  <c r="L51" i="43"/>
  <c r="J6" i="43"/>
  <c r="J7" i="43"/>
  <c r="M7" i="43"/>
  <c r="I7" i="43"/>
  <c r="J10" i="43"/>
  <c r="M13" i="43"/>
  <c r="I13" i="43"/>
  <c r="L13" i="43"/>
  <c r="M17" i="43"/>
  <c r="I17" i="43"/>
  <c r="L17" i="43"/>
  <c r="K18" i="43"/>
  <c r="M21" i="43"/>
  <c r="I21" i="43"/>
  <c r="L21" i="43"/>
  <c r="M25" i="43"/>
  <c r="I25" i="43"/>
  <c r="L25" i="43"/>
  <c r="K26" i="43"/>
  <c r="J36" i="43"/>
  <c r="M36" i="43"/>
  <c r="I36" i="43"/>
  <c r="J14" i="43"/>
  <c r="M14" i="43"/>
  <c r="I14" i="43"/>
  <c r="J22" i="43"/>
  <c r="M22" i="43"/>
  <c r="I22" i="43"/>
  <c r="G56" i="43"/>
  <c r="J39" i="43"/>
  <c r="M39" i="43"/>
  <c r="I39" i="43"/>
  <c r="K6" i="43"/>
  <c r="K10" i="43"/>
  <c r="L14" i="43"/>
  <c r="L18" i="43"/>
  <c r="L22" i="43"/>
  <c r="L26" i="43"/>
  <c r="K29" i="43"/>
  <c r="M32" i="43"/>
  <c r="I32" i="43"/>
  <c r="L32" i="43"/>
  <c r="K33" i="43"/>
  <c r="M38" i="43"/>
  <c r="I38" i="43"/>
  <c r="L38" i="43"/>
  <c r="K39" i="43"/>
  <c r="M42" i="43"/>
  <c r="I42" i="43"/>
  <c r="L42" i="43"/>
  <c r="K43" i="43"/>
  <c r="M46" i="43"/>
  <c r="I46" i="43"/>
  <c r="L46" i="43"/>
  <c r="K47" i="43"/>
  <c r="M50" i="43"/>
  <c r="I50" i="43"/>
  <c r="L50" i="43"/>
  <c r="K51" i="43"/>
  <c r="K9" i="43"/>
  <c r="K12" i="43"/>
  <c r="K16" i="43"/>
  <c r="K20" i="43"/>
  <c r="K24" i="43"/>
  <c r="K31" i="43"/>
  <c r="K41" i="43"/>
  <c r="K45" i="43"/>
  <c r="K49" i="43"/>
  <c r="F56" i="42"/>
  <c r="E65" i="42" s="1"/>
  <c r="P56" i="42"/>
  <c r="G56" i="42"/>
  <c r="J18" i="41"/>
  <c r="L18" i="41"/>
  <c r="I18" i="41" s="1"/>
  <c r="J7" i="41"/>
  <c r="L7" i="41"/>
  <c r="M7" i="41"/>
  <c r="I36" i="41"/>
  <c r="L41" i="41"/>
  <c r="J41" i="41"/>
  <c r="M41" i="41"/>
  <c r="L45" i="41"/>
  <c r="J45" i="41"/>
  <c r="M45" i="41"/>
  <c r="L49" i="41"/>
  <c r="J49" i="41"/>
  <c r="M49" i="41"/>
  <c r="P56" i="41"/>
  <c r="L12" i="41"/>
  <c r="J12" i="41"/>
  <c r="M12" i="41"/>
  <c r="L16" i="41"/>
  <c r="J16" i="41"/>
  <c r="M16" i="41"/>
  <c r="K18" i="41"/>
  <c r="L20" i="41"/>
  <c r="M20" i="41"/>
  <c r="L24" i="41"/>
  <c r="J24" i="41"/>
  <c r="M24" i="41"/>
  <c r="L31" i="41"/>
  <c r="J31" i="41"/>
  <c r="M31" i="41"/>
  <c r="J39" i="41"/>
  <c r="L39" i="41"/>
  <c r="M39" i="41"/>
  <c r="L43" i="41"/>
  <c r="M43" i="41"/>
  <c r="J47" i="41"/>
  <c r="E47" i="47" s="1"/>
  <c r="L47" i="41"/>
  <c r="M47" i="41"/>
  <c r="F56" i="41"/>
  <c r="E65" i="41" s="1"/>
  <c r="J14" i="41"/>
  <c r="L14" i="41"/>
  <c r="M14" i="41"/>
  <c r="M18" i="41"/>
  <c r="J22" i="41"/>
  <c r="L22" i="41"/>
  <c r="M22" i="41"/>
  <c r="J26" i="41"/>
  <c r="L26" i="41"/>
  <c r="M26" i="41"/>
  <c r="J29" i="41"/>
  <c r="L29" i="41"/>
  <c r="M29" i="41"/>
  <c r="L33" i="41"/>
  <c r="M33" i="41"/>
  <c r="J36" i="41"/>
  <c r="L36" i="41"/>
  <c r="M36" i="41"/>
  <c r="K7" i="41"/>
  <c r="L9" i="41"/>
  <c r="M9" i="41"/>
  <c r="I9" i="41" s="1"/>
  <c r="K41" i="41"/>
  <c r="K45" i="41"/>
  <c r="K49" i="41"/>
  <c r="K51" i="41"/>
  <c r="M8" i="41"/>
  <c r="M15" i="41"/>
  <c r="M19" i="41"/>
  <c r="M23" i="41"/>
  <c r="I23" i="41" s="1"/>
  <c r="M27" i="41"/>
  <c r="M30" i="41"/>
  <c r="M34" i="41"/>
  <c r="M40" i="41"/>
  <c r="I40" i="41" s="1"/>
  <c r="M44" i="41"/>
  <c r="M48" i="41"/>
  <c r="L51" i="41"/>
  <c r="M52" i="41"/>
  <c r="M7" i="40"/>
  <c r="L7" i="40"/>
  <c r="L8" i="40"/>
  <c r="K10" i="40"/>
  <c r="M18" i="40"/>
  <c r="L18" i="40"/>
  <c r="L19" i="40"/>
  <c r="K21" i="40"/>
  <c r="K38" i="40"/>
  <c r="M51" i="40"/>
  <c r="L51" i="40"/>
  <c r="J52" i="40"/>
  <c r="M52" i="40"/>
  <c r="L52" i="40"/>
  <c r="M8" i="40"/>
  <c r="M10" i="40"/>
  <c r="M19" i="40"/>
  <c r="M21" i="40"/>
  <c r="M22" i="40"/>
  <c r="L22" i="40"/>
  <c r="L23" i="40"/>
  <c r="K25" i="40"/>
  <c r="M29" i="40"/>
  <c r="L29" i="40"/>
  <c r="L30" i="40"/>
  <c r="K32" i="40"/>
  <c r="M36" i="40"/>
  <c r="I36" i="40"/>
  <c r="L36" i="40"/>
  <c r="M38" i="40"/>
  <c r="M39" i="40"/>
  <c r="L39" i="40"/>
  <c r="L40" i="40"/>
  <c r="I40" i="40" s="1"/>
  <c r="K42" i="40"/>
  <c r="I42" i="40" s="1"/>
  <c r="J7" i="40"/>
  <c r="K13" i="40"/>
  <c r="J18" i="40"/>
  <c r="I18" i="40" s="1"/>
  <c r="I19" i="40"/>
  <c r="M23" i="40"/>
  <c r="M25" i="40"/>
  <c r="M26" i="40"/>
  <c r="L26" i="40"/>
  <c r="I26" i="40" s="1"/>
  <c r="L27" i="40"/>
  <c r="M30" i="40"/>
  <c r="M32" i="40"/>
  <c r="M33" i="40"/>
  <c r="L33" i="40"/>
  <c r="L34" i="40"/>
  <c r="I34" i="40" s="1"/>
  <c r="M40" i="40"/>
  <c r="M42" i="40"/>
  <c r="M43" i="40"/>
  <c r="L43" i="40"/>
  <c r="I43" i="40" s="1"/>
  <c r="L44" i="40"/>
  <c r="K46" i="40"/>
  <c r="J51" i="40"/>
  <c r="E51" i="47" s="1"/>
  <c r="F56" i="40"/>
  <c r="E65" i="40" s="1"/>
  <c r="L6" i="40"/>
  <c r="K6" i="40"/>
  <c r="K7" i="40"/>
  <c r="K8" i="40"/>
  <c r="I10" i="40"/>
  <c r="M13" i="40"/>
  <c r="M14" i="40"/>
  <c r="L14" i="40"/>
  <c r="I14" i="40" s="1"/>
  <c r="L15" i="40"/>
  <c r="I15" i="40" s="1"/>
  <c r="K17" i="40"/>
  <c r="K18" i="40"/>
  <c r="K19" i="40"/>
  <c r="J21" i="40"/>
  <c r="I22" i="40"/>
  <c r="I25" i="40"/>
  <c r="M27" i="40"/>
  <c r="J29" i="40"/>
  <c r="I29" i="40" s="1"/>
  <c r="M34" i="40"/>
  <c r="J36" i="40"/>
  <c r="J38" i="40"/>
  <c r="I38" i="40" s="1"/>
  <c r="J39" i="40"/>
  <c r="I39" i="40" s="1"/>
  <c r="M44" i="40"/>
  <c r="M46" i="40"/>
  <c r="M47" i="40"/>
  <c r="L47" i="40"/>
  <c r="L48" i="40"/>
  <c r="I48" i="40" s="1"/>
  <c r="K50" i="40"/>
  <c r="K51" i="40"/>
  <c r="K52" i="40"/>
  <c r="J52" i="39"/>
  <c r="M50" i="39"/>
  <c r="J48" i="39"/>
  <c r="M46" i="39"/>
  <c r="M42" i="39"/>
  <c r="M38" i="39"/>
  <c r="M27" i="39"/>
  <c r="J27" i="39"/>
  <c r="M19" i="39"/>
  <c r="M9" i="39"/>
  <c r="L12" i="39"/>
  <c r="J12" i="39"/>
  <c r="M16" i="39"/>
  <c r="M31" i="39"/>
  <c r="L45" i="39"/>
  <c r="J45" i="39"/>
  <c r="E45" i="47" s="1"/>
  <c r="M45" i="39"/>
  <c r="J7" i="39"/>
  <c r="L7" i="39"/>
  <c r="J36" i="39"/>
  <c r="L36" i="39"/>
  <c r="M36" i="39"/>
  <c r="L41" i="39"/>
  <c r="J41" i="39"/>
  <c r="M41" i="39"/>
  <c r="P56" i="39"/>
  <c r="J22" i="39"/>
  <c r="L22" i="39"/>
  <c r="M22" i="39"/>
  <c r="J26" i="39"/>
  <c r="E26" i="47" s="1"/>
  <c r="L26" i="39"/>
  <c r="M26" i="39"/>
  <c r="K45" i="39"/>
  <c r="F56" i="39"/>
  <c r="E65" i="39" s="1"/>
  <c r="L9" i="39"/>
  <c r="J9" i="39"/>
  <c r="M12" i="39"/>
  <c r="L16" i="39"/>
  <c r="J16" i="39"/>
  <c r="L31" i="39"/>
  <c r="J31" i="39"/>
  <c r="M7" i="39"/>
  <c r="G56" i="39"/>
  <c r="K9" i="39"/>
  <c r="K12" i="39"/>
  <c r="J14" i="39"/>
  <c r="L14" i="39"/>
  <c r="M14" i="39"/>
  <c r="K16" i="39"/>
  <c r="J18" i="39"/>
  <c r="L18" i="39"/>
  <c r="M18" i="39"/>
  <c r="L20" i="39"/>
  <c r="J20" i="39"/>
  <c r="M20" i="39"/>
  <c r="L24" i="39"/>
  <c r="J24" i="39"/>
  <c r="M24" i="39"/>
  <c r="J29" i="39"/>
  <c r="L29" i="39"/>
  <c r="M29" i="39"/>
  <c r="K31" i="39"/>
  <c r="L33" i="39"/>
  <c r="M33" i="39"/>
  <c r="I36" i="39"/>
  <c r="J39" i="39"/>
  <c r="L39" i="39"/>
  <c r="M39" i="39"/>
  <c r="K41" i="39"/>
  <c r="L49" i="39"/>
  <c r="J49" i="39"/>
  <c r="M49" i="39"/>
  <c r="K43" i="39"/>
  <c r="K47" i="39"/>
  <c r="K51" i="39"/>
  <c r="K6" i="39"/>
  <c r="M8" i="39"/>
  <c r="K10" i="39"/>
  <c r="K13" i="39"/>
  <c r="K17" i="39"/>
  <c r="K21" i="39"/>
  <c r="K25" i="39"/>
  <c r="K32" i="39"/>
  <c r="M40" i="39"/>
  <c r="L43" i="39"/>
  <c r="M44" i="39"/>
  <c r="L47" i="39"/>
  <c r="M48" i="39"/>
  <c r="L51" i="39"/>
  <c r="M52" i="39"/>
  <c r="I6" i="39"/>
  <c r="I17" i="39"/>
  <c r="L20" i="27"/>
  <c r="K20" i="27"/>
  <c r="D11" i="45" l="1"/>
  <c r="D11" i="49"/>
  <c r="E44" i="47"/>
  <c r="E40" i="47"/>
  <c r="E34" i="47"/>
  <c r="E17" i="47"/>
  <c r="E32" i="47"/>
  <c r="E8" i="47"/>
  <c r="K56" i="42"/>
  <c r="E60" i="42" s="1"/>
  <c r="I22" i="41"/>
  <c r="I14" i="41"/>
  <c r="I8" i="41"/>
  <c r="I15" i="41"/>
  <c r="E19" i="47"/>
  <c r="E23" i="47"/>
  <c r="I34" i="41"/>
  <c r="I20" i="41"/>
  <c r="I41" i="41"/>
  <c r="E41" i="47"/>
  <c r="I27" i="41"/>
  <c r="I12" i="41"/>
  <c r="I21" i="41"/>
  <c r="I48" i="41"/>
  <c r="I19" i="41"/>
  <c r="I32" i="41"/>
  <c r="E36" i="47"/>
  <c r="I7" i="41"/>
  <c r="E50" i="47"/>
  <c r="I42" i="41"/>
  <c r="E27" i="47"/>
  <c r="I29" i="41"/>
  <c r="D11" i="46"/>
  <c r="I52" i="41"/>
  <c r="I44" i="41"/>
  <c r="I51" i="41"/>
  <c r="I24" i="41"/>
  <c r="I45" i="41"/>
  <c r="I10" i="41"/>
  <c r="I25" i="41"/>
  <c r="E52" i="47"/>
  <c r="I47" i="41"/>
  <c r="I26" i="41"/>
  <c r="I39" i="41"/>
  <c r="I16" i="41"/>
  <c r="E46" i="47"/>
  <c r="E6" i="47"/>
  <c r="I13" i="41"/>
  <c r="I49" i="41"/>
  <c r="E48" i="47"/>
  <c r="E39" i="47"/>
  <c r="I30" i="41"/>
  <c r="E25" i="47"/>
  <c r="E16" i="47"/>
  <c r="I31" i="41"/>
  <c r="E31" i="47"/>
  <c r="I43" i="41"/>
  <c r="I38" i="41"/>
  <c r="I33" i="41"/>
  <c r="E33" i="47"/>
  <c r="I46" i="41"/>
  <c r="E20" i="47"/>
  <c r="L56" i="41"/>
  <c r="E63" i="41" s="1"/>
  <c r="E14" i="47"/>
  <c r="I13" i="40"/>
  <c r="E12" i="47"/>
  <c r="I8" i="40"/>
  <c r="I30" i="40"/>
  <c r="I12" i="40"/>
  <c r="I9" i="40"/>
  <c r="I32" i="40"/>
  <c r="E49" i="47"/>
  <c r="I47" i="40"/>
  <c r="I23" i="40"/>
  <c r="I33" i="40"/>
  <c r="I27" i="40"/>
  <c r="I7" i="40"/>
  <c r="I52" i="40"/>
  <c r="E42" i="47"/>
  <c r="E9" i="47"/>
  <c r="I21" i="40"/>
  <c r="E21" i="47"/>
  <c r="E7" i="47"/>
  <c r="E13" i="47"/>
  <c r="E38" i="47"/>
  <c r="I51" i="40"/>
  <c r="I44" i="40"/>
  <c r="E29" i="47"/>
  <c r="I20" i="40"/>
  <c r="E10" i="47"/>
  <c r="E22" i="47"/>
  <c r="E24" i="47"/>
  <c r="I49" i="40"/>
  <c r="M56" i="40"/>
  <c r="E64" i="40" s="1"/>
  <c r="I46" i="40"/>
  <c r="E18" i="47"/>
  <c r="I50" i="40"/>
  <c r="I30" i="39"/>
  <c r="I38" i="39"/>
  <c r="I52" i="39"/>
  <c r="I44" i="39"/>
  <c r="I10" i="39"/>
  <c r="I15" i="39"/>
  <c r="I32" i="39"/>
  <c r="I24" i="39"/>
  <c r="I31" i="39"/>
  <c r="I42" i="39"/>
  <c r="I21" i="39"/>
  <c r="I13" i="39"/>
  <c r="I46" i="39"/>
  <c r="I40" i="39"/>
  <c r="I19" i="39"/>
  <c r="I50" i="39"/>
  <c r="I49" i="39"/>
  <c r="I25" i="39"/>
  <c r="I8" i="39"/>
  <c r="I43" i="39"/>
  <c r="I33" i="39"/>
  <c r="I48" i="39"/>
  <c r="I23" i="39"/>
  <c r="I14" i="39"/>
  <c r="I7" i="39"/>
  <c r="I47" i="39"/>
  <c r="I39" i="39"/>
  <c r="I34" i="39"/>
  <c r="I27" i="39"/>
  <c r="I9" i="39"/>
  <c r="I12" i="39"/>
  <c r="I51" i="39"/>
  <c r="I26" i="39"/>
  <c r="I45" i="39"/>
  <c r="I56" i="45"/>
  <c r="K56" i="45"/>
  <c r="E60" i="45" s="1"/>
  <c r="M56" i="45"/>
  <c r="E64" i="45" s="1"/>
  <c r="L56" i="45"/>
  <c r="E63" i="45" s="1"/>
  <c r="J56" i="45"/>
  <c r="E61" i="45" s="1"/>
  <c r="K56" i="44"/>
  <c r="E60" i="44" s="1"/>
  <c r="M56" i="44"/>
  <c r="E64" i="44" s="1"/>
  <c r="I56" i="44"/>
  <c r="L56" i="44"/>
  <c r="E63" i="44" s="1"/>
  <c r="J56" i="44"/>
  <c r="E61" i="44" s="1"/>
  <c r="M56" i="43"/>
  <c r="E64" i="43" s="1"/>
  <c r="J56" i="43"/>
  <c r="E61" i="43" s="1"/>
  <c r="L56" i="43"/>
  <c r="E63" i="43" s="1"/>
  <c r="K56" i="43"/>
  <c r="E60" i="43" s="1"/>
  <c r="I56" i="43"/>
  <c r="L56" i="42"/>
  <c r="E63" i="42" s="1"/>
  <c r="M56" i="42"/>
  <c r="E64" i="42" s="1"/>
  <c r="J56" i="42"/>
  <c r="E61" i="42" s="1"/>
  <c r="I56" i="42"/>
  <c r="J56" i="41"/>
  <c r="E61" i="41" s="1"/>
  <c r="M56" i="41"/>
  <c r="E64" i="41" s="1"/>
  <c r="K56" i="41"/>
  <c r="E60" i="41" s="1"/>
  <c r="K56" i="40"/>
  <c r="E60" i="40" s="1"/>
  <c r="J56" i="40"/>
  <c r="E61" i="40" s="1"/>
  <c r="L56" i="40"/>
  <c r="E63" i="40" s="1"/>
  <c r="L56" i="39"/>
  <c r="E63" i="39" s="1"/>
  <c r="M56" i="39"/>
  <c r="E64" i="39" s="1"/>
  <c r="K56" i="39"/>
  <c r="E60" i="39" s="1"/>
  <c r="I29" i="39"/>
  <c r="I22" i="39"/>
  <c r="I41" i="39"/>
  <c r="J56" i="39"/>
  <c r="E61" i="39" s="1"/>
  <c r="I20" i="39"/>
  <c r="I18" i="39"/>
  <c r="I16" i="39"/>
  <c r="I20" i="27"/>
  <c r="E68" i="42" l="1"/>
  <c r="F71" i="41"/>
  <c r="F72" i="41"/>
  <c r="I56" i="41"/>
  <c r="F72" i="40"/>
  <c r="L72" i="40" s="1"/>
  <c r="F73" i="40"/>
  <c r="L73" i="40" s="1"/>
  <c r="L56" i="46"/>
  <c r="E63" i="46" s="1"/>
  <c r="E55" i="47"/>
  <c r="K56" i="46"/>
  <c r="E60" i="46" s="1"/>
  <c r="J56" i="46"/>
  <c r="E61" i="46" s="1"/>
  <c r="E64" i="46"/>
  <c r="E69" i="40"/>
  <c r="I56" i="40"/>
  <c r="F71" i="39"/>
  <c r="F72" i="39"/>
  <c r="E68" i="45"/>
  <c r="E68" i="44"/>
  <c r="E68" i="43"/>
  <c r="E68" i="41"/>
  <c r="E68" i="39"/>
  <c r="I56" i="39"/>
  <c r="E68" i="46" l="1"/>
  <c r="F16" i="28"/>
  <c r="J16" i="28" s="1"/>
  <c r="F17" i="28"/>
  <c r="J17" i="28" s="1"/>
  <c r="J11" i="28"/>
  <c r="J28" i="28"/>
  <c r="J35" i="28"/>
  <c r="J37" i="28"/>
  <c r="M37" i="28"/>
  <c r="L37" i="28"/>
  <c r="K37" i="28"/>
  <c r="M35" i="28"/>
  <c r="L35" i="28"/>
  <c r="K35" i="28"/>
  <c r="M28" i="28"/>
  <c r="L28" i="28"/>
  <c r="K28" i="28"/>
  <c r="M11" i="28"/>
  <c r="L11" i="28"/>
  <c r="K11" i="28"/>
  <c r="K16" i="28" l="1"/>
  <c r="M16" i="28"/>
  <c r="L16" i="28"/>
  <c r="J37" i="27"/>
  <c r="J35" i="27"/>
  <c r="K35" i="27"/>
  <c r="L35" i="27"/>
  <c r="M35" i="27"/>
  <c r="K37" i="27"/>
  <c r="L37" i="27"/>
  <c r="M37" i="27"/>
  <c r="J11" i="27"/>
  <c r="K11" i="27"/>
  <c r="L11" i="27"/>
  <c r="M11" i="27"/>
  <c r="J16" i="27"/>
  <c r="K16" i="27"/>
  <c r="L16" i="27"/>
  <c r="M16" i="27"/>
  <c r="I16" i="27" l="1"/>
  <c r="E65" i="26" l="1"/>
  <c r="E66" i="23"/>
  <c r="E66" i="26" l="1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" i="16"/>
  <c r="M16" i="26"/>
  <c r="L16" i="26"/>
  <c r="K16" i="26"/>
  <c r="J16" i="26"/>
  <c r="C19" i="47" l="1"/>
  <c r="C19" i="20"/>
  <c r="C18" i="47"/>
  <c r="C55" i="47" s="1"/>
  <c r="C18" i="20"/>
  <c r="O54" i="16"/>
  <c r="P52" i="28" l="1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I16" i="28"/>
  <c r="O56" i="28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7" i="27"/>
  <c r="P26" i="27"/>
  <c r="P25" i="27"/>
  <c r="P24" i="27"/>
  <c r="P23" i="27"/>
  <c r="P22" i="27"/>
  <c r="P21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T56" i="28"/>
  <c r="S56" i="28"/>
  <c r="R56" i="28"/>
  <c r="N56" i="28"/>
  <c r="E56" i="28"/>
  <c r="G52" i="28"/>
  <c r="F52" i="28"/>
  <c r="J52" i="28" s="1"/>
  <c r="B52" i="28"/>
  <c r="G51" i="28"/>
  <c r="F51" i="28"/>
  <c r="J51" i="28" s="1"/>
  <c r="B51" i="28"/>
  <c r="G50" i="28"/>
  <c r="F50" i="28"/>
  <c r="J50" i="28" s="1"/>
  <c r="B50" i="28"/>
  <c r="G49" i="28"/>
  <c r="F49" i="28"/>
  <c r="J49" i="28" s="1"/>
  <c r="B49" i="28"/>
  <c r="G48" i="28"/>
  <c r="F48" i="28"/>
  <c r="J48" i="28" s="1"/>
  <c r="B48" i="28"/>
  <c r="G47" i="28"/>
  <c r="F47" i="28"/>
  <c r="J47" i="28" s="1"/>
  <c r="B47" i="28"/>
  <c r="G46" i="28"/>
  <c r="F46" i="28"/>
  <c r="J46" i="28" s="1"/>
  <c r="B46" i="28"/>
  <c r="G45" i="28"/>
  <c r="F45" i="28"/>
  <c r="J45" i="28" s="1"/>
  <c r="B45" i="28"/>
  <c r="G44" i="28"/>
  <c r="F44" i="28"/>
  <c r="J44" i="28" s="1"/>
  <c r="B44" i="28"/>
  <c r="G43" i="28"/>
  <c r="F43" i="28"/>
  <c r="J43" i="28" s="1"/>
  <c r="B43" i="28"/>
  <c r="G42" i="28"/>
  <c r="F42" i="28"/>
  <c r="J42" i="28" s="1"/>
  <c r="B42" i="28"/>
  <c r="G41" i="28"/>
  <c r="F41" i="28"/>
  <c r="J41" i="28" s="1"/>
  <c r="B41" i="28"/>
  <c r="G40" i="28"/>
  <c r="F40" i="28"/>
  <c r="J40" i="28" s="1"/>
  <c r="B40" i="28"/>
  <c r="G39" i="28"/>
  <c r="F39" i="28"/>
  <c r="J39" i="28" s="1"/>
  <c r="B39" i="28"/>
  <c r="G38" i="28"/>
  <c r="F38" i="28"/>
  <c r="J38" i="28" s="1"/>
  <c r="B38" i="28"/>
  <c r="G36" i="28"/>
  <c r="F36" i="28"/>
  <c r="J36" i="28" s="1"/>
  <c r="B36" i="28"/>
  <c r="G34" i="28"/>
  <c r="F34" i="28"/>
  <c r="B34" i="28"/>
  <c r="G33" i="28"/>
  <c r="F33" i="28"/>
  <c r="J33" i="28" s="1"/>
  <c r="B33" i="28"/>
  <c r="G32" i="28"/>
  <c r="F32" i="28"/>
  <c r="J32" i="28" s="1"/>
  <c r="B32" i="28"/>
  <c r="G31" i="28"/>
  <c r="F31" i="28"/>
  <c r="J31" i="28" s="1"/>
  <c r="B31" i="28"/>
  <c r="G30" i="28"/>
  <c r="F30" i="28"/>
  <c r="J30" i="28" s="1"/>
  <c r="B30" i="28"/>
  <c r="G29" i="28"/>
  <c r="F29" i="28"/>
  <c r="J29" i="28" s="1"/>
  <c r="B29" i="28"/>
  <c r="G27" i="28"/>
  <c r="F27" i="28"/>
  <c r="J27" i="28" s="1"/>
  <c r="B27" i="28"/>
  <c r="G26" i="28"/>
  <c r="F26" i="28"/>
  <c r="J26" i="28" s="1"/>
  <c r="B26" i="28"/>
  <c r="G25" i="28"/>
  <c r="F25" i="28"/>
  <c r="J25" i="28" s="1"/>
  <c r="B25" i="28"/>
  <c r="G24" i="28"/>
  <c r="F24" i="28"/>
  <c r="J24" i="28" s="1"/>
  <c r="B24" i="28"/>
  <c r="G23" i="28"/>
  <c r="F23" i="28"/>
  <c r="J23" i="28" s="1"/>
  <c r="B23" i="28"/>
  <c r="G22" i="28"/>
  <c r="F22" i="28"/>
  <c r="J22" i="28" s="1"/>
  <c r="B22" i="28"/>
  <c r="G21" i="28"/>
  <c r="F21" i="28"/>
  <c r="J21" i="28" s="1"/>
  <c r="B21" i="28"/>
  <c r="G20" i="28"/>
  <c r="F20" i="28"/>
  <c r="J20" i="28" s="1"/>
  <c r="B20" i="28"/>
  <c r="G19" i="28"/>
  <c r="F19" i="28"/>
  <c r="J19" i="28" s="1"/>
  <c r="B19" i="28"/>
  <c r="G18" i="28"/>
  <c r="F18" i="28"/>
  <c r="J18" i="28" s="1"/>
  <c r="B18" i="28"/>
  <c r="G17" i="28"/>
  <c r="B17" i="28"/>
  <c r="G16" i="28"/>
  <c r="B16" i="28"/>
  <c r="G15" i="28"/>
  <c r="F15" i="28"/>
  <c r="J15" i="28" s="1"/>
  <c r="B15" i="28"/>
  <c r="G14" i="28"/>
  <c r="F14" i="28"/>
  <c r="J14" i="28" s="1"/>
  <c r="B14" i="28"/>
  <c r="G13" i="28"/>
  <c r="F13" i="28"/>
  <c r="J13" i="28" s="1"/>
  <c r="B13" i="28"/>
  <c r="G12" i="28"/>
  <c r="F12" i="28"/>
  <c r="B12" i="28"/>
  <c r="G10" i="28"/>
  <c r="F10" i="28"/>
  <c r="B10" i="28"/>
  <c r="G9" i="28"/>
  <c r="F9" i="28"/>
  <c r="B9" i="28"/>
  <c r="G8" i="28"/>
  <c r="F8" i="28"/>
  <c r="B8" i="28"/>
  <c r="G7" i="28"/>
  <c r="F7" i="28"/>
  <c r="B7" i="28"/>
  <c r="G6" i="28"/>
  <c r="F6" i="28"/>
  <c r="B6" i="28"/>
  <c r="B5" i="28"/>
  <c r="T56" i="27"/>
  <c r="S56" i="27"/>
  <c r="R56" i="27"/>
  <c r="O56" i="27"/>
  <c r="N56" i="27"/>
  <c r="E56" i="27"/>
  <c r="G52" i="27"/>
  <c r="F52" i="27"/>
  <c r="B52" i="27"/>
  <c r="G51" i="27"/>
  <c r="F51" i="27"/>
  <c r="B51" i="27"/>
  <c r="G50" i="27"/>
  <c r="F50" i="27"/>
  <c r="B50" i="27"/>
  <c r="G49" i="27"/>
  <c r="F49" i="27"/>
  <c r="B49" i="27"/>
  <c r="G48" i="27"/>
  <c r="F48" i="27"/>
  <c r="B48" i="27"/>
  <c r="G47" i="27"/>
  <c r="F47" i="27"/>
  <c r="B47" i="27"/>
  <c r="G46" i="27"/>
  <c r="F46" i="27"/>
  <c r="B46" i="27"/>
  <c r="G45" i="27"/>
  <c r="F45" i="27"/>
  <c r="B45" i="27"/>
  <c r="G44" i="27"/>
  <c r="F44" i="27"/>
  <c r="B44" i="27"/>
  <c r="G43" i="27"/>
  <c r="F43" i="27"/>
  <c r="B43" i="27"/>
  <c r="G42" i="27"/>
  <c r="F42" i="27"/>
  <c r="B42" i="27"/>
  <c r="G41" i="27"/>
  <c r="F41" i="27"/>
  <c r="B41" i="27"/>
  <c r="G40" i="27"/>
  <c r="F40" i="27"/>
  <c r="B40" i="27"/>
  <c r="G39" i="27"/>
  <c r="F39" i="27"/>
  <c r="B39" i="27"/>
  <c r="G38" i="27"/>
  <c r="F38" i="27"/>
  <c r="B38" i="27"/>
  <c r="G36" i="27"/>
  <c r="F36" i="27"/>
  <c r="B36" i="27"/>
  <c r="G34" i="27"/>
  <c r="F34" i="27"/>
  <c r="B34" i="27"/>
  <c r="G33" i="27"/>
  <c r="F33" i="27"/>
  <c r="B33" i="27"/>
  <c r="G32" i="27"/>
  <c r="F32" i="27"/>
  <c r="B32" i="27"/>
  <c r="G31" i="27"/>
  <c r="F31" i="27"/>
  <c r="B31" i="27"/>
  <c r="G30" i="27"/>
  <c r="F30" i="27"/>
  <c r="B30" i="27"/>
  <c r="G29" i="27"/>
  <c r="F29" i="27"/>
  <c r="B29" i="27"/>
  <c r="G27" i="27"/>
  <c r="F27" i="27"/>
  <c r="B27" i="27"/>
  <c r="G26" i="27"/>
  <c r="F26" i="27"/>
  <c r="B26" i="27"/>
  <c r="G25" i="27"/>
  <c r="F25" i="27"/>
  <c r="B25" i="27"/>
  <c r="G24" i="27"/>
  <c r="F24" i="27"/>
  <c r="B24" i="27"/>
  <c r="G23" i="27"/>
  <c r="F23" i="27"/>
  <c r="B23" i="27"/>
  <c r="G22" i="27"/>
  <c r="F22" i="27"/>
  <c r="B22" i="27"/>
  <c r="G21" i="27"/>
  <c r="F21" i="27"/>
  <c r="B21" i="27"/>
  <c r="G19" i="27"/>
  <c r="F19" i="27"/>
  <c r="B19" i="27"/>
  <c r="G18" i="27"/>
  <c r="F18" i="27"/>
  <c r="B18" i="27"/>
  <c r="G17" i="27"/>
  <c r="F17" i="27"/>
  <c r="B17" i="27"/>
  <c r="G16" i="27"/>
  <c r="B16" i="27"/>
  <c r="G15" i="27"/>
  <c r="F15" i="27"/>
  <c r="B15" i="27"/>
  <c r="G14" i="27"/>
  <c r="F14" i="27"/>
  <c r="B14" i="27"/>
  <c r="G13" i="27"/>
  <c r="F13" i="27"/>
  <c r="B13" i="27"/>
  <c r="G12" i="27"/>
  <c r="F12" i="27"/>
  <c r="B12" i="27"/>
  <c r="G10" i="27"/>
  <c r="F10" i="27"/>
  <c r="B10" i="27"/>
  <c r="G9" i="27"/>
  <c r="F9" i="27"/>
  <c r="B9" i="27"/>
  <c r="G8" i="27"/>
  <c r="F8" i="27"/>
  <c r="B8" i="27"/>
  <c r="G7" i="27"/>
  <c r="F7" i="27"/>
  <c r="B7" i="27"/>
  <c r="G6" i="27"/>
  <c r="F6" i="27"/>
  <c r="B6" i="27"/>
  <c r="B5" i="27"/>
  <c r="T56" i="26"/>
  <c r="S56" i="26"/>
  <c r="R56" i="26"/>
  <c r="O56" i="26"/>
  <c r="N56" i="26"/>
  <c r="E56" i="26"/>
  <c r="G52" i="26"/>
  <c r="F52" i="26"/>
  <c r="B52" i="26"/>
  <c r="G51" i="26"/>
  <c r="F51" i="26"/>
  <c r="B51" i="26"/>
  <c r="G50" i="26"/>
  <c r="F50" i="26"/>
  <c r="B50" i="26"/>
  <c r="G49" i="26"/>
  <c r="F49" i="26"/>
  <c r="B49" i="26"/>
  <c r="G48" i="26"/>
  <c r="F48" i="26"/>
  <c r="B48" i="26"/>
  <c r="G47" i="26"/>
  <c r="F47" i="26"/>
  <c r="B47" i="26"/>
  <c r="G46" i="26"/>
  <c r="F46" i="26"/>
  <c r="B46" i="26"/>
  <c r="G45" i="26"/>
  <c r="B45" i="26"/>
  <c r="G44" i="26"/>
  <c r="F44" i="26"/>
  <c r="B44" i="26"/>
  <c r="G43" i="26"/>
  <c r="F43" i="26"/>
  <c r="B43" i="26"/>
  <c r="G42" i="26"/>
  <c r="F42" i="26"/>
  <c r="B42" i="26"/>
  <c r="G41" i="26"/>
  <c r="F41" i="26"/>
  <c r="B41" i="26"/>
  <c r="G40" i="26"/>
  <c r="F40" i="26"/>
  <c r="B40" i="26"/>
  <c r="G39" i="26"/>
  <c r="F39" i="26"/>
  <c r="B39" i="26"/>
  <c r="G38" i="26"/>
  <c r="F38" i="26"/>
  <c r="B38" i="26"/>
  <c r="G36" i="26"/>
  <c r="F36" i="26"/>
  <c r="B36" i="26"/>
  <c r="G34" i="26"/>
  <c r="F34" i="26"/>
  <c r="B34" i="26"/>
  <c r="G33" i="26"/>
  <c r="F33" i="26"/>
  <c r="B33" i="26"/>
  <c r="G32" i="26"/>
  <c r="F32" i="26"/>
  <c r="B32" i="26"/>
  <c r="G31" i="26"/>
  <c r="F31" i="26"/>
  <c r="B31" i="26"/>
  <c r="G30" i="26"/>
  <c r="B30" i="26"/>
  <c r="G29" i="26"/>
  <c r="F29" i="26"/>
  <c r="B29" i="26"/>
  <c r="G27" i="26"/>
  <c r="F27" i="26"/>
  <c r="B27" i="26"/>
  <c r="G26" i="26"/>
  <c r="F26" i="26"/>
  <c r="B26" i="26"/>
  <c r="G25" i="26"/>
  <c r="F25" i="26"/>
  <c r="B25" i="26"/>
  <c r="G24" i="26"/>
  <c r="F24" i="26"/>
  <c r="B24" i="26"/>
  <c r="G23" i="26"/>
  <c r="F23" i="26"/>
  <c r="B23" i="26"/>
  <c r="G22" i="26"/>
  <c r="F22" i="26"/>
  <c r="B22" i="26"/>
  <c r="G21" i="26"/>
  <c r="F21" i="26"/>
  <c r="B21" i="26"/>
  <c r="G20" i="26"/>
  <c r="F20" i="26"/>
  <c r="B20" i="26"/>
  <c r="G19" i="26"/>
  <c r="F19" i="26"/>
  <c r="B19" i="26"/>
  <c r="G18" i="26"/>
  <c r="F18" i="26"/>
  <c r="B18" i="26"/>
  <c r="G17" i="26"/>
  <c r="F17" i="26"/>
  <c r="B17" i="26"/>
  <c r="I16" i="26"/>
  <c r="G16" i="26"/>
  <c r="B16" i="26"/>
  <c r="G15" i="26"/>
  <c r="F15" i="26"/>
  <c r="B15" i="26"/>
  <c r="G14" i="26"/>
  <c r="F14" i="26"/>
  <c r="B14" i="26"/>
  <c r="G13" i="26"/>
  <c r="F13" i="26"/>
  <c r="B13" i="26"/>
  <c r="G12" i="26"/>
  <c r="F12" i="26"/>
  <c r="B12" i="26"/>
  <c r="G10" i="26"/>
  <c r="F10" i="26"/>
  <c r="B10" i="26"/>
  <c r="G9" i="26"/>
  <c r="F9" i="26"/>
  <c r="B9" i="26"/>
  <c r="G8" i="26"/>
  <c r="F8" i="26"/>
  <c r="B8" i="26"/>
  <c r="G7" i="26"/>
  <c r="F7" i="26"/>
  <c r="B7" i="26"/>
  <c r="P6" i="26"/>
  <c r="G6" i="26"/>
  <c r="F6" i="26"/>
  <c r="B6" i="26"/>
  <c r="B5" i="26"/>
  <c r="P49" i="23"/>
  <c r="P50" i="23"/>
  <c r="P51" i="23"/>
  <c r="P52" i="23"/>
  <c r="P7" i="23"/>
  <c r="P8" i="23"/>
  <c r="P9" i="23"/>
  <c r="P10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9" i="23"/>
  <c r="P30" i="23"/>
  <c r="P31" i="23"/>
  <c r="P32" i="23"/>
  <c r="P33" i="23"/>
  <c r="P34" i="23"/>
  <c r="P36" i="23"/>
  <c r="P38" i="23"/>
  <c r="P39" i="23"/>
  <c r="P40" i="23"/>
  <c r="P41" i="23"/>
  <c r="P42" i="23"/>
  <c r="P43" i="23"/>
  <c r="P44" i="23"/>
  <c r="P45" i="23"/>
  <c r="P46" i="23"/>
  <c r="P47" i="23"/>
  <c r="P48" i="23"/>
  <c r="S49" i="20"/>
  <c r="S50" i="20"/>
  <c r="S51" i="20"/>
  <c r="S52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6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3" i="20"/>
  <c r="S44" i="20"/>
  <c r="S45" i="20"/>
  <c r="S46" i="20"/>
  <c r="S47" i="20"/>
  <c r="S48" i="20"/>
  <c r="S6" i="20"/>
  <c r="R49" i="20"/>
  <c r="R50" i="20"/>
  <c r="R51" i="20"/>
  <c r="R52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F11" i="20"/>
  <c r="D11" i="23" s="1"/>
  <c r="D11" i="26" s="1"/>
  <c r="D11" i="27" s="1"/>
  <c r="F28" i="20"/>
  <c r="F35" i="20"/>
  <c r="F37" i="20"/>
  <c r="N54" i="25"/>
  <c r="M54" i="25"/>
  <c r="K54" i="25"/>
  <c r="J54" i="25"/>
  <c r="H54" i="25"/>
  <c r="G54" i="25"/>
  <c r="F54" i="25"/>
  <c r="E54" i="25"/>
  <c r="D54" i="25"/>
  <c r="B52" i="25"/>
  <c r="B51" i="25"/>
  <c r="B50" i="25"/>
  <c r="B49" i="25"/>
  <c r="B48" i="25"/>
  <c r="K47" i="25"/>
  <c r="C47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L31" i="25"/>
  <c r="C31" i="25"/>
  <c r="B31" i="25"/>
  <c r="B30" i="25"/>
  <c r="B29" i="25"/>
  <c r="B28" i="25"/>
  <c r="B27" i="25"/>
  <c r="B26" i="25"/>
  <c r="B25" i="25"/>
  <c r="B24" i="25"/>
  <c r="B23" i="25"/>
  <c r="C22" i="25"/>
  <c r="C54" i="25" s="1"/>
  <c r="B22" i="25"/>
  <c r="B21" i="25"/>
  <c r="B20" i="25"/>
  <c r="B19" i="25"/>
  <c r="B18" i="25"/>
  <c r="B17" i="25"/>
  <c r="B16" i="25"/>
  <c r="B15" i="25"/>
  <c r="B14" i="25"/>
  <c r="L13" i="25"/>
  <c r="L54" i="25" s="1"/>
  <c r="C13" i="25"/>
  <c r="B13" i="25"/>
  <c r="B12" i="25"/>
  <c r="B11" i="25"/>
  <c r="B10" i="25"/>
  <c r="B9" i="25"/>
  <c r="B8" i="25"/>
  <c r="B7" i="25"/>
  <c r="B6" i="25"/>
  <c r="C5" i="25"/>
  <c r="B5" i="25"/>
  <c r="N54" i="24"/>
  <c r="G67" i="24" s="1"/>
  <c r="M54" i="24"/>
  <c r="G65" i="24" s="1"/>
  <c r="L54" i="24"/>
  <c r="L59" i="24" s="1"/>
  <c r="L63" i="24" s="1"/>
  <c r="L64" i="24" s="1"/>
  <c r="D54" i="24"/>
  <c r="F58" i="24" s="1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O54" i="24"/>
  <c r="G64" i="24" s="1"/>
  <c r="B17" i="24"/>
  <c r="B16" i="24"/>
  <c r="B15" i="24"/>
  <c r="B14" i="24"/>
  <c r="B13" i="24"/>
  <c r="B12" i="24"/>
  <c r="B11" i="24"/>
  <c r="B10" i="24"/>
  <c r="B9" i="24"/>
  <c r="B8" i="24"/>
  <c r="B7" i="24"/>
  <c r="B6" i="24"/>
  <c r="AA54" i="24"/>
  <c r="W54" i="24"/>
  <c r="S54" i="24"/>
  <c r="H54" i="24"/>
  <c r="B5" i="24"/>
  <c r="J12" i="28" l="1"/>
  <c r="G72" i="28"/>
  <c r="I6" i="28"/>
  <c r="J6" i="28"/>
  <c r="M6" i="28"/>
  <c r="L6" i="28"/>
  <c r="K6" i="28"/>
  <c r="G71" i="28"/>
  <c r="D11" i="28"/>
  <c r="K52" i="28"/>
  <c r="M52" i="28"/>
  <c r="L52" i="28"/>
  <c r="K51" i="28"/>
  <c r="M51" i="28"/>
  <c r="L51" i="28"/>
  <c r="K50" i="28"/>
  <c r="M50" i="28"/>
  <c r="L50" i="28"/>
  <c r="K49" i="28"/>
  <c r="M49" i="28"/>
  <c r="L49" i="28"/>
  <c r="M48" i="28"/>
  <c r="L48" i="28"/>
  <c r="K48" i="28"/>
  <c r="L47" i="28"/>
  <c r="K47" i="28"/>
  <c r="M47" i="28"/>
  <c r="M46" i="28"/>
  <c r="L46" i="28"/>
  <c r="K46" i="28"/>
  <c r="M45" i="28"/>
  <c r="L45" i="28"/>
  <c r="K45" i="28"/>
  <c r="L44" i="28"/>
  <c r="K44" i="28"/>
  <c r="M44" i="28"/>
  <c r="L43" i="28"/>
  <c r="K43" i="28"/>
  <c r="M43" i="28"/>
  <c r="K42" i="28"/>
  <c r="M42" i="28"/>
  <c r="L42" i="28"/>
  <c r="K41" i="28"/>
  <c r="M41" i="28"/>
  <c r="L41" i="28"/>
  <c r="I40" i="28"/>
  <c r="K40" i="28"/>
  <c r="M40" i="28"/>
  <c r="L40" i="28"/>
  <c r="M39" i="28"/>
  <c r="L39" i="28"/>
  <c r="K39" i="28"/>
  <c r="M38" i="28"/>
  <c r="L38" i="28"/>
  <c r="K38" i="28"/>
  <c r="I36" i="28"/>
  <c r="M36" i="28"/>
  <c r="L36" i="28"/>
  <c r="K36" i="28"/>
  <c r="M34" i="28"/>
  <c r="L34" i="28"/>
  <c r="K34" i="28"/>
  <c r="L33" i="28"/>
  <c r="K33" i="28"/>
  <c r="M33" i="28"/>
  <c r="M32" i="28"/>
  <c r="L32" i="28"/>
  <c r="K32" i="28"/>
  <c r="M31" i="28"/>
  <c r="L31" i="28"/>
  <c r="K31" i="28"/>
  <c r="K30" i="28"/>
  <c r="M30" i="28"/>
  <c r="L30" i="28"/>
  <c r="M27" i="28"/>
  <c r="L27" i="28"/>
  <c r="K27" i="28"/>
  <c r="K29" i="28"/>
  <c r="M29" i="28"/>
  <c r="L29" i="28"/>
  <c r="M26" i="28"/>
  <c r="L26" i="28"/>
  <c r="K26" i="28"/>
  <c r="K25" i="28"/>
  <c r="M25" i="28"/>
  <c r="L25" i="28"/>
  <c r="K24" i="28"/>
  <c r="L24" i="28"/>
  <c r="M24" i="28"/>
  <c r="M23" i="28"/>
  <c r="L23" i="28"/>
  <c r="K23" i="28"/>
  <c r="K22" i="28"/>
  <c r="M22" i="28"/>
  <c r="L22" i="28"/>
  <c r="M21" i="28"/>
  <c r="L21" i="28"/>
  <c r="K21" i="28"/>
  <c r="M20" i="28"/>
  <c r="L20" i="28"/>
  <c r="K20" i="28"/>
  <c r="M19" i="28"/>
  <c r="L19" i="28"/>
  <c r="K19" i="28"/>
  <c r="L18" i="28"/>
  <c r="K18" i="28"/>
  <c r="M18" i="28"/>
  <c r="I17" i="28"/>
  <c r="M17" i="28"/>
  <c r="L17" i="28"/>
  <c r="K17" i="28"/>
  <c r="M15" i="28"/>
  <c r="L15" i="28"/>
  <c r="K15" i="28"/>
  <c r="L14" i="28"/>
  <c r="K14" i="28"/>
  <c r="M14" i="28"/>
  <c r="L13" i="28"/>
  <c r="K13" i="28"/>
  <c r="M13" i="28"/>
  <c r="M12" i="28"/>
  <c r="L12" i="28"/>
  <c r="K12" i="28"/>
  <c r="L10" i="28"/>
  <c r="K10" i="28"/>
  <c r="J10" i="28"/>
  <c r="M10" i="28"/>
  <c r="L9" i="28"/>
  <c r="K9" i="28"/>
  <c r="J9" i="28"/>
  <c r="M9" i="28"/>
  <c r="L8" i="28"/>
  <c r="K8" i="28"/>
  <c r="J8" i="28"/>
  <c r="M8" i="28"/>
  <c r="L7" i="28"/>
  <c r="K7" i="28"/>
  <c r="J7" i="28"/>
  <c r="M7" i="28"/>
  <c r="J13" i="27"/>
  <c r="K13" i="27"/>
  <c r="L13" i="27"/>
  <c r="M13" i="27"/>
  <c r="J24" i="27"/>
  <c r="K24" i="27"/>
  <c r="L24" i="27"/>
  <c r="M24" i="27"/>
  <c r="L43" i="27"/>
  <c r="M43" i="27"/>
  <c r="K43" i="27"/>
  <c r="J12" i="27"/>
  <c r="K12" i="27"/>
  <c r="L12" i="27"/>
  <c r="M12" i="27"/>
  <c r="J19" i="27"/>
  <c r="K19" i="27"/>
  <c r="L19" i="27"/>
  <c r="M19" i="27"/>
  <c r="K38" i="27"/>
  <c r="J38" i="27"/>
  <c r="L38" i="27"/>
  <c r="M38" i="27"/>
  <c r="K42" i="27"/>
  <c r="J42" i="27"/>
  <c r="L42" i="27"/>
  <c r="M42" i="27"/>
  <c r="J50" i="27"/>
  <c r="M50" i="27"/>
  <c r="K50" i="27"/>
  <c r="L50" i="27"/>
  <c r="M6" i="27"/>
  <c r="L6" i="27"/>
  <c r="K6" i="27"/>
  <c r="J6" i="27"/>
  <c r="I6" i="27"/>
  <c r="J18" i="27"/>
  <c r="K18" i="27"/>
  <c r="L18" i="27"/>
  <c r="M18" i="27"/>
  <c r="M22" i="27"/>
  <c r="J22" i="27"/>
  <c r="K22" i="27"/>
  <c r="L22" i="27"/>
  <c r="K31" i="27"/>
  <c r="J31" i="27"/>
  <c r="L31" i="27"/>
  <c r="M31" i="27"/>
  <c r="J36" i="27"/>
  <c r="L36" i="27"/>
  <c r="M36" i="27"/>
  <c r="K36" i="27"/>
  <c r="I36" i="27"/>
  <c r="K45" i="27"/>
  <c r="L45" i="27"/>
  <c r="J45" i="27"/>
  <c r="M45" i="27"/>
  <c r="L49" i="27"/>
  <c r="M49" i="27"/>
  <c r="K49" i="27"/>
  <c r="J9" i="27"/>
  <c r="K9" i="27"/>
  <c r="L9" i="27"/>
  <c r="M9" i="27"/>
  <c r="J14" i="27"/>
  <c r="K14" i="27"/>
  <c r="L14" i="27"/>
  <c r="M14" i="27"/>
  <c r="J17" i="27"/>
  <c r="K17" i="27"/>
  <c r="L17" i="27"/>
  <c r="M17" i="27"/>
  <c r="I17" i="27"/>
  <c r="J25" i="27"/>
  <c r="K25" i="27"/>
  <c r="L25" i="27"/>
  <c r="M25" i="27"/>
  <c r="M30" i="27"/>
  <c r="K30" i="27"/>
  <c r="L30" i="27"/>
  <c r="J44" i="27"/>
  <c r="M44" i="27"/>
  <c r="K44" i="27"/>
  <c r="L44" i="27"/>
  <c r="K48" i="27"/>
  <c r="L48" i="27"/>
  <c r="J48" i="27"/>
  <c r="M48" i="27"/>
  <c r="K52" i="27"/>
  <c r="L52" i="27"/>
  <c r="J52" i="27"/>
  <c r="M52" i="27"/>
  <c r="K51" i="27"/>
  <c r="L51" i="27"/>
  <c r="J51" i="27"/>
  <c r="M51" i="27"/>
  <c r="J47" i="27"/>
  <c r="M47" i="27"/>
  <c r="K47" i="27"/>
  <c r="L47" i="27"/>
  <c r="K46" i="27"/>
  <c r="L46" i="27"/>
  <c r="J46" i="27"/>
  <c r="M46" i="27"/>
  <c r="J41" i="27"/>
  <c r="L41" i="27"/>
  <c r="M41" i="27"/>
  <c r="K41" i="27"/>
  <c r="K40" i="27"/>
  <c r="J40" i="27"/>
  <c r="L40" i="27"/>
  <c r="M40" i="27"/>
  <c r="K39" i="27"/>
  <c r="J39" i="27"/>
  <c r="L39" i="27"/>
  <c r="M39" i="27"/>
  <c r="K34" i="27"/>
  <c r="L34" i="27"/>
  <c r="M34" i="27"/>
  <c r="M33" i="27"/>
  <c r="K33" i="27"/>
  <c r="L33" i="27"/>
  <c r="M32" i="27"/>
  <c r="K32" i="27"/>
  <c r="J32" i="27"/>
  <c r="L32" i="27"/>
  <c r="J29" i="27"/>
  <c r="K29" i="27"/>
  <c r="L29" i="27"/>
  <c r="M29" i="27"/>
  <c r="M27" i="27"/>
  <c r="K27" i="27"/>
  <c r="L27" i="27"/>
  <c r="L26" i="27"/>
  <c r="M26" i="27"/>
  <c r="J26" i="27"/>
  <c r="K26" i="27"/>
  <c r="J23" i="27"/>
  <c r="K23" i="27"/>
  <c r="L23" i="27"/>
  <c r="M23" i="27"/>
  <c r="J21" i="27"/>
  <c r="K21" i="27"/>
  <c r="L21" i="27"/>
  <c r="M21" i="27"/>
  <c r="J15" i="27"/>
  <c r="K15" i="27"/>
  <c r="L15" i="27"/>
  <c r="M15" i="27"/>
  <c r="L10" i="27"/>
  <c r="M10" i="27"/>
  <c r="J10" i="27"/>
  <c r="K10" i="27"/>
  <c r="L8" i="27"/>
  <c r="M8" i="27"/>
  <c r="J8" i="27"/>
  <c r="K8" i="27"/>
  <c r="M7" i="27"/>
  <c r="J7" i="27"/>
  <c r="K7" i="27"/>
  <c r="L7" i="27"/>
  <c r="J6" i="26"/>
  <c r="M6" i="26"/>
  <c r="K6" i="26"/>
  <c r="L6" i="26"/>
  <c r="M12" i="26"/>
  <c r="L12" i="26"/>
  <c r="K12" i="26"/>
  <c r="J18" i="26"/>
  <c r="M18" i="26"/>
  <c r="L18" i="26"/>
  <c r="K18" i="26"/>
  <c r="J22" i="26"/>
  <c r="M22" i="26"/>
  <c r="L22" i="26"/>
  <c r="K22" i="26"/>
  <c r="J26" i="26"/>
  <c r="M26" i="26"/>
  <c r="L26" i="26"/>
  <c r="K26" i="26"/>
  <c r="J44" i="26"/>
  <c r="M44" i="26"/>
  <c r="L44" i="26"/>
  <c r="K44" i="26"/>
  <c r="J48" i="26"/>
  <c r="M48" i="26"/>
  <c r="L48" i="26"/>
  <c r="K48" i="26"/>
  <c r="J52" i="26"/>
  <c r="M52" i="26"/>
  <c r="L52" i="26"/>
  <c r="K52" i="26"/>
  <c r="I6" i="26"/>
  <c r="J17" i="26"/>
  <c r="M17" i="26"/>
  <c r="L17" i="26"/>
  <c r="K17" i="26"/>
  <c r="J25" i="26"/>
  <c r="M25" i="26"/>
  <c r="L25" i="26"/>
  <c r="K25" i="26"/>
  <c r="J31" i="26"/>
  <c r="M31" i="26"/>
  <c r="L31" i="26"/>
  <c r="K31" i="26"/>
  <c r="J32" i="26"/>
  <c r="M32" i="26"/>
  <c r="L32" i="26"/>
  <c r="K32" i="26"/>
  <c r="M43" i="26"/>
  <c r="L43" i="26"/>
  <c r="K43" i="26"/>
  <c r="M9" i="26"/>
  <c r="K9" i="26"/>
  <c r="L9" i="26"/>
  <c r="M20" i="26"/>
  <c r="L20" i="26"/>
  <c r="K20" i="26"/>
  <c r="J24" i="26"/>
  <c r="M24" i="26"/>
  <c r="L24" i="26"/>
  <c r="K24" i="26"/>
  <c r="J29" i="26"/>
  <c r="M29" i="26"/>
  <c r="L29" i="26"/>
  <c r="K29" i="26"/>
  <c r="J36" i="26"/>
  <c r="M36" i="26"/>
  <c r="L36" i="26"/>
  <c r="K36" i="26"/>
  <c r="J38" i="26"/>
  <c r="M38" i="26"/>
  <c r="L38" i="26"/>
  <c r="K38" i="26"/>
  <c r="J42" i="26"/>
  <c r="M42" i="26"/>
  <c r="L42" i="26"/>
  <c r="K42" i="26"/>
  <c r="J46" i="26"/>
  <c r="M46" i="26"/>
  <c r="L46" i="26"/>
  <c r="K46" i="26"/>
  <c r="J50" i="26"/>
  <c r="M50" i="26"/>
  <c r="L50" i="26"/>
  <c r="K50" i="26"/>
  <c r="J14" i="26"/>
  <c r="M14" i="26"/>
  <c r="L14" i="26"/>
  <c r="K14" i="26"/>
  <c r="J19" i="26"/>
  <c r="M19" i="26"/>
  <c r="L19" i="26"/>
  <c r="K19" i="26"/>
  <c r="J23" i="26"/>
  <c r="M23" i="26"/>
  <c r="L23" i="26"/>
  <c r="K23" i="26"/>
  <c r="M27" i="26"/>
  <c r="L27" i="26"/>
  <c r="K27" i="26"/>
  <c r="J41" i="26"/>
  <c r="M41" i="26"/>
  <c r="L41" i="26"/>
  <c r="K41" i="26"/>
  <c r="J49" i="26"/>
  <c r="M49" i="26"/>
  <c r="L49" i="26"/>
  <c r="K49" i="26"/>
  <c r="J51" i="26"/>
  <c r="M51" i="26"/>
  <c r="L51" i="26"/>
  <c r="K51" i="26"/>
  <c r="J47" i="26"/>
  <c r="M47" i="26"/>
  <c r="L47" i="26"/>
  <c r="K47" i="26"/>
  <c r="L40" i="26"/>
  <c r="K40" i="26"/>
  <c r="J40" i="26"/>
  <c r="M40" i="26"/>
  <c r="J39" i="26"/>
  <c r="M39" i="26"/>
  <c r="L39" i="26"/>
  <c r="K39" i="26"/>
  <c r="M34" i="26"/>
  <c r="L34" i="26"/>
  <c r="K34" i="26"/>
  <c r="M33" i="26"/>
  <c r="L33" i="26"/>
  <c r="K33" i="26"/>
  <c r="J21" i="26"/>
  <c r="M21" i="26"/>
  <c r="L21" i="26"/>
  <c r="K21" i="26"/>
  <c r="J15" i="26"/>
  <c r="M15" i="26"/>
  <c r="L15" i="26"/>
  <c r="K15" i="26"/>
  <c r="J13" i="26"/>
  <c r="M13" i="26"/>
  <c r="L13" i="26"/>
  <c r="K13" i="26"/>
  <c r="M10" i="26"/>
  <c r="K10" i="26"/>
  <c r="L10" i="26"/>
  <c r="L8" i="26"/>
  <c r="M8" i="26"/>
  <c r="J8" i="26"/>
  <c r="K8" i="26"/>
  <c r="M7" i="26"/>
  <c r="J7" i="26"/>
  <c r="K7" i="26"/>
  <c r="L7" i="26"/>
  <c r="G56" i="28"/>
  <c r="F56" i="27"/>
  <c r="E65" i="27" s="1"/>
  <c r="G56" i="27"/>
  <c r="E59" i="27" s="1"/>
  <c r="P56" i="26"/>
  <c r="G56" i="26"/>
  <c r="Q56" i="28"/>
  <c r="F56" i="28"/>
  <c r="E65" i="28" s="1"/>
  <c r="P56" i="28"/>
  <c r="Q56" i="27"/>
  <c r="P56" i="27"/>
  <c r="Q56" i="26"/>
  <c r="E67" i="26" s="1"/>
  <c r="F56" i="26"/>
  <c r="I22" i="25"/>
  <c r="I54" i="25" s="1"/>
  <c r="G63" i="24"/>
  <c r="T54" i="24"/>
  <c r="AB54" i="24"/>
  <c r="G54" i="24"/>
  <c r="F59" i="24" s="1"/>
  <c r="Q54" i="24"/>
  <c r="U54" i="24"/>
  <c r="Y54" i="24"/>
  <c r="AC54" i="24"/>
  <c r="X54" i="24"/>
  <c r="R54" i="24"/>
  <c r="F60" i="24" s="1"/>
  <c r="V54" i="24"/>
  <c r="Z54" i="24"/>
  <c r="C54" i="24"/>
  <c r="F54" i="24"/>
  <c r="P56" i="46" l="1"/>
  <c r="I51" i="28"/>
  <c r="I33" i="28"/>
  <c r="I39" i="28"/>
  <c r="I20" i="28"/>
  <c r="I31" i="28"/>
  <c r="I7" i="28"/>
  <c r="I12" i="28"/>
  <c r="I24" i="28"/>
  <c r="I32" i="28"/>
  <c r="I42" i="28"/>
  <c r="I50" i="28"/>
  <c r="I44" i="28"/>
  <c r="I45" i="28"/>
  <c r="I48" i="28"/>
  <c r="I34" i="28"/>
  <c r="I18" i="28"/>
  <c r="I23" i="28"/>
  <c r="I29" i="28"/>
  <c r="I43" i="28"/>
  <c r="I49" i="28"/>
  <c r="I10" i="28"/>
  <c r="I15" i="28"/>
  <c r="I19" i="28"/>
  <c r="I21" i="28"/>
  <c r="I22" i="28"/>
  <c r="I26" i="28"/>
  <c r="I38" i="28"/>
  <c r="I47" i="28"/>
  <c r="I8" i="28"/>
  <c r="I13" i="28"/>
  <c r="I14" i="28"/>
  <c r="I25" i="28"/>
  <c r="I27" i="28"/>
  <c r="I30" i="28"/>
  <c r="I41" i="28"/>
  <c r="I46" i="28"/>
  <c r="I52" i="28"/>
  <c r="I9" i="28"/>
  <c r="K56" i="28"/>
  <c r="E60" i="28" s="1"/>
  <c r="J56" i="28"/>
  <c r="E61" i="28" s="1"/>
  <c r="M56" i="28"/>
  <c r="E64" i="28" s="1"/>
  <c r="L56" i="28"/>
  <c r="E63" i="28" s="1"/>
  <c r="I43" i="27"/>
  <c r="I33" i="27"/>
  <c r="I52" i="27"/>
  <c r="I44" i="27"/>
  <c r="I9" i="27"/>
  <c r="I50" i="27"/>
  <c r="I32" i="27"/>
  <c r="I12" i="27"/>
  <c r="I13" i="27"/>
  <c r="I31" i="27"/>
  <c r="I10" i="27"/>
  <c r="I22" i="27"/>
  <c r="I8" i="27"/>
  <c r="I34" i="27"/>
  <c r="I25" i="27"/>
  <c r="I49" i="27"/>
  <c r="I42" i="27"/>
  <c r="I38" i="27"/>
  <c r="I19" i="27"/>
  <c r="I48" i="27"/>
  <c r="I27" i="27"/>
  <c r="I18" i="27"/>
  <c r="I24" i="27"/>
  <c r="I7" i="27"/>
  <c r="I21" i="27"/>
  <c r="I30" i="27"/>
  <c r="I14" i="27"/>
  <c r="I45" i="27"/>
  <c r="I15" i="27"/>
  <c r="I26" i="27"/>
  <c r="I23" i="27"/>
  <c r="I29" i="27"/>
  <c r="I46" i="27"/>
  <c r="I47" i="27"/>
  <c r="I51" i="27"/>
  <c r="I39" i="27"/>
  <c r="I40" i="27"/>
  <c r="I41" i="27"/>
  <c r="J56" i="27"/>
  <c r="E61" i="27" s="1"/>
  <c r="M56" i="27"/>
  <c r="E64" i="27" s="1"/>
  <c r="L56" i="27"/>
  <c r="E63" i="27" s="1"/>
  <c r="K56" i="27"/>
  <c r="E60" i="27" s="1"/>
  <c r="F73" i="26"/>
  <c r="I49" i="26"/>
  <c r="I27" i="26"/>
  <c r="I46" i="26"/>
  <c r="I20" i="26"/>
  <c r="I32" i="26"/>
  <c r="I52" i="26"/>
  <c r="I22" i="26"/>
  <c r="I45" i="26"/>
  <c r="I23" i="26"/>
  <c r="I42" i="26"/>
  <c r="I12" i="26"/>
  <c r="I25" i="26"/>
  <c r="I48" i="26"/>
  <c r="I18" i="26"/>
  <c r="I41" i="26"/>
  <c r="I19" i="26"/>
  <c r="I14" i="26"/>
  <c r="I38" i="26"/>
  <c r="I36" i="26"/>
  <c r="I29" i="26"/>
  <c r="I9" i="26"/>
  <c r="I17" i="26"/>
  <c r="I44" i="26"/>
  <c r="I31" i="26"/>
  <c r="I50" i="26"/>
  <c r="I24" i="26"/>
  <c r="I43" i="26"/>
  <c r="I26" i="26"/>
  <c r="I51" i="26"/>
  <c r="I47" i="26"/>
  <c r="I40" i="26"/>
  <c r="I39" i="26"/>
  <c r="I34" i="26"/>
  <c r="I33" i="26"/>
  <c r="I30" i="26"/>
  <c r="I21" i="26"/>
  <c r="I15" i="26"/>
  <c r="I13" i="26"/>
  <c r="I10" i="26"/>
  <c r="I8" i="26"/>
  <c r="M56" i="26"/>
  <c r="E64" i="26" s="1"/>
  <c r="L56" i="26"/>
  <c r="E63" i="26" s="1"/>
  <c r="I7" i="26"/>
  <c r="K56" i="26"/>
  <c r="E60" i="26" s="1"/>
  <c r="J56" i="26"/>
  <c r="E61" i="26" s="1"/>
  <c r="H57" i="24"/>
  <c r="P54" i="24"/>
  <c r="G66" i="24" s="1"/>
  <c r="K56" i="24"/>
  <c r="I54" i="24"/>
  <c r="F72" i="28" l="1"/>
  <c r="F71" i="28"/>
  <c r="I56" i="28"/>
  <c r="E68" i="28"/>
  <c r="I56" i="27"/>
  <c r="F72" i="27" s="1"/>
  <c r="E68" i="27"/>
  <c r="I56" i="26"/>
  <c r="E69" i="26"/>
  <c r="K54" i="24"/>
  <c r="J54" i="24"/>
  <c r="E54" i="24" l="1"/>
  <c r="K55" i="24"/>
  <c r="G62" i="24" s="1"/>
  <c r="H69" i="24" s="1"/>
  <c r="H71" i="24" s="1"/>
  <c r="S56" i="23" l="1"/>
  <c r="T56" i="23"/>
  <c r="I16" i="23"/>
  <c r="R56" i="23"/>
  <c r="O56" i="23"/>
  <c r="N56" i="23"/>
  <c r="M56" i="23"/>
  <c r="E64" i="23" s="1"/>
  <c r="L56" i="23"/>
  <c r="E63" i="23" s="1"/>
  <c r="K56" i="23"/>
  <c r="E60" i="23" s="1"/>
  <c r="J56" i="23"/>
  <c r="E61" i="23" s="1"/>
  <c r="E56" i="23"/>
  <c r="G52" i="23"/>
  <c r="F52" i="23"/>
  <c r="B52" i="23"/>
  <c r="G51" i="23"/>
  <c r="F51" i="23"/>
  <c r="B51" i="23"/>
  <c r="G50" i="23"/>
  <c r="F50" i="23"/>
  <c r="B50" i="23"/>
  <c r="G49" i="23"/>
  <c r="F49" i="23"/>
  <c r="B49" i="23"/>
  <c r="G48" i="23"/>
  <c r="F48" i="23"/>
  <c r="B48" i="23"/>
  <c r="G47" i="23"/>
  <c r="F47" i="23"/>
  <c r="B47" i="23"/>
  <c r="G46" i="23"/>
  <c r="F46" i="23"/>
  <c r="B46" i="23"/>
  <c r="G45" i="23"/>
  <c r="F45" i="23"/>
  <c r="B45" i="23"/>
  <c r="G44" i="23"/>
  <c r="F44" i="23"/>
  <c r="B44" i="23"/>
  <c r="G43" i="23"/>
  <c r="F43" i="23"/>
  <c r="B43" i="23"/>
  <c r="G42" i="23"/>
  <c r="F42" i="23"/>
  <c r="B42" i="23"/>
  <c r="G41" i="23"/>
  <c r="F41" i="23"/>
  <c r="B41" i="23"/>
  <c r="G40" i="23"/>
  <c r="F40" i="23"/>
  <c r="B40" i="23"/>
  <c r="G39" i="23"/>
  <c r="F39" i="23"/>
  <c r="B39" i="23"/>
  <c r="G38" i="23"/>
  <c r="F38" i="23"/>
  <c r="B38" i="23"/>
  <c r="G36" i="23"/>
  <c r="F36" i="23"/>
  <c r="B36" i="23"/>
  <c r="G34" i="23"/>
  <c r="F34" i="23"/>
  <c r="B34" i="23"/>
  <c r="G33" i="23"/>
  <c r="F33" i="23"/>
  <c r="B33" i="23"/>
  <c r="G32" i="23"/>
  <c r="F32" i="23"/>
  <c r="B32" i="23"/>
  <c r="G31" i="23"/>
  <c r="F31" i="23"/>
  <c r="B31" i="23"/>
  <c r="G30" i="23"/>
  <c r="F30" i="23"/>
  <c r="B30" i="23"/>
  <c r="G29" i="23"/>
  <c r="F29" i="23"/>
  <c r="B29" i="23"/>
  <c r="G27" i="23"/>
  <c r="F27" i="23"/>
  <c r="B27" i="23"/>
  <c r="G26" i="23"/>
  <c r="F26" i="23"/>
  <c r="B26" i="23"/>
  <c r="G25" i="23"/>
  <c r="F25" i="23"/>
  <c r="B25" i="23"/>
  <c r="G24" i="23"/>
  <c r="F24" i="23"/>
  <c r="B24" i="23"/>
  <c r="G23" i="23"/>
  <c r="F23" i="23"/>
  <c r="B23" i="23"/>
  <c r="G22" i="23"/>
  <c r="F22" i="23"/>
  <c r="B22" i="23"/>
  <c r="G21" i="23"/>
  <c r="F21" i="23"/>
  <c r="B21" i="23"/>
  <c r="G20" i="23"/>
  <c r="F20" i="23"/>
  <c r="B20" i="23"/>
  <c r="G19" i="23"/>
  <c r="F19" i="23"/>
  <c r="B19" i="23"/>
  <c r="G18" i="23"/>
  <c r="F18" i="23"/>
  <c r="B18" i="23"/>
  <c r="G17" i="23"/>
  <c r="F17" i="23"/>
  <c r="B17" i="23"/>
  <c r="G16" i="23"/>
  <c r="B16" i="23"/>
  <c r="G15" i="23"/>
  <c r="F15" i="23"/>
  <c r="B15" i="23"/>
  <c r="G14" i="23"/>
  <c r="F14" i="23"/>
  <c r="B14" i="23"/>
  <c r="G13" i="23"/>
  <c r="F13" i="23"/>
  <c r="B13" i="23"/>
  <c r="G12" i="23"/>
  <c r="F12" i="23"/>
  <c r="B12" i="23"/>
  <c r="G10" i="23"/>
  <c r="F10" i="23"/>
  <c r="B10" i="23"/>
  <c r="G9" i="23"/>
  <c r="F9" i="23"/>
  <c r="B9" i="23"/>
  <c r="G8" i="23"/>
  <c r="F8" i="23"/>
  <c r="B8" i="23"/>
  <c r="G7" i="23"/>
  <c r="F7" i="23"/>
  <c r="B7" i="23"/>
  <c r="P6" i="23"/>
  <c r="G6" i="23"/>
  <c r="F6" i="23"/>
  <c r="B6" i="23"/>
  <c r="B5" i="23"/>
  <c r="I6" i="23" l="1"/>
  <c r="P56" i="23"/>
  <c r="I50" i="23"/>
  <c r="I7" i="23"/>
  <c r="I12" i="23"/>
  <c r="I19" i="23"/>
  <c r="I23" i="23"/>
  <c r="I27" i="23"/>
  <c r="I32" i="23"/>
  <c r="I38" i="23"/>
  <c r="I42" i="23"/>
  <c r="I46" i="23"/>
  <c r="I9" i="23"/>
  <c r="I14" i="23"/>
  <c r="I30" i="23"/>
  <c r="I34" i="23"/>
  <c r="I40" i="23"/>
  <c r="I44" i="23"/>
  <c r="I48" i="23"/>
  <c r="I10" i="23"/>
  <c r="I15" i="23"/>
  <c r="I18" i="23"/>
  <c r="I22" i="23"/>
  <c r="I26" i="23"/>
  <c r="I31" i="23"/>
  <c r="I36" i="23"/>
  <c r="I41" i="23"/>
  <c r="I45" i="23"/>
  <c r="I49" i="23"/>
  <c r="I52" i="23"/>
  <c r="I17" i="23"/>
  <c r="I21" i="23"/>
  <c r="I25" i="23"/>
  <c r="I8" i="23"/>
  <c r="I13" i="23"/>
  <c r="I20" i="23"/>
  <c r="I24" i="23"/>
  <c r="I29" i="23"/>
  <c r="I33" i="23"/>
  <c r="I39" i="23"/>
  <c r="I43" i="23"/>
  <c r="I47" i="23"/>
  <c r="I51" i="23"/>
  <c r="G56" i="23"/>
  <c r="F56" i="23"/>
  <c r="E65" i="23" s="1"/>
  <c r="E69" i="23" s="1"/>
  <c r="K16" i="20"/>
  <c r="K50" i="20"/>
  <c r="I7" i="20"/>
  <c r="I8" i="20"/>
  <c r="I9" i="20"/>
  <c r="I10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9" i="20"/>
  <c r="I30" i="20"/>
  <c r="I31" i="20"/>
  <c r="I32" i="20"/>
  <c r="I33" i="20"/>
  <c r="I34" i="20"/>
  <c r="I36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6" i="20"/>
  <c r="Q56" i="23" l="1"/>
  <c r="I56" i="23"/>
  <c r="I56" i="20"/>
  <c r="H50" i="20" l="1"/>
  <c r="H51" i="20"/>
  <c r="K51" i="20" s="1"/>
  <c r="H52" i="20"/>
  <c r="K52" i="20" s="1"/>
  <c r="H7" i="20"/>
  <c r="K7" i="20" s="1"/>
  <c r="H8" i="20"/>
  <c r="K8" i="20" s="1"/>
  <c r="H9" i="20"/>
  <c r="K9" i="20" s="1"/>
  <c r="H10" i="20"/>
  <c r="K10" i="20" s="1"/>
  <c r="H12" i="20"/>
  <c r="K12" i="20" s="1"/>
  <c r="H13" i="20"/>
  <c r="K13" i="20" s="1"/>
  <c r="H14" i="20"/>
  <c r="K14" i="20" s="1"/>
  <c r="H15" i="20"/>
  <c r="K15" i="20" s="1"/>
  <c r="H17" i="20"/>
  <c r="K17" i="20" s="1"/>
  <c r="H18" i="20"/>
  <c r="K18" i="20" s="1"/>
  <c r="H19" i="20"/>
  <c r="K19" i="20" s="1"/>
  <c r="H20" i="20"/>
  <c r="K20" i="20" s="1"/>
  <c r="H21" i="20"/>
  <c r="K21" i="20" s="1"/>
  <c r="H22" i="20"/>
  <c r="K22" i="20" s="1"/>
  <c r="H23" i="20"/>
  <c r="K23" i="20" s="1"/>
  <c r="H24" i="20"/>
  <c r="K24" i="20" s="1"/>
  <c r="H25" i="20"/>
  <c r="K25" i="20" s="1"/>
  <c r="H26" i="20"/>
  <c r="K26" i="20" s="1"/>
  <c r="H27" i="20"/>
  <c r="K27" i="20" s="1"/>
  <c r="H29" i="20"/>
  <c r="K29" i="20" s="1"/>
  <c r="H30" i="20"/>
  <c r="K30" i="20" s="1"/>
  <c r="H31" i="20"/>
  <c r="K31" i="20" s="1"/>
  <c r="H32" i="20"/>
  <c r="K32" i="20" s="1"/>
  <c r="H33" i="20"/>
  <c r="K33" i="20" s="1"/>
  <c r="H34" i="20"/>
  <c r="K34" i="20" s="1"/>
  <c r="H36" i="20"/>
  <c r="K36" i="20" s="1"/>
  <c r="H38" i="20"/>
  <c r="K38" i="20" s="1"/>
  <c r="H39" i="20"/>
  <c r="K39" i="20" s="1"/>
  <c r="H40" i="20"/>
  <c r="K40" i="20" s="1"/>
  <c r="H41" i="20"/>
  <c r="K41" i="20" s="1"/>
  <c r="H42" i="20"/>
  <c r="K42" i="20" s="1"/>
  <c r="H43" i="20"/>
  <c r="K43" i="20" s="1"/>
  <c r="H44" i="20"/>
  <c r="K44" i="20" s="1"/>
  <c r="H45" i="20"/>
  <c r="K45" i="20" s="1"/>
  <c r="H46" i="20"/>
  <c r="K46" i="20" s="1"/>
  <c r="H47" i="20"/>
  <c r="K47" i="20" s="1"/>
  <c r="H48" i="20"/>
  <c r="K48" i="20" s="1"/>
  <c r="H49" i="20"/>
  <c r="K49" i="20" s="1"/>
  <c r="H6" i="20"/>
  <c r="K6" i="20" s="1"/>
  <c r="M56" i="20"/>
  <c r="R6" i="20"/>
  <c r="R56" i="20" s="1"/>
  <c r="T56" i="20"/>
  <c r="S56" i="20"/>
  <c r="Q56" i="20"/>
  <c r="P56" i="20"/>
  <c r="O56" i="20"/>
  <c r="N56" i="20"/>
  <c r="L56" i="20"/>
  <c r="G56" i="20"/>
  <c r="D56" i="20"/>
  <c r="F52" i="20"/>
  <c r="B52" i="20"/>
  <c r="F51" i="20"/>
  <c r="B51" i="20"/>
  <c r="F50" i="20"/>
  <c r="B50" i="20"/>
  <c r="F49" i="20"/>
  <c r="B49" i="20"/>
  <c r="F48" i="20"/>
  <c r="B48" i="20"/>
  <c r="F47" i="20"/>
  <c r="B47" i="20"/>
  <c r="F46" i="20"/>
  <c r="B46" i="20"/>
  <c r="F45" i="20"/>
  <c r="B45" i="20"/>
  <c r="F44" i="20"/>
  <c r="B44" i="20"/>
  <c r="F43" i="20"/>
  <c r="B43" i="20"/>
  <c r="F42" i="20"/>
  <c r="B42" i="20"/>
  <c r="F41" i="20"/>
  <c r="B41" i="20"/>
  <c r="F40" i="20"/>
  <c r="B40" i="20"/>
  <c r="F39" i="20"/>
  <c r="B39" i="20"/>
  <c r="F38" i="20"/>
  <c r="B38" i="20"/>
  <c r="F36" i="20"/>
  <c r="B36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0" i="20"/>
  <c r="B10" i="20"/>
  <c r="F9" i="20"/>
  <c r="B9" i="20"/>
  <c r="F8" i="20"/>
  <c r="B8" i="20"/>
  <c r="F7" i="20"/>
  <c r="B7" i="20"/>
  <c r="F6" i="20"/>
  <c r="B6" i="20"/>
  <c r="F5" i="20"/>
  <c r="B5" i="20"/>
  <c r="I56" i="46" l="1"/>
  <c r="K56" i="20"/>
  <c r="H56" i="20"/>
  <c r="C56" i="20"/>
  <c r="D12" i="2" l="1"/>
  <c r="D54" i="16"/>
  <c r="E54" i="16"/>
  <c r="F54" i="16"/>
  <c r="G54" i="16"/>
  <c r="H54" i="16"/>
  <c r="I54" i="16"/>
  <c r="J54" i="16"/>
  <c r="K54" i="16"/>
  <c r="L54" i="16"/>
  <c r="M54" i="16"/>
  <c r="N54" i="16"/>
  <c r="C52" i="2" l="1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D55" i="2"/>
  <c r="H55" i="2"/>
  <c r="U55" i="2"/>
  <c r="B5" i="2"/>
  <c r="B5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J52" i="2"/>
  <c r="L52" i="2"/>
  <c r="M52" i="2"/>
  <c r="N52" i="2"/>
  <c r="O52" i="2"/>
  <c r="P52" i="2"/>
  <c r="J51" i="2"/>
  <c r="L51" i="2"/>
  <c r="M51" i="2"/>
  <c r="N51" i="2"/>
  <c r="O51" i="2"/>
  <c r="P51" i="2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O54" i="2" l="1"/>
  <c r="I54" i="2" s="1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46" i="2"/>
  <c r="F56" i="20" l="1"/>
  <c r="Q55" i="2"/>
  <c r="I55" i="2"/>
  <c r="E44" i="20" l="1"/>
  <c r="D44" i="23" s="1"/>
  <c r="E48" i="20"/>
  <c r="D48" i="23" s="1"/>
  <c r="E52" i="20"/>
  <c r="D52" i="23" s="1"/>
  <c r="E32" i="20"/>
  <c r="D32" i="23" s="1"/>
  <c r="E36" i="20"/>
  <c r="D36" i="23" s="1"/>
  <c r="E40" i="20"/>
  <c r="D40" i="23" s="1"/>
  <c r="E15" i="20"/>
  <c r="D15" i="23" s="1"/>
  <c r="E19" i="20"/>
  <c r="D19" i="23" s="1"/>
  <c r="E23" i="20"/>
  <c r="D23" i="23" s="1"/>
  <c r="E27" i="20"/>
  <c r="D27" i="23" s="1"/>
  <c r="E9" i="20"/>
  <c r="D9" i="23" s="1"/>
  <c r="E41" i="20"/>
  <c r="D41" i="23" s="1"/>
  <c r="E45" i="20"/>
  <c r="D45" i="23" s="1"/>
  <c r="E49" i="20"/>
  <c r="D49" i="23" s="1"/>
  <c r="E29" i="20"/>
  <c r="D29" i="23" s="1"/>
  <c r="E33" i="20"/>
  <c r="D33" i="23" s="1"/>
  <c r="E37" i="20"/>
  <c r="E28" i="20"/>
  <c r="D28" i="23" s="1"/>
  <c r="E16" i="20"/>
  <c r="D16" i="23" s="1"/>
  <c r="E20" i="20"/>
  <c r="D20" i="23" s="1"/>
  <c r="E24" i="20"/>
  <c r="D24" i="23" s="1"/>
  <c r="E6" i="20"/>
  <c r="D6" i="23" s="1"/>
  <c r="E10" i="20"/>
  <c r="D10" i="23" s="1"/>
  <c r="E42" i="20"/>
  <c r="D42" i="23" s="1"/>
  <c r="E46" i="20"/>
  <c r="D46" i="23" s="1"/>
  <c r="E50" i="20"/>
  <c r="D50" i="23" s="1"/>
  <c r="E30" i="20"/>
  <c r="D30" i="23" s="1"/>
  <c r="E34" i="20"/>
  <c r="D34" i="23" s="1"/>
  <c r="E38" i="20"/>
  <c r="D38" i="23" s="1"/>
  <c r="E13" i="20"/>
  <c r="D13" i="23" s="1"/>
  <c r="E17" i="20"/>
  <c r="D17" i="23" s="1"/>
  <c r="E21" i="20"/>
  <c r="D21" i="23" s="1"/>
  <c r="E25" i="20"/>
  <c r="D25" i="23" s="1"/>
  <c r="E7" i="20"/>
  <c r="D7" i="23" s="1"/>
  <c r="E5" i="20"/>
  <c r="E43" i="20"/>
  <c r="D43" i="23" s="1"/>
  <c r="E47" i="20"/>
  <c r="D47" i="23" s="1"/>
  <c r="E51" i="20"/>
  <c r="D51" i="23" s="1"/>
  <c r="E31" i="20"/>
  <c r="D31" i="23" s="1"/>
  <c r="E35" i="20"/>
  <c r="E39" i="20"/>
  <c r="D39" i="23" s="1"/>
  <c r="E14" i="20"/>
  <c r="D14" i="23" s="1"/>
  <c r="E18" i="20"/>
  <c r="D18" i="23" s="1"/>
  <c r="E22" i="20"/>
  <c r="D22" i="23" s="1"/>
  <c r="E26" i="20"/>
  <c r="D26" i="23" s="1"/>
  <c r="E8" i="20"/>
  <c r="D8" i="23" s="1"/>
  <c r="E12" i="20"/>
  <c r="D12" i="23" s="1"/>
  <c r="D5" i="23"/>
  <c r="C35" i="46" l="1"/>
  <c r="D35" i="23"/>
  <c r="D35" i="26" s="1"/>
  <c r="D35" i="27" s="1"/>
  <c r="D35" i="28" s="1"/>
  <c r="D35" i="39" s="1"/>
  <c r="D35" i="40" s="1"/>
  <c r="D35" i="41" s="1"/>
  <c r="C37" i="46"/>
  <c r="D37" i="23"/>
  <c r="D37" i="26" s="1"/>
  <c r="D37" i="27" s="1"/>
  <c r="D37" i="28" s="1"/>
  <c r="D37" i="39" s="1"/>
  <c r="D37" i="40" s="1"/>
  <c r="D37" i="41" s="1"/>
  <c r="E56" i="20"/>
  <c r="D37" i="42" l="1"/>
  <c r="D37" i="43" s="1"/>
  <c r="D37" i="44" s="1"/>
  <c r="D37" i="49" s="1"/>
  <c r="D35" i="42"/>
  <c r="D35" i="43" s="1"/>
  <c r="D35" i="44" s="1"/>
  <c r="D35" i="49" s="1"/>
  <c r="D56" i="23"/>
  <c r="D35" i="46" l="1"/>
  <c r="D35" i="45"/>
  <c r="D37" i="45"/>
  <c r="D37" i="46"/>
  <c r="C14" i="23"/>
  <c r="D14" i="26" s="1"/>
  <c r="C28" i="23"/>
  <c r="C32" i="23"/>
  <c r="C33" i="23"/>
  <c r="C46" i="23"/>
  <c r="C48" i="23"/>
  <c r="C51" i="23"/>
  <c r="C49" i="23"/>
  <c r="C40" i="23"/>
  <c r="C27" i="23"/>
  <c r="C25" i="23"/>
  <c r="C42" i="23"/>
  <c r="C19" i="23"/>
  <c r="C41" i="23"/>
  <c r="C45" i="23"/>
  <c r="C23" i="23"/>
  <c r="C36" i="23"/>
  <c r="C16" i="23"/>
  <c r="C21" i="23"/>
  <c r="C24" i="23"/>
  <c r="C18" i="23"/>
  <c r="C50" i="23"/>
  <c r="C12" i="23"/>
  <c r="C17" i="23"/>
  <c r="C9" i="23"/>
  <c r="C34" i="23"/>
  <c r="C43" i="23"/>
  <c r="C7" i="23"/>
  <c r="C8" i="23"/>
  <c r="C22" i="23"/>
  <c r="C13" i="23"/>
  <c r="C5" i="23"/>
  <c r="C29" i="23"/>
  <c r="C44" i="23"/>
  <c r="C38" i="23"/>
  <c r="C30" i="23"/>
  <c r="C6" i="23"/>
  <c r="C31" i="23"/>
  <c r="C20" i="23"/>
  <c r="C10" i="23"/>
  <c r="C39" i="23"/>
  <c r="C47" i="23"/>
  <c r="C52" i="23"/>
  <c r="C26" i="23"/>
  <c r="C15" i="23"/>
  <c r="D28" i="26" l="1"/>
  <c r="D26" i="26"/>
  <c r="D10" i="26"/>
  <c r="D30" i="26"/>
  <c r="D5" i="26"/>
  <c r="D7" i="26"/>
  <c r="D17" i="26"/>
  <c r="D24" i="26"/>
  <c r="D23" i="26"/>
  <c r="D42" i="26"/>
  <c r="D49" i="26"/>
  <c r="D33" i="26"/>
  <c r="D52" i="26"/>
  <c r="D20" i="26"/>
  <c r="D38" i="26"/>
  <c r="D13" i="26"/>
  <c r="D43" i="26"/>
  <c r="D12" i="26"/>
  <c r="D21" i="26"/>
  <c r="D45" i="26"/>
  <c r="D25" i="26"/>
  <c r="D51" i="26"/>
  <c r="D32" i="26"/>
  <c r="D47" i="26"/>
  <c r="D31" i="26"/>
  <c r="D44" i="26"/>
  <c r="D22" i="26"/>
  <c r="D34" i="26"/>
  <c r="D50" i="26"/>
  <c r="D16" i="26"/>
  <c r="D41" i="26"/>
  <c r="D27" i="26"/>
  <c r="D48" i="26"/>
  <c r="D15" i="26"/>
  <c r="D39" i="26"/>
  <c r="D6" i="26"/>
  <c r="D29" i="26"/>
  <c r="D8" i="26"/>
  <c r="D9" i="26"/>
  <c r="D18" i="26"/>
  <c r="D36" i="26"/>
  <c r="D19" i="26"/>
  <c r="D40" i="26"/>
  <c r="D46" i="26"/>
  <c r="C56" i="23"/>
  <c r="D56" i="26" l="1"/>
  <c r="C28" i="26" s="1"/>
  <c r="D28" i="27" l="1"/>
  <c r="C23" i="26"/>
  <c r="C18" i="26"/>
  <c r="C7" i="26"/>
  <c r="C29" i="26"/>
  <c r="C49" i="26"/>
  <c r="C45" i="26"/>
  <c r="C41" i="26"/>
  <c r="C15" i="26"/>
  <c r="C5" i="26"/>
  <c r="C31" i="26"/>
  <c r="C24" i="26"/>
  <c r="C19" i="26"/>
  <c r="C8" i="26"/>
  <c r="C50" i="26"/>
  <c r="C46" i="26"/>
  <c r="C42" i="26"/>
  <c r="C12" i="26"/>
  <c r="C27" i="26"/>
  <c r="C22" i="26"/>
  <c r="C10" i="26"/>
  <c r="C6" i="26"/>
  <c r="C52" i="26"/>
  <c r="C48" i="26"/>
  <c r="C44" i="26"/>
  <c r="C40" i="26"/>
  <c r="C14" i="26"/>
  <c r="C36" i="26"/>
  <c r="C16" i="26"/>
  <c r="C38" i="26"/>
  <c r="C26" i="26"/>
  <c r="C20" i="26"/>
  <c r="C9" i="26"/>
  <c r="C33" i="26"/>
  <c r="C51" i="26"/>
  <c r="C47" i="26"/>
  <c r="C43" i="26"/>
  <c r="C39" i="26"/>
  <c r="C13" i="26"/>
  <c r="C34" i="26"/>
  <c r="C30" i="26"/>
  <c r="C32" i="26"/>
  <c r="C17" i="26"/>
  <c r="C25" i="26"/>
  <c r="C21" i="26"/>
  <c r="D20" i="27" l="1"/>
  <c r="D21" i="27"/>
  <c r="D30" i="27"/>
  <c r="D43" i="27"/>
  <c r="D9" i="27"/>
  <c r="D16" i="27"/>
  <c r="D44" i="27"/>
  <c r="D10" i="27"/>
  <c r="D42" i="27"/>
  <c r="D19" i="27"/>
  <c r="D15" i="27"/>
  <c r="D29" i="27"/>
  <c r="D25" i="27"/>
  <c r="D34" i="27"/>
  <c r="D47" i="27"/>
  <c r="D36" i="27"/>
  <c r="D48" i="27"/>
  <c r="D22" i="27"/>
  <c r="D46" i="27"/>
  <c r="D24" i="27"/>
  <c r="D41" i="27"/>
  <c r="D7" i="27"/>
  <c r="D17" i="27"/>
  <c r="D13" i="27"/>
  <c r="D51" i="27"/>
  <c r="D26" i="27"/>
  <c r="D14" i="27"/>
  <c r="D52" i="27"/>
  <c r="D27" i="27"/>
  <c r="D50" i="27"/>
  <c r="D31" i="27"/>
  <c r="D45" i="27"/>
  <c r="D18" i="27"/>
  <c r="D32" i="27"/>
  <c r="D39" i="27"/>
  <c r="D33" i="27"/>
  <c r="D38" i="27"/>
  <c r="D40" i="27"/>
  <c r="D6" i="27"/>
  <c r="D12" i="27"/>
  <c r="D8" i="27"/>
  <c r="D5" i="27"/>
  <c r="C56" i="26"/>
  <c r="D49" i="27"/>
  <c r="D23" i="27"/>
  <c r="D56" i="27" l="1"/>
  <c r="C20" i="27" l="1"/>
  <c r="C28" i="27"/>
  <c r="C24" i="27"/>
  <c r="C18" i="27"/>
  <c r="C10" i="27"/>
  <c r="C41" i="27"/>
  <c r="C17" i="27"/>
  <c r="C23" i="27"/>
  <c r="C52" i="27"/>
  <c r="C14" i="27"/>
  <c r="C8" i="27"/>
  <c r="C47" i="27"/>
  <c r="C12" i="27"/>
  <c r="C6" i="27"/>
  <c r="C13" i="27"/>
  <c r="C7" i="27"/>
  <c r="C19" i="27"/>
  <c r="C40" i="27"/>
  <c r="C26" i="27"/>
  <c r="C32" i="27"/>
  <c r="C43" i="27"/>
  <c r="C42" i="27"/>
  <c r="C51" i="27"/>
  <c r="C49" i="27"/>
  <c r="C44" i="27"/>
  <c r="C50" i="27"/>
  <c r="C36" i="27"/>
  <c r="C21" i="27"/>
  <c r="C22" i="27"/>
  <c r="C15" i="27"/>
  <c r="C39" i="27"/>
  <c r="C45" i="27"/>
  <c r="C33" i="27"/>
  <c r="C27" i="27"/>
  <c r="C16" i="27"/>
  <c r="C31" i="27"/>
  <c r="C29" i="27"/>
  <c r="C48" i="27"/>
  <c r="C34" i="27"/>
  <c r="C9" i="27"/>
  <c r="C5" i="27"/>
  <c r="C38" i="27"/>
  <c r="C46" i="27"/>
  <c r="C25" i="27"/>
  <c r="C30" i="27"/>
  <c r="D28" i="28" l="1"/>
  <c r="D30" i="28"/>
  <c r="D38" i="28"/>
  <c r="D48" i="28"/>
  <c r="D27" i="28"/>
  <c r="D15" i="28"/>
  <c r="D50" i="28"/>
  <c r="D42" i="28"/>
  <c r="D40" i="28"/>
  <c r="D6" i="28"/>
  <c r="D14" i="28"/>
  <c r="D41" i="28"/>
  <c r="D25" i="28"/>
  <c r="D5" i="28"/>
  <c r="C56" i="27"/>
  <c r="D29" i="28"/>
  <c r="D33" i="28"/>
  <c r="D22" i="28"/>
  <c r="D44" i="28"/>
  <c r="D43" i="28"/>
  <c r="D19" i="28"/>
  <c r="D12" i="28"/>
  <c r="D52" i="28"/>
  <c r="D10" i="28"/>
  <c r="D46" i="28"/>
  <c r="D9" i="28"/>
  <c r="D31" i="28"/>
  <c r="D45" i="28"/>
  <c r="D21" i="28"/>
  <c r="D49" i="28"/>
  <c r="D32" i="28"/>
  <c r="D7" i="28"/>
  <c r="D47" i="28"/>
  <c r="D23" i="28"/>
  <c r="D18" i="28"/>
  <c r="D20" i="28"/>
  <c r="D34" i="28"/>
  <c r="D16" i="28"/>
  <c r="D39" i="28"/>
  <c r="D36" i="28"/>
  <c r="D51" i="28"/>
  <c r="D26" i="28"/>
  <c r="D13" i="28"/>
  <c r="D8" i="28"/>
  <c r="D17" i="28"/>
  <c r="D24" i="28"/>
  <c r="D56" i="28" l="1"/>
  <c r="C28" i="28" s="1"/>
  <c r="D28" i="39" l="1"/>
  <c r="C21" i="28"/>
  <c r="C29" i="28"/>
  <c r="C36" i="28"/>
  <c r="C23" i="28"/>
  <c r="C46" i="28"/>
  <c r="C47" i="28"/>
  <c r="C50" i="28"/>
  <c r="C12" i="28"/>
  <c r="C40" i="28"/>
  <c r="C33" i="28"/>
  <c r="C32" i="28"/>
  <c r="C13" i="28"/>
  <c r="C52" i="28"/>
  <c r="C44" i="28"/>
  <c r="C10" i="28"/>
  <c r="C19" i="28"/>
  <c r="C38" i="28"/>
  <c r="C25" i="28"/>
  <c r="C20" i="28"/>
  <c r="C7" i="28"/>
  <c r="C45" i="28"/>
  <c r="C41" i="28"/>
  <c r="C30" i="28"/>
  <c r="C18" i="28"/>
  <c r="C8" i="28"/>
  <c r="C22" i="28"/>
  <c r="C34" i="28"/>
  <c r="C48" i="28"/>
  <c r="C24" i="28"/>
  <c r="C27" i="28"/>
  <c r="C16" i="28"/>
  <c r="C31" i="28"/>
  <c r="C17" i="28"/>
  <c r="C49" i="28"/>
  <c r="C14" i="28"/>
  <c r="C42" i="28"/>
  <c r="C5" i="28"/>
  <c r="C15" i="28"/>
  <c r="C9" i="28"/>
  <c r="C6" i="28"/>
  <c r="C51" i="28"/>
  <c r="C26" i="28"/>
  <c r="C43" i="28"/>
  <c r="C39" i="28"/>
  <c r="D26" i="39" l="1"/>
  <c r="D49" i="39"/>
  <c r="D22" i="39"/>
  <c r="D25" i="39"/>
  <c r="D44" i="39"/>
  <c r="D47" i="39"/>
  <c r="D15" i="39"/>
  <c r="D27" i="39"/>
  <c r="D41" i="39"/>
  <c r="D33" i="39"/>
  <c r="D29" i="39"/>
  <c r="D39" i="39"/>
  <c r="D6" i="39"/>
  <c r="D42" i="39"/>
  <c r="D31" i="39"/>
  <c r="D48" i="39"/>
  <c r="D18" i="39"/>
  <c r="D7" i="39"/>
  <c r="D19" i="39"/>
  <c r="D13" i="39"/>
  <c r="D12" i="39"/>
  <c r="D23" i="39"/>
  <c r="D43" i="39"/>
  <c r="D9" i="39"/>
  <c r="D14" i="39"/>
  <c r="D16" i="39"/>
  <c r="D34" i="39"/>
  <c r="D30" i="39"/>
  <c r="D20" i="39"/>
  <c r="D10" i="39"/>
  <c r="D32" i="39"/>
  <c r="D50" i="39"/>
  <c r="D36" i="39"/>
  <c r="D51" i="39"/>
  <c r="D5" i="39"/>
  <c r="D17" i="39"/>
  <c r="D24" i="39"/>
  <c r="D8" i="39"/>
  <c r="D45" i="39"/>
  <c r="D38" i="39"/>
  <c r="D52" i="39"/>
  <c r="D40" i="39"/>
  <c r="D46" i="39"/>
  <c r="D21" i="39"/>
  <c r="C56" i="28"/>
  <c r="D56" i="39" l="1"/>
  <c r="C28" i="39" l="1"/>
  <c r="C42" i="39"/>
  <c r="C34" i="39"/>
  <c r="C31" i="39"/>
  <c r="C47" i="39"/>
  <c r="C22" i="39"/>
  <c r="C24" i="39"/>
  <c r="C46" i="39"/>
  <c r="C5" i="39"/>
  <c r="C38" i="39"/>
  <c r="C50" i="39"/>
  <c r="C17" i="39"/>
  <c r="C7" i="39"/>
  <c r="C6" i="39"/>
  <c r="C29" i="39"/>
  <c r="C20" i="39"/>
  <c r="C14" i="39"/>
  <c r="C23" i="39"/>
  <c r="C40" i="39"/>
  <c r="C49" i="39"/>
  <c r="C10" i="39"/>
  <c r="C26" i="39"/>
  <c r="C32" i="39"/>
  <c r="C16" i="39"/>
  <c r="C13" i="39"/>
  <c r="C33" i="39"/>
  <c r="C25" i="39"/>
  <c r="C18" i="39"/>
  <c r="C39" i="39"/>
  <c r="C52" i="39"/>
  <c r="C15" i="39"/>
  <c r="C12" i="39"/>
  <c r="C41" i="39"/>
  <c r="C27" i="39"/>
  <c r="C44" i="39"/>
  <c r="C43" i="39"/>
  <c r="C21" i="39"/>
  <c r="C51" i="39"/>
  <c r="C36" i="39"/>
  <c r="C45" i="39"/>
  <c r="C48" i="39"/>
  <c r="C8" i="39"/>
  <c r="C30" i="39"/>
  <c r="C9" i="39"/>
  <c r="C19" i="39"/>
  <c r="D51" i="40" l="1"/>
  <c r="D52" i="40"/>
  <c r="D33" i="40"/>
  <c r="D23" i="40"/>
  <c r="D6" i="40"/>
  <c r="D38" i="40"/>
  <c r="D22" i="40"/>
  <c r="D42" i="40"/>
  <c r="D19" i="40"/>
  <c r="D48" i="40"/>
  <c r="D41" i="40"/>
  <c r="D39" i="40"/>
  <c r="D13" i="40"/>
  <c r="D10" i="40"/>
  <c r="D14" i="40"/>
  <c r="D7" i="40"/>
  <c r="D5" i="40"/>
  <c r="C56" i="39"/>
  <c r="D28" i="40"/>
  <c r="D9" i="40"/>
  <c r="D45" i="40"/>
  <c r="D43" i="40"/>
  <c r="D12" i="40"/>
  <c r="D18" i="40"/>
  <c r="D16" i="40"/>
  <c r="D49" i="40"/>
  <c r="D20" i="40"/>
  <c r="D17" i="40"/>
  <c r="D46" i="40"/>
  <c r="D31" i="40"/>
  <c r="D30" i="40"/>
  <c r="D36" i="40"/>
  <c r="D44" i="40"/>
  <c r="D15" i="40"/>
  <c r="D25" i="40"/>
  <c r="D32" i="40"/>
  <c r="D40" i="40"/>
  <c r="D29" i="40"/>
  <c r="D50" i="40"/>
  <c r="D24" i="40"/>
  <c r="D34" i="40"/>
  <c r="D8" i="40"/>
  <c r="D27" i="40"/>
  <c r="D26" i="40"/>
  <c r="D21" i="40"/>
  <c r="D47" i="40"/>
  <c r="D56" i="40" l="1"/>
  <c r="C28" i="40" l="1"/>
  <c r="C39" i="40"/>
  <c r="C48" i="40"/>
  <c r="C20" i="40"/>
  <c r="C21" i="40"/>
  <c r="C23" i="40"/>
  <c r="C16" i="40"/>
  <c r="C47" i="40"/>
  <c r="C25" i="40"/>
  <c r="C7" i="40"/>
  <c r="C29" i="40"/>
  <c r="C31" i="40"/>
  <c r="C17" i="40"/>
  <c r="C18" i="40"/>
  <c r="C41" i="40"/>
  <c r="C22" i="40"/>
  <c r="C44" i="40"/>
  <c r="C5" i="40"/>
  <c r="C38" i="40"/>
  <c r="C46" i="40"/>
  <c r="C50" i="40"/>
  <c r="C32" i="40"/>
  <c r="C14" i="40"/>
  <c r="C36" i="40"/>
  <c r="C12" i="40"/>
  <c r="C26" i="40"/>
  <c r="C15" i="40"/>
  <c r="C43" i="40"/>
  <c r="C52" i="40"/>
  <c r="C34" i="40"/>
  <c r="C10" i="40"/>
  <c r="C19" i="40"/>
  <c r="C51" i="40"/>
  <c r="C13" i="40"/>
  <c r="C8" i="40"/>
  <c r="C49" i="40"/>
  <c r="C9" i="40"/>
  <c r="C30" i="40"/>
  <c r="C6" i="40"/>
  <c r="C24" i="40"/>
  <c r="C40" i="40"/>
  <c r="C42" i="40"/>
  <c r="C27" i="40"/>
  <c r="C45" i="40"/>
  <c r="C33" i="40"/>
  <c r="D42" i="41" l="1"/>
  <c r="D30" i="41"/>
  <c r="D34" i="41"/>
  <c r="D26" i="41"/>
  <c r="D32" i="41"/>
  <c r="D5" i="41"/>
  <c r="C56" i="40"/>
  <c r="D18" i="41"/>
  <c r="D7" i="41"/>
  <c r="D39" i="41"/>
  <c r="D45" i="41"/>
  <c r="D24" i="41"/>
  <c r="D49" i="41"/>
  <c r="D19" i="41"/>
  <c r="D43" i="41"/>
  <c r="D36" i="41"/>
  <c r="D46" i="41"/>
  <c r="D22" i="41"/>
  <c r="D31" i="41"/>
  <c r="D47" i="41"/>
  <c r="D20" i="41"/>
  <c r="D27" i="41"/>
  <c r="D6" i="41"/>
  <c r="D8" i="41"/>
  <c r="D10" i="41"/>
  <c r="D15" i="41"/>
  <c r="D14" i="41"/>
  <c r="D38" i="41"/>
  <c r="D41" i="41"/>
  <c r="D29" i="41"/>
  <c r="D16" i="41"/>
  <c r="D48" i="41"/>
  <c r="D13" i="41"/>
  <c r="D23" i="41"/>
  <c r="D33" i="41"/>
  <c r="D40" i="41"/>
  <c r="D9" i="41"/>
  <c r="D51" i="41"/>
  <c r="D52" i="41"/>
  <c r="D12" i="41"/>
  <c r="D50" i="41"/>
  <c r="D44" i="41"/>
  <c r="D17" i="41"/>
  <c r="D25" i="41"/>
  <c r="D21" i="41"/>
  <c r="D28" i="41"/>
  <c r="D56" i="41" l="1"/>
  <c r="C28" i="41" l="1"/>
  <c r="C42" i="41"/>
  <c r="C23" i="41"/>
  <c r="C18" i="41"/>
  <c r="C17" i="41"/>
  <c r="C49" i="41"/>
  <c r="C31" i="41"/>
  <c r="C15" i="41"/>
  <c r="C44" i="41"/>
  <c r="C50" i="41"/>
  <c r="C26" i="41"/>
  <c r="C27" i="41"/>
  <c r="C6" i="41"/>
  <c r="C7" i="41"/>
  <c r="C16" i="41"/>
  <c r="C34" i="41"/>
  <c r="C29" i="41"/>
  <c r="C32" i="41"/>
  <c r="C47" i="41"/>
  <c r="C36" i="41"/>
  <c r="C30" i="41"/>
  <c r="C46" i="41"/>
  <c r="C22" i="41"/>
  <c r="C40" i="41"/>
  <c r="C33" i="41"/>
  <c r="C38" i="41"/>
  <c r="C19" i="41"/>
  <c r="C14" i="41"/>
  <c r="C48" i="41"/>
  <c r="C25" i="41"/>
  <c r="C43" i="41"/>
  <c r="C45" i="41"/>
  <c r="C10" i="41"/>
  <c r="C20" i="41"/>
  <c r="C52" i="41"/>
  <c r="C8" i="41"/>
  <c r="C9" i="41"/>
  <c r="C21" i="41"/>
  <c r="C5" i="41"/>
  <c r="C13" i="41"/>
  <c r="C51" i="41"/>
  <c r="C12" i="41"/>
  <c r="C24" i="41"/>
  <c r="C39" i="41"/>
  <c r="C41" i="41"/>
  <c r="D21" i="42" l="1"/>
  <c r="D20" i="42"/>
  <c r="D25" i="42"/>
  <c r="D38" i="42"/>
  <c r="D46" i="42"/>
  <c r="D32" i="42"/>
  <c r="D7" i="42"/>
  <c r="D50" i="42"/>
  <c r="D49" i="42"/>
  <c r="D42" i="42"/>
  <c r="D41" i="42"/>
  <c r="D51" i="42"/>
  <c r="D10" i="42"/>
  <c r="D48" i="42"/>
  <c r="D33" i="42"/>
  <c r="D30" i="42"/>
  <c r="D29" i="42"/>
  <c r="D6" i="42"/>
  <c r="D44" i="42"/>
  <c r="D17" i="42"/>
  <c r="D28" i="42"/>
  <c r="D39" i="42"/>
  <c r="D13" i="42"/>
  <c r="D8" i="42"/>
  <c r="D45" i="42"/>
  <c r="D14" i="42"/>
  <c r="D40" i="42"/>
  <c r="D36" i="42"/>
  <c r="D34" i="42"/>
  <c r="D27" i="42"/>
  <c r="D15" i="42"/>
  <c r="D18" i="42"/>
  <c r="D24" i="42"/>
  <c r="D5" i="42"/>
  <c r="C56" i="41"/>
  <c r="D52" i="42"/>
  <c r="D43" i="42"/>
  <c r="D19" i="42"/>
  <c r="D22" i="42"/>
  <c r="D47" i="42"/>
  <c r="D16" i="42"/>
  <c r="D26" i="42"/>
  <c r="D31" i="42"/>
  <c r="D23" i="42"/>
  <c r="D12" i="42"/>
  <c r="D9" i="42"/>
  <c r="D56" i="42" l="1"/>
  <c r="C28" i="42" l="1"/>
  <c r="C46" i="42"/>
  <c r="C41" i="42"/>
  <c r="C52" i="42"/>
  <c r="C47" i="42"/>
  <c r="C7" i="42"/>
  <c r="C6" i="42"/>
  <c r="C49" i="42"/>
  <c r="C34" i="42"/>
  <c r="C44" i="42"/>
  <c r="C10" i="42"/>
  <c r="C8" i="42"/>
  <c r="C21" i="42"/>
  <c r="C33" i="42"/>
  <c r="C42" i="42"/>
  <c r="C5" i="42"/>
  <c r="C38" i="42"/>
  <c r="C36" i="42"/>
  <c r="C40" i="42"/>
  <c r="C32" i="42"/>
  <c r="C15" i="42"/>
  <c r="C12" i="42"/>
  <c r="C18" i="42"/>
  <c r="C51" i="42"/>
  <c r="C22" i="42"/>
  <c r="C17" i="42"/>
  <c r="C19" i="42"/>
  <c r="C13" i="42"/>
  <c r="C14" i="42"/>
  <c r="C45" i="42"/>
  <c r="C20" i="42"/>
  <c r="C39" i="42"/>
  <c r="C25" i="42"/>
  <c r="C43" i="42"/>
  <c r="C50" i="42"/>
  <c r="C30" i="42"/>
  <c r="C29" i="42"/>
  <c r="C24" i="42"/>
  <c r="C9" i="42"/>
  <c r="C16" i="42"/>
  <c r="C26" i="42"/>
  <c r="C23" i="42"/>
  <c r="C48" i="42"/>
  <c r="C31" i="42"/>
  <c r="C27" i="42"/>
  <c r="D23" i="43" l="1"/>
  <c r="D24" i="43"/>
  <c r="D45" i="43"/>
  <c r="D17" i="43"/>
  <c r="D12" i="43"/>
  <c r="D36" i="43"/>
  <c r="D33" i="43"/>
  <c r="D44" i="43"/>
  <c r="D7" i="43"/>
  <c r="D46" i="43"/>
  <c r="D27" i="43"/>
  <c r="D26" i="43"/>
  <c r="D29" i="43"/>
  <c r="D25" i="43"/>
  <c r="D14" i="43"/>
  <c r="D22" i="43"/>
  <c r="D15" i="43"/>
  <c r="D38" i="43"/>
  <c r="D21" i="43"/>
  <c r="D34" i="43"/>
  <c r="D47" i="43"/>
  <c r="D28" i="43"/>
  <c r="D31" i="43"/>
  <c r="D16" i="43"/>
  <c r="D30" i="43"/>
  <c r="D39" i="43"/>
  <c r="D13" i="43"/>
  <c r="D51" i="43"/>
  <c r="D32" i="43"/>
  <c r="D5" i="43"/>
  <c r="C56" i="42"/>
  <c r="D8" i="43"/>
  <c r="D49" i="43"/>
  <c r="D52" i="43"/>
  <c r="D48" i="43"/>
  <c r="D9" i="43"/>
  <c r="D50" i="43"/>
  <c r="D20" i="43"/>
  <c r="D19" i="43"/>
  <c r="D18" i="43"/>
  <c r="D40" i="43"/>
  <c r="D42" i="43"/>
  <c r="D10" i="43"/>
  <c r="D6" i="43"/>
  <c r="D41" i="43"/>
  <c r="D43" i="43"/>
  <c r="D56" i="43" l="1"/>
  <c r="C28" i="43" l="1"/>
  <c r="C19" i="43"/>
  <c r="C34" i="43"/>
  <c r="C36" i="43"/>
  <c r="C47" i="43"/>
  <c r="C42" i="43"/>
  <c r="C46" i="43"/>
  <c r="C48" i="43"/>
  <c r="C7" i="43"/>
  <c r="C12" i="43"/>
  <c r="C31" i="43"/>
  <c r="C40" i="43"/>
  <c r="C8" i="43"/>
  <c r="C39" i="43"/>
  <c r="C43" i="43"/>
  <c r="C49" i="43"/>
  <c r="C38" i="43"/>
  <c r="C50" i="43"/>
  <c r="C16" i="43"/>
  <c r="C52" i="43"/>
  <c r="C32" i="43"/>
  <c r="C24" i="43"/>
  <c r="C44" i="43"/>
  <c r="C41" i="43"/>
  <c r="C15" i="43"/>
  <c r="C23" i="43"/>
  <c r="C5" i="43"/>
  <c r="C22" i="43"/>
  <c r="C33" i="43"/>
  <c r="C21" i="43"/>
  <c r="C25" i="43"/>
  <c r="C18" i="43"/>
  <c r="C6" i="43"/>
  <c r="C10" i="43"/>
  <c r="C9" i="43"/>
  <c r="C29" i="43"/>
  <c r="C20" i="43"/>
  <c r="C27" i="43"/>
  <c r="C45" i="43"/>
  <c r="C14" i="43"/>
  <c r="C51" i="43"/>
  <c r="C30" i="43"/>
  <c r="C17" i="43"/>
  <c r="C13" i="43"/>
  <c r="C26" i="43"/>
  <c r="D30" i="44" l="1"/>
  <c r="D27" i="44"/>
  <c r="D21" i="44"/>
  <c r="D23" i="44"/>
  <c r="D24" i="44"/>
  <c r="D50" i="44"/>
  <c r="D39" i="44"/>
  <c r="D12" i="44"/>
  <c r="D42" i="44"/>
  <c r="D19" i="44"/>
  <c r="D26" i="44"/>
  <c r="D20" i="44"/>
  <c r="D6" i="44"/>
  <c r="D33" i="44"/>
  <c r="D15" i="44"/>
  <c r="D38" i="44"/>
  <c r="D8" i="44"/>
  <c r="D7" i="44"/>
  <c r="D47" i="44"/>
  <c r="D13" i="44"/>
  <c r="D14" i="44"/>
  <c r="D29" i="44"/>
  <c r="D18" i="44"/>
  <c r="D22" i="44"/>
  <c r="D41" i="44"/>
  <c r="D52" i="44"/>
  <c r="D49" i="44"/>
  <c r="D40" i="44"/>
  <c r="D48" i="44"/>
  <c r="D36" i="44"/>
  <c r="D17" i="44"/>
  <c r="D45" i="44"/>
  <c r="D9" i="44"/>
  <c r="D25" i="44"/>
  <c r="D5" i="44"/>
  <c r="C56" i="43"/>
  <c r="D44" i="44"/>
  <c r="D16" i="44"/>
  <c r="D43" i="44"/>
  <c r="D31" i="44"/>
  <c r="D46" i="44"/>
  <c r="D34" i="44"/>
  <c r="D10" i="44"/>
  <c r="D51" i="44"/>
  <c r="D32" i="44"/>
  <c r="D28" i="44"/>
  <c r="D56" i="44" l="1"/>
  <c r="C28" i="44" l="1"/>
  <c r="C46" i="44"/>
  <c r="C31" i="44"/>
  <c r="C17" i="44"/>
  <c r="C32" i="44"/>
  <c r="C29" i="44"/>
  <c r="C15" i="44"/>
  <c r="C24" i="44"/>
  <c r="C30" i="44"/>
  <c r="C21" i="44"/>
  <c r="C51" i="44"/>
  <c r="C48" i="44"/>
  <c r="C34" i="44"/>
  <c r="C49" i="44"/>
  <c r="C19" i="44"/>
  <c r="C44" i="44"/>
  <c r="C38" i="44"/>
  <c r="C50" i="44"/>
  <c r="C43" i="44"/>
  <c r="C20" i="44"/>
  <c r="C23" i="44"/>
  <c r="C14" i="44"/>
  <c r="C12" i="44"/>
  <c r="C52" i="44"/>
  <c r="C9" i="44"/>
  <c r="C18" i="44"/>
  <c r="C5" i="44"/>
  <c r="C39" i="44"/>
  <c r="C6" i="44"/>
  <c r="C36" i="44"/>
  <c r="C47" i="44"/>
  <c r="C10" i="44"/>
  <c r="C45" i="44"/>
  <c r="C42" i="44"/>
  <c r="C41" i="44"/>
  <c r="C33" i="44"/>
  <c r="C13" i="44"/>
  <c r="C8" i="44"/>
  <c r="C16" i="44"/>
  <c r="C7" i="44"/>
  <c r="C27" i="44"/>
  <c r="C25" i="44"/>
  <c r="C26" i="44"/>
  <c r="C40" i="44"/>
  <c r="C22" i="44"/>
  <c r="D7" i="49" l="1"/>
  <c r="D33" i="49"/>
  <c r="D10" i="49"/>
  <c r="D39" i="49"/>
  <c r="D52" i="49"/>
  <c r="D20" i="49"/>
  <c r="D44" i="49"/>
  <c r="D48" i="49"/>
  <c r="D24" i="49"/>
  <c r="D17" i="49"/>
  <c r="D40" i="49"/>
  <c r="D26" i="49"/>
  <c r="D16" i="49"/>
  <c r="D41" i="49"/>
  <c r="D47" i="49"/>
  <c r="D5" i="49"/>
  <c r="D12" i="49"/>
  <c r="D43" i="49"/>
  <c r="D19" i="49"/>
  <c r="D51" i="49"/>
  <c r="D15" i="49"/>
  <c r="D31" i="49"/>
  <c r="D25" i="49"/>
  <c r="D8" i="49"/>
  <c r="D42" i="49"/>
  <c r="D36" i="49"/>
  <c r="D18" i="49"/>
  <c r="D14" i="49"/>
  <c r="D50" i="49"/>
  <c r="D49" i="49"/>
  <c r="D21" i="49"/>
  <c r="D29" i="49"/>
  <c r="D46" i="49"/>
  <c r="D22" i="49"/>
  <c r="D27" i="49"/>
  <c r="D13" i="49"/>
  <c r="D45" i="49"/>
  <c r="D6" i="49"/>
  <c r="D9" i="49"/>
  <c r="D23" i="49"/>
  <c r="D38" i="49"/>
  <c r="D34" i="49"/>
  <c r="D30" i="49"/>
  <c r="D32" i="49"/>
  <c r="D28" i="49"/>
  <c r="D8" i="46"/>
  <c r="D8" i="45"/>
  <c r="D42" i="46"/>
  <c r="D42" i="45"/>
  <c r="D36" i="46"/>
  <c r="D36" i="45"/>
  <c r="D18" i="46"/>
  <c r="D18" i="45"/>
  <c r="D14" i="46"/>
  <c r="D14" i="45"/>
  <c r="D50" i="46"/>
  <c r="D50" i="45"/>
  <c r="D49" i="45"/>
  <c r="D49" i="46"/>
  <c r="D21" i="46"/>
  <c r="D21" i="45"/>
  <c r="D29" i="46"/>
  <c r="D29" i="45"/>
  <c r="D46" i="46"/>
  <c r="D46" i="45"/>
  <c r="D27" i="46"/>
  <c r="D27" i="45"/>
  <c r="D13" i="46"/>
  <c r="D13" i="45"/>
  <c r="D45" i="46"/>
  <c r="D45" i="45"/>
  <c r="D9" i="46"/>
  <c r="D9" i="45"/>
  <c r="D23" i="46"/>
  <c r="D23" i="45"/>
  <c r="D38" i="46"/>
  <c r="D38" i="45"/>
  <c r="D30" i="46"/>
  <c r="D30" i="45"/>
  <c r="D32" i="46"/>
  <c r="D32" i="45"/>
  <c r="D40" i="46"/>
  <c r="D40" i="45"/>
  <c r="D7" i="46"/>
  <c r="D7" i="45"/>
  <c r="D33" i="46"/>
  <c r="D33" i="45"/>
  <c r="D10" i="46"/>
  <c r="D10" i="45"/>
  <c r="D39" i="46"/>
  <c r="D39" i="45"/>
  <c r="D52" i="46"/>
  <c r="D52" i="45"/>
  <c r="D20" i="46"/>
  <c r="D20" i="45"/>
  <c r="D44" i="46"/>
  <c r="D44" i="45"/>
  <c r="D48" i="46"/>
  <c r="D48" i="45"/>
  <c r="D24" i="46"/>
  <c r="D24" i="45"/>
  <c r="D17" i="46"/>
  <c r="D17" i="45"/>
  <c r="D26" i="46"/>
  <c r="D26" i="45"/>
  <c r="D16" i="46"/>
  <c r="D16" i="45"/>
  <c r="D41" i="46"/>
  <c r="D41" i="45"/>
  <c r="D47" i="46"/>
  <c r="D47" i="45"/>
  <c r="D5" i="46"/>
  <c r="D5" i="45"/>
  <c r="C56" i="44"/>
  <c r="D12" i="46"/>
  <c r="D12" i="45"/>
  <c r="D43" i="46"/>
  <c r="D43" i="45"/>
  <c r="D19" i="46"/>
  <c r="D19" i="45"/>
  <c r="D51" i="46"/>
  <c r="D51" i="45"/>
  <c r="D15" i="46"/>
  <c r="D15" i="45"/>
  <c r="D31" i="46"/>
  <c r="D31" i="45"/>
  <c r="D25" i="46"/>
  <c r="D25" i="45"/>
  <c r="D22" i="46"/>
  <c r="D22" i="45"/>
  <c r="D6" i="46"/>
  <c r="D6" i="45"/>
  <c r="D34" i="46"/>
  <c r="D34" i="45"/>
  <c r="D28" i="46"/>
  <c r="D28" i="45"/>
  <c r="D56" i="49" l="1"/>
  <c r="D56" i="46"/>
  <c r="D56" i="45"/>
  <c r="C28" i="45" l="1"/>
  <c r="C42" i="45"/>
  <c r="C9" i="45"/>
  <c r="C29" i="45"/>
  <c r="C41" i="45"/>
  <c r="C8" i="45"/>
  <c r="C10" i="45"/>
  <c r="C20" i="45"/>
  <c r="C22" i="45"/>
  <c r="C15" i="45"/>
  <c r="C33" i="45"/>
  <c r="C14" i="45"/>
  <c r="C31" i="45"/>
  <c r="C39" i="45"/>
  <c r="C30" i="45"/>
  <c r="C51" i="45"/>
  <c r="C7" i="45"/>
  <c r="C48" i="45"/>
  <c r="C17" i="45"/>
  <c r="C26" i="45"/>
  <c r="C32" i="45"/>
  <c r="C27" i="45"/>
  <c r="C43" i="45"/>
  <c r="C49" i="45"/>
  <c r="C40" i="45"/>
  <c r="C47" i="45"/>
  <c r="C23" i="45"/>
  <c r="C21" i="45"/>
  <c r="C13" i="45"/>
  <c r="C16" i="45"/>
  <c r="C44" i="45"/>
  <c r="C24" i="45"/>
  <c r="C46" i="45"/>
  <c r="C45" i="45"/>
  <c r="C36" i="45"/>
  <c r="C6" i="45"/>
  <c r="C25" i="45"/>
  <c r="C34" i="45"/>
  <c r="C12" i="45"/>
  <c r="C5" i="45"/>
  <c r="C5" i="49" s="1"/>
  <c r="C52" i="45"/>
  <c r="C18" i="45"/>
  <c r="C38" i="45"/>
  <c r="C50" i="45"/>
  <c r="C19" i="45"/>
  <c r="C6" i="46" l="1"/>
  <c r="C6" i="49"/>
  <c r="C21" i="46"/>
  <c r="C21" i="49"/>
  <c r="C26" i="46"/>
  <c r="C26" i="49"/>
  <c r="C14" i="46"/>
  <c r="C14" i="49"/>
  <c r="C20" i="46"/>
  <c r="C20" i="49"/>
  <c r="C38" i="46"/>
  <c r="C38" i="49"/>
  <c r="C36" i="46"/>
  <c r="C36" i="49"/>
  <c r="C23" i="46"/>
  <c r="C23" i="49"/>
  <c r="C43" i="46"/>
  <c r="C43" i="49"/>
  <c r="C17" i="46"/>
  <c r="C17" i="49"/>
  <c r="C30" i="46"/>
  <c r="C30" i="49"/>
  <c r="C33" i="46"/>
  <c r="C33" i="49"/>
  <c r="C10" i="46"/>
  <c r="C10" i="49"/>
  <c r="C9" i="46"/>
  <c r="C9" i="49"/>
  <c r="C18" i="46"/>
  <c r="C18" i="49"/>
  <c r="C34" i="46"/>
  <c r="C34" i="49"/>
  <c r="C45" i="46"/>
  <c r="C45" i="49"/>
  <c r="C16" i="46"/>
  <c r="C16" i="49"/>
  <c r="C47" i="46"/>
  <c r="C47" i="49"/>
  <c r="C27" i="46"/>
  <c r="C27" i="49"/>
  <c r="C48" i="46"/>
  <c r="C48" i="49"/>
  <c r="C39" i="46"/>
  <c r="C39" i="49"/>
  <c r="C15" i="46"/>
  <c r="C15" i="49"/>
  <c r="C8" i="46"/>
  <c r="C8" i="49"/>
  <c r="C42" i="46"/>
  <c r="C42" i="49"/>
  <c r="C50" i="46"/>
  <c r="C50" i="49"/>
  <c r="C24" i="46"/>
  <c r="C24" i="49"/>
  <c r="C49" i="46"/>
  <c r="C49" i="49"/>
  <c r="C51" i="46"/>
  <c r="C51" i="49"/>
  <c r="C29" i="46"/>
  <c r="C29" i="49"/>
  <c r="C12" i="46"/>
  <c r="C12" i="49"/>
  <c r="C44" i="46"/>
  <c r="C44" i="49"/>
  <c r="C19" i="46"/>
  <c r="C19" i="49"/>
  <c r="C52" i="46"/>
  <c r="C52" i="49"/>
  <c r="C25" i="46"/>
  <c r="C25" i="49"/>
  <c r="C46" i="46"/>
  <c r="C46" i="49"/>
  <c r="C13" i="46"/>
  <c r="C13" i="49"/>
  <c r="C40" i="46"/>
  <c r="C40" i="49"/>
  <c r="C32" i="46"/>
  <c r="C32" i="49"/>
  <c r="C7" i="46"/>
  <c r="C7" i="49"/>
  <c r="C31" i="46"/>
  <c r="C31" i="49"/>
  <c r="C22" i="46"/>
  <c r="C22" i="49"/>
  <c r="C41" i="46"/>
  <c r="C41" i="49"/>
  <c r="C28" i="46"/>
  <c r="C28" i="49"/>
  <c r="C56" i="45"/>
  <c r="C5" i="46"/>
  <c r="C56" i="49" l="1"/>
  <c r="C56" i="46"/>
  <c r="J55" i="47" l="1"/>
</calcChain>
</file>

<file path=xl/sharedStrings.xml><?xml version="1.0" encoding="utf-8"?>
<sst xmlns="http://schemas.openxmlformats.org/spreadsheetml/2006/main" count="2478" uniqueCount="265">
  <si>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</si>
  <si>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</si>
  <si>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</si>
  <si>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</si>
  <si>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</si>
  <si>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</si>
  <si>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</si>
  <si>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</si>
  <si>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</si>
  <si>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</si>
  <si>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</si>
  <si>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</si>
  <si>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</si>
  <si>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</si>
  <si>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</si>
  <si>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</si>
  <si>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</si>
  <si>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</si>
  <si>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</si>
  <si>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</si>
  <si>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</si>
  <si>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</si>
  <si>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</si>
  <si>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</si>
  <si>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</si>
  <si>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</si>
  <si>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</si>
  <si>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</si>
  <si>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</si>
  <si>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</si>
  <si>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</si>
  <si>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</si>
  <si>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</si>
  <si>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</si>
  <si>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</si>
  <si>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</si>
  <si>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</si>
  <si>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</si>
  <si>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</si>
  <si>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</si>
  <si>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</si>
  <si>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</si>
  <si>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</si>
  <si>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</si>
  <si>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</si>
  <si>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</si>
  <si>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</si>
  <si>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</si>
  <si>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</si>
  <si>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</si>
  <si>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</si>
  <si>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</si>
  <si>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</si>
  <si>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</si>
  <si>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</si>
  <si>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</si>
  <si>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</si>
  <si>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</si>
  <si>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</si>
  <si>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</si>
  <si>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</si>
  <si>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</si>
  <si>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</si>
  <si>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</si>
  <si>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</si>
  <si>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</si>
  <si>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</si>
  <si>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</si>
  <si>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</si>
  <si>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</si>
  <si>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</si>
  <si>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</si>
  <si>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</si>
  <si>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</si>
  <si>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</si>
  <si>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</si>
  <si>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</si>
  <si>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</si>
  <si>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</si>
  <si>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</si>
  <si>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</si>
  <si>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</si>
  <si>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</si>
  <si>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</si>
  <si>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</si>
  <si>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</si>
  <si>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</si>
  <si>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</si>
  <si>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</si>
  <si>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</si>
  <si>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</si>
  <si>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</si>
  <si>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</si>
  <si>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</si>
  <si>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</si>
  <si>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</si>
  <si>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</si>
  <si>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</si>
  <si>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</si>
  <si>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</si>
  <si>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</si>
  <si>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</si>
  <si>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</si>
  <si>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</si>
  <si>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</si>
  <si>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</si>
  <si>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</si>
  <si>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</si>
  <si>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</si>
  <si>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</si>
  <si>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</si>
  <si>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</si>
  <si>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</si>
  <si>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</si>
  <si>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</si>
  <si>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</si>
  <si>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</si>
  <si>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</si>
  <si>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</si>
  <si>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</si>
  <si>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</si>
  <si>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</si>
  <si>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</si>
  <si>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</si>
  <si>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</si>
  <si>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</si>
  <si>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</si>
  <si>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</si>
  <si>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</si>
  <si>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</si>
  <si>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</si>
  <si>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</si>
  <si>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</si>
  <si>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</si>
  <si>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</si>
  <si>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</si>
  <si>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</si>
  <si>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</si>
  <si>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</si>
  <si>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</si>
  <si>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</si>
  <si>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</si>
  <si>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</si>
  <si>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</si>
  <si>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</si>
  <si>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</si>
  <si>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</si>
  <si>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</si>
  <si>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</si>
  <si>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</si>
  <si>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</si>
  <si>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</si>
  <si>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</si>
  <si>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</si>
  <si>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</si>
  <si>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</si>
  <si>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</si>
  <si>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</si>
  <si>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</si>
  <si>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</si>
  <si>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</si>
  <si>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</si>
  <si>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</si>
  <si>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</si>
  <si>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</si>
  <si>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</si>
  <si>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</si>
  <si>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</si>
  <si>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</si>
  <si>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</si>
  <si>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</si>
  <si>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</si>
  <si>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</si>
  <si>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</si>
  <si>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</si>
  <si>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</si>
  <si>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</si>
  <si>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</si>
  <si>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</si>
  <si>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</si>
  <si>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</si>
  <si>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</si>
  <si>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</si>
  <si>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</si>
  <si>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</si>
  <si>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</si>
  <si>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</si>
  <si>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</si>
  <si>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</si>
  <si>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</si>
  <si>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</si>
  <si>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</si>
  <si>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</si>
  <si>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</si>
  <si>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</si>
  <si>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</si>
  <si>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</si>
  <si>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</si>
  <si>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</si>
  <si>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</si>
  <si>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</si>
  <si>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</si>
  <si>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</si>
  <si>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</si>
  <si>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</si>
  <si>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</si>
  <si>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</si>
  <si>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</si>
  <si>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</si>
  <si>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</si>
  <si>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</si>
  <si>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</si>
  <si>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</si>
  <si>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</si>
  <si>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</si>
  <si>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</si>
  <si>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ECHEC</t>
  </si>
  <si>
    <t>BANQUE</t>
  </si>
  <si>
    <t>MONTANT TONTINE</t>
  </si>
  <si>
    <t>PENALITE</t>
  </si>
  <si>
    <t>MODE VERSEMENT</t>
  </si>
  <si>
    <t>RELIQUAT 2016</t>
  </si>
  <si>
    <t>AVALISTE</t>
  </si>
  <si>
    <t>ESPECES</t>
  </si>
  <si>
    <t>FRAIS EXCEPTIONNELS</t>
  </si>
  <si>
    <t>DETAIL</t>
  </si>
  <si>
    <t>MONTANT EFFECTIVEMENT VERSE</t>
  </si>
  <si>
    <t>SORTIE</t>
  </si>
  <si>
    <t>FONDS DISTRIBUE</t>
  </si>
  <si>
    <t>FRAIS DE TAXI</t>
  </si>
  <si>
    <t>CAPITAL EFFECTIVEMENT DISTRIBUE</t>
  </si>
  <si>
    <t>RETOUR BANQUE</t>
  </si>
  <si>
    <t>DJOUKWE NANGUEN GUY BLAISE</t>
  </si>
  <si>
    <t>DJUOMBESSY</t>
  </si>
  <si>
    <t>HOTCHO</t>
  </si>
  <si>
    <t>SEMO RICHOLET</t>
  </si>
  <si>
    <t>TUEGMA P LOTTI</t>
  </si>
  <si>
    <t>KOUADJO</t>
  </si>
  <si>
    <t>YEPMOU J JACQUES</t>
  </si>
  <si>
    <t>DJOMO JEAN JACQUES</t>
  </si>
  <si>
    <t>DJOUOKEP SAMUEL</t>
  </si>
  <si>
    <t>KOUATCHO</t>
  </si>
  <si>
    <t>ARRET</t>
  </si>
  <si>
    <t>NON MEMBRE</t>
  </si>
  <si>
    <t>PRÊT EN COURS</t>
  </si>
  <si>
    <t>DATE</t>
  </si>
  <si>
    <t>LIEU DE RECEPTION</t>
  </si>
  <si>
    <t>DETAIL VERSEMENT EN BANQUE</t>
  </si>
  <si>
    <t>TONTINE DE 100 000</t>
  </si>
  <si>
    <t>TONTINE DE 60 000</t>
  </si>
  <si>
    <t>TONTINE DE 20 000</t>
  </si>
  <si>
    <t>REMBOURSEMENT INTERET</t>
  </si>
  <si>
    <t>REMBOURSEMENT PRÊT</t>
  </si>
  <si>
    <t>MONTANT</t>
  </si>
  <si>
    <t>NOMS ET PRENOM D L'ADHERENT</t>
  </si>
  <si>
    <t>SERVICE FINANCIER</t>
  </si>
  <si>
    <t>LIBELLES</t>
  </si>
  <si>
    <t>BILAN MI PARCOURS</t>
  </si>
  <si>
    <t>NOM</t>
  </si>
  <si>
    <t>DATE REMBOURSEMENT</t>
  </si>
  <si>
    <t>KOUAMO VICTOR PEGUY</t>
  </si>
  <si>
    <t>INTERET PRORATA</t>
  </si>
  <si>
    <t>OBSERVATION</t>
  </si>
  <si>
    <t>INTERET PERCU</t>
  </si>
  <si>
    <t>MONTANT A PERCEVOIR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</si>
</sst>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2"/>
      <color theme="1"/>
      <name val="Britannic Bold"/>
      <family val="2"/>
    </font>
    <font>
      <sz val="10"/>
      <color theme="1"/>
      <name val="Britannic Bold"/>
      <family val="2"/>
    </font>
    <font>
      <sz val="1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4"/>
      <name val="Britannic Bol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17" fontId="0" fillId="0" borderId="3" xfId="0" applyNumberFormat="1" applyBorder="1"/>
    <xf numFmtId="0" fontId="0" fillId="0" borderId="12" xfId="0" applyBorder="1"/>
    <xf numFmtId="0" fontId="0" fillId="0" borderId="7" xfId="0" applyFill="1" applyBorder="1"/>
    <xf numFmtId="0" fontId="0" fillId="0" borderId="8" xfId="0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8" fillId="0" borderId="0" xfId="0" applyNumberFormat="1" applyFont="1"/>
    <xf numFmtId="0" fontId="12" fillId="0" borderId="0" xfId="0" applyFont="1"/>
    <xf numFmtId="3" fontId="12" fillId="0" borderId="0" xfId="0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/>
    <xf numFmtId="0" fontId="14" fillId="0" borderId="0" xfId="0" applyFont="1" applyAlignment="1">
      <alignment horizontal="center"/>
    </xf>
    <xf numFmtId="3" fontId="15" fillId="0" borderId="0" xfId="0" applyNumberFormat="1" applyFont="1"/>
    <xf numFmtId="3" fontId="7" fillId="0" borderId="0" xfId="0" applyNumberFormat="1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16" fillId="0" borderId="0" xfId="0" applyNumberFormat="1" applyFont="1"/>
    <xf numFmtId="0" fontId="12" fillId="0" borderId="0" xfId="0" applyFont="1" applyAlignment="1">
      <alignment horizontal="center"/>
    </xf>
    <xf numFmtId="14" fontId="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6" fillId="0" borderId="6" xfId="0" applyFont="1" applyBorder="1"/>
    <xf numFmtId="0" fontId="17" fillId="0" borderId="4" xfId="0" applyFont="1" applyBorder="1"/>
    <xf numFmtId="0" fontId="17" fillId="0" borderId="5" xfId="0" applyFont="1" applyBorder="1"/>
    <xf numFmtId="0" fontId="18" fillId="0" borderId="6" xfId="0" applyFont="1" applyBorder="1"/>
    <xf numFmtId="0" fontId="19" fillId="0" borderId="12" xfId="0" applyFont="1" applyBorder="1"/>
    <xf numFmtId="0" fontId="19" fillId="0" borderId="7" xfId="0" applyFont="1" applyBorder="1"/>
    <xf numFmtId="0" fontId="6" fillId="0" borderId="8" xfId="0" applyFont="1" applyBorder="1"/>
    <xf numFmtId="0" fontId="1" fillId="0" borderId="1" xfId="0" applyFont="1" applyBorder="1"/>
    <xf numFmtId="0" fontId="1" fillId="0" borderId="2" xfId="0" applyFont="1" applyBorder="1"/>
    <xf numFmtId="3" fontId="1" fillId="0" borderId="2" xfId="0" applyNumberFormat="1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3" fontId="1" fillId="0" borderId="5" xfId="0" applyNumberFormat="1" applyFont="1" applyBorder="1"/>
    <xf numFmtId="3" fontId="3" fillId="0" borderId="5" xfId="0" applyNumberFormat="1" applyFont="1" applyBorder="1"/>
    <xf numFmtId="3" fontId="1" fillId="0" borderId="5" xfId="0" applyNumberFormat="1" applyFont="1" applyBorder="1" applyAlignment="1">
      <alignment horizontal="right"/>
    </xf>
    <xf numFmtId="0" fontId="12" fillId="0" borderId="4" xfId="0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0" fillId="0" borderId="7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 applyAlignment="1">
      <alignment horizontal="center" wrapText="1"/>
    </xf>
    <xf numFmtId="164" fontId="0" fillId="0" borderId="0" xfId="0" applyNumberFormat="1"/>
    <xf numFmtId="164" fontId="1" fillId="0" borderId="6" xfId="0" applyNumberFormat="1" applyFont="1" applyBorder="1" applyAlignment="1">
      <alignment horizontal="right"/>
    </xf>
    <xf numFmtId="164" fontId="10" fillId="0" borderId="8" xfId="0" applyNumberFormat="1" applyFont="1" applyBorder="1"/>
    <xf numFmtId="0" fontId="1" fillId="0" borderId="13" xfId="0" applyFont="1" applyBorder="1" applyAlignment="1">
      <alignment horizontal="center" wrapText="1"/>
    </xf>
    <xf numFmtId="3" fontId="1" fillId="0" borderId="14" xfId="0" applyNumberFormat="1" applyFont="1" applyBorder="1" applyAlignment="1">
      <alignment horizontal="right"/>
    </xf>
    <xf numFmtId="3" fontId="0" fillId="0" borderId="0" xfId="0" applyNumberFormat="1" applyProtection="1">
      <protection locked="0"/>
    </xf>
    <xf numFmtId="164" fontId="1" fillId="0" borderId="6" xfId="0" applyNumberFormat="1" applyFont="1" applyBorder="1" applyAlignment="1" applyProtection="1">
      <alignment horizontal="right"/>
      <protection locked="0"/>
    </xf>
    <xf numFmtId="49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BACKUP/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BACKUP/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P6">
            <v>560000</v>
          </cell>
          <cell r="AQ6">
            <v>42948</v>
          </cell>
          <cell r="AR6">
            <v>60000</v>
          </cell>
          <cell r="AS6" t="str">
            <v>ECHEC</v>
          </cell>
        </row>
        <row r="7">
          <cell r="AP7">
            <v>784000</v>
          </cell>
          <cell r="AQ7">
            <v>43040</v>
          </cell>
          <cell r="AR7">
            <v>63000</v>
          </cell>
        </row>
        <row r="8">
          <cell r="AP8">
            <v>1120000</v>
          </cell>
          <cell r="AQ8">
            <v>42887</v>
          </cell>
          <cell r="AR8">
            <v>140000</v>
          </cell>
          <cell r="AS8" t="str">
            <v>ECHEC</v>
          </cell>
        </row>
        <row r="9">
          <cell r="AP9">
            <v>1017000</v>
          </cell>
          <cell r="AQ9">
            <v>43132</v>
          </cell>
          <cell r="AR9">
            <v>70000</v>
          </cell>
        </row>
        <row r="10">
          <cell r="AP10">
            <v>140000</v>
          </cell>
          <cell r="AQ10">
            <v>42767</v>
          </cell>
          <cell r="AR10">
            <v>20000</v>
          </cell>
        </row>
        <row r="11">
          <cell r="AP11">
            <v>1120000</v>
          </cell>
          <cell r="AQ11">
            <v>43252</v>
          </cell>
          <cell r="AR11">
            <v>20000</v>
          </cell>
        </row>
        <row r="12">
          <cell r="AP12">
            <v>784000</v>
          </cell>
          <cell r="AQ12">
            <v>43252</v>
          </cell>
          <cell r="AR12">
            <v>14000</v>
          </cell>
        </row>
        <row r="13">
          <cell r="AP13">
            <v>0</v>
          </cell>
        </row>
        <row r="14">
          <cell r="AP14">
            <v>1120000</v>
          </cell>
          <cell r="AQ14">
            <v>42826</v>
          </cell>
          <cell r="AR14">
            <v>170000</v>
          </cell>
          <cell r="AS14" t="str">
            <v>ECHEC</v>
          </cell>
        </row>
        <row r="15">
          <cell r="AP15">
            <v>0</v>
          </cell>
        </row>
        <row r="16">
          <cell r="AP16">
            <v>0</v>
          </cell>
        </row>
        <row r="17">
          <cell r="AP17">
            <v>784000</v>
          </cell>
          <cell r="AQ17">
            <v>43252</v>
          </cell>
          <cell r="AR17">
            <v>14000</v>
          </cell>
        </row>
        <row r="18">
          <cell r="AP18">
            <v>0</v>
          </cell>
        </row>
        <row r="19">
          <cell r="AP19">
            <v>0</v>
          </cell>
        </row>
        <row r="20">
          <cell r="AP20">
            <v>950000</v>
          </cell>
          <cell r="AQ20">
            <v>42917</v>
          </cell>
          <cell r="AR20">
            <v>120000</v>
          </cell>
        </row>
        <row r="21">
          <cell r="AP21">
            <v>592000</v>
          </cell>
          <cell r="AQ21">
            <v>43160</v>
          </cell>
          <cell r="AR21">
            <v>25000</v>
          </cell>
        </row>
        <row r="22">
          <cell r="AP22">
            <v>896000</v>
          </cell>
          <cell r="AQ22">
            <v>43040</v>
          </cell>
          <cell r="AR22">
            <v>72000</v>
          </cell>
        </row>
        <row r="23">
          <cell r="AP23">
            <v>1120000</v>
          </cell>
          <cell r="AQ23">
            <v>43191</v>
          </cell>
          <cell r="AR23">
            <v>40000</v>
          </cell>
        </row>
        <row r="24">
          <cell r="AP24">
            <v>161700</v>
          </cell>
          <cell r="AQ24">
            <v>42979</v>
          </cell>
          <cell r="AR24">
            <v>4600</v>
          </cell>
          <cell r="AS24" t="str">
            <v>ECHEC</v>
          </cell>
        </row>
        <row r="25">
          <cell r="AP25">
            <v>899000</v>
          </cell>
          <cell r="AQ25">
            <v>42917</v>
          </cell>
          <cell r="AR25">
            <v>140000</v>
          </cell>
          <cell r="AS25" t="str">
            <v>ECHEC</v>
          </cell>
        </row>
        <row r="26">
          <cell r="AP26">
            <v>672000</v>
          </cell>
          <cell r="AQ26">
            <v>43160</v>
          </cell>
          <cell r="AR26">
            <v>30000</v>
          </cell>
        </row>
        <row r="27">
          <cell r="AP27">
            <v>0</v>
          </cell>
        </row>
        <row r="28">
          <cell r="AP28">
            <v>1020000</v>
          </cell>
          <cell r="AQ28">
            <v>43252</v>
          </cell>
          <cell r="AR28">
            <v>20000</v>
          </cell>
        </row>
        <row r="29">
          <cell r="AP29">
            <v>0</v>
          </cell>
        </row>
        <row r="30">
          <cell r="AP30">
            <v>0</v>
          </cell>
        </row>
        <row r="31">
          <cell r="AP31">
            <v>906000</v>
          </cell>
          <cell r="AQ31">
            <v>43221</v>
          </cell>
          <cell r="AR31">
            <v>24000</v>
          </cell>
        </row>
        <row r="32">
          <cell r="AP32">
            <v>1120000</v>
          </cell>
          <cell r="AQ32">
            <v>43040</v>
          </cell>
          <cell r="AR32">
            <v>90000</v>
          </cell>
        </row>
        <row r="33">
          <cell r="AP33">
            <v>472000</v>
          </cell>
          <cell r="AQ33">
            <v>43009</v>
          </cell>
          <cell r="AR33">
            <v>60000</v>
          </cell>
        </row>
        <row r="34">
          <cell r="AP34">
            <v>0</v>
          </cell>
        </row>
        <row r="35">
          <cell r="AP35">
            <v>0</v>
          </cell>
        </row>
        <row r="36">
          <cell r="AP36">
            <v>1120000</v>
          </cell>
          <cell r="AQ36">
            <v>43009</v>
          </cell>
          <cell r="AR36">
            <v>100000</v>
          </cell>
        </row>
        <row r="37">
          <cell r="AP37">
            <v>784000</v>
          </cell>
          <cell r="AQ37">
            <v>43221</v>
          </cell>
          <cell r="AR37">
            <v>21000</v>
          </cell>
        </row>
        <row r="38">
          <cell r="AP38">
            <v>1160000</v>
          </cell>
          <cell r="AQ38">
            <v>43221</v>
          </cell>
          <cell r="AR38">
            <v>30000</v>
          </cell>
        </row>
        <row r="39">
          <cell r="AP39">
            <v>1058000</v>
          </cell>
          <cell r="AQ39">
            <v>43160</v>
          </cell>
          <cell r="AR39">
            <v>50000</v>
          </cell>
        </row>
        <row r="40">
          <cell r="AP40">
            <v>182200</v>
          </cell>
          <cell r="AQ40">
            <v>43252</v>
          </cell>
          <cell r="AR40">
            <v>8000</v>
          </cell>
        </row>
        <row r="41">
          <cell r="AP41">
            <v>0</v>
          </cell>
        </row>
        <row r="42">
          <cell r="AP42">
            <v>0</v>
          </cell>
        </row>
        <row r="43">
          <cell r="AP43">
            <v>5900</v>
          </cell>
          <cell r="AQ43">
            <v>42887</v>
          </cell>
          <cell r="AR43">
            <v>70000</v>
          </cell>
          <cell r="AS43" t="str">
            <v>ECHEC</v>
          </cell>
        </row>
        <row r="44">
          <cell r="AP44">
            <v>851500</v>
          </cell>
          <cell r="AQ44">
            <v>43252</v>
          </cell>
          <cell r="AR44">
            <v>14000</v>
          </cell>
        </row>
        <row r="46">
          <cell r="AP46">
            <v>1064000</v>
          </cell>
          <cell r="AQ46">
            <v>43132</v>
          </cell>
          <cell r="AR46">
            <v>120000</v>
          </cell>
        </row>
        <row r="47">
          <cell r="AP47">
            <v>1120000</v>
          </cell>
          <cell r="AQ47">
            <v>43221</v>
          </cell>
          <cell r="AR47">
            <v>30000</v>
          </cell>
        </row>
        <row r="48">
          <cell r="AP48">
            <v>0</v>
          </cell>
        </row>
        <row r="49">
          <cell r="AP49">
            <v>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7" workbookViewId="0">
      <selection activeCell="B22" sqref="B22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2" t="s">
        <v>1</v>
      </c>
    </row>
    <row r="2" spans="1:8" ht="18.75" x14ac:dyDescent="0.3">
      <c r="A2" s="12" t="s">
        <v>107</v>
      </c>
    </row>
    <row r="3" spans="1:8" ht="19.5" thickBot="1" x14ac:dyDescent="0.35">
      <c r="A3" s="12"/>
    </row>
    <row r="4" spans="1:8" ht="16.5" thickTop="1" thickBot="1" x14ac:dyDescent="0.3">
      <c r="A4" s="22" t="s">
        <v>108</v>
      </c>
      <c r="B4" s="23" t="s">
        <v>109</v>
      </c>
      <c r="C4" s="23" t="s">
        <v>110</v>
      </c>
      <c r="D4" s="23" t="s">
        <v>111</v>
      </c>
      <c r="E4" s="23" t="s">
        <v>112</v>
      </c>
      <c r="F4" s="23" t="s">
        <v>113</v>
      </c>
      <c r="G4" s="23" t="s">
        <v>114</v>
      </c>
      <c r="H4" s="24" t="s">
        <v>115</v>
      </c>
    </row>
    <row r="5" spans="1:8" ht="15.75" thickTop="1" x14ac:dyDescent="0.25">
      <c r="A5" s="13" t="s">
        <v>11</v>
      </c>
      <c r="B5" s="14" t="s">
        <v>68</v>
      </c>
      <c r="C5" s="14" t="s">
        <v>116</v>
      </c>
      <c r="D5" s="14"/>
      <c r="E5" s="14">
        <v>677841881</v>
      </c>
      <c r="F5" s="14"/>
      <c r="G5" s="14" t="s">
        <v>117</v>
      </c>
      <c r="H5" s="25">
        <v>42887</v>
      </c>
    </row>
    <row r="6" spans="1:8" x14ac:dyDescent="0.25">
      <c r="A6" s="15" t="s">
        <v>12</v>
      </c>
      <c r="B6" s="16" t="s">
        <v>69</v>
      </c>
      <c r="C6" s="16" t="s">
        <v>118</v>
      </c>
      <c r="D6" s="16"/>
      <c r="E6" s="16">
        <v>677704694</v>
      </c>
      <c r="F6" s="16"/>
      <c r="G6" s="16" t="s">
        <v>119</v>
      </c>
      <c r="H6" s="17">
        <v>43191</v>
      </c>
    </row>
    <row r="7" spans="1:8" x14ac:dyDescent="0.25">
      <c r="A7" s="15" t="s">
        <v>13</v>
      </c>
      <c r="B7" s="16" t="s">
        <v>70</v>
      </c>
      <c r="C7" s="16" t="s">
        <v>118</v>
      </c>
      <c r="D7" s="16"/>
      <c r="E7" s="16">
        <v>677881912</v>
      </c>
      <c r="F7" s="16"/>
      <c r="G7" s="16" t="s">
        <v>120</v>
      </c>
      <c r="H7" s="17">
        <v>43466</v>
      </c>
    </row>
    <row r="8" spans="1:8" x14ac:dyDescent="0.25">
      <c r="A8" s="15" t="s">
        <v>14</v>
      </c>
      <c r="B8" s="16" t="s">
        <v>71</v>
      </c>
      <c r="C8" s="16" t="s">
        <v>121</v>
      </c>
      <c r="D8" s="16"/>
      <c r="E8" s="16">
        <v>677986676</v>
      </c>
      <c r="F8" s="16"/>
      <c r="G8" s="16" t="s">
        <v>122</v>
      </c>
      <c r="H8" s="17">
        <v>43132</v>
      </c>
    </row>
    <row r="9" spans="1:8" x14ac:dyDescent="0.25">
      <c r="A9" s="15" t="s">
        <v>15</v>
      </c>
      <c r="B9" s="16" t="s">
        <v>232</v>
      </c>
      <c r="C9" s="16" t="s">
        <v>123</v>
      </c>
      <c r="D9" s="16"/>
      <c r="E9" s="16">
        <v>675250451</v>
      </c>
      <c r="F9" s="16"/>
      <c r="G9" s="16" t="s">
        <v>122</v>
      </c>
      <c r="H9" s="17">
        <v>43313</v>
      </c>
    </row>
    <row r="10" spans="1:8" x14ac:dyDescent="0.25">
      <c r="A10" s="15" t="s">
        <v>16</v>
      </c>
      <c r="B10" s="16" t="s">
        <v>178</v>
      </c>
      <c r="C10" s="16" t="s">
        <v>123</v>
      </c>
      <c r="D10" s="16"/>
      <c r="E10" s="16">
        <v>675250451</v>
      </c>
      <c r="F10" s="16"/>
      <c r="G10" s="16" t="s">
        <v>122</v>
      </c>
      <c r="H10" s="17">
        <v>43313</v>
      </c>
    </row>
    <row r="11" spans="1:8" x14ac:dyDescent="0.25">
      <c r="A11" s="15" t="s">
        <v>17</v>
      </c>
      <c r="B11" s="16" t="s">
        <v>72</v>
      </c>
      <c r="C11" s="16" t="s">
        <v>124</v>
      </c>
      <c r="D11" s="16"/>
      <c r="E11" s="16">
        <v>697103557</v>
      </c>
      <c r="F11" s="16"/>
      <c r="G11" s="16" t="s">
        <v>125</v>
      </c>
      <c r="H11" s="17">
        <v>42401</v>
      </c>
    </row>
    <row r="12" spans="1:8" x14ac:dyDescent="0.25">
      <c r="A12" s="15" t="s">
        <v>18</v>
      </c>
      <c r="B12" s="16" t="s">
        <v>73</v>
      </c>
      <c r="C12" s="16" t="s">
        <v>126</v>
      </c>
      <c r="D12" s="16"/>
      <c r="E12" s="16">
        <v>677501239</v>
      </c>
      <c r="F12" s="16">
        <v>699324095</v>
      </c>
      <c r="G12" s="16" t="s">
        <v>127</v>
      </c>
      <c r="H12" s="17">
        <v>43647</v>
      </c>
    </row>
    <row r="13" spans="1:8" x14ac:dyDescent="0.25">
      <c r="A13" s="15" t="s">
        <v>19</v>
      </c>
      <c r="B13" s="16" t="s">
        <v>74</v>
      </c>
      <c r="C13" s="16" t="s">
        <v>128</v>
      </c>
      <c r="D13" s="16"/>
      <c r="E13" s="16">
        <v>699908065</v>
      </c>
      <c r="F13" s="16"/>
      <c r="G13" s="16" t="s">
        <v>129</v>
      </c>
      <c r="H13" s="17">
        <v>42979</v>
      </c>
    </row>
    <row r="14" spans="1:8" x14ac:dyDescent="0.25">
      <c r="A14" s="15" t="s">
        <v>20</v>
      </c>
      <c r="B14" s="16" t="s">
        <v>75</v>
      </c>
      <c r="C14" s="16" t="s">
        <v>130</v>
      </c>
      <c r="D14" s="16"/>
      <c r="E14" s="16">
        <v>677910278</v>
      </c>
      <c r="F14" s="16"/>
      <c r="G14" s="16" t="s">
        <v>131</v>
      </c>
      <c r="H14" s="17">
        <v>43344</v>
      </c>
    </row>
    <row r="15" spans="1:8" x14ac:dyDescent="0.25">
      <c r="A15" s="15" t="s">
        <v>21</v>
      </c>
      <c r="B15" s="16" t="s">
        <v>76</v>
      </c>
      <c r="C15" s="16" t="s">
        <v>132</v>
      </c>
      <c r="D15" s="16"/>
      <c r="E15" s="16">
        <v>694468080</v>
      </c>
      <c r="F15" s="16"/>
      <c r="G15" s="16" t="s">
        <v>127</v>
      </c>
      <c r="H15" s="17">
        <v>42583</v>
      </c>
    </row>
    <row r="16" spans="1:8" x14ac:dyDescent="0.25">
      <c r="A16" s="15" t="s">
        <v>22</v>
      </c>
      <c r="B16" s="16" t="s">
        <v>77</v>
      </c>
      <c r="C16" s="16" t="s">
        <v>133</v>
      </c>
      <c r="D16" s="16"/>
      <c r="E16" s="16">
        <v>675291170</v>
      </c>
      <c r="F16" s="16"/>
      <c r="G16" s="16" t="s">
        <v>134</v>
      </c>
      <c r="H16" s="17">
        <v>43009</v>
      </c>
    </row>
    <row r="17" spans="1:8" x14ac:dyDescent="0.25">
      <c r="A17" s="15" t="s">
        <v>23</v>
      </c>
      <c r="B17" s="16" t="s">
        <v>78</v>
      </c>
      <c r="C17" s="16" t="s">
        <v>135</v>
      </c>
      <c r="D17" s="16"/>
      <c r="E17" s="16">
        <v>699956355</v>
      </c>
      <c r="F17" s="16"/>
      <c r="G17" s="16" t="s">
        <v>136</v>
      </c>
      <c r="H17" s="17">
        <v>42614</v>
      </c>
    </row>
    <row r="18" spans="1:8" x14ac:dyDescent="0.25">
      <c r="A18" s="15" t="s">
        <v>24</v>
      </c>
      <c r="B18" s="16" t="s">
        <v>79</v>
      </c>
      <c r="C18" s="16" t="s">
        <v>118</v>
      </c>
      <c r="D18" s="16"/>
      <c r="E18" s="16">
        <v>677053815</v>
      </c>
      <c r="F18" s="16"/>
      <c r="G18" s="16" t="s">
        <v>127</v>
      </c>
      <c r="H18" s="17">
        <v>43374</v>
      </c>
    </row>
    <row r="19" spans="1:8" x14ac:dyDescent="0.25">
      <c r="A19" s="15" t="s">
        <v>25</v>
      </c>
      <c r="B19" s="16" t="s">
        <v>80</v>
      </c>
      <c r="C19" s="16" t="s">
        <v>137</v>
      </c>
      <c r="D19" s="16"/>
      <c r="E19" s="16">
        <v>699528700</v>
      </c>
      <c r="F19" s="16"/>
      <c r="G19" s="16" t="s">
        <v>138</v>
      </c>
      <c r="H19" s="17">
        <v>43405</v>
      </c>
    </row>
    <row r="20" spans="1:8" x14ac:dyDescent="0.25">
      <c r="A20" s="15" t="s">
        <v>26</v>
      </c>
      <c r="B20" s="16" t="s">
        <v>81</v>
      </c>
      <c r="C20" s="16" t="s">
        <v>118</v>
      </c>
      <c r="D20" s="16"/>
      <c r="E20" s="16">
        <v>699335584</v>
      </c>
      <c r="F20" s="16"/>
      <c r="G20" s="16" t="s">
        <v>140</v>
      </c>
      <c r="H20" s="17">
        <v>42795</v>
      </c>
    </row>
    <row r="21" spans="1:8" x14ac:dyDescent="0.25">
      <c r="A21" s="15" t="s">
        <v>27</v>
      </c>
      <c r="B21" s="16" t="s">
        <v>82</v>
      </c>
      <c r="C21" s="16" t="s">
        <v>141</v>
      </c>
      <c r="D21" s="16"/>
      <c r="E21" s="16">
        <v>675836725</v>
      </c>
      <c r="F21" s="16"/>
      <c r="G21" s="16" t="s">
        <v>136</v>
      </c>
      <c r="H21" s="17">
        <v>42370</v>
      </c>
    </row>
    <row r="22" spans="1:8" x14ac:dyDescent="0.25">
      <c r="A22" s="15" t="s">
        <v>28</v>
      </c>
      <c r="B22" s="16" t="s">
        <v>260</v>
      </c>
      <c r="C22" s="16" t="s">
        <v>142</v>
      </c>
      <c r="D22" s="16"/>
      <c r="E22" s="16">
        <v>696564847</v>
      </c>
      <c r="F22" s="16"/>
      <c r="G22" s="16" t="s">
        <v>127</v>
      </c>
      <c r="H22" s="17">
        <v>43617</v>
      </c>
    </row>
    <row r="23" spans="1:8" x14ac:dyDescent="0.25">
      <c r="A23" s="15" t="s">
        <v>29</v>
      </c>
      <c r="B23" s="16" t="s">
        <v>143</v>
      </c>
      <c r="C23" s="16" t="s">
        <v>144</v>
      </c>
      <c r="D23" s="16"/>
      <c r="E23" s="16">
        <v>677735778</v>
      </c>
      <c r="F23" s="16"/>
      <c r="G23" s="16" t="s">
        <v>120</v>
      </c>
      <c r="H23" s="17">
        <v>42644</v>
      </c>
    </row>
    <row r="24" spans="1:8" x14ac:dyDescent="0.25">
      <c r="A24" s="15" t="s">
        <v>30</v>
      </c>
      <c r="B24" s="16" t="s">
        <v>67</v>
      </c>
      <c r="C24" s="16" t="s">
        <v>176</v>
      </c>
      <c r="D24" s="16"/>
      <c r="E24" s="16"/>
      <c r="F24" s="16"/>
      <c r="G24" s="16"/>
      <c r="H24" s="17"/>
    </row>
    <row r="25" spans="1:8" x14ac:dyDescent="0.25">
      <c r="A25" s="15" t="s">
        <v>31</v>
      </c>
      <c r="B25" s="16" t="s">
        <v>84</v>
      </c>
      <c r="C25" s="16" t="s">
        <v>146</v>
      </c>
      <c r="D25" s="16"/>
      <c r="E25" s="16">
        <v>693055118</v>
      </c>
      <c r="F25" s="16"/>
      <c r="G25" s="16" t="s">
        <v>136</v>
      </c>
      <c r="H25" s="17">
        <v>43678</v>
      </c>
    </row>
    <row r="26" spans="1:8" x14ac:dyDescent="0.25">
      <c r="A26" s="15" t="s">
        <v>32</v>
      </c>
      <c r="B26" s="16" t="s">
        <v>85</v>
      </c>
      <c r="C26" s="16" t="s">
        <v>135</v>
      </c>
      <c r="D26" s="16"/>
      <c r="E26" s="16">
        <v>677553702</v>
      </c>
      <c r="F26" s="16"/>
      <c r="G26" s="16" t="s">
        <v>140</v>
      </c>
      <c r="H26" s="17">
        <v>42705</v>
      </c>
    </row>
    <row r="27" spans="1:8" x14ac:dyDescent="0.25">
      <c r="A27" s="15" t="s">
        <v>33</v>
      </c>
      <c r="B27" s="16" t="s">
        <v>86</v>
      </c>
      <c r="C27" s="16" t="s">
        <v>147</v>
      </c>
      <c r="D27" s="16"/>
      <c r="E27" s="16">
        <v>699358350</v>
      </c>
      <c r="F27" s="16"/>
      <c r="G27" s="16" t="s">
        <v>148</v>
      </c>
      <c r="H27" s="17">
        <v>42767</v>
      </c>
    </row>
    <row r="28" spans="1:8" x14ac:dyDescent="0.25">
      <c r="A28" s="15" t="s">
        <v>34</v>
      </c>
      <c r="B28" s="16" t="s">
        <v>87</v>
      </c>
      <c r="C28" s="16" t="s">
        <v>149</v>
      </c>
      <c r="D28" s="16"/>
      <c r="E28" s="16">
        <v>675249207</v>
      </c>
      <c r="F28" s="16"/>
      <c r="G28" s="16" t="s">
        <v>150</v>
      </c>
      <c r="H28" s="17">
        <v>43070</v>
      </c>
    </row>
    <row r="29" spans="1:8" x14ac:dyDescent="0.25">
      <c r="A29" s="15" t="s">
        <v>35</v>
      </c>
      <c r="B29" s="16" t="s">
        <v>88</v>
      </c>
      <c r="C29" s="16" t="s">
        <v>151</v>
      </c>
      <c r="D29" s="16"/>
      <c r="E29" s="16">
        <v>677766503</v>
      </c>
      <c r="F29" s="16"/>
      <c r="G29" s="16" t="s">
        <v>122</v>
      </c>
      <c r="H29" s="17">
        <v>42491</v>
      </c>
    </row>
    <row r="30" spans="1:8" x14ac:dyDescent="0.25">
      <c r="A30" s="15" t="s">
        <v>36</v>
      </c>
      <c r="B30" s="16" t="s">
        <v>89</v>
      </c>
      <c r="C30" s="16" t="s">
        <v>152</v>
      </c>
      <c r="D30" s="16"/>
      <c r="E30" s="16">
        <v>677068360</v>
      </c>
      <c r="F30" s="16"/>
      <c r="G30" s="16" t="s">
        <v>153</v>
      </c>
      <c r="H30" s="17">
        <v>43101</v>
      </c>
    </row>
    <row r="31" spans="1:8" x14ac:dyDescent="0.25">
      <c r="A31" s="15" t="s">
        <v>37</v>
      </c>
      <c r="B31" s="16" t="s">
        <v>90</v>
      </c>
      <c r="C31" s="16" t="s">
        <v>118</v>
      </c>
      <c r="D31" s="16"/>
      <c r="E31" s="16">
        <v>670909070</v>
      </c>
      <c r="F31" s="16"/>
      <c r="G31" s="16" t="s">
        <v>154</v>
      </c>
      <c r="H31" s="17">
        <v>43586</v>
      </c>
    </row>
    <row r="32" spans="1:8" x14ac:dyDescent="0.25">
      <c r="A32" s="15" t="s">
        <v>38</v>
      </c>
      <c r="B32" s="16" t="s">
        <v>91</v>
      </c>
      <c r="C32" s="16" t="s">
        <v>155</v>
      </c>
      <c r="D32" s="16"/>
      <c r="E32" s="16">
        <v>676659191</v>
      </c>
      <c r="F32" s="16"/>
      <c r="G32" s="16" t="s">
        <v>154</v>
      </c>
      <c r="H32" s="17">
        <v>43497</v>
      </c>
    </row>
    <row r="33" spans="1:8" x14ac:dyDescent="0.25">
      <c r="A33" s="15" t="s">
        <v>39</v>
      </c>
      <c r="B33" s="16" t="s">
        <v>92</v>
      </c>
      <c r="C33" s="16" t="s">
        <v>118</v>
      </c>
      <c r="D33" s="16"/>
      <c r="E33" s="16">
        <v>677575366</v>
      </c>
      <c r="F33" s="16"/>
      <c r="G33" s="16" t="s">
        <v>156</v>
      </c>
      <c r="H33" s="17">
        <v>42917</v>
      </c>
    </row>
    <row r="34" spans="1:8" x14ac:dyDescent="0.25">
      <c r="A34" s="15" t="s">
        <v>40</v>
      </c>
      <c r="B34" s="16" t="s">
        <v>106</v>
      </c>
      <c r="C34" s="16" t="s">
        <v>139</v>
      </c>
      <c r="D34" s="16"/>
      <c r="E34" s="16">
        <v>699843118</v>
      </c>
      <c r="F34" s="16"/>
      <c r="G34" s="16" t="s">
        <v>125</v>
      </c>
      <c r="H34" s="17">
        <v>42522</v>
      </c>
    </row>
    <row r="35" spans="1:8" x14ac:dyDescent="0.25">
      <c r="A35" s="15" t="s">
        <v>41</v>
      </c>
      <c r="B35" s="16" t="s">
        <v>93</v>
      </c>
      <c r="C35" s="16" t="s">
        <v>118</v>
      </c>
      <c r="D35" s="16"/>
      <c r="E35" s="16">
        <v>677377251</v>
      </c>
      <c r="F35" s="16"/>
      <c r="G35" s="16" t="s">
        <v>140</v>
      </c>
      <c r="H35" s="17">
        <v>43282</v>
      </c>
    </row>
    <row r="36" spans="1:8" x14ac:dyDescent="0.25">
      <c r="A36" s="15" t="s">
        <v>42</v>
      </c>
      <c r="B36" s="16" t="s">
        <v>157</v>
      </c>
      <c r="C36" s="16" t="s">
        <v>158</v>
      </c>
      <c r="D36" s="16"/>
      <c r="E36" s="16">
        <v>677867173</v>
      </c>
      <c r="F36" s="16"/>
      <c r="G36" s="16" t="s">
        <v>125</v>
      </c>
      <c r="H36" s="17">
        <v>42461</v>
      </c>
    </row>
    <row r="37" spans="1:8" x14ac:dyDescent="0.25">
      <c r="A37" s="15" t="s">
        <v>43</v>
      </c>
      <c r="B37" s="16" t="s">
        <v>94</v>
      </c>
      <c r="C37" s="16" t="s">
        <v>159</v>
      </c>
      <c r="D37" s="16"/>
      <c r="E37" s="16">
        <v>699995086</v>
      </c>
      <c r="F37" s="16"/>
      <c r="G37" s="16" t="s">
        <v>160</v>
      </c>
      <c r="H37" s="17">
        <v>43525</v>
      </c>
    </row>
    <row r="38" spans="1:8" x14ac:dyDescent="0.25">
      <c r="A38" s="15" t="s">
        <v>44</v>
      </c>
      <c r="B38" s="16" t="s">
        <v>95</v>
      </c>
      <c r="C38" s="16" t="s">
        <v>118</v>
      </c>
      <c r="D38" s="16"/>
      <c r="E38" s="16">
        <v>677054646</v>
      </c>
      <c r="F38" s="16"/>
      <c r="G38" s="16" t="s">
        <v>119</v>
      </c>
      <c r="H38" s="17">
        <v>43160</v>
      </c>
    </row>
    <row r="39" spans="1:8" x14ac:dyDescent="0.25">
      <c r="A39" s="15" t="s">
        <v>45</v>
      </c>
      <c r="B39" s="16" t="s">
        <v>96</v>
      </c>
      <c r="C39" s="16" t="s">
        <v>118</v>
      </c>
      <c r="D39" s="16"/>
      <c r="E39" s="16">
        <v>699549665</v>
      </c>
      <c r="F39" s="16"/>
      <c r="G39" s="16" t="s">
        <v>161</v>
      </c>
      <c r="H39" s="17">
        <v>43556</v>
      </c>
    </row>
    <row r="40" spans="1:8" x14ac:dyDescent="0.25">
      <c r="A40" s="15" t="s">
        <v>46</v>
      </c>
      <c r="B40" s="16" t="s">
        <v>97</v>
      </c>
      <c r="C40" s="16" t="s">
        <v>130</v>
      </c>
      <c r="D40" s="16"/>
      <c r="E40" s="16">
        <v>699350133</v>
      </c>
      <c r="F40" s="16"/>
      <c r="G40" s="16" t="s">
        <v>136</v>
      </c>
      <c r="H40" s="17">
        <v>43435</v>
      </c>
    </row>
    <row r="41" spans="1:8" x14ac:dyDescent="0.25">
      <c r="A41" s="15" t="s">
        <v>47</v>
      </c>
      <c r="B41" s="16" t="s">
        <v>98</v>
      </c>
      <c r="C41" s="16" t="s">
        <v>151</v>
      </c>
      <c r="D41" s="16"/>
      <c r="E41" s="16">
        <v>677477649</v>
      </c>
      <c r="F41" s="16"/>
      <c r="G41" s="16" t="s">
        <v>162</v>
      </c>
      <c r="H41" s="17">
        <v>42948</v>
      </c>
    </row>
    <row r="42" spans="1:8" x14ac:dyDescent="0.25">
      <c r="A42" s="15" t="s">
        <v>48</v>
      </c>
      <c r="B42" s="16" t="s">
        <v>99</v>
      </c>
      <c r="C42" s="16" t="s">
        <v>163</v>
      </c>
      <c r="D42" s="16"/>
      <c r="E42" s="16">
        <v>677546060</v>
      </c>
      <c r="F42" s="16"/>
      <c r="G42" s="16" t="s">
        <v>131</v>
      </c>
      <c r="H42" s="17">
        <v>42736</v>
      </c>
    </row>
    <row r="43" spans="1:8" x14ac:dyDescent="0.25">
      <c r="A43" s="15" t="s">
        <v>49</v>
      </c>
      <c r="B43" s="16" t="s">
        <v>175</v>
      </c>
      <c r="C43" s="16" t="s">
        <v>145</v>
      </c>
      <c r="D43" s="16"/>
      <c r="E43" s="16">
        <v>677648306</v>
      </c>
      <c r="F43" s="16"/>
      <c r="G43" s="16" t="s">
        <v>122</v>
      </c>
      <c r="H43" s="17">
        <v>43040</v>
      </c>
    </row>
    <row r="44" spans="1:8" x14ac:dyDescent="0.25">
      <c r="A44" s="15" t="s">
        <v>50</v>
      </c>
      <c r="B44" s="16" t="s">
        <v>164</v>
      </c>
      <c r="C44" s="16" t="s">
        <v>133</v>
      </c>
      <c r="D44" s="16"/>
      <c r="E44" s="16">
        <v>677780149</v>
      </c>
      <c r="F44" s="16"/>
      <c r="G44" s="16" t="s">
        <v>127</v>
      </c>
      <c r="H44" s="17">
        <v>42552</v>
      </c>
    </row>
    <row r="45" spans="1:8" x14ac:dyDescent="0.25">
      <c r="A45" s="15" t="s">
        <v>51</v>
      </c>
      <c r="B45" s="16" t="s">
        <v>165</v>
      </c>
      <c r="C45" s="16" t="s">
        <v>166</v>
      </c>
      <c r="D45" s="16"/>
      <c r="E45" s="16">
        <v>699778906</v>
      </c>
      <c r="F45" s="16"/>
      <c r="G45" s="16" t="s">
        <v>154</v>
      </c>
      <c r="H45" s="17">
        <v>43709</v>
      </c>
    </row>
    <row r="46" spans="1:8" x14ac:dyDescent="0.25">
      <c r="A46" s="15" t="s">
        <v>52</v>
      </c>
      <c r="B46" s="16" t="s">
        <v>100</v>
      </c>
      <c r="C46" s="16" t="s">
        <v>146</v>
      </c>
      <c r="D46" s="16"/>
      <c r="E46" s="16">
        <v>678639806</v>
      </c>
      <c r="F46" s="16"/>
      <c r="G46" s="16" t="s">
        <v>154</v>
      </c>
      <c r="H46" s="17">
        <v>43252</v>
      </c>
    </row>
    <row r="47" spans="1:8" x14ac:dyDescent="0.25">
      <c r="A47" s="15" t="s">
        <v>53</v>
      </c>
      <c r="B47" s="16" t="s">
        <v>101</v>
      </c>
      <c r="C47" s="16" t="s">
        <v>118</v>
      </c>
      <c r="D47" s="16"/>
      <c r="E47" s="16">
        <v>677775940</v>
      </c>
      <c r="F47" s="16"/>
      <c r="G47" s="16" t="s">
        <v>167</v>
      </c>
      <c r="H47" s="17">
        <v>43221</v>
      </c>
    </row>
    <row r="48" spans="1:8" x14ac:dyDescent="0.25">
      <c r="A48" s="15" t="s">
        <v>54</v>
      </c>
      <c r="B48" s="16" t="s">
        <v>102</v>
      </c>
      <c r="C48" s="16" t="s">
        <v>168</v>
      </c>
      <c r="D48" s="16"/>
      <c r="E48" s="16">
        <v>677508603</v>
      </c>
      <c r="F48" s="16"/>
      <c r="G48" s="16" t="s">
        <v>169</v>
      </c>
      <c r="H48" s="17">
        <v>42856</v>
      </c>
    </row>
    <row r="49" spans="1:8" x14ac:dyDescent="0.25">
      <c r="A49" s="15" t="s">
        <v>55</v>
      </c>
      <c r="B49" s="16" t="s">
        <v>103</v>
      </c>
      <c r="C49" s="16" t="s">
        <v>170</v>
      </c>
      <c r="D49" s="16"/>
      <c r="E49" s="16">
        <v>677726329</v>
      </c>
      <c r="F49" s="16"/>
      <c r="G49" s="16" t="s">
        <v>125</v>
      </c>
      <c r="H49" s="17">
        <v>42430</v>
      </c>
    </row>
    <row r="50" spans="1:8" x14ac:dyDescent="0.25">
      <c r="A50" s="15" t="s">
        <v>66</v>
      </c>
      <c r="B50" s="16" t="s">
        <v>104</v>
      </c>
      <c r="C50" s="16" t="s">
        <v>171</v>
      </c>
      <c r="D50" s="16"/>
      <c r="E50" s="16">
        <v>699663416</v>
      </c>
      <c r="F50" s="16"/>
      <c r="G50" s="16" t="s">
        <v>172</v>
      </c>
      <c r="H50" s="17">
        <v>42826</v>
      </c>
    </row>
    <row r="51" spans="1:8" x14ac:dyDescent="0.25">
      <c r="A51" s="15" t="s">
        <v>177</v>
      </c>
      <c r="B51" s="16" t="s">
        <v>105</v>
      </c>
      <c r="C51" s="16" t="s">
        <v>173</v>
      </c>
      <c r="D51" s="16"/>
      <c r="E51" s="16">
        <v>677547311</v>
      </c>
      <c r="F51" s="16"/>
      <c r="G51" s="16" t="s">
        <v>174</v>
      </c>
      <c r="H51" s="17">
        <v>42675</v>
      </c>
    </row>
    <row r="52" spans="1:8" ht="15.75" thickBot="1" x14ac:dyDescent="0.3">
      <c r="A52" s="26" t="s">
        <v>183</v>
      </c>
      <c r="B52" s="27" t="s">
        <v>1</v>
      </c>
      <c r="C52" s="27" t="s">
        <v>192</v>
      </c>
      <c r="D52" s="18"/>
      <c r="E52" s="18"/>
      <c r="F52" s="18"/>
      <c r="G52" s="18"/>
      <c r="H52" s="28"/>
    </row>
    <row r="53" spans="1:8" ht="15.75" thickTop="1" x14ac:dyDescent="0.25"/>
  </sheetData>
  <autoFilter ref="A4:H52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workbookViewId="0">
      <pane xSplit="2" ySplit="4" topLeftCell="F56" activePane="bottomRight" state="frozen"/>
      <selection pane="topRight" activeCell="C1" sqref="C1"/>
      <selection pane="bottomLeft" activeCell="A6" sqref="A6"/>
      <selection pane="bottomRight" activeCell="M61" sqref="M6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2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2" bestFit="1" customWidth="1"/>
    <col min="18" max="18" width="15.140625" bestFit="1" customWidth="1"/>
    <col min="19" max="19" width="17.7109375" style="4" bestFit="1" customWidth="1"/>
    <col min="20" max="20" width="15.7109375" style="2" customWidth="1"/>
    <col min="21" max="21" width="15.140625" style="2" bestFit="1" customWidth="1"/>
    <col min="22" max="22" width="18.28515625" style="2" bestFit="1" customWidth="1"/>
    <col min="23" max="28" width="18.140625" customWidth="1"/>
    <col min="29" max="29" width="21.42578125" style="2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186</v>
      </c>
      <c r="D4" s="5" t="s">
        <v>181</v>
      </c>
      <c r="E4" s="5" t="s">
        <v>221</v>
      </c>
      <c r="F4" s="5" t="s">
        <v>188</v>
      </c>
      <c r="G4" s="5" t="s">
        <v>184</v>
      </c>
      <c r="H4" s="5" t="s">
        <v>189</v>
      </c>
      <c r="I4" s="5" t="s">
        <v>212</v>
      </c>
      <c r="J4" s="5" t="s">
        <v>213</v>
      </c>
      <c r="K4" s="5" t="s">
        <v>214</v>
      </c>
      <c r="L4" s="5" t="s">
        <v>226</v>
      </c>
      <c r="M4" s="5" t="s">
        <v>209</v>
      </c>
      <c r="N4" s="5" t="s">
        <v>182</v>
      </c>
      <c r="O4" s="5" t="s">
        <v>206</v>
      </c>
      <c r="P4" s="5" t="s">
        <v>190</v>
      </c>
      <c r="Q4" s="5" t="s">
        <v>65</v>
      </c>
      <c r="R4" s="5" t="s">
        <v>57</v>
      </c>
      <c r="S4" s="5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X4" s="5" t="s">
        <v>63</v>
      </c>
      <c r="Y4" s="5" t="s">
        <v>64</v>
      </c>
      <c r="Z4" s="5" t="s">
        <v>8</v>
      </c>
      <c r="AA4" s="5" t="s">
        <v>180</v>
      </c>
      <c r="AB4" s="5" t="s">
        <v>179</v>
      </c>
      <c r="AC4" s="6" t="s">
        <v>9</v>
      </c>
      <c r="AD4" s="1" t="s">
        <v>10</v>
      </c>
    </row>
    <row r="5" spans="1:30" x14ac:dyDescent="0.25">
      <c r="A5" s="1" t="s">
        <v>183</v>
      </c>
      <c r="B5" s="1" t="str">
        <f>VLOOKUP(A5,[2]LISTADHERENT!A$5:H$52,2,0)</f>
        <v>ASELBY</v>
      </c>
      <c r="C5" s="6">
        <v>0</v>
      </c>
      <c r="D5" s="6">
        <v>318145</v>
      </c>
      <c r="E5" s="6">
        <v>355097</v>
      </c>
      <c r="F5" s="6">
        <v>318145</v>
      </c>
      <c r="G5" s="6">
        <v>36952</v>
      </c>
      <c r="H5" s="6">
        <v>355097.51531966974</v>
      </c>
      <c r="I5" s="6">
        <v>355097</v>
      </c>
      <c r="J5" s="6">
        <v>0</v>
      </c>
      <c r="K5" s="6">
        <v>355097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30" x14ac:dyDescent="0.25">
      <c r="A6" s="1" t="s">
        <v>11</v>
      </c>
      <c r="B6" s="1" t="str">
        <f>VLOOKUP(A6,[2]LISTADHERENT!A$5:H$52,2,0)</f>
        <v>BAKOP ACHILLE</v>
      </c>
      <c r="C6" s="6">
        <v>390000</v>
      </c>
      <c r="D6" s="6">
        <v>33536</v>
      </c>
      <c r="E6" s="6">
        <v>51993</v>
      </c>
      <c r="F6" s="6">
        <v>453536</v>
      </c>
      <c r="G6" s="6">
        <v>51457</v>
      </c>
      <c r="H6" s="6">
        <v>504993.98315681884</v>
      </c>
      <c r="I6" s="6">
        <v>114993</v>
      </c>
      <c r="J6" s="6">
        <v>63000</v>
      </c>
      <c r="K6" s="6">
        <v>51993</v>
      </c>
      <c r="L6" s="6">
        <v>0</v>
      </c>
      <c r="M6" s="6">
        <v>30000</v>
      </c>
      <c r="N6" s="6"/>
      <c r="O6" s="6">
        <f>25000+25000</f>
        <v>50000</v>
      </c>
      <c r="P6" s="6">
        <v>8000</v>
      </c>
      <c r="Q6" s="7">
        <v>225000</v>
      </c>
      <c r="R6" s="7">
        <v>30000</v>
      </c>
      <c r="S6" s="7">
        <v>5000</v>
      </c>
      <c r="T6" s="7">
        <v>10000</v>
      </c>
      <c r="U6" s="7">
        <v>25000</v>
      </c>
      <c r="V6" s="7">
        <v>25000</v>
      </c>
      <c r="W6" s="7">
        <v>130000</v>
      </c>
      <c r="X6" s="7">
        <v>500000</v>
      </c>
      <c r="Y6" s="7">
        <v>15000</v>
      </c>
      <c r="Z6" s="7">
        <v>0</v>
      </c>
      <c r="AA6" s="7">
        <v>0</v>
      </c>
      <c r="AB6" s="7">
        <v>0</v>
      </c>
      <c r="AC6" s="7">
        <v>0</v>
      </c>
    </row>
    <row r="7" spans="1:30" x14ac:dyDescent="0.25">
      <c r="A7" s="1" t="s">
        <v>12</v>
      </c>
      <c r="B7" s="1" t="str">
        <f>VLOOKUP(A7,[2]LISTADHERENT!A$5:H$52,2,0)</f>
        <v>BOUTCHOUANG WILLIAM</v>
      </c>
      <c r="C7" s="6">
        <v>390000</v>
      </c>
      <c r="D7" s="6">
        <v>1704</v>
      </c>
      <c r="E7" s="6">
        <v>2720</v>
      </c>
      <c r="F7" s="6">
        <v>427704</v>
      </c>
      <c r="G7" s="6">
        <v>48016</v>
      </c>
      <c r="H7" s="6">
        <v>475720.56235860521</v>
      </c>
      <c r="I7" s="6">
        <v>85720</v>
      </c>
      <c r="J7" s="6">
        <v>80000</v>
      </c>
      <c r="K7" s="6">
        <v>5720</v>
      </c>
      <c r="L7" s="6">
        <v>3000</v>
      </c>
      <c r="M7" s="6">
        <v>30000</v>
      </c>
      <c r="N7" s="6"/>
      <c r="O7" s="6">
        <v>50000</v>
      </c>
      <c r="P7" s="6">
        <v>0</v>
      </c>
      <c r="Q7" s="7">
        <v>240000</v>
      </c>
      <c r="R7" s="7">
        <v>36000</v>
      </c>
      <c r="S7" s="7">
        <v>6000</v>
      </c>
      <c r="T7" s="7">
        <v>12000</v>
      </c>
      <c r="U7" s="7">
        <v>30000</v>
      </c>
      <c r="V7" s="7">
        <v>0</v>
      </c>
      <c r="W7" s="7">
        <v>156000</v>
      </c>
      <c r="X7" s="7">
        <v>1700000</v>
      </c>
      <c r="Y7" s="7">
        <v>124000</v>
      </c>
      <c r="Z7" s="7">
        <v>1000000</v>
      </c>
      <c r="AA7" s="7">
        <v>0</v>
      </c>
      <c r="AB7" s="7">
        <v>0</v>
      </c>
      <c r="AC7" s="7">
        <v>0</v>
      </c>
    </row>
    <row r="8" spans="1:30" x14ac:dyDescent="0.25">
      <c r="A8" s="1" t="s">
        <v>13</v>
      </c>
      <c r="B8" s="1" t="str">
        <f>VLOOKUP(A8,[2]LISTADHERENT!A$5:H$52,2,0)</f>
        <v>CHINGUE FABRICE</v>
      </c>
      <c r="C8" s="6">
        <v>390000</v>
      </c>
      <c r="D8" s="6">
        <v>1842</v>
      </c>
      <c r="E8" s="6">
        <v>5874</v>
      </c>
      <c r="F8" s="6">
        <v>427842</v>
      </c>
      <c r="G8" s="6">
        <v>48032</v>
      </c>
      <c r="H8" s="6">
        <v>475874.59104714065</v>
      </c>
      <c r="I8" s="6">
        <v>85874</v>
      </c>
      <c r="J8" s="6">
        <v>80000</v>
      </c>
      <c r="K8" s="6">
        <v>5874</v>
      </c>
      <c r="L8" s="6">
        <v>0</v>
      </c>
      <c r="M8" s="6">
        <v>30000</v>
      </c>
      <c r="N8" s="6"/>
      <c r="O8" s="6">
        <v>50000</v>
      </c>
      <c r="P8" s="6">
        <v>0</v>
      </c>
      <c r="Q8" s="7">
        <v>240000</v>
      </c>
      <c r="R8" s="7">
        <v>36000</v>
      </c>
      <c r="S8" s="7">
        <v>6000</v>
      </c>
      <c r="T8" s="7">
        <v>12000</v>
      </c>
      <c r="U8" s="7">
        <v>30000</v>
      </c>
      <c r="V8" s="7">
        <v>0</v>
      </c>
      <c r="W8" s="7">
        <v>156000</v>
      </c>
      <c r="X8" s="7">
        <v>2000000</v>
      </c>
      <c r="Y8" s="7">
        <v>180000</v>
      </c>
      <c r="Z8" s="7">
        <v>1000000</v>
      </c>
      <c r="AA8" s="7">
        <v>0</v>
      </c>
      <c r="AB8" s="7">
        <v>0</v>
      </c>
      <c r="AC8" s="7">
        <v>0</v>
      </c>
    </row>
    <row r="9" spans="1:30" x14ac:dyDescent="0.25">
      <c r="A9" s="1" t="s">
        <v>14</v>
      </c>
      <c r="B9" s="1" t="str">
        <f>VLOOKUP(A9,[2]LISTADHERENT!A$5:H$52,2,0)</f>
        <v xml:space="preserve">DJOMO JEAN PAUL </v>
      </c>
      <c r="C9" s="6">
        <v>390000</v>
      </c>
      <c r="D9" s="6">
        <v>8156</v>
      </c>
      <c r="E9" s="6">
        <v>2570</v>
      </c>
      <c r="F9" s="6">
        <v>441156</v>
      </c>
      <c r="G9" s="6">
        <v>48914</v>
      </c>
      <c r="H9" s="6">
        <v>490070.35585907887</v>
      </c>
      <c r="I9" s="6">
        <v>100070</v>
      </c>
      <c r="J9" s="6">
        <v>80000</v>
      </c>
      <c r="K9" s="6">
        <v>20070</v>
      </c>
      <c r="L9" s="6">
        <v>17500</v>
      </c>
      <c r="M9" s="6">
        <v>30000</v>
      </c>
      <c r="N9" s="6"/>
      <c r="O9" s="6">
        <v>50000</v>
      </c>
      <c r="P9" s="6">
        <v>0</v>
      </c>
      <c r="Q9" s="7">
        <v>247000</v>
      </c>
      <c r="R9" s="7">
        <v>43000</v>
      </c>
      <c r="S9" s="7">
        <v>6000</v>
      </c>
      <c r="T9" s="7">
        <v>12000</v>
      </c>
      <c r="U9" s="7">
        <v>30000</v>
      </c>
      <c r="V9" s="7">
        <v>0</v>
      </c>
      <c r="W9" s="7">
        <v>156000</v>
      </c>
      <c r="X9" s="7">
        <v>200000</v>
      </c>
      <c r="Y9" s="7">
        <v>6000</v>
      </c>
      <c r="Z9" s="7">
        <v>0</v>
      </c>
      <c r="AA9" s="7">
        <v>0</v>
      </c>
      <c r="AB9" s="7">
        <v>0</v>
      </c>
      <c r="AC9" s="7">
        <v>0</v>
      </c>
    </row>
    <row r="10" spans="1:30" x14ac:dyDescent="0.25">
      <c r="A10" s="1" t="s">
        <v>15</v>
      </c>
      <c r="B10" s="1" t="str">
        <f>VLOOKUP(A10,[2]LISTADHERENT!A$5:H$52,2,0)</f>
        <v>DJOUKWE GUY</v>
      </c>
      <c r="C10" s="6">
        <v>390000</v>
      </c>
      <c r="D10" s="6">
        <v>5905</v>
      </c>
      <c r="E10" s="6">
        <v>2697</v>
      </c>
      <c r="F10" s="6">
        <v>471905</v>
      </c>
      <c r="G10" s="6">
        <v>51792</v>
      </c>
      <c r="H10" s="6">
        <v>523697.04973564367</v>
      </c>
      <c r="I10" s="6">
        <v>133697</v>
      </c>
      <c r="J10" s="6">
        <v>80000</v>
      </c>
      <c r="K10" s="6">
        <v>53697</v>
      </c>
      <c r="L10" s="6">
        <v>51000</v>
      </c>
      <c r="M10" s="6">
        <v>30000</v>
      </c>
      <c r="N10" s="6"/>
      <c r="O10" s="6">
        <v>50000</v>
      </c>
      <c r="P10" s="6">
        <v>0</v>
      </c>
      <c r="Q10" s="7">
        <v>280000</v>
      </c>
      <c r="R10" s="7">
        <v>76000</v>
      </c>
      <c r="S10" s="7">
        <v>6000</v>
      </c>
      <c r="T10" s="7">
        <v>12000</v>
      </c>
      <c r="U10" s="7">
        <v>30000</v>
      </c>
      <c r="V10" s="7">
        <v>0</v>
      </c>
      <c r="W10" s="7">
        <v>156000</v>
      </c>
      <c r="X10" s="7">
        <v>250000</v>
      </c>
      <c r="Y10" s="7">
        <v>7500</v>
      </c>
      <c r="Z10" s="7">
        <v>0</v>
      </c>
      <c r="AA10" s="7">
        <v>0</v>
      </c>
      <c r="AB10" s="7">
        <v>0</v>
      </c>
      <c r="AC10" s="7">
        <v>0</v>
      </c>
    </row>
    <row r="11" spans="1:30" s="21" customFormat="1" x14ac:dyDescent="0.25">
      <c r="A11" s="19" t="s">
        <v>16</v>
      </c>
      <c r="B11" s="19" t="str">
        <f>VLOOKUP(A11,[2]LISTADHERENT!A$5:H$52,2,0)</f>
        <v>DJOSSEU JOSUE</v>
      </c>
      <c r="C11" s="33"/>
      <c r="D11" s="33"/>
      <c r="E11" s="6">
        <v>0</v>
      </c>
      <c r="F11" s="33"/>
      <c r="G11" s="6"/>
      <c r="H11" s="33"/>
      <c r="I11" s="33"/>
      <c r="J11" s="33"/>
      <c r="K11" s="33"/>
      <c r="L11" s="33"/>
      <c r="M11" s="33"/>
      <c r="N11" s="33"/>
      <c r="O11" s="33"/>
      <c r="P11" s="33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30" x14ac:dyDescent="0.25">
      <c r="A12" s="1" t="s">
        <v>17</v>
      </c>
      <c r="B12" s="1" t="str">
        <f>VLOOKUP(A12,[2]LISTADHERENT!A$5:H$52,2,0)</f>
        <v>DJOUNKEP SAMUEL</v>
      </c>
      <c r="C12" s="6">
        <v>390000</v>
      </c>
      <c r="D12" s="6">
        <v>1055294</v>
      </c>
      <c r="E12" s="6">
        <v>635540</v>
      </c>
      <c r="F12" s="6">
        <v>2001294</v>
      </c>
      <c r="G12" s="6">
        <v>204246</v>
      </c>
      <c r="H12" s="6">
        <v>2135835.732900281</v>
      </c>
      <c r="I12" s="6">
        <v>1815540</v>
      </c>
      <c r="J12" s="6">
        <v>80000</v>
      </c>
      <c r="K12" s="6">
        <v>1735540</v>
      </c>
      <c r="L12" s="6">
        <v>1100000</v>
      </c>
      <c r="M12" s="6">
        <v>30000</v>
      </c>
      <c r="N12" s="6"/>
      <c r="O12" s="6">
        <v>50000</v>
      </c>
      <c r="P12" s="6">
        <v>0</v>
      </c>
      <c r="Q12" s="7">
        <v>760000</v>
      </c>
      <c r="R12" s="7">
        <v>556000</v>
      </c>
      <c r="S12" s="7">
        <v>6000</v>
      </c>
      <c r="T12" s="7">
        <v>12000</v>
      </c>
      <c r="U12" s="7">
        <v>30000</v>
      </c>
      <c r="V12" s="7">
        <v>0</v>
      </c>
      <c r="W12" s="7">
        <v>156000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</row>
    <row r="13" spans="1:30" x14ac:dyDescent="0.25">
      <c r="A13" s="1" t="s">
        <v>18</v>
      </c>
      <c r="B13" s="1" t="str">
        <f>VLOOKUP(A13,[2]LISTADHERENT!A$5:H$52,2,0)</f>
        <v>DJUOMBESSY ANTOINE</v>
      </c>
      <c r="C13" s="6">
        <v>390000</v>
      </c>
      <c r="D13" s="6">
        <v>0</v>
      </c>
      <c r="E13" s="6">
        <v>2746</v>
      </c>
      <c r="F13" s="6">
        <v>457560</v>
      </c>
      <c r="G13" s="6">
        <v>43186</v>
      </c>
      <c r="H13" s="6">
        <v>500746.2480208117</v>
      </c>
      <c r="I13" s="6">
        <v>110746</v>
      </c>
      <c r="J13" s="6">
        <v>80000</v>
      </c>
      <c r="K13" s="6">
        <v>30746</v>
      </c>
      <c r="L13" s="6">
        <v>28000</v>
      </c>
      <c r="M13" s="6">
        <v>30000</v>
      </c>
      <c r="N13" s="6"/>
      <c r="O13" s="6">
        <v>50000</v>
      </c>
      <c r="P13" s="6">
        <v>0</v>
      </c>
      <c r="Q13" s="7">
        <v>271560</v>
      </c>
      <c r="R13" s="7">
        <v>67560</v>
      </c>
      <c r="S13" s="7">
        <v>6000</v>
      </c>
      <c r="T13" s="7">
        <v>12000</v>
      </c>
      <c r="U13" s="7">
        <v>30000</v>
      </c>
      <c r="V13" s="7">
        <v>0</v>
      </c>
      <c r="W13" s="7">
        <v>156000</v>
      </c>
      <c r="X13" s="7">
        <v>700000</v>
      </c>
      <c r="Y13" s="7">
        <v>84000</v>
      </c>
      <c r="Z13" s="7">
        <v>0</v>
      </c>
      <c r="AA13" s="7">
        <v>0</v>
      </c>
      <c r="AB13" s="7">
        <v>48440</v>
      </c>
      <c r="AC13" s="7">
        <v>0</v>
      </c>
    </row>
    <row r="14" spans="1:30" x14ac:dyDescent="0.25">
      <c r="A14" s="1" t="s">
        <v>19</v>
      </c>
      <c r="B14" s="1" t="str">
        <f>VLOOKUP(A14,[2]LISTADHERENT!A$5:H$52,2,0)</f>
        <v>DONHOU DAVID</v>
      </c>
      <c r="C14" s="6">
        <v>390000</v>
      </c>
      <c r="D14" s="6">
        <v>44734</v>
      </c>
      <c r="E14" s="6">
        <v>53748</v>
      </c>
      <c r="F14" s="6">
        <v>470734</v>
      </c>
      <c r="G14" s="6">
        <v>53014</v>
      </c>
      <c r="H14" s="6">
        <v>523748.4932838293</v>
      </c>
      <c r="I14" s="6">
        <v>133748</v>
      </c>
      <c r="J14" s="6">
        <v>80000</v>
      </c>
      <c r="K14" s="6">
        <v>53748</v>
      </c>
      <c r="L14" s="6">
        <v>0</v>
      </c>
      <c r="M14" s="6">
        <v>30000</v>
      </c>
      <c r="N14" s="6"/>
      <c r="O14" s="6">
        <v>50000</v>
      </c>
      <c r="P14" s="6">
        <v>0</v>
      </c>
      <c r="Q14" s="7">
        <v>240000</v>
      </c>
      <c r="R14" s="7">
        <v>36000</v>
      </c>
      <c r="S14" s="7">
        <v>6000</v>
      </c>
      <c r="T14" s="7">
        <v>12000</v>
      </c>
      <c r="U14" s="7">
        <v>30000</v>
      </c>
      <c r="V14" s="7">
        <v>0</v>
      </c>
      <c r="W14" s="7">
        <v>156000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2"/>
    </row>
    <row r="15" spans="1:30" x14ac:dyDescent="0.25">
      <c r="A15" s="1" t="s">
        <v>20</v>
      </c>
      <c r="B15" s="1" t="str">
        <f>VLOOKUP(A15,[2]LISTADHERENT!A$5:H$52,2,0)</f>
        <v>FOTSO THOMAS</v>
      </c>
      <c r="C15" s="6">
        <v>390000</v>
      </c>
      <c r="D15" s="6">
        <v>3318</v>
      </c>
      <c r="E15" s="6">
        <v>2522</v>
      </c>
      <c r="F15" s="6">
        <v>429318</v>
      </c>
      <c r="G15" s="6">
        <v>48204</v>
      </c>
      <c r="H15" s="6">
        <v>477522.02832452004</v>
      </c>
      <c r="I15" s="6">
        <v>87522</v>
      </c>
      <c r="J15" s="6">
        <v>80000</v>
      </c>
      <c r="K15" s="6">
        <v>7522</v>
      </c>
      <c r="L15" s="6">
        <v>5000</v>
      </c>
      <c r="M15" s="6">
        <v>30000</v>
      </c>
      <c r="N15" s="6"/>
      <c r="O15" s="6">
        <v>50000</v>
      </c>
      <c r="P15" s="6">
        <v>0</v>
      </c>
      <c r="Q15" s="7">
        <v>240000</v>
      </c>
      <c r="R15" s="7">
        <v>36000</v>
      </c>
      <c r="S15" s="7">
        <v>6000</v>
      </c>
      <c r="T15" s="7">
        <v>12000</v>
      </c>
      <c r="U15" s="7">
        <v>30000</v>
      </c>
      <c r="V15" s="7">
        <v>0</v>
      </c>
      <c r="W15" s="7">
        <v>156000</v>
      </c>
      <c r="X15" s="7">
        <v>1000000</v>
      </c>
      <c r="Y15" s="7">
        <v>120000</v>
      </c>
      <c r="Z15" s="7">
        <v>0</v>
      </c>
      <c r="AA15" s="7">
        <v>0</v>
      </c>
      <c r="AB15" s="7">
        <v>0</v>
      </c>
      <c r="AC15" s="7">
        <v>0</v>
      </c>
      <c r="AD15" s="2"/>
    </row>
    <row r="16" spans="1:30" x14ac:dyDescent="0.25">
      <c r="A16" s="1" t="s">
        <v>21</v>
      </c>
      <c r="B16" s="1" t="str">
        <f>VLOOKUP(A16,[2]LISTADHERENT!A$5:H$52,2,0)</f>
        <v>HENGUE PAUL OMER</v>
      </c>
      <c r="C16" s="6">
        <v>390000</v>
      </c>
      <c r="D16" s="6"/>
      <c r="E16" s="6">
        <v>-10298</v>
      </c>
      <c r="F16" s="6">
        <v>420000</v>
      </c>
      <c r="G16" s="6">
        <v>47702</v>
      </c>
      <c r="H16" s="6">
        <v>467702.04132519802</v>
      </c>
      <c r="I16" s="6">
        <v>77702</v>
      </c>
      <c r="J16" s="6">
        <v>88000</v>
      </c>
      <c r="K16" s="6">
        <v>-10298</v>
      </c>
      <c r="L16" s="6">
        <v>0</v>
      </c>
      <c r="M16" s="6">
        <v>30000</v>
      </c>
      <c r="N16" s="6"/>
      <c r="O16" s="6">
        <v>50000</v>
      </c>
      <c r="P16" s="6">
        <v>8000</v>
      </c>
      <c r="Q16" s="7">
        <v>200000</v>
      </c>
      <c r="R16" s="7">
        <v>30000</v>
      </c>
      <c r="S16" s="7">
        <v>5000</v>
      </c>
      <c r="T16" s="7">
        <v>10000</v>
      </c>
      <c r="U16" s="7">
        <v>25000</v>
      </c>
      <c r="V16" s="7">
        <v>0</v>
      </c>
      <c r="W16" s="7">
        <v>130000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2"/>
    </row>
    <row r="17" spans="1:30" x14ac:dyDescent="0.25">
      <c r="A17" s="1" t="s">
        <v>22</v>
      </c>
      <c r="B17" s="1" t="str">
        <f>VLOOKUP(A17,[2]LISTADHERENT!A$5:H$52,2,0)</f>
        <v>HODIEP JULES</v>
      </c>
      <c r="C17" s="6">
        <v>50000</v>
      </c>
      <c r="D17" s="6">
        <v>0</v>
      </c>
      <c r="E17" s="6">
        <v>260</v>
      </c>
      <c r="F17" s="6">
        <v>58100</v>
      </c>
      <c r="G17" s="6">
        <v>6252</v>
      </c>
      <c r="H17" s="6">
        <v>92252.382130280748</v>
      </c>
      <c r="I17" s="6">
        <v>14352</v>
      </c>
      <c r="J17" s="6">
        <v>14092</v>
      </c>
      <c r="K17" s="6">
        <v>260</v>
      </c>
      <c r="L17" s="6">
        <v>0</v>
      </c>
      <c r="M17" s="6"/>
      <c r="N17" s="6"/>
      <c r="O17" s="6">
        <v>14092</v>
      </c>
      <c r="P17" s="6">
        <v>0</v>
      </c>
      <c r="Q17" s="7">
        <v>240000</v>
      </c>
      <c r="R17" s="7">
        <v>8100</v>
      </c>
      <c r="S17" s="7">
        <v>6000</v>
      </c>
      <c r="T17" s="7">
        <v>12000</v>
      </c>
      <c r="U17" s="7">
        <v>30000</v>
      </c>
      <c r="V17" s="7">
        <v>0</v>
      </c>
      <c r="W17" s="7">
        <v>156000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2"/>
    </row>
    <row r="18" spans="1:30" x14ac:dyDescent="0.25">
      <c r="A18" s="1" t="s">
        <v>23</v>
      </c>
      <c r="B18" s="1" t="str">
        <f>VLOOKUP(A18,[2]LISTADHERENT!A$5:H$52,2,0)</f>
        <v>HOTCHO BENJAMIN</v>
      </c>
      <c r="C18" s="6">
        <v>390000</v>
      </c>
      <c r="D18" s="6">
        <v>8723</v>
      </c>
      <c r="E18" s="6">
        <v>112685</v>
      </c>
      <c r="F18" s="6">
        <v>482723</v>
      </c>
      <c r="G18" s="6">
        <v>49962</v>
      </c>
      <c r="H18" s="6">
        <v>532685.37627619994</v>
      </c>
      <c r="I18" s="6">
        <v>142685</v>
      </c>
      <c r="J18" s="6">
        <v>30000</v>
      </c>
      <c r="K18" s="6">
        <v>112685</v>
      </c>
      <c r="L18" s="6">
        <v>0</v>
      </c>
      <c r="M18" s="6">
        <v>30000</v>
      </c>
      <c r="N18" s="6"/>
      <c r="O18" s="6">
        <v>50000</v>
      </c>
      <c r="P18" s="6">
        <v>0</v>
      </c>
      <c r="Q18" s="7">
        <v>338000</v>
      </c>
      <c r="R18" s="7">
        <v>84000</v>
      </c>
      <c r="S18" s="7">
        <v>6000</v>
      </c>
      <c r="T18" s="7">
        <v>12000</v>
      </c>
      <c r="U18" s="7">
        <v>30000</v>
      </c>
      <c r="V18" s="7">
        <v>50000</v>
      </c>
      <c r="W18" s="7">
        <v>156000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2"/>
    </row>
    <row r="19" spans="1:30" x14ac:dyDescent="0.25">
      <c r="A19" s="1" t="s">
        <v>24</v>
      </c>
      <c r="B19" s="1" t="str">
        <f>VLOOKUP(A19,[2]LISTADHERENT!A$5:H$52,2,0)</f>
        <v>KEPHE DAVID</v>
      </c>
      <c r="C19" s="6">
        <v>0</v>
      </c>
      <c r="D19" s="6">
        <v>12795</v>
      </c>
      <c r="E19" s="6">
        <v>177</v>
      </c>
      <c r="F19" s="6">
        <v>18000</v>
      </c>
      <c r="G19" s="6">
        <v>4006</v>
      </c>
      <c r="H19" s="6">
        <v>52801.313486987739</v>
      </c>
      <c r="I19" s="6">
        <v>22006</v>
      </c>
      <c r="J19" s="6">
        <v>21829</v>
      </c>
      <c r="K19" s="6">
        <v>177</v>
      </c>
      <c r="L19" s="6">
        <v>0</v>
      </c>
      <c r="M19" s="6"/>
      <c r="N19" s="6"/>
      <c r="O19" s="6">
        <v>21829</v>
      </c>
      <c r="P19" s="6">
        <v>0</v>
      </c>
      <c r="Q19" s="7">
        <v>240000</v>
      </c>
      <c r="R19" s="7">
        <v>5205</v>
      </c>
      <c r="S19" s="7">
        <v>6000</v>
      </c>
      <c r="T19" s="7">
        <v>12000</v>
      </c>
      <c r="U19" s="7">
        <v>30000</v>
      </c>
      <c r="V19" s="7">
        <v>0</v>
      </c>
      <c r="W19" s="7">
        <v>156000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2"/>
    </row>
    <row r="20" spans="1:30" x14ac:dyDescent="0.25">
      <c r="A20" s="1" t="s">
        <v>25</v>
      </c>
      <c r="B20" s="1" t="str">
        <f>VLOOKUP(A20,[2]LISTADHERENT!A$5:H$52,2,0)</f>
        <v>KEPSEU FRANCIS</v>
      </c>
      <c r="C20" s="6">
        <v>390000</v>
      </c>
      <c r="D20" s="6">
        <v>186997</v>
      </c>
      <c r="E20" s="6">
        <v>705425</v>
      </c>
      <c r="F20" s="6">
        <v>1128997</v>
      </c>
      <c r="G20" s="6">
        <v>117428</v>
      </c>
      <c r="H20" s="6">
        <v>1246425.7981045675</v>
      </c>
      <c r="I20" s="6">
        <v>856425</v>
      </c>
      <c r="J20" s="6">
        <v>80000</v>
      </c>
      <c r="K20" s="6">
        <v>776425</v>
      </c>
      <c r="L20" s="6">
        <v>71000</v>
      </c>
      <c r="M20" s="6">
        <v>30000</v>
      </c>
      <c r="N20" s="6"/>
      <c r="O20" s="6">
        <v>50000</v>
      </c>
      <c r="P20" s="6">
        <v>0</v>
      </c>
      <c r="Q20" s="7">
        <v>756000</v>
      </c>
      <c r="R20" s="7">
        <v>552000</v>
      </c>
      <c r="S20" s="7">
        <v>6000</v>
      </c>
      <c r="T20" s="7">
        <v>12000</v>
      </c>
      <c r="U20" s="7">
        <v>30000</v>
      </c>
      <c r="V20" s="7">
        <v>0</v>
      </c>
      <c r="W20" s="7">
        <v>156000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2"/>
    </row>
    <row r="21" spans="1:30" x14ac:dyDescent="0.25">
      <c r="A21" s="1" t="s">
        <v>26</v>
      </c>
      <c r="B21" s="1" t="str">
        <f>VLOOKUP(A21,[2]LISTADHERENT!A$5:H$52,2,0)</f>
        <v>KOUAMOU EMMANUEL</v>
      </c>
      <c r="C21" s="6">
        <v>390000</v>
      </c>
      <c r="D21" s="6">
        <v>2723</v>
      </c>
      <c r="E21" s="6">
        <v>2357</v>
      </c>
      <c r="F21" s="6">
        <v>428723</v>
      </c>
      <c r="G21" s="6">
        <v>48134</v>
      </c>
      <c r="H21" s="6">
        <v>476857.91912395041</v>
      </c>
      <c r="I21" s="6">
        <v>86857</v>
      </c>
      <c r="J21" s="6">
        <v>80000</v>
      </c>
      <c r="K21" s="6">
        <v>6857</v>
      </c>
      <c r="L21" s="6">
        <v>4500</v>
      </c>
      <c r="M21" s="6">
        <v>30000</v>
      </c>
      <c r="N21" s="6"/>
      <c r="O21" s="6">
        <v>50000</v>
      </c>
      <c r="P21" s="6">
        <v>0</v>
      </c>
      <c r="Q21" s="7">
        <v>240000</v>
      </c>
      <c r="R21" s="7">
        <v>36000</v>
      </c>
      <c r="S21" s="7">
        <v>6000</v>
      </c>
      <c r="T21" s="7">
        <v>12000</v>
      </c>
      <c r="U21" s="7">
        <v>30000</v>
      </c>
      <c r="V21" s="7">
        <v>0</v>
      </c>
      <c r="W21" s="7">
        <v>156000</v>
      </c>
      <c r="X21" s="7">
        <v>1000000</v>
      </c>
      <c r="Y21" s="7">
        <v>120000</v>
      </c>
      <c r="Z21" s="7">
        <v>0</v>
      </c>
      <c r="AA21" s="7">
        <v>0</v>
      </c>
      <c r="AB21" s="7">
        <v>0</v>
      </c>
      <c r="AC21" s="7">
        <v>0</v>
      </c>
      <c r="AD21" s="2"/>
    </row>
    <row r="22" spans="1:30" ht="12.75" customHeight="1" x14ac:dyDescent="0.25">
      <c r="A22" s="1" t="s">
        <v>27</v>
      </c>
      <c r="B22" s="1" t="str">
        <f>VLOOKUP(A22,[2]LISTADHERENT!A$5:H$52,2,0)</f>
        <v>KOUAMOU MOISE</v>
      </c>
      <c r="C22" s="6">
        <v>390000</v>
      </c>
      <c r="D22" s="6">
        <v>2099</v>
      </c>
      <c r="E22" s="6">
        <v>3048</v>
      </c>
      <c r="F22" s="6">
        <v>428099</v>
      </c>
      <c r="G22" s="6">
        <v>44949</v>
      </c>
      <c r="H22" s="6">
        <v>473048.50805201381</v>
      </c>
      <c r="I22" s="6">
        <v>83048</v>
      </c>
      <c r="J22" s="6">
        <v>80000</v>
      </c>
      <c r="K22" s="6">
        <v>3048</v>
      </c>
      <c r="L22" s="6">
        <v>0</v>
      </c>
      <c r="M22" s="6">
        <v>30000</v>
      </c>
      <c r="N22" s="6"/>
      <c r="O22" s="6">
        <v>50000</v>
      </c>
      <c r="P22" s="6">
        <v>0</v>
      </c>
      <c r="Q22" s="7">
        <v>240000</v>
      </c>
      <c r="R22" s="7">
        <v>36000</v>
      </c>
      <c r="S22" s="7">
        <v>6000</v>
      </c>
      <c r="T22" s="7">
        <v>12000</v>
      </c>
      <c r="U22" s="7">
        <v>30000</v>
      </c>
      <c r="V22" s="7">
        <v>0</v>
      </c>
      <c r="W22" s="7">
        <v>156000</v>
      </c>
      <c r="X22" s="7">
        <v>860000</v>
      </c>
      <c r="Y22" s="7">
        <v>97800</v>
      </c>
      <c r="Z22" s="7">
        <v>0</v>
      </c>
      <c r="AA22" s="7">
        <v>0</v>
      </c>
      <c r="AB22" s="7">
        <v>0</v>
      </c>
      <c r="AC22" s="7">
        <v>0</v>
      </c>
      <c r="AD22" s="2"/>
    </row>
    <row r="23" spans="1:30" x14ac:dyDescent="0.25">
      <c r="A23" s="1" t="s">
        <v>28</v>
      </c>
      <c r="B23" s="1" t="str">
        <f>VLOOKUP(A23,[2]LISTADHERENT!A$5:H$52,2,0)</f>
        <v>KOUAMOU VICTOR PEGUY</v>
      </c>
      <c r="C23" s="6">
        <v>390000</v>
      </c>
      <c r="D23" s="6">
        <v>36629</v>
      </c>
      <c r="E23" s="6">
        <v>2686</v>
      </c>
      <c r="F23" s="6">
        <v>461629</v>
      </c>
      <c r="G23" s="6">
        <v>52057</v>
      </c>
      <c r="H23" s="6">
        <v>513686.78429989645</v>
      </c>
      <c r="I23" s="6">
        <v>123686</v>
      </c>
      <c r="J23" s="6">
        <v>80000</v>
      </c>
      <c r="K23" s="6">
        <v>43686</v>
      </c>
      <c r="L23" s="6">
        <v>41000</v>
      </c>
      <c r="M23" s="6">
        <v>30000</v>
      </c>
      <c r="N23" s="6"/>
      <c r="O23" s="6">
        <v>50000</v>
      </c>
      <c r="P23" s="6">
        <v>0</v>
      </c>
      <c r="Q23" s="7">
        <v>239000</v>
      </c>
      <c r="R23" s="7">
        <v>35000</v>
      </c>
      <c r="S23" s="7">
        <v>6000</v>
      </c>
      <c r="T23" s="7">
        <v>12000</v>
      </c>
      <c r="U23" s="7">
        <v>30000</v>
      </c>
      <c r="V23" s="7">
        <v>0</v>
      </c>
      <c r="W23" s="7">
        <v>156000</v>
      </c>
      <c r="X23" s="7">
        <v>1800000</v>
      </c>
      <c r="Y23" s="7">
        <v>128000</v>
      </c>
      <c r="Z23" s="7">
        <v>1000000</v>
      </c>
      <c r="AA23" s="7">
        <v>0</v>
      </c>
      <c r="AB23" s="7">
        <v>0</v>
      </c>
      <c r="AC23" s="7">
        <v>0</v>
      </c>
      <c r="AD23" s="2"/>
    </row>
    <row r="24" spans="1:30" x14ac:dyDescent="0.25">
      <c r="A24" s="1" t="s">
        <v>29</v>
      </c>
      <c r="B24" s="1" t="str">
        <f>VLOOKUP(A24,[2]LISTADHERENT!A$5:H$52,2,0)</f>
        <v>KOUATCHO MESSACK</v>
      </c>
      <c r="C24" s="6">
        <v>390000</v>
      </c>
      <c r="D24" s="6">
        <v>0</v>
      </c>
      <c r="E24" s="6">
        <v>3818</v>
      </c>
      <c r="F24" s="6">
        <v>426000</v>
      </c>
      <c r="G24" s="6">
        <v>47818</v>
      </c>
      <c r="H24" s="6">
        <v>473818.64290016744</v>
      </c>
      <c r="I24" s="6">
        <v>83818</v>
      </c>
      <c r="J24" s="6">
        <v>80000</v>
      </c>
      <c r="K24" s="6">
        <v>3818</v>
      </c>
      <c r="L24" s="6">
        <v>0</v>
      </c>
      <c r="M24" s="6">
        <v>30000</v>
      </c>
      <c r="N24" s="6"/>
      <c r="O24" s="6">
        <v>50000</v>
      </c>
      <c r="P24" s="6">
        <v>0</v>
      </c>
      <c r="Q24" s="7">
        <v>240000</v>
      </c>
      <c r="R24" s="7">
        <v>36000</v>
      </c>
      <c r="S24" s="7">
        <v>6000</v>
      </c>
      <c r="T24" s="7">
        <v>12000</v>
      </c>
      <c r="U24" s="7">
        <v>30000</v>
      </c>
      <c r="V24" s="7">
        <v>0</v>
      </c>
      <c r="W24" s="7">
        <v>156000</v>
      </c>
      <c r="X24" s="7">
        <v>1600000</v>
      </c>
      <c r="Y24" s="7">
        <v>192000</v>
      </c>
      <c r="Z24" s="7">
        <v>0</v>
      </c>
      <c r="AA24" s="7">
        <v>0</v>
      </c>
      <c r="AB24" s="7">
        <v>0</v>
      </c>
      <c r="AC24" s="7">
        <v>0</v>
      </c>
      <c r="AD24" s="2"/>
    </row>
    <row r="25" spans="1:30" x14ac:dyDescent="0.25">
      <c r="A25" s="1" t="s">
        <v>30</v>
      </c>
      <c r="B25" s="1" t="str">
        <f>VLOOKUP(A25,[2]LISTADHERENT!A$5:H$52,2,0)</f>
        <v>LOWE JEAN</v>
      </c>
      <c r="C25" s="6">
        <v>390000</v>
      </c>
      <c r="D25" s="6">
        <v>4331</v>
      </c>
      <c r="E25" s="6">
        <v>2652</v>
      </c>
      <c r="F25" s="6">
        <v>430331</v>
      </c>
      <c r="G25" s="6">
        <v>48321</v>
      </c>
      <c r="H25" s="6">
        <v>478652.6881903637</v>
      </c>
      <c r="I25" s="6">
        <v>88652</v>
      </c>
      <c r="J25" s="6">
        <v>80000</v>
      </c>
      <c r="K25" s="6">
        <v>8652</v>
      </c>
      <c r="L25" s="6">
        <v>6000</v>
      </c>
      <c r="M25" s="6">
        <v>30000</v>
      </c>
      <c r="N25" s="6"/>
      <c r="O25" s="6">
        <v>50000</v>
      </c>
      <c r="P25" s="6">
        <v>0</v>
      </c>
      <c r="Q25" s="7">
        <v>240000</v>
      </c>
      <c r="R25" s="7">
        <v>36000</v>
      </c>
      <c r="S25" s="7">
        <v>6000</v>
      </c>
      <c r="T25" s="7">
        <v>12000</v>
      </c>
      <c r="U25" s="7">
        <v>30000</v>
      </c>
      <c r="V25" s="7">
        <v>0</v>
      </c>
      <c r="W25" s="7">
        <v>156000</v>
      </c>
      <c r="X25" s="7">
        <v>240000</v>
      </c>
      <c r="Y25" s="7">
        <v>7200</v>
      </c>
      <c r="Z25" s="7">
        <v>160000</v>
      </c>
      <c r="AA25" s="7">
        <v>0</v>
      </c>
      <c r="AB25" s="7">
        <v>0</v>
      </c>
      <c r="AC25" s="7">
        <v>0</v>
      </c>
      <c r="AD25" s="2"/>
    </row>
    <row r="26" spans="1:30" x14ac:dyDescent="0.25">
      <c r="A26" s="1" t="s">
        <v>31</v>
      </c>
      <c r="B26" s="1" t="str">
        <f>VLOOKUP(A26,[2]LISTADHERENT!A$5:H$52,2,0)</f>
        <v>NANKAM APPOLINAIRE</v>
      </c>
      <c r="C26" s="6">
        <v>390000</v>
      </c>
      <c r="D26" s="6">
        <v>4411</v>
      </c>
      <c r="E26" s="6">
        <v>2741</v>
      </c>
      <c r="F26" s="6">
        <v>430411</v>
      </c>
      <c r="G26" s="6">
        <v>48330</v>
      </c>
      <c r="H26" s="6">
        <v>478741.98018371756</v>
      </c>
      <c r="I26" s="6">
        <v>88741</v>
      </c>
      <c r="J26" s="6">
        <v>80000</v>
      </c>
      <c r="K26" s="6">
        <v>8741</v>
      </c>
      <c r="L26" s="6">
        <v>6000</v>
      </c>
      <c r="M26" s="6">
        <v>30000</v>
      </c>
      <c r="N26" s="6"/>
      <c r="O26" s="6">
        <v>50000</v>
      </c>
      <c r="P26" s="6">
        <v>0</v>
      </c>
      <c r="Q26" s="7">
        <v>240000</v>
      </c>
      <c r="R26" s="7">
        <v>36000</v>
      </c>
      <c r="S26" s="7">
        <v>6000</v>
      </c>
      <c r="T26" s="7">
        <v>12000</v>
      </c>
      <c r="U26" s="7">
        <v>30000</v>
      </c>
      <c r="V26" s="7">
        <v>0</v>
      </c>
      <c r="W26" s="7">
        <v>156000</v>
      </c>
      <c r="X26" s="7">
        <v>1000000</v>
      </c>
      <c r="Y26" s="7">
        <v>120000</v>
      </c>
      <c r="Z26" s="7">
        <v>0</v>
      </c>
      <c r="AA26" s="7">
        <v>0</v>
      </c>
      <c r="AB26" s="7">
        <v>0</v>
      </c>
      <c r="AC26" s="7">
        <v>0</v>
      </c>
      <c r="AD26" s="2"/>
    </row>
    <row r="27" spans="1:30" x14ac:dyDescent="0.25">
      <c r="A27" s="1" t="s">
        <v>32</v>
      </c>
      <c r="B27" s="1" t="str">
        <f>VLOOKUP(A27,[2]LISTADHERENT!A$5:H$52,2,0)</f>
        <v>NDJOMO ETIENNE</v>
      </c>
      <c r="C27" s="6">
        <v>390000</v>
      </c>
      <c r="D27" s="6">
        <v>2060</v>
      </c>
      <c r="E27" s="6">
        <v>2818</v>
      </c>
      <c r="F27" s="6">
        <v>488060</v>
      </c>
      <c r="G27" s="6">
        <v>52258</v>
      </c>
      <c r="H27" s="6">
        <v>540318.20389561309</v>
      </c>
      <c r="I27" s="6">
        <v>150318</v>
      </c>
      <c r="J27" s="6">
        <v>80000</v>
      </c>
      <c r="K27" s="6">
        <v>70318</v>
      </c>
      <c r="L27" s="6">
        <v>67500</v>
      </c>
      <c r="M27" s="6">
        <v>30000</v>
      </c>
      <c r="N27" s="6"/>
      <c r="O27" s="6">
        <v>50000</v>
      </c>
      <c r="P27" s="6">
        <v>0</v>
      </c>
      <c r="Q27" s="7">
        <v>300000</v>
      </c>
      <c r="R27" s="7">
        <v>96000</v>
      </c>
      <c r="S27" s="7">
        <v>6000</v>
      </c>
      <c r="T27" s="7">
        <v>12000</v>
      </c>
      <c r="U27" s="7">
        <v>30000</v>
      </c>
      <c r="V27" s="7">
        <v>0</v>
      </c>
      <c r="W27" s="7">
        <v>156000</v>
      </c>
      <c r="X27" s="7">
        <v>1600000</v>
      </c>
      <c r="Y27" s="7">
        <v>48000</v>
      </c>
      <c r="Z27" s="7">
        <v>1200000</v>
      </c>
      <c r="AA27" s="7">
        <v>0</v>
      </c>
      <c r="AB27" s="7">
        <v>0</v>
      </c>
      <c r="AC27" s="7">
        <v>0</v>
      </c>
      <c r="AD27" s="2"/>
    </row>
    <row r="28" spans="1:30" ht="0.75" customHeight="1" x14ac:dyDescent="0.25">
      <c r="A28" s="1" t="s">
        <v>33</v>
      </c>
      <c r="B28" s="1" t="str">
        <f>VLOOKUP(A28,[2]LISTADHERENT!A$5:H$52,2,0)</f>
        <v>NDOMBOU JEAN CLAUDE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/>
      <c r="M28" s="6"/>
      <c r="N28" s="6"/>
      <c r="O28" s="6"/>
      <c r="P28" s="6"/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2"/>
    </row>
    <row r="29" spans="1:30" x14ac:dyDescent="0.25">
      <c r="A29" s="1" t="s">
        <v>34</v>
      </c>
      <c r="B29" s="1" t="str">
        <f>VLOOKUP(A29,[2]LISTADHERENT!A$5:H$52,2,0)</f>
        <v>NGONDIEP CLAUDE</v>
      </c>
      <c r="C29" s="6">
        <v>390000</v>
      </c>
      <c r="D29" s="6">
        <v>179574</v>
      </c>
      <c r="E29" s="6">
        <v>3250</v>
      </c>
      <c r="F29" s="6">
        <v>605574</v>
      </c>
      <c r="G29" s="6">
        <v>68676</v>
      </c>
      <c r="H29" s="6">
        <v>674250.14808181231</v>
      </c>
      <c r="I29" s="6">
        <v>284250</v>
      </c>
      <c r="J29" s="6">
        <v>80000</v>
      </c>
      <c r="K29" s="6">
        <v>204250</v>
      </c>
      <c r="L29" s="6">
        <v>201000</v>
      </c>
      <c r="M29" s="6">
        <v>30000</v>
      </c>
      <c r="N29" s="6"/>
      <c r="O29" s="6">
        <v>50000</v>
      </c>
      <c r="P29" s="6">
        <v>0</v>
      </c>
      <c r="Q29" s="7">
        <v>240000</v>
      </c>
      <c r="R29" s="7">
        <v>36000</v>
      </c>
      <c r="S29" s="7">
        <v>6000</v>
      </c>
      <c r="T29" s="7">
        <v>12000</v>
      </c>
      <c r="U29" s="7">
        <v>30000</v>
      </c>
      <c r="V29" s="7">
        <v>0</v>
      </c>
      <c r="W29" s="7">
        <v>156000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2"/>
    </row>
    <row r="30" spans="1:30" x14ac:dyDescent="0.25">
      <c r="A30" s="1" t="s">
        <v>35</v>
      </c>
      <c r="B30" s="1" t="str">
        <f>VLOOKUP(A30,[2]LISTADHERENT!A$5:H$52,2,0)</f>
        <v>NGONGANG JEAN THEODORE</v>
      </c>
      <c r="C30" s="6">
        <v>0</v>
      </c>
      <c r="D30" s="6">
        <v>0</v>
      </c>
      <c r="E30" s="6">
        <v>106</v>
      </c>
      <c r="F30" s="6">
        <v>17782</v>
      </c>
      <c r="G30" s="6">
        <v>2520</v>
      </c>
      <c r="H30" s="6">
        <v>38520.175299949828</v>
      </c>
      <c r="I30" s="6">
        <v>20302</v>
      </c>
      <c r="J30" s="6">
        <v>20196</v>
      </c>
      <c r="K30" s="6">
        <v>106</v>
      </c>
      <c r="L30" s="6">
        <v>0</v>
      </c>
      <c r="M30" s="6"/>
      <c r="N30" s="6"/>
      <c r="O30" s="6">
        <v>20196</v>
      </c>
      <c r="P30" s="6">
        <v>0</v>
      </c>
      <c r="Q30" s="7">
        <v>240000</v>
      </c>
      <c r="R30" s="7">
        <v>17782</v>
      </c>
      <c r="S30" s="7">
        <v>6000</v>
      </c>
      <c r="T30" s="7">
        <v>12000</v>
      </c>
      <c r="U30" s="7">
        <v>30000</v>
      </c>
      <c r="V30" s="7">
        <v>0</v>
      </c>
      <c r="W30" s="7">
        <v>156000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2"/>
    </row>
    <row r="31" spans="1:30" x14ac:dyDescent="0.25">
      <c r="A31" s="1" t="s">
        <v>36</v>
      </c>
      <c r="B31" s="1" t="str">
        <f>VLOOKUP(A31,[2]LISTADHERENT!A$5:H$52,2,0)</f>
        <v>NGUIEMEGNI MATHIEU BLAISE</v>
      </c>
      <c r="C31" s="6">
        <v>390000</v>
      </c>
      <c r="D31" s="6">
        <v>0</v>
      </c>
      <c r="E31" s="6">
        <v>565188</v>
      </c>
      <c r="F31" s="6">
        <v>945945</v>
      </c>
      <c r="G31" s="6">
        <v>39243</v>
      </c>
      <c r="H31" s="6">
        <v>985188.08962026308</v>
      </c>
      <c r="I31" s="6">
        <v>595188</v>
      </c>
      <c r="J31" s="6">
        <v>30000</v>
      </c>
      <c r="K31" s="6">
        <v>565188</v>
      </c>
      <c r="L31" s="6">
        <v>0</v>
      </c>
      <c r="M31" s="6">
        <v>30000</v>
      </c>
      <c r="N31" s="6"/>
      <c r="O31" s="6">
        <v>50000</v>
      </c>
      <c r="P31" s="6">
        <v>0</v>
      </c>
      <c r="Q31" s="7">
        <v>860000</v>
      </c>
      <c r="R31" s="7">
        <v>555945</v>
      </c>
      <c r="S31" s="7">
        <v>6000</v>
      </c>
      <c r="T31" s="7">
        <v>12000</v>
      </c>
      <c r="U31" s="7">
        <v>30000</v>
      </c>
      <c r="V31" s="7">
        <v>50000</v>
      </c>
      <c r="W31" s="7">
        <v>156000</v>
      </c>
      <c r="X31" s="7">
        <v>0</v>
      </c>
      <c r="Y31" s="7">
        <v>0</v>
      </c>
      <c r="Z31" s="7">
        <v>0</v>
      </c>
      <c r="AA31" s="7">
        <v>0</v>
      </c>
      <c r="AB31" s="7">
        <v>50055</v>
      </c>
      <c r="AC31" s="7">
        <v>0</v>
      </c>
      <c r="AD31" s="2"/>
    </row>
    <row r="32" spans="1:30" x14ac:dyDescent="0.25">
      <c r="A32" s="1" t="s">
        <v>37</v>
      </c>
      <c r="B32" s="1" t="str">
        <f>VLOOKUP(A32,[2]LISTADHERENT!A$5:H$52,2,0)</f>
        <v>NJEPDJIO MBOUKAM DELUXE</v>
      </c>
      <c r="C32" s="6">
        <v>390000</v>
      </c>
      <c r="D32" s="6">
        <v>1734</v>
      </c>
      <c r="E32" s="6">
        <v>2773</v>
      </c>
      <c r="F32" s="6">
        <v>443734</v>
      </c>
      <c r="G32" s="6">
        <v>49539</v>
      </c>
      <c r="H32" s="6">
        <v>493273.71322255593</v>
      </c>
      <c r="I32" s="6">
        <v>103273</v>
      </c>
      <c r="J32" s="6">
        <v>80000</v>
      </c>
      <c r="K32" s="6">
        <v>23273</v>
      </c>
      <c r="L32" s="6">
        <v>20500</v>
      </c>
      <c r="M32" s="6">
        <v>30000</v>
      </c>
      <c r="N32" s="6"/>
      <c r="O32" s="6">
        <v>50000</v>
      </c>
      <c r="P32" s="6">
        <v>0</v>
      </c>
      <c r="Q32" s="7">
        <v>256000</v>
      </c>
      <c r="R32" s="7">
        <v>52000</v>
      </c>
      <c r="S32" s="7">
        <v>6000</v>
      </c>
      <c r="T32" s="7">
        <v>12000</v>
      </c>
      <c r="U32" s="7">
        <v>30000</v>
      </c>
      <c r="V32" s="7">
        <v>0</v>
      </c>
      <c r="W32" s="7">
        <v>156000</v>
      </c>
      <c r="X32" s="7">
        <v>2000000</v>
      </c>
      <c r="Y32" s="7">
        <v>150000</v>
      </c>
      <c r="Z32" s="7">
        <v>1000000</v>
      </c>
      <c r="AA32" s="7">
        <v>0</v>
      </c>
      <c r="AB32" s="7">
        <v>0</v>
      </c>
      <c r="AC32" s="7">
        <v>0</v>
      </c>
      <c r="AD32" s="2"/>
    </row>
    <row r="33" spans="1:30" x14ac:dyDescent="0.25">
      <c r="A33" s="1" t="s">
        <v>38</v>
      </c>
      <c r="B33" s="1" t="str">
        <f>VLOOKUP(A33,[2]LISTADHERENT!A$5:H$52,2,0)</f>
        <v>NKAMGANG JUSTIN DEJOLIE</v>
      </c>
      <c r="C33" s="6">
        <v>372800</v>
      </c>
      <c r="D33" s="6">
        <v>0</v>
      </c>
      <c r="E33" s="6">
        <v>14208</v>
      </c>
      <c r="F33" s="6">
        <v>444800</v>
      </c>
      <c r="G33" s="6">
        <v>22208</v>
      </c>
      <c r="H33" s="6">
        <v>539008.01502058154</v>
      </c>
      <c r="I33" s="6">
        <v>94208</v>
      </c>
      <c r="J33" s="6">
        <v>80000</v>
      </c>
      <c r="K33" s="6">
        <v>14208</v>
      </c>
      <c r="L33" s="6">
        <v>0</v>
      </c>
      <c r="M33" s="6">
        <v>30000</v>
      </c>
      <c r="N33" s="6"/>
      <c r="O33" s="6">
        <v>50000</v>
      </c>
      <c r="P33" s="6">
        <v>0</v>
      </c>
      <c r="Q33" s="7">
        <v>648800</v>
      </c>
      <c r="R33" s="7">
        <v>72000</v>
      </c>
      <c r="S33" s="7">
        <v>6000</v>
      </c>
      <c r="T33" s="7">
        <v>12000</v>
      </c>
      <c r="U33" s="7">
        <v>30000</v>
      </c>
      <c r="V33" s="7">
        <v>0</v>
      </c>
      <c r="W33" s="7">
        <v>156000</v>
      </c>
      <c r="X33" s="7">
        <v>1000000</v>
      </c>
      <c r="Y33" s="7">
        <v>120000</v>
      </c>
      <c r="Z33" s="7">
        <v>0</v>
      </c>
      <c r="AA33" s="7">
        <v>0</v>
      </c>
      <c r="AB33" s="7">
        <v>0</v>
      </c>
      <c r="AC33" s="7">
        <v>0</v>
      </c>
      <c r="AD33" s="2"/>
    </row>
    <row r="34" spans="1:30" x14ac:dyDescent="0.25">
      <c r="A34" s="1" t="s">
        <v>39</v>
      </c>
      <c r="B34" s="1" t="str">
        <f>VLOOKUP(A34,[2]LISTADHERENT!A$5:H$52,2,0)</f>
        <v>NKEPSEU DIEUDONNE</v>
      </c>
      <c r="C34" s="6">
        <v>390000</v>
      </c>
      <c r="D34" s="6">
        <v>8739</v>
      </c>
      <c r="E34" s="6">
        <v>2772</v>
      </c>
      <c r="F34" s="6">
        <v>494739</v>
      </c>
      <c r="G34" s="6">
        <v>53033</v>
      </c>
      <c r="H34" s="6">
        <v>547772.96919074608</v>
      </c>
      <c r="I34" s="6">
        <v>157772</v>
      </c>
      <c r="J34" s="6">
        <v>30000</v>
      </c>
      <c r="K34" s="6">
        <v>127772</v>
      </c>
      <c r="L34" s="6">
        <v>125000</v>
      </c>
      <c r="M34" s="6">
        <v>30000</v>
      </c>
      <c r="N34" s="6"/>
      <c r="O34" s="6">
        <f>25000+25000</f>
        <v>50000</v>
      </c>
      <c r="P34" s="6">
        <v>0</v>
      </c>
      <c r="Q34" s="7">
        <v>350000</v>
      </c>
      <c r="R34" s="7">
        <v>96000</v>
      </c>
      <c r="S34" s="7">
        <v>6000</v>
      </c>
      <c r="T34" s="7">
        <v>12000</v>
      </c>
      <c r="U34" s="7">
        <v>30000</v>
      </c>
      <c r="V34" s="7">
        <v>50000</v>
      </c>
      <c r="W34" s="7">
        <v>156000</v>
      </c>
      <c r="X34" s="7">
        <v>600000</v>
      </c>
      <c r="Y34" s="7">
        <v>72000</v>
      </c>
      <c r="Z34" s="7">
        <v>0</v>
      </c>
      <c r="AA34" s="7">
        <v>0</v>
      </c>
      <c r="AB34" s="7">
        <v>0</v>
      </c>
      <c r="AC34" s="7">
        <v>0</v>
      </c>
      <c r="AD34" s="2"/>
    </row>
    <row r="35" spans="1:30" s="21" customFormat="1" x14ac:dyDescent="0.25">
      <c r="A35" s="19" t="s">
        <v>40</v>
      </c>
      <c r="B35" s="19" t="str">
        <f>VLOOKUP(A35,[2]LISTADHERENT!A$5:H$52,2,0)</f>
        <v>NKEPSEU HENANG RENE</v>
      </c>
      <c r="C35" s="33"/>
      <c r="D35" s="33"/>
      <c r="E35" s="6">
        <v>0</v>
      </c>
      <c r="F35" s="33"/>
      <c r="G35" s="6"/>
      <c r="H35" s="33"/>
      <c r="I35" s="33"/>
      <c r="J35" s="33"/>
      <c r="K35" s="33"/>
      <c r="L35" s="33"/>
      <c r="M35" s="33"/>
      <c r="N35" s="33"/>
      <c r="O35" s="33"/>
      <c r="P35" s="3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42"/>
    </row>
    <row r="36" spans="1:30" x14ac:dyDescent="0.25">
      <c r="A36" s="1" t="s">
        <v>41</v>
      </c>
      <c r="B36" s="1" t="str">
        <f>VLOOKUP(A36,[2]LISTADHERENT!A$5:H$52,2,0)</f>
        <v>NTEPDIE TUEMAC MZ</v>
      </c>
      <c r="C36" s="6">
        <v>0</v>
      </c>
      <c r="D36" s="6">
        <v>0</v>
      </c>
      <c r="E36" s="6">
        <v>-12105</v>
      </c>
      <c r="F36" s="6">
        <v>15000</v>
      </c>
      <c r="G36" s="6">
        <v>895</v>
      </c>
      <c r="H36" s="6">
        <v>15895.449275630095</v>
      </c>
      <c r="I36" s="6">
        <v>15895</v>
      </c>
      <c r="J36" s="6">
        <v>28000</v>
      </c>
      <c r="K36" s="6">
        <v>-12105</v>
      </c>
      <c r="L36" s="6">
        <v>0</v>
      </c>
      <c r="M36" s="6"/>
      <c r="N36" s="6"/>
      <c r="O36" s="6"/>
      <c r="P36" s="6">
        <v>28000</v>
      </c>
      <c r="Q36" s="7">
        <v>100000</v>
      </c>
      <c r="R36" s="7">
        <v>15000</v>
      </c>
      <c r="S36" s="7">
        <v>2500</v>
      </c>
      <c r="T36" s="7">
        <v>5000</v>
      </c>
      <c r="U36" s="7">
        <v>12500</v>
      </c>
      <c r="V36" s="7">
        <v>0</v>
      </c>
      <c r="W36" s="7">
        <v>65000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2"/>
    </row>
    <row r="37" spans="1:30" s="21" customFormat="1" x14ac:dyDescent="0.25">
      <c r="A37" s="19" t="s">
        <v>42</v>
      </c>
      <c r="B37" s="19" t="str">
        <f>VLOOKUP(A37,[2]LISTADHERENT!A$5:H$52,2,0)</f>
        <v>NTOMBOU ADOLPHE</v>
      </c>
      <c r="C37" s="33"/>
      <c r="D37" s="33"/>
      <c r="E37" s="6">
        <v>0</v>
      </c>
      <c r="F37" s="33"/>
      <c r="G37" s="6"/>
      <c r="H37" s="33"/>
      <c r="I37" s="6"/>
      <c r="J37" s="6"/>
      <c r="K37" s="6"/>
      <c r="L37" s="6"/>
      <c r="M37" s="33"/>
      <c r="N37" s="33"/>
      <c r="O37" s="33"/>
      <c r="P37" s="33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42"/>
    </row>
    <row r="38" spans="1:30" x14ac:dyDescent="0.25">
      <c r="A38" s="1" t="s">
        <v>43</v>
      </c>
      <c r="B38" s="1" t="str">
        <f>VLOOKUP(A38,[2]LISTADHERENT!A$5:H$52,2,0)</f>
        <v>PATEGO NJOSSU GUSTAVE</v>
      </c>
      <c r="C38" s="6">
        <v>390000</v>
      </c>
      <c r="D38" s="6">
        <v>140</v>
      </c>
      <c r="E38" s="6">
        <v>2474</v>
      </c>
      <c r="F38" s="6">
        <v>426140</v>
      </c>
      <c r="G38" s="6">
        <v>47834</v>
      </c>
      <c r="H38" s="6">
        <v>473974.90388853668</v>
      </c>
      <c r="I38" s="6">
        <v>83974</v>
      </c>
      <c r="J38" s="6">
        <v>80000</v>
      </c>
      <c r="K38" s="6">
        <v>3974</v>
      </c>
      <c r="L38" s="6">
        <v>1500</v>
      </c>
      <c r="M38" s="6">
        <v>30000</v>
      </c>
      <c r="N38" s="6"/>
      <c r="O38" s="6">
        <v>50000</v>
      </c>
      <c r="P38" s="6">
        <v>0</v>
      </c>
      <c r="Q38" s="7">
        <v>240000</v>
      </c>
      <c r="R38" s="7">
        <v>36000</v>
      </c>
      <c r="S38" s="7">
        <v>6000</v>
      </c>
      <c r="T38" s="7">
        <v>12000</v>
      </c>
      <c r="U38" s="7">
        <v>30000</v>
      </c>
      <c r="V38" s="7">
        <v>0</v>
      </c>
      <c r="W38" s="7">
        <v>156000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2"/>
    </row>
    <row r="39" spans="1:30" x14ac:dyDescent="0.25">
      <c r="A39" s="1" t="s">
        <v>44</v>
      </c>
      <c r="B39" s="1" t="str">
        <f>VLOOKUP(A39,[2]LISTADHERENT!A$5:H$52,2,0)</f>
        <v>SEUNOU RICHELOT</v>
      </c>
      <c r="C39" s="6">
        <v>390000</v>
      </c>
      <c r="D39" s="6">
        <v>2632</v>
      </c>
      <c r="E39" s="6">
        <v>6756</v>
      </c>
      <c r="F39" s="6">
        <v>428632</v>
      </c>
      <c r="G39" s="6">
        <v>48124</v>
      </c>
      <c r="H39" s="6">
        <v>476756.34948151035</v>
      </c>
      <c r="I39" s="6">
        <v>86756</v>
      </c>
      <c r="J39" s="6">
        <v>80000</v>
      </c>
      <c r="K39" s="6">
        <v>6756</v>
      </c>
      <c r="L39" s="6">
        <v>0</v>
      </c>
      <c r="M39" s="6">
        <v>30000</v>
      </c>
      <c r="N39" s="6"/>
      <c r="O39" s="6">
        <v>50000</v>
      </c>
      <c r="P39" s="6">
        <v>0</v>
      </c>
      <c r="Q39" s="7">
        <v>240000</v>
      </c>
      <c r="R39" s="7">
        <v>36000</v>
      </c>
      <c r="S39" s="7">
        <v>6000</v>
      </c>
      <c r="T39" s="7">
        <v>12000</v>
      </c>
      <c r="U39" s="7">
        <v>30000</v>
      </c>
      <c r="V39" s="7">
        <v>0</v>
      </c>
      <c r="W39" s="7">
        <v>156000</v>
      </c>
      <c r="X39" s="7">
        <v>1000000</v>
      </c>
      <c r="Y39" s="7">
        <v>120000</v>
      </c>
      <c r="Z39" s="7">
        <v>0</v>
      </c>
      <c r="AA39" s="7">
        <v>0</v>
      </c>
      <c r="AB39" s="7">
        <v>0</v>
      </c>
      <c r="AC39" s="7">
        <v>0</v>
      </c>
      <c r="AD39" s="2"/>
    </row>
    <row r="40" spans="1:30" x14ac:dyDescent="0.25">
      <c r="A40" s="1" t="s">
        <v>45</v>
      </c>
      <c r="B40" s="1" t="str">
        <f>VLOOKUP(A40,[2]LISTADHERENT!A$5:H$52,2,0)</f>
        <v>SIME ABEL</v>
      </c>
      <c r="C40" s="6">
        <v>390000</v>
      </c>
      <c r="D40" s="6">
        <v>0</v>
      </c>
      <c r="E40" s="6">
        <v>488</v>
      </c>
      <c r="F40" s="6">
        <v>398873</v>
      </c>
      <c r="G40" s="6">
        <v>15621</v>
      </c>
      <c r="H40" s="6">
        <v>441621.34748316335</v>
      </c>
      <c r="I40" s="6">
        <v>24494</v>
      </c>
      <c r="J40" s="6">
        <v>24006</v>
      </c>
      <c r="K40" s="6">
        <v>488</v>
      </c>
      <c r="L40" s="6">
        <v>0</v>
      </c>
      <c r="M40" s="6"/>
      <c r="N40" s="6"/>
      <c r="O40" s="6">
        <v>24006</v>
      </c>
      <c r="P40" s="6">
        <v>0</v>
      </c>
      <c r="Q40" s="7">
        <v>240000</v>
      </c>
      <c r="R40" s="7">
        <v>8873</v>
      </c>
      <c r="S40" s="7">
        <v>6000</v>
      </c>
      <c r="T40" s="7">
        <v>12000</v>
      </c>
      <c r="U40" s="7">
        <v>30000</v>
      </c>
      <c r="V40" s="7">
        <v>0</v>
      </c>
      <c r="W40" s="7">
        <v>156000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2"/>
    </row>
    <row r="41" spans="1:30" x14ac:dyDescent="0.25">
      <c r="A41" s="1" t="s">
        <v>46</v>
      </c>
      <c r="B41" s="1" t="str">
        <f>VLOOKUP(A41,[2]LISTADHERENT!A$5:H$52,2,0)</f>
        <v>SIME FONGANG ERIC</v>
      </c>
      <c r="C41" s="6">
        <v>390000</v>
      </c>
      <c r="D41" s="6">
        <v>982</v>
      </c>
      <c r="E41" s="6">
        <v>4914</v>
      </c>
      <c r="F41" s="6">
        <v>426982</v>
      </c>
      <c r="G41" s="6">
        <v>47932</v>
      </c>
      <c r="H41" s="6">
        <v>474914.7021185864</v>
      </c>
      <c r="I41" s="6">
        <v>84914</v>
      </c>
      <c r="J41" s="6">
        <v>80000</v>
      </c>
      <c r="K41" s="6">
        <v>4914</v>
      </c>
      <c r="L41" s="6">
        <v>0</v>
      </c>
      <c r="M41" s="6">
        <v>30000</v>
      </c>
      <c r="N41" s="6"/>
      <c r="O41" s="6">
        <v>50000</v>
      </c>
      <c r="P41" s="6">
        <v>0</v>
      </c>
      <c r="Q41" s="7">
        <v>240000</v>
      </c>
      <c r="R41" s="7">
        <v>36000</v>
      </c>
      <c r="S41" s="7">
        <v>6000</v>
      </c>
      <c r="T41" s="7">
        <v>12000</v>
      </c>
      <c r="U41" s="7">
        <v>30000</v>
      </c>
      <c r="V41" s="7">
        <v>0</v>
      </c>
      <c r="W41" s="7">
        <v>156000</v>
      </c>
      <c r="X41" s="7">
        <v>1000000</v>
      </c>
      <c r="Y41" s="7">
        <v>120000</v>
      </c>
      <c r="Z41" s="7">
        <v>0</v>
      </c>
      <c r="AA41" s="7">
        <v>0</v>
      </c>
      <c r="AB41" s="7">
        <v>0</v>
      </c>
      <c r="AC41" s="7">
        <v>0</v>
      </c>
      <c r="AD41" s="2"/>
    </row>
    <row r="42" spans="1:30" x14ac:dyDescent="0.25">
      <c r="A42" s="1" t="s">
        <v>47</v>
      </c>
      <c r="B42" s="1" t="str">
        <f>VLOOKUP(A42,[2]LISTADHERENT!A$5:H$52,2,0)</f>
        <v>SIME MATHIEU</v>
      </c>
      <c r="C42" s="6">
        <v>390000</v>
      </c>
      <c r="D42" s="6">
        <v>636</v>
      </c>
      <c r="E42" s="6">
        <v>4528</v>
      </c>
      <c r="F42" s="6">
        <v>426636</v>
      </c>
      <c r="G42" s="6">
        <v>47892</v>
      </c>
      <c r="H42" s="6">
        <v>474528.51424733078</v>
      </c>
      <c r="I42" s="6">
        <v>84528</v>
      </c>
      <c r="J42" s="6">
        <v>80000</v>
      </c>
      <c r="K42" s="6">
        <v>4528</v>
      </c>
      <c r="L42" s="6">
        <v>0</v>
      </c>
      <c r="M42" s="6">
        <v>30000</v>
      </c>
      <c r="N42" s="6"/>
      <c r="O42" s="6">
        <v>50000</v>
      </c>
      <c r="P42" s="6">
        <v>0</v>
      </c>
      <c r="Q42" s="7">
        <v>240000</v>
      </c>
      <c r="R42" s="7">
        <v>36000</v>
      </c>
      <c r="S42" s="7">
        <v>6000</v>
      </c>
      <c r="T42" s="7">
        <v>12000</v>
      </c>
      <c r="U42" s="7">
        <v>30000</v>
      </c>
      <c r="V42" s="7">
        <v>0</v>
      </c>
      <c r="W42" s="7">
        <v>156000</v>
      </c>
      <c r="X42" s="7">
        <v>800000</v>
      </c>
      <c r="Y42" s="7">
        <v>96000</v>
      </c>
      <c r="Z42" s="7">
        <v>0</v>
      </c>
      <c r="AA42" s="7">
        <v>0</v>
      </c>
      <c r="AB42" s="7">
        <v>0</v>
      </c>
      <c r="AC42" s="7">
        <v>0</v>
      </c>
      <c r="AD42" s="2"/>
    </row>
    <row r="43" spans="1:30" s="11" customFormat="1" x14ac:dyDescent="0.25">
      <c r="A43" s="34" t="s">
        <v>48</v>
      </c>
      <c r="B43" s="34" t="str">
        <f>VLOOKUP(A43,[2]LISTADHERENT!A$5:H$52,2,0)</f>
        <v>SIME PIERRE</v>
      </c>
      <c r="C43" s="35">
        <v>390000</v>
      </c>
      <c r="D43" s="35">
        <v>146079</v>
      </c>
      <c r="E43" s="6">
        <v>105975</v>
      </c>
      <c r="F43" s="35">
        <v>1147306</v>
      </c>
      <c r="G43" s="6">
        <v>121669</v>
      </c>
      <c r="H43" s="35">
        <v>1268975.8529808545</v>
      </c>
      <c r="I43" s="6">
        <v>878975</v>
      </c>
      <c r="J43" s="6">
        <v>80000</v>
      </c>
      <c r="K43" s="6">
        <v>798975</v>
      </c>
      <c r="L43" s="6">
        <v>693000</v>
      </c>
      <c r="M43" s="6">
        <v>30000</v>
      </c>
      <c r="N43" s="35"/>
      <c r="O43" s="35">
        <v>50000</v>
      </c>
      <c r="P43" s="35">
        <v>0</v>
      </c>
      <c r="Q43" s="10">
        <v>1130000</v>
      </c>
      <c r="R43" s="10">
        <v>611227</v>
      </c>
      <c r="S43" s="10">
        <v>6000</v>
      </c>
      <c r="T43" s="10">
        <v>12000</v>
      </c>
      <c r="U43" s="10">
        <v>30000</v>
      </c>
      <c r="V43" s="10">
        <v>10000</v>
      </c>
      <c r="W43" s="10">
        <v>156000</v>
      </c>
      <c r="X43" s="10">
        <v>1110000</v>
      </c>
      <c r="Y43" s="10">
        <v>84600</v>
      </c>
      <c r="Z43" s="10">
        <v>540000</v>
      </c>
      <c r="AA43" s="10">
        <v>0</v>
      </c>
      <c r="AB43" s="10">
        <v>0</v>
      </c>
      <c r="AC43" s="10">
        <v>0</v>
      </c>
      <c r="AD43" s="29"/>
    </row>
    <row r="44" spans="1:30" x14ac:dyDescent="0.25">
      <c r="A44" s="1" t="s">
        <v>49</v>
      </c>
      <c r="B44" s="1" t="str">
        <f>VLOOKUP(A44,[2]LISTADHERENT!A$5:H$52,2,0)</f>
        <v>TAGNE NANGUEN MARTIN</v>
      </c>
      <c r="C44" s="6">
        <v>390000</v>
      </c>
      <c r="D44" s="6">
        <v>0</v>
      </c>
      <c r="E44" s="6">
        <v>1621</v>
      </c>
      <c r="F44" s="6">
        <v>426000</v>
      </c>
      <c r="G44" s="6">
        <v>15621</v>
      </c>
      <c r="H44" s="6">
        <v>441621.34748316335</v>
      </c>
      <c r="I44" s="6">
        <v>51621</v>
      </c>
      <c r="J44" s="6">
        <v>50000</v>
      </c>
      <c r="K44" s="6">
        <v>1621</v>
      </c>
      <c r="L44" s="6">
        <v>0</v>
      </c>
      <c r="M44" s="6"/>
      <c r="N44" s="6"/>
      <c r="O44" s="6">
        <v>50000</v>
      </c>
      <c r="P44" s="6">
        <v>0</v>
      </c>
      <c r="Q44" s="7">
        <v>240000</v>
      </c>
      <c r="R44" s="7">
        <v>36000</v>
      </c>
      <c r="S44" s="7">
        <v>6000</v>
      </c>
      <c r="T44" s="7">
        <v>12000</v>
      </c>
      <c r="U44" s="7">
        <v>30000</v>
      </c>
      <c r="V44" s="7">
        <v>0</v>
      </c>
      <c r="W44" s="7">
        <v>156000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2"/>
    </row>
    <row r="45" spans="1:30" s="11" customFormat="1" x14ac:dyDescent="0.25">
      <c r="A45" s="34" t="s">
        <v>50</v>
      </c>
      <c r="B45" s="34" t="str">
        <f>VLOOKUP(A45,[2]LISTADHERENT!A$5:H$52,2,0)</f>
        <v>TCHOUAMOU JEAN PAUL</v>
      </c>
      <c r="C45" s="35">
        <v>0</v>
      </c>
      <c r="D45" s="35">
        <v>0</v>
      </c>
      <c r="E45" s="6">
        <v>106</v>
      </c>
      <c r="F45" s="35">
        <v>12323</v>
      </c>
      <c r="G45" s="6">
        <v>2520</v>
      </c>
      <c r="H45" s="35">
        <v>38520.175299949828</v>
      </c>
      <c r="I45" s="35">
        <v>14843</v>
      </c>
      <c r="J45" s="35">
        <v>14737</v>
      </c>
      <c r="K45" s="35">
        <v>106</v>
      </c>
      <c r="L45" s="35">
        <v>0</v>
      </c>
      <c r="M45" s="35"/>
      <c r="N45" s="35"/>
      <c r="O45" s="35">
        <v>50000</v>
      </c>
      <c r="P45" s="35">
        <v>0</v>
      </c>
      <c r="Q45" s="10">
        <v>290000</v>
      </c>
      <c r="R45" s="10">
        <v>12323</v>
      </c>
      <c r="S45" s="10">
        <v>6000</v>
      </c>
      <c r="T45" s="10">
        <v>12000</v>
      </c>
      <c r="U45" s="10">
        <v>30000</v>
      </c>
      <c r="V45" s="10">
        <v>50000</v>
      </c>
      <c r="W45" s="10">
        <v>156000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9"/>
    </row>
    <row r="46" spans="1:30" x14ac:dyDescent="0.25">
      <c r="A46" s="1" t="s">
        <v>51</v>
      </c>
      <c r="B46" s="1" t="str">
        <f>VLOOKUP(A46,[2]LISTADHERENT!A$5:H$52,2,0)</f>
        <v>TCHOUAMOU MATHIEU</v>
      </c>
      <c r="C46" s="6">
        <v>390000</v>
      </c>
      <c r="D46" s="6">
        <v>3437</v>
      </c>
      <c r="E46" s="6">
        <v>2654</v>
      </c>
      <c r="F46" s="6">
        <v>429437</v>
      </c>
      <c r="G46" s="6">
        <v>48217</v>
      </c>
      <c r="H46" s="6">
        <v>477654.85016463388</v>
      </c>
      <c r="I46" s="6">
        <v>87654</v>
      </c>
      <c r="J46" s="6">
        <v>80000</v>
      </c>
      <c r="K46" s="6">
        <v>7654</v>
      </c>
      <c r="L46" s="6">
        <v>5000</v>
      </c>
      <c r="M46" s="6">
        <v>30000</v>
      </c>
      <c r="N46" s="6"/>
      <c r="O46" s="6">
        <v>50000</v>
      </c>
      <c r="P46" s="6">
        <v>0</v>
      </c>
      <c r="Q46" s="7">
        <v>240000</v>
      </c>
      <c r="R46" s="7">
        <v>36000</v>
      </c>
      <c r="S46" s="7">
        <v>6000</v>
      </c>
      <c r="T46" s="7">
        <v>12000</v>
      </c>
      <c r="U46" s="7">
        <v>30000</v>
      </c>
      <c r="V46" s="7">
        <v>0</v>
      </c>
      <c r="W46" s="7">
        <v>156000</v>
      </c>
      <c r="X46" s="7">
        <v>1500000</v>
      </c>
      <c r="Y46" s="7">
        <v>45000</v>
      </c>
      <c r="Z46" s="7">
        <v>1000000</v>
      </c>
      <c r="AA46" s="7">
        <v>94825</v>
      </c>
      <c r="AB46" s="7">
        <v>0</v>
      </c>
      <c r="AC46" s="7">
        <v>0</v>
      </c>
      <c r="AD46" s="2"/>
    </row>
    <row r="47" spans="1:30" x14ac:dyDescent="0.25">
      <c r="A47" s="1" t="s">
        <v>52</v>
      </c>
      <c r="B47" s="1" t="str">
        <f>VLOOKUP(A47,[2]LISTADHERENT!A$5:H$52,2,0)</f>
        <v>TCHOUANTE FRANCOIS</v>
      </c>
      <c r="C47" s="6">
        <v>325719</v>
      </c>
      <c r="D47" s="6">
        <v>4925</v>
      </c>
      <c r="E47" s="6">
        <v>25832</v>
      </c>
      <c r="F47" s="6">
        <v>393644</v>
      </c>
      <c r="G47" s="6">
        <v>37907</v>
      </c>
      <c r="H47" s="6">
        <v>431551.07044236845</v>
      </c>
      <c r="I47" s="6">
        <v>105832</v>
      </c>
      <c r="J47" s="6">
        <v>80000</v>
      </c>
      <c r="K47" s="6">
        <v>25832</v>
      </c>
      <c r="L47" s="6">
        <v>0</v>
      </c>
      <c r="M47" s="6">
        <v>30000</v>
      </c>
      <c r="N47" s="6"/>
      <c r="O47" s="6">
        <v>50000</v>
      </c>
      <c r="P47" s="6">
        <v>0</v>
      </c>
      <c r="Q47" s="7">
        <v>267000</v>
      </c>
      <c r="R47" s="7">
        <v>63000</v>
      </c>
      <c r="S47" s="7">
        <v>6000</v>
      </c>
      <c r="T47" s="7">
        <v>12000</v>
      </c>
      <c r="U47" s="7">
        <v>30000</v>
      </c>
      <c r="V47" s="7">
        <v>0</v>
      </c>
      <c r="W47" s="7">
        <v>156000</v>
      </c>
      <c r="X47" s="7">
        <v>1250000</v>
      </c>
      <c r="Y47" s="7">
        <v>105000</v>
      </c>
      <c r="Z47" s="7">
        <v>0</v>
      </c>
      <c r="AA47" s="7">
        <v>0</v>
      </c>
      <c r="AB47" s="7">
        <v>0</v>
      </c>
      <c r="AC47" s="7">
        <v>0</v>
      </c>
      <c r="AD47" s="2"/>
    </row>
    <row r="48" spans="1:30" x14ac:dyDescent="0.25">
      <c r="A48" s="1" t="s">
        <v>53</v>
      </c>
      <c r="B48" s="1" t="str">
        <f>VLOOKUP(A48,[2]LISTADHERENT!A$5:H$52,2,0)</f>
        <v>TCHOUTOU NANA CLAUDE</v>
      </c>
      <c r="C48" s="6">
        <v>0</v>
      </c>
      <c r="D48" s="6">
        <v>0</v>
      </c>
      <c r="E48" s="6">
        <v>-437</v>
      </c>
      <c r="F48" s="6">
        <v>14126</v>
      </c>
      <c r="G48" s="6">
        <v>1437</v>
      </c>
      <c r="H48" s="6">
        <v>25437.042836931963</v>
      </c>
      <c r="I48" s="6">
        <v>15563</v>
      </c>
      <c r="J48" s="6">
        <v>16000</v>
      </c>
      <c r="K48" s="6">
        <v>-437</v>
      </c>
      <c r="L48" s="6">
        <v>0</v>
      </c>
      <c r="M48" s="6"/>
      <c r="N48" s="6"/>
      <c r="O48" s="6"/>
      <c r="P48" s="6">
        <v>16000</v>
      </c>
      <c r="Q48" s="7">
        <v>160000</v>
      </c>
      <c r="R48" s="7">
        <v>14126</v>
      </c>
      <c r="S48" s="7">
        <v>4000</v>
      </c>
      <c r="T48" s="7">
        <v>8000</v>
      </c>
      <c r="U48" s="7">
        <v>20000</v>
      </c>
      <c r="V48" s="7">
        <v>0</v>
      </c>
      <c r="W48" s="7">
        <v>104000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2"/>
    </row>
    <row r="49" spans="1:30" x14ac:dyDescent="0.25">
      <c r="A49" s="1" t="s">
        <v>54</v>
      </c>
      <c r="B49" s="1" t="str">
        <f>VLOOKUP(A49,[2]LISTADHERENT!A$5:H$52,2,0)</f>
        <v>TIEYAM ERNEST</v>
      </c>
      <c r="C49" s="6">
        <v>390000</v>
      </c>
      <c r="D49" s="6">
        <v>804</v>
      </c>
      <c r="E49" s="6">
        <v>2593</v>
      </c>
      <c r="F49" s="6">
        <v>426804</v>
      </c>
      <c r="G49" s="6">
        <v>47789</v>
      </c>
      <c r="H49" s="6">
        <v>474593.28926784825</v>
      </c>
      <c r="I49" s="6">
        <v>84593</v>
      </c>
      <c r="J49" s="6">
        <v>80000</v>
      </c>
      <c r="K49" s="6">
        <v>4593</v>
      </c>
      <c r="L49" s="6">
        <v>2000</v>
      </c>
      <c r="M49" s="6">
        <v>30000</v>
      </c>
      <c r="N49" s="6"/>
      <c r="O49" s="6">
        <v>50000</v>
      </c>
      <c r="P49" s="6">
        <v>0</v>
      </c>
      <c r="Q49" s="7">
        <v>240000</v>
      </c>
      <c r="R49" s="7">
        <v>36000</v>
      </c>
      <c r="S49" s="7">
        <v>6000</v>
      </c>
      <c r="T49" s="7">
        <v>12000</v>
      </c>
      <c r="U49" s="7">
        <v>30000</v>
      </c>
      <c r="V49" s="7">
        <v>0</v>
      </c>
      <c r="W49" s="7">
        <v>156000</v>
      </c>
      <c r="X49" s="7">
        <v>1000000</v>
      </c>
      <c r="Y49" s="7">
        <v>120000</v>
      </c>
      <c r="Z49" s="7">
        <v>0</v>
      </c>
      <c r="AA49" s="7">
        <v>0</v>
      </c>
      <c r="AB49" s="7">
        <v>0</v>
      </c>
      <c r="AC49" s="7">
        <v>0</v>
      </c>
      <c r="AD49" s="2"/>
    </row>
    <row r="50" spans="1:30" x14ac:dyDescent="0.25">
      <c r="A50" s="1" t="s">
        <v>55</v>
      </c>
      <c r="B50" s="1" t="str">
        <f>VLOOKUP(A50,[2]LISTADHERENT!A$5:H$52,2,0)</f>
        <v>TUGMA PIERRE LOTI</v>
      </c>
      <c r="C50" s="6">
        <v>390000</v>
      </c>
      <c r="D50" s="6">
        <v>17636</v>
      </c>
      <c r="E50" s="6">
        <v>2503</v>
      </c>
      <c r="F50" s="6">
        <v>443636</v>
      </c>
      <c r="G50" s="6">
        <v>49867</v>
      </c>
      <c r="H50" s="6">
        <v>493503.06283503259</v>
      </c>
      <c r="I50" s="6">
        <v>103503</v>
      </c>
      <c r="J50" s="6">
        <v>80000</v>
      </c>
      <c r="K50" s="6">
        <v>23503</v>
      </c>
      <c r="L50" s="6">
        <v>21000</v>
      </c>
      <c r="M50" s="6">
        <v>30000</v>
      </c>
      <c r="N50" s="6"/>
      <c r="O50" s="6">
        <v>50000</v>
      </c>
      <c r="P50" s="6">
        <v>0</v>
      </c>
      <c r="Q50" s="7">
        <v>240000</v>
      </c>
      <c r="R50" s="7">
        <v>36000</v>
      </c>
      <c r="S50" s="7">
        <v>6000</v>
      </c>
      <c r="T50" s="7">
        <v>12000</v>
      </c>
      <c r="U50" s="7">
        <v>30000</v>
      </c>
      <c r="V50" s="7">
        <v>0</v>
      </c>
      <c r="W50" s="7">
        <v>156000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2"/>
    </row>
    <row r="51" spans="1:30" x14ac:dyDescent="0.25">
      <c r="A51" s="1" t="s">
        <v>66</v>
      </c>
      <c r="B51" s="1" t="str">
        <f>VLOOKUP(A51,[2]LISTADHERENT!A$5:H$52,2,0)</f>
        <v>YEPMOU JEAN JACQUES</v>
      </c>
      <c r="C51" s="6">
        <v>390000</v>
      </c>
      <c r="D51" s="6">
        <v>421237</v>
      </c>
      <c r="E51" s="6">
        <v>393982</v>
      </c>
      <c r="F51" s="6">
        <v>847237</v>
      </c>
      <c r="G51" s="6">
        <v>96745</v>
      </c>
      <c r="H51" s="6">
        <v>943982.28545532853</v>
      </c>
      <c r="I51" s="6">
        <v>553982</v>
      </c>
      <c r="J51" s="6">
        <v>80000</v>
      </c>
      <c r="K51" s="6">
        <v>473982</v>
      </c>
      <c r="L51" s="6">
        <v>80000</v>
      </c>
      <c r="M51" s="6">
        <v>30000</v>
      </c>
      <c r="N51" s="6"/>
      <c r="O51" s="6">
        <v>50000</v>
      </c>
      <c r="P51" s="6">
        <v>0</v>
      </c>
      <c r="Q51" s="7">
        <v>240000</v>
      </c>
      <c r="R51" s="7">
        <v>36000</v>
      </c>
      <c r="S51" s="7">
        <v>6000</v>
      </c>
      <c r="T51" s="7">
        <v>12000</v>
      </c>
      <c r="U51" s="7">
        <v>30000</v>
      </c>
      <c r="V51" s="7">
        <v>0</v>
      </c>
      <c r="W51" s="7">
        <v>156000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2"/>
    </row>
    <row r="52" spans="1:30" x14ac:dyDescent="0.25">
      <c r="A52" s="1" t="s">
        <v>177</v>
      </c>
      <c r="B52" s="1" t="str">
        <f>VLOOKUP(A52,[2]LISTADHERENT!A$5:H$52,2,0)</f>
        <v>YOUMBI EMMANUEL</v>
      </c>
      <c r="C52" s="6">
        <v>390000</v>
      </c>
      <c r="D52" s="6">
        <v>1003279</v>
      </c>
      <c r="E52" s="6">
        <v>883628</v>
      </c>
      <c r="F52" s="6">
        <v>1429279</v>
      </c>
      <c r="G52" s="6">
        <v>164349</v>
      </c>
      <c r="H52" s="6">
        <v>1593628.4154013947</v>
      </c>
      <c r="I52" s="6">
        <v>1203628</v>
      </c>
      <c r="J52" s="6">
        <v>80000</v>
      </c>
      <c r="K52" s="6">
        <v>1123628</v>
      </c>
      <c r="L52" s="6">
        <v>240000</v>
      </c>
      <c r="M52" s="6">
        <v>30000</v>
      </c>
      <c r="N52" s="6"/>
      <c r="O52" s="6">
        <v>50000</v>
      </c>
      <c r="P52" s="6">
        <v>0</v>
      </c>
      <c r="Q52" s="7">
        <v>240000</v>
      </c>
      <c r="R52" s="7">
        <v>36000</v>
      </c>
      <c r="S52" s="7">
        <v>6000</v>
      </c>
      <c r="T52" s="7">
        <v>12000</v>
      </c>
      <c r="U52" s="7">
        <v>30000</v>
      </c>
      <c r="V52" s="7">
        <v>0</v>
      </c>
      <c r="W52" s="7">
        <v>156000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2"/>
    </row>
    <row r="53" spans="1:30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2"/>
    </row>
    <row r="54" spans="1:30" ht="18" x14ac:dyDescent="0.25">
      <c r="A54" s="8" t="s">
        <v>56</v>
      </c>
      <c r="B54" s="8"/>
      <c r="C54" s="9">
        <f t="shared" ref="C54:AC54" si="0">SUM(C5:C53)</f>
        <v>14398519</v>
      </c>
      <c r="D54" s="9">
        <f t="shared" si="0"/>
        <v>3525236</v>
      </c>
      <c r="E54" s="9">
        <f t="shared" si="0"/>
        <v>3957685</v>
      </c>
      <c r="F54" s="9">
        <f t="shared" si="0"/>
        <v>21744896</v>
      </c>
      <c r="G54" s="9">
        <f t="shared" si="0"/>
        <v>2230668</v>
      </c>
      <c r="H54" s="9">
        <f t="shared" si="0"/>
        <v>24115469.967073526</v>
      </c>
      <c r="I54" s="9">
        <f t="shared" si="0"/>
        <v>9577045</v>
      </c>
      <c r="J54" s="9">
        <f t="shared" si="0"/>
        <v>2829860</v>
      </c>
      <c r="K54" s="9">
        <f t="shared" si="0"/>
        <v>6747185</v>
      </c>
      <c r="L54" s="9">
        <f t="shared" si="0"/>
        <v>2789500</v>
      </c>
      <c r="M54" s="9">
        <f t="shared" si="0"/>
        <v>1050000</v>
      </c>
      <c r="N54" s="9">
        <f t="shared" si="0"/>
        <v>0</v>
      </c>
      <c r="O54" s="9">
        <f t="shared" si="0"/>
        <v>1930123</v>
      </c>
      <c r="P54" s="9">
        <f t="shared" si="0"/>
        <v>60000</v>
      </c>
      <c r="Q54" s="9">
        <f t="shared" si="0"/>
        <v>13438360</v>
      </c>
      <c r="R54" s="9">
        <f t="shared" si="0"/>
        <v>3821141</v>
      </c>
      <c r="S54" s="9">
        <f t="shared" si="0"/>
        <v>250500</v>
      </c>
      <c r="T54" s="9">
        <f t="shared" si="0"/>
        <v>501000</v>
      </c>
      <c r="U54" s="9">
        <f t="shared" si="0"/>
        <v>1252500</v>
      </c>
      <c r="V54" s="9">
        <f t="shared" si="0"/>
        <v>235000</v>
      </c>
      <c r="W54" s="9">
        <f t="shared" si="0"/>
        <v>6513000</v>
      </c>
      <c r="X54" s="9">
        <f t="shared" si="0"/>
        <v>25710000</v>
      </c>
      <c r="Y54" s="9">
        <f t="shared" si="0"/>
        <v>2282100</v>
      </c>
      <c r="Z54" s="9">
        <f t="shared" si="0"/>
        <v>6900000</v>
      </c>
      <c r="AA54" s="9">
        <f t="shared" si="0"/>
        <v>94825</v>
      </c>
      <c r="AB54" s="9">
        <f t="shared" si="0"/>
        <v>98495</v>
      </c>
      <c r="AC54" s="9">
        <f t="shared" si="0"/>
        <v>0</v>
      </c>
      <c r="AD54" s="2"/>
    </row>
    <row r="55" spans="1:30" s="37" customFormat="1" ht="18" x14ac:dyDescent="0.25">
      <c r="A55" s="36" t="s">
        <v>210</v>
      </c>
      <c r="C55" s="38"/>
      <c r="K55" s="39">
        <f>K5+K6+K7+K8+K9+K10+K12+K13+K14+K15+K17+K18+K19+K20+K21+K22+K23+K24+K25+K26+K27+K29+K30+K31+K32+K33+K34+K38+K39+K40+K41+K42+K43+K44+K45+K46+K47+K49+K50+K51+K52</f>
        <v>6770025</v>
      </c>
      <c r="L55" s="39"/>
      <c r="Q55" s="38"/>
      <c r="S55" s="40"/>
      <c r="T55" s="38"/>
      <c r="U55" s="38"/>
      <c r="V55" s="38"/>
      <c r="AB55" s="39"/>
      <c r="AC55" s="38"/>
    </row>
    <row r="56" spans="1:30" ht="18" x14ac:dyDescent="0.25">
      <c r="K56" s="41">
        <f>K16+K36+K48</f>
        <v>-22840</v>
      </c>
      <c r="L56" s="41"/>
    </row>
    <row r="57" spans="1:30" ht="18" x14ac:dyDescent="0.25">
      <c r="B57" s="9" t="s">
        <v>191</v>
      </c>
      <c r="H57" s="9">
        <f>F58+F59+F60</f>
        <v>9577045</v>
      </c>
      <c r="I57" s="9"/>
      <c r="J57" s="9"/>
    </row>
    <row r="58" spans="1:30" ht="15.75" x14ac:dyDescent="0.25">
      <c r="D58" s="32" t="s">
        <v>181</v>
      </c>
      <c r="E58" s="32"/>
      <c r="F58" s="31">
        <f>D54</f>
        <v>3525236</v>
      </c>
      <c r="K58" t="s">
        <v>227</v>
      </c>
      <c r="L58" s="2">
        <v>8000000</v>
      </c>
    </row>
    <row r="59" spans="1:30" ht="15.75" x14ac:dyDescent="0.25">
      <c r="D59" s="32" t="s">
        <v>193</v>
      </c>
      <c r="E59" s="32"/>
      <c r="F59" s="31">
        <f>+G54</f>
        <v>2230668</v>
      </c>
      <c r="K59" t="s">
        <v>228</v>
      </c>
      <c r="L59" s="2">
        <f>L54</f>
        <v>2789500</v>
      </c>
    </row>
    <row r="60" spans="1:30" ht="15.75" x14ac:dyDescent="0.25">
      <c r="D60" s="32" t="s">
        <v>215</v>
      </c>
      <c r="E60" s="32"/>
      <c r="F60" s="31">
        <f>R54</f>
        <v>3821141</v>
      </c>
      <c r="K60" t="s">
        <v>62</v>
      </c>
      <c r="L60" s="2">
        <v>914500</v>
      </c>
    </row>
    <row r="61" spans="1:30" ht="15.75" x14ac:dyDescent="0.25">
      <c r="D61" s="32"/>
      <c r="E61" s="32"/>
      <c r="F61" s="31"/>
      <c r="K61" t="s">
        <v>229</v>
      </c>
      <c r="L61" s="2">
        <v>9000</v>
      </c>
    </row>
    <row r="62" spans="1:30" ht="18" x14ac:dyDescent="0.25">
      <c r="B62" s="9" t="s">
        <v>191</v>
      </c>
      <c r="G62" s="9">
        <f>K55</f>
        <v>6770025</v>
      </c>
      <c r="H62" s="9"/>
      <c r="L62" s="2"/>
    </row>
    <row r="63" spans="1:30" ht="18" x14ac:dyDescent="0.25">
      <c r="B63" s="9" t="s">
        <v>230</v>
      </c>
      <c r="G63" s="9">
        <f>L54</f>
        <v>2789500</v>
      </c>
      <c r="H63" s="9"/>
      <c r="K63" t="s">
        <v>231</v>
      </c>
      <c r="L63" s="2">
        <f>L58-L59-L60-L61</f>
        <v>4287000</v>
      </c>
    </row>
    <row r="64" spans="1:30" ht="18" x14ac:dyDescent="0.25">
      <c r="B64" s="9" t="s">
        <v>207</v>
      </c>
      <c r="G64" s="9">
        <f>O54</f>
        <v>1930123</v>
      </c>
      <c r="H64" s="9"/>
      <c r="L64" s="2">
        <f>L63-3934000</f>
        <v>353000</v>
      </c>
    </row>
    <row r="65" spans="2:10" ht="18" x14ac:dyDescent="0.25">
      <c r="B65" s="9" t="s">
        <v>209</v>
      </c>
      <c r="G65" s="9">
        <f>M54</f>
        <v>1050000</v>
      </c>
      <c r="H65" s="9"/>
    </row>
    <row r="66" spans="2:10" ht="18" x14ac:dyDescent="0.25">
      <c r="B66" s="9" t="s">
        <v>194</v>
      </c>
      <c r="G66" s="9">
        <f>P54</f>
        <v>60000</v>
      </c>
      <c r="H66" s="9"/>
    </row>
    <row r="67" spans="2:10" ht="18" x14ac:dyDescent="0.25">
      <c r="B67" s="9" t="s">
        <v>182</v>
      </c>
      <c r="G67" s="9">
        <f>N54</f>
        <v>0</v>
      </c>
      <c r="H67" s="9"/>
    </row>
    <row r="69" spans="2:10" ht="18" x14ac:dyDescent="0.25">
      <c r="B69" s="9" t="s">
        <v>56</v>
      </c>
      <c r="H69" s="9">
        <f>G62+G64+G65+G66+G67</f>
        <v>9810148</v>
      </c>
      <c r="I69" s="9"/>
      <c r="J69" s="9"/>
    </row>
    <row r="71" spans="2:10" ht="18" x14ac:dyDescent="0.25">
      <c r="B71" s="9" t="s">
        <v>211</v>
      </c>
      <c r="H71" s="41">
        <f>H57-H69</f>
        <v>-233103</v>
      </c>
      <c r="I71" s="41"/>
      <c r="J71" s="41"/>
    </row>
  </sheetData>
  <autoFilter ref="A4:AD52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>
      <pane xSplit="3" ySplit="4" topLeftCell="F12" activePane="bottomRight" state="frozen"/>
      <selection pane="topRight" activeCell="D1" sqref="D1"/>
      <selection pane="bottomLeft" activeCell="A5" sqref="A5"/>
      <selection pane="bottomRight" activeCell="K21" sqref="K21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6" max="6" width="12.42578125" bestFit="1" customWidth="1"/>
    <col min="11" max="11" width="12.42578125" style="11" bestFit="1" customWidth="1"/>
    <col min="12" max="12" width="12.42578125" bestFit="1" customWidth="1"/>
    <col min="15" max="15" width="16.85546875" bestFit="1" customWidth="1"/>
  </cols>
  <sheetData>
    <row r="1" spans="1:15" x14ac:dyDescent="0.25">
      <c r="A1" s="1" t="s">
        <v>0</v>
      </c>
      <c r="B1" s="1" t="s">
        <v>1</v>
      </c>
    </row>
    <row r="2" spans="1:15" x14ac:dyDescent="0.25">
      <c r="A2" s="1" t="s">
        <v>2</v>
      </c>
      <c r="B2" s="1" t="s">
        <v>3</v>
      </c>
    </row>
    <row r="3" spans="1:15" x14ac:dyDescent="0.25">
      <c r="A3" s="1" t="s">
        <v>4</v>
      </c>
      <c r="B3" s="1" t="s">
        <v>5</v>
      </c>
    </row>
    <row r="4" spans="1:15" x14ac:dyDescent="0.25">
      <c r="A4" s="1" t="s">
        <v>6</v>
      </c>
      <c r="B4" s="1" t="s">
        <v>7</v>
      </c>
      <c r="C4" s="1" t="s">
        <v>208</v>
      </c>
      <c r="D4" s="1" t="s">
        <v>195</v>
      </c>
      <c r="E4" s="1" t="s">
        <v>196</v>
      </c>
      <c r="F4" s="1" t="s">
        <v>197</v>
      </c>
      <c r="G4" s="1" t="s">
        <v>198</v>
      </c>
      <c r="H4" s="1" t="s">
        <v>199</v>
      </c>
      <c r="I4" s="1" t="s">
        <v>200</v>
      </c>
      <c r="J4" s="1" t="s">
        <v>201</v>
      </c>
      <c r="K4" s="34" t="s">
        <v>202</v>
      </c>
      <c r="L4" s="1" t="s">
        <v>203</v>
      </c>
      <c r="M4" s="1" t="s">
        <v>204</v>
      </c>
      <c r="N4" s="1" t="s">
        <v>205</v>
      </c>
      <c r="O4" s="1" t="s">
        <v>56</v>
      </c>
    </row>
    <row r="5" spans="1:15" x14ac:dyDescent="0.25">
      <c r="A5" s="1" t="s">
        <v>183</v>
      </c>
      <c r="B5" s="1" t="str">
        <f>VLOOKUP(A5,LISTADHERENT!A$5:H$52,2,0)</f>
        <v>ASELBY</v>
      </c>
      <c r="C5" s="6">
        <v>0</v>
      </c>
      <c r="D5" s="6"/>
      <c r="E5" s="6"/>
      <c r="F5" s="6"/>
      <c r="G5" s="6"/>
      <c r="H5" s="6"/>
      <c r="I5" s="6"/>
      <c r="J5" s="6"/>
      <c r="K5" s="35"/>
      <c r="L5" s="6"/>
      <c r="M5" s="6"/>
      <c r="N5" s="6"/>
      <c r="O5" s="6">
        <f>SUM(C5:N5)</f>
        <v>0</v>
      </c>
    </row>
    <row r="6" spans="1:15" x14ac:dyDescent="0.25">
      <c r="A6" s="1" t="s">
        <v>11</v>
      </c>
      <c r="B6" s="1" t="str">
        <f>VLOOKUP(A6,LISTADHERENT!A$5:H$52,2,0)</f>
        <v>BAKOP ACHILLE</v>
      </c>
      <c r="C6" s="6">
        <v>420000</v>
      </c>
      <c r="D6" s="6"/>
      <c r="E6" s="6"/>
      <c r="F6" s="6"/>
      <c r="G6" s="6"/>
      <c r="H6" s="6"/>
      <c r="I6" s="6"/>
      <c r="J6" s="6"/>
      <c r="K6" s="35"/>
      <c r="L6" s="6"/>
      <c r="M6" s="6"/>
      <c r="N6" s="6"/>
      <c r="O6" s="6">
        <f t="shared" ref="O6:O52" si="0">SUM(C6:N6)</f>
        <v>420000</v>
      </c>
    </row>
    <row r="7" spans="1:15" x14ac:dyDescent="0.25">
      <c r="A7" s="1" t="s">
        <v>12</v>
      </c>
      <c r="B7" s="1" t="str">
        <f>VLOOKUP(A7,LISTADHERENT!A$5:H$52,2,0)</f>
        <v>BOUTCHOUANG WILLIAM</v>
      </c>
      <c r="C7" s="6">
        <v>420000</v>
      </c>
      <c r="D7" s="6"/>
      <c r="E7" s="6"/>
      <c r="F7" s="6"/>
      <c r="G7" s="6"/>
      <c r="H7" s="6"/>
      <c r="I7" s="6"/>
      <c r="J7" s="6"/>
      <c r="K7" s="35"/>
      <c r="L7" s="6"/>
      <c r="M7" s="6"/>
      <c r="N7" s="6"/>
      <c r="O7" s="6">
        <f t="shared" si="0"/>
        <v>420000</v>
      </c>
    </row>
    <row r="8" spans="1:15" x14ac:dyDescent="0.25">
      <c r="A8" s="1" t="s">
        <v>13</v>
      </c>
      <c r="B8" s="1" t="str">
        <f>VLOOKUP(A8,LISTADHERENT!A$5:H$52,2,0)</f>
        <v>CHINGUE FABRICE</v>
      </c>
      <c r="C8" s="6">
        <v>420000</v>
      </c>
      <c r="D8" s="6"/>
      <c r="E8" s="6"/>
      <c r="F8" s="6"/>
      <c r="G8" s="6"/>
      <c r="H8" s="6"/>
      <c r="I8" s="6"/>
      <c r="J8" s="6"/>
      <c r="K8" s="35"/>
      <c r="L8" s="6"/>
      <c r="M8" s="6"/>
      <c r="N8" s="6"/>
      <c r="O8" s="6">
        <f t="shared" si="0"/>
        <v>420000</v>
      </c>
    </row>
    <row r="9" spans="1:15" x14ac:dyDescent="0.25">
      <c r="A9" s="1" t="s">
        <v>14</v>
      </c>
      <c r="B9" s="1" t="str">
        <f>VLOOKUP(A9,LISTADHERENT!A$5:H$52,2,0)</f>
        <v xml:space="preserve">DJOMO JEAN PAUL </v>
      </c>
      <c r="C9" s="6">
        <v>420000</v>
      </c>
      <c r="D9" s="6"/>
      <c r="E9" s="6"/>
      <c r="F9" s="6"/>
      <c r="G9" s="6"/>
      <c r="H9" s="6"/>
      <c r="I9" s="6"/>
      <c r="J9" s="6"/>
      <c r="K9" s="35"/>
      <c r="L9" s="6"/>
      <c r="M9" s="6"/>
      <c r="N9" s="6"/>
      <c r="O9" s="6">
        <f t="shared" si="0"/>
        <v>420000</v>
      </c>
    </row>
    <row r="10" spans="1:15" x14ac:dyDescent="0.25">
      <c r="A10" s="1" t="s">
        <v>15</v>
      </c>
      <c r="B10" s="1" t="str">
        <f>VLOOKUP(A10,LISTADHERENT!A$5:H$52,2,0)</f>
        <v>DJOUKWE NANGUEN GUY BLAISE</v>
      </c>
      <c r="C10" s="6">
        <v>420000</v>
      </c>
      <c r="D10" s="6"/>
      <c r="E10" s="6"/>
      <c r="F10" s="6"/>
      <c r="G10" s="6"/>
      <c r="H10" s="6"/>
      <c r="I10" s="6"/>
      <c r="J10" s="6"/>
      <c r="K10" s="35"/>
      <c r="L10" s="6"/>
      <c r="M10" s="6"/>
      <c r="N10" s="6"/>
      <c r="O10" s="6">
        <f t="shared" si="0"/>
        <v>420000</v>
      </c>
    </row>
    <row r="11" spans="1:15" s="21" customFormat="1" hidden="1" x14ac:dyDescent="0.25">
      <c r="A11" s="19" t="s">
        <v>16</v>
      </c>
      <c r="B11" s="19" t="str">
        <f>VLOOKUP(A11,LISTADHERENT!A$5:H$52,2,0)</f>
        <v>DJOSSEU JOSUE</v>
      </c>
      <c r="C11" s="6">
        <v>0</v>
      </c>
      <c r="D11" s="33"/>
      <c r="E11" s="33"/>
      <c r="F11" s="33"/>
      <c r="G11" s="33"/>
      <c r="H11" s="33"/>
      <c r="I11" s="33"/>
      <c r="J11" s="33"/>
      <c r="K11" s="35"/>
      <c r="L11" s="33"/>
      <c r="M11" s="33"/>
      <c r="N11" s="6"/>
      <c r="O11" s="6">
        <f t="shared" si="0"/>
        <v>0</v>
      </c>
    </row>
    <row r="12" spans="1:15" x14ac:dyDescent="0.25">
      <c r="A12" s="1" t="s">
        <v>17</v>
      </c>
      <c r="B12" s="1" t="str">
        <f>VLOOKUP(A12,LISTADHERENT!A$5:H$52,2,0)</f>
        <v>DJOUNKEP SAMUEL</v>
      </c>
      <c r="C12" s="6">
        <v>420000</v>
      </c>
      <c r="D12" s="6"/>
      <c r="E12" s="6"/>
      <c r="F12" s="6"/>
      <c r="G12" s="6"/>
      <c r="H12" s="6"/>
      <c r="I12" s="6"/>
      <c r="J12" s="6"/>
      <c r="K12" s="35"/>
      <c r="L12" s="6"/>
      <c r="M12" s="6"/>
      <c r="N12" s="6"/>
      <c r="O12" s="6">
        <f t="shared" si="0"/>
        <v>420000</v>
      </c>
    </row>
    <row r="13" spans="1:15" x14ac:dyDescent="0.25">
      <c r="A13" s="1" t="s">
        <v>18</v>
      </c>
      <c r="B13" s="1" t="str">
        <f>VLOOKUP(A13,LISTADHERENT!A$5:H$52,2,0)</f>
        <v>DJUOMBESSY ANTOINE</v>
      </c>
      <c r="C13" s="6">
        <v>420000</v>
      </c>
      <c r="D13" s="6"/>
      <c r="E13" s="6"/>
      <c r="F13" s="6"/>
      <c r="G13" s="6"/>
      <c r="H13" s="6"/>
      <c r="I13" s="6"/>
      <c r="J13" s="6"/>
      <c r="K13" s="35"/>
      <c r="L13" s="6"/>
      <c r="M13" s="6"/>
      <c r="N13" s="6"/>
      <c r="O13" s="6">
        <f t="shared" si="0"/>
        <v>420000</v>
      </c>
    </row>
    <row r="14" spans="1:15" x14ac:dyDescent="0.25">
      <c r="A14" s="1" t="s">
        <v>19</v>
      </c>
      <c r="B14" s="1" t="str">
        <f>VLOOKUP(A14,LISTADHERENT!A$5:H$52,2,0)</f>
        <v>DONHOU DAVID</v>
      </c>
      <c r="C14" s="6">
        <v>420000</v>
      </c>
      <c r="D14" s="6"/>
      <c r="E14" s="6"/>
      <c r="F14" s="6"/>
      <c r="G14" s="6"/>
      <c r="H14" s="6"/>
      <c r="I14" s="6"/>
      <c r="J14" s="6"/>
      <c r="K14" s="35"/>
      <c r="L14" s="6"/>
      <c r="M14" s="6"/>
      <c r="N14" s="6"/>
      <c r="O14" s="6">
        <f t="shared" si="0"/>
        <v>420000</v>
      </c>
    </row>
    <row r="15" spans="1:15" x14ac:dyDescent="0.25">
      <c r="A15" s="1" t="s">
        <v>20</v>
      </c>
      <c r="B15" s="1" t="str">
        <f>VLOOKUP(A15,LISTADHERENT!A$5:H$52,2,0)</f>
        <v>FOTSO THOMAS</v>
      </c>
      <c r="C15" s="6">
        <v>420000</v>
      </c>
      <c r="D15" s="6"/>
      <c r="E15" s="6"/>
      <c r="F15" s="6"/>
      <c r="G15" s="6"/>
      <c r="H15" s="6"/>
      <c r="I15" s="6"/>
      <c r="J15" s="6"/>
      <c r="K15" s="35"/>
      <c r="L15" s="6"/>
      <c r="M15" s="6"/>
      <c r="N15" s="6"/>
      <c r="O15" s="6">
        <f t="shared" si="0"/>
        <v>420000</v>
      </c>
    </row>
    <row r="16" spans="1:15" x14ac:dyDescent="0.25">
      <c r="A16" s="1" t="s">
        <v>21</v>
      </c>
      <c r="B16" s="1" t="str">
        <f>VLOOKUP(A16,LISTADHERENT!A$5:H$52,2,0)</f>
        <v>HENGUE PAUL OMER</v>
      </c>
      <c r="C16" s="6">
        <v>420000</v>
      </c>
      <c r="D16" s="6"/>
      <c r="E16" s="6"/>
      <c r="F16" s="6"/>
      <c r="G16" s="6"/>
      <c r="H16" s="6"/>
      <c r="I16" s="6"/>
      <c r="J16" s="6"/>
      <c r="K16" s="35"/>
      <c r="L16" s="6"/>
      <c r="M16" s="6"/>
      <c r="N16" s="6"/>
      <c r="O16" s="6">
        <f t="shared" si="0"/>
        <v>420000</v>
      </c>
    </row>
    <row r="17" spans="1:15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/>
      <c r="E17" s="6"/>
      <c r="F17" s="6"/>
      <c r="G17" s="6"/>
      <c r="H17" s="6"/>
      <c r="I17" s="6"/>
      <c r="J17" s="6"/>
      <c r="K17" s="35"/>
      <c r="L17" s="6"/>
      <c r="M17" s="6"/>
      <c r="N17" s="6"/>
      <c r="O17" s="6">
        <f t="shared" si="0"/>
        <v>50000</v>
      </c>
    </row>
    <row r="18" spans="1:15" x14ac:dyDescent="0.25">
      <c r="A18" s="1" t="s">
        <v>23</v>
      </c>
      <c r="B18" s="1" t="str">
        <f>VLOOKUP(A18,LISTADHERENT!A$5:H$52,2,0)</f>
        <v>HOTCHO BENJAMIN</v>
      </c>
      <c r="C18" s="6">
        <v>420000</v>
      </c>
      <c r="D18" s="6"/>
      <c r="E18" s="6"/>
      <c r="F18" s="6"/>
      <c r="G18" s="6"/>
      <c r="H18" s="6"/>
      <c r="I18" s="6"/>
      <c r="J18" s="6"/>
      <c r="K18" s="35"/>
      <c r="L18" s="6"/>
      <c r="M18" s="6"/>
      <c r="N18" s="6"/>
      <c r="O18" s="6">
        <f t="shared" si="0"/>
        <v>420000</v>
      </c>
    </row>
    <row r="19" spans="1:15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35">
        <v>100000</v>
      </c>
      <c r="L19" s="6"/>
      <c r="M19" s="6"/>
      <c r="N19" s="6"/>
      <c r="O19" s="6">
        <f t="shared" si="0"/>
        <v>100000</v>
      </c>
    </row>
    <row r="20" spans="1:15" x14ac:dyDescent="0.25">
      <c r="A20" s="1" t="s">
        <v>25</v>
      </c>
      <c r="B20" s="1" t="str">
        <f>VLOOKUP(A20,LISTADHERENT!A$5:H$52,2,0)</f>
        <v>KEPSEU FRANCIS</v>
      </c>
      <c r="C20" s="6">
        <v>420000</v>
      </c>
      <c r="D20" s="6"/>
      <c r="E20" s="6"/>
      <c r="F20" s="6"/>
      <c r="G20" s="6"/>
      <c r="H20" s="6"/>
      <c r="I20" s="6"/>
      <c r="J20" s="6"/>
      <c r="K20" s="35"/>
      <c r="L20" s="6"/>
      <c r="M20" s="6"/>
      <c r="N20" s="6"/>
      <c r="O20" s="6">
        <f t="shared" si="0"/>
        <v>420000</v>
      </c>
    </row>
    <row r="21" spans="1:15" x14ac:dyDescent="0.25">
      <c r="A21" s="1" t="s">
        <v>26</v>
      </c>
      <c r="B21" s="1" t="str">
        <f>VLOOKUP(A21,LISTADHERENT!A$5:H$52,2,0)</f>
        <v>KOUAMOU EMMANUEL</v>
      </c>
      <c r="C21" s="6">
        <v>420000</v>
      </c>
      <c r="D21" s="6"/>
      <c r="E21" s="6"/>
      <c r="F21" s="6"/>
      <c r="G21" s="6"/>
      <c r="H21" s="6"/>
      <c r="I21" s="6"/>
      <c r="J21" s="6"/>
      <c r="K21" s="35"/>
      <c r="L21" s="6"/>
      <c r="M21" s="6"/>
      <c r="N21" s="6"/>
      <c r="O21" s="6">
        <f t="shared" si="0"/>
        <v>420000</v>
      </c>
    </row>
    <row r="22" spans="1:15" x14ac:dyDescent="0.25">
      <c r="A22" s="1" t="s">
        <v>27</v>
      </c>
      <c r="B22" s="1" t="str">
        <f>VLOOKUP(A22,LISTADHERENT!A$5:H$52,2,0)</f>
        <v>KOUAMOU MOISE</v>
      </c>
      <c r="C22" s="6">
        <v>420000</v>
      </c>
      <c r="D22" s="6"/>
      <c r="E22" s="6"/>
      <c r="F22" s="6"/>
      <c r="G22" s="6"/>
      <c r="H22" s="6"/>
      <c r="I22" s="6"/>
      <c r="J22" s="6"/>
      <c r="K22" s="35"/>
      <c r="L22" s="6"/>
      <c r="M22" s="6"/>
      <c r="N22" s="6"/>
      <c r="O22" s="6">
        <f t="shared" si="0"/>
        <v>420000</v>
      </c>
    </row>
    <row r="23" spans="1:15" x14ac:dyDescent="0.25">
      <c r="A23" s="1" t="s">
        <v>28</v>
      </c>
      <c r="B23" s="1" t="str">
        <f>VLOOKUP(A23,LISTADHERENT!A$5:H$52,2,0)</f>
        <v>KOUAMO VICTOR PEGUY</v>
      </c>
      <c r="C23" s="6">
        <v>420000</v>
      </c>
      <c r="D23" s="6"/>
      <c r="E23" s="6"/>
      <c r="F23" s="6"/>
      <c r="G23" s="6"/>
      <c r="H23" s="6"/>
      <c r="I23" s="6"/>
      <c r="J23" s="6"/>
      <c r="K23" s="35"/>
      <c r="L23" s="6"/>
      <c r="M23" s="6"/>
      <c r="N23" s="6"/>
      <c r="O23" s="6">
        <f t="shared" si="0"/>
        <v>420000</v>
      </c>
    </row>
    <row r="24" spans="1:15" x14ac:dyDescent="0.25">
      <c r="A24" s="1" t="s">
        <v>29</v>
      </c>
      <c r="B24" s="1" t="str">
        <f>VLOOKUP(A24,LISTADHERENT!A$5:H$52,2,0)</f>
        <v>KOUATCHO MESSACK</v>
      </c>
      <c r="C24" s="6">
        <v>420000</v>
      </c>
      <c r="D24" s="6"/>
      <c r="E24" s="6"/>
      <c r="F24" s="6"/>
      <c r="G24" s="6"/>
      <c r="H24" s="6"/>
      <c r="I24" s="6"/>
      <c r="J24" s="6"/>
      <c r="K24" s="35"/>
      <c r="L24" s="6"/>
      <c r="M24" s="6"/>
      <c r="N24" s="6"/>
      <c r="O24" s="6">
        <f t="shared" si="0"/>
        <v>420000</v>
      </c>
    </row>
    <row r="25" spans="1:15" x14ac:dyDescent="0.25">
      <c r="A25" s="1" t="s">
        <v>30</v>
      </c>
      <c r="B25" s="1" t="str">
        <f>VLOOKUP(A25,LISTADHERENT!A$5:H$52,2,0)</f>
        <v>LOWE JEAN</v>
      </c>
      <c r="C25" s="6">
        <v>420000</v>
      </c>
      <c r="D25" s="6"/>
      <c r="E25" s="6"/>
      <c r="F25" s="6"/>
      <c r="G25" s="6"/>
      <c r="H25" s="6"/>
      <c r="I25" s="6"/>
      <c r="J25" s="6"/>
      <c r="K25" s="35"/>
      <c r="L25" s="6"/>
      <c r="M25" s="6"/>
      <c r="N25" s="6"/>
      <c r="O25" s="6">
        <f t="shared" si="0"/>
        <v>420000</v>
      </c>
    </row>
    <row r="26" spans="1:15" x14ac:dyDescent="0.25">
      <c r="A26" s="1" t="s">
        <v>31</v>
      </c>
      <c r="B26" s="1" t="str">
        <f>VLOOKUP(A26,LISTADHERENT!A$5:H$52,2,0)</f>
        <v>NANKAM APPOLINAIRE</v>
      </c>
      <c r="C26" s="6">
        <v>420000</v>
      </c>
      <c r="D26" s="6"/>
      <c r="E26" s="6"/>
      <c r="F26" s="6"/>
      <c r="G26" s="6"/>
      <c r="H26" s="6"/>
      <c r="I26" s="6"/>
      <c r="J26" s="6"/>
      <c r="K26" s="35"/>
      <c r="L26" s="6"/>
      <c r="M26" s="6"/>
      <c r="N26" s="6"/>
      <c r="O26" s="6">
        <f t="shared" si="0"/>
        <v>420000</v>
      </c>
    </row>
    <row r="27" spans="1:15" x14ac:dyDescent="0.25">
      <c r="A27" s="1" t="s">
        <v>32</v>
      </c>
      <c r="B27" s="1" t="str">
        <f>VLOOKUP(A27,LISTADHERENT!A$5:H$52,2,0)</f>
        <v>NDJOMO ETIENNE</v>
      </c>
      <c r="C27" s="6">
        <v>420000</v>
      </c>
      <c r="D27" s="6"/>
      <c r="E27" s="6"/>
      <c r="F27" s="6"/>
      <c r="G27" s="6"/>
      <c r="H27" s="6"/>
      <c r="I27" s="6"/>
      <c r="J27" s="6"/>
      <c r="K27" s="35"/>
      <c r="L27" s="6"/>
      <c r="M27" s="6"/>
      <c r="N27" s="6"/>
      <c r="O27" s="6">
        <f t="shared" si="0"/>
        <v>420000</v>
      </c>
    </row>
    <row r="28" spans="1:15" s="11" customFormat="1" x14ac:dyDescent="0.25">
      <c r="A28" s="34" t="s">
        <v>33</v>
      </c>
      <c r="B28" s="34" t="str">
        <f>VLOOKUP(A28,LISTADHERENT!A$5:H$52,2,0)</f>
        <v>NDOMBOU JEAN CLAUDE</v>
      </c>
      <c r="C28" s="35">
        <v>0</v>
      </c>
      <c r="D28" s="35"/>
      <c r="E28" s="35"/>
      <c r="F28" s="35">
        <v>420000</v>
      </c>
      <c r="G28" s="35"/>
      <c r="H28" s="35"/>
      <c r="I28" s="35"/>
      <c r="J28" s="35"/>
      <c r="K28" s="35"/>
      <c r="L28" s="35"/>
      <c r="M28" s="35"/>
      <c r="N28" s="35"/>
      <c r="O28" s="35">
        <f t="shared" si="0"/>
        <v>420000</v>
      </c>
    </row>
    <row r="29" spans="1:15" x14ac:dyDescent="0.25">
      <c r="A29" s="1" t="s">
        <v>34</v>
      </c>
      <c r="B29" s="1" t="str">
        <f>VLOOKUP(A29,LISTADHERENT!A$5:H$52,2,0)</f>
        <v>NGONDIEP CLAUDE</v>
      </c>
      <c r="C29" s="6">
        <v>420000</v>
      </c>
      <c r="D29" s="6"/>
      <c r="E29" s="6"/>
      <c r="F29" s="6"/>
      <c r="G29" s="6"/>
      <c r="H29" s="6"/>
      <c r="I29" s="6"/>
      <c r="J29" s="6"/>
      <c r="K29" s="35"/>
      <c r="L29" s="6"/>
      <c r="M29" s="6"/>
      <c r="N29" s="6"/>
      <c r="O29" s="6">
        <f t="shared" si="0"/>
        <v>420000</v>
      </c>
    </row>
    <row r="30" spans="1:15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35"/>
      <c r="L30" s="6"/>
      <c r="M30" s="6"/>
      <c r="N30" s="6"/>
      <c r="O30" s="6">
        <f t="shared" si="0"/>
        <v>0</v>
      </c>
    </row>
    <row r="31" spans="1:15" x14ac:dyDescent="0.25">
      <c r="A31" s="1" t="s">
        <v>36</v>
      </c>
      <c r="B31" s="1" t="str">
        <f>VLOOKUP(A31,LISTADHERENT!A$5:H$52,2,0)</f>
        <v>NGUIEMEGNI MATHIEU BLAISE</v>
      </c>
      <c r="C31" s="6">
        <v>420000</v>
      </c>
      <c r="D31" s="6"/>
      <c r="E31" s="6"/>
      <c r="F31" s="6"/>
      <c r="G31" s="6"/>
      <c r="H31" s="6"/>
      <c r="I31" s="6"/>
      <c r="J31" s="6"/>
      <c r="K31" s="35"/>
      <c r="L31" s="6"/>
      <c r="M31" s="6"/>
      <c r="N31" s="6"/>
      <c r="O31" s="6">
        <f t="shared" si="0"/>
        <v>420000</v>
      </c>
    </row>
    <row r="32" spans="1:15" x14ac:dyDescent="0.25">
      <c r="A32" s="1" t="s">
        <v>37</v>
      </c>
      <c r="B32" s="1" t="str">
        <f>VLOOKUP(A32,LISTADHERENT!A$5:H$52,2,0)</f>
        <v>NJEPDJIO MBOUKAM DELUXE</v>
      </c>
      <c r="C32" s="6">
        <v>420000</v>
      </c>
      <c r="D32" s="6"/>
      <c r="E32" s="6"/>
      <c r="F32" s="6"/>
      <c r="G32" s="6"/>
      <c r="H32" s="6"/>
      <c r="I32" s="6"/>
      <c r="J32" s="6"/>
      <c r="K32" s="35"/>
      <c r="L32" s="6"/>
      <c r="M32" s="6"/>
      <c r="N32" s="6"/>
      <c r="O32" s="6">
        <f t="shared" si="0"/>
        <v>420000</v>
      </c>
    </row>
    <row r="33" spans="1:15" x14ac:dyDescent="0.25">
      <c r="A33" s="1" t="s">
        <v>38</v>
      </c>
      <c r="B33" s="1" t="str">
        <f>VLOOKUP(A33,LISTADHERENT!A$5:H$52,2,0)</f>
        <v>NKAMGANG JUSTIN DEJOLIE</v>
      </c>
      <c r="C33" s="6">
        <v>102800</v>
      </c>
      <c r="D33" s="6"/>
      <c r="E33" s="6"/>
      <c r="F33" s="6"/>
      <c r="G33" s="6"/>
      <c r="H33" s="6"/>
      <c r="I33" s="6"/>
      <c r="J33" s="6"/>
      <c r="K33" s="35">
        <f>372800-55600</f>
        <v>317200</v>
      </c>
      <c r="L33" s="6"/>
      <c r="M33" s="6"/>
      <c r="N33" s="6"/>
      <c r="O33" s="6">
        <f t="shared" si="0"/>
        <v>420000</v>
      </c>
    </row>
    <row r="34" spans="1:15" x14ac:dyDescent="0.25">
      <c r="A34" s="1" t="s">
        <v>39</v>
      </c>
      <c r="B34" s="1" t="str">
        <f>VLOOKUP(A34,LISTADHERENT!A$5:H$52,2,0)</f>
        <v>NKEPSEU DIEUDONNE</v>
      </c>
      <c r="C34" s="6">
        <v>420000</v>
      </c>
      <c r="D34" s="6"/>
      <c r="E34" s="6"/>
      <c r="F34" s="6"/>
      <c r="G34" s="6"/>
      <c r="H34" s="6"/>
      <c r="I34" s="6"/>
      <c r="J34" s="6"/>
      <c r="K34" s="35"/>
      <c r="L34" s="6"/>
      <c r="M34" s="6"/>
      <c r="N34" s="6"/>
      <c r="O34" s="6">
        <f t="shared" si="0"/>
        <v>420000</v>
      </c>
    </row>
    <row r="35" spans="1:15" s="21" customFormat="1" ht="0.75" customHeight="1" x14ac:dyDescent="0.25">
      <c r="A35" s="19" t="s">
        <v>40</v>
      </c>
      <c r="B35" s="19" t="str">
        <f>VLOOKUP(A35,LISTADHERENT!A$5:H$52,2,0)</f>
        <v>NKEPSEU HENANG RENE</v>
      </c>
      <c r="C35" s="33"/>
      <c r="D35" s="33"/>
      <c r="E35" s="33"/>
      <c r="F35" s="33"/>
      <c r="G35" s="33"/>
      <c r="H35" s="33"/>
      <c r="I35" s="33"/>
      <c r="J35" s="33"/>
      <c r="K35" s="35"/>
      <c r="L35" s="33"/>
      <c r="M35" s="33"/>
      <c r="N35" s="33"/>
      <c r="O35" s="33">
        <f t="shared" si="0"/>
        <v>0</v>
      </c>
    </row>
    <row r="36" spans="1:15" ht="14.25" customHeight="1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35"/>
      <c r="L36" s="6"/>
      <c r="M36" s="6"/>
      <c r="N36" s="6"/>
      <c r="O36" s="6">
        <f t="shared" si="0"/>
        <v>0</v>
      </c>
    </row>
    <row r="37" spans="1:15" s="21" customFormat="1" hidden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5"/>
      <c r="L37" s="33"/>
      <c r="M37" s="33"/>
      <c r="N37" s="33"/>
      <c r="O37" s="33">
        <f t="shared" si="0"/>
        <v>0</v>
      </c>
    </row>
    <row r="38" spans="1:15" x14ac:dyDescent="0.25">
      <c r="A38" s="1" t="s">
        <v>43</v>
      </c>
      <c r="B38" s="1" t="str">
        <f>VLOOKUP(A38,LISTADHERENT!A$5:H$52,2,0)</f>
        <v>PATEGO NJOSSU GUSTAVE</v>
      </c>
      <c r="C38" s="6">
        <v>420000</v>
      </c>
      <c r="D38" s="6"/>
      <c r="E38" s="6"/>
      <c r="F38" s="6"/>
      <c r="G38" s="6"/>
      <c r="H38" s="6"/>
      <c r="I38" s="6"/>
      <c r="J38" s="6"/>
      <c r="K38" s="35"/>
      <c r="L38" s="6"/>
      <c r="M38" s="6"/>
      <c r="N38" s="6"/>
      <c r="O38" s="6">
        <f t="shared" si="0"/>
        <v>420000</v>
      </c>
    </row>
    <row r="39" spans="1:15" x14ac:dyDescent="0.25">
      <c r="A39" s="1" t="s">
        <v>44</v>
      </c>
      <c r="B39" s="1" t="str">
        <f>VLOOKUP(A39,LISTADHERENT!A$5:H$52,2,0)</f>
        <v>SEUNOU RICHELOT</v>
      </c>
      <c r="C39" s="6">
        <v>420000</v>
      </c>
      <c r="D39" s="6"/>
      <c r="E39" s="6"/>
      <c r="F39" s="6"/>
      <c r="G39" s="6"/>
      <c r="H39" s="6"/>
      <c r="I39" s="6"/>
      <c r="J39" s="6"/>
      <c r="K39" s="35"/>
      <c r="L39" s="6"/>
      <c r="M39" s="6"/>
      <c r="N39" s="6"/>
      <c r="O39" s="6">
        <f t="shared" si="0"/>
        <v>420000</v>
      </c>
    </row>
    <row r="40" spans="1:15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/>
      <c r="E40" s="6"/>
      <c r="F40" s="6"/>
      <c r="G40" s="6"/>
      <c r="H40" s="6"/>
      <c r="I40" s="6"/>
      <c r="J40" s="6"/>
      <c r="K40" s="35"/>
      <c r="L40" s="6"/>
      <c r="M40" s="6"/>
      <c r="N40" s="6"/>
      <c r="O40" s="6">
        <f t="shared" si="0"/>
        <v>390000</v>
      </c>
    </row>
    <row r="41" spans="1:15" x14ac:dyDescent="0.25">
      <c r="A41" s="1" t="s">
        <v>46</v>
      </c>
      <c r="B41" s="1" t="str">
        <f>VLOOKUP(A41,LISTADHERENT!A$5:H$52,2,0)</f>
        <v>SIME FONGANG ERIC</v>
      </c>
      <c r="C41" s="6">
        <v>420000</v>
      </c>
      <c r="D41" s="6"/>
      <c r="E41" s="6"/>
      <c r="F41" s="6"/>
      <c r="G41" s="6"/>
      <c r="H41" s="6"/>
      <c r="I41" s="6"/>
      <c r="J41" s="6"/>
      <c r="K41" s="35"/>
      <c r="L41" s="6"/>
      <c r="M41" s="6"/>
      <c r="N41" s="6"/>
      <c r="O41" s="6">
        <f t="shared" si="0"/>
        <v>420000</v>
      </c>
    </row>
    <row r="42" spans="1:15" x14ac:dyDescent="0.25">
      <c r="A42" s="1" t="s">
        <v>47</v>
      </c>
      <c r="B42" s="1" t="str">
        <f>VLOOKUP(A42,LISTADHERENT!A$5:H$52,2,0)</f>
        <v>SIME MATHIEU</v>
      </c>
      <c r="C42" s="6">
        <v>420000</v>
      </c>
      <c r="D42" s="6"/>
      <c r="E42" s="6"/>
      <c r="F42" s="6"/>
      <c r="G42" s="6"/>
      <c r="H42" s="6"/>
      <c r="I42" s="6"/>
      <c r="J42" s="6"/>
      <c r="K42" s="35"/>
      <c r="L42" s="6"/>
      <c r="M42" s="6"/>
      <c r="N42" s="6"/>
      <c r="O42" s="6">
        <f t="shared" si="0"/>
        <v>420000</v>
      </c>
    </row>
    <row r="43" spans="1:15" x14ac:dyDescent="0.25">
      <c r="A43" s="1" t="s">
        <v>48</v>
      </c>
      <c r="B43" s="1" t="str">
        <f>VLOOKUP(A43,LISTADHERENT!A$5:H$52,2,0)</f>
        <v>SIME PIERRE</v>
      </c>
      <c r="C43" s="6">
        <v>420000</v>
      </c>
      <c r="D43" s="6"/>
      <c r="E43" s="6"/>
      <c r="F43" s="6"/>
      <c r="G43" s="6"/>
      <c r="H43" s="6"/>
      <c r="I43" s="6"/>
      <c r="J43" s="6"/>
      <c r="K43" s="35"/>
      <c r="L43" s="6"/>
      <c r="M43" s="6"/>
      <c r="N43" s="6"/>
      <c r="O43" s="6">
        <f t="shared" si="0"/>
        <v>420000</v>
      </c>
    </row>
    <row r="44" spans="1:15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/>
      <c r="E44" s="6"/>
      <c r="F44" s="6"/>
      <c r="G44" s="6"/>
      <c r="H44" s="6"/>
      <c r="I44" s="6"/>
      <c r="J44" s="6"/>
      <c r="K44" s="35"/>
      <c r="L44" s="6"/>
      <c r="M44" s="6"/>
      <c r="N44" s="6"/>
      <c r="O44" s="6">
        <f t="shared" si="0"/>
        <v>390000</v>
      </c>
    </row>
    <row r="45" spans="1:15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35"/>
      <c r="L45" s="6"/>
      <c r="M45" s="6"/>
      <c r="N45" s="6"/>
      <c r="O45" s="6">
        <f t="shared" si="0"/>
        <v>0</v>
      </c>
    </row>
    <row r="46" spans="1:15" x14ac:dyDescent="0.25">
      <c r="A46" s="1" t="s">
        <v>51</v>
      </c>
      <c r="B46" s="1" t="str">
        <f>VLOOKUP(A46,LISTADHERENT!A$5:H$52,2,0)</f>
        <v>TCHOUAMOU MATHIEU</v>
      </c>
      <c r="C46" s="6">
        <v>420000</v>
      </c>
      <c r="D46" s="6"/>
      <c r="E46" s="6"/>
      <c r="F46" s="6"/>
      <c r="G46" s="6"/>
      <c r="H46" s="6"/>
      <c r="I46" s="6"/>
      <c r="J46" s="6"/>
      <c r="K46" s="35"/>
      <c r="L46" s="6"/>
      <c r="M46" s="6"/>
      <c r="N46" s="6"/>
      <c r="O46" s="6">
        <f t="shared" si="0"/>
        <v>420000</v>
      </c>
    </row>
    <row r="47" spans="1:15" x14ac:dyDescent="0.25">
      <c r="A47" s="1" t="s">
        <v>52</v>
      </c>
      <c r="B47" s="1" t="str">
        <f>VLOOKUP(A47,LISTADHERENT!A$5:H$52,2,0)</f>
        <v>TCHOUANTE FRANCOIS</v>
      </c>
      <c r="C47" s="6">
        <f>355719+48100</f>
        <v>403819</v>
      </c>
      <c r="D47" s="6"/>
      <c r="E47" s="6"/>
      <c r="F47" s="6"/>
      <c r="G47" s="6"/>
      <c r="H47" s="6"/>
      <c r="I47" s="6"/>
      <c r="J47" s="6"/>
      <c r="K47" s="35"/>
      <c r="L47" s="6"/>
      <c r="M47" s="6"/>
      <c r="N47" s="6"/>
      <c r="O47" s="6">
        <f t="shared" si="0"/>
        <v>403819</v>
      </c>
    </row>
    <row r="48" spans="1:15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35"/>
      <c r="L48" s="6"/>
      <c r="M48" s="6"/>
      <c r="N48" s="6"/>
      <c r="O48" s="6">
        <f t="shared" si="0"/>
        <v>0</v>
      </c>
    </row>
    <row r="49" spans="1:15" x14ac:dyDescent="0.25">
      <c r="A49" s="1" t="s">
        <v>54</v>
      </c>
      <c r="B49" s="1" t="str">
        <f>VLOOKUP(A49,LISTADHERENT!A$5:H$52,2,0)</f>
        <v>TIEYAM ERNEST</v>
      </c>
      <c r="C49" s="6">
        <v>420000</v>
      </c>
      <c r="D49" s="6"/>
      <c r="E49" s="6"/>
      <c r="F49" s="6"/>
      <c r="G49" s="6"/>
      <c r="H49" s="6"/>
      <c r="I49" s="6"/>
      <c r="J49" s="6"/>
      <c r="K49" s="35"/>
      <c r="L49" s="6"/>
      <c r="M49" s="6"/>
      <c r="N49" s="6"/>
      <c r="O49" s="6">
        <f t="shared" si="0"/>
        <v>420000</v>
      </c>
    </row>
    <row r="50" spans="1:15" x14ac:dyDescent="0.25">
      <c r="A50" s="1" t="s">
        <v>55</v>
      </c>
      <c r="B50" s="1" t="str">
        <f>VLOOKUP(A50,LISTADHERENT!A$5:H$52,2,0)</f>
        <v>TUGMA PIERRE LOTI</v>
      </c>
      <c r="C50" s="6">
        <v>420000</v>
      </c>
      <c r="D50" s="6"/>
      <c r="E50" s="6"/>
      <c r="F50" s="6"/>
      <c r="G50" s="6"/>
      <c r="H50" s="6"/>
      <c r="I50" s="6"/>
      <c r="J50" s="6"/>
      <c r="K50" s="35"/>
      <c r="L50" s="6"/>
      <c r="M50" s="6"/>
      <c r="N50" s="6"/>
      <c r="O50" s="6">
        <f t="shared" si="0"/>
        <v>420000</v>
      </c>
    </row>
    <row r="51" spans="1:15" x14ac:dyDescent="0.25">
      <c r="A51" s="1" t="s">
        <v>66</v>
      </c>
      <c r="B51" s="1" t="str">
        <f>VLOOKUP(A51,LISTADHERENT!A$5:H$52,2,0)</f>
        <v>YEPMOU JEAN JACQUES</v>
      </c>
      <c r="C51" s="6">
        <v>420000</v>
      </c>
      <c r="D51" s="6"/>
      <c r="E51" s="6"/>
      <c r="F51" s="6"/>
      <c r="G51" s="6"/>
      <c r="H51" s="6"/>
      <c r="I51" s="6"/>
      <c r="J51" s="6"/>
      <c r="K51" s="35"/>
      <c r="L51" s="6"/>
      <c r="M51" s="6"/>
      <c r="N51" s="6"/>
      <c r="O51" s="6">
        <f t="shared" si="0"/>
        <v>420000</v>
      </c>
    </row>
    <row r="52" spans="1:15" x14ac:dyDescent="0.25">
      <c r="A52" s="1" t="s">
        <v>177</v>
      </c>
      <c r="B52" s="1" t="str">
        <f>VLOOKUP(A52,LISTADHERENT!A$5:H$52,2,0)</f>
        <v>YOUMBI EMMANUEL</v>
      </c>
      <c r="C52" s="6">
        <v>420000</v>
      </c>
      <c r="D52" s="6"/>
      <c r="E52" s="6"/>
      <c r="F52" s="6"/>
      <c r="G52" s="6"/>
      <c r="H52" s="6"/>
      <c r="I52" s="6"/>
      <c r="J52" s="6"/>
      <c r="K52" s="35"/>
      <c r="L52" s="6"/>
      <c r="M52" s="6"/>
      <c r="N52" s="6"/>
      <c r="O52" s="6">
        <f t="shared" si="0"/>
        <v>420000</v>
      </c>
    </row>
    <row r="53" spans="1:15" x14ac:dyDescent="0.25">
      <c r="A53" s="1"/>
      <c r="B53" s="1"/>
    </row>
    <row r="54" spans="1:15" ht="18" x14ac:dyDescent="0.25">
      <c r="A54" s="8" t="s">
        <v>56</v>
      </c>
      <c r="B54" s="8"/>
      <c r="C54" s="9">
        <v>15538519</v>
      </c>
      <c r="D54" s="9">
        <f t="shared" ref="D54:O54" si="1">SUM(D6:D52)</f>
        <v>0</v>
      </c>
      <c r="E54" s="9">
        <f t="shared" si="1"/>
        <v>0</v>
      </c>
      <c r="F54" s="9">
        <f t="shared" si="1"/>
        <v>420000</v>
      </c>
      <c r="G54" s="9">
        <f t="shared" si="1"/>
        <v>0</v>
      </c>
      <c r="H54" s="9">
        <f t="shared" si="1"/>
        <v>0</v>
      </c>
      <c r="I54" s="9">
        <f t="shared" si="1"/>
        <v>0</v>
      </c>
      <c r="J54" s="9">
        <f t="shared" si="1"/>
        <v>0</v>
      </c>
      <c r="K54" s="45">
        <f t="shared" si="1"/>
        <v>417200</v>
      </c>
      <c r="L54" s="9">
        <f t="shared" si="1"/>
        <v>0</v>
      </c>
      <c r="M54" s="9">
        <f t="shared" si="1"/>
        <v>0</v>
      </c>
      <c r="N54" s="9">
        <f t="shared" si="1"/>
        <v>0</v>
      </c>
      <c r="O54" s="9">
        <f t="shared" si="1"/>
        <v>16033819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K20" sqref="K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10" width="13" customWidth="1"/>
    <col min="11" max="11" width="15" style="2" bestFit="1" customWidth="1"/>
    <col min="12" max="12" width="15" bestFit="1" customWidth="1"/>
    <col min="13" max="13" width="17.5703125" style="4" bestFit="1" customWidth="1"/>
    <col min="14" max="14" width="15.7109375" style="2" customWidth="1"/>
    <col min="15" max="15" width="12.42578125" style="2" customWidth="1"/>
    <col min="16" max="16" width="9.7109375" style="2" customWidth="1"/>
    <col min="17" max="17" width="15" bestFit="1" customWidth="1"/>
    <col min="18" max="18" width="12.5703125" bestFit="1" customWidth="1"/>
    <col min="19" max="19" width="18.140625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24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24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24" ht="29.25" x14ac:dyDescent="0.25">
      <c r="A4" s="1" t="s">
        <v>6</v>
      </c>
      <c r="B4" s="1" t="s">
        <v>7</v>
      </c>
      <c r="C4" s="6" t="s">
        <v>186</v>
      </c>
      <c r="D4" s="1" t="s">
        <v>221</v>
      </c>
      <c r="E4" s="5" t="s">
        <v>184</v>
      </c>
      <c r="F4" s="5" t="s">
        <v>185</v>
      </c>
      <c r="G4" s="1" t="s">
        <v>182</v>
      </c>
      <c r="H4" s="5" t="s">
        <v>218</v>
      </c>
      <c r="I4" s="1" t="s">
        <v>219</v>
      </c>
      <c r="J4" s="43" t="s">
        <v>220</v>
      </c>
      <c r="K4" s="5" t="s">
        <v>65</v>
      </c>
      <c r="L4" s="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63</v>
      </c>
      <c r="R4" s="5" t="s">
        <v>64</v>
      </c>
      <c r="S4" s="5" t="s">
        <v>8</v>
      </c>
      <c r="T4" s="5" t="s">
        <v>180</v>
      </c>
      <c r="U4" s="5" t="s">
        <v>179</v>
      </c>
      <c r="V4" s="6" t="s">
        <v>9</v>
      </c>
      <c r="W4" s="1" t="s">
        <v>10</v>
      </c>
      <c r="X4" s="5" t="s">
        <v>222</v>
      </c>
    </row>
    <row r="5" spans="1:24" x14ac:dyDescent="0.25">
      <c r="A5" s="1" t="s">
        <v>183</v>
      </c>
      <c r="B5" s="1" t="str">
        <f>VLOOKUP(A5,LISTADHERENT!A$5:H$52,2,0)</f>
        <v>ASELBY</v>
      </c>
      <c r="C5" s="6">
        <f>VLOOKUP(A5,FONDSDECAISSE!A$5:O$52,15,0)</f>
        <v>0</v>
      </c>
      <c r="D5" s="6">
        <v>355097</v>
      </c>
      <c r="E5" s="6">
        <f t="shared" ref="E5:E10" si="0">$R$56/$F$56*F5</f>
        <v>204.20953536043632</v>
      </c>
      <c r="F5" s="6">
        <f>C5+D5+L5</f>
        <v>355097</v>
      </c>
      <c r="G5" s="6"/>
      <c r="H5" s="7"/>
      <c r="I5" s="7"/>
      <c r="J5" s="4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"/>
    </row>
    <row r="6" spans="1:24" x14ac:dyDescent="0.25">
      <c r="A6" s="1" t="s">
        <v>11</v>
      </c>
      <c r="B6" s="1" t="str">
        <f>VLOOKUP(A6,LISTADHERENT!A$5:H$52,2,0)</f>
        <v>BAKOP ACHILLE</v>
      </c>
      <c r="C6" s="6">
        <f>VLOOKUP(A6,FONDSDECAISSE!A$5:O$52,15,0)</f>
        <v>420000</v>
      </c>
      <c r="D6" s="6">
        <v>51993</v>
      </c>
      <c r="E6" s="6">
        <f t="shared" si="0"/>
        <v>271.43420311458112</v>
      </c>
      <c r="F6" s="6">
        <f t="shared" ref="F6:F52" si="1">C6+D6+L6</f>
        <v>471993</v>
      </c>
      <c r="G6" s="6"/>
      <c r="H6" s="7">
        <f>IF(J6="ECHEC",0,13000)</f>
        <v>0</v>
      </c>
      <c r="I6" s="7">
        <f>IF(J6="ESPECES",1000,0)</f>
        <v>0</v>
      </c>
      <c r="J6" s="43" t="s">
        <v>216</v>
      </c>
      <c r="K6" s="7">
        <f>IF(H6=0,0,L6+M6+N6+O6+P6+#REF!)</f>
        <v>0</v>
      </c>
      <c r="L6" s="7"/>
      <c r="M6" s="7"/>
      <c r="N6" s="7"/>
      <c r="O6" s="7"/>
      <c r="P6" s="7"/>
      <c r="Q6" s="7"/>
      <c r="R6" s="7">
        <f>IF(Q6&lt;=500000,(Q6*1*3/100),(Q6*12/100))</f>
        <v>0</v>
      </c>
      <c r="S6" s="7">
        <f>Q6+R6</f>
        <v>0</v>
      </c>
      <c r="T6" s="2"/>
      <c r="U6" s="2"/>
      <c r="V6" s="7"/>
      <c r="X6" s="1"/>
    </row>
    <row r="7" spans="1:24" x14ac:dyDescent="0.25">
      <c r="A7" s="1" t="s">
        <v>12</v>
      </c>
      <c r="B7" s="1" t="str">
        <f>VLOOKUP(A7,LISTADHERENT!A$5:H$51,2)</f>
        <v>BOUTCHOUANG WILLIAM</v>
      </c>
      <c r="C7" s="6">
        <f>VLOOKUP(A7,FONDSDECAISSE!A$5:O$52,15,0)</f>
        <v>420000</v>
      </c>
      <c r="D7" s="6">
        <v>2720</v>
      </c>
      <c r="E7" s="6">
        <f t="shared" si="0"/>
        <v>244.82348032691053</v>
      </c>
      <c r="F7" s="6">
        <f t="shared" si="1"/>
        <v>425720</v>
      </c>
      <c r="G7" s="6"/>
      <c r="H7" s="7">
        <f t="shared" ref="H7:H52" si="2">IF(J7="ECHEC",0,13000)</f>
        <v>13000</v>
      </c>
      <c r="I7" s="7">
        <f t="shared" ref="I7:I52" si="3">IF(J7="ESPECES",1000,0)</f>
        <v>1000</v>
      </c>
      <c r="J7" s="43" t="s">
        <v>223</v>
      </c>
      <c r="K7" s="7">
        <f>IF(H7=0,0,H7+L7+M7+N7+O7+P7)</f>
        <v>20000</v>
      </c>
      <c r="L7" s="7">
        <v>3000</v>
      </c>
      <c r="M7" s="7">
        <v>500</v>
      </c>
      <c r="N7" s="7">
        <v>1000</v>
      </c>
      <c r="O7" s="7">
        <v>2500</v>
      </c>
      <c r="P7" s="7"/>
      <c r="Q7" s="7"/>
      <c r="R7" s="7">
        <f t="shared" ref="R7:R52" si="4">IF(Q7&lt;=500000,(Q7*1*3/100),(Q7*12/100))</f>
        <v>0</v>
      </c>
      <c r="S7" s="7">
        <f t="shared" ref="S7:S52" si="5">Q7+R7</f>
        <v>0</v>
      </c>
      <c r="T7" s="2"/>
      <c r="U7" s="2"/>
      <c r="V7" s="7"/>
      <c r="X7" s="1"/>
    </row>
    <row r="8" spans="1:24" x14ac:dyDescent="0.25">
      <c r="A8" s="1" t="s">
        <v>13</v>
      </c>
      <c r="B8" s="1" t="str">
        <f>VLOOKUP(A8,LISTADHERENT!A$5:H$51,2)</f>
        <v>CHINGUE FABRICE</v>
      </c>
      <c r="C8" s="6">
        <f>VLOOKUP(A8,FONDSDECAISSE!A$5:O$52,15,0)</f>
        <v>420000</v>
      </c>
      <c r="D8" s="6">
        <v>5874</v>
      </c>
      <c r="E8" s="6">
        <f t="shared" si="0"/>
        <v>246.63728577873587</v>
      </c>
      <c r="F8" s="6">
        <f t="shared" si="1"/>
        <v>428874</v>
      </c>
      <c r="G8" s="6"/>
      <c r="H8" s="7">
        <f t="shared" si="2"/>
        <v>13000</v>
      </c>
      <c r="I8" s="7">
        <f t="shared" si="3"/>
        <v>1000</v>
      </c>
      <c r="J8" s="43" t="s">
        <v>223</v>
      </c>
      <c r="K8" s="7">
        <f t="shared" ref="K8:K52" si="6">IF(H8=0,0,H8+L8+M8+N8+O8+P8)</f>
        <v>20000</v>
      </c>
      <c r="L8" s="7">
        <v>3000</v>
      </c>
      <c r="M8" s="7">
        <v>500</v>
      </c>
      <c r="N8" s="7">
        <v>1000</v>
      </c>
      <c r="O8" s="7">
        <v>2500</v>
      </c>
      <c r="P8" s="7"/>
      <c r="Q8" s="2"/>
      <c r="R8" s="7">
        <f t="shared" si="4"/>
        <v>0</v>
      </c>
      <c r="S8" s="7">
        <f t="shared" si="5"/>
        <v>0</v>
      </c>
      <c r="T8" s="2"/>
      <c r="U8" s="2"/>
      <c r="V8" s="7"/>
      <c r="X8" s="1"/>
    </row>
    <row r="9" spans="1:24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VLOOKUP(A9,FONDSDECAISSE!A$5:O$52,15,0)</f>
        <v>420000</v>
      </c>
      <c r="D9" s="6">
        <v>2570</v>
      </c>
      <c r="E9" s="6">
        <f t="shared" si="0"/>
        <v>244.73721817796513</v>
      </c>
      <c r="F9" s="6">
        <f t="shared" si="1"/>
        <v>425570</v>
      </c>
      <c r="G9" s="6"/>
      <c r="H9" s="7">
        <f t="shared" si="2"/>
        <v>13000</v>
      </c>
      <c r="I9" s="7">
        <f t="shared" si="3"/>
        <v>0</v>
      </c>
      <c r="J9" s="43" t="s">
        <v>217</v>
      </c>
      <c r="K9" s="7">
        <f t="shared" si="6"/>
        <v>20000</v>
      </c>
      <c r="L9" s="7">
        <v>3000</v>
      </c>
      <c r="M9" s="7">
        <v>500</v>
      </c>
      <c r="N9" s="7">
        <v>1000</v>
      </c>
      <c r="O9" s="7">
        <v>2500</v>
      </c>
      <c r="P9" s="7"/>
      <c r="Q9" s="2"/>
      <c r="R9" s="7">
        <f t="shared" si="4"/>
        <v>0</v>
      </c>
      <c r="S9" s="7">
        <f t="shared" si="5"/>
        <v>0</v>
      </c>
      <c r="T9" s="2"/>
      <c r="U9" s="2"/>
      <c r="V9" s="7">
        <v>11000</v>
      </c>
      <c r="W9" s="44">
        <v>42723</v>
      </c>
      <c r="X9" s="1" t="s">
        <v>83</v>
      </c>
    </row>
    <row r="10" spans="1:24" x14ac:dyDescent="0.25">
      <c r="A10" s="1" t="s">
        <v>15</v>
      </c>
      <c r="B10" s="1" t="str">
        <f>VLOOKUP(A10,LISTADHERENT!A$5:H$51,2)</f>
        <v>DJOUKWE NANGUEN GUY BLAISE</v>
      </c>
      <c r="C10" s="6">
        <f>VLOOKUP(A10,FONDSDECAISSE!A$5:O$52,15,0)</f>
        <v>420000</v>
      </c>
      <c r="D10" s="6">
        <v>2697</v>
      </c>
      <c r="E10" s="6">
        <f t="shared" si="0"/>
        <v>244.81025346407225</v>
      </c>
      <c r="F10" s="6">
        <f t="shared" si="1"/>
        <v>425697</v>
      </c>
      <c r="G10" s="6"/>
      <c r="H10" s="7">
        <f t="shared" si="2"/>
        <v>13000</v>
      </c>
      <c r="I10" s="7">
        <f t="shared" si="3"/>
        <v>0</v>
      </c>
      <c r="J10" s="43" t="s">
        <v>217</v>
      </c>
      <c r="K10" s="7">
        <f t="shared" si="6"/>
        <v>20000</v>
      </c>
      <c r="L10" s="7">
        <v>3000</v>
      </c>
      <c r="M10" s="7">
        <v>500</v>
      </c>
      <c r="N10" s="7">
        <v>1000</v>
      </c>
      <c r="O10" s="7">
        <v>2500</v>
      </c>
      <c r="P10" s="7"/>
      <c r="Q10" s="2"/>
      <c r="R10" s="7">
        <f t="shared" si="4"/>
        <v>0</v>
      </c>
      <c r="S10" s="7">
        <f t="shared" si="5"/>
        <v>0</v>
      </c>
      <c r="T10" s="2"/>
      <c r="U10" s="2"/>
      <c r="V10" s="7"/>
      <c r="X10" s="1"/>
    </row>
    <row r="11" spans="1:24" x14ac:dyDescent="0.25">
      <c r="A11" s="1"/>
      <c r="B11" s="1"/>
      <c r="C11" s="6"/>
      <c r="D11" s="6">
        <v>0</v>
      </c>
      <c r="E11" s="6"/>
      <c r="F11" s="6">
        <f t="shared" si="1"/>
        <v>0</v>
      </c>
      <c r="G11" s="6"/>
      <c r="H11" s="7"/>
      <c r="I11" s="7"/>
      <c r="J11" s="43"/>
      <c r="K11" s="7"/>
      <c r="L11" s="7"/>
      <c r="M11" s="7"/>
      <c r="N11" s="7"/>
      <c r="O11" s="7"/>
      <c r="P11" s="7"/>
      <c r="Q11" s="2"/>
      <c r="R11" s="7">
        <f t="shared" si="4"/>
        <v>0</v>
      </c>
      <c r="S11" s="7">
        <f t="shared" si="5"/>
        <v>0</v>
      </c>
      <c r="T11" s="2"/>
      <c r="U11" s="2"/>
      <c r="V11" s="7"/>
      <c r="X11" s="1"/>
    </row>
    <row r="12" spans="1:24" x14ac:dyDescent="0.25">
      <c r="A12" s="1" t="s">
        <v>17</v>
      </c>
      <c r="B12" s="1" t="str">
        <f>VLOOKUP(A12,LISTADHERENT!A$5:H$51,2)</f>
        <v>DJOUNKEP SAMUEL</v>
      </c>
      <c r="C12" s="6">
        <f>VLOOKUP(A12,FONDSDECAISSE!A$5:O$52,15,0)</f>
        <v>420000</v>
      </c>
      <c r="D12" s="6">
        <v>635540</v>
      </c>
      <c r="E12" s="6">
        <f t="shared" ref="E12:E52" si="7">$R$56/$F$56*F12</f>
        <v>608.74623429777296</v>
      </c>
      <c r="F12" s="6">
        <f t="shared" si="1"/>
        <v>1058540</v>
      </c>
      <c r="G12" s="6"/>
      <c r="H12" s="7">
        <f t="shared" si="2"/>
        <v>13000</v>
      </c>
      <c r="I12" s="7">
        <f t="shared" si="3"/>
        <v>0</v>
      </c>
      <c r="J12" s="43" t="s">
        <v>217</v>
      </c>
      <c r="K12" s="7">
        <f t="shared" si="6"/>
        <v>20000</v>
      </c>
      <c r="L12" s="7">
        <v>3000</v>
      </c>
      <c r="M12" s="7">
        <v>500</v>
      </c>
      <c r="N12" s="7">
        <v>1000</v>
      </c>
      <c r="O12" s="7">
        <v>2500</v>
      </c>
      <c r="P12" s="7"/>
      <c r="Q12" s="2"/>
      <c r="R12" s="7">
        <f t="shared" si="4"/>
        <v>0</v>
      </c>
      <c r="S12" s="7">
        <f t="shared" si="5"/>
        <v>0</v>
      </c>
      <c r="T12" s="2"/>
      <c r="U12" s="2"/>
      <c r="V12" s="7"/>
      <c r="X12" s="1"/>
    </row>
    <row r="13" spans="1:24" x14ac:dyDescent="0.25">
      <c r="A13" s="1" t="s">
        <v>18</v>
      </c>
      <c r="B13" s="1" t="str">
        <f>VLOOKUP(A13,LISTADHERENT!A$5:H$51,2)</f>
        <v>DJUOMBESSY ANTOINE</v>
      </c>
      <c r="C13" s="6">
        <f>VLOOKUP(A13,FONDSDECAISSE!A$5:O$52,15,0)</f>
        <v>420000</v>
      </c>
      <c r="D13" s="6">
        <v>2746</v>
      </c>
      <c r="E13" s="6">
        <f t="shared" si="7"/>
        <v>244.83843243272776</v>
      </c>
      <c r="F13" s="6">
        <f t="shared" si="1"/>
        <v>425746</v>
      </c>
      <c r="G13" s="6"/>
      <c r="H13" s="7">
        <f t="shared" si="2"/>
        <v>13000</v>
      </c>
      <c r="I13" s="7">
        <f t="shared" si="3"/>
        <v>0</v>
      </c>
      <c r="J13" s="43" t="s">
        <v>217</v>
      </c>
      <c r="K13" s="7">
        <f t="shared" si="6"/>
        <v>20000</v>
      </c>
      <c r="L13" s="7">
        <v>3000</v>
      </c>
      <c r="M13" s="7">
        <v>500</v>
      </c>
      <c r="N13" s="7">
        <v>1000</v>
      </c>
      <c r="O13" s="7">
        <v>2500</v>
      </c>
      <c r="P13" s="7"/>
      <c r="Q13" s="2"/>
      <c r="R13" s="7">
        <f t="shared" si="4"/>
        <v>0</v>
      </c>
      <c r="S13" s="7">
        <f t="shared" si="5"/>
        <v>0</v>
      </c>
      <c r="T13" s="2"/>
      <c r="U13" s="2"/>
      <c r="V13" s="7"/>
      <c r="X13" s="1"/>
    </row>
    <row r="14" spans="1:24" x14ac:dyDescent="0.25">
      <c r="A14" s="1" t="s">
        <v>19</v>
      </c>
      <c r="B14" s="1" t="str">
        <f>VLOOKUP(A14,LISTADHERENT!A$5:H$51,2)</f>
        <v>DONHOU DAVID</v>
      </c>
      <c r="C14" s="6">
        <f>VLOOKUP(A14,FONDSDECAISSE!A$5:O$52,15,0)</f>
        <v>420000</v>
      </c>
      <c r="D14" s="6">
        <v>53748</v>
      </c>
      <c r="E14" s="6">
        <f t="shared" si="7"/>
        <v>274.16871323615038</v>
      </c>
      <c r="F14" s="6">
        <f t="shared" si="1"/>
        <v>476748</v>
      </c>
      <c r="G14" s="6"/>
      <c r="H14" s="7">
        <f t="shared" si="2"/>
        <v>13000</v>
      </c>
      <c r="I14" s="7">
        <f t="shared" si="3"/>
        <v>1000</v>
      </c>
      <c r="J14" s="43" t="s">
        <v>223</v>
      </c>
      <c r="K14" s="7">
        <f t="shared" si="6"/>
        <v>20000</v>
      </c>
      <c r="L14" s="7">
        <v>3000</v>
      </c>
      <c r="M14" s="7">
        <v>500</v>
      </c>
      <c r="N14" s="7">
        <v>1000</v>
      </c>
      <c r="O14" s="7">
        <v>2500</v>
      </c>
      <c r="P14" s="7"/>
      <c r="Q14" s="2"/>
      <c r="R14" s="7">
        <f t="shared" si="4"/>
        <v>0</v>
      </c>
      <c r="S14" s="7">
        <f t="shared" si="5"/>
        <v>0</v>
      </c>
      <c r="T14" s="2"/>
      <c r="U14" s="2"/>
      <c r="V14" s="7"/>
      <c r="X14" s="1"/>
    </row>
    <row r="15" spans="1:24" x14ac:dyDescent="0.25">
      <c r="A15" s="1" t="s">
        <v>20</v>
      </c>
      <c r="B15" s="1" t="str">
        <f>VLOOKUP(A15,LISTADHERENT!A$5:H$51,2)</f>
        <v>FOTSO THOMAS</v>
      </c>
      <c r="C15" s="6">
        <f>VLOOKUP(A15,FONDSDECAISSE!A$5:O$52,15,0)</f>
        <v>420000</v>
      </c>
      <c r="D15" s="6">
        <v>2522</v>
      </c>
      <c r="E15" s="6">
        <f t="shared" si="7"/>
        <v>244.7096142903026</v>
      </c>
      <c r="F15" s="6">
        <f t="shared" si="1"/>
        <v>425522</v>
      </c>
      <c r="G15" s="6"/>
      <c r="H15" s="7">
        <f t="shared" si="2"/>
        <v>13000</v>
      </c>
      <c r="I15" s="7">
        <f t="shared" si="3"/>
        <v>1000</v>
      </c>
      <c r="J15" s="43" t="s">
        <v>223</v>
      </c>
      <c r="K15" s="7">
        <f t="shared" si="6"/>
        <v>20000</v>
      </c>
      <c r="L15" s="7">
        <v>3000</v>
      </c>
      <c r="M15" s="7">
        <v>500</v>
      </c>
      <c r="N15" s="7">
        <v>1000</v>
      </c>
      <c r="O15" s="7">
        <v>2500</v>
      </c>
      <c r="P15" s="7"/>
      <c r="Q15" s="2"/>
      <c r="R15" s="7">
        <f t="shared" si="4"/>
        <v>0</v>
      </c>
      <c r="S15" s="7">
        <f t="shared" si="5"/>
        <v>0</v>
      </c>
      <c r="T15" s="2"/>
      <c r="U15" s="2"/>
      <c r="V15" s="7"/>
      <c r="X15" s="1"/>
    </row>
    <row r="16" spans="1:24" x14ac:dyDescent="0.25">
      <c r="A16" s="1" t="s">
        <v>21</v>
      </c>
      <c r="B16" s="1" t="str">
        <f>VLOOKUP(A16,LISTADHERENT!A$5:H$51,2)</f>
        <v>HENGUE PAUL OMER</v>
      </c>
      <c r="C16" s="6">
        <f>VLOOKUP(A16,FONDSDECAISSE!A$5:O$52,15,0)</f>
        <v>420000</v>
      </c>
      <c r="D16" s="6"/>
      <c r="E16" s="6">
        <f t="shared" si="7"/>
        <v>281.21460556201083</v>
      </c>
      <c r="F16" s="6">
        <f t="shared" si="1"/>
        <v>489000</v>
      </c>
      <c r="G16" s="6"/>
      <c r="H16" s="7">
        <v>39000</v>
      </c>
      <c r="I16" s="7">
        <f t="shared" si="3"/>
        <v>0</v>
      </c>
      <c r="J16" s="43" t="s">
        <v>217</v>
      </c>
      <c r="K16" s="7">
        <f t="shared" si="6"/>
        <v>120000</v>
      </c>
      <c r="L16" s="7">
        <v>69000</v>
      </c>
      <c r="M16" s="7">
        <v>1500</v>
      </c>
      <c r="N16" s="7">
        <v>3000</v>
      </c>
      <c r="O16" s="7">
        <v>7500</v>
      </c>
      <c r="P16" s="7"/>
      <c r="Q16" s="2"/>
      <c r="R16" s="7">
        <f t="shared" si="4"/>
        <v>0</v>
      </c>
      <c r="S16" s="7">
        <f t="shared" si="5"/>
        <v>0</v>
      </c>
      <c r="T16" s="2"/>
      <c r="U16" s="2"/>
      <c r="V16" s="7"/>
      <c r="X16" s="1"/>
    </row>
    <row r="17" spans="1:24" x14ac:dyDescent="0.25">
      <c r="A17" s="1" t="s">
        <v>22</v>
      </c>
      <c r="B17" s="1" t="str">
        <f>VLOOKUP(A17,LISTADHERENT!A$5:H$51,2)</f>
        <v>HODIEP JULES</v>
      </c>
      <c r="C17" s="6">
        <f>VLOOKUP(A17,FONDSDECAISSE!A$5:O$52,15,0)</f>
        <v>50000</v>
      </c>
      <c r="D17" s="6">
        <v>260</v>
      </c>
      <c r="E17" s="6">
        <f t="shared" si="7"/>
        <v>28.903570706639396</v>
      </c>
      <c r="F17" s="6">
        <f t="shared" si="1"/>
        <v>50260</v>
      </c>
      <c r="G17" s="6"/>
      <c r="H17" s="7">
        <f t="shared" si="2"/>
        <v>0</v>
      </c>
      <c r="I17" s="7">
        <f t="shared" si="3"/>
        <v>0</v>
      </c>
      <c r="J17" s="43" t="s">
        <v>216</v>
      </c>
      <c r="K17" s="7">
        <f t="shared" si="6"/>
        <v>0</v>
      </c>
      <c r="L17" s="7"/>
      <c r="M17" s="7"/>
      <c r="N17" s="7"/>
      <c r="O17" s="7"/>
      <c r="P17" s="7"/>
      <c r="Q17" s="2"/>
      <c r="R17" s="7">
        <f t="shared" si="4"/>
        <v>0</v>
      </c>
      <c r="S17" s="7">
        <f t="shared" si="5"/>
        <v>0</v>
      </c>
      <c r="T17" s="2"/>
      <c r="U17" s="2"/>
      <c r="V17" s="7"/>
      <c r="X17" s="1"/>
    </row>
    <row r="18" spans="1:24" x14ac:dyDescent="0.25">
      <c r="A18" s="1" t="s">
        <v>23</v>
      </c>
      <c r="B18" s="1" t="str">
        <f>VLOOKUP(A18,LISTADHERENT!A$5:H$51,2)</f>
        <v>HOTCHO BENJAMIN</v>
      </c>
      <c r="C18" s="6">
        <f>VLOOKUP(A18,FONDSDECAISSE!A$5:O$52,15,0)</f>
        <v>420000</v>
      </c>
      <c r="D18" s="6">
        <v>112685</v>
      </c>
      <c r="E18" s="6">
        <f t="shared" si="7"/>
        <v>308.06226171878484</v>
      </c>
      <c r="F18" s="6">
        <f t="shared" si="1"/>
        <v>535685</v>
      </c>
      <c r="G18" s="6"/>
      <c r="H18" s="7">
        <f t="shared" si="2"/>
        <v>13000</v>
      </c>
      <c r="I18" s="7">
        <f t="shared" si="3"/>
        <v>0</v>
      </c>
      <c r="J18" s="43" t="s">
        <v>217</v>
      </c>
      <c r="K18" s="7">
        <f t="shared" si="6"/>
        <v>20000</v>
      </c>
      <c r="L18" s="7">
        <v>3000</v>
      </c>
      <c r="M18" s="7">
        <v>500</v>
      </c>
      <c r="N18" s="7">
        <v>1000</v>
      </c>
      <c r="O18" s="7">
        <v>2500</v>
      </c>
      <c r="P18" s="7"/>
      <c r="Q18" s="2"/>
      <c r="R18" s="7">
        <f t="shared" si="4"/>
        <v>0</v>
      </c>
      <c r="S18" s="7">
        <f t="shared" si="5"/>
        <v>0</v>
      </c>
      <c r="T18" s="2"/>
      <c r="U18" s="2"/>
      <c r="V18" s="7"/>
      <c r="X18" s="1"/>
    </row>
    <row r="19" spans="1:24" x14ac:dyDescent="0.25">
      <c r="A19" s="1" t="s">
        <v>24</v>
      </c>
      <c r="B19" s="1" t="str">
        <f>VLOOKUP(A19,LISTADHERENT!A$5:H$51,2)</f>
        <v>KEPHE DAVID</v>
      </c>
      <c r="C19" s="6">
        <f>VLOOKUP(A19,FONDSDECAISSE!A$5:O$52,15,0)</f>
        <v>100000</v>
      </c>
      <c r="D19" s="6">
        <v>177</v>
      </c>
      <c r="E19" s="6">
        <f t="shared" si="7"/>
        <v>59.335131611598349</v>
      </c>
      <c r="F19" s="6">
        <f t="shared" si="1"/>
        <v>103177</v>
      </c>
      <c r="G19" s="6"/>
      <c r="H19" s="7">
        <f t="shared" si="2"/>
        <v>13000</v>
      </c>
      <c r="I19" s="7">
        <f t="shared" si="3"/>
        <v>0</v>
      </c>
      <c r="J19" s="43" t="s">
        <v>217</v>
      </c>
      <c r="K19" s="7">
        <f t="shared" si="6"/>
        <v>20000</v>
      </c>
      <c r="L19" s="7">
        <v>3000</v>
      </c>
      <c r="M19" s="7">
        <v>500</v>
      </c>
      <c r="N19" s="7">
        <v>1000</v>
      </c>
      <c r="O19" s="7">
        <v>2500</v>
      </c>
      <c r="P19" s="7"/>
      <c r="Q19" s="2"/>
      <c r="R19" s="7">
        <f t="shared" si="4"/>
        <v>0</v>
      </c>
      <c r="S19" s="7">
        <f t="shared" si="5"/>
        <v>0</v>
      </c>
      <c r="T19" s="2"/>
      <c r="U19" s="2"/>
      <c r="V19" s="7"/>
      <c r="X19" s="1"/>
    </row>
    <row r="20" spans="1:24" x14ac:dyDescent="0.25">
      <c r="A20" s="1" t="s">
        <v>25</v>
      </c>
      <c r="B20" s="1" t="str">
        <f>VLOOKUP(A20,LISTADHERENT!A$5:H$51,2)</f>
        <v>KEPSEU FRANCIS</v>
      </c>
      <c r="C20" s="6">
        <f>VLOOKUP(A20,FONDSDECAISSE!A$5:O$52,15,0)</f>
        <v>420000</v>
      </c>
      <c r="D20" s="6">
        <v>705425</v>
      </c>
      <c r="E20" s="6">
        <f t="shared" si="7"/>
        <v>1225.7420054396912</v>
      </c>
      <c r="F20" s="6">
        <f t="shared" si="1"/>
        <v>2131425</v>
      </c>
      <c r="G20" s="6"/>
      <c r="H20" s="7">
        <f t="shared" si="2"/>
        <v>13000</v>
      </c>
      <c r="I20" s="7">
        <f t="shared" si="3"/>
        <v>0</v>
      </c>
      <c r="J20" s="43" t="s">
        <v>217</v>
      </c>
      <c r="K20" s="7">
        <f t="shared" si="6"/>
        <v>1023000</v>
      </c>
      <c r="L20" s="7">
        <v>1006000</v>
      </c>
      <c r="M20" s="7">
        <v>500</v>
      </c>
      <c r="N20" s="7">
        <v>1000</v>
      </c>
      <c r="O20" s="7">
        <v>2500</v>
      </c>
      <c r="P20" s="7"/>
      <c r="Q20" s="2"/>
      <c r="R20" s="7">
        <f t="shared" si="4"/>
        <v>0</v>
      </c>
      <c r="S20" s="7">
        <f t="shared" si="5"/>
        <v>0</v>
      </c>
      <c r="T20" s="2"/>
      <c r="U20" s="2"/>
      <c r="V20" s="7"/>
      <c r="X20" s="1"/>
    </row>
    <row r="21" spans="1:24" x14ac:dyDescent="0.25">
      <c r="A21" s="1" t="s">
        <v>26</v>
      </c>
      <c r="B21" s="1" t="str">
        <f>VLOOKUP(A21,LISTADHERENT!A$5:H$51,2)</f>
        <v>KOUAMOU EMMANUEL</v>
      </c>
      <c r="C21" s="6">
        <f>VLOOKUP(A21,FONDSDECAISSE!A$5:O$52,15,0)</f>
        <v>420000</v>
      </c>
      <c r="D21" s="6">
        <v>2357</v>
      </c>
      <c r="E21" s="6">
        <f t="shared" si="7"/>
        <v>244.61472592646265</v>
      </c>
      <c r="F21" s="6">
        <f t="shared" si="1"/>
        <v>425357</v>
      </c>
      <c r="G21" s="6"/>
      <c r="H21" s="7">
        <f t="shared" si="2"/>
        <v>13000</v>
      </c>
      <c r="I21" s="7">
        <f t="shared" si="3"/>
        <v>0</v>
      </c>
      <c r="J21" s="43" t="s">
        <v>217</v>
      </c>
      <c r="K21" s="7">
        <f t="shared" si="6"/>
        <v>20000</v>
      </c>
      <c r="L21" s="7">
        <v>3000</v>
      </c>
      <c r="M21" s="7">
        <v>500</v>
      </c>
      <c r="N21" s="7">
        <v>1000</v>
      </c>
      <c r="O21" s="7">
        <v>2500</v>
      </c>
      <c r="P21" s="7"/>
      <c r="Q21" s="2"/>
      <c r="R21" s="7">
        <f t="shared" si="4"/>
        <v>0</v>
      </c>
      <c r="S21" s="7">
        <f t="shared" si="5"/>
        <v>0</v>
      </c>
      <c r="T21" s="2"/>
      <c r="U21" s="2"/>
      <c r="V21" s="7"/>
      <c r="X21" s="1"/>
    </row>
    <row r="22" spans="1:24" x14ac:dyDescent="0.25">
      <c r="A22" s="1" t="s">
        <v>27</v>
      </c>
      <c r="B22" s="1" t="str">
        <f>VLOOKUP(A22,LISTADHERENT!A$5:H$51,2)</f>
        <v>KOUAMOU MOISE</v>
      </c>
      <c r="C22" s="6">
        <f>VLOOKUP(A22,FONDSDECAISSE!A$5:O$52,15,0)</f>
        <v>420000</v>
      </c>
      <c r="D22" s="6">
        <v>3048</v>
      </c>
      <c r="E22" s="6">
        <f t="shared" si="7"/>
        <v>245.01210689260449</v>
      </c>
      <c r="F22" s="6">
        <f t="shared" si="1"/>
        <v>426048</v>
      </c>
      <c r="G22" s="6"/>
      <c r="H22" s="7">
        <f t="shared" si="2"/>
        <v>13000</v>
      </c>
      <c r="I22" s="7">
        <f t="shared" si="3"/>
        <v>1000</v>
      </c>
      <c r="J22" s="43" t="s">
        <v>223</v>
      </c>
      <c r="K22" s="7">
        <f t="shared" si="6"/>
        <v>20000</v>
      </c>
      <c r="L22" s="7">
        <v>3000</v>
      </c>
      <c r="M22" s="7">
        <v>500</v>
      </c>
      <c r="N22" s="7">
        <v>1000</v>
      </c>
      <c r="O22" s="7">
        <v>2500</v>
      </c>
      <c r="P22" s="7"/>
      <c r="Q22" s="2"/>
      <c r="R22" s="7">
        <f t="shared" si="4"/>
        <v>0</v>
      </c>
      <c r="S22" s="7">
        <f t="shared" si="5"/>
        <v>0</v>
      </c>
      <c r="T22" s="2"/>
      <c r="U22" s="2"/>
      <c r="V22" s="7">
        <v>12000</v>
      </c>
      <c r="W22" s="44">
        <v>42723</v>
      </c>
      <c r="X22" s="1" t="s">
        <v>102</v>
      </c>
    </row>
    <row r="23" spans="1:24" x14ac:dyDescent="0.25">
      <c r="A23" s="1" t="s">
        <v>28</v>
      </c>
      <c r="B23" s="1" t="str">
        <f>VLOOKUP(A23,LISTADHERENT!A$5:H$51,2)</f>
        <v>KOUAMO VICTOR PEGUY</v>
      </c>
      <c r="C23" s="6">
        <f>VLOOKUP(A23,FONDSDECAISSE!A$5:O$52,15,0)</f>
        <v>420000</v>
      </c>
      <c r="D23" s="6">
        <v>2686</v>
      </c>
      <c r="E23" s="6">
        <f t="shared" si="7"/>
        <v>244.80392757314959</v>
      </c>
      <c r="F23" s="6">
        <f t="shared" si="1"/>
        <v>425686</v>
      </c>
      <c r="G23" s="6"/>
      <c r="H23" s="7">
        <f t="shared" si="2"/>
        <v>13000</v>
      </c>
      <c r="I23" s="7">
        <f t="shared" si="3"/>
        <v>1000</v>
      </c>
      <c r="J23" s="43" t="s">
        <v>223</v>
      </c>
      <c r="K23" s="7">
        <f t="shared" si="6"/>
        <v>20000</v>
      </c>
      <c r="L23" s="7">
        <v>3000</v>
      </c>
      <c r="M23" s="7">
        <v>500</v>
      </c>
      <c r="N23" s="7">
        <v>1000</v>
      </c>
      <c r="O23" s="7">
        <v>2500</v>
      </c>
      <c r="P23" s="7"/>
      <c r="Q23" s="2"/>
      <c r="R23" s="7">
        <f t="shared" si="4"/>
        <v>0</v>
      </c>
      <c r="S23" s="7">
        <f t="shared" si="5"/>
        <v>0</v>
      </c>
      <c r="T23" s="2"/>
      <c r="U23" s="2"/>
      <c r="V23" s="7">
        <v>12000</v>
      </c>
      <c r="W23" s="44">
        <v>42723</v>
      </c>
      <c r="X23" s="1" t="s">
        <v>84</v>
      </c>
    </row>
    <row r="24" spans="1:24" x14ac:dyDescent="0.25">
      <c r="A24" s="1" t="s">
        <v>29</v>
      </c>
      <c r="B24" s="1" t="str">
        <f>VLOOKUP(A24,LISTADHERENT!A$5:H$51,2)</f>
        <v>KOUATCHO MESSACK</v>
      </c>
      <c r="C24" s="6">
        <f>VLOOKUP(A24,FONDSDECAISSE!A$5:O$52,15,0)</f>
        <v>420000</v>
      </c>
      <c r="D24" s="6">
        <v>3818</v>
      </c>
      <c r="E24" s="6">
        <f t="shared" si="7"/>
        <v>245.45491925719088</v>
      </c>
      <c r="F24" s="6">
        <f t="shared" si="1"/>
        <v>426818</v>
      </c>
      <c r="G24" s="6"/>
      <c r="H24" s="7">
        <f t="shared" si="2"/>
        <v>13000</v>
      </c>
      <c r="I24" s="7">
        <f t="shared" si="3"/>
        <v>1000</v>
      </c>
      <c r="J24" s="43" t="s">
        <v>223</v>
      </c>
      <c r="K24" s="7">
        <f t="shared" si="6"/>
        <v>20000</v>
      </c>
      <c r="L24" s="7">
        <v>3000</v>
      </c>
      <c r="M24" s="7">
        <v>500</v>
      </c>
      <c r="N24" s="7">
        <v>1000</v>
      </c>
      <c r="O24" s="7">
        <v>2500</v>
      </c>
      <c r="P24" s="7"/>
      <c r="Q24" s="7"/>
      <c r="R24" s="7">
        <f t="shared" si="4"/>
        <v>0</v>
      </c>
      <c r="S24" s="7">
        <f t="shared" si="5"/>
        <v>0</v>
      </c>
      <c r="T24" s="2"/>
      <c r="U24" s="2"/>
      <c r="V24" s="7"/>
      <c r="X24" s="1"/>
    </row>
    <row r="25" spans="1:24" x14ac:dyDescent="0.25">
      <c r="A25" s="1" t="s">
        <v>30</v>
      </c>
      <c r="B25" s="1" t="str">
        <f>VLOOKUP(A25,LISTADHERENT!A$5:H$51,2)</f>
        <v>LOWE JEAN</v>
      </c>
      <c r="C25" s="6">
        <f>VLOOKUP(A25,FONDSDECAISSE!A$5:O$52,15,0)</f>
        <v>420000</v>
      </c>
      <c r="D25" s="6">
        <v>2652</v>
      </c>
      <c r="E25" s="6">
        <f t="shared" si="7"/>
        <v>244.78437481938863</v>
      </c>
      <c r="F25" s="6">
        <f t="shared" si="1"/>
        <v>425652</v>
      </c>
      <c r="G25" s="6"/>
      <c r="H25" s="7">
        <f t="shared" si="2"/>
        <v>13000</v>
      </c>
      <c r="I25" s="7">
        <f t="shared" si="3"/>
        <v>0</v>
      </c>
      <c r="J25" s="43" t="s">
        <v>217</v>
      </c>
      <c r="K25" s="7">
        <f t="shared" si="6"/>
        <v>20000</v>
      </c>
      <c r="L25" s="7">
        <v>3000</v>
      </c>
      <c r="M25" s="7">
        <v>500</v>
      </c>
      <c r="N25" s="7">
        <v>1000</v>
      </c>
      <c r="O25" s="7">
        <v>2500</v>
      </c>
      <c r="P25" s="7"/>
      <c r="Q25" s="2"/>
      <c r="R25" s="7">
        <f t="shared" si="4"/>
        <v>0</v>
      </c>
      <c r="S25" s="7">
        <v>82400</v>
      </c>
      <c r="T25" s="2"/>
      <c r="U25" s="2"/>
      <c r="V25" s="7"/>
      <c r="X25" s="1"/>
    </row>
    <row r="26" spans="1:24" x14ac:dyDescent="0.25">
      <c r="A26" s="1" t="s">
        <v>31</v>
      </c>
      <c r="B26" s="1" t="str">
        <f>VLOOKUP(A26,LISTADHERENT!A$5:H$51,2)</f>
        <v>NANKAM APPOLINAIRE</v>
      </c>
      <c r="C26" s="6">
        <f>VLOOKUP(A26,FONDSDECAISSE!A$5:O$52,15,0)</f>
        <v>420000</v>
      </c>
      <c r="D26" s="6">
        <v>2741</v>
      </c>
      <c r="E26" s="6">
        <f t="shared" si="7"/>
        <v>244.83555702776289</v>
      </c>
      <c r="F26" s="6">
        <f t="shared" si="1"/>
        <v>425741</v>
      </c>
      <c r="G26" s="6"/>
      <c r="H26" s="7">
        <f t="shared" si="2"/>
        <v>13000</v>
      </c>
      <c r="I26" s="7">
        <f t="shared" si="3"/>
        <v>0</v>
      </c>
      <c r="J26" s="43" t="s">
        <v>217</v>
      </c>
      <c r="K26" s="7">
        <f t="shared" si="6"/>
        <v>20000</v>
      </c>
      <c r="L26" s="7">
        <v>3000</v>
      </c>
      <c r="M26" s="7">
        <v>500</v>
      </c>
      <c r="N26" s="7">
        <v>1000</v>
      </c>
      <c r="O26" s="7">
        <v>2500</v>
      </c>
      <c r="P26" s="7"/>
      <c r="Q26" s="2"/>
      <c r="R26" s="7">
        <f t="shared" si="4"/>
        <v>0</v>
      </c>
      <c r="S26" s="7">
        <f t="shared" si="5"/>
        <v>0</v>
      </c>
      <c r="T26" s="2"/>
      <c r="U26" s="2"/>
      <c r="V26" s="7"/>
      <c r="X26" s="1"/>
    </row>
    <row r="27" spans="1:24" x14ac:dyDescent="0.25">
      <c r="A27" s="1" t="s">
        <v>32</v>
      </c>
      <c r="B27" s="1" t="str">
        <f>VLOOKUP(A27,LISTADHERENT!A$5:H$51,2)</f>
        <v>NDJOMO ETIENNE</v>
      </c>
      <c r="C27" s="6">
        <f>VLOOKUP(A27,FONDSDECAISSE!A$5:O$52,15,0)</f>
        <v>420000</v>
      </c>
      <c r="D27" s="6">
        <v>2818</v>
      </c>
      <c r="E27" s="6">
        <f t="shared" si="7"/>
        <v>247.75524322906827</v>
      </c>
      <c r="F27" s="6">
        <f t="shared" si="1"/>
        <v>430818</v>
      </c>
      <c r="G27" s="6"/>
      <c r="H27" s="7">
        <f t="shared" si="2"/>
        <v>13000</v>
      </c>
      <c r="I27" s="7">
        <f t="shared" si="3"/>
        <v>0</v>
      </c>
      <c r="J27" s="43" t="s">
        <v>217</v>
      </c>
      <c r="K27" s="7">
        <f t="shared" si="6"/>
        <v>25000</v>
      </c>
      <c r="L27" s="7">
        <v>8000</v>
      </c>
      <c r="M27" s="7">
        <v>500</v>
      </c>
      <c r="N27" s="7">
        <v>1000</v>
      </c>
      <c r="O27" s="7">
        <v>2500</v>
      </c>
      <c r="P27" s="7"/>
      <c r="Q27" s="7">
        <v>400000</v>
      </c>
      <c r="R27" s="7">
        <f t="shared" si="4"/>
        <v>12000</v>
      </c>
      <c r="S27" s="7">
        <v>412000</v>
      </c>
      <c r="T27" s="2"/>
      <c r="U27" s="2"/>
      <c r="V27" s="7"/>
      <c r="X27" s="1"/>
    </row>
    <row r="28" spans="1:24" x14ac:dyDescent="0.25">
      <c r="A28" s="34" t="s">
        <v>33</v>
      </c>
      <c r="B28" s="1" t="str">
        <f>VLOOKUP(A28,LISTADHERENT!A$5:H$51,2)</f>
        <v>NDOMBOU JEAN CLAUDE</v>
      </c>
      <c r="C28" s="6">
        <f>VLOOKUP(A28,FONDSDECAISSE!A$5:O$52,15,0)</f>
        <v>420000</v>
      </c>
      <c r="D28" s="6">
        <v>0</v>
      </c>
      <c r="E28" s="6">
        <f t="shared" si="7"/>
        <v>241.53401704712587</v>
      </c>
      <c r="F28" s="6">
        <f t="shared" si="1"/>
        <v>420000</v>
      </c>
      <c r="G28" s="6"/>
      <c r="H28" s="7"/>
      <c r="I28" s="7"/>
      <c r="J28" s="43"/>
      <c r="K28" s="7"/>
      <c r="L28" s="7"/>
      <c r="M28" s="7"/>
      <c r="N28" s="7"/>
      <c r="O28" s="7"/>
      <c r="P28" s="7"/>
      <c r="Q28" s="7"/>
      <c r="R28" s="7">
        <f t="shared" si="4"/>
        <v>0</v>
      </c>
      <c r="S28" s="7">
        <f t="shared" si="5"/>
        <v>0</v>
      </c>
      <c r="T28" s="2"/>
      <c r="U28" s="2"/>
      <c r="V28" s="7"/>
      <c r="X28" s="1"/>
    </row>
    <row r="29" spans="1:24" x14ac:dyDescent="0.25">
      <c r="A29" s="1" t="s">
        <v>34</v>
      </c>
      <c r="B29" s="1" t="str">
        <f>VLOOKUP(A29,LISTADHERENT!A$5:H$51,2)</f>
        <v>NGONDIEP CLAUDE</v>
      </c>
      <c r="C29" s="6">
        <f>VLOOKUP(A29,FONDSDECAISSE!A$5:O$52,15,0)</f>
        <v>420000</v>
      </c>
      <c r="D29" s="6">
        <v>3250</v>
      </c>
      <c r="E29" s="6">
        <f t="shared" si="7"/>
        <v>245.12827325318429</v>
      </c>
      <c r="F29" s="6">
        <f t="shared" si="1"/>
        <v>426250</v>
      </c>
      <c r="G29" s="6"/>
      <c r="H29" s="7">
        <f t="shared" si="2"/>
        <v>13000</v>
      </c>
      <c r="I29" s="7">
        <f t="shared" si="3"/>
        <v>0</v>
      </c>
      <c r="J29" s="43" t="s">
        <v>217</v>
      </c>
      <c r="K29" s="7">
        <f t="shared" si="6"/>
        <v>20000</v>
      </c>
      <c r="L29" s="7">
        <v>3000</v>
      </c>
      <c r="M29" s="7">
        <v>500</v>
      </c>
      <c r="N29" s="7">
        <v>1000</v>
      </c>
      <c r="O29" s="7">
        <v>2500</v>
      </c>
      <c r="P29" s="7"/>
      <c r="Q29" s="2"/>
      <c r="R29" s="7">
        <f t="shared" si="4"/>
        <v>0</v>
      </c>
      <c r="S29" s="7">
        <f t="shared" si="5"/>
        <v>0</v>
      </c>
      <c r="T29" s="2"/>
      <c r="U29" s="2"/>
      <c r="V29" s="7"/>
      <c r="X29" s="1"/>
    </row>
    <row r="30" spans="1:24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VLOOKUP(A30,FONDSDECAISSE!A$5:O$52,15,0)</f>
        <v>0</v>
      </c>
      <c r="D30" s="6">
        <v>106</v>
      </c>
      <c r="E30" s="6">
        <f t="shared" si="7"/>
        <v>1.7862015641627929</v>
      </c>
      <c r="F30" s="6">
        <f t="shared" si="1"/>
        <v>3106</v>
      </c>
      <c r="G30" s="6"/>
      <c r="H30" s="7">
        <f t="shared" si="2"/>
        <v>13000</v>
      </c>
      <c r="I30" s="7">
        <f t="shared" si="3"/>
        <v>0</v>
      </c>
      <c r="J30" s="43" t="s">
        <v>217</v>
      </c>
      <c r="K30" s="7">
        <f t="shared" si="6"/>
        <v>20000</v>
      </c>
      <c r="L30" s="7">
        <v>3000</v>
      </c>
      <c r="M30" s="7">
        <v>500</v>
      </c>
      <c r="N30" s="7">
        <v>1000</v>
      </c>
      <c r="O30" s="7">
        <v>2500</v>
      </c>
      <c r="P30" s="7"/>
      <c r="Q30" s="2"/>
      <c r="R30" s="7">
        <f t="shared" si="4"/>
        <v>0</v>
      </c>
      <c r="S30" s="7">
        <f t="shared" si="5"/>
        <v>0</v>
      </c>
      <c r="T30" s="2"/>
      <c r="U30" s="2"/>
      <c r="V30" s="7"/>
      <c r="X30" s="1"/>
    </row>
    <row r="31" spans="1:24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VLOOKUP(A31,FONDSDECAISSE!A$5:O$52,15,0)</f>
        <v>420000</v>
      </c>
      <c r="D31" s="6">
        <f>565188-420000-50000-55055</f>
        <v>40133</v>
      </c>
      <c r="E31" s="6">
        <f t="shared" si="7"/>
        <v>266.33898551687275</v>
      </c>
      <c r="F31" s="6">
        <f t="shared" si="1"/>
        <v>463133</v>
      </c>
      <c r="G31" s="6"/>
      <c r="H31" s="7">
        <f t="shared" si="2"/>
        <v>13000</v>
      </c>
      <c r="I31" s="7">
        <f t="shared" si="3"/>
        <v>0</v>
      </c>
      <c r="J31" s="43" t="s">
        <v>217</v>
      </c>
      <c r="K31" s="7">
        <f t="shared" si="6"/>
        <v>20000</v>
      </c>
      <c r="L31" s="7">
        <v>3000</v>
      </c>
      <c r="M31" s="7">
        <v>500</v>
      </c>
      <c r="N31" s="7">
        <v>1000</v>
      </c>
      <c r="O31" s="7">
        <v>2500</v>
      </c>
      <c r="P31" s="7"/>
      <c r="Q31" s="2"/>
      <c r="R31" s="7">
        <f t="shared" si="4"/>
        <v>0</v>
      </c>
      <c r="S31" s="7">
        <f t="shared" si="5"/>
        <v>0</v>
      </c>
      <c r="T31" s="2"/>
      <c r="U31" s="2"/>
      <c r="V31" s="7"/>
      <c r="X31" s="1"/>
    </row>
    <row r="32" spans="1:24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VLOOKUP(A32,FONDSDECAISSE!A$5:O$52,15,0)</f>
        <v>420000</v>
      </c>
      <c r="D32" s="6">
        <v>2773</v>
      </c>
      <c r="E32" s="6">
        <f t="shared" si="7"/>
        <v>244.8539596195379</v>
      </c>
      <c r="F32" s="6">
        <f t="shared" si="1"/>
        <v>425773</v>
      </c>
      <c r="G32" s="6"/>
      <c r="H32" s="7">
        <f t="shared" si="2"/>
        <v>13000</v>
      </c>
      <c r="I32" s="7">
        <f t="shared" si="3"/>
        <v>0</v>
      </c>
      <c r="J32" s="43" t="s">
        <v>217</v>
      </c>
      <c r="K32" s="7">
        <f t="shared" si="6"/>
        <v>20000</v>
      </c>
      <c r="L32" s="7">
        <v>3000</v>
      </c>
      <c r="M32" s="7">
        <v>500</v>
      </c>
      <c r="N32" s="7">
        <v>1000</v>
      </c>
      <c r="O32" s="7">
        <v>2500</v>
      </c>
      <c r="P32" s="7"/>
      <c r="Q32" s="2"/>
      <c r="R32" s="7">
        <f t="shared" si="4"/>
        <v>0</v>
      </c>
      <c r="S32" s="7">
        <f t="shared" si="5"/>
        <v>0</v>
      </c>
      <c r="T32" s="2"/>
      <c r="U32" s="2"/>
      <c r="V32" s="7"/>
      <c r="X32" s="1"/>
    </row>
    <row r="33" spans="1:24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VLOOKUP(A33,FONDSDECAISSE!A$5:O$52,15,0)</f>
        <v>420000</v>
      </c>
      <c r="D33" s="6">
        <f>14208+55600</f>
        <v>69808</v>
      </c>
      <c r="E33" s="6">
        <f t="shared" si="7"/>
        <v>285.12975696214613</v>
      </c>
      <c r="F33" s="6">
        <f t="shared" si="1"/>
        <v>495808</v>
      </c>
      <c r="G33" s="6"/>
      <c r="H33" s="7">
        <f t="shared" si="2"/>
        <v>13000</v>
      </c>
      <c r="I33" s="7">
        <f t="shared" si="3"/>
        <v>1000</v>
      </c>
      <c r="J33" s="43" t="s">
        <v>223</v>
      </c>
      <c r="K33" s="7">
        <f t="shared" si="6"/>
        <v>23000</v>
      </c>
      <c r="L33" s="7">
        <f>6000</f>
        <v>6000</v>
      </c>
      <c r="M33" s="7">
        <v>500</v>
      </c>
      <c r="N33" s="7">
        <v>1000</v>
      </c>
      <c r="O33" s="7">
        <v>2500</v>
      </c>
      <c r="P33" s="7"/>
      <c r="Q33" s="29"/>
      <c r="R33" s="7">
        <f t="shared" si="4"/>
        <v>0</v>
      </c>
      <c r="S33" s="7">
        <f t="shared" si="5"/>
        <v>0</v>
      </c>
      <c r="T33" s="2"/>
      <c r="U33" s="2"/>
      <c r="V33" s="7"/>
      <c r="X33" s="1"/>
    </row>
    <row r="34" spans="1:24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VLOOKUP(A34,FONDSDECAISSE!A$5:O$52,15,0)</f>
        <v>420000</v>
      </c>
      <c r="D34" s="6">
        <v>2772</v>
      </c>
      <c r="E34" s="6">
        <f t="shared" si="7"/>
        <v>305.23688880032643</v>
      </c>
      <c r="F34" s="6">
        <f t="shared" si="1"/>
        <v>530772</v>
      </c>
      <c r="G34" s="6"/>
      <c r="H34" s="7">
        <f t="shared" si="2"/>
        <v>13000</v>
      </c>
      <c r="I34" s="7">
        <f t="shared" si="3"/>
        <v>1000</v>
      </c>
      <c r="J34" s="43" t="s">
        <v>223</v>
      </c>
      <c r="K34" s="7">
        <f t="shared" si="6"/>
        <v>125000</v>
      </c>
      <c r="L34" s="7">
        <v>108000</v>
      </c>
      <c r="M34" s="7">
        <v>500</v>
      </c>
      <c r="N34" s="7">
        <v>1000</v>
      </c>
      <c r="O34" s="7">
        <v>2500</v>
      </c>
      <c r="P34" s="7"/>
      <c r="Q34" s="2"/>
      <c r="R34" s="7">
        <f t="shared" si="4"/>
        <v>0</v>
      </c>
      <c r="S34" s="7">
        <f t="shared" si="5"/>
        <v>0</v>
      </c>
      <c r="T34" s="29"/>
      <c r="U34" s="29"/>
      <c r="V34" s="7"/>
      <c r="X34" s="1"/>
    </row>
    <row r="35" spans="1:24" s="11" customFormat="1" x14ac:dyDescent="0.25">
      <c r="A35" s="1"/>
      <c r="B35" s="1"/>
      <c r="C35" s="6"/>
      <c r="D35" s="6">
        <v>0</v>
      </c>
      <c r="E35" s="6">
        <f t="shared" si="7"/>
        <v>0</v>
      </c>
      <c r="F35" s="6">
        <f t="shared" si="1"/>
        <v>0</v>
      </c>
      <c r="G35" s="6"/>
      <c r="H35" s="7"/>
      <c r="I35" s="7"/>
      <c r="J35" s="43"/>
      <c r="K35" s="7"/>
      <c r="L35" s="7"/>
      <c r="M35" s="7"/>
      <c r="N35" s="7"/>
      <c r="O35" s="7"/>
      <c r="P35" s="7"/>
      <c r="Q35" s="2"/>
      <c r="R35" s="7">
        <f t="shared" si="4"/>
        <v>0</v>
      </c>
      <c r="S35" s="7">
        <f t="shared" si="5"/>
        <v>0</v>
      </c>
      <c r="T35" s="29"/>
      <c r="U35" s="29"/>
      <c r="V35" s="7"/>
      <c r="X35" s="1"/>
    </row>
    <row r="36" spans="1:24" x14ac:dyDescent="0.25">
      <c r="A36" s="1" t="s">
        <v>41</v>
      </c>
      <c r="B36" s="1" t="str">
        <f>VLOOKUP(A36,LISTADHERENT!A$5:H$51,2)</f>
        <v>NTEPDIE TUEMAC MZ</v>
      </c>
      <c r="C36" s="6">
        <f>VLOOKUP(A36,FONDSDECAISSE!A$5:O$52,15,0)</f>
        <v>0</v>
      </c>
      <c r="D36" s="6"/>
      <c r="E36" s="6">
        <f t="shared" si="7"/>
        <v>0</v>
      </c>
      <c r="F36" s="6">
        <f t="shared" si="1"/>
        <v>0</v>
      </c>
      <c r="G36" s="6"/>
      <c r="H36" s="7">
        <f t="shared" si="2"/>
        <v>0</v>
      </c>
      <c r="I36" s="7">
        <f t="shared" si="3"/>
        <v>0</v>
      </c>
      <c r="J36" s="43" t="s">
        <v>216</v>
      </c>
      <c r="K36" s="7">
        <f t="shared" si="6"/>
        <v>0</v>
      </c>
      <c r="L36" s="7"/>
      <c r="M36" s="7"/>
      <c r="N36" s="7"/>
      <c r="O36" s="7"/>
      <c r="P36" s="7"/>
      <c r="Q36" s="2"/>
      <c r="R36" s="7">
        <f t="shared" si="4"/>
        <v>0</v>
      </c>
      <c r="S36" s="7">
        <f t="shared" si="5"/>
        <v>0</v>
      </c>
      <c r="T36" s="2"/>
      <c r="U36" s="2"/>
      <c r="V36" s="7"/>
      <c r="X36" s="1"/>
    </row>
    <row r="37" spans="1:24" x14ac:dyDescent="0.25">
      <c r="A37" s="1"/>
      <c r="B37" s="1"/>
      <c r="C37" s="6"/>
      <c r="D37" s="6">
        <v>0</v>
      </c>
      <c r="E37" s="6">
        <f t="shared" si="7"/>
        <v>0</v>
      </c>
      <c r="F37" s="6">
        <f t="shared" si="1"/>
        <v>0</v>
      </c>
      <c r="G37" s="6"/>
      <c r="H37" s="7"/>
      <c r="I37" s="7"/>
      <c r="J37" s="43"/>
      <c r="K37" s="7"/>
      <c r="L37" s="7"/>
      <c r="M37" s="7"/>
      <c r="N37" s="7"/>
      <c r="O37" s="7"/>
      <c r="P37" s="7"/>
      <c r="Q37" s="2"/>
      <c r="R37" s="7">
        <f t="shared" si="4"/>
        <v>0</v>
      </c>
      <c r="S37" s="7">
        <f t="shared" si="5"/>
        <v>0</v>
      </c>
      <c r="T37" s="2"/>
      <c r="U37" s="2"/>
      <c r="V37" s="7"/>
      <c r="X37" s="1"/>
    </row>
    <row r="38" spans="1:24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VLOOKUP(A38,FONDSDECAISSE!A$5:O$52,15,0)</f>
        <v>420000</v>
      </c>
      <c r="D38" s="6">
        <v>2474</v>
      </c>
      <c r="E38" s="6">
        <f t="shared" si="7"/>
        <v>244.68201040264009</v>
      </c>
      <c r="F38" s="6">
        <f t="shared" si="1"/>
        <v>425474</v>
      </c>
      <c r="G38" s="6"/>
      <c r="H38" s="7">
        <f t="shared" si="2"/>
        <v>13000</v>
      </c>
      <c r="I38" s="7">
        <f t="shared" si="3"/>
        <v>0</v>
      </c>
      <c r="J38" s="43" t="s">
        <v>217</v>
      </c>
      <c r="K38" s="7">
        <f t="shared" si="6"/>
        <v>20000</v>
      </c>
      <c r="L38" s="7">
        <v>3000</v>
      </c>
      <c r="M38" s="7">
        <v>500</v>
      </c>
      <c r="N38" s="7">
        <v>1000</v>
      </c>
      <c r="O38" s="7">
        <v>2500</v>
      </c>
      <c r="P38" s="7"/>
      <c r="Q38" s="2"/>
      <c r="R38" s="7">
        <f t="shared" si="4"/>
        <v>0</v>
      </c>
      <c r="S38" s="7">
        <f t="shared" si="5"/>
        <v>0</v>
      </c>
      <c r="T38" s="2"/>
      <c r="U38" s="2"/>
      <c r="V38" s="7"/>
      <c r="X38" s="1"/>
    </row>
    <row r="39" spans="1:24" x14ac:dyDescent="0.25">
      <c r="A39" s="1" t="s">
        <v>44</v>
      </c>
      <c r="B39" s="1" t="str">
        <f>VLOOKUP(A39,LISTADHERENT!A$5:H$51,2)</f>
        <v>SEUNOU RICHELOT</v>
      </c>
      <c r="C39" s="6">
        <f>VLOOKUP(A39,FONDSDECAISSE!A$5:O$52,15,0)</f>
        <v>420000</v>
      </c>
      <c r="D39" s="6">
        <v>6756</v>
      </c>
      <c r="E39" s="6">
        <f t="shared" si="7"/>
        <v>247.14450721453483</v>
      </c>
      <c r="F39" s="6">
        <f t="shared" si="1"/>
        <v>429756</v>
      </c>
      <c r="G39" s="6"/>
      <c r="H39" s="7">
        <f t="shared" si="2"/>
        <v>13000</v>
      </c>
      <c r="I39" s="7">
        <f t="shared" si="3"/>
        <v>1000</v>
      </c>
      <c r="J39" s="43" t="s">
        <v>223</v>
      </c>
      <c r="K39" s="7">
        <f t="shared" si="6"/>
        <v>20000</v>
      </c>
      <c r="L39" s="7">
        <v>3000</v>
      </c>
      <c r="M39" s="7">
        <v>500</v>
      </c>
      <c r="N39" s="7">
        <v>1000</v>
      </c>
      <c r="O39" s="7">
        <v>2500</v>
      </c>
      <c r="P39" s="7"/>
      <c r="Q39" s="2"/>
      <c r="R39" s="7">
        <f t="shared" si="4"/>
        <v>0</v>
      </c>
      <c r="S39" s="7">
        <f t="shared" si="5"/>
        <v>0</v>
      </c>
      <c r="T39" s="2"/>
      <c r="U39" s="2"/>
      <c r="V39" s="7">
        <v>12000</v>
      </c>
      <c r="W39" s="44">
        <v>42723</v>
      </c>
      <c r="X39" s="1" t="s">
        <v>85</v>
      </c>
    </row>
    <row r="40" spans="1:24" x14ac:dyDescent="0.25">
      <c r="A40" s="1" t="s">
        <v>45</v>
      </c>
      <c r="B40" s="1" t="str">
        <f>VLOOKUP(A40,LISTADHERENT!A$5:H$51,2)</f>
        <v>SIME ABEL</v>
      </c>
      <c r="C40" s="6">
        <f>VLOOKUP(A40,FONDSDECAISSE!A$5:O$52,15,0)</f>
        <v>390000</v>
      </c>
      <c r="D40" s="6">
        <v>488</v>
      </c>
      <c r="E40" s="6">
        <f t="shared" si="7"/>
        <v>226.28746976152254</v>
      </c>
      <c r="F40" s="6">
        <f t="shared" si="1"/>
        <v>393488</v>
      </c>
      <c r="G40" s="6"/>
      <c r="H40" s="7">
        <f t="shared" si="2"/>
        <v>13000</v>
      </c>
      <c r="I40" s="7">
        <f t="shared" si="3"/>
        <v>1000</v>
      </c>
      <c r="J40" s="43" t="s">
        <v>223</v>
      </c>
      <c r="K40" s="7">
        <f t="shared" si="6"/>
        <v>20000</v>
      </c>
      <c r="L40" s="7">
        <v>3000</v>
      </c>
      <c r="M40" s="7">
        <v>500</v>
      </c>
      <c r="N40" s="7">
        <v>1000</v>
      </c>
      <c r="O40" s="7">
        <v>2500</v>
      </c>
      <c r="P40" s="7"/>
      <c r="Q40" s="2"/>
      <c r="R40" s="7">
        <f t="shared" si="4"/>
        <v>0</v>
      </c>
      <c r="S40" s="7">
        <f t="shared" si="5"/>
        <v>0</v>
      </c>
      <c r="T40" s="2"/>
      <c r="U40" s="2"/>
      <c r="V40" s="7"/>
      <c r="X40" s="1"/>
    </row>
    <row r="41" spans="1:24" x14ac:dyDescent="0.25">
      <c r="A41" s="1" t="s">
        <v>46</v>
      </c>
      <c r="B41" s="1" t="str">
        <f>VLOOKUP(A41,LISTADHERENT!A$5:H$51,2)</f>
        <v>SIME FONGANG ERIC</v>
      </c>
      <c r="C41" s="6">
        <f>VLOOKUP(A41,FONDSDECAISSE!A$5:O$52,15,0)</f>
        <v>420000</v>
      </c>
      <c r="D41" s="6">
        <v>4914</v>
      </c>
      <c r="E41" s="6">
        <f t="shared" si="7"/>
        <v>246.08520802548529</v>
      </c>
      <c r="F41" s="6">
        <f t="shared" si="1"/>
        <v>427914</v>
      </c>
      <c r="G41" s="6"/>
      <c r="H41" s="7">
        <f t="shared" si="2"/>
        <v>13000</v>
      </c>
      <c r="I41" s="7">
        <f t="shared" si="3"/>
        <v>0</v>
      </c>
      <c r="J41" s="43" t="s">
        <v>217</v>
      </c>
      <c r="K41" s="7">
        <f t="shared" si="6"/>
        <v>20000</v>
      </c>
      <c r="L41" s="7">
        <v>3000</v>
      </c>
      <c r="M41" s="7">
        <v>500</v>
      </c>
      <c r="N41" s="7">
        <v>1000</v>
      </c>
      <c r="O41" s="7">
        <v>2500</v>
      </c>
      <c r="P41" s="7"/>
      <c r="Q41" s="2"/>
      <c r="R41" s="7">
        <f t="shared" si="4"/>
        <v>0</v>
      </c>
      <c r="S41" s="7">
        <f t="shared" si="5"/>
        <v>0</v>
      </c>
      <c r="T41" s="2"/>
      <c r="U41" s="2"/>
      <c r="V41" s="7"/>
      <c r="X41" s="1"/>
    </row>
    <row r="42" spans="1:24" x14ac:dyDescent="0.25">
      <c r="A42" s="1" t="s">
        <v>47</v>
      </c>
      <c r="B42" s="1" t="str">
        <f>VLOOKUP(A42,LISTADHERENT!A$5:H$51,2)</f>
        <v>SIME MATHIEU</v>
      </c>
      <c r="C42" s="6">
        <f>VLOOKUP(A42,FONDSDECAISSE!A$5:O$52,15,0)</f>
        <v>420000</v>
      </c>
      <c r="D42" s="6">
        <v>4528</v>
      </c>
      <c r="E42" s="6">
        <f t="shared" si="7"/>
        <v>245.86322676219913</v>
      </c>
      <c r="F42" s="6">
        <f t="shared" si="1"/>
        <v>427528</v>
      </c>
      <c r="G42" s="6"/>
      <c r="H42" s="7">
        <f t="shared" si="2"/>
        <v>13000</v>
      </c>
      <c r="I42" s="7">
        <f t="shared" si="3"/>
        <v>1000</v>
      </c>
      <c r="J42" s="43" t="s">
        <v>223</v>
      </c>
      <c r="K42" s="7">
        <f t="shared" si="6"/>
        <v>20000</v>
      </c>
      <c r="L42" s="7">
        <v>3000</v>
      </c>
      <c r="M42" s="7">
        <v>500</v>
      </c>
      <c r="N42" s="7">
        <v>1000</v>
      </c>
      <c r="O42" s="7">
        <v>2500</v>
      </c>
      <c r="P42" s="7"/>
      <c r="Q42" s="2"/>
      <c r="R42" s="7">
        <f t="shared" si="4"/>
        <v>0</v>
      </c>
      <c r="S42" s="7">
        <f t="shared" si="5"/>
        <v>0</v>
      </c>
      <c r="T42" s="2"/>
      <c r="U42" s="2"/>
      <c r="V42" s="7"/>
      <c r="X42" s="1"/>
    </row>
    <row r="43" spans="1:24" x14ac:dyDescent="0.25">
      <c r="A43" s="1" t="s">
        <v>48</v>
      </c>
      <c r="B43" s="1" t="str">
        <f>VLOOKUP(A43,LISTADHERENT!A$5:H$51,2)</f>
        <v>SIME PIERRE</v>
      </c>
      <c r="C43" s="6">
        <f>VLOOKUP(A43,FONDSDECAISSE!A$5:O$52,15,0)</f>
        <v>420000</v>
      </c>
      <c r="D43" s="6">
        <v>105975</v>
      </c>
      <c r="E43" s="6">
        <f t="shared" si="7"/>
        <v>307.07887322080722</v>
      </c>
      <c r="F43" s="6">
        <f t="shared" si="1"/>
        <v>533975</v>
      </c>
      <c r="G43" s="6"/>
      <c r="H43" s="7">
        <f t="shared" si="2"/>
        <v>13000</v>
      </c>
      <c r="I43" s="7">
        <f t="shared" si="3"/>
        <v>0</v>
      </c>
      <c r="J43" s="43" t="s">
        <v>217</v>
      </c>
      <c r="K43" s="7">
        <f t="shared" si="6"/>
        <v>25000</v>
      </c>
      <c r="L43" s="7">
        <v>8000</v>
      </c>
      <c r="M43" s="7">
        <v>500</v>
      </c>
      <c r="N43" s="7">
        <v>1000</v>
      </c>
      <c r="O43" s="7">
        <v>2500</v>
      </c>
      <c r="P43" s="7"/>
      <c r="Q43" s="2"/>
      <c r="R43" s="7">
        <f t="shared" si="4"/>
        <v>0</v>
      </c>
      <c r="S43" s="7">
        <f t="shared" si="5"/>
        <v>0</v>
      </c>
      <c r="T43" s="2"/>
      <c r="U43" s="2"/>
      <c r="V43" s="7"/>
      <c r="X43" s="1"/>
    </row>
    <row r="44" spans="1:24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VLOOKUP(A44,FONDSDECAISSE!A$5:O$52,15,0)</f>
        <v>390000</v>
      </c>
      <c r="D44" s="6">
        <v>1621</v>
      </c>
      <c r="E44" s="6">
        <f t="shared" si="7"/>
        <v>226.93903652655681</v>
      </c>
      <c r="F44" s="6">
        <f t="shared" si="1"/>
        <v>394621</v>
      </c>
      <c r="G44" s="6"/>
      <c r="H44" s="7">
        <f t="shared" si="2"/>
        <v>13000</v>
      </c>
      <c r="I44" s="7">
        <f t="shared" si="3"/>
        <v>0</v>
      </c>
      <c r="J44" s="43" t="s">
        <v>217</v>
      </c>
      <c r="K44" s="7">
        <f t="shared" si="6"/>
        <v>20000</v>
      </c>
      <c r="L44" s="7">
        <v>3000</v>
      </c>
      <c r="M44" s="7">
        <v>500</v>
      </c>
      <c r="N44" s="7">
        <v>1000</v>
      </c>
      <c r="O44" s="7">
        <v>2500</v>
      </c>
      <c r="P44" s="7"/>
      <c r="Q44" s="2"/>
      <c r="R44" s="7">
        <f t="shared" si="4"/>
        <v>0</v>
      </c>
      <c r="S44" s="7">
        <f t="shared" si="5"/>
        <v>0</v>
      </c>
      <c r="T44" s="2"/>
      <c r="U44" s="2"/>
      <c r="V44" s="7"/>
      <c r="X44" s="1"/>
    </row>
    <row r="45" spans="1:24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VLOOKUP(A45,FONDSDECAISSE!A$5:O$52,15,0)</f>
        <v>0</v>
      </c>
      <c r="D45" s="6">
        <f>106+14737</f>
        <v>14843</v>
      </c>
      <c r="E45" s="6">
        <f t="shared" si="7"/>
        <v>10.261170157552064</v>
      </c>
      <c r="F45" s="6">
        <f t="shared" si="1"/>
        <v>17843</v>
      </c>
      <c r="G45" s="6"/>
      <c r="H45" s="7">
        <f t="shared" si="2"/>
        <v>13000</v>
      </c>
      <c r="I45" s="7">
        <f t="shared" si="3"/>
        <v>0</v>
      </c>
      <c r="J45" s="43" t="s">
        <v>217</v>
      </c>
      <c r="K45" s="7">
        <f t="shared" si="6"/>
        <v>20000</v>
      </c>
      <c r="L45" s="7">
        <v>3000</v>
      </c>
      <c r="M45" s="7">
        <v>500</v>
      </c>
      <c r="N45" s="7">
        <v>1000</v>
      </c>
      <c r="O45" s="7">
        <v>2500</v>
      </c>
      <c r="P45" s="7"/>
      <c r="Q45" s="2"/>
      <c r="R45" s="7">
        <f t="shared" si="4"/>
        <v>0</v>
      </c>
      <c r="S45" s="7">
        <f t="shared" si="5"/>
        <v>0</v>
      </c>
      <c r="T45" s="2"/>
      <c r="U45" s="2"/>
      <c r="V45" s="7"/>
      <c r="X45" s="1"/>
    </row>
    <row r="46" spans="1:24" x14ac:dyDescent="0.25">
      <c r="A46" s="1" t="s">
        <v>51</v>
      </c>
      <c r="B46" s="1" t="str">
        <f>VLOOKUP(A46,LISTADHERENT!A$5:H$51,2)</f>
        <v>TCHOUAMOU MATHIEU</v>
      </c>
      <c r="C46" s="6">
        <f>VLOOKUP(A46,FONDSDECAISSE!A$5:O$52,15,0)</f>
        <v>420000</v>
      </c>
      <c r="D46" s="6">
        <v>2654</v>
      </c>
      <c r="E46" s="6">
        <f t="shared" si="7"/>
        <v>244.78552498137455</v>
      </c>
      <c r="F46" s="6">
        <f t="shared" si="1"/>
        <v>425654</v>
      </c>
      <c r="G46" s="6"/>
      <c r="H46" s="7">
        <f t="shared" si="2"/>
        <v>13000</v>
      </c>
      <c r="I46" s="7">
        <f t="shared" si="3"/>
        <v>0</v>
      </c>
      <c r="J46" s="43" t="s">
        <v>217</v>
      </c>
      <c r="K46" s="7">
        <f t="shared" si="6"/>
        <v>20000</v>
      </c>
      <c r="L46" s="7">
        <v>3000</v>
      </c>
      <c r="M46" s="7">
        <v>500</v>
      </c>
      <c r="N46" s="7">
        <v>1000</v>
      </c>
      <c r="O46" s="7">
        <v>2500</v>
      </c>
      <c r="P46" s="7"/>
      <c r="Q46" s="7"/>
      <c r="R46" s="7">
        <f t="shared" si="4"/>
        <v>0</v>
      </c>
      <c r="S46" s="7">
        <f t="shared" si="5"/>
        <v>0</v>
      </c>
      <c r="T46" s="2"/>
      <c r="U46" s="2"/>
      <c r="V46" s="7"/>
      <c r="X46" s="1"/>
    </row>
    <row r="47" spans="1:24" x14ac:dyDescent="0.25">
      <c r="A47" s="1" t="s">
        <v>52</v>
      </c>
      <c r="B47" s="1" t="str">
        <f>VLOOKUP(A47,LISTADHERENT!A$5:H$51,2)</f>
        <v>TCHOUANTE FRANCOIS</v>
      </c>
      <c r="C47" s="6">
        <f>VLOOKUP(A47,FONDSDECAISSE!A$5:O$52,15,0)</f>
        <v>403819</v>
      </c>
      <c r="D47" s="6">
        <v>25832</v>
      </c>
      <c r="E47" s="6">
        <f t="shared" si="7"/>
        <v>248.80936668918108</v>
      </c>
      <c r="F47" s="6">
        <f t="shared" si="1"/>
        <v>432651</v>
      </c>
      <c r="G47" s="6"/>
      <c r="H47" s="7">
        <f t="shared" si="2"/>
        <v>13000</v>
      </c>
      <c r="I47" s="7">
        <f t="shared" si="3"/>
        <v>1000</v>
      </c>
      <c r="J47" s="43" t="s">
        <v>223</v>
      </c>
      <c r="K47" s="7">
        <f t="shared" si="6"/>
        <v>20000</v>
      </c>
      <c r="L47" s="7">
        <v>3000</v>
      </c>
      <c r="M47" s="7">
        <v>500</v>
      </c>
      <c r="N47" s="7">
        <v>1000</v>
      </c>
      <c r="O47" s="7">
        <v>2500</v>
      </c>
      <c r="P47" s="7"/>
      <c r="Q47" s="2"/>
      <c r="R47" s="7">
        <f t="shared" si="4"/>
        <v>0</v>
      </c>
      <c r="S47" s="7">
        <f t="shared" si="5"/>
        <v>0</v>
      </c>
      <c r="T47" s="2"/>
      <c r="U47" s="2"/>
      <c r="V47" s="7"/>
      <c r="X47" s="1"/>
    </row>
    <row r="48" spans="1:24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VLOOKUP(A48,FONDSDECAISSE!A$5:O$52,15,0)</f>
        <v>0</v>
      </c>
      <c r="D48" s="6"/>
      <c r="E48" s="6">
        <f t="shared" si="7"/>
        <v>1.7252429789080419</v>
      </c>
      <c r="F48" s="6">
        <f t="shared" si="1"/>
        <v>3000</v>
      </c>
      <c r="G48" s="6"/>
      <c r="H48" s="7">
        <f t="shared" si="2"/>
        <v>13000</v>
      </c>
      <c r="I48" s="7">
        <f t="shared" si="3"/>
        <v>1000</v>
      </c>
      <c r="J48" s="43" t="s">
        <v>223</v>
      </c>
      <c r="K48" s="7">
        <f t="shared" si="6"/>
        <v>20000</v>
      </c>
      <c r="L48" s="7">
        <v>3000</v>
      </c>
      <c r="M48" s="7">
        <v>500</v>
      </c>
      <c r="N48" s="7">
        <v>1000</v>
      </c>
      <c r="O48" s="7">
        <v>2500</v>
      </c>
      <c r="P48" s="7"/>
      <c r="Q48" s="2"/>
      <c r="R48" s="7">
        <f t="shared" si="4"/>
        <v>0</v>
      </c>
      <c r="S48" s="7">
        <f t="shared" si="5"/>
        <v>0</v>
      </c>
      <c r="T48" s="2"/>
      <c r="U48" s="2"/>
      <c r="V48" s="7"/>
      <c r="X48" s="1"/>
    </row>
    <row r="49" spans="1:24" x14ac:dyDescent="0.25">
      <c r="A49" s="1" t="s">
        <v>54</v>
      </c>
      <c r="B49" s="1" t="str">
        <f>VLOOKUP(A49,LISTADHERENT!A$5:H$51,2)</f>
        <v>TIEYAM ERNEST</v>
      </c>
      <c r="C49" s="6">
        <f>VLOOKUP(A49,FONDSDECAISSE!A$5:O$52,15,0)</f>
        <v>420000</v>
      </c>
      <c r="D49" s="6">
        <v>2593</v>
      </c>
      <c r="E49" s="6">
        <f t="shared" si="7"/>
        <v>244.75044504080344</v>
      </c>
      <c r="F49" s="6">
        <f t="shared" si="1"/>
        <v>425593</v>
      </c>
      <c r="G49" s="6"/>
      <c r="H49" s="7">
        <f t="shared" si="2"/>
        <v>13000</v>
      </c>
      <c r="I49" s="7">
        <f t="shared" si="3"/>
        <v>0</v>
      </c>
      <c r="J49" s="43" t="s">
        <v>217</v>
      </c>
      <c r="K49" s="7">
        <f t="shared" si="6"/>
        <v>20000</v>
      </c>
      <c r="L49" s="7">
        <v>3000</v>
      </c>
      <c r="M49" s="7">
        <v>500</v>
      </c>
      <c r="N49" s="7">
        <v>1000</v>
      </c>
      <c r="O49" s="7">
        <v>2500</v>
      </c>
      <c r="P49" s="7"/>
      <c r="Q49" s="2"/>
      <c r="R49" s="7">
        <f>IF(Q49&lt;=500000,(Q49*1*3/100),(Q49*12/100))</f>
        <v>0</v>
      </c>
      <c r="S49" s="7">
        <f t="shared" si="5"/>
        <v>0</v>
      </c>
      <c r="T49" s="2"/>
      <c r="U49" s="2"/>
      <c r="V49" s="7"/>
      <c r="X49" s="1"/>
    </row>
    <row r="50" spans="1:24" x14ac:dyDescent="0.25">
      <c r="A50" s="1" t="s">
        <v>55</v>
      </c>
      <c r="B50" s="1" t="str">
        <f>VLOOKUP(A50,LISTADHERENT!A$5:H$51,2)</f>
        <v>TUGMA PIERRE LOTI</v>
      </c>
      <c r="C50" s="6">
        <f>VLOOKUP(A50,FONDSDECAISSE!A$5:O$52,15,0)</f>
        <v>420000</v>
      </c>
      <c r="D50" s="6">
        <v>2503</v>
      </c>
      <c r="E50" s="6">
        <f t="shared" si="7"/>
        <v>244.69868775143618</v>
      </c>
      <c r="F50" s="6">
        <f t="shared" si="1"/>
        <v>425503</v>
      </c>
      <c r="G50" s="6"/>
      <c r="H50" s="7">
        <f>IF(J50="ECHEC",0,13000)</f>
        <v>13000</v>
      </c>
      <c r="I50" s="7">
        <f t="shared" si="3"/>
        <v>0</v>
      </c>
      <c r="J50" s="43" t="s">
        <v>217</v>
      </c>
      <c r="K50" s="7">
        <f t="shared" si="6"/>
        <v>20000</v>
      </c>
      <c r="L50" s="7">
        <v>3000</v>
      </c>
      <c r="M50" s="7">
        <v>500</v>
      </c>
      <c r="N50" s="7">
        <v>1000</v>
      </c>
      <c r="O50" s="7">
        <v>2500</v>
      </c>
      <c r="P50" s="7"/>
      <c r="Q50" s="2"/>
      <c r="R50" s="7">
        <f t="shared" si="4"/>
        <v>0</v>
      </c>
      <c r="S50" s="7">
        <f t="shared" si="5"/>
        <v>0</v>
      </c>
      <c r="T50" s="2"/>
      <c r="U50" s="2"/>
      <c r="V50" s="7"/>
      <c r="X50" s="1"/>
    </row>
    <row r="51" spans="1:24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VLOOKUP(A51,FONDSDECAISSE!A$5:O$52,15,0)</f>
        <v>420000</v>
      </c>
      <c r="D51" s="6">
        <v>393982</v>
      </c>
      <c r="E51" s="6">
        <f t="shared" si="7"/>
        <v>469.83081979808333</v>
      </c>
      <c r="F51" s="6">
        <f t="shared" si="1"/>
        <v>816982</v>
      </c>
      <c r="G51" s="6"/>
      <c r="H51" s="7">
        <f t="shared" si="2"/>
        <v>13000</v>
      </c>
      <c r="I51" s="7">
        <f t="shared" si="3"/>
        <v>1000</v>
      </c>
      <c r="J51" s="43" t="s">
        <v>223</v>
      </c>
      <c r="K51" s="7">
        <f t="shared" si="6"/>
        <v>20000</v>
      </c>
      <c r="L51" s="7">
        <v>3000</v>
      </c>
      <c r="M51" s="7">
        <v>500</v>
      </c>
      <c r="N51" s="7">
        <v>1000</v>
      </c>
      <c r="O51" s="7">
        <v>2500</v>
      </c>
      <c r="P51" s="7"/>
      <c r="Q51" s="9"/>
      <c r="R51" s="7">
        <f t="shared" si="4"/>
        <v>0</v>
      </c>
      <c r="S51" s="7">
        <f t="shared" si="5"/>
        <v>0</v>
      </c>
      <c r="T51" s="2"/>
      <c r="U51" s="2"/>
      <c r="V51" s="7"/>
      <c r="X51" s="1"/>
    </row>
    <row r="52" spans="1:24" x14ac:dyDescent="0.25">
      <c r="A52" s="1" t="s">
        <v>177</v>
      </c>
      <c r="B52" s="1" t="str">
        <f>VLOOKUP(A52,LISTADHERENT!A$5:H$51,2)</f>
        <v>YOUMBI EMMANUEL</v>
      </c>
      <c r="C52" s="6">
        <f>VLOOKUP(A52,FONDSDECAISSE!A$5:O$52,15,0)</f>
        <v>420000</v>
      </c>
      <c r="D52" s="6">
        <v>883628</v>
      </c>
      <c r="E52" s="6">
        <f t="shared" si="7"/>
        <v>751.41692768155235</v>
      </c>
      <c r="F52" s="6">
        <f t="shared" si="1"/>
        <v>1306628</v>
      </c>
      <c r="G52" s="6"/>
      <c r="H52" s="7">
        <f t="shared" si="2"/>
        <v>13000</v>
      </c>
      <c r="I52" s="7">
        <f t="shared" si="3"/>
        <v>1000</v>
      </c>
      <c r="J52" s="43" t="s">
        <v>223</v>
      </c>
      <c r="K52" s="7">
        <f t="shared" si="6"/>
        <v>20000</v>
      </c>
      <c r="L52" s="7">
        <v>3000</v>
      </c>
      <c r="M52" s="7">
        <v>500</v>
      </c>
      <c r="N52" s="7">
        <v>1000</v>
      </c>
      <c r="O52" s="7">
        <v>2500</v>
      </c>
      <c r="Q52" s="2"/>
      <c r="R52" s="7">
        <f t="shared" si="4"/>
        <v>0</v>
      </c>
      <c r="S52" s="7">
        <f t="shared" si="5"/>
        <v>0</v>
      </c>
      <c r="T52" s="2"/>
      <c r="U52" s="2"/>
      <c r="V52" s="7"/>
      <c r="X52" s="1"/>
    </row>
    <row r="53" spans="1:24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  <c r="Q53" s="2"/>
      <c r="R53" s="7"/>
      <c r="S53" s="2"/>
      <c r="T53" s="2"/>
      <c r="U53" s="2"/>
    </row>
    <row r="54" spans="1:24" x14ac:dyDescent="0.25">
      <c r="A54" s="1"/>
      <c r="B54" s="1"/>
      <c r="C54" s="6"/>
      <c r="D54" s="6"/>
      <c r="E54" s="6"/>
      <c r="F54" s="6"/>
      <c r="G54" s="6"/>
      <c r="H54" s="6"/>
      <c r="I54" s="6"/>
      <c r="J54" s="6"/>
      <c r="L54" s="2"/>
      <c r="M54" s="30"/>
      <c r="Q54" s="2"/>
      <c r="R54" s="7"/>
      <c r="S54" s="2"/>
      <c r="T54" s="2"/>
      <c r="U54" s="2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24" ht="18" x14ac:dyDescent="0.25">
      <c r="A56" s="1" t="s">
        <v>56</v>
      </c>
      <c r="B56" s="1"/>
      <c r="C56" s="9">
        <f>SUM(C5:C52)</f>
        <v>16033819</v>
      </c>
      <c r="D56" s="9">
        <f t="shared" ref="D56:T56" si="8">SUM(D5:D52)</f>
        <v>3525807</v>
      </c>
      <c r="E56" s="9">
        <f t="shared" si="8"/>
        <v>12000</v>
      </c>
      <c r="F56" s="9">
        <f t="shared" si="8"/>
        <v>20866626</v>
      </c>
      <c r="G56" s="9">
        <f t="shared" si="8"/>
        <v>0</v>
      </c>
      <c r="H56" s="9">
        <f t="shared" si="8"/>
        <v>546000</v>
      </c>
      <c r="I56" s="9">
        <f t="shared" si="8"/>
        <v>16000</v>
      </c>
      <c r="J56" s="9"/>
      <c r="K56" s="9">
        <f t="shared" si="8"/>
        <v>2021000</v>
      </c>
      <c r="L56" s="9">
        <f t="shared" si="8"/>
        <v>1307000</v>
      </c>
      <c r="M56" s="9">
        <f t="shared" si="8"/>
        <v>21000</v>
      </c>
      <c r="N56" s="9">
        <f t="shared" si="8"/>
        <v>42000</v>
      </c>
      <c r="O56" s="9">
        <f t="shared" si="8"/>
        <v>105000</v>
      </c>
      <c r="P56" s="9">
        <f t="shared" si="8"/>
        <v>0</v>
      </c>
      <c r="Q56" s="9">
        <f t="shared" si="8"/>
        <v>400000</v>
      </c>
      <c r="R56" s="9">
        <f t="shared" si="8"/>
        <v>12000</v>
      </c>
      <c r="S56" s="9">
        <f t="shared" si="8"/>
        <v>494400</v>
      </c>
      <c r="T56" s="9">
        <f t="shared" si="8"/>
        <v>0</v>
      </c>
    </row>
  </sheetData>
  <autoFilter ref="A4:S49">
    <sortState ref="A5:L48">
      <sortCondition ref="B5:B48"/>
    </sortState>
  </autoFilter>
  <dataValidations count="1">
    <dataValidation type="list" allowBlank="1" showInputMessage="1" showErrorMessage="1" sqref="J5:J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TONT20000DEC2016!F5+TONT20000DEC2016!E5+TONT20000JANV2017!J5</f>
        <v>355301.20953536045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TONT20000DEC2016!F6+TONT20000DEC2016!E6+TONT20000JANV2017!J6</f>
        <v>472264.43420311459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TONT20000DEC2016!F7+TONT20000DEC2016!E7+TONT20000JANV2017!J7</f>
        <v>428964.82348032692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v>3000</v>
      </c>
      <c r="K7" s="7">
        <v>500</v>
      </c>
      <c r="L7" s="7">
        <v>1000</v>
      </c>
      <c r="M7" s="7">
        <v>2500</v>
      </c>
      <c r="N7" s="7"/>
      <c r="O7" s="7"/>
      <c r="P7" s="7">
        <f t="shared" ref="P7:P52" si="3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TONT20000DEC2016!F8+TONT20000DEC2016!E8+TONT20000JANV2017!J8</f>
        <v>432120.63728577876</v>
      </c>
      <c r="E8" s="6"/>
      <c r="F8" s="7">
        <f t="shared" si="1"/>
        <v>13000</v>
      </c>
      <c r="G8" s="7">
        <f t="shared" si="2"/>
        <v>1000</v>
      </c>
      <c r="H8" s="43" t="s">
        <v>223</v>
      </c>
      <c r="I8" s="7">
        <f t="shared" ref="I8:I52" si="4">IF(F8=0,0,F8+J8+K8+L8+M8+N8)</f>
        <v>20000</v>
      </c>
      <c r="J8" s="7">
        <v>3000</v>
      </c>
      <c r="K8" s="7">
        <v>500</v>
      </c>
      <c r="L8" s="7">
        <v>1000</v>
      </c>
      <c r="M8" s="7">
        <v>2500</v>
      </c>
      <c r="N8" s="7"/>
      <c r="O8" s="2"/>
      <c r="P8" s="7">
        <f t="shared" si="3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TONT20000DEC2016!F9+TONT20000DEC2016!E9+TONT20000JANV2017!J9</f>
        <v>428814.73721817799</v>
      </c>
      <c r="E9" s="6"/>
      <c r="F9" s="7">
        <f t="shared" si="1"/>
        <v>13000</v>
      </c>
      <c r="G9" s="7">
        <f t="shared" si="2"/>
        <v>0</v>
      </c>
      <c r="H9" s="43" t="s">
        <v>217</v>
      </c>
      <c r="I9" s="7">
        <f t="shared" si="4"/>
        <v>20000</v>
      </c>
      <c r="J9" s="7">
        <v>3000</v>
      </c>
      <c r="K9" s="7">
        <v>500</v>
      </c>
      <c r="L9" s="7">
        <v>1000</v>
      </c>
      <c r="M9" s="7">
        <v>2500</v>
      </c>
      <c r="N9" s="7"/>
      <c r="O9" s="2"/>
      <c r="P9" s="7">
        <f t="shared" si="3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TONT20000DEC2016!F10+TONT20000DEC2016!E10+TONT20000JANV2017!J10</f>
        <v>428941.81025346409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4"/>
        <v>20000</v>
      </c>
      <c r="J10" s="7">
        <v>3000</v>
      </c>
      <c r="K10" s="7">
        <v>500</v>
      </c>
      <c r="L10" s="7">
        <v>1000</v>
      </c>
      <c r="M10" s="7">
        <v>2500</v>
      </c>
      <c r="N10" s="7"/>
      <c r="O10" s="2"/>
      <c r="P10" s="7">
        <f t="shared" si="3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TONT20000DEC2016!F11+TONT20000DEC2016!E11+TONT20000JANV2017!J11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/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5">$P$56/$D$56*D12</f>
        <v>0</v>
      </c>
      <c r="D12" s="6">
        <f>TONT20000DEC2016!F12+TONT20000DEC2016!E12+TONT20000JANV2017!J12</f>
        <v>1062148.7462342978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4"/>
        <v>20000</v>
      </c>
      <c r="J12" s="7">
        <v>3000</v>
      </c>
      <c r="K12" s="7">
        <v>500</v>
      </c>
      <c r="L12" s="7">
        <v>1000</v>
      </c>
      <c r="M12" s="7">
        <v>2500</v>
      </c>
      <c r="N12" s="7"/>
      <c r="O12" s="2"/>
      <c r="P12" s="7">
        <f t="shared" si="3"/>
        <v>0</v>
      </c>
      <c r="Q12" s="7"/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5"/>
        <v>0</v>
      </c>
      <c r="D13" s="6">
        <f>TONT20000DEC2016!F13+TONT20000DEC2016!E13+TONT20000JANV2017!J13</f>
        <v>428990.83843243273</v>
      </c>
      <c r="E13" s="6"/>
      <c r="F13" s="7">
        <f t="shared" si="1"/>
        <v>13000</v>
      </c>
      <c r="G13" s="7">
        <f t="shared" si="2"/>
        <v>0</v>
      </c>
      <c r="H13" s="43" t="s">
        <v>217</v>
      </c>
      <c r="I13" s="7">
        <f t="shared" si="4"/>
        <v>20000</v>
      </c>
      <c r="J13" s="7">
        <v>3000</v>
      </c>
      <c r="K13" s="7">
        <v>500</v>
      </c>
      <c r="L13" s="7">
        <v>1000</v>
      </c>
      <c r="M13" s="7">
        <v>2500</v>
      </c>
      <c r="N13" s="7"/>
      <c r="O13" s="2"/>
      <c r="P13" s="7">
        <f t="shared" si="3"/>
        <v>0</v>
      </c>
      <c r="Q13" s="7"/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5"/>
        <v>0</v>
      </c>
      <c r="D14" s="6">
        <f>TONT20000DEC2016!F14+TONT20000DEC2016!E14+TONT20000JANV2017!J14</f>
        <v>480022.16871323617</v>
      </c>
      <c r="E14" s="6"/>
      <c r="F14" s="7">
        <f t="shared" si="1"/>
        <v>13000</v>
      </c>
      <c r="G14" s="7">
        <f t="shared" si="2"/>
        <v>1000</v>
      </c>
      <c r="H14" s="43" t="s">
        <v>223</v>
      </c>
      <c r="I14" s="7">
        <f t="shared" si="4"/>
        <v>20000</v>
      </c>
      <c r="J14" s="7">
        <v>3000</v>
      </c>
      <c r="K14" s="7">
        <v>500</v>
      </c>
      <c r="L14" s="7">
        <v>1000</v>
      </c>
      <c r="M14" s="7">
        <v>2500</v>
      </c>
      <c r="N14" s="7"/>
      <c r="O14" s="2"/>
      <c r="P14" s="7">
        <f t="shared" si="3"/>
        <v>0</v>
      </c>
      <c r="Q14" s="7"/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5"/>
        <v>0</v>
      </c>
      <c r="D15" s="6">
        <f>TONT20000DEC2016!F15+TONT20000DEC2016!E15+TONT20000JANV2017!J15</f>
        <v>428766.70961429027</v>
      </c>
      <c r="E15" s="6"/>
      <c r="F15" s="7">
        <f t="shared" si="1"/>
        <v>13000</v>
      </c>
      <c r="G15" s="7">
        <f t="shared" si="2"/>
        <v>1000</v>
      </c>
      <c r="H15" s="43" t="s">
        <v>223</v>
      </c>
      <c r="I15" s="7">
        <f t="shared" si="4"/>
        <v>20000</v>
      </c>
      <c r="J15" s="7">
        <v>3000</v>
      </c>
      <c r="K15" s="7">
        <v>500</v>
      </c>
      <c r="L15" s="7">
        <v>1000</v>
      </c>
      <c r="M15" s="7">
        <v>2500</v>
      </c>
      <c r="N15" s="7"/>
      <c r="O15" s="2"/>
      <c r="P15" s="7">
        <f t="shared" si="3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5"/>
        <v>0</v>
      </c>
      <c r="D16" s="6">
        <f>TONT20000DEC2016!F16+TONT20000DEC2016!E16+TONT20000JANV2017!J16</f>
        <v>492281.21460556204</v>
      </c>
      <c r="E16" s="6"/>
      <c r="F16" s="7">
        <v>13000</v>
      </c>
      <c r="G16" s="7">
        <f t="shared" si="2"/>
        <v>1000</v>
      </c>
      <c r="H16" s="43" t="s">
        <v>223</v>
      </c>
      <c r="I16" s="7">
        <f t="shared" si="4"/>
        <v>20000</v>
      </c>
      <c r="J16" s="7">
        <v>3000</v>
      </c>
      <c r="K16" s="7">
        <v>500</v>
      </c>
      <c r="L16" s="7">
        <v>1000</v>
      </c>
      <c r="M16" s="7">
        <v>2500</v>
      </c>
      <c r="N16" s="7"/>
      <c r="O16" s="2"/>
      <c r="P16" s="7">
        <f t="shared" si="3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5"/>
        <v>0</v>
      </c>
      <c r="D17" s="6">
        <f>TONT20000DEC2016!F17+TONT20000DEC2016!E17+TONT20000JANV2017!J17</f>
        <v>50288.903570706636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4"/>
        <v>0</v>
      </c>
      <c r="J17" s="7"/>
      <c r="K17" s="7"/>
      <c r="L17" s="7"/>
      <c r="M17" s="7"/>
      <c r="N17" s="7"/>
      <c r="O17" s="2"/>
      <c r="P17" s="7">
        <f t="shared" si="3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5"/>
        <v>0</v>
      </c>
      <c r="D18" s="6">
        <f>TONT20000DEC2016!F18+TONT20000DEC2016!E18+TONT20000JANV2017!J18</f>
        <v>538993.06226171879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4"/>
        <v>20000</v>
      </c>
      <c r="J18" s="7">
        <v>3000</v>
      </c>
      <c r="K18" s="7">
        <v>500</v>
      </c>
      <c r="L18" s="7">
        <v>1000</v>
      </c>
      <c r="M18" s="7">
        <v>2500</v>
      </c>
      <c r="N18" s="7"/>
      <c r="O18" s="2"/>
      <c r="P18" s="7">
        <f t="shared" si="3"/>
        <v>0</v>
      </c>
      <c r="Q18" s="7"/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5"/>
        <v>0</v>
      </c>
      <c r="D19" s="6">
        <f>TONT20000DEC2016!F19+TONT20000DEC2016!E19+TONT20000JANV2017!J19</f>
        <v>106236.3351316116</v>
      </c>
      <c r="E19" s="6"/>
      <c r="F19" s="7">
        <f t="shared" si="1"/>
        <v>13000</v>
      </c>
      <c r="G19" s="7">
        <f t="shared" si="2"/>
        <v>0</v>
      </c>
      <c r="H19" s="43" t="s">
        <v>217</v>
      </c>
      <c r="I19" s="7">
        <f t="shared" si="4"/>
        <v>20000</v>
      </c>
      <c r="J19" s="7">
        <v>3000</v>
      </c>
      <c r="K19" s="7">
        <v>500</v>
      </c>
      <c r="L19" s="7">
        <v>1000</v>
      </c>
      <c r="M19" s="7">
        <v>2500</v>
      </c>
      <c r="N19" s="7"/>
      <c r="O19" s="2"/>
      <c r="P19" s="7">
        <f t="shared" si="3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5"/>
        <v>0</v>
      </c>
      <c r="D20" s="6">
        <f>TONT20000DEC2016!F20+TONT20000DEC2016!E20+TONT20000JANV2017!J20</f>
        <v>2138650.7420054395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4"/>
        <v>23000</v>
      </c>
      <c r="J20" s="7">
        <v>6000</v>
      </c>
      <c r="K20" s="7">
        <v>500</v>
      </c>
      <c r="L20" s="7">
        <v>1000</v>
      </c>
      <c r="M20" s="7">
        <v>2500</v>
      </c>
      <c r="N20" s="7"/>
      <c r="O20" s="2"/>
      <c r="P20" s="7">
        <f t="shared" si="3"/>
        <v>0</v>
      </c>
      <c r="Q20" s="7"/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5"/>
        <v>0</v>
      </c>
      <c r="D21" s="6">
        <f>TONT20000DEC2016!F21+TONT20000DEC2016!E21+TONT20000JANV2017!J21</f>
        <v>428601.61472592648</v>
      </c>
      <c r="E21" s="6"/>
      <c r="F21" s="7">
        <f t="shared" si="1"/>
        <v>13000</v>
      </c>
      <c r="G21" s="7">
        <f t="shared" si="2"/>
        <v>0</v>
      </c>
      <c r="H21" s="43" t="s">
        <v>217</v>
      </c>
      <c r="I21" s="7">
        <f t="shared" si="4"/>
        <v>20000</v>
      </c>
      <c r="J21" s="7">
        <v>3000</v>
      </c>
      <c r="K21" s="7">
        <v>500</v>
      </c>
      <c r="L21" s="7">
        <v>1000</v>
      </c>
      <c r="M21" s="7">
        <v>2500</v>
      </c>
      <c r="N21" s="7"/>
      <c r="O21" s="2"/>
      <c r="P21" s="7">
        <f t="shared" si="3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5"/>
        <v>0</v>
      </c>
      <c r="D22" s="6">
        <f>TONT20000DEC2016!F22+TONT20000DEC2016!E22+TONT20000JANV2017!J22</f>
        <v>429293.01210689259</v>
      </c>
      <c r="E22" s="6"/>
      <c r="F22" s="7">
        <f t="shared" si="1"/>
        <v>13000</v>
      </c>
      <c r="G22" s="7">
        <f t="shared" si="2"/>
        <v>0</v>
      </c>
      <c r="H22" s="43" t="s">
        <v>217</v>
      </c>
      <c r="I22" s="7">
        <f t="shared" si="4"/>
        <v>20000</v>
      </c>
      <c r="J22" s="7">
        <v>3000</v>
      </c>
      <c r="K22" s="7">
        <v>500</v>
      </c>
      <c r="L22" s="7">
        <v>1000</v>
      </c>
      <c r="M22" s="7">
        <v>2500</v>
      </c>
      <c r="N22" s="7"/>
      <c r="O22" s="2"/>
      <c r="P22" s="7">
        <f t="shared" si="3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5"/>
        <v>0</v>
      </c>
      <c r="D23" s="6">
        <f>TONT20000DEC2016!F23+TONT20000DEC2016!E23+TONT20000JANV2017!J23</f>
        <v>428930.80392757314</v>
      </c>
      <c r="E23" s="6"/>
      <c r="F23" s="7">
        <f t="shared" si="1"/>
        <v>13000</v>
      </c>
      <c r="G23" s="7">
        <f t="shared" si="2"/>
        <v>1000</v>
      </c>
      <c r="H23" s="43" t="s">
        <v>223</v>
      </c>
      <c r="I23" s="7">
        <f t="shared" si="4"/>
        <v>20000</v>
      </c>
      <c r="J23" s="7">
        <v>3000</v>
      </c>
      <c r="K23" s="7">
        <v>500</v>
      </c>
      <c r="L23" s="7">
        <v>1000</v>
      </c>
      <c r="M23" s="7">
        <v>2500</v>
      </c>
      <c r="N23" s="7"/>
      <c r="O23" s="2"/>
      <c r="P23" s="7">
        <f t="shared" si="3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5"/>
        <v>0</v>
      </c>
      <c r="D24" s="6">
        <f>TONT20000DEC2016!F24+TONT20000DEC2016!E24+TONT20000JANV2017!J24</f>
        <v>430063.4549192572</v>
      </c>
      <c r="E24" s="6"/>
      <c r="F24" s="7">
        <f t="shared" si="1"/>
        <v>13000</v>
      </c>
      <c r="G24" s="7">
        <f t="shared" si="2"/>
        <v>1000</v>
      </c>
      <c r="H24" s="43" t="s">
        <v>223</v>
      </c>
      <c r="I24" s="7">
        <f t="shared" si="4"/>
        <v>20000</v>
      </c>
      <c r="J24" s="7">
        <v>3000</v>
      </c>
      <c r="K24" s="7">
        <v>500</v>
      </c>
      <c r="L24" s="7">
        <v>1000</v>
      </c>
      <c r="M24" s="7">
        <v>2500</v>
      </c>
      <c r="N24" s="7"/>
      <c r="O24" s="7"/>
      <c r="P24" s="7">
        <f t="shared" si="3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5"/>
        <v>0</v>
      </c>
      <c r="D25" s="6">
        <f>TONT20000DEC2016!F25+TONT20000DEC2016!E25+TONT20000JANV2017!J25</f>
        <v>428896.78437481937</v>
      </c>
      <c r="E25" s="6"/>
      <c r="F25" s="7">
        <f t="shared" si="1"/>
        <v>13000</v>
      </c>
      <c r="G25" s="7">
        <f t="shared" si="2"/>
        <v>0</v>
      </c>
      <c r="H25" s="43" t="s">
        <v>217</v>
      </c>
      <c r="I25" s="7">
        <f t="shared" si="4"/>
        <v>20000</v>
      </c>
      <c r="J25" s="7">
        <v>3000</v>
      </c>
      <c r="K25" s="7">
        <v>500</v>
      </c>
      <c r="L25" s="7">
        <v>1000</v>
      </c>
      <c r="M25" s="7">
        <v>2500</v>
      </c>
      <c r="N25" s="7"/>
      <c r="O25" s="2"/>
      <c r="P25" s="7">
        <f t="shared" si="3"/>
        <v>0</v>
      </c>
      <c r="Q25" s="7"/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5"/>
        <v>0</v>
      </c>
      <c r="D26" s="6">
        <f>TONT20000DEC2016!F26+TONT20000DEC2016!E26+TONT20000JANV2017!J26</f>
        <v>428985.83555702778</v>
      </c>
      <c r="E26" s="6"/>
      <c r="F26" s="7">
        <f t="shared" si="1"/>
        <v>13000</v>
      </c>
      <c r="G26" s="7">
        <f t="shared" si="2"/>
        <v>0</v>
      </c>
      <c r="H26" s="43" t="s">
        <v>217</v>
      </c>
      <c r="I26" s="7">
        <f t="shared" si="4"/>
        <v>20000</v>
      </c>
      <c r="J26" s="7">
        <v>3000</v>
      </c>
      <c r="K26" s="7">
        <v>500</v>
      </c>
      <c r="L26" s="7">
        <v>1000</v>
      </c>
      <c r="M26" s="7">
        <v>2500</v>
      </c>
      <c r="N26" s="7"/>
      <c r="O26" s="2"/>
      <c r="P26" s="7">
        <f t="shared" si="3"/>
        <v>0</v>
      </c>
      <c r="Q26" s="7"/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5"/>
        <v>0</v>
      </c>
      <c r="D27" s="6">
        <f>TONT20000DEC2016!F27+TONT20000DEC2016!E27+TONT20000JANV2017!J27</f>
        <v>439065.75524322904</v>
      </c>
      <c r="E27" s="6"/>
      <c r="F27" s="7">
        <f t="shared" si="1"/>
        <v>13000</v>
      </c>
      <c r="G27" s="7">
        <f t="shared" si="2"/>
        <v>0</v>
      </c>
      <c r="H27" s="43" t="s">
        <v>217</v>
      </c>
      <c r="I27" s="7">
        <f t="shared" si="4"/>
        <v>25000</v>
      </c>
      <c r="J27" s="7">
        <v>8000</v>
      </c>
      <c r="K27" s="7">
        <v>500</v>
      </c>
      <c r="L27" s="7">
        <v>1000</v>
      </c>
      <c r="M27" s="7">
        <v>2500</v>
      </c>
      <c r="N27" s="7"/>
      <c r="O27" s="7"/>
      <c r="P27" s="7">
        <f t="shared" si="3"/>
        <v>0</v>
      </c>
      <c r="Q27" s="7"/>
      <c r="R27" s="2"/>
      <c r="S27" s="2"/>
      <c r="T27" s="7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5"/>
        <v>0</v>
      </c>
      <c r="D28" s="6">
        <f>TONT20000DEC2016!F28+TONT20000DEC2016!E28+TONT20000JANV2017!J28</f>
        <v>420241.53401704715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/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6">$P$56/$D$56*D29</f>
        <v>0</v>
      </c>
      <c r="D29" s="6">
        <f>TONT20000DEC2016!F29+TONT20000DEC2016!E29+TONT20000JANV2017!J29</f>
        <v>438495.12827325321</v>
      </c>
      <c r="E29" s="6"/>
      <c r="F29" s="7">
        <f t="shared" si="1"/>
        <v>13000</v>
      </c>
      <c r="G29" s="7">
        <f t="shared" si="2"/>
        <v>0</v>
      </c>
      <c r="H29" s="43" t="s">
        <v>217</v>
      </c>
      <c r="I29" s="7">
        <f t="shared" si="4"/>
        <v>29000</v>
      </c>
      <c r="J29" s="7">
        <v>12000</v>
      </c>
      <c r="K29" s="7">
        <v>500</v>
      </c>
      <c r="L29" s="7">
        <v>1000</v>
      </c>
      <c r="M29" s="7">
        <v>2500</v>
      </c>
      <c r="N29" s="7"/>
      <c r="O29" s="2"/>
      <c r="P29" s="7">
        <f t="shared" si="3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6"/>
        <v>0</v>
      </c>
      <c r="D30" s="6">
        <f>TONT20000DEC2016!F30+TONT20000DEC2016!E30+TONT20000JANV2017!J30</f>
        <v>3107.7862015641626</v>
      </c>
      <c r="E30" s="6"/>
      <c r="F30" s="7">
        <f t="shared" si="1"/>
        <v>0</v>
      </c>
      <c r="G30" s="7">
        <f t="shared" si="2"/>
        <v>0</v>
      </c>
      <c r="H30" s="43" t="s">
        <v>216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3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6"/>
        <v>0</v>
      </c>
      <c r="D31" s="6">
        <f>TONT20000DEC2016!F31+TONT20000DEC2016!E31+TONT20000JANV2017!J31</f>
        <v>466399.33898551686</v>
      </c>
      <c r="E31" s="6"/>
      <c r="F31" s="7">
        <f t="shared" si="1"/>
        <v>13000</v>
      </c>
      <c r="G31" s="7">
        <f t="shared" si="2"/>
        <v>0</v>
      </c>
      <c r="H31" s="43" t="s">
        <v>217</v>
      </c>
      <c r="I31" s="7">
        <f t="shared" si="4"/>
        <v>20000</v>
      </c>
      <c r="J31" s="7">
        <v>3000</v>
      </c>
      <c r="K31" s="7">
        <v>500</v>
      </c>
      <c r="L31" s="7">
        <v>1000</v>
      </c>
      <c r="M31" s="7">
        <v>2500</v>
      </c>
      <c r="N31" s="7"/>
      <c r="O31" s="2"/>
      <c r="P31" s="7">
        <f t="shared" si="3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6"/>
        <v>0</v>
      </c>
      <c r="D32" s="6">
        <f>TONT20000DEC2016!F32+TONT20000DEC2016!E32+TONT20000JANV2017!J32</f>
        <v>434017.85395961953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4"/>
        <v>25000</v>
      </c>
      <c r="J32" s="7">
        <v>8000</v>
      </c>
      <c r="K32" s="7">
        <v>500</v>
      </c>
      <c r="L32" s="7">
        <v>1000</v>
      </c>
      <c r="M32" s="7">
        <v>2500</v>
      </c>
      <c r="N32" s="7"/>
      <c r="O32" s="2"/>
      <c r="P32" s="7">
        <f t="shared" si="3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6"/>
        <v>0</v>
      </c>
      <c r="D33" s="6">
        <f>TONT20000DEC2016!F33+TONT20000DEC2016!E33+TONT20000JANV2017!J33</f>
        <v>504093.12975696212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4"/>
        <v>25000</v>
      </c>
      <c r="J33" s="7">
        <v>8000</v>
      </c>
      <c r="K33" s="7">
        <v>500</v>
      </c>
      <c r="L33" s="7">
        <v>1000</v>
      </c>
      <c r="M33" s="7">
        <v>2500</v>
      </c>
      <c r="N33" s="7"/>
      <c r="O33" s="29"/>
      <c r="P33" s="7">
        <f t="shared" si="3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6"/>
        <v>0</v>
      </c>
      <c r="D34" s="6">
        <f>TONT20000DEC2016!F34+TONT20000DEC2016!E34+TONT20000JANV2017!J34</f>
        <v>539077.23688880028</v>
      </c>
      <c r="E34" s="6"/>
      <c r="F34" s="7">
        <f t="shared" si="1"/>
        <v>13000</v>
      </c>
      <c r="G34" s="7">
        <f t="shared" si="2"/>
        <v>1000</v>
      </c>
      <c r="H34" s="43" t="s">
        <v>223</v>
      </c>
      <c r="I34" s="7">
        <f t="shared" si="4"/>
        <v>25000</v>
      </c>
      <c r="J34" s="7">
        <v>8000</v>
      </c>
      <c r="K34" s="7">
        <v>500</v>
      </c>
      <c r="L34" s="7">
        <v>1000</v>
      </c>
      <c r="M34" s="7">
        <v>2500</v>
      </c>
      <c r="N34" s="7"/>
      <c r="O34" s="2"/>
      <c r="P34" s="7">
        <f t="shared" si="3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TONT20000DEC2016!F35+TONT20000DEC2016!E35+TONT20000JANV2017!J35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/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TONT20000DEC2016!F36+TONT20000DEC2016!E36+TONT20000JANV2017!J36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4"/>
        <v>0</v>
      </c>
      <c r="J36" s="7"/>
      <c r="K36" s="7"/>
      <c r="L36" s="7"/>
      <c r="M36" s="7"/>
      <c r="N36" s="7"/>
      <c r="O36" s="2"/>
      <c r="P36" s="7">
        <f t="shared" si="3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TONT20000DEC2016!F37+TONT20000DEC2016!E37+TONT20000JANV2017!J37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/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7">$P$56/$D$56*D38</f>
        <v>0</v>
      </c>
      <c r="D38" s="6">
        <f>TONT20000DEC2016!F38+TONT20000DEC2016!E38+TONT20000JANV2017!J38</f>
        <v>428718.68201040261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4"/>
        <v>20000</v>
      </c>
      <c r="J38" s="7">
        <v>3000</v>
      </c>
      <c r="K38" s="7">
        <v>500</v>
      </c>
      <c r="L38" s="7">
        <v>1000</v>
      </c>
      <c r="M38" s="7">
        <v>2500</v>
      </c>
      <c r="N38" s="7"/>
      <c r="O38" s="2"/>
      <c r="P38" s="7">
        <f t="shared" si="3"/>
        <v>0</v>
      </c>
      <c r="Q38" s="7"/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7"/>
        <v>0</v>
      </c>
      <c r="D39" s="6">
        <f>TONT20000DEC2016!F39+TONT20000DEC2016!E39+TONT20000JANV2017!J39</f>
        <v>433003.14450721454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4"/>
        <v>20000</v>
      </c>
      <c r="J39" s="7">
        <v>3000</v>
      </c>
      <c r="K39" s="7">
        <v>500</v>
      </c>
      <c r="L39" s="7">
        <v>1000</v>
      </c>
      <c r="M39" s="7">
        <v>2500</v>
      </c>
      <c r="N39" s="7"/>
      <c r="O39" s="2"/>
      <c r="P39" s="7">
        <f t="shared" si="3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7"/>
        <v>0</v>
      </c>
      <c r="D40" s="6">
        <f>TONT20000DEC2016!F40+TONT20000DEC2016!E40+TONT20000JANV2017!J40</f>
        <v>396714.2874697615</v>
      </c>
      <c r="E40" s="6"/>
      <c r="F40" s="7">
        <f t="shared" si="1"/>
        <v>13000</v>
      </c>
      <c r="G40" s="7">
        <f t="shared" si="2"/>
        <v>1000</v>
      </c>
      <c r="H40" s="43" t="s">
        <v>223</v>
      </c>
      <c r="I40" s="7">
        <f t="shared" si="4"/>
        <v>20000</v>
      </c>
      <c r="J40" s="7">
        <v>3000</v>
      </c>
      <c r="K40" s="7">
        <v>500</v>
      </c>
      <c r="L40" s="7">
        <v>1000</v>
      </c>
      <c r="M40" s="7">
        <v>2500</v>
      </c>
      <c r="N40" s="7"/>
      <c r="O40" s="2"/>
      <c r="P40" s="7">
        <f t="shared" si="3"/>
        <v>0</v>
      </c>
      <c r="Q40" s="7"/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7"/>
        <v>0</v>
      </c>
      <c r="D41" s="6">
        <f>TONT20000DEC2016!F41+TONT20000DEC2016!E41+TONT20000JANV2017!J41</f>
        <v>431160.08520802547</v>
      </c>
      <c r="E41" s="6"/>
      <c r="F41" s="7">
        <f t="shared" si="1"/>
        <v>13000</v>
      </c>
      <c r="G41" s="7">
        <f t="shared" si="2"/>
        <v>0</v>
      </c>
      <c r="H41" s="43" t="s">
        <v>217</v>
      </c>
      <c r="I41" s="7">
        <f t="shared" si="4"/>
        <v>20000</v>
      </c>
      <c r="J41" s="7">
        <v>3000</v>
      </c>
      <c r="K41" s="7">
        <v>500</v>
      </c>
      <c r="L41" s="7">
        <v>1000</v>
      </c>
      <c r="M41" s="7">
        <v>2500</v>
      </c>
      <c r="N41" s="7"/>
      <c r="O41" s="2"/>
      <c r="P41" s="7">
        <f t="shared" si="3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7"/>
        <v>0</v>
      </c>
      <c r="D42" s="6">
        <f>TONT20000DEC2016!F42+TONT20000DEC2016!E42+TONT20000JANV2017!J42</f>
        <v>430773.86322676222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4"/>
        <v>20000</v>
      </c>
      <c r="J42" s="7">
        <v>3000</v>
      </c>
      <c r="K42" s="7">
        <v>500</v>
      </c>
      <c r="L42" s="7">
        <v>1000</v>
      </c>
      <c r="M42" s="7">
        <v>2500</v>
      </c>
      <c r="N42" s="7"/>
      <c r="O42" s="2"/>
      <c r="P42" s="7">
        <f t="shared" si="3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7"/>
        <v>0</v>
      </c>
      <c r="D43" s="6">
        <f>TONT20000DEC2016!F43+TONT20000DEC2016!E43+TONT20000JANV2017!J43</f>
        <v>547282.07887322083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4"/>
        <v>30000</v>
      </c>
      <c r="J43" s="7">
        <v>13000</v>
      </c>
      <c r="K43" s="7">
        <v>500</v>
      </c>
      <c r="L43" s="7">
        <v>1000</v>
      </c>
      <c r="M43" s="7">
        <v>2500</v>
      </c>
      <c r="N43" s="7"/>
      <c r="O43" s="2"/>
      <c r="P43" s="7">
        <f t="shared" si="3"/>
        <v>0</v>
      </c>
      <c r="Q43" s="7"/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7"/>
        <v>0</v>
      </c>
      <c r="D44" s="6">
        <f>TONT20000DEC2016!F44+TONT20000DEC2016!E44+TONT20000JANV2017!J44</f>
        <v>397847.93903652654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4"/>
        <v>20000</v>
      </c>
      <c r="J44" s="7">
        <v>3000</v>
      </c>
      <c r="K44" s="7">
        <v>500</v>
      </c>
      <c r="L44" s="7">
        <v>1000</v>
      </c>
      <c r="M44" s="7">
        <v>2500</v>
      </c>
      <c r="N44" s="7"/>
      <c r="O44" s="2"/>
      <c r="P44" s="7">
        <f t="shared" si="3"/>
        <v>0</v>
      </c>
      <c r="Q44" s="7"/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7"/>
        <v>0</v>
      </c>
      <c r="D45" s="6">
        <f>TONT20000DEC2016!F45+TONT20000DEC2016!E45+TONT20000JANV2017!J45</f>
        <v>17853.261170157552</v>
      </c>
      <c r="E45" s="6"/>
      <c r="F45" s="7">
        <f t="shared" si="1"/>
        <v>0</v>
      </c>
      <c r="G45" s="7">
        <f t="shared" si="2"/>
        <v>0</v>
      </c>
      <c r="H45" s="43" t="s">
        <v>216</v>
      </c>
      <c r="I45" s="7">
        <f t="shared" si="4"/>
        <v>0</v>
      </c>
      <c r="J45" s="7"/>
      <c r="K45" s="7"/>
      <c r="L45" s="7"/>
      <c r="M45" s="7"/>
      <c r="N45" s="7"/>
      <c r="O45" s="2"/>
      <c r="P45" s="7">
        <f t="shared" si="3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7"/>
        <v>0</v>
      </c>
      <c r="D46" s="6">
        <f>TONT20000DEC2016!F46+TONT20000DEC2016!E46+TONT20000JANV2017!J46</f>
        <v>428898.78552498139</v>
      </c>
      <c r="E46" s="6"/>
      <c r="F46" s="7">
        <f t="shared" si="1"/>
        <v>13000</v>
      </c>
      <c r="G46" s="7">
        <f t="shared" si="2"/>
        <v>0</v>
      </c>
      <c r="H46" s="43" t="s">
        <v>217</v>
      </c>
      <c r="I46" s="7">
        <f t="shared" si="4"/>
        <v>20000</v>
      </c>
      <c r="J46" s="7">
        <v>3000</v>
      </c>
      <c r="K46" s="7">
        <v>500</v>
      </c>
      <c r="L46" s="7">
        <v>1000</v>
      </c>
      <c r="M46" s="7">
        <v>2500</v>
      </c>
      <c r="N46" s="7"/>
      <c r="O46" s="7"/>
      <c r="P46" s="7">
        <f t="shared" si="3"/>
        <v>0</v>
      </c>
      <c r="Q46" s="7"/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7"/>
        <v>0</v>
      </c>
      <c r="D47" s="6">
        <f>TONT20000DEC2016!F47+TONT20000DEC2016!E47+TONT20000JANV2017!J47</f>
        <v>475899.80936668918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4"/>
        <v>60000</v>
      </c>
      <c r="J47" s="7">
        <v>43000</v>
      </c>
      <c r="K47" s="7">
        <v>500</v>
      </c>
      <c r="L47" s="7">
        <v>1000</v>
      </c>
      <c r="M47" s="7">
        <v>2500</v>
      </c>
      <c r="N47" s="7"/>
      <c r="O47" s="2"/>
      <c r="P47" s="7">
        <f t="shared" si="3"/>
        <v>0</v>
      </c>
      <c r="Q47" s="7">
        <v>229000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7"/>
        <v>0</v>
      </c>
      <c r="D48" s="6">
        <f>TONT20000DEC2016!F48+TONT20000DEC2016!E48+TONT20000JANV2017!J48</f>
        <v>6001.7252429789078</v>
      </c>
      <c r="E48" s="6"/>
      <c r="F48" s="7">
        <f t="shared" si="1"/>
        <v>13000</v>
      </c>
      <c r="G48" s="7">
        <f t="shared" si="2"/>
        <v>0</v>
      </c>
      <c r="H48" s="43" t="s">
        <v>217</v>
      </c>
      <c r="I48" s="7">
        <f t="shared" si="4"/>
        <v>20000</v>
      </c>
      <c r="J48" s="7">
        <v>3000</v>
      </c>
      <c r="K48" s="7">
        <v>500</v>
      </c>
      <c r="L48" s="7">
        <v>1000</v>
      </c>
      <c r="M48" s="7">
        <v>2500</v>
      </c>
      <c r="N48" s="7"/>
      <c r="O48" s="2"/>
      <c r="P48" s="7">
        <f t="shared" si="3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7"/>
        <v>0</v>
      </c>
      <c r="D49" s="6">
        <f>TONT20000DEC2016!F49+TONT20000DEC2016!E49+TONT20000JANV2017!J49</f>
        <v>428837.75044504082</v>
      </c>
      <c r="E49" s="6"/>
      <c r="F49" s="7">
        <f t="shared" si="1"/>
        <v>13000</v>
      </c>
      <c r="G49" s="7">
        <f t="shared" si="2"/>
        <v>0</v>
      </c>
      <c r="H49" s="43" t="s">
        <v>217</v>
      </c>
      <c r="I49" s="7">
        <f t="shared" si="4"/>
        <v>20000</v>
      </c>
      <c r="J49" s="7">
        <v>3000</v>
      </c>
      <c r="K49" s="7">
        <v>500</v>
      </c>
      <c r="L49" s="7">
        <v>1000</v>
      </c>
      <c r="M49" s="7">
        <v>2500</v>
      </c>
      <c r="N49" s="7"/>
      <c r="O49" s="2"/>
      <c r="P49" s="7">
        <f>IF(O49&lt;=500000,(O49*1*3/100),(O49*12/100))</f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7"/>
        <v>0</v>
      </c>
      <c r="D50" s="6">
        <f>TONT20000DEC2016!F50+TONT20000DEC2016!E50+TONT20000JANV2017!J50</f>
        <v>428747.69868775143</v>
      </c>
      <c r="E50" s="6"/>
      <c r="F50" s="7">
        <f>IF(H50="ECHEC",0,13000)</f>
        <v>13000</v>
      </c>
      <c r="G50" s="7">
        <f t="shared" si="2"/>
        <v>0</v>
      </c>
      <c r="H50" s="43" t="s">
        <v>217</v>
      </c>
      <c r="I50" s="7">
        <f t="shared" si="4"/>
        <v>20000</v>
      </c>
      <c r="J50" s="7">
        <v>3000</v>
      </c>
      <c r="K50" s="7">
        <v>500</v>
      </c>
      <c r="L50" s="7">
        <v>1000</v>
      </c>
      <c r="M50" s="7">
        <v>2500</v>
      </c>
      <c r="N50" s="7"/>
      <c r="O50" s="2"/>
      <c r="P50" s="7">
        <f t="shared" si="3"/>
        <v>0</v>
      </c>
      <c r="Q50" s="7"/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7"/>
        <v>0</v>
      </c>
      <c r="D51" s="6">
        <f>TONT20000DEC2016!F51+TONT20000DEC2016!E51+TONT20000JANV2017!J51</f>
        <v>820451.83081979805</v>
      </c>
      <c r="E51" s="6"/>
      <c r="F51" s="7">
        <f t="shared" si="1"/>
        <v>13000</v>
      </c>
      <c r="G51" s="7">
        <f t="shared" si="2"/>
        <v>1000</v>
      </c>
      <c r="H51" s="43" t="s">
        <v>223</v>
      </c>
      <c r="I51" s="7">
        <f t="shared" si="4"/>
        <v>20000</v>
      </c>
      <c r="J51" s="7">
        <v>3000</v>
      </c>
      <c r="K51" s="7">
        <v>500</v>
      </c>
      <c r="L51" s="7">
        <v>1000</v>
      </c>
      <c r="M51" s="7">
        <v>2500</v>
      </c>
      <c r="N51" s="7"/>
      <c r="O51" s="9"/>
      <c r="P51" s="7">
        <f t="shared" si="3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7"/>
        <v>0</v>
      </c>
      <c r="D52" s="6">
        <f>TONT20000DEC2016!F52+TONT20000DEC2016!E52+TONT20000JANV2017!J52</f>
        <v>1510379.4169276815</v>
      </c>
      <c r="E52" s="6"/>
      <c r="F52" s="7">
        <f t="shared" si="1"/>
        <v>13000</v>
      </c>
      <c r="G52" s="7">
        <f t="shared" si="2"/>
        <v>1000</v>
      </c>
      <c r="H52" s="43" t="s">
        <v>223</v>
      </c>
      <c r="I52" s="7">
        <f t="shared" si="4"/>
        <v>220000</v>
      </c>
      <c r="J52" s="7">
        <v>203000</v>
      </c>
      <c r="K52" s="7">
        <v>500</v>
      </c>
      <c r="L52" s="7">
        <v>1000</v>
      </c>
      <c r="M52" s="7">
        <v>2500</v>
      </c>
      <c r="O52" s="2"/>
      <c r="P52" s="7">
        <f t="shared" si="3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21274625.999999996</v>
      </c>
      <c r="E56" s="9">
        <f>SUM(E5:E52)</f>
        <v>0</v>
      </c>
      <c r="F56" s="9">
        <f>SUM(F5:F52)</f>
        <v>494000</v>
      </c>
      <c r="G56" s="9">
        <f>SUM(G5:G52)</f>
        <v>16000</v>
      </c>
      <c r="H56" s="9"/>
      <c r="I56" s="9">
        <f t="shared" ref="I56:T56" si="8">SUM(I5:I52)</f>
        <v>1042000</v>
      </c>
      <c r="J56" s="9">
        <f t="shared" si="8"/>
        <v>396000</v>
      </c>
      <c r="K56" s="9">
        <f t="shared" si="8"/>
        <v>19000</v>
      </c>
      <c r="L56" s="9">
        <f t="shared" si="8"/>
        <v>38000</v>
      </c>
      <c r="M56" s="9">
        <f t="shared" si="8"/>
        <v>95000</v>
      </c>
      <c r="N56" s="9">
        <f t="shared" si="8"/>
        <v>0</v>
      </c>
      <c r="O56" s="9">
        <f t="shared" si="8"/>
        <v>0</v>
      </c>
      <c r="P56" s="9">
        <f t="shared" si="8"/>
        <v>0</v>
      </c>
      <c r="Q56" s="9">
        <f t="shared" si="8"/>
        <v>229000</v>
      </c>
      <c r="R56" s="9">
        <f t="shared" si="8"/>
        <v>0</v>
      </c>
      <c r="S56" s="9">
        <f t="shared" si="8"/>
        <v>0</v>
      </c>
      <c r="T56" s="9">
        <f t="shared" si="8"/>
        <v>0</v>
      </c>
    </row>
    <row r="60" spans="1:22" ht="18" x14ac:dyDescent="0.25">
      <c r="D60" s="9" t="s">
        <v>58</v>
      </c>
      <c r="E60" s="9">
        <f>+K56</f>
        <v>19000</v>
      </c>
    </row>
    <row r="61" spans="1:22" ht="18" x14ac:dyDescent="0.25">
      <c r="D61" s="9" t="s">
        <v>57</v>
      </c>
      <c r="E61" s="9">
        <f>+J56</f>
        <v>396000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38000</v>
      </c>
    </row>
    <row r="64" spans="1:22" ht="18" x14ac:dyDescent="0.25">
      <c r="D64" s="9" t="s">
        <v>60</v>
      </c>
      <c r="E64" s="9">
        <f>+M56</f>
        <v>95000</v>
      </c>
    </row>
    <row r="65" spans="4:6" ht="18" x14ac:dyDescent="0.25">
      <c r="D65" s="9" t="s">
        <v>62</v>
      </c>
      <c r="E65" s="9">
        <f>+F56</f>
        <v>494000</v>
      </c>
    </row>
    <row r="66" spans="4:6" ht="18" x14ac:dyDescent="0.25">
      <c r="D66" s="9" t="s">
        <v>219</v>
      </c>
      <c r="E66" s="9">
        <f>+G56</f>
        <v>16000</v>
      </c>
    </row>
    <row r="67" spans="4:6" ht="18" x14ac:dyDescent="0.25">
      <c r="D67" s="9" t="s">
        <v>8</v>
      </c>
      <c r="E67" s="9">
        <v>12500</v>
      </c>
    </row>
    <row r="68" spans="4:6" ht="18" x14ac:dyDescent="0.25">
      <c r="D68" s="9"/>
      <c r="E68" s="9"/>
    </row>
    <row r="69" spans="4:6" ht="18" x14ac:dyDescent="0.25">
      <c r="D69" s="9" t="s">
        <v>56</v>
      </c>
      <c r="E69" s="9">
        <f>SUM(E60:E67)</f>
        <v>1070500</v>
      </c>
    </row>
    <row r="71" spans="4:6" ht="18" x14ac:dyDescent="0.25">
      <c r="D71" s="9" t="s">
        <v>225</v>
      </c>
    </row>
    <row r="72" spans="4:6" ht="18" x14ac:dyDescent="0.25">
      <c r="E72" s="9" t="s">
        <v>223</v>
      </c>
      <c r="F72" s="9">
        <v>587500</v>
      </c>
    </row>
    <row r="73" spans="4:6" ht="18" x14ac:dyDescent="0.25">
      <c r="E73" s="9" t="s">
        <v>217</v>
      </c>
      <c r="F73" s="9">
        <v>467000</v>
      </c>
    </row>
  </sheetData>
  <autoFilter ref="A4:Q52">
    <sortState ref="A5:L48">
      <sortCondition ref="B5:B48"/>
    </sortState>
  </autoFilter>
  <dataValidations disablePrompts="1"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H5" activePane="bottomRight" state="frozen"/>
      <selection activeCell="B22" sqref="B22"/>
      <selection pane="topRight" activeCell="B22" sqref="B22"/>
      <selection pane="bottomLeft" activeCell="B22" sqref="B22"/>
      <selection pane="bottomRight" activeCell="A9" sqref="A9:XFD9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3977.6927859683024</v>
      </c>
      <c r="D5" s="6">
        <f>TONT20000JANV2017!C5+TONT20000JANV2017!D5+TONT20000FEV2017!J5</f>
        <v>355301.20953536045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5287.1276049291801</v>
      </c>
      <c r="D6" s="6">
        <f>TONT20000JANV2017!C6+TONT20000JANV2017!D6+TONT20000FEV2017!J6</f>
        <v>472264.43420311459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IF(F6=0,0,J6+K6+L6+M6+N6)</f>
        <v>0</v>
      </c>
      <c r="J6" s="7">
        <f>IF($F6&gt;=13000,3000,0)</f>
        <v>0</v>
      </c>
      <c r="K6" s="7">
        <f>IF($F6&gt;=13000,500,0)</f>
        <v>0</v>
      </c>
      <c r="L6" s="7">
        <f>IF($F6&gt;=13000,1000,0)</f>
        <v>0</v>
      </c>
      <c r="M6" s="7">
        <f>IF($F6&gt;=13000,2500,0)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4835.9626031015969</v>
      </c>
      <c r="D7" s="6">
        <f>TONT20000JANV2017!C7+TONT20000JANV2017!D7+TONT20000FEV2017!J7</f>
        <v>431964.82348032692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f t="shared" ref="J7:J52" si="3">IF($F7&gt;=13000,3000,0)</f>
        <v>3000</v>
      </c>
      <c r="K7" s="7">
        <f t="shared" ref="K7:K52" si="4">IF($F7&gt;=13000,500,0)</f>
        <v>500</v>
      </c>
      <c r="L7" s="7">
        <f t="shared" ref="L7:L52" si="5">IF($F7&gt;=13000,1000,0)</f>
        <v>1000</v>
      </c>
      <c r="M7" s="7">
        <f t="shared" ref="M7:M52" si="6">IF($F7&gt;=13000,2500,0)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4871.292789070344</v>
      </c>
      <c r="D8" s="6">
        <f>TONT20000JANV2017!C8+TONT20000JANV2017!D8+TONT20000FEV2017!J8</f>
        <v>435120.63728577876</v>
      </c>
      <c r="E8" s="6"/>
      <c r="F8" s="7">
        <f t="shared" si="1"/>
        <v>13000</v>
      </c>
      <c r="G8" s="7">
        <f t="shared" si="2"/>
        <v>1000</v>
      </c>
      <c r="H8" s="43" t="s">
        <v>223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4912.6492332855669</v>
      </c>
      <c r="D9" s="6">
        <f>TONT20000JANV2017!C9+TONT20000JANV2017!D9+TONT20000FEV2017!J9</f>
        <v>438814.73721817799</v>
      </c>
      <c r="E9" s="6"/>
      <c r="F9" s="7">
        <f t="shared" si="1"/>
        <v>13000</v>
      </c>
      <c r="G9" s="7">
        <f t="shared" si="2"/>
        <v>0</v>
      </c>
      <c r="H9" s="43" t="s">
        <v>217</v>
      </c>
      <c r="I9" s="7">
        <f t="shared" si="8"/>
        <v>27000</v>
      </c>
      <c r="J9" s="7">
        <v>10000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>
        <v>1000000</v>
      </c>
      <c r="P9" s="7">
        <f t="shared" si="7"/>
        <v>120000</v>
      </c>
      <c r="Q9" s="7">
        <v>103000</v>
      </c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4880.4860417301525</v>
      </c>
      <c r="D10" s="6">
        <f>TONT20000JANV2017!C10+TONT20000JANV2017!D10+TONT20000FEV2017!J10</f>
        <v>435941.81025346409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8"/>
        <v>24000</v>
      </c>
      <c r="J10" s="7">
        <v>7000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TONT20000JANV2017!C11+TONT20000JANV2017!D11+TONT20000FEV2017!J11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11924.627246329957</v>
      </c>
      <c r="D12" s="6">
        <f>TONT20000JANV2017!C12+TONT20000JANV2017!D12+TONT20000FEV2017!J12</f>
        <v>1065148.7462342978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8"/>
        <v>20000</v>
      </c>
      <c r="J12" s="7"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4836.2538475008314</v>
      </c>
      <c r="D13" s="6">
        <f>TONT20000JANV2017!C13+TONT20000JANV2017!D13+TONT20000FEV2017!J13</f>
        <v>431990.83843243273</v>
      </c>
      <c r="E13" s="6"/>
      <c r="F13" s="7">
        <f t="shared" si="1"/>
        <v>13000</v>
      </c>
      <c r="G13" s="7">
        <f t="shared" si="2"/>
        <v>1000</v>
      </c>
      <c r="H13" s="43" t="s">
        <v>223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>
        <v>70000</v>
      </c>
      <c r="R13" s="2"/>
      <c r="S13" s="2"/>
      <c r="T13" s="7">
        <v>11000</v>
      </c>
      <c r="U13" s="44">
        <v>42785</v>
      </c>
      <c r="V13" s="1" t="s">
        <v>234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5407.5633417234112</v>
      </c>
      <c r="D14" s="6">
        <f>TONT20000JANV2017!C14+TONT20000JANV2017!D14+TONT20000FEV2017!J14</f>
        <v>483022.16871323617</v>
      </c>
      <c r="E14" s="6"/>
      <c r="F14" s="7">
        <f t="shared" si="1"/>
        <v>13000</v>
      </c>
      <c r="G14" s="7">
        <f t="shared" si="2"/>
        <v>0</v>
      </c>
      <c r="H14" s="43" t="s">
        <v>217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4833.744664984345</v>
      </c>
      <c r="D15" s="6">
        <f>TONT20000JANV2017!C15+TONT20000JANV2017!D15+TONT20000FEV2017!J15</f>
        <v>431766.70961429027</v>
      </c>
      <c r="E15" s="6"/>
      <c r="F15" s="7">
        <f t="shared" si="1"/>
        <v>13000</v>
      </c>
      <c r="G15" s="7">
        <f t="shared" si="2"/>
        <v>1000</v>
      </c>
      <c r="H15" s="43" t="s">
        <v>223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5544.8066640091074</v>
      </c>
      <c r="D16" s="6">
        <f>TONT20000JANV2017!C16+TONT20000JANV2017!D16+TONT20000FEV2017!J16</f>
        <v>495281.21460556204</v>
      </c>
      <c r="E16" s="6"/>
      <c r="F16" s="7">
        <v>13000</v>
      </c>
      <c r="G16" s="7">
        <f t="shared" si="2"/>
        <v>0</v>
      </c>
      <c r="H16" s="43" t="s">
        <v>217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562.99782713671721</v>
      </c>
      <c r="D17" s="6">
        <f>TONT20000JANV2017!C17+TONT20000JANV2017!D17+TONT20000FEV2017!J17</f>
        <v>50288.903570706636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6067.7583862510019</v>
      </c>
      <c r="D18" s="6">
        <f>TONT20000JANV2017!C18+TONT20000JANV2017!D18+TONT20000FEV2017!J18</f>
        <v>541993.06226171879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1222.9302083909286</v>
      </c>
      <c r="D19" s="6">
        <f>TONT20000JANV2017!C19+TONT20000JANV2017!D19+TONT20000FEV2017!J19</f>
        <v>109236.3351316116</v>
      </c>
      <c r="E19" s="6"/>
      <c r="F19" s="7">
        <f t="shared" si="1"/>
        <v>13000</v>
      </c>
      <c r="G19" s="7">
        <f t="shared" si="2"/>
        <v>0</v>
      </c>
      <c r="H19" s="43" t="s">
        <v>217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24009.942989084029</v>
      </c>
      <c r="D20" s="6">
        <f>TONT20000JANV2017!C20+TONT20000JANV2017!D20+TONT20000FEV2017!J20</f>
        <v>2144650.7420054395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8"/>
        <v>23000</v>
      </c>
      <c r="J20" s="7"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7"/>
        <v>0</v>
      </c>
      <c r="Q20" s="7"/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4831.8963832199688</v>
      </c>
      <c r="D21" s="6">
        <f>TONT20000JANV2017!C21+TONT20000JANV2017!D21+TONT20000FEV2017!J21</f>
        <v>431601.61472592648</v>
      </c>
      <c r="E21" s="6"/>
      <c r="F21" s="7">
        <f t="shared" si="1"/>
        <v>13000</v>
      </c>
      <c r="G21" s="7">
        <f t="shared" si="2"/>
        <v>1000</v>
      </c>
      <c r="H21" s="43" t="s">
        <v>223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4839.6367632150232</v>
      </c>
      <c r="D22" s="6">
        <f>TONT20000JANV2017!C22+TONT20000JANV2017!D22+TONT20000FEV2017!J22</f>
        <v>432293.01210689259</v>
      </c>
      <c r="E22" s="6"/>
      <c r="F22" s="7">
        <f t="shared" si="1"/>
        <v>13000</v>
      </c>
      <c r="G22" s="7">
        <f t="shared" si="2"/>
        <v>0</v>
      </c>
      <c r="H22" s="43" t="s">
        <v>217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7"/>
      <c r="P22" s="7">
        <f t="shared" si="7"/>
        <v>0</v>
      </c>
      <c r="Q22" s="7"/>
      <c r="R22" s="2"/>
      <c r="S22" s="2"/>
      <c r="T22" s="7"/>
      <c r="U22" s="44"/>
      <c r="V22" s="1" t="s">
        <v>102</v>
      </c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4835.5817450410586</v>
      </c>
      <c r="D23" s="6">
        <f>TONT20000JANV2017!C23+TONT20000JANV2017!D23+TONT20000FEV2017!J23</f>
        <v>431930.80392757314</v>
      </c>
      <c r="E23" s="6"/>
      <c r="F23" s="7">
        <f t="shared" si="1"/>
        <v>13000</v>
      </c>
      <c r="G23" s="7">
        <f t="shared" si="2"/>
        <v>0</v>
      </c>
      <c r="H23" s="43" t="s">
        <v>217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 t="s">
        <v>84</v>
      </c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4848.2620781154474</v>
      </c>
      <c r="D24" s="6">
        <f>TONT20000JANV2017!C24+TONT20000JANV2017!D24+TONT20000FEV2017!J24</f>
        <v>433063.4549192572</v>
      </c>
      <c r="E24" s="6"/>
      <c r="F24" s="7">
        <f t="shared" si="1"/>
        <v>13000</v>
      </c>
      <c r="G24" s="7">
        <f t="shared" si="2"/>
        <v>0</v>
      </c>
      <c r="H24" s="43" t="s">
        <v>217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4835.2008869805204</v>
      </c>
      <c r="D25" s="6">
        <f>TONT20000JANV2017!C25+TONT20000JANV2017!D25+TONT20000FEV2017!J25</f>
        <v>431896.78437481937</v>
      </c>
      <c r="E25" s="6"/>
      <c r="F25" s="7">
        <f t="shared" si="1"/>
        <v>13000</v>
      </c>
      <c r="G25" s="7">
        <f t="shared" si="2"/>
        <v>0</v>
      </c>
      <c r="H25" s="43" t="s">
        <v>217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4836.1978389625174</v>
      </c>
      <c r="D26" s="6">
        <f>TONT20000JANV2017!C26+TONT20000JANV2017!D26+TONT20000FEV2017!J26</f>
        <v>431985.83555702778</v>
      </c>
      <c r="E26" s="6"/>
      <c r="F26" s="7">
        <f t="shared" si="1"/>
        <v>13000</v>
      </c>
      <c r="G26" s="7">
        <f t="shared" si="2"/>
        <v>0</v>
      </c>
      <c r="H26" s="43" t="s">
        <v>217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7"/>
        <v>0</v>
      </c>
      <c r="Q26" s="7">
        <v>100000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5005.0216035289995</v>
      </c>
      <c r="D27" s="6">
        <f>TONT20000JANV2017!C27+TONT20000JANV2017!D27+TONT20000FEV2017!J27</f>
        <v>447065.75524322904</v>
      </c>
      <c r="E27" s="6"/>
      <c r="F27" s="7">
        <f t="shared" si="1"/>
        <v>13000</v>
      </c>
      <c r="G27" s="7">
        <f t="shared" si="2"/>
        <v>0</v>
      </c>
      <c r="H27" s="43" t="s">
        <v>217</v>
      </c>
      <c r="I27" s="7">
        <f t="shared" si="8"/>
        <v>25000</v>
      </c>
      <c r="J27" s="7"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4704.7172184126794</v>
      </c>
      <c r="D28" s="6">
        <f>TONT20000JANV2017!C28+TONT20000JANV2017!D28+TONT20000FEV2017!J28</f>
        <v>420241.53401704715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4942.6569334487313</v>
      </c>
      <c r="D29" s="6">
        <f>TONT20000JANV2017!C29+TONT20000JANV2017!D29+TONT20000FEV2017!J29</f>
        <v>441495.12827325321</v>
      </c>
      <c r="E29" s="6"/>
      <c r="F29" s="7">
        <f t="shared" si="1"/>
        <v>13000</v>
      </c>
      <c r="G29" s="7">
        <f t="shared" si="2"/>
        <v>0</v>
      </c>
      <c r="H29" s="43" t="s">
        <v>217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101.96412085813043</v>
      </c>
      <c r="D30" s="6">
        <f>TONT20000JANV2017!C30+TONT20000JANV2017!D30+TONT20000FEV2017!J30</f>
        <v>9107.7862015641622</v>
      </c>
      <c r="E30" s="6"/>
      <c r="F30" s="7">
        <v>26000</v>
      </c>
      <c r="G30" s="7">
        <f t="shared" si="2"/>
        <v>1000</v>
      </c>
      <c r="H30" s="43" t="s">
        <v>223</v>
      </c>
      <c r="I30" s="7">
        <f t="shared" si="8"/>
        <v>40000</v>
      </c>
      <c r="J30" s="7">
        <v>6000</v>
      </c>
      <c r="K30" s="7">
        <v>1000</v>
      </c>
      <c r="L30" s="7">
        <v>2000</v>
      </c>
      <c r="M30" s="7">
        <v>5000</v>
      </c>
      <c r="N30" s="7"/>
      <c r="O30" s="7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5255.0520918932007</v>
      </c>
      <c r="D31" s="6">
        <f>TONT20000JANV2017!C31+TONT20000JANV2017!D31+TONT20000FEV2017!J31</f>
        <v>469399.33898551686</v>
      </c>
      <c r="E31" s="6"/>
      <c r="F31" s="7">
        <f t="shared" si="1"/>
        <v>13000</v>
      </c>
      <c r="G31" s="7">
        <f t="shared" si="2"/>
        <v>0</v>
      </c>
      <c r="H31" s="43" t="s">
        <v>217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4892.5326409887321</v>
      </c>
      <c r="D32" s="6">
        <f>TONT20000JANV2017!C32+TONT20000JANV2017!D32+TONT20000FEV2017!J32</f>
        <v>437017.85395961953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5710.6300455876471</v>
      </c>
      <c r="D33" s="6">
        <f>TONT20000JANV2017!C33+TONT20000JANV2017!D33+TONT20000FEV2017!J33</f>
        <v>510093.12975696212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8"/>
        <v>23000</v>
      </c>
      <c r="J33" s="7"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6124.6770912652401</v>
      </c>
      <c r="D34" s="6">
        <f>TONT20000JANV2017!C34+TONT20000JANV2017!D34+TONT20000FEV2017!J34</f>
        <v>547077.23688880028</v>
      </c>
      <c r="E34" s="6"/>
      <c r="F34" s="7">
        <f t="shared" si="1"/>
        <v>13000</v>
      </c>
      <c r="G34" s="7">
        <f t="shared" si="2"/>
        <v>1000</v>
      </c>
      <c r="H34" s="43" t="s">
        <v>223</v>
      </c>
      <c r="I34" s="7">
        <f t="shared" si="8"/>
        <v>25000</v>
      </c>
      <c r="J34" s="7"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TONT20000JANV2017!C35+TONT20000JANV2017!D35+TONT20000FEV2017!J35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TONT20000JANV2017!C36+TONT20000JANV2017!D36+TONT20000FEV2017!J36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TONT20000JANV2017!C37+TONT20000JANV2017!D37+TONT20000FEV2017!J37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4833.2069830165265</v>
      </c>
      <c r="D38" s="6">
        <f>TONT20000JANV2017!C38+TONT20000JANV2017!D38+TONT20000FEV2017!J38</f>
        <v>431718.68201040261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7"/>
        <v>0</v>
      </c>
      <c r="Q38" s="7"/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4881.1726952290101</v>
      </c>
      <c r="D39" s="6">
        <f>TONT20000JANV2017!C39+TONT20000JANV2017!D39+TONT20000FEV2017!J39</f>
        <v>436003.14450721454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4474.9091617114118</v>
      </c>
      <c r="D40" s="6">
        <f>TONT20000JANV2017!C40+TONT20000JANV2017!D40+TONT20000FEV2017!J40</f>
        <v>399714.2874697615</v>
      </c>
      <c r="E40" s="6"/>
      <c r="F40" s="7">
        <f t="shared" si="1"/>
        <v>13000</v>
      </c>
      <c r="G40" s="7">
        <f t="shared" si="2"/>
        <v>1000</v>
      </c>
      <c r="H40" s="43" t="s">
        <v>223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7"/>
      <c r="P40" s="7">
        <f t="shared" si="7"/>
        <v>0</v>
      </c>
      <c r="Q40" s="7"/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4860.5391497139717</v>
      </c>
      <c r="D41" s="6">
        <f>TONT20000JANV2017!C41+TONT20000JANV2017!D41+TONT20000FEV2017!J41</f>
        <v>434160.08520802547</v>
      </c>
      <c r="E41" s="6"/>
      <c r="F41" s="7">
        <f t="shared" si="1"/>
        <v>13000</v>
      </c>
      <c r="G41" s="7">
        <f t="shared" si="2"/>
        <v>0</v>
      </c>
      <c r="H41" s="43" t="s">
        <v>217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4856.215290556097</v>
      </c>
      <c r="D42" s="6">
        <f>TONT20000JANV2017!C42+TONT20000JANV2017!D42+TONT20000FEV2017!J42</f>
        <v>433773.86322676222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6272.5088556714727</v>
      </c>
      <c r="D43" s="6">
        <f>TONT20000JANV2017!C43+TONT20000JANV2017!D43+TONT20000FEV2017!J43</f>
        <v>560282.07887322083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8"/>
        <v>30000</v>
      </c>
      <c r="J43" s="7">
        <v>13000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7"/>
        <v>0</v>
      </c>
      <c r="Q43" s="7"/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4487.6006964934631</v>
      </c>
      <c r="D44" s="6">
        <f>TONT20000JANV2017!C44+TONT20000JANV2017!D44+TONT20000FEV2017!J44</f>
        <v>400847.93903652654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7"/>
        <v>0</v>
      </c>
      <c r="Q44" s="7"/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267.04368668610101</v>
      </c>
      <c r="D45" s="6">
        <f>TONT20000JANV2017!C45+TONT20000JANV2017!D45+TONT20000FEV2017!J45</f>
        <v>23853.261170157552</v>
      </c>
      <c r="E45" s="6"/>
      <c r="F45" s="7">
        <v>26000</v>
      </c>
      <c r="G45" s="7">
        <f t="shared" si="2"/>
        <v>0</v>
      </c>
      <c r="H45" s="43" t="s">
        <v>217</v>
      </c>
      <c r="I45" s="7">
        <f t="shared" si="8"/>
        <v>40000</v>
      </c>
      <c r="J45" s="7">
        <v>6000</v>
      </c>
      <c r="K45" s="7">
        <v>1000</v>
      </c>
      <c r="L45" s="7">
        <v>2000</v>
      </c>
      <c r="M45" s="7">
        <v>5000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4835.2232903958466</v>
      </c>
      <c r="D46" s="6">
        <f>TONT20000JANV2017!C46+TONT20000JANV2017!D46+TONT20000FEV2017!J46</f>
        <v>431898.78552498139</v>
      </c>
      <c r="E46" s="6"/>
      <c r="F46" s="7">
        <f t="shared" si="1"/>
        <v>13000</v>
      </c>
      <c r="G46" s="7">
        <f t="shared" si="2"/>
        <v>0</v>
      </c>
      <c r="H46" s="43" t="s">
        <v>217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5361.4124179610844</v>
      </c>
      <c r="D47" s="6">
        <f>TONT20000JANV2017!C47+TONT20000JANV2017!D47+TONT20000FEV2017!J47</f>
        <v>478899.80936668918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100.77673984586437</v>
      </c>
      <c r="D48" s="6">
        <f>TONT20000JANV2017!C48+TONT20000JANV2017!D48+TONT20000FEV2017!J48</f>
        <v>9001.7252429789078</v>
      </c>
      <c r="E48" s="6"/>
      <c r="F48" s="7">
        <f t="shared" si="1"/>
        <v>13000</v>
      </c>
      <c r="G48" s="7">
        <f t="shared" si="2"/>
        <v>0</v>
      </c>
      <c r="H48" s="43" t="s">
        <v>217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4834.5399862284103</v>
      </c>
      <c r="D49" s="6">
        <f>TONT20000JANV2017!C49+TONT20000JANV2017!D49+TONT20000FEV2017!J49</f>
        <v>431837.75044504082</v>
      </c>
      <c r="E49" s="6"/>
      <c r="F49" s="7">
        <f t="shared" si="1"/>
        <v>13000</v>
      </c>
      <c r="G49" s="7">
        <f t="shared" si="2"/>
        <v>0</v>
      </c>
      <c r="H49" s="43" t="s">
        <v>217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>
        <v>1000000</v>
      </c>
      <c r="P49" s="7">
        <f t="shared" si="7"/>
        <v>120000</v>
      </c>
      <c r="Q49" s="7">
        <v>1176000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4833.5318325387498</v>
      </c>
      <c r="D50" s="6">
        <f>TONT20000JANV2017!C50+TONT20000JANV2017!D50+TONT20000FEV2017!J50</f>
        <v>431747.69868775143</v>
      </c>
      <c r="E50" s="6"/>
      <c r="F50" s="7">
        <f>IF(H50="ECHEC",0,13000)</f>
        <v>13000</v>
      </c>
      <c r="G50" s="7">
        <f t="shared" si="2"/>
        <v>0</v>
      </c>
      <c r="H50" s="43" t="s">
        <v>217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/>
      <c r="P50" s="7">
        <f t="shared" si="7"/>
        <v>0</v>
      </c>
      <c r="Q50" s="7"/>
      <c r="R50" s="2"/>
      <c r="S50" s="2"/>
      <c r="T50" s="7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9218.7651466982188</v>
      </c>
      <c r="D51" s="6">
        <f>TONT20000JANV2017!C51+TONT20000JANV2017!D51+TONT20000FEV2017!J51</f>
        <v>823451.83081979805</v>
      </c>
      <c r="E51" s="6"/>
      <c r="F51" s="7">
        <f t="shared" si="1"/>
        <v>13000</v>
      </c>
      <c r="G51" s="7">
        <f t="shared" si="2"/>
        <v>1000</v>
      </c>
      <c r="H51" s="43" t="s">
        <v>223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16942.690392240427</v>
      </c>
      <c r="D52" s="6">
        <f>TONT20000JANV2017!C52+TONT20000JANV2017!D52+TONT20000FEV2017!J52</f>
        <v>1513379.4169276815</v>
      </c>
      <c r="E52" s="6"/>
      <c r="F52" s="7">
        <f t="shared" si="1"/>
        <v>13000</v>
      </c>
      <c r="G52" s="7">
        <f t="shared" si="2"/>
        <v>0</v>
      </c>
      <c r="H52" s="43" t="s">
        <v>217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7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239999.99999999991</v>
      </c>
      <c r="D56" s="9">
        <f>SUM(D5:D52)</f>
        <v>21437625.999999996</v>
      </c>
      <c r="E56" s="9">
        <f>SUM(E5:E52)</f>
        <v>0</v>
      </c>
      <c r="F56" s="9">
        <f>SUM(F5:F52)</f>
        <v>546000</v>
      </c>
      <c r="G56" s="9">
        <f>SUM(G5:G52)</f>
        <v>14000</v>
      </c>
      <c r="H56" s="9"/>
      <c r="I56" s="9">
        <f t="shared" ref="I56:T56" si="12">SUM(I5:I52)</f>
        <v>877000</v>
      </c>
      <c r="J56" s="9">
        <f t="shared" si="12"/>
        <v>163000</v>
      </c>
      <c r="K56" s="9">
        <f t="shared" si="12"/>
        <v>21000</v>
      </c>
      <c r="L56" s="9">
        <f t="shared" si="12"/>
        <v>42000</v>
      </c>
      <c r="M56" s="9">
        <f t="shared" si="12"/>
        <v>105000</v>
      </c>
      <c r="N56" s="9">
        <f t="shared" si="12"/>
        <v>0</v>
      </c>
      <c r="O56" s="9">
        <f t="shared" si="12"/>
        <v>2000000</v>
      </c>
      <c r="P56" s="9">
        <f t="shared" si="12"/>
        <v>240000</v>
      </c>
      <c r="Q56" s="9">
        <f t="shared" si="12"/>
        <v>1449000</v>
      </c>
      <c r="R56" s="9">
        <f t="shared" si="12"/>
        <v>0</v>
      </c>
      <c r="S56" s="9">
        <f t="shared" si="12"/>
        <v>0</v>
      </c>
      <c r="T56" s="9">
        <f t="shared" si="12"/>
        <v>11000</v>
      </c>
    </row>
    <row r="60" spans="1:22" ht="18" x14ac:dyDescent="0.25">
      <c r="D60" s="9" t="s">
        <v>58</v>
      </c>
      <c r="E60" s="9">
        <f>+K56</f>
        <v>21000</v>
      </c>
    </row>
    <row r="61" spans="1:22" ht="18" x14ac:dyDescent="0.25">
      <c r="D61" s="9" t="s">
        <v>57</v>
      </c>
      <c r="E61" s="9">
        <f>+J56</f>
        <v>163000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42000</v>
      </c>
    </row>
    <row r="64" spans="1:22" ht="18" x14ac:dyDescent="0.25">
      <c r="D64" s="9" t="s">
        <v>60</v>
      </c>
      <c r="E64" s="9">
        <f>+M56</f>
        <v>105000</v>
      </c>
    </row>
    <row r="65" spans="4:6" ht="18" x14ac:dyDescent="0.25">
      <c r="D65" s="9" t="s">
        <v>62</v>
      </c>
      <c r="E65" s="9">
        <f>+F56+73000</f>
        <v>619000</v>
      </c>
    </row>
    <row r="66" spans="4:6" ht="18" x14ac:dyDescent="0.25">
      <c r="D66" s="9" t="s">
        <v>219</v>
      </c>
      <c r="E66" s="9">
        <f>G56</f>
        <v>14000</v>
      </c>
    </row>
    <row r="67" spans="4:6" ht="18" x14ac:dyDescent="0.25">
      <c r="D67" s="9" t="s">
        <v>8</v>
      </c>
      <c r="E67" s="9">
        <f>Q56</f>
        <v>1449000</v>
      </c>
    </row>
    <row r="68" spans="4:6" ht="18" x14ac:dyDescent="0.25">
      <c r="D68" s="9"/>
      <c r="E68" s="9"/>
    </row>
    <row r="69" spans="4:6" ht="18" x14ac:dyDescent="0.25">
      <c r="D69" s="9" t="s">
        <v>56</v>
      </c>
      <c r="E69" s="9">
        <f>SUM(E60:E67)</f>
        <v>2413000</v>
      </c>
    </row>
    <row r="71" spans="4:6" ht="18" x14ac:dyDescent="0.25">
      <c r="D71" s="9" t="s">
        <v>225</v>
      </c>
    </row>
    <row r="72" spans="4:6" ht="18" x14ac:dyDescent="0.25">
      <c r="E72" s="9" t="s">
        <v>223</v>
      </c>
      <c r="F72" s="9">
        <v>169000</v>
      </c>
    </row>
    <row r="73" spans="4:6" ht="18" x14ac:dyDescent="0.25">
      <c r="E73" s="9" t="s">
        <v>217</v>
      </c>
      <c r="F73" s="9">
        <f>F56-F72</f>
        <v>377000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11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3155.3713912082817</v>
      </c>
      <c r="D5" s="6">
        <f>TONT20000FEV2017!C5+TONT20000FEV2017!D5+TONT20000MARS2017!J5</f>
        <v>359278.90232132876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4194.1024819994836</v>
      </c>
      <c r="D6" s="6">
        <f>TONT20000FEV2017!C6+TONT20000FEV2017!D6+TONT20000MARS2017!J6</f>
        <v>477551.5618080438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3862.5558285563161</v>
      </c>
      <c r="D7" s="6">
        <f>TONT20000FEV2017!C7+TONT20000FEV2017!D7+TONT20000MARS2017!J7</f>
        <v>439800.78608342854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19" si="4">IF(F7=0,0,500)</f>
        <v>500</v>
      </c>
      <c r="L7" s="7">
        <f t="shared" ref="L7:L19" si="5">IF(F7=0,0,1000)</f>
        <v>1000</v>
      </c>
      <c r="M7" s="7">
        <f t="shared" ref="M7:M19" si="6">IF(F7=0,0,2500)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3890.5820900225381</v>
      </c>
      <c r="D8" s="6">
        <f>TONT20000FEV2017!C8+TONT20000FEV2017!D8+TONT20000MARS2017!J8</f>
        <v>442991.93007484911</v>
      </c>
      <c r="E8" s="6"/>
      <c r="F8" s="7">
        <f t="shared" si="1"/>
        <v>13000</v>
      </c>
      <c r="G8" s="7">
        <f t="shared" si="2"/>
        <v>1000</v>
      </c>
      <c r="H8" s="43" t="s">
        <v>223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3923.388781725615</v>
      </c>
      <c r="D9" s="6">
        <f>TONT20000FEV2017!C9+TONT20000FEV2017!D9+TONT20000MARS2017!J9</f>
        <v>446727.38645146356</v>
      </c>
      <c r="E9" s="6"/>
      <c r="F9" s="7">
        <f t="shared" si="1"/>
        <v>13000</v>
      </c>
      <c r="G9" s="7">
        <f t="shared" si="2"/>
        <v>0</v>
      </c>
      <c r="H9" s="43" t="s">
        <v>217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3897.8747915949766</v>
      </c>
      <c r="D10" s="6">
        <f>TONT20000FEV2017!C10+TONT20000FEV2017!D10+TONT20000MARS2017!J10</f>
        <v>443822.29629519425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TONT20000FEV2017!C11+TONT20000FEV2017!D11+TONT20000MARS2017!J11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7" si="9">$P$56/$D$56*D12</f>
        <v>9485.7577248956968</v>
      </c>
      <c r="D12" s="6">
        <f>TONT20000FEV2017!C12+TONT20000FEV2017!D12+TONT20000MARS2017!J12</f>
        <v>1080073.3734806278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>
        <v>10000</v>
      </c>
      <c r="U12" s="44">
        <v>42813</v>
      </c>
      <c r="V12" s="1" t="s">
        <v>236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3862.7868630515991</v>
      </c>
      <c r="D13" s="6">
        <f>TONT20000FEV2017!C13+TONT20000FEV2017!D13+TONT20000MARS2017!J13</f>
        <v>439827.09227993357</v>
      </c>
      <c r="E13" s="6"/>
      <c r="F13" s="7">
        <f t="shared" si="1"/>
        <v>13000</v>
      </c>
      <c r="G13" s="7">
        <f t="shared" si="2"/>
        <v>0</v>
      </c>
      <c r="H13" s="43" t="s">
        <v>217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4315.9876833750732</v>
      </c>
      <c r="D14" s="6">
        <f>TONT20000FEV2017!C14+TONT20000FEV2017!D14+TONT20000MARS2017!J14</f>
        <v>491429.73205495958</v>
      </c>
      <c r="E14" s="6"/>
      <c r="F14" s="7">
        <f t="shared" si="1"/>
        <v>13000</v>
      </c>
      <c r="G14" s="7">
        <f t="shared" si="2"/>
        <v>0</v>
      </c>
      <c r="H14" s="43" t="s">
        <v>217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>
        <v>10000</v>
      </c>
      <c r="U14" s="44">
        <v>42813</v>
      </c>
      <c r="V14" s="1" t="s">
        <v>237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3860.7964120153165</v>
      </c>
      <c r="D15" s="6">
        <f>TONT20000FEV2017!C15+TONT20000FEV2017!D15+TONT20000MARS2017!J15</f>
        <v>439600.45427927462</v>
      </c>
      <c r="E15" s="6"/>
      <c r="F15" s="7">
        <f t="shared" si="1"/>
        <v>13000</v>
      </c>
      <c r="G15" s="7">
        <f t="shared" si="2"/>
        <v>1000</v>
      </c>
      <c r="H15" s="43" t="s">
        <v>223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4424.858246306002</v>
      </c>
      <c r="D16" s="6">
        <f>TONT20000FEV2017!C16+TONT20000FEV2017!D16+TONT20000MARS2017!J16</f>
        <v>503826.02126957115</v>
      </c>
      <c r="E16" s="6"/>
      <c r="F16" s="7">
        <v>13000</v>
      </c>
      <c r="G16" s="7">
        <f t="shared" si="2"/>
        <v>0</v>
      </c>
      <c r="H16" s="43" t="s">
        <v>217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446.60745126578996</v>
      </c>
      <c r="D17" s="6">
        <f>TONT20000FEV2017!C17+TONT20000FEV2017!D17+TONT20000MARS2017!J17</f>
        <v>50851.90139784335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4839.6984544704155</v>
      </c>
      <c r="D18" s="6">
        <f>TONT20000FEV2017!C18+TONT20000FEV2017!D18+TONT20000MARS2017!J18</f>
        <v>551060.82064796984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996.45739732627817</v>
      </c>
      <c r="D19" s="6">
        <f>TONT20000FEV2017!C19+TONT20000FEV2017!D19+TONT20000MARS2017!J19</f>
        <v>113459.26534000253</v>
      </c>
      <c r="E19" s="6"/>
      <c r="F19" s="7">
        <f t="shared" si="1"/>
        <v>13000</v>
      </c>
      <c r="G19" s="7">
        <f t="shared" si="2"/>
        <v>0</v>
      </c>
      <c r="H19" s="43" t="s">
        <v>217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19098.984289592579</v>
      </c>
      <c r="D20" s="6">
        <f>TONT20000FEV2017!C20+TONT20000FEV2017!D20+TONT20000MARS2017!J20</f>
        <v>2174660.6849945234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8"/>
        <v>23000</v>
      </c>
      <c r="J20" s="7">
        <v>6000</v>
      </c>
      <c r="K20" s="7">
        <f t="shared" ref="K20:K52" si="10">IF(F20=0,0,500)</f>
        <v>500</v>
      </c>
      <c r="L20" s="7">
        <f t="shared" ref="L20:L52" si="11">IF(F20=0,0,1000)</f>
        <v>1000</v>
      </c>
      <c r="M20" s="7">
        <f t="shared" ref="M20:M52" si="12">IF(F20=0,0,2500)</f>
        <v>2500</v>
      </c>
      <c r="N20" s="7"/>
      <c r="O20" s="7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3859.3302315644842</v>
      </c>
      <c r="D21" s="6">
        <f>TONT20000FEV2017!C21+TONT20000FEV2017!D21+TONT20000MARS2017!J21</f>
        <v>439433.51110914646</v>
      </c>
      <c r="E21" s="6"/>
      <c r="F21" s="7">
        <f t="shared" si="1"/>
        <v>13000</v>
      </c>
      <c r="G21" s="7">
        <f t="shared" si="2"/>
        <v>1000</v>
      </c>
      <c r="H21" s="43" t="s">
        <v>223</v>
      </c>
      <c r="I21" s="7">
        <f t="shared" si="8"/>
        <v>20000</v>
      </c>
      <c r="J21" s="7">
        <f t="shared" si="3"/>
        <v>3000</v>
      </c>
      <c r="K21" s="7">
        <f t="shared" si="10"/>
        <v>500</v>
      </c>
      <c r="L21" s="7">
        <f t="shared" si="11"/>
        <v>1000</v>
      </c>
      <c r="M21" s="7">
        <f t="shared" si="12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3865.4704175737288</v>
      </c>
      <c r="D22" s="6">
        <f>TONT20000FEV2017!C22+TONT20000FEV2017!D22+TONT20000MARS2017!J22</f>
        <v>440132.6488701076</v>
      </c>
      <c r="E22" s="6"/>
      <c r="F22" s="7">
        <f t="shared" si="1"/>
        <v>13000</v>
      </c>
      <c r="G22" s="7">
        <f t="shared" si="2"/>
        <v>0</v>
      </c>
      <c r="H22" s="43" t="s">
        <v>217</v>
      </c>
      <c r="I22" s="7">
        <f t="shared" si="8"/>
        <v>20000</v>
      </c>
      <c r="J22" s="7">
        <f t="shared" si="3"/>
        <v>3000</v>
      </c>
      <c r="K22" s="7">
        <f t="shared" si="10"/>
        <v>500</v>
      </c>
      <c r="L22" s="7">
        <f t="shared" si="11"/>
        <v>1000</v>
      </c>
      <c r="M22" s="7">
        <f t="shared" si="12"/>
        <v>2500</v>
      </c>
      <c r="N22" s="7"/>
      <c r="O22" s="7"/>
      <c r="P22" s="7">
        <f t="shared" si="7"/>
        <v>0</v>
      </c>
      <c r="Q22" s="7">
        <v>864000</v>
      </c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3862.2537065240231</v>
      </c>
      <c r="D23" s="6">
        <f>TONT20000FEV2017!C23+TONT20000FEV2017!D23+TONT20000MARS2017!J23</f>
        <v>439766.38567261421</v>
      </c>
      <c r="E23" s="6"/>
      <c r="F23" s="7">
        <f t="shared" si="1"/>
        <v>13000</v>
      </c>
      <c r="G23" s="7">
        <f t="shared" si="2"/>
        <v>1000</v>
      </c>
      <c r="H23" s="43" t="s">
        <v>223</v>
      </c>
      <c r="I23" s="7">
        <f t="shared" si="8"/>
        <v>20000</v>
      </c>
      <c r="J23" s="7">
        <f t="shared" si="3"/>
        <v>3000</v>
      </c>
      <c r="K23" s="7">
        <f t="shared" si="10"/>
        <v>500</v>
      </c>
      <c r="L23" s="7">
        <f t="shared" si="11"/>
        <v>1000</v>
      </c>
      <c r="M23" s="7">
        <f t="shared" si="12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3872.3125930109486</v>
      </c>
      <c r="D24" s="6">
        <f>TONT20000FEV2017!C24+TONT20000FEV2017!D24+TONT20000MARS2017!J24</f>
        <v>440911.71699737263</v>
      </c>
      <c r="E24" s="6"/>
      <c r="F24" s="7">
        <f t="shared" si="1"/>
        <v>13000</v>
      </c>
      <c r="G24" s="7">
        <f t="shared" si="2"/>
        <v>0</v>
      </c>
      <c r="H24" s="43" t="s">
        <v>217</v>
      </c>
      <c r="I24" s="7">
        <f t="shared" si="8"/>
        <v>20000</v>
      </c>
      <c r="J24" s="7">
        <f t="shared" si="3"/>
        <v>3000</v>
      </c>
      <c r="K24" s="7">
        <f t="shared" si="10"/>
        <v>500</v>
      </c>
      <c r="L24" s="7">
        <f t="shared" si="11"/>
        <v>1000</v>
      </c>
      <c r="M24" s="7">
        <f t="shared" si="12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3861.95158449173</v>
      </c>
      <c r="D25" s="6">
        <f>TONT20000FEV2017!C25+TONT20000FEV2017!D25+TONT20000MARS2017!J25</f>
        <v>439731.98526179988</v>
      </c>
      <c r="E25" s="6"/>
      <c r="F25" s="7">
        <f t="shared" si="1"/>
        <v>13000</v>
      </c>
      <c r="G25" s="7">
        <f t="shared" si="2"/>
        <v>0</v>
      </c>
      <c r="H25" s="43" t="s">
        <v>217</v>
      </c>
      <c r="I25" s="7">
        <f t="shared" si="8"/>
        <v>20000</v>
      </c>
      <c r="J25" s="7">
        <f t="shared" si="3"/>
        <v>3000</v>
      </c>
      <c r="K25" s="7">
        <f t="shared" si="10"/>
        <v>500</v>
      </c>
      <c r="L25" s="7">
        <f t="shared" si="11"/>
        <v>1000</v>
      </c>
      <c r="M25" s="7">
        <f t="shared" si="12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3862.7424333409676</v>
      </c>
      <c r="D26" s="6">
        <f>TONT20000FEV2017!C26+TONT20000FEV2017!D26+TONT20000MARS2017!J26</f>
        <v>439822.03339599032</v>
      </c>
      <c r="E26" s="6"/>
      <c r="F26" s="7">
        <f t="shared" si="1"/>
        <v>13000</v>
      </c>
      <c r="G26" s="7">
        <f t="shared" si="2"/>
        <v>1000</v>
      </c>
      <c r="H26" s="43" t="s">
        <v>223</v>
      </c>
      <c r="I26" s="7">
        <f t="shared" si="8"/>
        <v>20000</v>
      </c>
      <c r="J26" s="7">
        <f t="shared" si="3"/>
        <v>3000</v>
      </c>
      <c r="K26" s="7">
        <f t="shared" si="10"/>
        <v>500</v>
      </c>
      <c r="L26" s="7">
        <f t="shared" si="11"/>
        <v>1000</v>
      </c>
      <c r="M26" s="7">
        <f t="shared" si="12"/>
        <v>2500</v>
      </c>
      <c r="N26" s="7"/>
      <c r="O26" s="7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4040.5772724580311</v>
      </c>
      <c r="D27" s="6">
        <f>TONT20000FEV2017!C27+TONT20000FEV2017!D27+TONT20000MARS2017!J27</f>
        <v>460070.77684675803</v>
      </c>
      <c r="E27" s="6"/>
      <c r="F27" s="7">
        <f t="shared" si="1"/>
        <v>13000</v>
      </c>
      <c r="G27" s="7">
        <f t="shared" si="2"/>
        <v>1000</v>
      </c>
      <c r="H27" s="43" t="s">
        <v>223</v>
      </c>
      <c r="I27" s="7">
        <f t="shared" si="8"/>
        <v>25000</v>
      </c>
      <c r="J27" s="7">
        <v>8000</v>
      </c>
      <c r="K27" s="7">
        <f t="shared" si="10"/>
        <v>500</v>
      </c>
      <c r="L27" s="7">
        <f t="shared" si="11"/>
        <v>1000</v>
      </c>
      <c r="M27" s="7">
        <f t="shared" si="12"/>
        <v>2500</v>
      </c>
      <c r="N27" s="7"/>
      <c r="O27" s="7">
        <v>600000</v>
      </c>
      <c r="P27" s="7">
        <f t="shared" si="7"/>
        <v>72000</v>
      </c>
      <c r="Q27" s="7">
        <v>412000</v>
      </c>
      <c r="R27" s="2"/>
      <c r="S27" s="2"/>
      <c r="T27" s="7"/>
      <c r="U27" s="44"/>
      <c r="V27" s="1"/>
    </row>
    <row r="28" spans="1:22" x14ac:dyDescent="0.25">
      <c r="A28" s="1" t="s">
        <v>33</v>
      </c>
      <c r="B28" s="1" t="str">
        <f>VLOOKUP(A28,LISTADHERENT!A$5:H$51,2)</f>
        <v>NDOMBOU JEAN CLAUDE</v>
      </c>
      <c r="C28" s="6">
        <f t="shared" ref="C28" si="13">$P$56/$D$56*D28</f>
        <v>3732.0956930288858</v>
      </c>
      <c r="D28" s="6">
        <f>TONT20000FEV2017!C28+TONT20000FEV2017!D28+TONT20000MARS2017!J28</f>
        <v>424946.25123545981</v>
      </c>
      <c r="E28" s="6"/>
      <c r="F28" s="7">
        <f t="shared" ref="F28" si="14">IF(H28="ECHEC",0,13000)</f>
        <v>0</v>
      </c>
      <c r="G28" s="7">
        <f t="shared" ref="G28" si="15">IF(H28="ESPECES",1000,0)</f>
        <v>0</v>
      </c>
      <c r="H28" s="43" t="s">
        <v>216</v>
      </c>
      <c r="I28" s="7">
        <f t="shared" ref="I28" si="16">IF(F28=0,0,F28+J28+K28+L28+M28+N28)</f>
        <v>0</v>
      </c>
      <c r="J28" s="7">
        <v>0</v>
      </c>
      <c r="K28" s="7">
        <f t="shared" ref="K28" si="17">IF(F28=0,0,500)</f>
        <v>0</v>
      </c>
      <c r="L28" s="7">
        <f t="shared" ref="L28" si="18">IF(F28=0,0,1000)</f>
        <v>0</v>
      </c>
      <c r="M28" s="7">
        <f t="shared" ref="M28" si="19">IF(F28=0,0,2500)</f>
        <v>0</v>
      </c>
      <c r="N28" s="7">
        <v>50000</v>
      </c>
      <c r="O28" s="7"/>
      <c r="P28" s="7">
        <f t="shared" ref="P28" si="20">IF(O28&lt;=500000,(O28*1*3/100),(O28*12/100))</f>
        <v>0</v>
      </c>
      <c r="Q28" s="7"/>
      <c r="R28" s="2"/>
      <c r="S28" s="2"/>
      <c r="T28" s="7"/>
      <c r="U28" s="44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21">$P$56/$D$56*D29</f>
        <v>3947.1928922252537</v>
      </c>
      <c r="D29" s="6">
        <f>TONT20000FEV2017!C29+TONT20000FEV2017!D29+TONT20000MARS2017!J29</f>
        <v>449437.78520670196</v>
      </c>
      <c r="E29" s="6"/>
      <c r="F29" s="7">
        <f t="shared" si="1"/>
        <v>13000</v>
      </c>
      <c r="G29" s="7">
        <f t="shared" si="2"/>
        <v>1000</v>
      </c>
      <c r="H29" s="43" t="s">
        <v>223</v>
      </c>
      <c r="I29" s="7">
        <f t="shared" si="8"/>
        <v>20000</v>
      </c>
      <c r="J29" s="7">
        <f t="shared" si="3"/>
        <v>3000</v>
      </c>
      <c r="K29" s="7">
        <f t="shared" si="10"/>
        <v>500</v>
      </c>
      <c r="L29" s="7">
        <f t="shared" si="11"/>
        <v>1000</v>
      </c>
      <c r="M29" s="7">
        <f t="shared" si="12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21"/>
        <v>195.05740615565747</v>
      </c>
      <c r="D30" s="6">
        <f>TONT20000FEV2017!C30+TONT20000FEV2017!D30+TONT20000MARS2017!J30</f>
        <v>22209.750322422293</v>
      </c>
      <c r="E30" s="6"/>
      <c r="F30" s="7">
        <f t="shared" si="1"/>
        <v>13000</v>
      </c>
      <c r="G30" s="7">
        <f t="shared" si="2"/>
        <v>0</v>
      </c>
      <c r="H30" s="43" t="s">
        <v>217</v>
      </c>
      <c r="I30" s="7">
        <f t="shared" si="8"/>
        <v>30000</v>
      </c>
      <c r="J30" s="7">
        <v>13000</v>
      </c>
      <c r="K30" s="7">
        <f t="shared" si="10"/>
        <v>500</v>
      </c>
      <c r="L30" s="7">
        <f t="shared" si="11"/>
        <v>1000</v>
      </c>
      <c r="M30" s="7">
        <f t="shared" si="12"/>
        <v>2500</v>
      </c>
      <c r="N30" s="7"/>
      <c r="O30" s="7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21"/>
        <v>4195.0055813260533</v>
      </c>
      <c r="D31" s="6">
        <f>TONT20000FEV2017!C31+TONT20000FEV2017!D31+TONT20000MARS2017!J31</f>
        <v>477654.39107741008</v>
      </c>
      <c r="E31" s="6"/>
      <c r="F31" s="7">
        <f t="shared" si="1"/>
        <v>13000</v>
      </c>
      <c r="G31" s="7">
        <f t="shared" si="2"/>
        <v>0</v>
      </c>
      <c r="H31" s="43" t="s">
        <v>217</v>
      </c>
      <c r="I31" s="7">
        <f t="shared" si="8"/>
        <v>20000</v>
      </c>
      <c r="J31" s="7">
        <f t="shared" si="3"/>
        <v>3000</v>
      </c>
      <c r="K31" s="7">
        <f t="shared" si="10"/>
        <v>500</v>
      </c>
      <c r="L31" s="7">
        <f t="shared" si="11"/>
        <v>1000</v>
      </c>
      <c r="M31" s="7">
        <f t="shared" si="12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21"/>
        <v>3907.4309581234629</v>
      </c>
      <c r="D32" s="6">
        <f>TONT20000FEV2017!C32+TONT20000FEV2017!D32+TONT20000MARS2017!J32</f>
        <v>444910.38660060824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8"/>
        <v>20000</v>
      </c>
      <c r="J32" s="7">
        <f t="shared" si="3"/>
        <v>3000</v>
      </c>
      <c r="K32" s="7">
        <f t="shared" si="10"/>
        <v>500</v>
      </c>
      <c r="L32" s="7">
        <f t="shared" si="11"/>
        <v>1000</v>
      </c>
      <c r="M32" s="7">
        <f t="shared" si="12"/>
        <v>2500</v>
      </c>
      <c r="N32" s="7"/>
      <c r="O32" s="7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21"/>
        <v>4582.7479567205837</v>
      </c>
      <c r="D33" s="6">
        <f>TONT20000FEV2017!C33+TONT20000FEV2017!D33+TONT20000MARS2017!J33</f>
        <v>521803.75980254979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8"/>
        <v>23000</v>
      </c>
      <c r="J33" s="7">
        <v>6000</v>
      </c>
      <c r="K33" s="7">
        <f t="shared" si="10"/>
        <v>500</v>
      </c>
      <c r="L33" s="7">
        <f t="shared" si="11"/>
        <v>1000</v>
      </c>
      <c r="M33" s="7">
        <f t="shared" si="12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21"/>
        <v>4928.7627317461474</v>
      </c>
      <c r="D34" s="6">
        <f>TONT20000FEV2017!C34+TONT20000FEV2017!D34+TONT20000MARS2017!J34</f>
        <v>561201.9139800655</v>
      </c>
      <c r="E34" s="6"/>
      <c r="F34" s="7">
        <f t="shared" si="1"/>
        <v>13000</v>
      </c>
      <c r="G34" s="7">
        <f t="shared" si="2"/>
        <v>1000</v>
      </c>
      <c r="H34" s="43" t="s">
        <v>223</v>
      </c>
      <c r="I34" s="7">
        <f t="shared" si="8"/>
        <v>25000</v>
      </c>
      <c r="J34" s="7">
        <v>8000</v>
      </c>
      <c r="K34" s="7">
        <f t="shared" si="10"/>
        <v>500</v>
      </c>
      <c r="L34" s="7">
        <f t="shared" si="11"/>
        <v>1000</v>
      </c>
      <c r="M34" s="7">
        <f t="shared" si="12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TONT20000FEV2017!C35+TONT20000FEV2017!D35+TONT20000MARS2017!J35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10"/>
        <v>0</v>
      </c>
      <c r="L35" s="7">
        <f t="shared" si="11"/>
        <v>0</v>
      </c>
      <c r="M35" s="7">
        <f t="shared" si="12"/>
        <v>0</v>
      </c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TONT20000FEV2017!C36+TONT20000FEV2017!D36+TONT20000MARS2017!J36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10"/>
        <v>0</v>
      </c>
      <c r="L36" s="7">
        <f t="shared" si="11"/>
        <v>0</v>
      </c>
      <c r="M36" s="7">
        <f t="shared" si="12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TONT20000FEV2017!C37+TONT20000FEV2017!D37+TONT20000MARS2017!J37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10"/>
        <v>0</v>
      </c>
      <c r="L37" s="7">
        <f t="shared" si="11"/>
        <v>0</v>
      </c>
      <c r="M37" s="7">
        <f t="shared" si="12"/>
        <v>0</v>
      </c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22">$P$56/$D$56*D38</f>
        <v>3860.3698867932558</v>
      </c>
      <c r="D38" s="6">
        <f>TONT20000FEV2017!C38+TONT20000FEV2017!D38+TONT20000MARS2017!J38</f>
        <v>439551.88899341912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8"/>
        <v>20000</v>
      </c>
      <c r="J38" s="7">
        <f t="shared" si="3"/>
        <v>3000</v>
      </c>
      <c r="K38" s="7">
        <f t="shared" si="10"/>
        <v>500</v>
      </c>
      <c r="L38" s="7">
        <f t="shared" si="11"/>
        <v>1000</v>
      </c>
      <c r="M38" s="7">
        <f t="shared" si="12"/>
        <v>2500</v>
      </c>
      <c r="N38" s="7"/>
      <c r="O38" s="7"/>
      <c r="P38" s="7">
        <f t="shared" si="7"/>
        <v>0</v>
      </c>
      <c r="Q38" s="7"/>
      <c r="R38" s="2"/>
      <c r="S38" s="2"/>
      <c r="T38" s="7">
        <v>10000</v>
      </c>
      <c r="U38" s="44">
        <v>42813</v>
      </c>
      <c r="V38" s="1" t="s">
        <v>238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22"/>
        <v>3898.4194909778985</v>
      </c>
      <c r="D39" s="6">
        <f>TONT20000FEV2017!C39+TONT20000FEV2017!D39+TONT20000MARS2017!J39</f>
        <v>443884.31720244355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8"/>
        <v>20000</v>
      </c>
      <c r="J39" s="7">
        <f t="shared" si="3"/>
        <v>3000</v>
      </c>
      <c r="K39" s="7">
        <f t="shared" si="10"/>
        <v>500</v>
      </c>
      <c r="L39" s="7">
        <f t="shared" si="11"/>
        <v>1000</v>
      </c>
      <c r="M39" s="7">
        <f t="shared" si="12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22"/>
        <v>3576.1441419427274</v>
      </c>
      <c r="D40" s="6">
        <f>TONT20000FEV2017!C40+TONT20000FEV2017!D40+TONT20000MARS2017!J40</f>
        <v>407189.19663147291</v>
      </c>
      <c r="E40" s="6"/>
      <c r="F40" s="7">
        <f t="shared" si="1"/>
        <v>13000</v>
      </c>
      <c r="G40" s="7">
        <f t="shared" si="2"/>
        <v>1000</v>
      </c>
      <c r="H40" s="43" t="s">
        <v>223</v>
      </c>
      <c r="I40" s="7">
        <f t="shared" si="8"/>
        <v>20000</v>
      </c>
      <c r="J40" s="7">
        <f t="shared" si="3"/>
        <v>3000</v>
      </c>
      <c r="K40" s="7">
        <f t="shared" si="10"/>
        <v>500</v>
      </c>
      <c r="L40" s="7">
        <f t="shared" si="11"/>
        <v>1000</v>
      </c>
      <c r="M40" s="7">
        <f t="shared" si="12"/>
        <v>2500</v>
      </c>
      <c r="N40" s="7"/>
      <c r="O40" s="7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22"/>
        <v>3882.0515855813287</v>
      </c>
      <c r="D41" s="6">
        <f>TONT20000FEV2017!C41+TONT20000FEV2017!D41+TONT20000MARS2017!J41</f>
        <v>442020.62435773946</v>
      </c>
      <c r="E41" s="6"/>
      <c r="F41" s="7">
        <f t="shared" si="1"/>
        <v>13000</v>
      </c>
      <c r="G41" s="7">
        <f t="shared" si="2"/>
        <v>1000</v>
      </c>
      <c r="H41" s="43" t="s">
        <v>223</v>
      </c>
      <c r="I41" s="7">
        <f t="shared" si="8"/>
        <v>20000</v>
      </c>
      <c r="J41" s="7">
        <f t="shared" si="3"/>
        <v>3000</v>
      </c>
      <c r="K41" s="7">
        <f t="shared" si="10"/>
        <v>500</v>
      </c>
      <c r="L41" s="7">
        <f t="shared" si="11"/>
        <v>1000</v>
      </c>
      <c r="M41" s="7">
        <f t="shared" si="12"/>
        <v>2500</v>
      </c>
      <c r="N41" s="7"/>
      <c r="O41" s="7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22"/>
        <v>3878.6216119205928</v>
      </c>
      <c r="D42" s="6">
        <f>TONT20000FEV2017!C42+TONT20000FEV2017!D42+TONT20000MARS2017!J42</f>
        <v>441630.0785173183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8"/>
        <v>20000</v>
      </c>
      <c r="J42" s="7">
        <f t="shared" si="3"/>
        <v>3000</v>
      </c>
      <c r="K42" s="7">
        <f t="shared" si="10"/>
        <v>500</v>
      </c>
      <c r="L42" s="7">
        <f t="shared" si="11"/>
        <v>1000</v>
      </c>
      <c r="M42" s="7">
        <f t="shared" si="12"/>
        <v>2500</v>
      </c>
      <c r="N42" s="7"/>
      <c r="O42" s="7">
        <v>1000000</v>
      </c>
      <c r="P42" s="7">
        <f t="shared" si="7"/>
        <v>120000</v>
      </c>
      <c r="Q42" s="7">
        <v>563000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22"/>
        <v>5089.9453153186032</v>
      </c>
      <c r="D43" s="6">
        <f>TONT20000FEV2017!C43+TONT20000FEV2017!D43+TONT20000MARS2017!J43</f>
        <v>579554.58772889234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8"/>
        <v>30000</v>
      </c>
      <c r="J43" s="7">
        <v>13000</v>
      </c>
      <c r="K43" s="7">
        <f t="shared" si="10"/>
        <v>500</v>
      </c>
      <c r="L43" s="7">
        <f t="shared" si="11"/>
        <v>1000</v>
      </c>
      <c r="M43" s="7">
        <f t="shared" si="12"/>
        <v>2500</v>
      </c>
      <c r="N43" s="7"/>
      <c r="O43" s="7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22"/>
        <v>3586.2119143717796</v>
      </c>
      <c r="D44" s="6">
        <f>TONT20000FEV2017!C44+TONT20000FEV2017!D44+TONT20000MARS2017!J44</f>
        <v>408335.53973302001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8"/>
        <v>20000</v>
      </c>
      <c r="J44" s="7">
        <f t="shared" si="3"/>
        <v>3000</v>
      </c>
      <c r="K44" s="7">
        <f t="shared" si="10"/>
        <v>500</v>
      </c>
      <c r="L44" s="7">
        <f t="shared" si="11"/>
        <v>1000</v>
      </c>
      <c r="M44" s="7">
        <f t="shared" si="12"/>
        <v>2500</v>
      </c>
      <c r="N44" s="7"/>
      <c r="O44" s="7"/>
      <c r="P44" s="7">
        <f t="shared" si="7"/>
        <v>0</v>
      </c>
      <c r="Q44" s="7"/>
      <c r="R44" s="2"/>
      <c r="S44" s="2"/>
      <c r="T44" s="7">
        <v>10000</v>
      </c>
      <c r="U44" s="44">
        <v>42813</v>
      </c>
      <c r="V44" s="1" t="s">
        <v>239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22"/>
        <v>238.18441192407113</v>
      </c>
      <c r="D45" s="6">
        <f>TONT20000FEV2017!C45+TONT20000FEV2017!D45+TONT20000MARS2017!J45</f>
        <v>27120.304856843653</v>
      </c>
      <c r="E45" s="6"/>
      <c r="F45" s="7">
        <f t="shared" si="1"/>
        <v>13000</v>
      </c>
      <c r="G45" s="7">
        <f t="shared" si="2"/>
        <v>0</v>
      </c>
      <c r="H45" s="43" t="s">
        <v>217</v>
      </c>
      <c r="I45" s="7">
        <f t="shared" si="8"/>
        <v>20000</v>
      </c>
      <c r="J45" s="7">
        <f t="shared" si="3"/>
        <v>3000</v>
      </c>
      <c r="K45" s="7">
        <f t="shared" si="10"/>
        <v>500</v>
      </c>
      <c r="L45" s="7">
        <f t="shared" si="11"/>
        <v>1000</v>
      </c>
      <c r="M45" s="7">
        <f t="shared" si="12"/>
        <v>2500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22"/>
        <v>3861.9693563759834</v>
      </c>
      <c r="D46" s="6">
        <f>TONT20000FEV2017!C46+TONT20000FEV2017!D46+TONT20000MARS2017!J46</f>
        <v>439734.00881537725</v>
      </c>
      <c r="E46" s="6"/>
      <c r="F46" s="7">
        <f t="shared" si="1"/>
        <v>13000</v>
      </c>
      <c r="G46" s="7">
        <f t="shared" si="2"/>
        <v>1000</v>
      </c>
      <c r="H46" s="43" t="s">
        <v>223</v>
      </c>
      <c r="I46" s="7">
        <f t="shared" si="8"/>
        <v>20000</v>
      </c>
      <c r="J46" s="7">
        <f t="shared" si="3"/>
        <v>3000</v>
      </c>
      <c r="K46" s="7">
        <f t="shared" si="10"/>
        <v>500</v>
      </c>
      <c r="L46" s="7">
        <f t="shared" si="11"/>
        <v>1000</v>
      </c>
      <c r="M46" s="7">
        <f t="shared" si="12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22"/>
        <v>4279.3776905090626</v>
      </c>
      <c r="D47" s="6">
        <f>TONT20000FEV2017!C47+TONT20000FEV2017!D47+TONT20000MARS2017!J47</f>
        <v>487261.22178465029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8"/>
        <v>20000</v>
      </c>
      <c r="J47" s="7">
        <f t="shared" si="3"/>
        <v>3000</v>
      </c>
      <c r="K47" s="7">
        <f t="shared" si="10"/>
        <v>500</v>
      </c>
      <c r="L47" s="7">
        <f t="shared" si="11"/>
        <v>1000</v>
      </c>
      <c r="M47" s="7">
        <f t="shared" si="12"/>
        <v>2500</v>
      </c>
      <c r="N47" s="7"/>
      <c r="O47" s="7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22"/>
        <v>106.29037294400503</v>
      </c>
      <c r="D48" s="6">
        <f>TONT20000FEV2017!C48+TONT20000FEV2017!D48+TONT20000MARS2017!J48</f>
        <v>12102.501982824771</v>
      </c>
      <c r="E48" s="6"/>
      <c r="F48" s="7">
        <f t="shared" si="1"/>
        <v>13000</v>
      </c>
      <c r="G48" s="7">
        <f t="shared" si="2"/>
        <v>0</v>
      </c>
      <c r="H48" s="43" t="s">
        <v>217</v>
      </c>
      <c r="I48" s="7">
        <f t="shared" si="8"/>
        <v>20000</v>
      </c>
      <c r="J48" s="7">
        <f t="shared" si="3"/>
        <v>3000</v>
      </c>
      <c r="K48" s="7">
        <f t="shared" si="10"/>
        <v>500</v>
      </c>
      <c r="L48" s="7">
        <f t="shared" si="11"/>
        <v>1000</v>
      </c>
      <c r="M48" s="7">
        <f t="shared" si="12"/>
        <v>2500</v>
      </c>
      <c r="N48" s="7"/>
      <c r="O48" s="7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22"/>
        <v>4107.3376592758341</v>
      </c>
      <c r="D49" s="6">
        <f>TONT20000FEV2017!C49+TONT20000FEV2017!D49+TONT20000MARS2017!J49</f>
        <v>467672.29043126921</v>
      </c>
      <c r="E49" s="6"/>
      <c r="F49" s="7">
        <f t="shared" si="1"/>
        <v>13000</v>
      </c>
      <c r="G49" s="7">
        <f t="shared" si="2"/>
        <v>0</v>
      </c>
      <c r="H49" s="43" t="s">
        <v>217</v>
      </c>
      <c r="I49" s="7">
        <f t="shared" si="8"/>
        <v>48000</v>
      </c>
      <c r="J49" s="7">
        <v>31000</v>
      </c>
      <c r="K49" s="7">
        <f t="shared" si="10"/>
        <v>500</v>
      </c>
      <c r="L49" s="7">
        <f t="shared" si="11"/>
        <v>1000</v>
      </c>
      <c r="M49" s="7">
        <f t="shared" si="12"/>
        <v>2500</v>
      </c>
      <c r="N49" s="7"/>
      <c r="O49" s="7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22"/>
        <v>3860.6275791149178</v>
      </c>
      <c r="D50" s="6">
        <f>TONT20000FEV2017!C50+TONT20000FEV2017!D50+TONT20000MARS2017!J50</f>
        <v>439581.23052029021</v>
      </c>
      <c r="E50" s="6"/>
      <c r="F50" s="7">
        <f>IF(H50="ECHEC",0,13000)</f>
        <v>13000</v>
      </c>
      <c r="G50" s="7">
        <f t="shared" si="2"/>
        <v>0</v>
      </c>
      <c r="H50" s="43" t="s">
        <v>217</v>
      </c>
      <c r="I50" s="7">
        <f t="shared" si="8"/>
        <v>20000</v>
      </c>
      <c r="J50" s="7">
        <f t="shared" si="3"/>
        <v>3000</v>
      </c>
      <c r="K50" s="7">
        <f t="shared" si="10"/>
        <v>500</v>
      </c>
      <c r="L50" s="7">
        <f t="shared" si="11"/>
        <v>1000</v>
      </c>
      <c r="M50" s="7">
        <f t="shared" si="12"/>
        <v>2500</v>
      </c>
      <c r="N50" s="7"/>
      <c r="O50" s="7"/>
      <c r="P50" s="7">
        <f t="shared" si="7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22"/>
        <v>7339.2873167607631</v>
      </c>
      <c r="D51" s="6">
        <f>TONT20000FEV2017!C51+TONT20000FEV2017!D51+TONT20000MARS2017!J51</f>
        <v>835670.59596649627</v>
      </c>
      <c r="E51" s="6"/>
      <c r="F51" s="7">
        <f t="shared" si="1"/>
        <v>13000</v>
      </c>
      <c r="G51" s="7">
        <f t="shared" si="2"/>
        <v>1000</v>
      </c>
      <c r="H51" s="43" t="s">
        <v>223</v>
      </c>
      <c r="I51" s="7">
        <f t="shared" si="8"/>
        <v>20000</v>
      </c>
      <c r="J51" s="7">
        <f t="shared" si="3"/>
        <v>3000</v>
      </c>
      <c r="K51" s="7">
        <f t="shared" si="10"/>
        <v>500</v>
      </c>
      <c r="L51" s="7">
        <f t="shared" si="11"/>
        <v>1000</v>
      </c>
      <c r="M51" s="7">
        <f t="shared" si="12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22"/>
        <v>13466.42032049332</v>
      </c>
      <c r="D52" s="6">
        <f>TONT20000FEV2017!C52+TONT20000FEV2017!D52+TONT20000MARS2017!J52</f>
        <v>1533322.107319922</v>
      </c>
      <c r="E52" s="6"/>
      <c r="F52" s="7">
        <f t="shared" si="1"/>
        <v>13000</v>
      </c>
      <c r="G52" s="7">
        <f t="shared" si="2"/>
        <v>0</v>
      </c>
      <c r="H52" s="43" t="s">
        <v>217</v>
      </c>
      <c r="I52" s="7">
        <f t="shared" si="8"/>
        <v>20000</v>
      </c>
      <c r="J52" s="7">
        <f t="shared" si="3"/>
        <v>3000</v>
      </c>
      <c r="K52" s="7">
        <f t="shared" si="10"/>
        <v>500</v>
      </c>
      <c r="L52" s="7">
        <f t="shared" si="11"/>
        <v>1000</v>
      </c>
      <c r="M52" s="7">
        <f t="shared" si="12"/>
        <v>2500</v>
      </c>
      <c r="O52" s="7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7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192000.00000000006</v>
      </c>
      <c r="D56" s="9">
        <f>SUM(D5:D52)</f>
        <v>21861625.999999993</v>
      </c>
      <c r="E56" s="9">
        <f>SUM(E5:E52)</f>
        <v>0</v>
      </c>
      <c r="F56" s="9">
        <f>SUM(F5:F52)</f>
        <v>520000</v>
      </c>
      <c r="G56" s="9">
        <f>SUM(G5:G52)</f>
        <v>18000</v>
      </c>
      <c r="H56" s="9"/>
      <c r="I56" s="9">
        <f t="shared" ref="I56:T56" si="23">SUM(I5:I52)</f>
        <v>864000</v>
      </c>
      <c r="J56" s="9">
        <f t="shared" si="23"/>
        <v>184000</v>
      </c>
      <c r="K56" s="9">
        <f t="shared" si="23"/>
        <v>20000</v>
      </c>
      <c r="L56" s="9">
        <f t="shared" si="23"/>
        <v>40000</v>
      </c>
      <c r="M56" s="9">
        <f t="shared" si="23"/>
        <v>100000</v>
      </c>
      <c r="N56" s="9">
        <f t="shared" si="23"/>
        <v>50000</v>
      </c>
      <c r="O56" s="9">
        <f t="shared" si="23"/>
        <v>1600000</v>
      </c>
      <c r="P56" s="9">
        <f t="shared" si="23"/>
        <v>192000</v>
      </c>
      <c r="Q56" s="9">
        <f t="shared" si="23"/>
        <v>1839000</v>
      </c>
      <c r="R56" s="9">
        <f t="shared" si="23"/>
        <v>0</v>
      </c>
      <c r="S56" s="9">
        <f t="shared" si="23"/>
        <v>0</v>
      </c>
      <c r="T56" s="9">
        <f t="shared" si="23"/>
        <v>40000</v>
      </c>
    </row>
    <row r="59" spans="1:22" ht="18" x14ac:dyDescent="0.25">
      <c r="D59" s="9" t="s">
        <v>219</v>
      </c>
      <c r="E59" s="9">
        <f>+G56</f>
        <v>18000</v>
      </c>
    </row>
    <row r="60" spans="1:22" ht="18" x14ac:dyDescent="0.25">
      <c r="D60" s="9" t="s">
        <v>58</v>
      </c>
      <c r="E60" s="9">
        <f>+K56</f>
        <v>20000</v>
      </c>
    </row>
    <row r="61" spans="1:22" ht="18" x14ac:dyDescent="0.25">
      <c r="D61" s="9" t="s">
        <v>57</v>
      </c>
      <c r="E61" s="9">
        <f>+J56</f>
        <v>184000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40000</v>
      </c>
    </row>
    <row r="64" spans="1:22" ht="18" x14ac:dyDescent="0.25">
      <c r="D64" s="9" t="s">
        <v>60</v>
      </c>
      <c r="E64" s="9">
        <f>+M56</f>
        <v>100000</v>
      </c>
    </row>
    <row r="65" spans="4:6" ht="18" x14ac:dyDescent="0.25">
      <c r="D65" s="9" t="s">
        <v>62</v>
      </c>
      <c r="E65" s="9">
        <f>+F56</f>
        <v>520000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SUM(E59:E66)</f>
        <v>894500</v>
      </c>
    </row>
    <row r="70" spans="4:6" ht="18" x14ac:dyDescent="0.25">
      <c r="D70" s="9" t="s">
        <v>225</v>
      </c>
    </row>
    <row r="71" spans="4:6" ht="18" x14ac:dyDescent="0.25">
      <c r="E71" s="9" t="s">
        <v>223</v>
      </c>
      <c r="F71" s="9">
        <v>373000</v>
      </c>
    </row>
    <row r="72" spans="4:6" ht="18" x14ac:dyDescent="0.25">
      <c r="E72" s="9" t="s">
        <v>217</v>
      </c>
      <c r="F72" s="9">
        <f>+I56-F71</f>
        <v>491000</v>
      </c>
    </row>
  </sheetData>
  <autoFilter ref="A4:V52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2203.3345791113197</v>
      </c>
      <c r="D5" s="6">
        <f>TONT20000MARS2017!C5+TONT20000MARS2017!D5+TONT20000AVRIL2017!J5</f>
        <v>362434.27371253702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2928.660332242991</v>
      </c>
      <c r="D6" s="6">
        <f>TONT20000MARS2017!C6+TONT20000MARS2017!D6+TONT20000AVRIL2017!J6</f>
        <v>481745.66429004329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2715.3855411496529</v>
      </c>
      <c r="D7" s="6">
        <f>TONT20000MARS2017!C7+TONT20000MARS2017!D7+TONT20000AVRIL2017!J7</f>
        <v>446663.34191198484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2734.9557353853606</v>
      </c>
      <c r="D8" s="6">
        <f>TONT20000MARS2017!C8+TONT20000MARS2017!D8+TONT20000AVRIL2017!J8</f>
        <v>449882.51216487167</v>
      </c>
      <c r="E8" s="6"/>
      <c r="F8" s="7">
        <f t="shared" si="1"/>
        <v>13000</v>
      </c>
      <c r="G8" s="7">
        <f t="shared" si="2"/>
        <v>1000</v>
      </c>
      <c r="H8" s="43" t="s">
        <v>223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2757.8640112406329</v>
      </c>
      <c r="D9" s="6">
        <f>TONT20000MARS2017!C9+TONT20000MARS2017!D9+TONT20000AVRIL2017!J9</f>
        <v>453650.77523318917</v>
      </c>
      <c r="E9" s="6"/>
      <c r="F9" s="7">
        <f t="shared" si="1"/>
        <v>13000</v>
      </c>
      <c r="G9" s="7">
        <f t="shared" si="2"/>
        <v>1000</v>
      </c>
      <c r="H9" s="43" t="s">
        <v>223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2740.0480873013553</v>
      </c>
      <c r="D10" s="6">
        <f>TONT20000MARS2017!C10+TONT20000MARS2017!D10+TONT20000AVRIL2017!J10</f>
        <v>450720.17108678923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TONT20000MARS2017!C11+TONT20000MARS2017!D11+TONT20000AVRIL2017!J11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6641.9582476304886</v>
      </c>
      <c r="D12" s="6">
        <f>TONT20000MARS2017!C12+TONT20000MARS2017!D12+TONT20000AVRIL2017!J12</f>
        <v>1092559.1312055234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2715.5468680520394</v>
      </c>
      <c r="D13" s="6">
        <f>TONT20000MARS2017!C13+TONT20000MARS2017!D13+TONT20000AVRIL2017!J13</f>
        <v>446689.87914298516</v>
      </c>
      <c r="E13" s="6"/>
      <c r="F13" s="7">
        <f t="shared" si="1"/>
        <v>13000</v>
      </c>
      <c r="G13" s="7">
        <f t="shared" si="2"/>
        <v>0</v>
      </c>
      <c r="H13" s="43" t="s">
        <v>217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3032.0082017266004</v>
      </c>
      <c r="D14" s="6">
        <f>TONT20000MARS2017!C14+TONT20000MARS2017!D14+TONT20000AVRIL2017!J14</f>
        <v>498745.71973833465</v>
      </c>
      <c r="E14" s="6"/>
      <c r="F14" s="7">
        <f t="shared" si="1"/>
        <v>13000</v>
      </c>
      <c r="G14" s="7">
        <f t="shared" si="2"/>
        <v>1000</v>
      </c>
      <c r="H14" s="43" t="s">
        <v>223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2714.1569747391677</v>
      </c>
      <c r="D15" s="6">
        <f>TONT20000MARS2017!C15+TONT20000MARS2017!D15+TONT20000AVRIL2017!J15</f>
        <v>446461.25069128996</v>
      </c>
      <c r="E15" s="6"/>
      <c r="F15" s="7">
        <f t="shared" si="1"/>
        <v>13000</v>
      </c>
      <c r="G15" s="7">
        <f t="shared" si="2"/>
        <v>1000</v>
      </c>
      <c r="H15" s="43" t="s">
        <v>223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3108.0304020360145</v>
      </c>
      <c r="D16" s="6">
        <f>TONT20000MARS2017!C16+TONT20000MARS2017!D16+TONT20000AVRIL2017!J16</f>
        <v>511250.87951587717</v>
      </c>
      <c r="E16" s="6"/>
      <c r="F16" s="7">
        <f t="shared" si="1"/>
        <v>13000</v>
      </c>
      <c r="G16" s="7">
        <f t="shared" si="2"/>
        <v>0</v>
      </c>
      <c r="H16" s="43" t="s">
        <v>217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311.85731207567204</v>
      </c>
      <c r="D17" s="6">
        <f>TONT20000MARS2017!C17+TONT20000MARS2017!D17+TONT20000AVRIL2017!J17</f>
        <v>51298.508849109137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3397.7052650334826</v>
      </c>
      <c r="D18" s="6">
        <f>TONT20000MARS2017!C18+TONT20000MARS2017!D18+TONT20000AVRIL2017!J18</f>
        <v>558900.51910244022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714.04465358850041</v>
      </c>
      <c r="D19" s="6">
        <f>TONT20000MARS2017!C19+TONT20000MARS2017!D19+TONT20000AVRIL2017!J19</f>
        <v>117455.7227373288</v>
      </c>
      <c r="E19" s="6"/>
      <c r="F19" s="7">
        <f t="shared" si="1"/>
        <v>13000</v>
      </c>
      <c r="G19" s="7">
        <f t="shared" si="2"/>
        <v>0</v>
      </c>
      <c r="H19" s="43" t="s">
        <v>217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13372.925511212537</v>
      </c>
      <c r="D20" s="6">
        <f>TONT20000MARS2017!C20+TONT20000MARS2017!D20+TONT20000AVRIL2017!J20</f>
        <v>2199759.669284116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8"/>
        <v>23000</v>
      </c>
      <c r="J20" s="7">
        <f>IF(F20=0,0,6000)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2713.1331693970965</v>
      </c>
      <c r="D21" s="6">
        <f>TONT20000MARS2017!C21+TONT20000MARS2017!D21+TONT20000AVRIL2017!J21</f>
        <v>446292.84134071093</v>
      </c>
      <c r="E21" s="6"/>
      <c r="F21" s="7">
        <f t="shared" si="1"/>
        <v>13000</v>
      </c>
      <c r="G21" s="7">
        <f t="shared" si="2"/>
        <v>1000</v>
      </c>
      <c r="H21" s="43" t="s">
        <v>223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2717.4207420720727</v>
      </c>
      <c r="D22" s="6">
        <f>TONT20000MARS2017!C22+TONT20000MARS2017!D22+TONT20000AVRIL2017!J22</f>
        <v>446998.11928768136</v>
      </c>
      <c r="E22" s="6"/>
      <c r="F22" s="7">
        <f t="shared" si="1"/>
        <v>13000</v>
      </c>
      <c r="G22" s="7">
        <f t="shared" si="2"/>
        <v>0</v>
      </c>
      <c r="H22" s="43" t="s">
        <v>217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7">
        <v>500000</v>
      </c>
      <c r="P22" s="7">
        <f t="shared" si="7"/>
        <v>15000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2715.1745752003776</v>
      </c>
      <c r="D23" s="6">
        <f>TONT20000MARS2017!C23+TONT20000MARS2017!D23+TONT20000AVRIL2017!J23</f>
        <v>446628.63937913824</v>
      </c>
      <c r="E23" s="6"/>
      <c r="F23" s="7">
        <f t="shared" si="1"/>
        <v>13000</v>
      </c>
      <c r="G23" s="7">
        <f t="shared" si="2"/>
        <v>1000</v>
      </c>
      <c r="H23" s="43" t="s">
        <v>223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2722.1985003350701</v>
      </c>
      <c r="D24" s="6">
        <f>TONT20000MARS2017!C24+TONT20000MARS2017!D24+TONT20000AVRIL2017!J24</f>
        <v>447784.02959038358</v>
      </c>
      <c r="E24" s="6"/>
      <c r="F24" s="7">
        <f t="shared" si="1"/>
        <v>13000</v>
      </c>
      <c r="G24" s="7">
        <f t="shared" si="2"/>
        <v>1000</v>
      </c>
      <c r="H24" s="43" t="s">
        <v>223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>
        <v>1000000</v>
      </c>
      <c r="P24" s="7">
        <f t="shared" si="7"/>
        <v>120000</v>
      </c>
      <c r="Q24" s="7">
        <v>1120000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2714.9636092511018</v>
      </c>
      <c r="D25" s="6">
        <f>TONT20000MARS2017!C25+TONT20000MARS2017!D25+TONT20000AVRIL2017!J25</f>
        <v>446593.93684629159</v>
      </c>
      <c r="E25" s="6"/>
      <c r="F25" s="7">
        <f t="shared" si="1"/>
        <v>13000</v>
      </c>
      <c r="G25" s="7">
        <f t="shared" si="2"/>
        <v>0</v>
      </c>
      <c r="H25" s="43" t="s">
        <v>217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2715.515843647735</v>
      </c>
      <c r="D26" s="6">
        <f>TONT20000MARS2017!C26+TONT20000MARS2017!D26+TONT20000AVRIL2017!J26</f>
        <v>446684.77582933131</v>
      </c>
      <c r="E26" s="6"/>
      <c r="F26" s="7">
        <f t="shared" si="1"/>
        <v>13000</v>
      </c>
      <c r="G26" s="7">
        <f t="shared" si="2"/>
        <v>0</v>
      </c>
      <c r="H26" s="43" t="s">
        <v>217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2870.0907920948534</v>
      </c>
      <c r="D27" s="6">
        <f>TONT20000MARS2017!C27+TONT20000MARS2017!D27+TONT20000AVRIL2017!J27</f>
        <v>472111.35411921609</v>
      </c>
      <c r="E27" s="6"/>
      <c r="F27" s="7">
        <f t="shared" si="1"/>
        <v>13000</v>
      </c>
      <c r="G27" s="7">
        <f t="shared" si="2"/>
        <v>0</v>
      </c>
      <c r="H27" s="43" t="s">
        <v>217</v>
      </c>
      <c r="I27" s="7">
        <f t="shared" si="8"/>
        <v>25000</v>
      </c>
      <c r="J27" s="7">
        <f>IF(F27=0,0,8000)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2606.0499616351431</v>
      </c>
      <c r="D28" s="6">
        <f>TONT20000MARS2017!C28+TONT20000MARS2017!D28+TONT20000AVRIL2017!J28</f>
        <v>428678.3469284887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2774.4859594318905</v>
      </c>
      <c r="D29" s="6">
        <f>TONT20000MARS2017!C29+TONT20000MARS2017!D29+TONT20000AVRIL2017!J29</f>
        <v>456384.97809892718</v>
      </c>
      <c r="E29" s="6"/>
      <c r="F29" s="7">
        <f t="shared" si="1"/>
        <v>13000</v>
      </c>
      <c r="G29" s="7">
        <f t="shared" si="2"/>
        <v>0</v>
      </c>
      <c r="H29" s="43" t="s">
        <v>217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215.23526551750919</v>
      </c>
      <c r="D30" s="6">
        <f>TONT20000MARS2017!C30+TONT20000MARS2017!D30+TONT20000AVRIL2017!J30</f>
        <v>35404.807728577951</v>
      </c>
      <c r="E30" s="6"/>
      <c r="F30" s="7">
        <f t="shared" si="1"/>
        <v>13000</v>
      </c>
      <c r="G30" s="7">
        <f t="shared" si="2"/>
        <v>0</v>
      </c>
      <c r="H30" s="43" t="s">
        <v>217</v>
      </c>
      <c r="I30" s="7">
        <f t="shared" si="8"/>
        <v>30000</v>
      </c>
      <c r="J30" s="7">
        <f>IF(F30=0,0,13000)</f>
        <v>13000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/>
      <c r="O30" s="7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2947.5287488035947</v>
      </c>
      <c r="D31" s="6">
        <f>TONT20000MARS2017!C31+TONT20000MARS2017!D31+TONT20000AVRIL2017!J31</f>
        <v>484849.39665873611</v>
      </c>
      <c r="E31" s="6"/>
      <c r="F31" s="7">
        <f t="shared" si="1"/>
        <v>13000</v>
      </c>
      <c r="G31" s="7">
        <f t="shared" si="2"/>
        <v>1000</v>
      </c>
      <c r="H31" s="43" t="s">
        <v>223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2746.72097284967</v>
      </c>
      <c r="D32" s="6">
        <f>TONT20000MARS2017!C32+TONT20000MARS2017!D32+TONT20000AVRIL2017!J32</f>
        <v>451817.81755873171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3236.5195211330843</v>
      </c>
      <c r="D33" s="6">
        <f>TONT20000MARS2017!C33+TONT20000MARS2017!D33+TONT20000AVRIL2017!J33</f>
        <v>532386.50775927037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8"/>
        <v>23000</v>
      </c>
      <c r="J33" s="7">
        <f>IF(F33=0,0,6000)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3490.2934536788512</v>
      </c>
      <c r="D34" s="6">
        <f>TONT20000MARS2017!C34+TONT20000MARS2017!D34+TONT20000AVRIL2017!J34</f>
        <v>574130.67671181168</v>
      </c>
      <c r="E34" s="6"/>
      <c r="F34" s="7">
        <f t="shared" si="1"/>
        <v>13000</v>
      </c>
      <c r="G34" s="7">
        <f t="shared" si="2"/>
        <v>1000</v>
      </c>
      <c r="H34" s="43" t="s">
        <v>223</v>
      </c>
      <c r="I34" s="7">
        <f t="shared" si="8"/>
        <v>25000</v>
      </c>
      <c r="J34" s="7">
        <f>IF(F34=0,0,8000)</f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TONT20000MARS2017!C35+TONT20000MARS2017!D35+TONT20000AVRIL2017!J35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TONT20000MARS2017!C36+TONT20000MARS2017!D36+TONT20000AVRIL2017!J36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TONT20000MARS2017!C37+TONT20000MARS2017!D37+TONT20000AVRIL2017!J37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2713.8591404578374</v>
      </c>
      <c r="D38" s="6">
        <f>TONT20000MARS2017!C38+TONT20000MARS2017!D38+TONT20000AVRIL2017!J38</f>
        <v>446412.25888021238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2740.4284403047941</v>
      </c>
      <c r="D39" s="6">
        <f>TONT20000MARS2017!C39+TONT20000MARS2017!D39+TONT20000AVRIL2017!J39</f>
        <v>450782.73669342144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2497.15202140168</v>
      </c>
      <c r="D40" s="6">
        <f>TONT20000MARS2017!C40+TONT20000MARS2017!D40+TONT20000AVRIL2017!J40</f>
        <v>410765.34077341564</v>
      </c>
      <c r="E40" s="6"/>
      <c r="F40" s="7">
        <f t="shared" si="1"/>
        <v>0</v>
      </c>
      <c r="G40" s="7">
        <f t="shared" si="2"/>
        <v>0</v>
      </c>
      <c r="H40" s="43" t="s">
        <v>216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7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2728.999049758766</v>
      </c>
      <c r="D41" s="6">
        <f>TONT20000MARS2017!C41+TONT20000MARS2017!D41+TONT20000AVRIL2017!J41</f>
        <v>448902.67594332079</v>
      </c>
      <c r="E41" s="6"/>
      <c r="F41" s="7">
        <f t="shared" si="1"/>
        <v>13000</v>
      </c>
      <c r="G41" s="7">
        <f t="shared" si="2"/>
        <v>0</v>
      </c>
      <c r="H41" s="43" t="s">
        <v>217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/>
      <c r="P41" s="7">
        <f t="shared" si="7"/>
        <v>0</v>
      </c>
      <c r="Q41" s="7"/>
      <c r="R41" s="2"/>
      <c r="S41" s="2"/>
      <c r="T41" s="7">
        <v>10000</v>
      </c>
      <c r="U41" s="44">
        <v>42841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2726.6039657464057</v>
      </c>
      <c r="D42" s="6">
        <f>TONT20000MARS2017!C42+TONT20000MARS2017!D42+TONT20000AVRIL2017!J42</f>
        <v>448508.70012923889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3633.2404553923893</v>
      </c>
      <c r="D43" s="6">
        <f>TONT20000MARS2017!C43+TONT20000MARS2017!D43+TONT20000AVRIL2017!J43</f>
        <v>597644.53304421098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8"/>
        <v>30000</v>
      </c>
      <c r="J43" s="7">
        <f>IF(F43=0,0,13000)</f>
        <v>13000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2522.4199512522923</v>
      </c>
      <c r="D44" s="6">
        <f>TONT20000MARS2017!C44+TONT20000MARS2017!D44+TONT20000AVRIL2017!J44</f>
        <v>414921.75164739176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184.55735019284975</v>
      </c>
      <c r="D45" s="6">
        <f>TONT20000MARS2017!C45+TONT20000MARS2017!D45+TONT20000AVRIL2017!J45</f>
        <v>30358.489268767724</v>
      </c>
      <c r="E45" s="6"/>
      <c r="F45" s="7">
        <f t="shared" si="1"/>
        <v>13000</v>
      </c>
      <c r="G45" s="7">
        <f t="shared" si="2"/>
        <v>0</v>
      </c>
      <c r="H45" s="43" t="s">
        <v>217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2714.9760190128245</v>
      </c>
      <c r="D46" s="6">
        <f>TONT20000MARS2017!C46+TONT20000MARS2017!D46+TONT20000AVRIL2017!J46</f>
        <v>446595.97817175323</v>
      </c>
      <c r="E46" s="6"/>
      <c r="F46" s="7">
        <f t="shared" si="1"/>
        <v>13000</v>
      </c>
      <c r="G46" s="7">
        <f t="shared" si="2"/>
        <v>0</v>
      </c>
      <c r="H46" s="43" t="s">
        <v>217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3006.4441545125546</v>
      </c>
      <c r="D47" s="6">
        <f>TONT20000MARS2017!C47+TONT20000MARS2017!D47+TONT20000AVRIL2017!J47</f>
        <v>494540.59947515937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92.458303572491602</v>
      </c>
      <c r="D48" s="6">
        <f>TONT20000MARS2017!C48+TONT20000MARS2017!D48+TONT20000AVRIL2017!J48</f>
        <v>15208.792355768777</v>
      </c>
      <c r="E48" s="6"/>
      <c r="F48" s="7">
        <f t="shared" si="1"/>
        <v>13000</v>
      </c>
      <c r="G48" s="7">
        <f t="shared" si="2"/>
        <v>0</v>
      </c>
      <c r="H48" s="43" t="s">
        <v>217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2886.3119409595847</v>
      </c>
      <c r="D49" s="6">
        <f>TONT20000MARS2017!C49+TONT20000MARS2017!D49+TONT20000AVRIL2017!J49</f>
        <v>474779.62809054507</v>
      </c>
      <c r="E49" s="6"/>
      <c r="F49" s="7">
        <f t="shared" si="1"/>
        <v>13000</v>
      </c>
      <c r="G49" s="7">
        <f t="shared" si="2"/>
        <v>1000</v>
      </c>
      <c r="H49" s="43" t="s">
        <v>223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2714.0390820028078</v>
      </c>
      <c r="D50" s="6">
        <f>TONT20000MARS2017!C50+TONT20000MARS2017!D50+TONT20000AVRIL2017!J50</f>
        <v>446441.85809940513</v>
      </c>
      <c r="E50" s="6"/>
      <c r="F50" s="7">
        <f>IF(H50="ECHEC",0,13000)</f>
        <v>13000</v>
      </c>
      <c r="G50" s="7">
        <f t="shared" si="2"/>
        <v>0</v>
      </c>
      <c r="H50" s="43" t="s">
        <v>217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/>
      <c r="P50" s="7">
        <f t="shared" si="7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5143.1196366003414</v>
      </c>
      <c r="D51" s="6">
        <f>TONT20000MARS2017!C51+TONT20000MARS2017!D51+TONT20000AVRIL2017!J51</f>
        <v>846009.88328325702</v>
      </c>
      <c r="E51" s="6"/>
      <c r="F51" s="7">
        <f t="shared" si="1"/>
        <v>13000</v>
      </c>
      <c r="G51" s="7">
        <f t="shared" si="2"/>
        <v>1000</v>
      </c>
      <c r="H51" s="43" t="s">
        <v>223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7"/>
        <v>0</v>
      </c>
      <c r="Q51" s="7"/>
      <c r="R51" s="2"/>
      <c r="S51" s="2"/>
      <c r="T51" s="7">
        <v>10000</v>
      </c>
      <c r="U51" s="44">
        <v>42841</v>
      </c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9421.5776512585053</v>
      </c>
      <c r="D52" s="6">
        <f>TONT20000MARS2017!C52+TONT20000MARS2017!D52+TONT20000AVRIL2017!J52</f>
        <v>1549788.5276404154</v>
      </c>
      <c r="E52" s="6"/>
      <c r="F52" s="7">
        <f t="shared" si="1"/>
        <v>13000</v>
      </c>
      <c r="G52" s="7">
        <f t="shared" si="2"/>
        <v>0</v>
      </c>
      <c r="H52" s="43" t="s">
        <v>217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134999.99999999997</v>
      </c>
      <c r="D56" s="9">
        <f>SUM(D5:D52)</f>
        <v>22206626</v>
      </c>
      <c r="E56" s="9">
        <f>SUM(E5:E52)</f>
        <v>0</v>
      </c>
      <c r="F56" s="9">
        <f>SUM(F5:F52)</f>
        <v>507000</v>
      </c>
      <c r="G56" s="9">
        <f>SUM(G5:G52)</f>
        <v>17000</v>
      </c>
      <c r="H56" s="9"/>
      <c r="I56" s="9">
        <f t="shared" ref="I56:T56" si="12">SUM(I5:I52)</f>
        <v>816000</v>
      </c>
      <c r="J56" s="9">
        <f t="shared" si="12"/>
        <v>153000</v>
      </c>
      <c r="K56" s="9">
        <f t="shared" si="12"/>
        <v>19500</v>
      </c>
      <c r="L56" s="9">
        <f t="shared" si="12"/>
        <v>39000</v>
      </c>
      <c r="M56" s="9">
        <f t="shared" si="12"/>
        <v>97500</v>
      </c>
      <c r="N56" s="9">
        <f t="shared" si="12"/>
        <v>0</v>
      </c>
      <c r="O56" s="9">
        <f t="shared" si="12"/>
        <v>1500000</v>
      </c>
      <c r="P56" s="9">
        <f t="shared" si="12"/>
        <v>135000</v>
      </c>
      <c r="Q56" s="9">
        <f t="shared" si="12"/>
        <v>1120000</v>
      </c>
      <c r="R56" s="9">
        <f t="shared" si="12"/>
        <v>0</v>
      </c>
      <c r="S56" s="9">
        <f t="shared" si="12"/>
        <v>0</v>
      </c>
      <c r="T56" s="9">
        <f t="shared" si="12"/>
        <v>30000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153000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816000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348000</v>
      </c>
      <c r="G71" s="9">
        <f>SUMIFS(F6:F52,H6:H52,"ESPECES")</f>
        <v>221000</v>
      </c>
    </row>
    <row r="72" spans="4:7" ht="18" x14ac:dyDescent="0.25">
      <c r="E72" s="9" t="s">
        <v>217</v>
      </c>
      <c r="F72" s="9">
        <f>SUMIFS(I6:I52,H6:H52,"BANQUE")</f>
        <v>468000</v>
      </c>
      <c r="G72" s="9">
        <f>SUMIFS(F6:F52,H6:H52,"BANQUE")</f>
        <v>286000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17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1.140625" style="2" bestFit="1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8162.1438944322108</v>
      </c>
      <c r="D5" s="6">
        <f>TONT20000AVRIL2017!C5+TONT20000AVRIL2017!D5+TONT20000MAI2017!J5</f>
        <v>364637.60829164833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10849.077246962783</v>
      </c>
      <c r="D6" s="6">
        <f>TONT20000AVRIL2017!C6+TONT20000AVRIL2017!D6+TONT20000MAI2017!J6</f>
        <v>484674.32462228631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10126.164126491682</v>
      </c>
      <c r="D7" s="6">
        <f>TONT20000AVRIL2017!C7+TONT20000AVRIL2017!D7+TONT20000MAI2017!J7</f>
        <v>452378.72745313449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U7" s="44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10198.660942412513</v>
      </c>
      <c r="D8" s="6">
        <f>TONT20000AVRIL2017!C8+TONT20000AVRIL2017!D8+TONT20000MAI2017!J8</f>
        <v>455617.46790025703</v>
      </c>
      <c r="E8" s="6"/>
      <c r="F8" s="7">
        <f t="shared" si="1"/>
        <v>13000</v>
      </c>
      <c r="G8" s="7">
        <f t="shared" si="2"/>
        <v>1000</v>
      </c>
      <c r="H8" s="43" t="s">
        <v>223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U8" s="44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10283.523516474912</v>
      </c>
      <c r="D9" s="6">
        <f>TONT20000AVRIL2017!C9+TONT20000AVRIL2017!D9+TONT20000MAI2017!J9</f>
        <v>459408.63924442983</v>
      </c>
      <c r="E9" s="6"/>
      <c r="F9" s="7">
        <f t="shared" si="1"/>
        <v>13000</v>
      </c>
      <c r="G9" s="7">
        <f t="shared" si="2"/>
        <v>0</v>
      </c>
      <c r="H9" s="43" t="s">
        <v>217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10307.062357524799</v>
      </c>
      <c r="D10" s="6">
        <f>TONT20000AVRIL2017!C10+TONT20000AVRIL2017!D10+TONT20000MAI2017!J10</f>
        <v>460460.2191740906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8"/>
        <v>24000</v>
      </c>
      <c r="J10" s="7">
        <f>IF(F10=0,0,3000)+4000</f>
        <v>7000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>
        <v>140000</v>
      </c>
      <c r="R10" s="2"/>
      <c r="S10" s="2"/>
      <c r="T10" s="7">
        <v>10000</v>
      </c>
      <c r="U10" s="44">
        <v>42876</v>
      </c>
      <c r="V10" s="1"/>
    </row>
    <row r="11" spans="1:22" x14ac:dyDescent="0.25">
      <c r="A11" s="1"/>
      <c r="B11" s="1"/>
      <c r="C11" s="6"/>
      <c r="D11" s="6">
        <f>TONT20000AVRIL2017!C11+TONT20000AVRIL2017!D11+TONT20000MAI2017!J11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24671.958372217752</v>
      </c>
      <c r="D12" s="6">
        <f>TONT20000AVRIL2017!C12+TONT20000AVRIL2017!D12+TONT20000MAI2017!J12</f>
        <v>1102201.0894531538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10126.76175401671</v>
      </c>
      <c r="D13" s="6">
        <f>TONT20000AVRIL2017!C13+TONT20000AVRIL2017!D13+TONT20000MAI2017!J13</f>
        <v>452405.4260110372</v>
      </c>
      <c r="E13" s="6"/>
      <c r="F13" s="7">
        <f t="shared" si="1"/>
        <v>13000</v>
      </c>
      <c r="G13" s="7">
        <f t="shared" si="2"/>
        <v>1000</v>
      </c>
      <c r="H13" s="43" t="s">
        <v>223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11299.077101383293</v>
      </c>
      <c r="D14" s="6">
        <f>TONT20000AVRIL2017!C14+TONT20000AVRIL2017!D14+TONT20000MAI2017!J14</f>
        <v>504777.72794006125</v>
      </c>
      <c r="E14" s="6"/>
      <c r="F14" s="7">
        <f t="shared" si="1"/>
        <v>13000</v>
      </c>
      <c r="G14" s="7">
        <f t="shared" si="2"/>
        <v>0</v>
      </c>
      <c r="H14" s="43" t="s">
        <v>217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10121.612963031843</v>
      </c>
      <c r="D15" s="6">
        <f>TONT20000AVRIL2017!C15+TONT20000AVRIL2017!D15+TONT20000MAI2017!J15</f>
        <v>452175.40766602912</v>
      </c>
      <c r="E15" s="6"/>
      <c r="F15" s="7">
        <f t="shared" si="1"/>
        <v>13000</v>
      </c>
      <c r="G15" s="7">
        <f t="shared" si="2"/>
        <v>1000</v>
      </c>
      <c r="H15" s="43" t="s">
        <v>223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11580.69757971621</v>
      </c>
      <c r="D16" s="6">
        <f>TONT20000AVRIL2017!C16+TONT20000AVRIL2017!D16+TONT20000MAI2017!J16</f>
        <v>517358.9099179132</v>
      </c>
      <c r="E16" s="6"/>
      <c r="F16" s="7">
        <f t="shared" si="1"/>
        <v>13000</v>
      </c>
      <c r="G16" s="7">
        <f t="shared" si="2"/>
        <v>0</v>
      </c>
      <c r="H16" s="43" t="s">
        <v>217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1155.2599772292158</v>
      </c>
      <c r="D17" s="6">
        <f>TONT20000AVRIL2017!C17+TONT20000AVRIL2017!D17+TONT20000MAI2017!J17</f>
        <v>51610.366161184807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12653.783772253933</v>
      </c>
      <c r="D18" s="6">
        <f>TONT20000AVRIL2017!C18+TONT20000AVRIL2017!D18+TONT20000MAI2017!J18</f>
        <v>565298.22436747374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2712.2958647439082</v>
      </c>
      <c r="D19" s="6">
        <f>TONT20000AVRIL2017!C19+TONT20000AVRIL2017!D19+TONT20000MAI2017!J19</f>
        <v>121169.7673909173</v>
      </c>
      <c r="E19" s="6"/>
      <c r="F19" s="7">
        <f t="shared" si="1"/>
        <v>13000</v>
      </c>
      <c r="G19" s="7">
        <f t="shared" si="2"/>
        <v>1000</v>
      </c>
      <c r="H19" s="43" t="s">
        <v>223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49673.646238533256</v>
      </c>
      <c r="D20" s="6">
        <f>TONT20000AVRIL2017!C20+TONT20000AVRIL2017!D20+TONT20000MAI2017!J20</f>
        <v>2219132.5947953286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8"/>
        <v>23000</v>
      </c>
      <c r="J20" s="7">
        <f>IF(F20=0,0,6000)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10117.820326815314</v>
      </c>
      <c r="D21" s="6">
        <f>TONT20000AVRIL2017!C21+TONT20000AVRIL2017!D21+TONT20000MAI2017!J21</f>
        <v>452005.974510108</v>
      </c>
      <c r="E21" s="6"/>
      <c r="F21" s="7">
        <f t="shared" si="1"/>
        <v>13000</v>
      </c>
      <c r="G21" s="7">
        <f t="shared" si="2"/>
        <v>1000</v>
      </c>
      <c r="H21" s="43" t="s">
        <v>223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10066.550640462856</v>
      </c>
      <c r="D22" s="6">
        <f>TONT20000AVRIL2017!C22+TONT20000AVRIL2017!D22+TONT20000MAI2017!J22</f>
        <v>449715.54002975341</v>
      </c>
      <c r="E22" s="6"/>
      <c r="F22" s="7">
        <f t="shared" si="1"/>
        <v>0</v>
      </c>
      <c r="G22" s="7">
        <f t="shared" si="2"/>
        <v>0</v>
      </c>
      <c r="H22" s="43" t="s">
        <v>216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7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10125.382613574335</v>
      </c>
      <c r="D23" s="6">
        <f>TONT20000AVRIL2017!C23+TONT20000AVRIL2017!D23+TONT20000MAI2017!J23</f>
        <v>452343.81395433861</v>
      </c>
      <c r="E23" s="6"/>
      <c r="F23" s="7">
        <f t="shared" si="1"/>
        <v>13000</v>
      </c>
      <c r="G23" s="7">
        <f t="shared" si="2"/>
        <v>1000</v>
      </c>
      <c r="H23" s="43" t="s">
        <v>223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10151.402396587137</v>
      </c>
      <c r="D24" s="6">
        <f>TONT20000AVRIL2017!C24+TONT20000AVRIL2017!D24+TONT20000MAI2017!J24</f>
        <v>453506.22809071862</v>
      </c>
      <c r="E24" s="6"/>
      <c r="F24" s="7">
        <f t="shared" si="1"/>
        <v>13000</v>
      </c>
      <c r="G24" s="7">
        <f t="shared" si="2"/>
        <v>0</v>
      </c>
      <c r="H24" s="43" t="s">
        <v>217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10124.601100656988</v>
      </c>
      <c r="D25" s="6">
        <f>TONT20000AVRIL2017!C25+TONT20000AVRIL2017!D25+TONT20000MAI2017!J25</f>
        <v>452308.90045554267</v>
      </c>
      <c r="E25" s="6"/>
      <c r="F25" s="7">
        <f t="shared" si="1"/>
        <v>13000</v>
      </c>
      <c r="G25" s="7">
        <f t="shared" si="2"/>
        <v>0</v>
      </c>
      <c r="H25" s="43" t="s">
        <v>217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10126.646825646512</v>
      </c>
      <c r="D26" s="6">
        <f>TONT20000AVRIL2017!C26+TONT20000AVRIL2017!D26+TONT20000MAI2017!J26</f>
        <v>452400.29167297902</v>
      </c>
      <c r="E26" s="6"/>
      <c r="F26" s="7">
        <f t="shared" si="1"/>
        <v>13000</v>
      </c>
      <c r="G26" s="7">
        <f t="shared" si="2"/>
        <v>0</v>
      </c>
      <c r="H26" s="43" t="s">
        <v>217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10811.183383349313</v>
      </c>
      <c r="D27" s="6">
        <f>TONT20000AVRIL2017!C27+TONT20000AVRIL2017!D27+TONT20000MAI2017!J27</f>
        <v>482981.44491131097</v>
      </c>
      <c r="E27" s="6"/>
      <c r="F27" s="7">
        <f t="shared" si="1"/>
        <v>13000</v>
      </c>
      <c r="G27" s="7">
        <f t="shared" si="2"/>
        <v>0</v>
      </c>
      <c r="H27" s="43" t="s">
        <v>217</v>
      </c>
      <c r="I27" s="7">
        <f t="shared" si="8"/>
        <v>25000</v>
      </c>
      <c r="J27" s="7">
        <f>IF(F27=0,0,8000)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9653.9830966229747</v>
      </c>
      <c r="D28" s="6">
        <f>TONT20000AVRIL2017!C28+TONT20000AVRIL2017!D28+TONT20000MAI2017!J28</f>
        <v>431284.39689012384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10345.098700847302</v>
      </c>
      <c r="D29" s="6">
        <f>TONT20000AVRIL2017!C29+TONT20000AVRIL2017!D29+TONT20000MAI2017!J29</f>
        <v>462159.4640583591</v>
      </c>
      <c r="E29" s="6"/>
      <c r="F29" s="7">
        <f t="shared" si="1"/>
        <v>13000</v>
      </c>
      <c r="G29" s="7">
        <f t="shared" si="2"/>
        <v>0</v>
      </c>
      <c r="H29" s="43" t="s">
        <v>217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1316.4865852325477</v>
      </c>
      <c r="D30" s="6">
        <f>TONT20000AVRIL2017!C30+TONT20000AVRIL2017!D30+TONT20000MAI2017!J30</f>
        <v>58813.042994095464</v>
      </c>
      <c r="E30" s="6"/>
      <c r="F30" s="7">
        <f t="shared" si="1"/>
        <v>13000</v>
      </c>
      <c r="G30" s="7">
        <f t="shared" si="2"/>
        <v>0</v>
      </c>
      <c r="H30" s="43" t="s">
        <v>217</v>
      </c>
      <c r="I30" s="7">
        <f t="shared" si="8"/>
        <v>69997</v>
      </c>
      <c r="J30" s="7">
        <f>13000+10193</f>
        <v>23193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>
        <v>29804</v>
      </c>
      <c r="O30" s="7"/>
      <c r="P30" s="7">
        <f t="shared" si="7"/>
        <v>0</v>
      </c>
      <c r="Q30" s="7"/>
      <c r="R30" s="2"/>
      <c r="S30" s="2"/>
      <c r="T30" s="7">
        <v>10000</v>
      </c>
      <c r="U30" s="44">
        <v>42876</v>
      </c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10986.12714933443</v>
      </c>
      <c r="D31" s="6">
        <f>TONT20000AVRIL2017!C31+TONT20000AVRIL2017!D31+TONT20000MAI2017!J31</f>
        <v>490796.9254075397</v>
      </c>
      <c r="E31" s="6"/>
      <c r="F31" s="7">
        <f t="shared" si="1"/>
        <v>13000</v>
      </c>
      <c r="G31" s="7">
        <f t="shared" si="2"/>
        <v>0</v>
      </c>
      <c r="H31" s="43" t="s">
        <v>217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10242.24468227947</v>
      </c>
      <c r="D32" s="6">
        <f>TONT20000AVRIL2017!C32+TONT20000AVRIL2017!D32+TONT20000MAI2017!J32</f>
        <v>457564.53853158141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>
        <v>800000</v>
      </c>
      <c r="P32" s="7">
        <f t="shared" si="7"/>
        <v>96000</v>
      </c>
      <c r="Q32" s="7">
        <v>1110000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12123.831948965451</v>
      </c>
      <c r="D33" s="6">
        <f>TONT20000AVRIL2017!C33+TONT20000AVRIL2017!D33+TONT20000MAI2017!J33</f>
        <v>541623.02728040342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8"/>
        <v>23000</v>
      </c>
      <c r="J33" s="7">
        <f>IF(F33=0,0,3000)+3000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13108.693446301342</v>
      </c>
      <c r="D34" s="6">
        <f>TONT20000AVRIL2017!C34+TONT20000AVRIL2017!D34+TONT20000MAI2017!J34</f>
        <v>585620.97016549052</v>
      </c>
      <c r="E34" s="6"/>
      <c r="F34" s="7">
        <f t="shared" si="1"/>
        <v>13000</v>
      </c>
      <c r="G34" s="7">
        <f t="shared" si="2"/>
        <v>1000</v>
      </c>
      <c r="H34" s="43" t="s">
        <v>223</v>
      </c>
      <c r="I34" s="7">
        <f t="shared" si="8"/>
        <v>25000</v>
      </c>
      <c r="J34" s="7"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TONT20000AVRIL2017!C35+TONT20000AVRIL2017!D35+TONT20000MAI2017!J35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TONT20000AVRIL2017!C36+TONT20000AVRIL2017!D36+TONT20000MAI2017!J36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TONT20000AVRIL2017!C37+TONT20000AVRIL2017!D37+TONT20000MAI2017!J37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10120.509650677943</v>
      </c>
      <c r="D38" s="6">
        <f>TONT20000AVRIL2017!C38+TONT20000AVRIL2017!D38+TONT20000MAI2017!J38</f>
        <v>452126.1180206702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10218.93430691542</v>
      </c>
      <c r="D39" s="6">
        <f>TONT20000AVRIL2017!C39+TONT20000AVRIL2017!D39+TONT20000MAI2017!J39</f>
        <v>456523.16513372626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9317.7288540375957</v>
      </c>
      <c r="D40" s="6">
        <f>TONT20000AVRIL2017!C40+TONT20000AVRIL2017!D40+TONT20000MAI2017!J40</f>
        <v>416262.49279481731</v>
      </c>
      <c r="E40" s="6"/>
      <c r="F40" s="7">
        <f t="shared" si="1"/>
        <v>13000</v>
      </c>
      <c r="G40" s="7">
        <f t="shared" si="2"/>
        <v>1000</v>
      </c>
      <c r="H40" s="43" t="s">
        <v>223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7">
        <v>700000</v>
      </c>
      <c r="P40" s="7">
        <f t="shared" si="7"/>
        <v>84000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10176.594695334516</v>
      </c>
      <c r="D41" s="6">
        <f>TONT20000AVRIL2017!C41+TONT20000AVRIL2017!D41+TONT20000MAI2017!J41</f>
        <v>454631.67499307956</v>
      </c>
      <c r="E41" s="6"/>
      <c r="F41" s="7">
        <f t="shared" si="1"/>
        <v>13000</v>
      </c>
      <c r="G41" s="7">
        <f t="shared" si="2"/>
        <v>1000</v>
      </c>
      <c r="H41" s="43" t="s">
        <v>223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>
        <v>1000000</v>
      </c>
      <c r="P41" s="7">
        <f t="shared" si="7"/>
        <v>120000</v>
      </c>
      <c r="Q41" s="7">
        <v>1080000</v>
      </c>
      <c r="R41" s="2"/>
      <c r="S41" s="2"/>
      <c r="T41" s="7"/>
      <c r="U41" s="44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10167.722225155239</v>
      </c>
      <c r="D42" s="6">
        <f>TONT20000AVRIL2017!C42+TONT20000AVRIL2017!D42+TONT20000MAI2017!J42</f>
        <v>454235.3040949853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7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13526.312227141287</v>
      </c>
      <c r="D43" s="6">
        <f>TONT20000AVRIL2017!C43+TONT20000AVRIL2017!D43+TONT20000MAI2017!J43</f>
        <v>604277.77349960338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8"/>
        <v>20000</v>
      </c>
      <c r="J43" s="7">
        <v>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7"/>
        <v>0</v>
      </c>
      <c r="Q43" s="7">
        <v>604200</v>
      </c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9411.3326495348283</v>
      </c>
      <c r="D44" s="6">
        <f>TONT20000AVRIL2017!C44+TONT20000AVRIL2017!D44+TONT20000MAI2017!J44</f>
        <v>420444.17159864405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750.83635625051568</v>
      </c>
      <c r="D45" s="6">
        <f>TONT20000AVRIL2017!C45+TONT20000AVRIL2017!D45+TONT20000MAI2017!J45</f>
        <v>33543.046618960572</v>
      </c>
      <c r="E45" s="6"/>
      <c r="F45" s="7">
        <f t="shared" si="1"/>
        <v>13000</v>
      </c>
      <c r="G45" s="7">
        <f t="shared" si="2"/>
        <v>0</v>
      </c>
      <c r="H45" s="43" t="s">
        <v>217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10124.647072005069</v>
      </c>
      <c r="D46" s="6">
        <f>TONT20000AVRIL2017!C46+TONT20000AVRIL2017!D46+TONT20000MAI2017!J46</f>
        <v>452310.95419076603</v>
      </c>
      <c r="E46" s="6"/>
      <c r="F46" s="7">
        <f t="shared" si="1"/>
        <v>13000</v>
      </c>
      <c r="G46" s="7">
        <f t="shared" si="2"/>
        <v>0</v>
      </c>
      <c r="H46" s="43" t="s">
        <v>217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>
        <v>554100</v>
      </c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11584.908814081098</v>
      </c>
      <c r="D47" s="6">
        <f>TONT20000AVRIL2017!C47+TONT20000AVRIL2017!D47+TONT20000MAI2017!J47</f>
        <v>517547.04362967191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8"/>
        <v>37000</v>
      </c>
      <c r="J47" s="7">
        <f>IF(F47=0,0,3000)+17000</f>
        <v>20000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>
        <v>700000</v>
      </c>
      <c r="P47" s="7">
        <f t="shared" si="7"/>
        <v>84000</v>
      </c>
      <c r="Q47" s="7">
        <v>543500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409.65999648105185</v>
      </c>
      <c r="D48" s="6">
        <f>TONT20000AVRIL2017!C48+TONT20000AVRIL2017!D48+TONT20000MAI2017!J48</f>
        <v>18301.250659341269</v>
      </c>
      <c r="E48" s="6"/>
      <c r="F48" s="7">
        <f t="shared" si="1"/>
        <v>13000</v>
      </c>
      <c r="G48" s="7">
        <f t="shared" si="2"/>
        <v>0</v>
      </c>
      <c r="H48" s="43" t="s">
        <v>217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7"/>
        <v>0</v>
      </c>
      <c r="Q48" s="7"/>
      <c r="R48" s="2"/>
      <c r="S48" s="2"/>
      <c r="T48" s="7"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10759.352514597775</v>
      </c>
      <c r="D49" s="6">
        <f>TONT20000AVRIL2017!C49+TONT20000AVRIL2017!D49+TONT20000MAI2017!J49</f>
        <v>480665.94003150467</v>
      </c>
      <c r="E49" s="6"/>
      <c r="F49" s="7">
        <f t="shared" si="1"/>
        <v>13000</v>
      </c>
      <c r="G49" s="7">
        <f t="shared" si="2"/>
        <v>0</v>
      </c>
      <c r="H49" s="43" t="s">
        <v>217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10121.176235225093</v>
      </c>
      <c r="D50" s="6">
        <f>TONT20000AVRIL2017!C50+TONT20000AVRIL2017!D50+TONT20000MAI2017!J50</f>
        <v>452155.89718140796</v>
      </c>
      <c r="E50" s="6"/>
      <c r="F50" s="7">
        <f>IF(H50="ECHEC",0,13000)</f>
        <v>13000</v>
      </c>
      <c r="G50" s="7">
        <f t="shared" si="2"/>
        <v>0</v>
      </c>
      <c r="H50" s="43" t="s">
        <v>217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>
        <v>1000000</v>
      </c>
      <c r="P50" s="7">
        <f t="shared" si="7"/>
        <v>120000</v>
      </c>
      <c r="Q50" s="7"/>
      <c r="R50" s="2"/>
      <c r="S50" s="2"/>
      <c r="T50" s="7"/>
      <c r="U50" s="44"/>
      <c r="V50" s="1" t="s">
        <v>240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19119.584922565249</v>
      </c>
      <c r="D51" s="6">
        <f>TONT20000AVRIL2017!C51+TONT20000AVRIL2017!D51+TONT20000MAI2017!J51</f>
        <v>854153.00291985739</v>
      </c>
      <c r="E51" s="6"/>
      <c r="F51" s="7">
        <f t="shared" si="1"/>
        <v>13000</v>
      </c>
      <c r="G51" s="7">
        <f t="shared" si="2"/>
        <v>0</v>
      </c>
      <c r="H51" s="43" t="s">
        <v>217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U51" s="44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34968.92087589635</v>
      </c>
      <c r="D52" s="6">
        <f>TONT20000AVRIL2017!C52+TONT20000AVRIL2017!D52+TONT20000MAI2017!J52</f>
        <v>1562210.1052916739</v>
      </c>
      <c r="E52" s="6"/>
      <c r="F52" s="7">
        <f t="shared" si="1"/>
        <v>13000</v>
      </c>
      <c r="G52" s="7">
        <f t="shared" si="2"/>
        <v>0</v>
      </c>
      <c r="H52" s="43" t="s">
        <v>217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7"/>
        <v>0</v>
      </c>
      <c r="Q52" s="7"/>
      <c r="R52" s="2"/>
      <c r="S52" s="2"/>
      <c r="T52" s="7">
        <v>10000</v>
      </c>
      <c r="U52" s="44">
        <v>42876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503999.99999999994</v>
      </c>
      <c r="D56" s="9">
        <f>SUM(D5:D52)</f>
        <v>22515819</v>
      </c>
      <c r="E56" s="9">
        <f>SUM(E5:E52)</f>
        <v>0</v>
      </c>
      <c r="F56" s="9">
        <f>SUM(F5:F52)</f>
        <v>507000</v>
      </c>
      <c r="G56" s="9">
        <f>SUM(G5:G52)</f>
        <v>15000</v>
      </c>
      <c r="H56" s="9"/>
      <c r="I56" s="9">
        <f t="shared" ref="I56:T56" si="12">SUM(I5:I52)</f>
        <v>866997</v>
      </c>
      <c r="J56" s="9">
        <f t="shared" si="12"/>
        <v>174193</v>
      </c>
      <c r="K56" s="9">
        <f t="shared" si="12"/>
        <v>19500</v>
      </c>
      <c r="L56" s="9">
        <f t="shared" si="12"/>
        <v>39000</v>
      </c>
      <c r="M56" s="9">
        <f t="shared" si="12"/>
        <v>97500</v>
      </c>
      <c r="N56" s="9">
        <f t="shared" si="12"/>
        <v>29804</v>
      </c>
      <c r="O56" s="9">
        <f t="shared" si="12"/>
        <v>4200000</v>
      </c>
      <c r="P56" s="9">
        <f t="shared" si="12"/>
        <v>504000</v>
      </c>
      <c r="Q56" s="9">
        <f t="shared" si="12"/>
        <v>4131800</v>
      </c>
      <c r="R56" s="9">
        <f t="shared" si="12"/>
        <v>0</v>
      </c>
      <c r="S56" s="9">
        <f t="shared" si="12"/>
        <v>0</v>
      </c>
      <c r="T56" s="9">
        <f t="shared" si="12"/>
        <v>40000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174193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837193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329000</v>
      </c>
      <c r="G71" s="9">
        <f>SUMIFS(F6:F52,H6:H52,"ESPECES")</f>
        <v>195000</v>
      </c>
    </row>
    <row r="72" spans="4:7" ht="18" x14ac:dyDescent="0.25">
      <c r="E72" s="9" t="s">
        <v>217</v>
      </c>
      <c r="F72" s="9">
        <f>SUMIFS(I6:I52,H6:H52,"BANQUE")</f>
        <v>537997</v>
      </c>
      <c r="G72" s="9">
        <f>SUMIFS(F6:F52,H6:H52,"BANQUE")</f>
        <v>312000</v>
      </c>
    </row>
  </sheetData>
  <autoFilter ref="A4:V71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C47" activePane="bottomRight" state="frozen"/>
      <selection activeCell="B22" sqref="B22"/>
      <selection pane="topRight" activeCell="B22" sqref="B22"/>
      <selection pane="bottomLeft" activeCell="B22" sqref="B22"/>
      <selection pane="bottomRight" activeCell="A20" sqref="A20:XFD2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6471.4638252988734</v>
      </c>
      <c r="D5" s="6">
        <f>TONT20000MAI2017!C5+TONT20000MAI2017!D5+TONT20000JUIN2017!J5</f>
        <v>372799.75218608056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8601.8344995713596</v>
      </c>
      <c r="D6" s="6">
        <f>TONT20000MAI2017!C6+TONT20000MAI2017!D6+TONT20000JUIN2017!J6</f>
        <v>495523.40186924906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 t="shared" ref="K6:K52" si="1">IF(F6=0,0,500)</f>
        <v>0</v>
      </c>
      <c r="L6" s="7">
        <f t="shared" ref="L6:L52" si="2">IF(F6=0,0,1000)</f>
        <v>0</v>
      </c>
      <c r="M6" s="7">
        <f t="shared" ref="M6:M52" si="3"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8080.7405281040965</v>
      </c>
      <c r="D7" s="6">
        <f>TONT20000MAI2017!C7+TONT20000MAI2017!D7+TONT20000JUIN2017!J7</f>
        <v>465504.89157962619</v>
      </c>
      <c r="E7" s="6"/>
      <c r="F7" s="7">
        <f t="shared" ref="F7:F52" si="4">IF(H7="ECHEC",0,13000)</f>
        <v>13000</v>
      </c>
      <c r="G7" s="7">
        <f t="shared" ref="G7:G52" si="5">IF(H7="ESPECES",1000,0)</f>
        <v>1000</v>
      </c>
      <c r="H7" s="43" t="s">
        <v>223</v>
      </c>
      <c r="I7" s="7">
        <f>IF(F7=0,0,F7+J7+K7+L7+M7+N7)</f>
        <v>20000</v>
      </c>
      <c r="J7" s="7">
        <f>IF(F7=0,0,3000)</f>
        <v>3000</v>
      </c>
      <c r="K7" s="7">
        <f t="shared" si="1"/>
        <v>500</v>
      </c>
      <c r="L7" s="7">
        <f t="shared" si="2"/>
        <v>1000</v>
      </c>
      <c r="M7" s="7">
        <f t="shared" si="3"/>
        <v>2500</v>
      </c>
      <c r="N7" s="7"/>
      <c r="O7" s="7"/>
      <c r="P7" s="7">
        <f t="shared" ref="P7:P52" si="6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8138.2205882144117</v>
      </c>
      <c r="D8" s="6">
        <f>TONT20000MAI2017!C8+TONT20000MAI2017!D8+TONT20000JUIN2017!J8</f>
        <v>468816.12884266954</v>
      </c>
      <c r="E8" s="6"/>
      <c r="F8" s="7">
        <f t="shared" si="4"/>
        <v>13000</v>
      </c>
      <c r="G8" s="7">
        <f t="shared" si="5"/>
        <v>1000</v>
      </c>
      <c r="H8" s="43" t="s">
        <v>223</v>
      </c>
      <c r="I8" s="7">
        <f>IF(F8=0,0,F8+J8+K8+L8+M8+N8)</f>
        <v>20000</v>
      </c>
      <c r="J8" s="7">
        <f>IF(F8=0,0,3000)</f>
        <v>3000</v>
      </c>
      <c r="K8" s="7">
        <f t="shared" si="1"/>
        <v>500</v>
      </c>
      <c r="L8" s="7">
        <f t="shared" si="2"/>
        <v>1000</v>
      </c>
      <c r="M8" s="7">
        <f t="shared" si="3"/>
        <v>2500</v>
      </c>
      <c r="N8" s="7"/>
      <c r="O8" s="7"/>
      <c r="P8" s="7">
        <f t="shared" si="6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8205.5050033472053</v>
      </c>
      <c r="D9" s="6">
        <f>TONT20000MAI2017!C9+TONT20000MAI2017!D9+TONT20000JUIN2017!J9</f>
        <v>472692.16276090476</v>
      </c>
      <c r="E9" s="6"/>
      <c r="F9" s="7">
        <f t="shared" si="4"/>
        <v>13000</v>
      </c>
      <c r="G9" s="7">
        <f t="shared" si="5"/>
        <v>0</v>
      </c>
      <c r="H9" s="43" t="s">
        <v>217</v>
      </c>
      <c r="I9" s="7">
        <f>IF(F9=0,0,F9+J9+K9+L9+M9+N9)</f>
        <v>20000</v>
      </c>
      <c r="J9" s="7">
        <f>IF(F9=0,0,3000)</f>
        <v>3000</v>
      </c>
      <c r="K9" s="7">
        <f t="shared" si="1"/>
        <v>500</v>
      </c>
      <c r="L9" s="7">
        <f t="shared" si="2"/>
        <v>1000</v>
      </c>
      <c r="M9" s="7">
        <f t="shared" si="3"/>
        <v>2500</v>
      </c>
      <c r="N9" s="7"/>
      <c r="O9" s="7"/>
      <c r="P9" s="7">
        <f t="shared" si="6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8380.3998799610163</v>
      </c>
      <c r="D10" s="6">
        <f>TONT20000MAI2017!C10+TONT20000MAI2017!D10+TONT20000JUIN2017!J10</f>
        <v>482767.28153161542</v>
      </c>
      <c r="E10" s="6"/>
      <c r="F10" s="7">
        <f t="shared" si="4"/>
        <v>13000</v>
      </c>
      <c r="G10" s="7">
        <f t="shared" si="5"/>
        <v>1000</v>
      </c>
      <c r="H10" s="43" t="s">
        <v>223</v>
      </c>
      <c r="I10" s="7">
        <f>IF(F10=0,0,F10+J10+K10+L10+M10+N10)</f>
        <v>29000</v>
      </c>
      <c r="J10" s="7">
        <f>IF(F10=0,0,3000)+9000</f>
        <v>12000</v>
      </c>
      <c r="K10" s="7">
        <f t="shared" si="1"/>
        <v>500</v>
      </c>
      <c r="L10" s="7">
        <f t="shared" si="2"/>
        <v>1000</v>
      </c>
      <c r="M10" s="7">
        <f t="shared" si="3"/>
        <v>2500</v>
      </c>
      <c r="N10" s="7"/>
      <c r="O10" s="7"/>
      <c r="P10" s="7">
        <f t="shared" si="6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TONT20000MAI2017!C11+TONT20000MAI2017!D11+TONT20000JUIN2017!J11</f>
        <v>0</v>
      </c>
      <c r="E11" s="6"/>
      <c r="F11" s="7"/>
      <c r="G11" s="7"/>
      <c r="H11" s="43"/>
      <c r="I11" s="7"/>
      <c r="J11" s="7">
        <f t="shared" ref="J11:J19" si="7">IF(F11=0,0,3000)</f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/>
      <c r="O11" s="7"/>
      <c r="P11" s="7">
        <f t="shared" si="6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34" si="8">$P$56/$D$56*D12</f>
        <v>19613.56603191188</v>
      </c>
      <c r="D12" s="6">
        <f>TONT20000MAI2017!C12+TONT20000MAI2017!D12+TONT20000JUIN2017!J12</f>
        <v>1129873.0478253716</v>
      </c>
      <c r="E12" s="6"/>
      <c r="F12" s="7">
        <f t="shared" si="4"/>
        <v>13000</v>
      </c>
      <c r="G12" s="7">
        <f t="shared" si="5"/>
        <v>0</v>
      </c>
      <c r="H12" s="43" t="s">
        <v>217</v>
      </c>
      <c r="I12" s="7">
        <f t="shared" ref="I12:I27" si="9">IF(F12=0,0,F12+J12+K12+L12+M12+N12)</f>
        <v>20000</v>
      </c>
      <c r="J12" s="7">
        <f t="shared" si="7"/>
        <v>3000</v>
      </c>
      <c r="K12" s="7">
        <f t="shared" si="1"/>
        <v>500</v>
      </c>
      <c r="L12" s="7">
        <f t="shared" si="2"/>
        <v>1000</v>
      </c>
      <c r="M12" s="7">
        <f t="shared" si="3"/>
        <v>2500</v>
      </c>
      <c r="N12" s="7"/>
      <c r="O12" s="7">
        <v>1000000</v>
      </c>
      <c r="P12" s="7">
        <f t="shared" si="6"/>
        <v>120000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8"/>
        <v>8081.2143649978389</v>
      </c>
      <c r="D13" s="6">
        <f>TONT20000MAI2017!C13+TONT20000MAI2017!D13+TONT20000JUIN2017!J13</f>
        <v>465532.18776505388</v>
      </c>
      <c r="E13" s="6"/>
      <c r="F13" s="7">
        <f t="shared" si="4"/>
        <v>13000</v>
      </c>
      <c r="G13" s="7">
        <f t="shared" si="5"/>
        <v>0</v>
      </c>
      <c r="H13" s="43" t="s">
        <v>217</v>
      </c>
      <c r="I13" s="7">
        <f t="shared" si="9"/>
        <v>20000</v>
      </c>
      <c r="J13" s="7">
        <f t="shared" si="7"/>
        <v>3000</v>
      </c>
      <c r="K13" s="7">
        <f t="shared" si="1"/>
        <v>500</v>
      </c>
      <c r="L13" s="7">
        <f t="shared" si="2"/>
        <v>1000</v>
      </c>
      <c r="M13" s="7">
        <f t="shared" si="3"/>
        <v>2500</v>
      </c>
      <c r="N13" s="7"/>
      <c r="O13" s="7">
        <v>700000</v>
      </c>
      <c r="P13" s="7">
        <f t="shared" si="6"/>
        <v>84000</v>
      </c>
      <c r="Q13" s="7">
        <f>215000+499000</f>
        <v>714000</v>
      </c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8"/>
        <v>9010.7001055642013</v>
      </c>
      <c r="D14" s="6">
        <f>TONT20000MAI2017!C14+TONT20000MAI2017!D14+TONT20000JUIN2017!J14</f>
        <v>519076.80504144455</v>
      </c>
      <c r="E14" s="6"/>
      <c r="F14" s="7">
        <f t="shared" si="4"/>
        <v>13000</v>
      </c>
      <c r="G14" s="7">
        <f t="shared" si="5"/>
        <v>0</v>
      </c>
      <c r="H14" s="43" t="s">
        <v>217</v>
      </c>
      <c r="I14" s="7">
        <f t="shared" si="9"/>
        <v>20000</v>
      </c>
      <c r="J14" s="7">
        <f t="shared" si="7"/>
        <v>3000</v>
      </c>
      <c r="K14" s="7">
        <f t="shared" si="1"/>
        <v>500</v>
      </c>
      <c r="L14" s="7">
        <f t="shared" si="2"/>
        <v>1000</v>
      </c>
      <c r="M14" s="7">
        <f t="shared" si="3"/>
        <v>2500</v>
      </c>
      <c r="N14" s="7"/>
      <c r="O14" s="7"/>
      <c r="P14" s="7">
        <f t="shared" si="6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8"/>
        <v>8077.1320779132766</v>
      </c>
      <c r="D15" s="6">
        <f>TONT20000MAI2017!C15+TONT20000MAI2017!D15+TONT20000JUIN2017!J15</f>
        <v>465297.02062906098</v>
      </c>
      <c r="E15" s="6"/>
      <c r="F15" s="7">
        <f t="shared" si="4"/>
        <v>13000</v>
      </c>
      <c r="G15" s="7">
        <f t="shared" si="5"/>
        <v>1000</v>
      </c>
      <c r="H15" s="43" t="s">
        <v>223</v>
      </c>
      <c r="I15" s="7">
        <f t="shared" si="9"/>
        <v>20000</v>
      </c>
      <c r="J15" s="7">
        <f t="shared" si="7"/>
        <v>3000</v>
      </c>
      <c r="K15" s="7">
        <f t="shared" si="1"/>
        <v>500</v>
      </c>
      <c r="L15" s="7">
        <f t="shared" si="2"/>
        <v>1000</v>
      </c>
      <c r="M15" s="7">
        <f t="shared" si="3"/>
        <v>2500</v>
      </c>
      <c r="N15" s="7"/>
      <c r="O15" s="7"/>
      <c r="P15" s="7">
        <f t="shared" si="6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8"/>
        <v>9233.9866294930489</v>
      </c>
      <c r="D16" s="6">
        <f>TONT20000MAI2017!C16+TONT20000MAI2017!D16+TONT20000JUIN2017!J16</f>
        <v>531939.60749762936</v>
      </c>
      <c r="E16" s="6"/>
      <c r="F16" s="7">
        <f t="shared" si="4"/>
        <v>13000</v>
      </c>
      <c r="G16" s="7">
        <f t="shared" si="5"/>
        <v>0</v>
      </c>
      <c r="H16" s="43" t="s">
        <v>217</v>
      </c>
      <c r="I16" s="7">
        <f t="shared" si="9"/>
        <v>20000</v>
      </c>
      <c r="J16" s="7">
        <f t="shared" si="7"/>
        <v>3000</v>
      </c>
      <c r="K16" s="7">
        <f t="shared" si="1"/>
        <v>500</v>
      </c>
      <c r="L16" s="7">
        <f t="shared" si="2"/>
        <v>1000</v>
      </c>
      <c r="M16" s="7">
        <f t="shared" si="3"/>
        <v>2500</v>
      </c>
      <c r="N16" s="7"/>
      <c r="O16" s="7"/>
      <c r="P16" s="7">
        <f t="shared" si="6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8"/>
        <v>915.96316459874708</v>
      </c>
      <c r="D17" s="6">
        <f>TONT20000MAI2017!C17+TONT20000MAI2017!D17+TONT20000JUIN2017!J17</f>
        <v>52765.626138414023</v>
      </c>
      <c r="E17" s="6"/>
      <c r="F17" s="7">
        <f t="shared" si="4"/>
        <v>0</v>
      </c>
      <c r="G17" s="7">
        <f t="shared" si="5"/>
        <v>0</v>
      </c>
      <c r="H17" s="43" t="s">
        <v>216</v>
      </c>
      <c r="I17" s="7">
        <f t="shared" si="9"/>
        <v>0</v>
      </c>
      <c r="J17" s="7">
        <f t="shared" si="7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/>
      <c r="O17" s="7"/>
      <c r="P17" s="7">
        <f t="shared" si="6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8"/>
        <v>10084.797221202012</v>
      </c>
      <c r="D18" s="6">
        <f>TONT20000MAI2017!C18+TONT20000MAI2017!D18+TONT20000JUIN2017!J18</f>
        <v>580952.00813972764</v>
      </c>
      <c r="E18" s="6"/>
      <c r="F18" s="7">
        <f t="shared" si="4"/>
        <v>13000</v>
      </c>
      <c r="G18" s="7">
        <f t="shared" si="5"/>
        <v>0</v>
      </c>
      <c r="H18" s="43" t="s">
        <v>217</v>
      </c>
      <c r="I18" s="7">
        <f t="shared" si="9"/>
        <v>20000</v>
      </c>
      <c r="J18" s="7">
        <f t="shared" si="7"/>
        <v>3000</v>
      </c>
      <c r="K18" s="7">
        <f t="shared" si="1"/>
        <v>500</v>
      </c>
      <c r="L18" s="7">
        <f t="shared" si="2"/>
        <v>1000</v>
      </c>
      <c r="M18" s="7">
        <f t="shared" si="3"/>
        <v>2500</v>
      </c>
      <c r="N18" s="7"/>
      <c r="O18" s="7">
        <v>700000</v>
      </c>
      <c r="P18" s="7">
        <f t="shared" si="6"/>
        <v>84000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8"/>
        <v>2202.5569427643877</v>
      </c>
      <c r="D19" s="6">
        <f>TONT20000MAI2017!C19+TONT20000MAI2017!D19+TONT20000JUIN2017!J19</f>
        <v>126882.06325566121</v>
      </c>
      <c r="E19" s="6"/>
      <c r="F19" s="7">
        <f t="shared" si="4"/>
        <v>13000</v>
      </c>
      <c r="G19" s="7">
        <f t="shared" si="5"/>
        <v>1000</v>
      </c>
      <c r="H19" s="43" t="s">
        <v>223</v>
      </c>
      <c r="I19" s="7">
        <f t="shared" si="9"/>
        <v>20000</v>
      </c>
      <c r="J19" s="7">
        <f t="shared" si="7"/>
        <v>3000</v>
      </c>
      <c r="K19" s="7">
        <f t="shared" si="1"/>
        <v>500</v>
      </c>
      <c r="L19" s="7">
        <f t="shared" si="2"/>
        <v>1000</v>
      </c>
      <c r="M19" s="7">
        <f t="shared" si="3"/>
        <v>2500</v>
      </c>
      <c r="N19" s="7"/>
      <c r="O19" s="7"/>
      <c r="P19" s="7">
        <f t="shared" si="6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8"/>
        <v>56847.65078152567</v>
      </c>
      <c r="D20" s="6">
        <f>TONT20000MAI2017!C20+TONT20000MAI2017!D20+TONT20000JUIN2017!J20</f>
        <v>3274806.2410338619</v>
      </c>
      <c r="E20" s="6"/>
      <c r="F20" s="7">
        <f t="shared" si="4"/>
        <v>13000</v>
      </c>
      <c r="G20" s="7">
        <f t="shared" si="5"/>
        <v>0</v>
      </c>
      <c r="H20" s="43" t="s">
        <v>217</v>
      </c>
      <c r="I20" s="7">
        <f t="shared" si="9"/>
        <v>1023000</v>
      </c>
      <c r="J20" s="7">
        <f>IF(F20=0,0,6000)+1000000</f>
        <v>1006000</v>
      </c>
      <c r="K20" s="7">
        <f t="shared" si="1"/>
        <v>500</v>
      </c>
      <c r="L20" s="7">
        <f t="shared" si="2"/>
        <v>1000</v>
      </c>
      <c r="M20" s="7">
        <f t="shared" si="3"/>
        <v>2500</v>
      </c>
      <c r="N20" s="7"/>
      <c r="O20" s="7"/>
      <c r="P20" s="7">
        <f t="shared" si="6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8"/>
        <v>8074.1250360875947</v>
      </c>
      <c r="D21" s="6">
        <f>TONT20000MAI2017!C21+TONT20000MAI2017!D21+TONT20000JUIN2017!J21</f>
        <v>465123.79483692331</v>
      </c>
      <c r="E21" s="6"/>
      <c r="F21" s="7">
        <f t="shared" si="4"/>
        <v>13000</v>
      </c>
      <c r="G21" s="7">
        <f t="shared" si="5"/>
        <v>1000</v>
      </c>
      <c r="H21" s="43" t="s">
        <v>223</v>
      </c>
      <c r="I21" s="7">
        <f t="shared" si="9"/>
        <v>20000</v>
      </c>
      <c r="J21" s="7">
        <f>IF(F21=0,0,3000)</f>
        <v>3000</v>
      </c>
      <c r="K21" s="7">
        <f t="shared" si="1"/>
        <v>500</v>
      </c>
      <c r="L21" s="7">
        <f t="shared" si="2"/>
        <v>1000</v>
      </c>
      <c r="M21" s="7">
        <f t="shared" si="3"/>
        <v>2500</v>
      </c>
      <c r="N21" s="7"/>
      <c r="O21" s="7"/>
      <c r="P21" s="7">
        <f t="shared" si="6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8"/>
        <v>8415.3751297536401</v>
      </c>
      <c r="D22" s="6">
        <f>TONT20000MAI2017!C22+TONT20000MAI2017!D22+TONT20000JUIN2017!J22</f>
        <v>484782.09067021625</v>
      </c>
      <c r="E22" s="6"/>
      <c r="F22" s="7">
        <f t="shared" si="4"/>
        <v>13000</v>
      </c>
      <c r="G22" s="7">
        <f t="shared" si="5"/>
        <v>0</v>
      </c>
      <c r="H22" s="43" t="s">
        <v>217</v>
      </c>
      <c r="I22" s="7">
        <f t="shared" si="9"/>
        <v>42000</v>
      </c>
      <c r="J22" s="7">
        <f>IF(F22=0,0,3000)+22000</f>
        <v>25000</v>
      </c>
      <c r="K22" s="7">
        <f t="shared" si="1"/>
        <v>500</v>
      </c>
      <c r="L22" s="7">
        <f t="shared" si="2"/>
        <v>1000</v>
      </c>
      <c r="M22" s="7">
        <f t="shared" si="3"/>
        <v>2500</v>
      </c>
      <c r="N22" s="7"/>
      <c r="O22" s="7"/>
      <c r="P22" s="7">
        <f t="shared" si="6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8"/>
        <v>8080.1208952430461</v>
      </c>
      <c r="D23" s="6">
        <f>TONT20000MAI2017!C23+TONT20000MAI2017!D23+TONT20000JUIN2017!J23</f>
        <v>465469.19656791294</v>
      </c>
      <c r="E23" s="6"/>
      <c r="F23" s="7">
        <f t="shared" si="4"/>
        <v>13000</v>
      </c>
      <c r="G23" s="7">
        <f t="shared" si="5"/>
        <v>0</v>
      </c>
      <c r="H23" s="43" t="s">
        <v>217</v>
      </c>
      <c r="I23" s="7">
        <f t="shared" si="9"/>
        <v>20000</v>
      </c>
      <c r="J23" s="7">
        <f>IF(F23=0,0,3000)</f>
        <v>3000</v>
      </c>
      <c r="K23" s="7">
        <f t="shared" si="1"/>
        <v>500</v>
      </c>
      <c r="L23" s="7">
        <f t="shared" si="2"/>
        <v>1000</v>
      </c>
      <c r="M23" s="7">
        <f t="shared" si="3"/>
        <v>2500</v>
      </c>
      <c r="N23" s="7"/>
      <c r="O23" s="7"/>
      <c r="P23" s="7">
        <f t="shared" si="6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8"/>
        <v>8100.7510246168176</v>
      </c>
      <c r="D24" s="6">
        <f>TONT20000MAI2017!C24+TONT20000MAI2017!D24+TONT20000JUIN2017!J24</f>
        <v>466657.63048730575</v>
      </c>
      <c r="E24" s="6"/>
      <c r="F24" s="7">
        <f t="shared" si="4"/>
        <v>13000</v>
      </c>
      <c r="G24" s="7">
        <f t="shared" si="5"/>
        <v>0</v>
      </c>
      <c r="H24" s="43" t="s">
        <v>217</v>
      </c>
      <c r="I24" s="7">
        <f t="shared" si="9"/>
        <v>20000</v>
      </c>
      <c r="J24" s="7">
        <f>IF(F24=0,0,3000)</f>
        <v>3000</v>
      </c>
      <c r="K24" s="7">
        <f t="shared" si="1"/>
        <v>500</v>
      </c>
      <c r="L24" s="7">
        <f t="shared" si="2"/>
        <v>1000</v>
      </c>
      <c r="M24" s="7">
        <f t="shared" si="3"/>
        <v>2500</v>
      </c>
      <c r="N24" s="7"/>
      <c r="O24" s="7"/>
      <c r="P24" s="7">
        <f t="shared" si="6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8"/>
        <v>8027.4239974105149</v>
      </c>
      <c r="D25" s="6">
        <f>TONT20000MAI2017!C25+TONT20000MAI2017!D25+TONT20000JUIN2017!J25</f>
        <v>462433.50155619963</v>
      </c>
      <c r="E25" s="6"/>
      <c r="F25" s="7">
        <f t="shared" si="4"/>
        <v>0</v>
      </c>
      <c r="G25" s="7">
        <f t="shared" si="5"/>
        <v>0</v>
      </c>
      <c r="H25" s="43" t="s">
        <v>216</v>
      </c>
      <c r="I25" s="7">
        <f t="shared" si="9"/>
        <v>0</v>
      </c>
      <c r="J25" s="7">
        <f>IF(F25=0,0,3000)</f>
        <v>0</v>
      </c>
      <c r="K25" s="7">
        <f t="shared" si="1"/>
        <v>0</v>
      </c>
      <c r="L25" s="7">
        <f t="shared" si="2"/>
        <v>0</v>
      </c>
      <c r="M25" s="7">
        <f t="shared" si="3"/>
        <v>0</v>
      </c>
      <c r="N25" s="7"/>
      <c r="O25" s="7"/>
      <c r="P25" s="7">
        <f t="shared" si="6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8"/>
        <v>8081.1232425182743</v>
      </c>
      <c r="D26" s="6">
        <f>TONT20000MAI2017!C26+TONT20000MAI2017!D26+TONT20000JUIN2017!J26</f>
        <v>465526.93849862553</v>
      </c>
      <c r="E26" s="6"/>
      <c r="F26" s="7">
        <f t="shared" si="4"/>
        <v>13000</v>
      </c>
      <c r="G26" s="7">
        <f t="shared" si="5"/>
        <v>0</v>
      </c>
      <c r="H26" s="43" t="s">
        <v>217</v>
      </c>
      <c r="I26" s="7">
        <f t="shared" si="9"/>
        <v>20000</v>
      </c>
      <c r="J26" s="7">
        <f>IF(F26=0,0,3000)</f>
        <v>3000</v>
      </c>
      <c r="K26" s="7">
        <f t="shared" si="1"/>
        <v>500</v>
      </c>
      <c r="L26" s="7">
        <f t="shared" si="2"/>
        <v>1000</v>
      </c>
      <c r="M26" s="7">
        <f t="shared" si="3"/>
        <v>2500</v>
      </c>
      <c r="N26" s="7"/>
      <c r="O26" s="7"/>
      <c r="P26" s="7">
        <f t="shared" si="6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8"/>
        <v>8710.6625548121428</v>
      </c>
      <c r="D27" s="6">
        <f>TONT20000MAI2017!C27+TONT20000MAI2017!D27+TONT20000JUIN2017!J27</f>
        <v>501792.6282946603</v>
      </c>
      <c r="E27" s="6"/>
      <c r="F27" s="7">
        <f t="shared" si="4"/>
        <v>13000</v>
      </c>
      <c r="G27" s="7">
        <f t="shared" si="5"/>
        <v>0</v>
      </c>
      <c r="H27" s="43" t="s">
        <v>217</v>
      </c>
      <c r="I27" s="7">
        <f t="shared" si="9"/>
        <v>25000</v>
      </c>
      <c r="J27" s="7">
        <f>IF(F27=0,0,8000)</f>
        <v>8000</v>
      </c>
      <c r="K27" s="7">
        <f t="shared" si="1"/>
        <v>500</v>
      </c>
      <c r="L27" s="7">
        <f t="shared" si="2"/>
        <v>1000</v>
      </c>
      <c r="M27" s="7">
        <f t="shared" si="3"/>
        <v>2500</v>
      </c>
      <c r="N27" s="7"/>
      <c r="O27" s="7"/>
      <c r="P27" s="7">
        <f t="shared" si="6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8"/>
        <v>7654.2882835549908</v>
      </c>
      <c r="D28" s="6">
        <f>TONT20000MAI2017!C28+TONT20000MAI2017!D28+TONT20000JUIN2017!J28</f>
        <v>440938.37998674682</v>
      </c>
      <c r="E28" s="6"/>
      <c r="F28" s="7"/>
      <c r="G28" s="7"/>
      <c r="H28" s="43"/>
      <c r="I28" s="7"/>
      <c r="J28" s="7">
        <f>IF(F28=0,0,3000)</f>
        <v>0</v>
      </c>
      <c r="K28" s="7">
        <f t="shared" si="1"/>
        <v>0</v>
      </c>
      <c r="L28" s="7">
        <f t="shared" si="2"/>
        <v>0</v>
      </c>
      <c r="M28" s="7">
        <f t="shared" si="3"/>
        <v>0</v>
      </c>
      <c r="N28" s="7"/>
      <c r="O28" s="7"/>
      <c r="P28" s="7">
        <f t="shared" si="6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si="8"/>
        <v>8254.3257033196533</v>
      </c>
      <c r="D29" s="6">
        <f>TONT20000MAI2017!C29+TONT20000MAI2017!D29+TONT20000JUIN2017!J29</f>
        <v>475504.5627592064</v>
      </c>
      <c r="E29" s="6"/>
      <c r="F29" s="7">
        <f t="shared" si="4"/>
        <v>13000</v>
      </c>
      <c r="G29" s="7">
        <f t="shared" si="5"/>
        <v>0</v>
      </c>
      <c r="H29" s="43" t="s">
        <v>217</v>
      </c>
      <c r="I29" s="7">
        <f t="shared" ref="I29:I34" si="10">IF(F29=0,0,F29+J29+K29+L29+M29+N29)</f>
        <v>20000</v>
      </c>
      <c r="J29" s="7">
        <f>IF(F29=0,0,3000)</f>
        <v>3000</v>
      </c>
      <c r="K29" s="7">
        <f t="shared" si="1"/>
        <v>500</v>
      </c>
      <c r="L29" s="7">
        <f t="shared" si="2"/>
        <v>1000</v>
      </c>
      <c r="M29" s="7">
        <f t="shared" si="3"/>
        <v>2500</v>
      </c>
      <c r="N29" s="7"/>
      <c r="O29" s="7">
        <v>1000000</v>
      </c>
      <c r="P29" s="7">
        <f t="shared" si="6"/>
        <v>120000</v>
      </c>
      <c r="Q29" s="7"/>
      <c r="R29" s="2"/>
      <c r="S29" s="2"/>
      <c r="T29" s="7">
        <v>10000</v>
      </c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8"/>
        <v>1095.8710798091843</v>
      </c>
      <c r="D30" s="6">
        <f>TONT20000MAI2017!C30+TONT20000MAI2017!D30+TONT20000JUIN2017!J30</f>
        <v>63129.529579328009</v>
      </c>
      <c r="E30" s="6"/>
      <c r="F30" s="7">
        <f t="shared" si="4"/>
        <v>13000</v>
      </c>
      <c r="G30" s="7">
        <f t="shared" si="5"/>
        <v>1000</v>
      </c>
      <c r="H30" s="43" t="s">
        <v>223</v>
      </c>
      <c r="I30" s="7">
        <f t="shared" si="10"/>
        <v>20000</v>
      </c>
      <c r="J30" s="7">
        <f>IF(F30=0,0,3000)</f>
        <v>3000</v>
      </c>
      <c r="K30" s="7">
        <f t="shared" si="1"/>
        <v>500</v>
      </c>
      <c r="L30" s="7">
        <f t="shared" si="2"/>
        <v>1000</v>
      </c>
      <c r="M30" s="7">
        <f t="shared" si="3"/>
        <v>2500</v>
      </c>
      <c r="N30" s="7"/>
      <c r="O30" s="7"/>
      <c r="P30" s="7">
        <f t="shared" si="6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8"/>
        <v>8762.5735937056252</v>
      </c>
      <c r="D31" s="6">
        <f>TONT20000MAI2017!C31+TONT20000MAI2017!D31+TONT20000JUIN2017!J31</f>
        <v>504783.05255687411</v>
      </c>
      <c r="E31" s="6"/>
      <c r="F31" s="7">
        <f t="shared" si="4"/>
        <v>13000</v>
      </c>
      <c r="G31" s="7">
        <f t="shared" si="5"/>
        <v>1000</v>
      </c>
      <c r="H31" s="43" t="s">
        <v>223</v>
      </c>
      <c r="I31" s="7">
        <f t="shared" si="10"/>
        <v>20000</v>
      </c>
      <c r="J31" s="7">
        <f>IF(F31=0,0,3000)</f>
        <v>3000</v>
      </c>
      <c r="K31" s="7">
        <f t="shared" si="1"/>
        <v>500</v>
      </c>
      <c r="L31" s="7">
        <f t="shared" si="2"/>
        <v>1000</v>
      </c>
      <c r="M31" s="7">
        <f t="shared" si="3"/>
        <v>2500</v>
      </c>
      <c r="N31" s="7"/>
      <c r="O31" s="7"/>
      <c r="P31" s="7">
        <f t="shared" si="6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8"/>
        <v>8172.7765332661338</v>
      </c>
      <c r="D32" s="6">
        <f>TONT20000MAI2017!C32+TONT20000MAI2017!D32+TONT20000JUIN2017!J32</f>
        <v>470806.78321386088</v>
      </c>
      <c r="E32" s="6"/>
      <c r="F32" s="7">
        <f t="shared" si="4"/>
        <v>13000</v>
      </c>
      <c r="G32" s="7">
        <f t="shared" si="5"/>
        <v>1000</v>
      </c>
      <c r="H32" s="43" t="s">
        <v>223</v>
      </c>
      <c r="I32" s="7">
        <f t="shared" si="10"/>
        <v>20000</v>
      </c>
      <c r="J32" s="7">
        <f>IF(F32=0,0,3000)</f>
        <v>3000</v>
      </c>
      <c r="K32" s="7">
        <f t="shared" si="1"/>
        <v>500</v>
      </c>
      <c r="L32" s="7">
        <f t="shared" si="2"/>
        <v>1000</v>
      </c>
      <c r="M32" s="7">
        <f t="shared" si="3"/>
        <v>2500</v>
      </c>
      <c r="N32" s="7"/>
      <c r="O32" s="7"/>
      <c r="P32" s="7">
        <f t="shared" si="6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8"/>
        <v>9716.6951683471962</v>
      </c>
      <c r="D33" s="6">
        <f>TONT20000MAI2017!C33+TONT20000MAI2017!D33+TONT20000JUIN2017!J33</f>
        <v>559746.85922936886</v>
      </c>
      <c r="E33" s="6"/>
      <c r="F33" s="7">
        <f t="shared" si="4"/>
        <v>13000</v>
      </c>
      <c r="G33" s="7">
        <f t="shared" si="5"/>
        <v>0</v>
      </c>
      <c r="H33" s="43" t="s">
        <v>217</v>
      </c>
      <c r="I33" s="7">
        <f t="shared" si="10"/>
        <v>23000</v>
      </c>
      <c r="J33" s="7">
        <f>IF(F33=0,0,3000)+3000</f>
        <v>6000</v>
      </c>
      <c r="K33" s="7">
        <f t="shared" si="1"/>
        <v>500</v>
      </c>
      <c r="L33" s="7">
        <f t="shared" si="2"/>
        <v>1000</v>
      </c>
      <c r="M33" s="7">
        <f t="shared" si="3"/>
        <v>2500</v>
      </c>
      <c r="N33" s="7"/>
      <c r="O33" s="7"/>
      <c r="P33" s="7">
        <f t="shared" si="6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8"/>
        <v>10532.273819322751</v>
      </c>
      <c r="D34" s="6">
        <f>TONT20000MAI2017!C34+TONT20000MAI2017!D34+TONT20000JUIN2017!J34</f>
        <v>606729.66361179191</v>
      </c>
      <c r="E34" s="6"/>
      <c r="F34" s="7">
        <f t="shared" si="4"/>
        <v>13000</v>
      </c>
      <c r="G34" s="7">
        <f t="shared" si="5"/>
        <v>1000</v>
      </c>
      <c r="H34" s="43" t="s">
        <v>223</v>
      </c>
      <c r="I34" s="7">
        <f t="shared" si="10"/>
        <v>25000</v>
      </c>
      <c r="J34" s="7">
        <f>IF(F34=0,0,3000)+5000</f>
        <v>8000</v>
      </c>
      <c r="K34" s="7">
        <f t="shared" si="1"/>
        <v>500</v>
      </c>
      <c r="L34" s="7">
        <f t="shared" si="2"/>
        <v>1000</v>
      </c>
      <c r="M34" s="7">
        <f t="shared" si="3"/>
        <v>2500</v>
      </c>
      <c r="N34" s="7"/>
      <c r="O34" s="7"/>
      <c r="P34" s="7">
        <f t="shared" si="6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TONT20000MAI2017!C35+TONT20000MAI2017!D35+TONT20000JUIN2017!J35</f>
        <v>0</v>
      </c>
      <c r="E35" s="6"/>
      <c r="F35" s="7"/>
      <c r="G35" s="7"/>
      <c r="H35" s="43"/>
      <c r="I35" s="7"/>
      <c r="J35" s="7">
        <f t="shared" ref="J35:J42" si="11">IF(F35=0,0,3000)</f>
        <v>0</v>
      </c>
      <c r="K35" s="7">
        <f t="shared" si="1"/>
        <v>0</v>
      </c>
      <c r="L35" s="7">
        <f t="shared" si="2"/>
        <v>0</v>
      </c>
      <c r="M35" s="7">
        <f t="shared" si="3"/>
        <v>0</v>
      </c>
      <c r="N35" s="7"/>
      <c r="O35" s="7"/>
      <c r="P35" s="7">
        <f t="shared" si="6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TONT20000MAI2017!C36+TONT20000MAI2017!D36+TONT20000JUIN2017!J36</f>
        <v>0</v>
      </c>
      <c r="E36" s="6"/>
      <c r="F36" s="7">
        <f t="shared" si="4"/>
        <v>0</v>
      </c>
      <c r="G36" s="7">
        <f t="shared" si="5"/>
        <v>0</v>
      </c>
      <c r="H36" s="43" t="s">
        <v>216</v>
      </c>
      <c r="I36" s="7">
        <f>IF(F36=0,0,F36+J36+K36+L36+M36+N36)</f>
        <v>0</v>
      </c>
      <c r="J36" s="7">
        <f t="shared" si="11"/>
        <v>0</v>
      </c>
      <c r="K36" s="7">
        <f t="shared" si="1"/>
        <v>0</v>
      </c>
      <c r="L36" s="7">
        <f t="shared" si="2"/>
        <v>0</v>
      </c>
      <c r="M36" s="7">
        <f t="shared" si="3"/>
        <v>0</v>
      </c>
      <c r="N36" s="7"/>
      <c r="O36" s="7"/>
      <c r="P36" s="7">
        <f t="shared" si="6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TONT20000MAI2017!C37+TONT20000MAI2017!D37+TONT20000JUIN2017!J37</f>
        <v>0</v>
      </c>
      <c r="E37" s="6"/>
      <c r="F37" s="7"/>
      <c r="G37" s="7"/>
      <c r="H37" s="43"/>
      <c r="I37" s="7"/>
      <c r="J37" s="7">
        <f t="shared" si="11"/>
        <v>0</v>
      </c>
      <c r="K37" s="7">
        <f t="shared" si="1"/>
        <v>0</v>
      </c>
      <c r="L37" s="7">
        <f t="shared" si="2"/>
        <v>0</v>
      </c>
      <c r="M37" s="7">
        <f t="shared" si="3"/>
        <v>0</v>
      </c>
      <c r="N37" s="7"/>
      <c r="O37" s="7"/>
      <c r="P37" s="7">
        <f t="shared" si="6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2">$P$56/$D$56*D38</f>
        <v>8076.2573021094413</v>
      </c>
      <c r="D38" s="6">
        <f>TONT20000MAI2017!C38+TONT20000MAI2017!D38+TONT20000JUIN2017!J38</f>
        <v>465246.62767134816</v>
      </c>
      <c r="E38" s="6"/>
      <c r="F38" s="7">
        <f t="shared" si="4"/>
        <v>13000</v>
      </c>
      <c r="G38" s="7">
        <f t="shared" si="5"/>
        <v>0</v>
      </c>
      <c r="H38" s="43" t="s">
        <v>217</v>
      </c>
      <c r="I38" s="7">
        <f t="shared" ref="I38:I52" si="13">IF(F38=0,0,F38+J38+K38+L38+M38+N38)</f>
        <v>20000</v>
      </c>
      <c r="J38" s="7">
        <f t="shared" si="11"/>
        <v>3000</v>
      </c>
      <c r="K38" s="7">
        <f t="shared" si="1"/>
        <v>500</v>
      </c>
      <c r="L38" s="7">
        <f t="shared" si="2"/>
        <v>1000</v>
      </c>
      <c r="M38" s="7">
        <f t="shared" si="3"/>
        <v>2500</v>
      </c>
      <c r="N38" s="7"/>
      <c r="O38" s="7"/>
      <c r="P38" s="7">
        <f t="shared" si="6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2"/>
        <v>8154.2945936098777</v>
      </c>
      <c r="D39" s="6">
        <f>TONT20000MAI2017!C39+TONT20000MAI2017!D39+TONT20000JUIN2017!J39</f>
        <v>469742.0994406417</v>
      </c>
      <c r="E39" s="6"/>
      <c r="F39" s="7">
        <f t="shared" si="4"/>
        <v>13000</v>
      </c>
      <c r="G39" s="7">
        <f t="shared" si="5"/>
        <v>1000</v>
      </c>
      <c r="H39" s="43" t="s">
        <v>223</v>
      </c>
      <c r="I39" s="7">
        <f t="shared" si="13"/>
        <v>20000</v>
      </c>
      <c r="J39" s="7">
        <f t="shared" si="11"/>
        <v>3000</v>
      </c>
      <c r="K39" s="7">
        <f t="shared" si="1"/>
        <v>500</v>
      </c>
      <c r="L39" s="7">
        <f t="shared" si="2"/>
        <v>1000</v>
      </c>
      <c r="M39" s="7">
        <f t="shared" si="3"/>
        <v>2500</v>
      </c>
      <c r="N39" s="7"/>
      <c r="O39" s="7"/>
      <c r="P39" s="7">
        <f t="shared" si="6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2"/>
        <v>7439.7619214476899</v>
      </c>
      <c r="D40" s="6">
        <f>TONT20000MAI2017!C40+TONT20000MAI2017!D40+TONT20000JUIN2017!J40</f>
        <v>428580.2216488549</v>
      </c>
      <c r="E40" s="6"/>
      <c r="F40" s="7">
        <f t="shared" si="4"/>
        <v>13000</v>
      </c>
      <c r="G40" s="7">
        <f t="shared" si="5"/>
        <v>1000</v>
      </c>
      <c r="H40" s="43" t="s">
        <v>223</v>
      </c>
      <c r="I40" s="7">
        <f t="shared" si="13"/>
        <v>20000</v>
      </c>
      <c r="J40" s="7">
        <f t="shared" si="11"/>
        <v>3000</v>
      </c>
      <c r="K40" s="7">
        <f t="shared" si="1"/>
        <v>500</v>
      </c>
      <c r="L40" s="7">
        <f t="shared" si="2"/>
        <v>1000</v>
      </c>
      <c r="M40" s="7">
        <f t="shared" si="3"/>
        <v>2500</v>
      </c>
      <c r="N40" s="7"/>
      <c r="O40" s="7"/>
      <c r="P40" s="7">
        <f t="shared" si="6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2"/>
        <v>8120.7250721377141</v>
      </c>
      <c r="D41" s="6">
        <f>TONT20000MAI2017!C41+TONT20000MAI2017!D41+TONT20000JUIN2017!J41</f>
        <v>467808.26968841406</v>
      </c>
      <c r="E41" s="6"/>
      <c r="F41" s="7">
        <f t="shared" si="4"/>
        <v>13000</v>
      </c>
      <c r="G41" s="7">
        <f t="shared" si="5"/>
        <v>0</v>
      </c>
      <c r="H41" s="43" t="s">
        <v>217</v>
      </c>
      <c r="I41" s="7">
        <f t="shared" si="13"/>
        <v>20000</v>
      </c>
      <c r="J41" s="7">
        <f t="shared" si="11"/>
        <v>3000</v>
      </c>
      <c r="K41" s="7">
        <f t="shared" si="1"/>
        <v>500</v>
      </c>
      <c r="L41" s="7">
        <f t="shared" si="2"/>
        <v>1000</v>
      </c>
      <c r="M41" s="7">
        <f t="shared" si="3"/>
        <v>2500</v>
      </c>
      <c r="N41" s="7"/>
      <c r="O41" s="7"/>
      <c r="P41" s="7">
        <f t="shared" si="6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2"/>
        <v>8113.6904167152088</v>
      </c>
      <c r="D42" s="6">
        <f>TONT20000MAI2017!C42+TONT20000MAI2017!D42+TONT20000JUIN2017!J42</f>
        <v>467403.02632014052</v>
      </c>
      <c r="E42" s="6"/>
      <c r="F42" s="7">
        <f t="shared" si="4"/>
        <v>13000</v>
      </c>
      <c r="G42" s="7">
        <f t="shared" si="5"/>
        <v>0</v>
      </c>
      <c r="H42" s="43" t="s">
        <v>217</v>
      </c>
      <c r="I42" s="7">
        <f t="shared" si="13"/>
        <v>20000</v>
      </c>
      <c r="J42" s="7">
        <f t="shared" si="11"/>
        <v>3000</v>
      </c>
      <c r="K42" s="7">
        <f t="shared" si="1"/>
        <v>500</v>
      </c>
      <c r="L42" s="7">
        <f t="shared" si="2"/>
        <v>1000</v>
      </c>
      <c r="M42" s="7">
        <f t="shared" si="3"/>
        <v>2500</v>
      </c>
      <c r="N42" s="7"/>
      <c r="O42" s="7"/>
      <c r="P42" s="7">
        <f t="shared" si="6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2"/>
        <v>10863.388397542169</v>
      </c>
      <c r="D43" s="6">
        <f>TONT20000MAI2017!C43+TONT20000MAI2017!D43+TONT20000JUIN2017!J43</f>
        <v>625804.08572674473</v>
      </c>
      <c r="E43" s="6"/>
      <c r="F43" s="7">
        <f t="shared" si="4"/>
        <v>13000</v>
      </c>
      <c r="G43" s="7">
        <f t="shared" si="5"/>
        <v>0</v>
      </c>
      <c r="H43" s="43" t="s">
        <v>217</v>
      </c>
      <c r="I43" s="7">
        <f t="shared" si="13"/>
        <v>25000</v>
      </c>
      <c r="J43" s="7">
        <f>IF(F43=0,0,3000)+5000</f>
        <v>8000</v>
      </c>
      <c r="K43" s="7">
        <f t="shared" si="1"/>
        <v>500</v>
      </c>
      <c r="L43" s="7">
        <f t="shared" si="2"/>
        <v>1000</v>
      </c>
      <c r="M43" s="7">
        <f t="shared" si="3"/>
        <v>2500</v>
      </c>
      <c r="N43" s="7"/>
      <c r="O43" s="7">
        <v>400000</v>
      </c>
      <c r="P43" s="7">
        <f t="shared" si="6"/>
        <v>12000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2"/>
        <v>7513.9769296986742</v>
      </c>
      <c r="D44" s="6">
        <f>TONT20000MAI2017!C44+TONT20000MAI2017!D44+TONT20000JUIN2017!J44</f>
        <v>432855.50424817886</v>
      </c>
      <c r="E44" s="6"/>
      <c r="F44" s="7">
        <f t="shared" si="4"/>
        <v>13000</v>
      </c>
      <c r="G44" s="7">
        <f t="shared" si="5"/>
        <v>0</v>
      </c>
      <c r="H44" s="43" t="s">
        <v>217</v>
      </c>
      <c r="I44" s="7">
        <f t="shared" si="13"/>
        <v>20000</v>
      </c>
      <c r="J44" s="7">
        <f>IF(F44=0,0,3000)</f>
        <v>3000</v>
      </c>
      <c r="K44" s="7">
        <f t="shared" si="1"/>
        <v>500</v>
      </c>
      <c r="L44" s="7">
        <f t="shared" si="2"/>
        <v>1000</v>
      </c>
      <c r="M44" s="7">
        <f t="shared" si="3"/>
        <v>2500</v>
      </c>
      <c r="N44" s="7"/>
      <c r="O44" s="7"/>
      <c r="P44" s="7">
        <f t="shared" si="6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2"/>
        <v>647.3878085051457</v>
      </c>
      <c r="D45" s="6">
        <f>TONT20000MAI2017!C45+TONT20000MAI2017!D45+TONT20000JUIN2017!J45</f>
        <v>37293.882975211091</v>
      </c>
      <c r="E45" s="6"/>
      <c r="F45" s="7">
        <f t="shared" si="4"/>
        <v>13000</v>
      </c>
      <c r="G45" s="7">
        <f t="shared" si="5"/>
        <v>0</v>
      </c>
      <c r="H45" s="43" t="s">
        <v>217</v>
      </c>
      <c r="I45" s="7">
        <f t="shared" si="13"/>
        <v>20000</v>
      </c>
      <c r="J45" s="7">
        <f>IF(F45=0,0,3000)</f>
        <v>3000</v>
      </c>
      <c r="K45" s="7">
        <f t="shared" si="1"/>
        <v>500</v>
      </c>
      <c r="L45" s="7">
        <f t="shared" si="2"/>
        <v>1000</v>
      </c>
      <c r="M45" s="7">
        <f t="shared" si="3"/>
        <v>2500</v>
      </c>
      <c r="N45" s="7"/>
      <c r="O45" s="7"/>
      <c r="P45" s="7">
        <f t="shared" si="6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2"/>
        <v>8079.5377113738232</v>
      </c>
      <c r="D46" s="6">
        <f>TONT20000MAI2017!C46+TONT20000MAI2017!D46+TONT20000JUIN2017!J46</f>
        <v>465435.60126277112</v>
      </c>
      <c r="E46" s="6"/>
      <c r="F46" s="7">
        <f t="shared" si="4"/>
        <v>13000</v>
      </c>
      <c r="G46" s="7">
        <f t="shared" si="5"/>
        <v>0</v>
      </c>
      <c r="H46" s="43" t="s">
        <v>217</v>
      </c>
      <c r="I46" s="7">
        <f t="shared" si="13"/>
        <v>20000</v>
      </c>
      <c r="J46" s="7">
        <f>IF(F46=0,0,3000)</f>
        <v>3000</v>
      </c>
      <c r="K46" s="7">
        <f t="shared" si="1"/>
        <v>500</v>
      </c>
      <c r="L46" s="7">
        <f t="shared" si="2"/>
        <v>1000</v>
      </c>
      <c r="M46" s="7">
        <f t="shared" si="3"/>
        <v>2500</v>
      </c>
      <c r="N46" s="7"/>
      <c r="O46" s="7"/>
      <c r="P46" s="7">
        <f t="shared" si="6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2"/>
        <v>9237.325562401451</v>
      </c>
      <c r="D47" s="6">
        <f>TONT20000MAI2017!C47+TONT20000MAI2017!D47+TONT20000JUIN2017!J47</f>
        <v>532131.95244375302</v>
      </c>
      <c r="E47" s="6"/>
      <c r="F47" s="7">
        <f t="shared" si="4"/>
        <v>13000</v>
      </c>
      <c r="G47" s="7">
        <f t="shared" si="5"/>
        <v>0</v>
      </c>
      <c r="H47" s="43" t="s">
        <v>217</v>
      </c>
      <c r="I47" s="7">
        <f t="shared" si="13"/>
        <v>20000</v>
      </c>
      <c r="J47" s="7">
        <f>IF(F47=0,0,3000)</f>
        <v>3000</v>
      </c>
      <c r="K47" s="7">
        <f t="shared" si="1"/>
        <v>500</v>
      </c>
      <c r="L47" s="7">
        <f t="shared" si="2"/>
        <v>1000</v>
      </c>
      <c r="M47" s="7">
        <f t="shared" si="3"/>
        <v>2500</v>
      </c>
      <c r="N47" s="7"/>
      <c r="O47" s="7"/>
      <c r="P47" s="7">
        <f t="shared" si="6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2"/>
        <v>376.88161566512963</v>
      </c>
      <c r="D48" s="6">
        <f>TONT20000MAI2017!C48+TONT20000MAI2017!D48+TONT20000JUIN2017!J48</f>
        <v>21710.910655822321</v>
      </c>
      <c r="E48" s="6"/>
      <c r="F48" s="7">
        <f t="shared" si="4"/>
        <v>13000</v>
      </c>
      <c r="G48" s="7">
        <f t="shared" si="5"/>
        <v>0</v>
      </c>
      <c r="H48" s="43" t="s">
        <v>217</v>
      </c>
      <c r="I48" s="7">
        <f t="shared" si="13"/>
        <v>20000</v>
      </c>
      <c r="J48" s="7">
        <f>IF(F48=0,0,3000)</f>
        <v>3000</v>
      </c>
      <c r="K48" s="7">
        <f t="shared" si="1"/>
        <v>500</v>
      </c>
      <c r="L48" s="7">
        <f t="shared" si="2"/>
        <v>1000</v>
      </c>
      <c r="M48" s="7">
        <f t="shared" si="3"/>
        <v>2500</v>
      </c>
      <c r="N48" s="7"/>
      <c r="O48" s="7"/>
      <c r="P48" s="7">
        <f t="shared" si="6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2"/>
        <v>8686.9268527845998</v>
      </c>
      <c r="D49" s="6">
        <f>TONT20000MAI2017!C49+TONT20000MAI2017!D49+TONT20000JUIN2017!J49</f>
        <v>500425.29254610243</v>
      </c>
      <c r="E49" s="6"/>
      <c r="F49" s="7">
        <f t="shared" si="4"/>
        <v>13000</v>
      </c>
      <c r="G49" s="7">
        <f t="shared" si="5"/>
        <v>0</v>
      </c>
      <c r="H49" s="43" t="s">
        <v>217</v>
      </c>
      <c r="I49" s="7">
        <f t="shared" si="13"/>
        <v>26000</v>
      </c>
      <c r="J49" s="7">
        <f>IF(F49=0,0,3000)+6000</f>
        <v>9000</v>
      </c>
      <c r="K49" s="7">
        <f t="shared" si="1"/>
        <v>500</v>
      </c>
      <c r="L49" s="7">
        <f t="shared" si="2"/>
        <v>1000</v>
      </c>
      <c r="M49" s="7">
        <f t="shared" si="3"/>
        <v>2500</v>
      </c>
      <c r="N49" s="7"/>
      <c r="O49" s="7"/>
      <c r="P49" s="7">
        <f t="shared" si="6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2"/>
        <v>8076.7858124909271</v>
      </c>
      <c r="D50" s="6">
        <f>TONT20000MAI2017!C50+TONT20000MAI2017!D50+TONT20000JUIN2017!J50</f>
        <v>465277.07341663307</v>
      </c>
      <c r="E50" s="6"/>
      <c r="F50" s="7">
        <f>IF(H50="ECHEC",0,13000)</f>
        <v>13000</v>
      </c>
      <c r="G50" s="7">
        <f t="shared" si="5"/>
        <v>0</v>
      </c>
      <c r="H50" s="43" t="s">
        <v>217</v>
      </c>
      <c r="I50" s="7">
        <f t="shared" si="13"/>
        <v>20000</v>
      </c>
      <c r="J50" s="7">
        <f>IF(F50=0,0,3000)</f>
        <v>3000</v>
      </c>
      <c r="K50" s="7">
        <f t="shared" si="1"/>
        <v>500</v>
      </c>
      <c r="L50" s="7">
        <f t="shared" si="2"/>
        <v>1000</v>
      </c>
      <c r="M50" s="7">
        <f t="shared" si="3"/>
        <v>2500</v>
      </c>
      <c r="N50" s="7"/>
      <c r="O50" s="7"/>
      <c r="P50" s="7">
        <f t="shared" si="6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2"/>
        <v>15211.293248104794</v>
      </c>
      <c r="D51" s="6">
        <f>TONT20000MAI2017!C51+TONT20000MAI2017!D51+TONT20000JUIN2017!J51</f>
        <v>876272.58784242265</v>
      </c>
      <c r="E51" s="6"/>
      <c r="F51" s="7">
        <f t="shared" si="4"/>
        <v>13000</v>
      </c>
      <c r="G51" s="7">
        <f t="shared" si="5"/>
        <v>1000</v>
      </c>
      <c r="H51" s="43" t="s">
        <v>223</v>
      </c>
      <c r="I51" s="7">
        <f t="shared" si="13"/>
        <v>20000</v>
      </c>
      <c r="J51" s="7">
        <f>IF(F51=0,0,3000)</f>
        <v>3000</v>
      </c>
      <c r="K51" s="7">
        <f t="shared" si="1"/>
        <v>500</v>
      </c>
      <c r="L51" s="7">
        <f t="shared" si="2"/>
        <v>1000</v>
      </c>
      <c r="M51" s="7">
        <f t="shared" si="3"/>
        <v>2500</v>
      </c>
      <c r="N51" s="7"/>
      <c r="O51" s="7"/>
      <c r="P51" s="7">
        <f t="shared" si="6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2"/>
        <v>27777.649049177824</v>
      </c>
      <c r="D52" s="6">
        <f>TONT20000MAI2017!C52+TONT20000MAI2017!D52+TONT20000JUIN2017!J52</f>
        <v>1600179.0261675701</v>
      </c>
      <c r="E52" s="6"/>
      <c r="F52" s="7">
        <f t="shared" si="4"/>
        <v>13000</v>
      </c>
      <c r="G52" s="7">
        <f t="shared" si="5"/>
        <v>0</v>
      </c>
      <c r="H52" s="43" t="s">
        <v>217</v>
      </c>
      <c r="I52" s="7">
        <f t="shared" si="13"/>
        <v>20000</v>
      </c>
      <c r="J52" s="7">
        <f>IF(F52=0,0,3000)</f>
        <v>3000</v>
      </c>
      <c r="K52" s="7">
        <f t="shared" si="1"/>
        <v>500</v>
      </c>
      <c r="L52" s="7">
        <f t="shared" si="2"/>
        <v>1000</v>
      </c>
      <c r="M52" s="7">
        <f t="shared" si="3"/>
        <v>2500</v>
      </c>
      <c r="O52" s="7"/>
      <c r="P52" s="7">
        <f t="shared" si="6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420000.00000000006</v>
      </c>
      <c r="D56" s="9">
        <f>SUM(D5:D52)</f>
        <v>24194818.999999996</v>
      </c>
      <c r="E56" s="9">
        <f>SUM(E5:E52)</f>
        <v>0</v>
      </c>
      <c r="F56" s="9">
        <f>SUM(F5:F52)</f>
        <v>507000</v>
      </c>
      <c r="G56" s="9">
        <f>SUM(G5:G52)+1000</f>
        <v>14000</v>
      </c>
      <c r="H56" s="9"/>
      <c r="I56" s="9">
        <f t="shared" ref="I56:T56" si="14">SUM(I5:I52)</f>
        <v>1838000</v>
      </c>
      <c r="J56" s="9">
        <f t="shared" si="14"/>
        <v>1175000</v>
      </c>
      <c r="K56" s="9">
        <f t="shared" si="14"/>
        <v>19500</v>
      </c>
      <c r="L56" s="9">
        <f t="shared" si="14"/>
        <v>39000</v>
      </c>
      <c r="M56" s="9">
        <f t="shared" si="14"/>
        <v>97500</v>
      </c>
      <c r="N56" s="9">
        <f t="shared" si="14"/>
        <v>0</v>
      </c>
      <c r="O56" s="9">
        <f t="shared" si="14"/>
        <v>3800000</v>
      </c>
      <c r="P56" s="9">
        <f t="shared" si="14"/>
        <v>420000</v>
      </c>
      <c r="Q56" s="9">
        <f t="shared" si="14"/>
        <v>814000</v>
      </c>
      <c r="R56" s="9">
        <f t="shared" si="14"/>
        <v>0</v>
      </c>
      <c r="S56" s="9">
        <f t="shared" si="14"/>
        <v>0</v>
      </c>
      <c r="T56" s="9">
        <f t="shared" si="14"/>
        <v>10000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1175000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12" ht="18" x14ac:dyDescent="0.25">
      <c r="D65" s="9" t="s">
        <v>62</v>
      </c>
      <c r="E65" s="9">
        <f>+F56</f>
        <v>507000</v>
      </c>
    </row>
    <row r="66" spans="4:12" ht="18" x14ac:dyDescent="0.25">
      <c r="D66" s="9" t="s">
        <v>8</v>
      </c>
      <c r="E66" s="9">
        <f>Q56</f>
        <v>814000</v>
      </c>
    </row>
    <row r="67" spans="4:12" ht="18" x14ac:dyDescent="0.25">
      <c r="D67" s="9" t="s">
        <v>219</v>
      </c>
      <c r="E67" s="9">
        <f>G56</f>
        <v>14000</v>
      </c>
    </row>
    <row r="68" spans="4:12" ht="18" x14ac:dyDescent="0.25">
      <c r="D68" s="9"/>
      <c r="E68" s="9"/>
    </row>
    <row r="69" spans="4:12" ht="18" x14ac:dyDescent="0.25">
      <c r="D69" s="9" t="s">
        <v>56</v>
      </c>
      <c r="E69" s="9">
        <f>SUM(E60:E66)</f>
        <v>2652000</v>
      </c>
    </row>
    <row r="71" spans="4:12" ht="18" x14ac:dyDescent="0.25">
      <c r="D71" s="9" t="s">
        <v>225</v>
      </c>
    </row>
    <row r="72" spans="4:12" ht="18" x14ac:dyDescent="0.25">
      <c r="E72" s="9" t="s">
        <v>223</v>
      </c>
      <c r="F72" s="9">
        <f>SUMIFS(I6:I52,H6:H52,"ESPECES")</f>
        <v>274000</v>
      </c>
      <c r="G72" s="9">
        <f>SUMIFS(F6:F52,H6:H52,"ESPECES")</f>
        <v>169000</v>
      </c>
      <c r="H72" s="9">
        <v>27500</v>
      </c>
      <c r="I72" s="9">
        <v>499000</v>
      </c>
      <c r="J72" s="9">
        <v>14000</v>
      </c>
      <c r="K72" s="9">
        <v>300000</v>
      </c>
      <c r="L72" s="9">
        <f>F72+H72+I72+J72+K72</f>
        <v>1114500</v>
      </c>
    </row>
    <row r="73" spans="4:12" ht="18" x14ac:dyDescent="0.25">
      <c r="E73" s="9" t="s">
        <v>217</v>
      </c>
      <c r="F73" s="9">
        <f>SUMIFS(I6:I52,H6:H52,"BANQUE")</f>
        <v>1564000</v>
      </c>
      <c r="G73" s="9">
        <f>SUMIFS(F6:F52,H6:H52,"BANQUE")</f>
        <v>338000</v>
      </c>
      <c r="H73" s="9">
        <v>0</v>
      </c>
      <c r="I73" s="9">
        <v>315000</v>
      </c>
      <c r="J73" s="9"/>
      <c r="L73" s="9">
        <f>F73+H73+I73+J73+K73</f>
        <v>1879000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D5" sqref="D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.28515625" customWidth="1"/>
    <col min="4" max="4" width="23.5703125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TONT20000JUIN2017!C5+TONT20000JUIN2017!D5+TONT20000JUIL2017!J5</f>
        <v>379271.21601137944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TONT20000JUIN2017!C6+TONT20000JUIN2017!D6+TONT20000JUIL2017!J6</f>
        <v>504125.23636882042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TONT20000JUIN2017!C7+TONT20000JUIN2017!D7+TONT20000JUIL2017!J7</f>
        <v>476585.63210773026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223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TONT20000JUIN2017!C8+TONT20000JUIN2017!D8+TONT20000JUIL2017!J8</f>
        <v>479954.34943088394</v>
      </c>
      <c r="E8" s="6"/>
      <c r="F8" s="7">
        <f t="shared" si="1"/>
        <v>13000</v>
      </c>
      <c r="G8" s="7">
        <f t="shared" si="2"/>
        <v>0</v>
      </c>
      <c r="H8" s="43" t="s">
        <v>217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TONT20000JUIN2017!C9+TONT20000JUIN2017!D9+TONT20000JUIL2017!J9</f>
        <v>487397.66776425194</v>
      </c>
      <c r="E9" s="6"/>
      <c r="F9" s="7">
        <f t="shared" si="1"/>
        <v>13000</v>
      </c>
      <c r="G9" s="7">
        <f t="shared" si="2"/>
        <v>0</v>
      </c>
      <c r="H9" s="43" t="s">
        <v>217</v>
      </c>
      <c r="I9" s="7">
        <f t="shared" si="8"/>
        <v>23500</v>
      </c>
      <c r="J9" s="7">
        <f>IF(F9=0,0,3000)+3500</f>
        <v>6500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TONT20000JUIN2017!C10+TONT20000JUIN2017!D10+TONT20000JUIL2017!J10</f>
        <v>494147.68141157646</v>
      </c>
      <c r="E10" s="6"/>
      <c r="F10" s="7">
        <f t="shared" si="1"/>
        <v>13000</v>
      </c>
      <c r="G10" s="7">
        <f t="shared" si="2"/>
        <v>1000</v>
      </c>
      <c r="H10" s="43" t="s">
        <v>223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TONT20000JUIN2017!C11+TONT20000JUIN2017!D11+TONT20000JUIL2017!J11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TONT20000JUIN2017!C12+TONT20000JUIN2017!D12+TONT20000JUIL2017!J12</f>
        <v>1152486.6138572835</v>
      </c>
      <c r="E12" s="6"/>
      <c r="F12" s="7">
        <f t="shared" si="1"/>
        <v>13000</v>
      </c>
      <c r="G12" s="7">
        <f t="shared" si="2"/>
        <v>0</v>
      </c>
      <c r="H12" s="43" t="s">
        <v>217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TONT20000JUIN2017!C13+TONT20000JUIN2017!D13+TONT20000JUIL2017!J13</f>
        <v>476613.40213005175</v>
      </c>
      <c r="E13" s="6"/>
      <c r="F13" s="7">
        <f t="shared" si="1"/>
        <v>13000</v>
      </c>
      <c r="G13" s="7">
        <f t="shared" si="2"/>
        <v>0</v>
      </c>
      <c r="H13" s="43" t="s">
        <v>217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TONT20000JUIN2017!C14+TONT20000JUIN2017!D14+TONT20000JUIL2017!J14</f>
        <v>531087.50514700869</v>
      </c>
      <c r="E14" s="6"/>
      <c r="F14" s="7">
        <f t="shared" si="1"/>
        <v>13000</v>
      </c>
      <c r="G14" s="7">
        <f t="shared" si="2"/>
        <v>0</v>
      </c>
      <c r="H14" s="43" t="s">
        <v>217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TONT20000JUIN2017!C15+TONT20000JUIN2017!D15+TONT20000JUIL2017!J15</f>
        <v>476374.15270697424</v>
      </c>
      <c r="E15" s="6"/>
      <c r="F15" s="7">
        <f t="shared" si="1"/>
        <v>13000</v>
      </c>
      <c r="G15" s="7">
        <f t="shared" si="2"/>
        <v>0</v>
      </c>
      <c r="H15" s="43" t="s">
        <v>217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TONT20000JUIN2017!C16+TONT20000JUIN2017!D16+TONT20000JUIL2017!J16</f>
        <v>544173.59412712243</v>
      </c>
      <c r="E16" s="6"/>
      <c r="F16" s="7">
        <f t="shared" si="1"/>
        <v>13000</v>
      </c>
      <c r="G16" s="7">
        <f t="shared" si="2"/>
        <v>0</v>
      </c>
      <c r="H16" s="43" t="s">
        <v>217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TONT20000JUIN2017!C17+TONT20000JUIN2017!D17+TONT20000JUIL2017!J17</f>
        <v>53681.58930301277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TONT20000JUIN2017!C18+TONT20000JUIN2017!D18+TONT20000JUIL2017!J18</f>
        <v>594036.80536092969</v>
      </c>
      <c r="E18" s="6"/>
      <c r="F18" s="7">
        <f t="shared" si="1"/>
        <v>13000</v>
      </c>
      <c r="G18" s="7">
        <f t="shared" si="2"/>
        <v>0</v>
      </c>
      <c r="H18" s="43" t="s">
        <v>217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TONT20000JUIN2017!C19+TONT20000JUIN2017!D19+TONT20000JUIL2017!J19</f>
        <v>132084.6201984256</v>
      </c>
      <c r="E19" s="6"/>
      <c r="F19" s="7">
        <f t="shared" si="1"/>
        <v>13000</v>
      </c>
      <c r="G19" s="7">
        <f t="shared" si="2"/>
        <v>0</v>
      </c>
      <c r="H19" s="43" t="s">
        <v>217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TONT20000JUIN2017!C20+TONT20000JUIN2017!D20+TONT20000JUIL2017!J20</f>
        <v>3337653.8918153876</v>
      </c>
      <c r="E20" s="6"/>
      <c r="F20" s="7">
        <f t="shared" si="1"/>
        <v>13000</v>
      </c>
      <c r="G20" s="7">
        <f t="shared" si="2"/>
        <v>0</v>
      </c>
      <c r="H20" s="43" t="s">
        <v>217</v>
      </c>
      <c r="I20" s="7">
        <f t="shared" si="8"/>
        <v>23000</v>
      </c>
      <c r="J20" s="7">
        <f>IF(F20=0,0,3000)+3000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TONT20000JUIN2017!C21+TONT20000JUIN2017!D21+TONT20000JUIL2017!J21</f>
        <v>476197.91987301089</v>
      </c>
      <c r="E21" s="6"/>
      <c r="F21" s="7">
        <f t="shared" si="1"/>
        <v>13000</v>
      </c>
      <c r="G21" s="7">
        <f t="shared" si="2"/>
        <v>1000</v>
      </c>
      <c r="H21" s="43" t="s">
        <v>223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2"/>
      <c r="P21" s="7">
        <f t="shared" si="7"/>
        <v>0</v>
      </c>
      <c r="Q21" s="7">
        <v>120000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TONT20000JUIN2017!C22+TONT20000JUIN2017!D22+TONT20000JUIL2017!J22</f>
        <v>496197.46579996991</v>
      </c>
      <c r="E22" s="6"/>
      <c r="F22" s="7">
        <f t="shared" si="1"/>
        <v>13000</v>
      </c>
      <c r="G22" s="7">
        <f t="shared" si="2"/>
        <v>0</v>
      </c>
      <c r="H22" s="43" t="s">
        <v>217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TONT20000JUIN2017!C23+TONT20000JUIN2017!D23+TONT20000JUIL2017!J23</f>
        <v>476549.31746315595</v>
      </c>
      <c r="E23" s="6"/>
      <c r="F23" s="7">
        <f t="shared" si="1"/>
        <v>13000</v>
      </c>
      <c r="G23" s="7">
        <f t="shared" si="2"/>
        <v>0</v>
      </c>
      <c r="H23" s="43" t="s">
        <v>217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TONT20000JUIN2017!C24+TONT20000JUIN2017!D24+TONT20000JUIL2017!J24</f>
        <v>477758.38151192258</v>
      </c>
      <c r="E24" s="6"/>
      <c r="F24" s="7">
        <f t="shared" si="1"/>
        <v>13000</v>
      </c>
      <c r="G24" s="7">
        <f t="shared" si="2"/>
        <v>0</v>
      </c>
      <c r="H24" s="43" t="s">
        <v>217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TONT20000JUIN2017!C25+TONT20000JUIN2017!D25+TONT20000JUIL2017!J25</f>
        <v>473460.92555361014</v>
      </c>
      <c r="E25" s="6"/>
      <c r="F25" s="7">
        <f t="shared" si="1"/>
        <v>13000</v>
      </c>
      <c r="G25" s="7">
        <f t="shared" si="2"/>
        <v>1000</v>
      </c>
      <c r="H25" s="43" t="s">
        <v>223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TONT20000JUIN2017!C26+TONT20000JUIN2017!D26+TONT20000JUIL2017!J26</f>
        <v>476608.06174114381</v>
      </c>
      <c r="E26" s="6"/>
      <c r="F26" s="7">
        <f t="shared" si="1"/>
        <v>13000</v>
      </c>
      <c r="G26" s="7">
        <f t="shared" si="2"/>
        <v>0</v>
      </c>
      <c r="H26" s="43" t="s">
        <v>217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2"/>
      <c r="P26" s="7">
        <f t="shared" si="7"/>
        <v>0</v>
      </c>
      <c r="Q26" s="7">
        <v>100000</v>
      </c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TONT20000JUIN2017!C27+TONT20000JUIN2017!D27+TONT20000JUIL2017!J27</f>
        <v>518503.29084947245</v>
      </c>
      <c r="E27" s="6"/>
      <c r="F27" s="7">
        <f t="shared" si="1"/>
        <v>13000</v>
      </c>
      <c r="G27" s="7">
        <f t="shared" si="2"/>
        <v>0</v>
      </c>
      <c r="H27" s="43" t="s">
        <v>217</v>
      </c>
      <c r="I27" s="7">
        <f t="shared" si="8"/>
        <v>25000</v>
      </c>
      <c r="J27" s="7">
        <f>IF(F27=0,0,3000)+5000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TONT20000JUIN2017!C28+TONT20000JUIN2017!D28+TONT20000JUIL2017!J28</f>
        <v>448592.66827030183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TONT20000JUIN2017!C29+TONT20000JUIN2017!D29+TONT20000JUIL2017!J29</f>
        <v>486758.88846252603</v>
      </c>
      <c r="E29" s="6"/>
      <c r="F29" s="7">
        <f t="shared" si="1"/>
        <v>13000</v>
      </c>
      <c r="G29" s="7">
        <f t="shared" si="2"/>
        <v>0</v>
      </c>
      <c r="H29" s="43" t="s">
        <v>217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2"/>
      <c r="P29" s="7">
        <f t="shared" si="7"/>
        <v>0</v>
      </c>
      <c r="Q29" s="7">
        <v>100000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TONT20000JUIN2017!C30+TONT20000JUIN2017!D30+TONT20000JUIL2017!J30</f>
        <v>67225.400659137202</v>
      </c>
      <c r="E30" s="6"/>
      <c r="F30" s="7">
        <f t="shared" si="1"/>
        <v>13000</v>
      </c>
      <c r="G30" s="7">
        <f t="shared" si="2"/>
        <v>1000</v>
      </c>
      <c r="H30" s="43" t="s">
        <v>223</v>
      </c>
      <c r="I30" s="7">
        <f t="shared" si="8"/>
        <v>20000</v>
      </c>
      <c r="J30" s="7">
        <f t="shared" si="3"/>
        <v>3000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TONT20000JUIN2017!C31+TONT20000JUIN2017!D31+TONT20000JUIL2017!J31</f>
        <v>516545.62615057972</v>
      </c>
      <c r="E31" s="6"/>
      <c r="F31" s="7">
        <f t="shared" si="1"/>
        <v>13000</v>
      </c>
      <c r="G31" s="7">
        <f t="shared" si="2"/>
        <v>0</v>
      </c>
      <c r="H31" s="43" t="s">
        <v>217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TONT20000JUIN2017!C32+TONT20000JUIN2017!D32+TONT20000JUIL2017!J32</f>
        <v>481979.559747127</v>
      </c>
      <c r="E32" s="6"/>
      <c r="F32" s="7">
        <f t="shared" si="1"/>
        <v>13000</v>
      </c>
      <c r="G32" s="7">
        <f t="shared" si="2"/>
        <v>1000</v>
      </c>
      <c r="H32" s="43" t="s">
        <v>223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TONT20000JUIN2017!C33+TONT20000JUIN2017!D33+TONT20000JUIL2017!J33</f>
        <v>575463.55439771607</v>
      </c>
      <c r="E33" s="6"/>
      <c r="F33" s="7">
        <f t="shared" si="1"/>
        <v>13000</v>
      </c>
      <c r="G33" s="7">
        <f t="shared" si="2"/>
        <v>1000</v>
      </c>
      <c r="H33" s="43" t="s">
        <v>223</v>
      </c>
      <c r="I33" s="7">
        <f t="shared" si="8"/>
        <v>23000</v>
      </c>
      <c r="J33" s="7">
        <f>IF(F33=0,0,3000)+3000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TONT20000JUIN2017!C34+TONT20000JUIN2017!D34+TONT20000JUIL2017!J34</f>
        <v>625261.93743111461</v>
      </c>
      <c r="E34" s="6"/>
      <c r="F34" s="7">
        <f t="shared" si="1"/>
        <v>13000</v>
      </c>
      <c r="G34" s="7">
        <f t="shared" si="2"/>
        <v>0</v>
      </c>
      <c r="H34" s="43" t="s">
        <v>217</v>
      </c>
      <c r="I34" s="7">
        <f t="shared" si="8"/>
        <v>25000</v>
      </c>
      <c r="J34" s="7">
        <f>IF(F34=0,0,3000)+5000</f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TONT20000JUIN2017!C35+TONT20000JUIN2017!D35+TONT20000JUIL2017!J35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TONT20000JUIN2017!C36+TONT20000JUIN2017!D36+TONT20000JUIL2017!J36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TONT20000JUIN2017!C37+TONT20000JUIN2017!D37+TONT20000JUIL2017!J37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TONT20000JUIN2017!C38+TONT20000JUIN2017!D38+TONT20000JUIL2017!J38</f>
        <v>476322.88497345761</v>
      </c>
      <c r="E38" s="6"/>
      <c r="F38" s="7">
        <f t="shared" si="1"/>
        <v>13000</v>
      </c>
      <c r="G38" s="7">
        <f t="shared" si="2"/>
        <v>0</v>
      </c>
      <c r="H38" s="43" t="s">
        <v>217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TONT20000JUIN2017!C39+TONT20000JUIN2017!D39+TONT20000JUIL2017!J39</f>
        <v>480896.39403425157</v>
      </c>
      <c r="E39" s="6"/>
      <c r="F39" s="7">
        <f t="shared" si="1"/>
        <v>13000</v>
      </c>
      <c r="G39" s="7">
        <f t="shared" si="2"/>
        <v>1000</v>
      </c>
      <c r="H39" s="43" t="s">
        <v>223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TONT20000JUIN2017!C40+TONT20000JUIN2017!D40+TONT20000JUIL2017!J40</f>
        <v>439019.9835703026</v>
      </c>
      <c r="E40" s="6"/>
      <c r="F40" s="7">
        <f t="shared" si="1"/>
        <v>13000</v>
      </c>
      <c r="G40" s="7">
        <f t="shared" si="2"/>
        <v>1000</v>
      </c>
      <c r="H40" s="43" t="s">
        <v>223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TONT20000JUIN2017!C41+TONT20000JUIN2017!D41+TONT20000JUIL2017!J41</f>
        <v>478928.99476055178</v>
      </c>
      <c r="E41" s="6"/>
      <c r="F41" s="7">
        <f t="shared" si="1"/>
        <v>13000</v>
      </c>
      <c r="G41" s="7">
        <f t="shared" si="2"/>
        <v>1000</v>
      </c>
      <c r="H41" s="43" t="s">
        <v>223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TONT20000JUIN2017!C42+TONT20000JUIN2017!D42+TONT20000JUIL2017!J42</f>
        <v>478516.71673685574</v>
      </c>
      <c r="E42" s="6"/>
      <c r="F42" s="7">
        <f t="shared" si="1"/>
        <v>13000</v>
      </c>
      <c r="G42" s="7">
        <f t="shared" si="2"/>
        <v>0</v>
      </c>
      <c r="H42" s="43" t="s">
        <v>217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2"/>
      <c r="P42" s="7">
        <f t="shared" si="7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TONT20000JUIN2017!C43+TONT20000JUIN2017!D43+TONT20000JUIL2017!J43</f>
        <v>644667.47412428691</v>
      </c>
      <c r="E43" s="6"/>
      <c r="F43" s="7">
        <f t="shared" si="1"/>
        <v>13000</v>
      </c>
      <c r="G43" s="7">
        <f t="shared" si="2"/>
        <v>0</v>
      </c>
      <c r="H43" s="43" t="s">
        <v>217</v>
      </c>
      <c r="I43" s="7">
        <f t="shared" si="8"/>
        <v>25000</v>
      </c>
      <c r="J43" s="7">
        <f>IF(F43=0,0,3000)+5000</f>
        <v>8000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2"/>
      <c r="P43" s="7">
        <f t="shared" si="7"/>
        <v>0</v>
      </c>
      <c r="Q43" s="7">
        <v>300000</v>
      </c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0</v>
      </c>
      <c r="D44" s="6">
        <f>TONT20000JUIN2017!C44+TONT20000JUIN2017!D44+TONT20000JUIL2017!J44</f>
        <v>443369.48117787752</v>
      </c>
      <c r="E44" s="6"/>
      <c r="F44" s="7">
        <f t="shared" si="1"/>
        <v>13000</v>
      </c>
      <c r="G44" s="7">
        <f t="shared" si="2"/>
        <v>0</v>
      </c>
      <c r="H44" s="43" t="s">
        <v>217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TONT20000JUIN2017!C45+TONT20000JUIN2017!D45+TONT20000JUIL2017!J45</f>
        <v>40941.270783716238</v>
      </c>
      <c r="E45" s="6"/>
      <c r="F45" s="7">
        <f t="shared" si="1"/>
        <v>13000</v>
      </c>
      <c r="G45" s="7">
        <f t="shared" si="2"/>
        <v>0</v>
      </c>
      <c r="H45" s="43" t="s">
        <v>217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TONT20000JUIN2017!C46+TONT20000JUIN2017!D46+TONT20000JUIL2017!J46</f>
        <v>476515.13897414494</v>
      </c>
      <c r="E46" s="6"/>
      <c r="F46" s="7">
        <f t="shared" si="1"/>
        <v>13000</v>
      </c>
      <c r="G46" s="7">
        <f t="shared" si="2"/>
        <v>0</v>
      </c>
      <c r="H46" s="43" t="s">
        <v>217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TONT20000JUIN2017!C47+TONT20000JUIN2017!D47+TONT20000JUIL2017!J47</f>
        <v>544369.27800615446</v>
      </c>
      <c r="E47" s="6"/>
      <c r="F47" s="7">
        <f t="shared" si="1"/>
        <v>13000</v>
      </c>
      <c r="G47" s="7">
        <f t="shared" si="2"/>
        <v>1000</v>
      </c>
      <c r="H47" s="43" t="s">
        <v>223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TONT20000JUIN2017!C48+TONT20000JUIN2017!D48+TONT20000JUIL2017!J48</f>
        <v>25087.792271487451</v>
      </c>
      <c r="E48" s="6"/>
      <c r="F48" s="7">
        <f t="shared" si="1"/>
        <v>13000</v>
      </c>
      <c r="G48" s="7">
        <f t="shared" si="2"/>
        <v>1000</v>
      </c>
      <c r="H48" s="43" t="s">
        <v>223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TONT20000JUIN2017!C49+TONT20000JUIN2017!D49+TONT20000JUIL2017!J49</f>
        <v>512112.21939888701</v>
      </c>
      <c r="E49" s="6"/>
      <c r="F49" s="7">
        <f t="shared" si="1"/>
        <v>13000</v>
      </c>
      <c r="G49" s="7">
        <f t="shared" si="2"/>
        <v>1000</v>
      </c>
      <c r="H49" s="43" t="s">
        <v>223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TONT20000JUIN2017!C50+TONT20000JUIN2017!D50+TONT20000JUIL2017!J50</f>
        <v>473353.85922912398</v>
      </c>
      <c r="E50" s="6"/>
      <c r="F50" s="7">
        <f>IF(H50="ECHEC",0,13000)</f>
        <v>0</v>
      </c>
      <c r="G50" s="7">
        <f t="shared" si="2"/>
        <v>0</v>
      </c>
      <c r="H50" s="43" t="s">
        <v>216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TONT20000JUIN2017!C51+TONT20000JUIN2017!D51+TONT20000JUIL2017!J51</f>
        <v>894483.8810905274</v>
      </c>
      <c r="E51" s="6"/>
      <c r="F51" s="7">
        <f t="shared" si="1"/>
        <v>13000</v>
      </c>
      <c r="G51" s="7">
        <f t="shared" si="2"/>
        <v>1000</v>
      </c>
      <c r="H51" s="43" t="s">
        <v>223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0</v>
      </c>
      <c r="D52" s="6">
        <f>TONT20000JUIN2017!C52+TONT20000JUIN2017!D52+TONT20000JUIL2017!J52</f>
        <v>1630956.6752167479</v>
      </c>
      <c r="E52" s="6"/>
      <c r="F52" s="7">
        <f t="shared" si="1"/>
        <v>13000</v>
      </c>
      <c r="G52" s="7">
        <f t="shared" si="2"/>
        <v>0</v>
      </c>
      <c r="H52" s="43" t="s">
        <v>217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24756319</v>
      </c>
      <c r="E56" s="9">
        <f>SUM(E5:E52)</f>
        <v>0</v>
      </c>
      <c r="F56" s="9">
        <f>SUM(F5:F52)</f>
        <v>507000</v>
      </c>
      <c r="G56" s="9">
        <f>SUM(G5:G52)+1000</f>
        <v>15000</v>
      </c>
      <c r="H56" s="9"/>
      <c r="I56" s="9">
        <f t="shared" ref="I56:T56" si="12">SUM(I5:I52)</f>
        <v>804500</v>
      </c>
      <c r="J56" s="9">
        <f t="shared" si="12"/>
        <v>141500</v>
      </c>
      <c r="K56" s="9">
        <f t="shared" si="12"/>
        <v>19500</v>
      </c>
      <c r="L56" s="9">
        <f t="shared" si="12"/>
        <v>39000</v>
      </c>
      <c r="M56" s="9">
        <f t="shared" si="12"/>
        <v>97500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720000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141500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 t="s">
        <v>219</v>
      </c>
      <c r="E67" s="9">
        <f>G56</f>
        <v>15000</v>
      </c>
    </row>
    <row r="68" spans="4:7" ht="18" x14ac:dyDescent="0.25">
      <c r="D68" s="9" t="s">
        <v>56</v>
      </c>
      <c r="E68" s="9">
        <f>SUM(E60:E66)</f>
        <v>804500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283000</v>
      </c>
      <c r="G71" s="9">
        <f>SUMIFS(F6:F52,H6:H52,"ESPECES")</f>
        <v>182000</v>
      </c>
    </row>
    <row r="72" spans="4:7" ht="18" x14ac:dyDescent="0.25">
      <c r="E72" s="9" t="s">
        <v>217</v>
      </c>
      <c r="F72" s="9">
        <f>SUMIFS(I6:I52,H6:H52,"BANQUE")</f>
        <v>521500</v>
      </c>
      <c r="G72" s="9">
        <f>SUMIFS(F6:F52,H6:H52,"BANQUE")</f>
        <v>325000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A9" sqref="A9:XFD9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68.729806187299999</v>
      </c>
      <c r="D5" s="6">
        <f>TONT20000JUIL2017!C5+TONT20000JUIL2017!D5+TONT20000AOUT2017!J5</f>
        <v>379271.21601137944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92.261361641644982</v>
      </c>
      <c r="D6" s="6">
        <f>TONT20000JUIL2017!C6+TONT20000JUIL2017!D6+TONT20000AOUT2017!K6</f>
        <v>509125.23636882042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J6" s="7">
        <v>30000</v>
      </c>
      <c r="K6" s="7">
        <v>5000</v>
      </c>
      <c r="L6" s="7">
        <v>10000</v>
      </c>
      <c r="M6" s="7">
        <v>25000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86.455290159762612</v>
      </c>
      <c r="D7" s="6">
        <f>TONT20000JUIL2017!C7+TONT20000JUIL2017!D7+TONT20000AOUT2017!K7</f>
        <v>477085.63210773026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216</v>
      </c>
      <c r="J7" s="7">
        <v>3000</v>
      </c>
      <c r="K7" s="7">
        <v>500</v>
      </c>
      <c r="L7" s="7">
        <v>1000</v>
      </c>
      <c r="M7" s="7">
        <v>2500</v>
      </c>
      <c r="N7" s="7"/>
      <c r="O7" s="7"/>
      <c r="P7" s="7">
        <f t="shared" ref="P7:P52" si="3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87.065753804104148</v>
      </c>
      <c r="D8" s="6">
        <f>TONT20000JUIL2017!C8+TONT20000JUIL2017!D8+TONT20000AOUT2017!K8</f>
        <v>480454.34943088394</v>
      </c>
      <c r="E8" s="6"/>
      <c r="F8" s="7">
        <f t="shared" si="1"/>
        <v>0</v>
      </c>
      <c r="G8" s="7">
        <f t="shared" si="2"/>
        <v>0</v>
      </c>
      <c r="H8" s="43" t="s">
        <v>216</v>
      </c>
      <c r="J8" s="7">
        <v>3000</v>
      </c>
      <c r="K8" s="7">
        <v>500</v>
      </c>
      <c r="L8" s="7">
        <v>1000</v>
      </c>
      <c r="M8" s="7">
        <v>2500</v>
      </c>
      <c r="N8" s="7"/>
      <c r="O8" s="2"/>
      <c r="P8" s="7">
        <f t="shared" si="3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88.414598126704703</v>
      </c>
      <c r="D9" s="6">
        <f>TONT20000JUIL2017!C9+TONT20000JUIL2017!D9+TONT20000AOUT2017!K9</f>
        <v>487897.66776425194</v>
      </c>
      <c r="E9" s="6"/>
      <c r="F9" s="7">
        <f t="shared" si="1"/>
        <v>0</v>
      </c>
      <c r="G9" s="7">
        <f t="shared" si="2"/>
        <v>0</v>
      </c>
      <c r="H9" s="43" t="s">
        <v>216</v>
      </c>
      <c r="J9" s="7">
        <v>3000</v>
      </c>
      <c r="K9" s="7">
        <v>500</v>
      </c>
      <c r="L9" s="7">
        <v>1000</v>
      </c>
      <c r="M9" s="7">
        <v>2500</v>
      </c>
      <c r="N9" s="7"/>
      <c r="O9" s="2"/>
      <c r="P9" s="7">
        <f t="shared" si="3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89.637804924787488</v>
      </c>
      <c r="D10" s="6">
        <f>TONT20000JUIL2017!C10+TONT20000JUIL2017!D10+TONT20000AOUT2017!K10</f>
        <v>494647.68141157646</v>
      </c>
      <c r="E10" s="6"/>
      <c r="F10" s="7">
        <f t="shared" si="1"/>
        <v>0</v>
      </c>
      <c r="G10" s="7">
        <f t="shared" si="2"/>
        <v>0</v>
      </c>
      <c r="H10" s="43" t="s">
        <v>216</v>
      </c>
      <c r="J10" s="7">
        <v>3000</v>
      </c>
      <c r="K10" s="7">
        <v>500</v>
      </c>
      <c r="L10" s="7">
        <v>1000</v>
      </c>
      <c r="M10" s="7">
        <v>2500</v>
      </c>
      <c r="N10" s="7"/>
      <c r="O10" s="2"/>
      <c r="P10" s="7">
        <f t="shared" si="3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TONT20000JUIL2017!C11+TONT20000JUIL2017!D11+TONT20000AOUT2017!K11</f>
        <v>0</v>
      </c>
      <c r="E11" s="6"/>
      <c r="F11" s="7"/>
      <c r="G11" s="7"/>
      <c r="H11" s="43"/>
      <c r="J11" s="7"/>
      <c r="K11" s="7"/>
      <c r="L11" s="7"/>
      <c r="M11" s="7">
        <f>IF(H11=0,0,2500)</f>
        <v>0</v>
      </c>
      <c r="N11" s="7"/>
      <c r="O11" s="2"/>
      <c r="P11" s="7">
        <f t="shared" si="3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34" si="4">$P$56/$D$56*D12</f>
        <v>208.93899447561768</v>
      </c>
      <c r="D12" s="6">
        <f>TONT20000JUIL2017!C12+TONT20000JUIL2017!D12+TONT20000AOUT2017!K12</f>
        <v>1152986.6138572835</v>
      </c>
      <c r="E12" s="6"/>
      <c r="F12" s="7">
        <f t="shared" si="1"/>
        <v>0</v>
      </c>
      <c r="G12" s="7">
        <f t="shared" si="2"/>
        <v>0</v>
      </c>
      <c r="H12" s="43" t="s">
        <v>216</v>
      </c>
      <c r="J12" s="7">
        <v>203000</v>
      </c>
      <c r="K12" s="7">
        <v>500</v>
      </c>
      <c r="L12" s="7">
        <v>1000</v>
      </c>
      <c r="M12" s="7">
        <v>2500</v>
      </c>
      <c r="N12" s="7"/>
      <c r="O12" s="2"/>
      <c r="P12" s="7">
        <f t="shared" si="3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4"/>
        <v>86.460322517008294</v>
      </c>
      <c r="D13" s="6">
        <f>TONT20000JUIL2017!C13+TONT20000JUIL2017!D13+TONT20000AOUT2017!K13</f>
        <v>477113.40213005175</v>
      </c>
      <c r="E13" s="6"/>
      <c r="F13" s="7">
        <f t="shared" si="1"/>
        <v>0</v>
      </c>
      <c r="G13" s="7">
        <f t="shared" si="2"/>
        <v>0</v>
      </c>
      <c r="H13" s="43" t="s">
        <v>216</v>
      </c>
      <c r="J13" s="7">
        <v>3000</v>
      </c>
      <c r="K13" s="7">
        <v>500</v>
      </c>
      <c r="L13" s="7">
        <v>1000</v>
      </c>
      <c r="M13" s="7">
        <v>2500</v>
      </c>
      <c r="N13" s="7"/>
      <c r="O13" s="2"/>
      <c r="P13" s="7">
        <f t="shared" si="3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4"/>
        <v>96.331871911018013</v>
      </c>
      <c r="D14" s="6">
        <f>TONT20000JUIL2017!C14+TONT20000JUIL2017!D14+TONT20000AOUT2017!K14</f>
        <v>531587.50514700869</v>
      </c>
      <c r="E14" s="6"/>
      <c r="F14" s="7">
        <f t="shared" si="1"/>
        <v>0</v>
      </c>
      <c r="G14" s="7">
        <f t="shared" si="2"/>
        <v>0</v>
      </c>
      <c r="H14" s="43" t="s">
        <v>216</v>
      </c>
      <c r="J14" s="7">
        <v>3000</v>
      </c>
      <c r="K14" s="7">
        <v>500</v>
      </c>
      <c r="L14" s="7">
        <v>1000</v>
      </c>
      <c r="M14" s="7">
        <v>2500</v>
      </c>
      <c r="N14" s="7"/>
      <c r="O14" s="2"/>
      <c r="P14" s="7">
        <f t="shared" si="3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4"/>
        <v>86.416966823814718</v>
      </c>
      <c r="D15" s="6">
        <f>TONT20000JUIL2017!C15+TONT20000JUIL2017!D15+TONT20000AOUT2017!K15</f>
        <v>476874.15270697424</v>
      </c>
      <c r="E15" s="6"/>
      <c r="F15" s="7">
        <f t="shared" si="1"/>
        <v>0</v>
      </c>
      <c r="G15" s="7">
        <f t="shared" si="2"/>
        <v>0</v>
      </c>
      <c r="H15" s="43" t="s">
        <v>216</v>
      </c>
      <c r="J15" s="7">
        <v>3000</v>
      </c>
      <c r="K15" s="7">
        <v>500</v>
      </c>
      <c r="L15" s="7">
        <v>1000</v>
      </c>
      <c r="M15" s="7">
        <v>2500</v>
      </c>
      <c r="N15" s="7"/>
      <c r="O15" s="2"/>
      <c r="P15" s="7">
        <f t="shared" si="3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4"/>
        <v>98.70327348694461</v>
      </c>
      <c r="D16" s="6">
        <f>TONT20000JUIL2017!C16+TONT20000JUIL2017!D16+TONT20000AOUT2017!K16</f>
        <v>544673.59412712243</v>
      </c>
      <c r="E16" s="6"/>
      <c r="F16" s="7">
        <f t="shared" si="1"/>
        <v>0</v>
      </c>
      <c r="G16" s="7">
        <f t="shared" si="2"/>
        <v>0</v>
      </c>
      <c r="H16" s="43" t="s">
        <v>216</v>
      </c>
      <c r="J16" s="7">
        <v>3000</v>
      </c>
      <c r="K16" s="7">
        <v>500</v>
      </c>
      <c r="L16" s="7">
        <v>1000</v>
      </c>
      <c r="M16" s="7">
        <v>2500</v>
      </c>
      <c r="N16" s="7"/>
      <c r="O16" s="2"/>
      <c r="P16" s="7">
        <f t="shared" si="3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4"/>
        <v>9.72793366030605</v>
      </c>
      <c r="D17" s="6">
        <f>TONT20000JUIL2017!C17+TONT20000JUIL2017!D17+TONT20000AOUT2017!K17</f>
        <v>53681.58930301277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J17" s="7">
        <v>0</v>
      </c>
      <c r="K17" s="7">
        <v>0</v>
      </c>
      <c r="L17" s="7">
        <v>0</v>
      </c>
      <c r="M17" s="7">
        <v>0</v>
      </c>
      <c r="N17" s="7"/>
      <c r="O17" s="2"/>
      <c r="P17" s="7">
        <f t="shared" si="3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4"/>
        <v>107.73925802596945</v>
      </c>
      <c r="D18" s="6">
        <f>TONT20000JUIL2017!C18+TONT20000JUIL2017!D18+TONT20000AOUT2017!K18</f>
        <v>594536.80536092969</v>
      </c>
      <c r="E18" s="6"/>
      <c r="F18" s="7">
        <f t="shared" si="1"/>
        <v>0</v>
      </c>
      <c r="G18" s="7">
        <f t="shared" si="2"/>
        <v>0</v>
      </c>
      <c r="H18" s="43" t="s">
        <v>216</v>
      </c>
      <c r="J18" s="7">
        <v>3000</v>
      </c>
      <c r="K18" s="7">
        <v>500</v>
      </c>
      <c r="L18" s="7">
        <v>1000</v>
      </c>
      <c r="M18" s="7">
        <v>2500</v>
      </c>
      <c r="N18" s="7"/>
      <c r="O18" s="2"/>
      <c r="P18" s="7">
        <f t="shared" si="3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4"/>
        <v>23.935774620683439</v>
      </c>
      <c r="D19" s="6">
        <f>TONT20000JUIL2017!C19+TONT20000JUIL2017!D19+TONT20000AOUT2017!K19</f>
        <v>132084.6201984256</v>
      </c>
      <c r="E19" s="6"/>
      <c r="F19" s="7">
        <f t="shared" si="1"/>
        <v>0</v>
      </c>
      <c r="G19" s="7">
        <f t="shared" si="2"/>
        <v>0</v>
      </c>
      <c r="H19" s="43" t="s">
        <v>216</v>
      </c>
      <c r="J19" s="7">
        <v>0</v>
      </c>
      <c r="K19" s="7">
        <v>0</v>
      </c>
      <c r="L19" s="7">
        <v>0</v>
      </c>
      <c r="M19" s="7">
        <v>0</v>
      </c>
      <c r="N19" s="7"/>
      <c r="O19" s="2"/>
      <c r="P19" s="7">
        <f t="shared" si="3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4"/>
        <v>604.9250782083318</v>
      </c>
      <c r="D20" s="6">
        <f>TONT20000JUIL2017!C20+TONT20000JUIL2017!D20+TONT20000AOUT2017!K20</f>
        <v>3338153.8918153876</v>
      </c>
      <c r="E20" s="6"/>
      <c r="F20" s="7">
        <f t="shared" si="1"/>
        <v>0</v>
      </c>
      <c r="G20" s="7">
        <f t="shared" si="2"/>
        <v>0</v>
      </c>
      <c r="H20" s="43" t="s">
        <v>216</v>
      </c>
      <c r="J20" s="7">
        <v>6000</v>
      </c>
      <c r="K20" s="7">
        <v>500</v>
      </c>
      <c r="L20" s="7">
        <v>1000</v>
      </c>
      <c r="M20" s="7">
        <v>2500</v>
      </c>
      <c r="N20" s="7"/>
      <c r="O20" s="2"/>
      <c r="P20" s="7">
        <f t="shared" si="3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4"/>
        <v>86.385030710524816</v>
      </c>
      <c r="D21" s="6">
        <f>TONT20000JUIL2017!C21+TONT20000JUIL2017!D21+TONT20000AOUT2017!K21</f>
        <v>476697.91987301089</v>
      </c>
      <c r="E21" s="6"/>
      <c r="F21" s="7">
        <f t="shared" si="1"/>
        <v>0</v>
      </c>
      <c r="G21" s="7">
        <f t="shared" si="2"/>
        <v>0</v>
      </c>
      <c r="H21" s="43" t="s">
        <v>216</v>
      </c>
      <c r="J21" s="7">
        <v>3000</v>
      </c>
      <c r="K21" s="7">
        <v>500</v>
      </c>
      <c r="L21" s="7">
        <v>1000</v>
      </c>
      <c r="M21" s="7">
        <v>2500</v>
      </c>
      <c r="N21" s="7"/>
      <c r="O21" s="2"/>
      <c r="P21" s="7">
        <f t="shared" si="3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4"/>
        <v>90.009257536513786</v>
      </c>
      <c r="D22" s="6">
        <f>TONT20000JUIL2017!C22+TONT20000JUIL2017!D22+TONT20000AOUT2017!K22</f>
        <v>496697.46579996991</v>
      </c>
      <c r="E22" s="6"/>
      <c r="F22" s="7">
        <f t="shared" si="1"/>
        <v>0</v>
      </c>
      <c r="G22" s="7">
        <f t="shared" si="2"/>
        <v>0</v>
      </c>
      <c r="H22" s="43" t="s">
        <v>216</v>
      </c>
      <c r="J22" s="7">
        <v>3000</v>
      </c>
      <c r="K22" s="7">
        <v>500</v>
      </c>
      <c r="L22" s="7">
        <v>1000</v>
      </c>
      <c r="M22" s="7">
        <v>2500</v>
      </c>
      <c r="N22" s="7"/>
      <c r="O22" s="2"/>
      <c r="P22" s="7">
        <f t="shared" si="3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4"/>
        <v>86.44870938490287</v>
      </c>
      <c r="D23" s="6">
        <f>TONT20000JUIL2017!C23+TONT20000JUIL2017!D23+TONT20000AOUT2017!K23</f>
        <v>477049.31746315595</v>
      </c>
      <c r="E23" s="6"/>
      <c r="F23" s="7">
        <f t="shared" si="1"/>
        <v>0</v>
      </c>
      <c r="G23" s="7">
        <f t="shared" si="2"/>
        <v>0</v>
      </c>
      <c r="H23" s="43" t="s">
        <v>216</v>
      </c>
      <c r="J23" s="7">
        <v>3000</v>
      </c>
      <c r="K23" s="7">
        <v>500</v>
      </c>
      <c r="L23" s="7">
        <v>1000</v>
      </c>
      <c r="M23" s="7">
        <v>2500</v>
      </c>
      <c r="N23" s="7"/>
      <c r="O23" s="2"/>
      <c r="P23" s="7">
        <f t="shared" si="3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4"/>
        <v>86.667810477291766</v>
      </c>
      <c r="D24" s="6">
        <f>TONT20000JUIL2017!C24+TONT20000JUIL2017!D24+TONT20000AOUT2017!K24</f>
        <v>478258.38151192258</v>
      </c>
      <c r="E24" s="6"/>
      <c r="F24" s="7">
        <f t="shared" si="1"/>
        <v>0</v>
      </c>
      <c r="G24" s="7">
        <f t="shared" si="2"/>
        <v>0</v>
      </c>
      <c r="H24" s="43" t="s">
        <v>216</v>
      </c>
      <c r="J24" s="7">
        <v>3000</v>
      </c>
      <c r="K24" s="7">
        <v>500</v>
      </c>
      <c r="L24" s="7">
        <v>1000</v>
      </c>
      <c r="M24" s="7">
        <v>2500</v>
      </c>
      <c r="N24" s="7"/>
      <c r="O24" s="7"/>
      <c r="P24" s="7">
        <f t="shared" si="3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4"/>
        <v>85.889045038091112</v>
      </c>
      <c r="D25" s="6">
        <f>TONT20000JUIL2017!C25+TONT20000JUIL2017!D25+TONT20000AOUT2017!K25</f>
        <v>473960.92555361014</v>
      </c>
      <c r="E25" s="6"/>
      <c r="F25" s="7">
        <f t="shared" si="1"/>
        <v>0</v>
      </c>
      <c r="G25" s="7">
        <f t="shared" si="2"/>
        <v>0</v>
      </c>
      <c r="H25" s="43" t="s">
        <v>216</v>
      </c>
      <c r="J25" s="7">
        <v>3000</v>
      </c>
      <c r="K25" s="7">
        <v>500</v>
      </c>
      <c r="L25" s="7">
        <v>1000</v>
      </c>
      <c r="M25" s="7">
        <v>2500</v>
      </c>
      <c r="N25" s="7"/>
      <c r="O25" s="2">
        <v>150000</v>
      </c>
      <c r="P25" s="7">
        <f t="shared" si="3"/>
        <v>4500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4"/>
        <v>86.459354755999513</v>
      </c>
      <c r="D26" s="6">
        <f>TONT20000JUIL2017!C26+TONT20000JUIL2017!D26+TONT20000AOUT2017!K26</f>
        <v>477108.06174114381</v>
      </c>
      <c r="E26" s="6"/>
      <c r="F26" s="7">
        <f t="shared" si="1"/>
        <v>0</v>
      </c>
      <c r="G26" s="7">
        <f t="shared" si="2"/>
        <v>0</v>
      </c>
      <c r="H26" s="43" t="s">
        <v>216</v>
      </c>
      <c r="J26" s="7">
        <v>3000</v>
      </c>
      <c r="K26" s="7">
        <v>500</v>
      </c>
      <c r="L26" s="7">
        <v>1000</v>
      </c>
      <c r="M26" s="7">
        <v>2500</v>
      </c>
      <c r="N26" s="7"/>
      <c r="O26" s="2"/>
      <c r="P26" s="7">
        <f t="shared" si="3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4"/>
        <v>94.051417784324769</v>
      </c>
      <c r="D27" s="6">
        <f>TONT20000JUIL2017!C27+TONT20000JUIL2017!D27+TONT20000AOUT2017!K27</f>
        <v>519003.29084947245</v>
      </c>
      <c r="E27" s="6"/>
      <c r="F27" s="7">
        <f t="shared" si="1"/>
        <v>0</v>
      </c>
      <c r="G27" s="7">
        <f t="shared" si="2"/>
        <v>0</v>
      </c>
      <c r="H27" s="43" t="s">
        <v>216</v>
      </c>
      <c r="J27" s="7">
        <v>8000</v>
      </c>
      <c r="K27" s="7">
        <v>500</v>
      </c>
      <c r="L27" s="7">
        <v>1000</v>
      </c>
      <c r="M27" s="7">
        <v>2500</v>
      </c>
      <c r="N27" s="7"/>
      <c r="O27" s="7"/>
      <c r="P27" s="7">
        <f t="shared" si="3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4"/>
        <v>81.38253246570963</v>
      </c>
      <c r="D28" s="6">
        <f>TONT20000JUIL2017!C28+TONT20000JUIL2017!D28+TONT20000AOUT2017!K28</f>
        <v>449092.66827030183</v>
      </c>
      <c r="E28" s="6"/>
      <c r="F28" s="7"/>
      <c r="G28" s="7"/>
      <c r="H28" s="43"/>
      <c r="J28" s="7">
        <v>3000</v>
      </c>
      <c r="K28" s="7">
        <v>500</v>
      </c>
      <c r="L28" s="7">
        <v>1000</v>
      </c>
      <c r="M28" s="7">
        <v>2500</v>
      </c>
      <c r="N28" s="7"/>
      <c r="O28" s="7"/>
      <c r="P28" s="7">
        <f t="shared" si="3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si="4"/>
        <v>88.298841444545189</v>
      </c>
      <c r="D29" s="6">
        <f>TONT20000JUIL2017!C29+TONT20000JUIL2017!D29+TONT20000AOUT2017!K29</f>
        <v>487258.88846252603</v>
      </c>
      <c r="E29" s="6"/>
      <c r="F29" s="7">
        <f t="shared" si="1"/>
        <v>0</v>
      </c>
      <c r="G29" s="7">
        <f t="shared" si="2"/>
        <v>0</v>
      </c>
      <c r="H29" s="43" t="s">
        <v>216</v>
      </c>
      <c r="J29" s="7">
        <v>3000</v>
      </c>
      <c r="K29" s="7">
        <v>500</v>
      </c>
      <c r="L29" s="7">
        <v>1000</v>
      </c>
      <c r="M29" s="7">
        <v>2500</v>
      </c>
      <c r="N29" s="7"/>
      <c r="O29" s="2"/>
      <c r="P29" s="7">
        <f t="shared" si="3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4"/>
        <v>12.182281605117806</v>
      </c>
      <c r="D30" s="6">
        <f>TONT20000JUIL2017!C30+TONT20000JUIL2017!D30+TONT20000AOUT2017!K30</f>
        <v>67225.400659137202</v>
      </c>
      <c r="E30" s="6"/>
      <c r="F30" s="7">
        <f t="shared" si="1"/>
        <v>0</v>
      </c>
      <c r="G30" s="7">
        <f t="shared" si="2"/>
        <v>0</v>
      </c>
      <c r="H30" s="43" t="s">
        <v>216</v>
      </c>
      <c r="J30" s="7">
        <v>0</v>
      </c>
      <c r="K30" s="7">
        <v>0</v>
      </c>
      <c r="L30" s="7">
        <v>0</v>
      </c>
      <c r="M30" s="7">
        <v>0</v>
      </c>
      <c r="N30" s="7"/>
      <c r="O30" s="2"/>
      <c r="P30" s="7">
        <f t="shared" si="3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4"/>
        <v>94.149697322976905</v>
      </c>
      <c r="D31" s="6">
        <f>TONT20000JUIL2017!C31+TONT20000JUIL2017!D31+TONT20000AOUT2017!J31</f>
        <v>519545.62615057972</v>
      </c>
      <c r="E31" s="6"/>
      <c r="F31" s="7">
        <f t="shared" si="1"/>
        <v>0</v>
      </c>
      <c r="G31" s="7">
        <f t="shared" si="2"/>
        <v>0</v>
      </c>
      <c r="H31" s="43" t="s">
        <v>216</v>
      </c>
      <c r="I31" s="7">
        <v>7000</v>
      </c>
      <c r="J31" s="7">
        <v>3000</v>
      </c>
      <c r="K31" s="7">
        <v>500</v>
      </c>
      <c r="L31" s="7">
        <v>1000</v>
      </c>
      <c r="M31" s="7">
        <v>2500</v>
      </c>
      <c r="N31" s="7"/>
      <c r="O31" s="2"/>
      <c r="P31" s="7">
        <f t="shared" si="3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4"/>
        <v>87.885791853031179</v>
      </c>
      <c r="D32" s="6">
        <f>TONT20000JUIL2017!C32+TONT20000JUIL2017!D32+TONT20000AOUT2017!J32</f>
        <v>484979.559747127</v>
      </c>
      <c r="E32" s="6"/>
      <c r="F32" s="7">
        <f t="shared" si="1"/>
        <v>0</v>
      </c>
      <c r="G32" s="7">
        <f t="shared" si="2"/>
        <v>0</v>
      </c>
      <c r="H32" s="43" t="s">
        <v>216</v>
      </c>
      <c r="I32" s="7">
        <v>7000</v>
      </c>
      <c r="J32" s="7">
        <v>3000</v>
      </c>
      <c r="K32" s="7">
        <v>500</v>
      </c>
      <c r="L32" s="7">
        <v>1000</v>
      </c>
      <c r="M32" s="7">
        <v>2500</v>
      </c>
      <c r="N32" s="7"/>
      <c r="O32" s="2"/>
      <c r="P32" s="7">
        <f t="shared" si="3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4"/>
        <v>105.3701828971238</v>
      </c>
      <c r="D33" s="6">
        <f>TONT20000JUIL2017!C33+TONT20000JUIL2017!D33+TONT20000AOUT2017!J33</f>
        <v>581463.55439771607</v>
      </c>
      <c r="E33" s="6"/>
      <c r="F33" s="7">
        <f t="shared" si="1"/>
        <v>0</v>
      </c>
      <c r="G33" s="7">
        <f t="shared" si="2"/>
        <v>0</v>
      </c>
      <c r="H33" s="43" t="s">
        <v>216</v>
      </c>
      <c r="I33" s="7">
        <v>10000</v>
      </c>
      <c r="J33" s="7">
        <v>6000</v>
      </c>
      <c r="K33" s="7">
        <v>500</v>
      </c>
      <c r="L33" s="7">
        <v>1000</v>
      </c>
      <c r="M33" s="7">
        <v>2500</v>
      </c>
      <c r="N33" s="7"/>
      <c r="O33" s="29"/>
      <c r="P33" s="7">
        <f t="shared" si="3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4"/>
        <v>114.75685047538313</v>
      </c>
      <c r="D34" s="6">
        <f>TONT20000JUIL2017!C34+TONT20000JUIL2017!D34+TONT20000AOUT2017!J34</f>
        <v>633261.93743111461</v>
      </c>
      <c r="E34" s="6"/>
      <c r="F34" s="7">
        <f t="shared" si="1"/>
        <v>0</v>
      </c>
      <c r="G34" s="7">
        <f t="shared" si="2"/>
        <v>0</v>
      </c>
      <c r="H34" s="43" t="s">
        <v>216</v>
      </c>
      <c r="I34" s="7">
        <v>12000</v>
      </c>
      <c r="J34" s="7">
        <v>8000</v>
      </c>
      <c r="K34" s="7">
        <v>500</v>
      </c>
      <c r="L34" s="7">
        <v>1000</v>
      </c>
      <c r="M34" s="7">
        <v>2500</v>
      </c>
      <c r="N34" s="7"/>
      <c r="O34" s="2"/>
      <c r="P34" s="7">
        <f t="shared" si="3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TONT20000JUIL2017!C35+TONT20000JUIL2017!D35+TONT20000AOUT2017!J35</f>
        <v>0</v>
      </c>
      <c r="E35" s="6"/>
      <c r="F35" s="7"/>
      <c r="G35" s="7"/>
      <c r="H35" s="43"/>
      <c r="I35" s="7">
        <f t="shared" ref="I7:I49" si="5">H35-(J35+K35+L35)</f>
        <v>0</v>
      </c>
      <c r="J35" s="7">
        <f t="shared" ref="J7:J49" si="6">IF(H35=0,0,500)</f>
        <v>0</v>
      </c>
      <c r="K35" s="7">
        <f t="shared" ref="K7:K49" si="7">IF(H35=0,0,1000)</f>
        <v>0</v>
      </c>
      <c r="L35" s="7">
        <f t="shared" ref="L7:L49" si="8">IF(H35=0,0,2500)</f>
        <v>0</v>
      </c>
      <c r="M35" s="7">
        <f t="shared" ref="M7:M52" si="9">IF(F35=0,0,2500)</f>
        <v>0</v>
      </c>
      <c r="N35" s="7"/>
      <c r="O35" s="2"/>
      <c r="P35" s="7">
        <f t="shared" si="3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TONT20000JUIL2017!C36+TONT20000JUIL2017!D36+TONT20000AOUT2017!J36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/>
      <c r="J36" s="7">
        <v>0</v>
      </c>
      <c r="K36" s="7">
        <v>0</v>
      </c>
      <c r="L36" s="7">
        <v>0</v>
      </c>
      <c r="M36" s="7">
        <f t="shared" si="9"/>
        <v>0</v>
      </c>
      <c r="N36" s="7"/>
      <c r="O36" s="2"/>
      <c r="P36" s="7">
        <f t="shared" si="3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TONT20000JUIL2017!C37+TONT20000JUIL2017!D37+TONT20000AOUT2017!J37</f>
        <v>0</v>
      </c>
      <c r="E37" s="6"/>
      <c r="F37" s="7"/>
      <c r="G37" s="7"/>
      <c r="H37" s="43"/>
      <c r="I37" s="7">
        <f t="shared" si="5"/>
        <v>0</v>
      </c>
      <c r="J37" s="7">
        <f t="shared" si="6"/>
        <v>0</v>
      </c>
      <c r="K37" s="7">
        <f t="shared" si="7"/>
        <v>0</v>
      </c>
      <c r="L37" s="7">
        <f t="shared" si="8"/>
        <v>0</v>
      </c>
      <c r="M37" s="7">
        <f t="shared" si="9"/>
        <v>0</v>
      </c>
      <c r="N37" s="7"/>
      <c r="O37" s="2"/>
      <c r="P37" s="7">
        <f t="shared" si="3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0">$P$56/$D$56*D38</f>
        <v>86.860714957010629</v>
      </c>
      <c r="D38" s="6">
        <f>TONT20000JUIL2017!C38+TONT20000JUIL2017!D38+TONT20000AOUT2017!J38</f>
        <v>479322.88497345761</v>
      </c>
      <c r="E38" s="6"/>
      <c r="F38" s="7">
        <f t="shared" si="1"/>
        <v>0</v>
      </c>
      <c r="G38" s="7">
        <f t="shared" si="2"/>
        <v>0</v>
      </c>
      <c r="H38" s="43" t="s">
        <v>216</v>
      </c>
      <c r="I38" s="7">
        <v>7000</v>
      </c>
      <c r="J38" s="7">
        <v>3000</v>
      </c>
      <c r="K38" s="7">
        <v>500</v>
      </c>
      <c r="L38" s="7">
        <v>1000</v>
      </c>
      <c r="M38" s="7">
        <v>2500</v>
      </c>
      <c r="N38" s="7"/>
      <c r="O38" s="2"/>
      <c r="P38" s="7">
        <f t="shared" si="3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0"/>
        <v>87.689505484934045</v>
      </c>
      <c r="D39" s="6">
        <f>TONT20000JUIL2017!C39+TONT20000JUIL2017!D39+TONT20000AOUT2017!J39</f>
        <v>483896.39403425157</v>
      </c>
      <c r="E39" s="6"/>
      <c r="F39" s="7">
        <f t="shared" si="1"/>
        <v>0</v>
      </c>
      <c r="G39" s="7">
        <f t="shared" si="2"/>
        <v>0</v>
      </c>
      <c r="H39" s="43" t="s">
        <v>216</v>
      </c>
      <c r="I39" s="7">
        <v>7000</v>
      </c>
      <c r="J39" s="7">
        <v>3000</v>
      </c>
      <c r="K39" s="7">
        <v>500</v>
      </c>
      <c r="L39" s="7">
        <v>1000</v>
      </c>
      <c r="M39" s="7">
        <v>2500</v>
      </c>
      <c r="N39" s="7"/>
      <c r="O39" s="2"/>
      <c r="P39" s="7">
        <f t="shared" si="3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0"/>
        <v>80.100852685822929</v>
      </c>
      <c r="D40" s="6">
        <f>TONT20000JUIL2017!C40+TONT20000JUIL2017!D40+TONT20000AOUT2017!J40</f>
        <v>442019.9835703026</v>
      </c>
      <c r="E40" s="6"/>
      <c r="F40" s="7">
        <f t="shared" si="1"/>
        <v>0</v>
      </c>
      <c r="G40" s="7">
        <f t="shared" si="2"/>
        <v>0</v>
      </c>
      <c r="H40" s="43" t="s">
        <v>216</v>
      </c>
      <c r="I40" s="7">
        <v>7000</v>
      </c>
      <c r="J40" s="7">
        <v>3000</v>
      </c>
      <c r="K40" s="7">
        <v>500</v>
      </c>
      <c r="L40" s="7">
        <v>1000</v>
      </c>
      <c r="M40" s="7">
        <v>2500</v>
      </c>
      <c r="N40" s="7"/>
      <c r="O40" s="2"/>
      <c r="P40" s="7">
        <f t="shared" si="3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0"/>
        <v>87.332982329297678</v>
      </c>
      <c r="D41" s="6">
        <f>TONT20000JUIL2017!C41+TONT20000JUIL2017!D41+TONT20000AOUT2017!J41</f>
        <v>481928.99476055178</v>
      </c>
      <c r="E41" s="6"/>
      <c r="F41" s="7">
        <f t="shared" si="1"/>
        <v>0</v>
      </c>
      <c r="G41" s="7">
        <f t="shared" si="2"/>
        <v>0</v>
      </c>
      <c r="H41" s="43" t="s">
        <v>216</v>
      </c>
      <c r="I41" s="7">
        <v>7000</v>
      </c>
      <c r="J41" s="7">
        <v>3000</v>
      </c>
      <c r="K41" s="7">
        <v>500</v>
      </c>
      <c r="L41" s="7">
        <v>1000</v>
      </c>
      <c r="M41" s="7">
        <v>2500</v>
      </c>
      <c r="N41" s="7"/>
      <c r="O41" s="2"/>
      <c r="P41" s="7">
        <f t="shared" si="3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0"/>
        <v>87.258271179419481</v>
      </c>
      <c r="D42" s="6">
        <f>TONT20000JUIL2017!C42+TONT20000JUIL2017!D42+TONT20000AOUT2017!J42</f>
        <v>481516.71673685574</v>
      </c>
      <c r="E42" s="6"/>
      <c r="F42" s="7">
        <f t="shared" si="1"/>
        <v>0</v>
      </c>
      <c r="G42" s="7">
        <f t="shared" si="2"/>
        <v>0</v>
      </c>
      <c r="H42" s="43" t="s">
        <v>216</v>
      </c>
      <c r="I42" s="7">
        <v>7000</v>
      </c>
      <c r="J42" s="7">
        <v>3000</v>
      </c>
      <c r="K42" s="7">
        <v>500</v>
      </c>
      <c r="L42" s="7">
        <v>1000</v>
      </c>
      <c r="M42" s="7">
        <v>2500</v>
      </c>
      <c r="N42" s="7"/>
      <c r="O42" s="2"/>
      <c r="P42" s="7">
        <f t="shared" si="3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0"/>
        <v>118.27343364746929</v>
      </c>
      <c r="D43" s="6">
        <f>TONT20000JUIL2017!C43+TONT20000JUIL2017!D43+TONT20000AOUT2017!J43</f>
        <v>652667.47412428691</v>
      </c>
      <c r="E43" s="6"/>
      <c r="F43" s="7">
        <f t="shared" si="1"/>
        <v>0</v>
      </c>
      <c r="G43" s="7">
        <f t="shared" si="2"/>
        <v>0</v>
      </c>
      <c r="H43" s="43" t="s">
        <v>216</v>
      </c>
      <c r="I43" s="7">
        <v>12000</v>
      </c>
      <c r="J43" s="7">
        <v>8000</v>
      </c>
      <c r="K43" s="7">
        <v>500</v>
      </c>
      <c r="L43" s="7">
        <v>1000</v>
      </c>
      <c r="M43" s="7">
        <v>2500</v>
      </c>
      <c r="N43" s="7"/>
      <c r="O43" s="2"/>
      <c r="P43" s="7">
        <f t="shared" si="3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0"/>
        <v>80.889048876202367</v>
      </c>
      <c r="D44" s="6">
        <f>TONT20000JUIL2017!C44+TONT20000JUIL2017!D44+TONT20000AOUT2017!J44</f>
        <v>446369.48117787752</v>
      </c>
      <c r="E44" s="6"/>
      <c r="F44" s="7">
        <f t="shared" si="1"/>
        <v>0</v>
      </c>
      <c r="G44" s="7">
        <f t="shared" si="2"/>
        <v>0</v>
      </c>
      <c r="H44" s="43" t="s">
        <v>216</v>
      </c>
      <c r="I44" s="7">
        <v>7000</v>
      </c>
      <c r="J44" s="7">
        <v>3000</v>
      </c>
      <c r="K44" s="7">
        <v>500</v>
      </c>
      <c r="L44" s="7">
        <v>1000</v>
      </c>
      <c r="M44" s="7">
        <v>2500</v>
      </c>
      <c r="N44" s="7"/>
      <c r="O44" s="2"/>
      <c r="P44" s="7">
        <f t="shared" si="3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0"/>
        <v>7.4191910359529079</v>
      </c>
      <c r="D45" s="6">
        <f>TONT20000JUIL2017!C45+TONT20000JUIL2017!D45+TONT20000AOUT2017!J45</f>
        <v>40941.270783716238</v>
      </c>
      <c r="E45" s="6"/>
      <c r="F45" s="7">
        <f t="shared" si="1"/>
        <v>0</v>
      </c>
      <c r="G45" s="7">
        <f t="shared" si="2"/>
        <v>0</v>
      </c>
      <c r="H45" s="43" t="s">
        <v>216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/>
      <c r="O45" s="2"/>
      <c r="P45" s="7">
        <f t="shared" si="3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0"/>
        <v>86.895554353326901</v>
      </c>
      <c r="D46" s="6">
        <f>TONT20000JUIL2017!C46+TONT20000JUIL2017!D46+TONT20000AOUT2017!J46</f>
        <v>479515.13897414494</v>
      </c>
      <c r="E46" s="6"/>
      <c r="F46" s="7">
        <f t="shared" si="1"/>
        <v>0</v>
      </c>
      <c r="G46" s="7">
        <f t="shared" si="2"/>
        <v>0</v>
      </c>
      <c r="H46" s="43" t="s">
        <v>216</v>
      </c>
      <c r="I46" s="7">
        <v>7000</v>
      </c>
      <c r="J46" s="7">
        <v>3000</v>
      </c>
      <c r="K46" s="7">
        <v>500</v>
      </c>
      <c r="L46" s="7">
        <v>1000</v>
      </c>
      <c r="M46" s="7">
        <v>2500</v>
      </c>
      <c r="N46" s="7"/>
      <c r="O46" s="7"/>
      <c r="P46" s="7">
        <f t="shared" si="3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0"/>
        <v>99.191773069107839</v>
      </c>
      <c r="D47" s="6">
        <f>TONT20000JUIL2017!C47+TONT20000JUIL2017!D47+TONT20000AOUT2017!J47</f>
        <v>547369.27800615446</v>
      </c>
      <c r="E47" s="6"/>
      <c r="F47" s="7">
        <f t="shared" si="1"/>
        <v>0</v>
      </c>
      <c r="G47" s="7">
        <f t="shared" si="2"/>
        <v>0</v>
      </c>
      <c r="H47" s="43" t="s">
        <v>216</v>
      </c>
      <c r="I47" s="7">
        <v>7000</v>
      </c>
      <c r="J47" s="7">
        <v>3000</v>
      </c>
      <c r="K47" s="7">
        <v>500</v>
      </c>
      <c r="L47" s="7">
        <v>1000</v>
      </c>
      <c r="M47" s="7">
        <v>2500</v>
      </c>
      <c r="N47" s="7"/>
      <c r="O47" s="2"/>
      <c r="P47" s="7">
        <f t="shared" si="3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0"/>
        <v>4.546295705273983</v>
      </c>
      <c r="D48" s="6">
        <f>TONT20000JUIL2017!C48+TONT20000JUIL2017!D48+TONT20000AOUT2017!J48</f>
        <v>25087.792271487451</v>
      </c>
      <c r="E48" s="6"/>
      <c r="F48" s="7">
        <f t="shared" si="1"/>
        <v>0</v>
      </c>
      <c r="G48" s="7">
        <f t="shared" si="2"/>
        <v>0</v>
      </c>
      <c r="H48" s="43" t="s">
        <v>216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/>
      <c r="O48" s="2"/>
      <c r="P48" s="7">
        <f t="shared" si="3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0"/>
        <v>93.346295498821178</v>
      </c>
      <c r="D49" s="6">
        <f>TONT20000JUIL2017!C49+TONT20000JUIL2017!D49+TONT20000AOUT2017!J49</f>
        <v>515112.21939888701</v>
      </c>
      <c r="E49" s="6"/>
      <c r="F49" s="7">
        <f t="shared" si="1"/>
        <v>0</v>
      </c>
      <c r="G49" s="7">
        <f t="shared" si="2"/>
        <v>0</v>
      </c>
      <c r="H49" s="43" t="s">
        <v>216</v>
      </c>
      <c r="I49" s="7">
        <v>7000</v>
      </c>
      <c r="J49" s="7">
        <v>3000</v>
      </c>
      <c r="K49" s="7">
        <v>500</v>
      </c>
      <c r="L49" s="7">
        <v>1000</v>
      </c>
      <c r="M49" s="7">
        <v>2500</v>
      </c>
      <c r="N49" s="7"/>
      <c r="O49" s="2"/>
      <c r="P49" s="7">
        <f t="shared" si="3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0"/>
        <v>85.77903523754901</v>
      </c>
      <c r="D50" s="6">
        <f>TONT20000JUIL2017!C50+TONT20000JUIL2017!D50+TONT20000AOUT2017!J50</f>
        <v>473353.85922912398</v>
      </c>
      <c r="E50" s="6"/>
      <c r="F50" s="7">
        <f>IF(H50="ECHEC",0,13000)</f>
        <v>0</v>
      </c>
      <c r="G50" s="7">
        <f t="shared" si="2"/>
        <v>0</v>
      </c>
      <c r="H50" s="43" t="s">
        <v>216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/>
      <c r="O50" s="2"/>
      <c r="P50" s="7">
        <f t="shared" si="3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0"/>
        <v>162.63795036248419</v>
      </c>
      <c r="D51" s="6">
        <f>TONT20000JUIL2017!C51+TONT20000JUIL2017!D51+TONT20000AOUT2017!J51</f>
        <v>897483.8810905274</v>
      </c>
      <c r="E51" s="6"/>
      <c r="F51" s="7">
        <f t="shared" si="1"/>
        <v>0</v>
      </c>
      <c r="G51" s="7">
        <f t="shared" si="2"/>
        <v>0</v>
      </c>
      <c r="H51" s="43" t="s">
        <v>216</v>
      </c>
      <c r="I51" s="7">
        <v>7000</v>
      </c>
      <c r="J51" s="7">
        <v>3000</v>
      </c>
      <c r="K51" s="7">
        <v>500</v>
      </c>
      <c r="L51" s="7">
        <v>1000</v>
      </c>
      <c r="M51" s="7">
        <v>2500</v>
      </c>
      <c r="N51" s="7"/>
      <c r="O51" s="9"/>
      <c r="P51" s="7">
        <f t="shared" si="3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0"/>
        <v>296.09820325179317</v>
      </c>
      <c r="D52" s="6">
        <f>TONT20000JUIL2017!C52+TONT20000JUIL2017!D52+TONT20000AOUT2017!J52</f>
        <v>1633956.6752167479</v>
      </c>
      <c r="E52" s="6"/>
      <c r="F52" s="7">
        <f t="shared" si="1"/>
        <v>0</v>
      </c>
      <c r="G52" s="7">
        <f t="shared" si="2"/>
        <v>0</v>
      </c>
      <c r="H52" s="43" t="s">
        <v>216</v>
      </c>
      <c r="I52" s="7">
        <v>7000</v>
      </c>
      <c r="J52" s="7">
        <v>3000</v>
      </c>
      <c r="K52" s="7">
        <v>500</v>
      </c>
      <c r="L52" s="7">
        <v>1000</v>
      </c>
      <c r="M52" s="7">
        <v>2500</v>
      </c>
      <c r="O52" s="2"/>
      <c r="P52" s="7">
        <f t="shared" si="3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4499.9999999999991</v>
      </c>
      <c r="D56" s="9">
        <f>SUM(D5:D52)</f>
        <v>24832319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1">SUM(I5:I52)</f>
        <v>125000</v>
      </c>
      <c r="J56" s="9">
        <f t="shared" si="11"/>
        <v>359000</v>
      </c>
      <c r="K56" s="9">
        <f t="shared" si="11"/>
        <v>23000</v>
      </c>
      <c r="L56" s="9">
        <f t="shared" si="11"/>
        <v>46000</v>
      </c>
      <c r="M56" s="9">
        <f t="shared" si="11"/>
        <v>115000</v>
      </c>
      <c r="N56" s="9">
        <f t="shared" si="11"/>
        <v>0</v>
      </c>
      <c r="O56" s="9">
        <f t="shared" si="11"/>
        <v>150000</v>
      </c>
      <c r="P56" s="9">
        <f t="shared" si="11"/>
        <v>4500</v>
      </c>
      <c r="Q56" s="9">
        <f t="shared" si="11"/>
        <v>0</v>
      </c>
      <c r="R56" s="9">
        <f t="shared" si="11"/>
        <v>0</v>
      </c>
      <c r="S56" s="9">
        <f t="shared" si="11"/>
        <v>0</v>
      </c>
      <c r="T56" s="9">
        <f t="shared" si="11"/>
        <v>0</v>
      </c>
    </row>
    <row r="60" spans="1:22" ht="18" x14ac:dyDescent="0.25">
      <c r="D60" s="9" t="s">
        <v>58</v>
      </c>
      <c r="E60" s="9">
        <f>+K56</f>
        <v>23000</v>
      </c>
    </row>
    <row r="61" spans="1:22" ht="18" x14ac:dyDescent="0.25">
      <c r="D61" s="9" t="s">
        <v>57</v>
      </c>
      <c r="E61" s="9">
        <f>+J56</f>
        <v>359000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46000</v>
      </c>
    </row>
    <row r="64" spans="1:22" ht="18" x14ac:dyDescent="0.25">
      <c r="D64" s="9" t="s">
        <v>60</v>
      </c>
      <c r="E64" s="9">
        <f>+M56</f>
        <v>115000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543000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J32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TONT20000AOUT2017!C5+TONT20000AOUT2017!D5+TONT20000SEPT2017!J5</f>
        <v>379339.94581756671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TONT20000AOUT2017!C6+TONT20000AOUT2017!D6+TONT20000SEPT2017!J6</f>
        <v>509217.49773046206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TONT20000AOUT2017!C7+TONT20000AOUT2017!D7+TONT20000SEPT2017!J7</f>
        <v>477172.08739788999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216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TONT20000AOUT2017!C8+TONT20000AOUT2017!D8+TONT20000SEPT2017!J8</f>
        <v>480541.41518468806</v>
      </c>
      <c r="E8" s="6"/>
      <c r="F8" s="7">
        <f t="shared" si="1"/>
        <v>0</v>
      </c>
      <c r="G8" s="7">
        <f t="shared" si="2"/>
        <v>0</v>
      </c>
      <c r="H8" s="43" t="s">
        <v>216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TONT20000AOUT2017!C9+TONT20000AOUT2017!D9+TONT20000SEPT2017!J9</f>
        <v>487986.08236237866</v>
      </c>
      <c r="E9" s="6"/>
      <c r="F9" s="7">
        <f t="shared" si="1"/>
        <v>0</v>
      </c>
      <c r="G9" s="7">
        <f t="shared" si="2"/>
        <v>0</v>
      </c>
      <c r="H9" s="43" t="s">
        <v>216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TONT20000AOUT2017!C10+TONT20000AOUT2017!D10+TONT20000SEPT2017!J10</f>
        <v>494737.31921650126</v>
      </c>
      <c r="E10" s="6"/>
      <c r="F10" s="7">
        <f t="shared" si="1"/>
        <v>0</v>
      </c>
      <c r="G10" s="7">
        <f t="shared" si="2"/>
        <v>0</v>
      </c>
      <c r="H10" s="43" t="s">
        <v>216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TONT20000AOUT2017!C11+TONT20000AOUT2017!D11+TONT20000SEPT2017!J11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TONT20000AOUT2017!C12+TONT20000AOUT2017!D12+TONT20000SEPT2017!J12</f>
        <v>1153195.5528517591</v>
      </c>
      <c r="E12" s="6"/>
      <c r="F12" s="7">
        <f t="shared" si="1"/>
        <v>0</v>
      </c>
      <c r="G12" s="7">
        <f t="shared" si="2"/>
        <v>0</v>
      </c>
      <c r="H12" s="43" t="s">
        <v>216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TONT20000AOUT2017!C13+TONT20000AOUT2017!D13+TONT20000SEPT2017!J13</f>
        <v>477199.86245256878</v>
      </c>
      <c r="E13" s="6"/>
      <c r="F13" s="7">
        <f t="shared" si="1"/>
        <v>0</v>
      </c>
      <c r="G13" s="7">
        <f t="shared" si="2"/>
        <v>0</v>
      </c>
      <c r="H13" s="43" t="s">
        <v>216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TONT20000AOUT2017!C14+TONT20000AOUT2017!D14+TONT20000SEPT2017!J14</f>
        <v>531683.83701891976</v>
      </c>
      <c r="E14" s="6"/>
      <c r="F14" s="7">
        <f t="shared" si="1"/>
        <v>0</v>
      </c>
      <c r="G14" s="7">
        <f t="shared" si="2"/>
        <v>0</v>
      </c>
      <c r="H14" s="43" t="s">
        <v>216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TONT20000AOUT2017!C15+TONT20000AOUT2017!D15+TONT20000SEPT2017!J15</f>
        <v>476960.56967379805</v>
      </c>
      <c r="E15" s="6"/>
      <c r="F15" s="7">
        <f t="shared" si="1"/>
        <v>0</v>
      </c>
      <c r="G15" s="7">
        <f t="shared" si="2"/>
        <v>0</v>
      </c>
      <c r="H15" s="43" t="s">
        <v>216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TONT20000AOUT2017!C16+TONT20000AOUT2017!D16+TONT20000SEPT2017!J16</f>
        <v>544772.29740060936</v>
      </c>
      <c r="E16" s="6"/>
      <c r="F16" s="7">
        <f t="shared" si="1"/>
        <v>0</v>
      </c>
      <c r="G16" s="7">
        <f t="shared" si="2"/>
        <v>0</v>
      </c>
      <c r="H16" s="43" t="s">
        <v>216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TONT20000AOUT2017!C17+TONT20000AOUT2017!D17+TONT20000SEPT2017!J17</f>
        <v>53691.31723667308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TONT20000AOUT2017!C18+TONT20000AOUT2017!D18+TONT20000SEPT2017!J18</f>
        <v>594644.5446189557</v>
      </c>
      <c r="E18" s="6"/>
      <c r="F18" s="7">
        <f t="shared" si="1"/>
        <v>0</v>
      </c>
      <c r="G18" s="7">
        <f t="shared" si="2"/>
        <v>0</v>
      </c>
      <c r="H18" s="43" t="s">
        <v>216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TONT20000AOUT2017!C19+TONT20000AOUT2017!D19+TONT20000SEPT2017!J19</f>
        <v>132108.55597304628</v>
      </c>
      <c r="E19" s="6"/>
      <c r="F19" s="7">
        <f t="shared" si="1"/>
        <v>0</v>
      </c>
      <c r="G19" s="7">
        <f t="shared" si="2"/>
        <v>0</v>
      </c>
      <c r="H19" s="43" t="s">
        <v>216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TONT20000AOUT2017!C20+TONT20000AOUT2017!D20+TONT20000SEPT2017!J20</f>
        <v>3338758.8168935962</v>
      </c>
      <c r="E20" s="6"/>
      <c r="F20" s="7">
        <f t="shared" si="1"/>
        <v>0</v>
      </c>
      <c r="G20" s="7">
        <f t="shared" si="2"/>
        <v>0</v>
      </c>
      <c r="H20" s="43" t="s">
        <v>216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TONT20000AOUT2017!C21+TONT20000AOUT2017!D21+TONT20000SEPT2017!J21</f>
        <v>476784.30490372144</v>
      </c>
      <c r="E21" s="6"/>
      <c r="F21" s="7">
        <f t="shared" si="1"/>
        <v>0</v>
      </c>
      <c r="G21" s="7">
        <f t="shared" si="2"/>
        <v>0</v>
      </c>
      <c r="H21" s="43" t="s">
        <v>216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TONT20000AOUT2017!C22+TONT20000AOUT2017!D22+TONT20000SEPT2017!J22</f>
        <v>496787.47505750641</v>
      </c>
      <c r="E22" s="6"/>
      <c r="F22" s="7">
        <f t="shared" si="1"/>
        <v>0</v>
      </c>
      <c r="G22" s="7">
        <f t="shared" si="2"/>
        <v>0</v>
      </c>
      <c r="H22" s="43" t="s">
        <v>216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TONT20000AOUT2017!C23+TONT20000AOUT2017!D23+TONT20000SEPT2017!J23</f>
        <v>477135.76617254084</v>
      </c>
      <c r="E23" s="6"/>
      <c r="F23" s="7">
        <f t="shared" si="1"/>
        <v>0</v>
      </c>
      <c r="G23" s="7">
        <f t="shared" si="2"/>
        <v>0</v>
      </c>
      <c r="H23" s="43" t="s">
        <v>216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TONT20000AOUT2017!C24+TONT20000AOUT2017!D24+TONT20000SEPT2017!J24</f>
        <v>478345.04932239989</v>
      </c>
      <c r="E24" s="6"/>
      <c r="F24" s="7">
        <f t="shared" si="1"/>
        <v>0</v>
      </c>
      <c r="G24" s="7">
        <f t="shared" si="2"/>
        <v>0</v>
      </c>
      <c r="H24" s="43" t="s">
        <v>216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TONT20000AOUT2017!C25+TONT20000AOUT2017!D25+TONT20000SEPT2017!J25</f>
        <v>474046.81459864823</v>
      </c>
      <c r="E25" s="6"/>
      <c r="F25" s="7">
        <f t="shared" si="1"/>
        <v>0</v>
      </c>
      <c r="G25" s="7">
        <f t="shared" si="2"/>
        <v>0</v>
      </c>
      <c r="H25" s="43" t="s">
        <v>216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TONT20000AOUT2017!C26+TONT20000AOUT2017!D26+TONT20000SEPT2017!J26</f>
        <v>477194.52109589981</v>
      </c>
      <c r="E26" s="6"/>
      <c r="F26" s="7">
        <f t="shared" si="1"/>
        <v>0</v>
      </c>
      <c r="G26" s="7">
        <f t="shared" si="2"/>
        <v>0</v>
      </c>
      <c r="H26" s="43" t="s">
        <v>216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TONT20000AOUT2017!C27+TONT20000AOUT2017!D27+TONT20000SEPT2017!J27</f>
        <v>519097.34226725675</v>
      </c>
      <c r="E27" s="6"/>
      <c r="F27" s="7">
        <f t="shared" si="1"/>
        <v>0</v>
      </c>
      <c r="G27" s="7">
        <f t="shared" si="2"/>
        <v>0</v>
      </c>
      <c r="H27" s="43" t="s">
        <v>216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TONT20000AOUT2017!C28+TONT20000AOUT2017!D28+TONT20000SEPT2017!J28</f>
        <v>449174.05080276757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TONT20000AOUT2017!C29+TONT20000AOUT2017!D29+TONT20000SEPT2017!J29</f>
        <v>487347.18730397057</v>
      </c>
      <c r="E29" s="6"/>
      <c r="F29" s="7">
        <f t="shared" si="1"/>
        <v>0</v>
      </c>
      <c r="G29" s="7">
        <f t="shared" si="2"/>
        <v>0</v>
      </c>
      <c r="H29" s="43" t="s">
        <v>216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TONT20000AOUT2017!C30+TONT20000AOUT2017!D30+TONT20000SEPT2017!J30</f>
        <v>67237.582940742315</v>
      </c>
      <c r="E30" s="6"/>
      <c r="F30" s="7">
        <f t="shared" si="1"/>
        <v>0</v>
      </c>
      <c r="G30" s="7">
        <f t="shared" si="2"/>
        <v>0</v>
      </c>
      <c r="H30" s="43" t="s">
        <v>216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TONT20000AOUT2017!C31+TONT20000AOUT2017!D31+TONT20000SEPT2017!J31</f>
        <v>519639.7758479027</v>
      </c>
      <c r="E31" s="6"/>
      <c r="F31" s="7">
        <f t="shared" si="1"/>
        <v>0</v>
      </c>
      <c r="G31" s="7">
        <f t="shared" si="2"/>
        <v>0</v>
      </c>
      <c r="H31" s="43" t="s">
        <v>216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TONT20000AOUT2017!C32+TONT20000AOUT2017!D32+TONT20000SEPT2017!J32</f>
        <v>485067.44553898001</v>
      </c>
      <c r="E32" s="6"/>
      <c r="F32" s="7">
        <f t="shared" si="1"/>
        <v>0</v>
      </c>
      <c r="G32" s="7">
        <f t="shared" si="2"/>
        <v>0</v>
      </c>
      <c r="H32" s="43" t="s">
        <v>216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TONT20000AOUT2017!C33+TONT20000AOUT2017!D33+TONT20000SEPT2017!J33</f>
        <v>581568.92458061315</v>
      </c>
      <c r="E33" s="6"/>
      <c r="F33" s="7">
        <f t="shared" si="1"/>
        <v>0</v>
      </c>
      <c r="G33" s="7">
        <f t="shared" si="2"/>
        <v>0</v>
      </c>
      <c r="H33" s="43" t="s">
        <v>216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TONT20000AOUT2017!C34+TONT20000AOUT2017!D34+TONT20000SEPT2017!J34</f>
        <v>633376.69428158994</v>
      </c>
      <c r="E34" s="6"/>
      <c r="F34" s="7">
        <f t="shared" si="1"/>
        <v>0</v>
      </c>
      <c r="G34" s="7">
        <f t="shared" si="2"/>
        <v>0</v>
      </c>
      <c r="H34" s="43" t="s">
        <v>216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TONT20000AOUT2017!C35+TONT20000AOUT2017!D35+TONT20000SEPT2017!J35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TONT20000AOUT2017!C36+TONT20000AOUT2017!D36+TONT20000SEPT2017!J36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TONT20000AOUT2017!C37+TONT20000AOUT2017!D37+TONT20000SEPT2017!J37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TONT20000AOUT2017!C38+TONT20000AOUT2017!D38+TONT20000SEPT2017!J38</f>
        <v>479409.74568841461</v>
      </c>
      <c r="E38" s="6"/>
      <c r="F38" s="7">
        <f t="shared" si="1"/>
        <v>0</v>
      </c>
      <c r="G38" s="7">
        <f t="shared" si="2"/>
        <v>0</v>
      </c>
      <c r="H38" s="43" t="s">
        <v>216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TONT20000AOUT2017!C39+TONT20000AOUT2017!D39+TONT20000SEPT2017!J39</f>
        <v>483984.08353973652</v>
      </c>
      <c r="E39" s="6"/>
      <c r="F39" s="7">
        <f t="shared" si="1"/>
        <v>0</v>
      </c>
      <c r="G39" s="7">
        <f t="shared" si="2"/>
        <v>0</v>
      </c>
      <c r="H39" s="43" t="s">
        <v>216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TONT20000AOUT2017!C40+TONT20000AOUT2017!D40+TONT20000SEPT2017!J40</f>
        <v>442100.08442298841</v>
      </c>
      <c r="E40" s="6"/>
      <c r="F40" s="7">
        <f t="shared" si="1"/>
        <v>0</v>
      </c>
      <c r="G40" s="7">
        <f t="shared" si="2"/>
        <v>0</v>
      </c>
      <c r="H40" s="43" t="s">
        <v>216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TONT20000AOUT2017!C41+TONT20000AOUT2017!D41+TONT20000SEPT2017!J41</f>
        <v>482016.32774288108</v>
      </c>
      <c r="E41" s="6"/>
      <c r="F41" s="7">
        <f t="shared" si="1"/>
        <v>0</v>
      </c>
      <c r="G41" s="7">
        <f t="shared" si="2"/>
        <v>0</v>
      </c>
      <c r="H41" s="43" t="s">
        <v>216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TONT20000AOUT2017!C42+TONT20000AOUT2017!D42+TONT20000SEPT2017!J42</f>
        <v>481603.97500803514</v>
      </c>
      <c r="E42" s="6"/>
      <c r="F42" s="7">
        <f t="shared" si="1"/>
        <v>0</v>
      </c>
      <c r="G42" s="7">
        <f t="shared" si="2"/>
        <v>0</v>
      </c>
      <c r="H42" s="43" t="s">
        <v>216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TONT20000AOUT2017!C43+TONT20000AOUT2017!D43+TONT20000SEPT2017!J43</f>
        <v>652785.74755793437</v>
      </c>
      <c r="E43" s="6"/>
      <c r="F43" s="7">
        <f t="shared" si="1"/>
        <v>0</v>
      </c>
      <c r="G43" s="7">
        <f t="shared" si="2"/>
        <v>0</v>
      </c>
      <c r="H43" s="43" t="s">
        <v>216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0</v>
      </c>
      <c r="D44" s="6">
        <f>TONT20000AOUT2017!C44+TONT20000AOUT2017!D44+TONT20000SEPT2017!J44</f>
        <v>446450.3702267537</v>
      </c>
      <c r="E44" s="6"/>
      <c r="F44" s="7">
        <f t="shared" si="1"/>
        <v>0</v>
      </c>
      <c r="G44" s="7">
        <f t="shared" si="2"/>
        <v>0</v>
      </c>
      <c r="H44" s="43" t="s">
        <v>216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TONT20000AOUT2017!C45+TONT20000AOUT2017!D45+TONT20000SEPT2017!J45</f>
        <v>40948.689974752189</v>
      </c>
      <c r="E45" s="6"/>
      <c r="F45" s="7">
        <f t="shared" si="1"/>
        <v>0</v>
      </c>
      <c r="G45" s="7">
        <f t="shared" si="2"/>
        <v>0</v>
      </c>
      <c r="H45" s="43" t="s">
        <v>216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TONT20000AOUT2017!C46+TONT20000AOUT2017!D46+TONT20000SEPT2017!J46</f>
        <v>479602.03452849825</v>
      </c>
      <c r="E46" s="6"/>
      <c r="F46" s="7">
        <f t="shared" si="1"/>
        <v>0</v>
      </c>
      <c r="G46" s="7">
        <f t="shared" si="2"/>
        <v>0</v>
      </c>
      <c r="H46" s="43" t="s">
        <v>216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TONT20000AOUT2017!C47+TONT20000AOUT2017!D47+TONT20000SEPT2017!J47</f>
        <v>547468.46977922355</v>
      </c>
      <c r="E47" s="6"/>
      <c r="F47" s="7">
        <f t="shared" si="1"/>
        <v>0</v>
      </c>
      <c r="G47" s="7">
        <f t="shared" si="2"/>
        <v>0</v>
      </c>
      <c r="H47" s="43" t="s">
        <v>216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TONT20000AOUT2017!C48+TONT20000AOUT2017!D48+TONT20000SEPT2017!J48</f>
        <v>25092.338567192724</v>
      </c>
      <c r="E48" s="6"/>
      <c r="F48" s="7">
        <f t="shared" si="1"/>
        <v>0</v>
      </c>
      <c r="G48" s="7">
        <f t="shared" si="2"/>
        <v>0</v>
      </c>
      <c r="H48" s="43" t="s">
        <v>216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TONT20000AOUT2017!C49+TONT20000AOUT2017!D49+TONT20000SEPT2017!J49</f>
        <v>515205.56569438585</v>
      </c>
      <c r="E49" s="6"/>
      <c r="F49" s="7">
        <f t="shared" si="1"/>
        <v>0</v>
      </c>
      <c r="G49" s="7">
        <f t="shared" si="2"/>
        <v>0</v>
      </c>
      <c r="H49" s="43" t="s">
        <v>216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TONT20000AOUT2017!C50+TONT20000AOUT2017!D50+TONT20000SEPT2017!J50</f>
        <v>473439.63826436154</v>
      </c>
      <c r="E50" s="6"/>
      <c r="F50" s="7">
        <f>IF(H50="ECHEC",0,13000)</f>
        <v>0</v>
      </c>
      <c r="G50" s="7">
        <f t="shared" si="2"/>
        <v>0</v>
      </c>
      <c r="H50" s="43" t="s">
        <v>216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TONT20000AOUT2017!C51+TONT20000AOUT2017!D51+TONT20000SEPT2017!J51</f>
        <v>897646.51904088992</v>
      </c>
      <c r="E51" s="6"/>
      <c r="F51" s="7">
        <f t="shared" si="1"/>
        <v>0</v>
      </c>
      <c r="G51" s="7">
        <f t="shared" si="2"/>
        <v>0</v>
      </c>
      <c r="H51" s="43" t="s">
        <v>216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0</v>
      </c>
      <c r="D52" s="6">
        <f>TONT20000AOUT2017!C52+TONT20000AOUT2017!D52+TONT20000SEPT2017!J52</f>
        <v>1634252.7734199998</v>
      </c>
      <c r="E52" s="6"/>
      <c r="F52" s="7">
        <f t="shared" si="1"/>
        <v>0</v>
      </c>
      <c r="G52" s="7">
        <f t="shared" si="2"/>
        <v>0</v>
      </c>
      <c r="H52" s="43" t="s">
        <v>216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24836818.999999996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H38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TONT20000SEPT2017!C5+TONT20000SEPT2017!D5+TONT20000OCT2017!J5</f>
        <v>379339.94581756671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TONT20000SEPT2017!C6+TONT20000SEPT2017!D6+TONT20000OCT2017!J6</f>
        <v>509217.49773046206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TONT20000SEPT2017!C7+TONT20000SEPT2017!D7+TONT20000OCT2017!J7</f>
        <v>477172.08739788999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216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TONT20000SEPT2017!C8+TONT20000SEPT2017!D8+TONT20000OCT2017!J8</f>
        <v>480541.41518468806</v>
      </c>
      <c r="E8" s="6"/>
      <c r="F8" s="7">
        <f t="shared" si="1"/>
        <v>0</v>
      </c>
      <c r="G8" s="7">
        <f t="shared" si="2"/>
        <v>0</v>
      </c>
      <c r="H8" s="43" t="s">
        <v>216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TONT20000SEPT2017!C9+TONT20000SEPT2017!D9+TONT20000OCT2017!J9</f>
        <v>487986.08236237866</v>
      </c>
      <c r="E9" s="6"/>
      <c r="F9" s="7">
        <f t="shared" si="1"/>
        <v>0</v>
      </c>
      <c r="G9" s="7">
        <f t="shared" si="2"/>
        <v>0</v>
      </c>
      <c r="H9" s="43" t="s">
        <v>216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TONT20000SEPT2017!C10+TONT20000SEPT2017!D10+TONT20000OCT2017!J10</f>
        <v>494737.31921650126</v>
      </c>
      <c r="E10" s="6"/>
      <c r="F10" s="7">
        <f t="shared" si="1"/>
        <v>0</v>
      </c>
      <c r="G10" s="7">
        <f t="shared" si="2"/>
        <v>0</v>
      </c>
      <c r="H10" s="43" t="s">
        <v>216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TONT20000SEPT2017!C11+TONT20000SEPT2017!D11+TONT20000OCT2017!J11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TONT20000SEPT2017!C12+TONT20000SEPT2017!D12+TONT20000OCT2017!J12</f>
        <v>1153195.5528517591</v>
      </c>
      <c r="E12" s="6"/>
      <c r="F12" s="7">
        <f t="shared" si="1"/>
        <v>0</v>
      </c>
      <c r="G12" s="7">
        <f t="shared" si="2"/>
        <v>0</v>
      </c>
      <c r="H12" s="43" t="s">
        <v>216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TONT20000SEPT2017!C13+TONT20000SEPT2017!D13+TONT20000OCT2017!J13</f>
        <v>477199.86245256878</v>
      </c>
      <c r="E13" s="6"/>
      <c r="F13" s="7">
        <f t="shared" si="1"/>
        <v>0</v>
      </c>
      <c r="G13" s="7">
        <f t="shared" si="2"/>
        <v>0</v>
      </c>
      <c r="H13" s="43" t="s">
        <v>216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TONT20000SEPT2017!C14+TONT20000SEPT2017!D14+TONT20000OCT2017!J14</f>
        <v>531683.83701891976</v>
      </c>
      <c r="E14" s="6"/>
      <c r="F14" s="7">
        <f t="shared" si="1"/>
        <v>0</v>
      </c>
      <c r="G14" s="7">
        <f t="shared" si="2"/>
        <v>0</v>
      </c>
      <c r="H14" s="43" t="s">
        <v>216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TONT20000SEPT2017!C15+TONT20000SEPT2017!D15+TONT20000OCT2017!J15</f>
        <v>476960.56967379805</v>
      </c>
      <c r="E15" s="6"/>
      <c r="F15" s="7">
        <f t="shared" si="1"/>
        <v>0</v>
      </c>
      <c r="G15" s="7">
        <f t="shared" si="2"/>
        <v>0</v>
      </c>
      <c r="H15" s="43" t="s">
        <v>216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TONT20000SEPT2017!C16+TONT20000SEPT2017!D16+TONT20000OCT2017!J16</f>
        <v>544772.29740060936</v>
      </c>
      <c r="E16" s="6"/>
      <c r="F16" s="7">
        <f t="shared" si="1"/>
        <v>0</v>
      </c>
      <c r="G16" s="7">
        <f t="shared" si="2"/>
        <v>0</v>
      </c>
      <c r="H16" s="43" t="s">
        <v>216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TONT20000SEPT2017!C17+TONT20000SEPT2017!D17+TONT20000OCT2017!J17</f>
        <v>53691.31723667308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TONT20000SEPT2017!C18+TONT20000SEPT2017!D18+TONT20000OCT2017!J18</f>
        <v>594644.5446189557</v>
      </c>
      <c r="E18" s="6"/>
      <c r="F18" s="7">
        <f t="shared" si="1"/>
        <v>0</v>
      </c>
      <c r="G18" s="7">
        <f t="shared" si="2"/>
        <v>0</v>
      </c>
      <c r="H18" s="43" t="s">
        <v>216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TONT20000SEPT2017!C19+TONT20000SEPT2017!D19+TONT20000OCT2017!J19</f>
        <v>132108.55597304628</v>
      </c>
      <c r="E19" s="6"/>
      <c r="F19" s="7">
        <f t="shared" si="1"/>
        <v>0</v>
      </c>
      <c r="G19" s="7">
        <f t="shared" si="2"/>
        <v>0</v>
      </c>
      <c r="H19" s="43" t="s">
        <v>216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TONT20000SEPT2017!C20+TONT20000SEPT2017!D20+TONT20000OCT2017!J20</f>
        <v>3338758.8168935962</v>
      </c>
      <c r="E20" s="6"/>
      <c r="F20" s="7">
        <f t="shared" si="1"/>
        <v>0</v>
      </c>
      <c r="G20" s="7">
        <f t="shared" si="2"/>
        <v>0</v>
      </c>
      <c r="H20" s="43" t="s">
        <v>216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TONT20000SEPT2017!C21+TONT20000SEPT2017!D21+TONT20000OCT2017!J21</f>
        <v>476784.30490372144</v>
      </c>
      <c r="E21" s="6"/>
      <c r="F21" s="7">
        <f t="shared" si="1"/>
        <v>0</v>
      </c>
      <c r="G21" s="7">
        <f t="shared" si="2"/>
        <v>0</v>
      </c>
      <c r="H21" s="43" t="s">
        <v>216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TONT20000SEPT2017!C22+TONT20000SEPT2017!D22+TONT20000OCT2017!J22</f>
        <v>496787.47505750641</v>
      </c>
      <c r="E22" s="6"/>
      <c r="F22" s="7">
        <f t="shared" si="1"/>
        <v>0</v>
      </c>
      <c r="G22" s="7">
        <f t="shared" si="2"/>
        <v>0</v>
      </c>
      <c r="H22" s="43" t="s">
        <v>216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TONT20000SEPT2017!C23+TONT20000SEPT2017!D23+TONT20000OCT2017!J23</f>
        <v>477135.76617254084</v>
      </c>
      <c r="E23" s="6"/>
      <c r="F23" s="7">
        <f t="shared" si="1"/>
        <v>0</v>
      </c>
      <c r="G23" s="7">
        <f t="shared" si="2"/>
        <v>0</v>
      </c>
      <c r="H23" s="43" t="s">
        <v>216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TONT20000SEPT2017!C24+TONT20000SEPT2017!D24+TONT20000OCT2017!J24</f>
        <v>478345.04932239989</v>
      </c>
      <c r="E24" s="6"/>
      <c r="F24" s="7">
        <f t="shared" si="1"/>
        <v>0</v>
      </c>
      <c r="G24" s="7">
        <f t="shared" si="2"/>
        <v>0</v>
      </c>
      <c r="H24" s="43" t="s">
        <v>216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TONT20000SEPT2017!C25+TONT20000SEPT2017!D25+TONT20000OCT2017!J25</f>
        <v>474046.81459864823</v>
      </c>
      <c r="E25" s="6"/>
      <c r="F25" s="7">
        <f t="shared" si="1"/>
        <v>0</v>
      </c>
      <c r="G25" s="7">
        <f t="shared" si="2"/>
        <v>0</v>
      </c>
      <c r="H25" s="43" t="s">
        <v>216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TONT20000SEPT2017!C26+TONT20000SEPT2017!D26+TONT20000OCT2017!J26</f>
        <v>477194.52109589981</v>
      </c>
      <c r="E26" s="6"/>
      <c r="F26" s="7">
        <f t="shared" si="1"/>
        <v>0</v>
      </c>
      <c r="G26" s="7">
        <f t="shared" si="2"/>
        <v>0</v>
      </c>
      <c r="H26" s="43" t="s">
        <v>216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TONT20000SEPT2017!C27+TONT20000SEPT2017!D27+TONT20000OCT2017!J27</f>
        <v>519097.34226725675</v>
      </c>
      <c r="E27" s="6"/>
      <c r="F27" s="7">
        <f t="shared" si="1"/>
        <v>0</v>
      </c>
      <c r="G27" s="7">
        <f t="shared" si="2"/>
        <v>0</v>
      </c>
      <c r="H27" s="43" t="s">
        <v>216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TONT20000SEPT2017!C28+TONT20000SEPT2017!D28+TONT20000OCT2017!J28</f>
        <v>449174.05080276757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TONT20000SEPT2017!C29+TONT20000SEPT2017!D29+TONT20000OCT2017!J29</f>
        <v>487347.18730397057</v>
      </c>
      <c r="E29" s="6"/>
      <c r="F29" s="7">
        <f t="shared" si="1"/>
        <v>0</v>
      </c>
      <c r="G29" s="7">
        <f t="shared" si="2"/>
        <v>0</v>
      </c>
      <c r="H29" s="43" t="s">
        <v>216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TONT20000SEPT2017!C30+TONT20000SEPT2017!D30+TONT20000OCT2017!J30</f>
        <v>67237.582940742315</v>
      </c>
      <c r="E30" s="6"/>
      <c r="F30" s="7">
        <f t="shared" si="1"/>
        <v>0</v>
      </c>
      <c r="G30" s="7">
        <f t="shared" si="2"/>
        <v>0</v>
      </c>
      <c r="H30" s="43" t="s">
        <v>216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TONT20000SEPT2017!C31+TONT20000SEPT2017!D31+TONT20000OCT2017!J31</f>
        <v>519639.7758479027</v>
      </c>
      <c r="E31" s="6"/>
      <c r="F31" s="7">
        <f t="shared" si="1"/>
        <v>0</v>
      </c>
      <c r="G31" s="7">
        <f t="shared" si="2"/>
        <v>0</v>
      </c>
      <c r="H31" s="43" t="s">
        <v>216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TONT20000SEPT2017!C32+TONT20000SEPT2017!D32+TONT20000OCT2017!J32</f>
        <v>485067.44553898001</v>
      </c>
      <c r="E32" s="6"/>
      <c r="F32" s="7">
        <f t="shared" si="1"/>
        <v>0</v>
      </c>
      <c r="G32" s="7">
        <f t="shared" si="2"/>
        <v>0</v>
      </c>
      <c r="H32" s="43" t="s">
        <v>216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TONT20000SEPT2017!C33+TONT20000SEPT2017!D33+TONT20000OCT2017!J33</f>
        <v>581568.92458061315</v>
      </c>
      <c r="E33" s="6"/>
      <c r="F33" s="7">
        <f t="shared" si="1"/>
        <v>0</v>
      </c>
      <c r="G33" s="7">
        <f t="shared" si="2"/>
        <v>0</v>
      </c>
      <c r="H33" s="43" t="s">
        <v>216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TONT20000SEPT2017!C34+TONT20000SEPT2017!D34+TONT20000OCT2017!J34</f>
        <v>633376.69428158994</v>
      </c>
      <c r="E34" s="6"/>
      <c r="F34" s="7">
        <f t="shared" si="1"/>
        <v>0</v>
      </c>
      <c r="G34" s="7">
        <f t="shared" si="2"/>
        <v>0</v>
      </c>
      <c r="H34" s="43" t="s">
        <v>216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TONT20000SEPT2017!C35+TONT20000SEPT2017!D35+TONT20000OCT2017!J35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TONT20000SEPT2017!C36+TONT20000SEPT2017!D36+TONT20000OCT2017!J36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TONT20000SEPT2017!C37+TONT20000SEPT2017!D37+TONT20000OCT2017!J37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TONT20000SEPT2017!C38+TONT20000SEPT2017!D38+TONT20000OCT2017!J38</f>
        <v>479409.74568841461</v>
      </c>
      <c r="E38" s="6"/>
      <c r="F38" s="7">
        <f t="shared" si="1"/>
        <v>0</v>
      </c>
      <c r="G38" s="7">
        <f t="shared" si="2"/>
        <v>0</v>
      </c>
      <c r="H38" s="43" t="s">
        <v>216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TONT20000SEPT2017!C39+TONT20000SEPT2017!D39+TONT20000OCT2017!J39</f>
        <v>483984.08353973652</v>
      </c>
      <c r="E39" s="6"/>
      <c r="F39" s="7">
        <f t="shared" si="1"/>
        <v>0</v>
      </c>
      <c r="G39" s="7">
        <f t="shared" si="2"/>
        <v>0</v>
      </c>
      <c r="H39" s="43" t="s">
        <v>216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TONT20000SEPT2017!C40+TONT20000SEPT2017!D40+TONT20000OCT2017!J40</f>
        <v>442100.08442298841</v>
      </c>
      <c r="E40" s="6"/>
      <c r="F40" s="7">
        <f t="shared" si="1"/>
        <v>0</v>
      </c>
      <c r="G40" s="7">
        <f t="shared" si="2"/>
        <v>0</v>
      </c>
      <c r="H40" s="43" t="s">
        <v>216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TONT20000SEPT2017!C41+TONT20000SEPT2017!D41+TONT20000OCT2017!J41</f>
        <v>482016.32774288108</v>
      </c>
      <c r="E41" s="6"/>
      <c r="F41" s="7">
        <f t="shared" si="1"/>
        <v>0</v>
      </c>
      <c r="G41" s="7">
        <f t="shared" si="2"/>
        <v>0</v>
      </c>
      <c r="H41" s="43" t="s">
        <v>216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TONT20000SEPT2017!C42+TONT20000SEPT2017!D42+TONT20000OCT2017!J42</f>
        <v>481603.97500803514</v>
      </c>
      <c r="E42" s="6"/>
      <c r="F42" s="7">
        <f t="shared" si="1"/>
        <v>0</v>
      </c>
      <c r="G42" s="7">
        <f t="shared" si="2"/>
        <v>0</v>
      </c>
      <c r="H42" s="43" t="s">
        <v>216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TONT20000SEPT2017!C43+TONT20000SEPT2017!D43+TONT20000OCT2017!J43</f>
        <v>652785.74755793437</v>
      </c>
      <c r="E43" s="6"/>
      <c r="F43" s="7">
        <f t="shared" si="1"/>
        <v>0</v>
      </c>
      <c r="G43" s="7">
        <f t="shared" si="2"/>
        <v>0</v>
      </c>
      <c r="H43" s="43" t="s">
        <v>216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0</v>
      </c>
      <c r="D44" s="6">
        <f>TONT20000SEPT2017!C44+TONT20000SEPT2017!D44+TONT20000OCT2017!J44</f>
        <v>446450.3702267537</v>
      </c>
      <c r="E44" s="6"/>
      <c r="F44" s="7">
        <f t="shared" si="1"/>
        <v>0</v>
      </c>
      <c r="G44" s="7">
        <f t="shared" si="2"/>
        <v>0</v>
      </c>
      <c r="H44" s="43" t="s">
        <v>216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TONT20000SEPT2017!C45+TONT20000SEPT2017!D45+TONT20000OCT2017!J45</f>
        <v>40948.689974752189</v>
      </c>
      <c r="E45" s="6"/>
      <c r="F45" s="7">
        <f t="shared" si="1"/>
        <v>0</v>
      </c>
      <c r="G45" s="7">
        <f t="shared" si="2"/>
        <v>0</v>
      </c>
      <c r="H45" s="43" t="s">
        <v>216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TONT20000SEPT2017!C46+TONT20000SEPT2017!D46+TONT20000OCT2017!J46</f>
        <v>479602.03452849825</v>
      </c>
      <c r="E46" s="6"/>
      <c r="F46" s="7">
        <f t="shared" si="1"/>
        <v>0</v>
      </c>
      <c r="G46" s="7">
        <f t="shared" si="2"/>
        <v>0</v>
      </c>
      <c r="H46" s="43" t="s">
        <v>216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TONT20000SEPT2017!C47+TONT20000SEPT2017!D47+TONT20000OCT2017!J47</f>
        <v>547468.46977922355</v>
      </c>
      <c r="E47" s="6"/>
      <c r="F47" s="7">
        <f t="shared" si="1"/>
        <v>0</v>
      </c>
      <c r="G47" s="7">
        <f t="shared" si="2"/>
        <v>0</v>
      </c>
      <c r="H47" s="43" t="s">
        <v>216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TONT20000SEPT2017!C48+TONT20000SEPT2017!D48+TONT20000OCT2017!J48</f>
        <v>25092.338567192724</v>
      </c>
      <c r="E48" s="6"/>
      <c r="F48" s="7">
        <f t="shared" si="1"/>
        <v>0</v>
      </c>
      <c r="G48" s="7">
        <f t="shared" si="2"/>
        <v>0</v>
      </c>
      <c r="H48" s="43" t="s">
        <v>216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TONT20000SEPT2017!C49+TONT20000SEPT2017!D49+TONT20000OCT2017!J49</f>
        <v>515205.56569438585</v>
      </c>
      <c r="E49" s="6"/>
      <c r="F49" s="7">
        <f t="shared" si="1"/>
        <v>0</v>
      </c>
      <c r="G49" s="7">
        <f t="shared" si="2"/>
        <v>0</v>
      </c>
      <c r="H49" s="43" t="s">
        <v>216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TONT20000SEPT2017!C50+TONT20000SEPT2017!D50+TONT20000OCT2017!J50</f>
        <v>473439.63826436154</v>
      </c>
      <c r="E50" s="6"/>
      <c r="F50" s="7">
        <f>IF(H50="ECHEC",0,13000)</f>
        <v>0</v>
      </c>
      <c r="G50" s="7">
        <f t="shared" si="2"/>
        <v>0</v>
      </c>
      <c r="H50" s="43" t="s">
        <v>216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TONT20000SEPT2017!C51+TONT20000SEPT2017!D51+TONT20000OCT2017!J51</f>
        <v>897646.51904088992</v>
      </c>
      <c r="E51" s="6"/>
      <c r="F51" s="7">
        <f t="shared" si="1"/>
        <v>0</v>
      </c>
      <c r="G51" s="7">
        <f t="shared" si="2"/>
        <v>0</v>
      </c>
      <c r="H51" s="43" t="s">
        <v>216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0</v>
      </c>
      <c r="D52" s="6">
        <f>TONT20000SEPT2017!C52+TONT20000SEPT2017!D52+TONT20000OCT2017!J52</f>
        <v>1634252.7734199998</v>
      </c>
      <c r="E52" s="6"/>
      <c r="F52" s="7">
        <f t="shared" si="1"/>
        <v>0</v>
      </c>
      <c r="G52" s="7">
        <f t="shared" si="2"/>
        <v>0</v>
      </c>
      <c r="H52" s="43" t="s">
        <v>216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24836818.999999996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38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TONT20000OCT2017!C5+TONT20000OCT2017!D5+TONT20000NOV2017!J5</f>
        <v>379339.94581756671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TONT20000OCT2017!C6+TONT20000OCT2017!D6+TONT20000NOV2017!J6</f>
        <v>509217.49773046206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TONT20000OCT2017!C7+TONT20000OCT2017!D7+TONT20000NOV2017!J7</f>
        <v>477172.08739788999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216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TONT20000OCT2017!C8+TONT20000OCT2017!D8+TONT20000NOV2017!J8</f>
        <v>480541.41518468806</v>
      </c>
      <c r="E8" s="6"/>
      <c r="F8" s="7">
        <f t="shared" si="1"/>
        <v>0</v>
      </c>
      <c r="G8" s="7">
        <f t="shared" si="2"/>
        <v>0</v>
      </c>
      <c r="H8" s="43" t="s">
        <v>216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TONT20000OCT2017!C9+TONT20000OCT2017!D9+TONT20000NOV2017!J9</f>
        <v>487986.08236237866</v>
      </c>
      <c r="E9" s="6"/>
      <c r="F9" s="7">
        <f t="shared" si="1"/>
        <v>0</v>
      </c>
      <c r="G9" s="7">
        <f t="shared" si="2"/>
        <v>0</v>
      </c>
      <c r="H9" s="43" t="s">
        <v>216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TONT20000OCT2017!C10+TONT20000OCT2017!D10+TONT20000NOV2017!J10</f>
        <v>494737.31921650126</v>
      </c>
      <c r="E10" s="6"/>
      <c r="F10" s="7">
        <f t="shared" si="1"/>
        <v>0</v>
      </c>
      <c r="G10" s="7">
        <f t="shared" si="2"/>
        <v>0</v>
      </c>
      <c r="H10" s="43" t="s">
        <v>216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TONT20000OCT2017!C11+TONT20000OCT2017!D11+TONT20000NOV2017!J11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TONT20000OCT2017!C12+TONT20000OCT2017!D12+TONT20000NOV2017!J12</f>
        <v>1153195.5528517591</v>
      </c>
      <c r="E12" s="6"/>
      <c r="F12" s="7">
        <f t="shared" si="1"/>
        <v>0</v>
      </c>
      <c r="G12" s="7">
        <f t="shared" si="2"/>
        <v>0</v>
      </c>
      <c r="H12" s="43" t="s">
        <v>216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TONT20000OCT2017!C13+TONT20000OCT2017!D13+TONT20000NOV2017!J13</f>
        <v>477199.86245256878</v>
      </c>
      <c r="E13" s="6"/>
      <c r="F13" s="7">
        <f t="shared" si="1"/>
        <v>0</v>
      </c>
      <c r="G13" s="7">
        <f t="shared" si="2"/>
        <v>0</v>
      </c>
      <c r="H13" s="43" t="s">
        <v>216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TONT20000OCT2017!C14+TONT20000OCT2017!D14+TONT20000NOV2017!J14</f>
        <v>531683.83701891976</v>
      </c>
      <c r="E14" s="6"/>
      <c r="F14" s="7">
        <f t="shared" si="1"/>
        <v>0</v>
      </c>
      <c r="G14" s="7">
        <f t="shared" si="2"/>
        <v>0</v>
      </c>
      <c r="H14" s="43" t="s">
        <v>216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TONT20000OCT2017!C15+TONT20000OCT2017!D15+TONT20000NOV2017!J15</f>
        <v>476960.56967379805</v>
      </c>
      <c r="E15" s="6"/>
      <c r="F15" s="7">
        <f t="shared" si="1"/>
        <v>0</v>
      </c>
      <c r="G15" s="7">
        <f t="shared" si="2"/>
        <v>0</v>
      </c>
      <c r="H15" s="43" t="s">
        <v>216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TONT20000OCT2017!C16+TONT20000OCT2017!D16+TONT20000NOV2017!J16</f>
        <v>544772.29740060936</v>
      </c>
      <c r="E16" s="6"/>
      <c r="F16" s="7">
        <f t="shared" si="1"/>
        <v>0</v>
      </c>
      <c r="G16" s="7">
        <f t="shared" si="2"/>
        <v>0</v>
      </c>
      <c r="H16" s="43" t="s">
        <v>216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TONT20000OCT2017!C17+TONT20000OCT2017!D17+TONT20000NOV2017!J17</f>
        <v>53691.31723667308</v>
      </c>
      <c r="E17" s="6"/>
      <c r="F17" s="7">
        <f t="shared" si="1"/>
        <v>0</v>
      </c>
      <c r="G17" s="7">
        <f t="shared" si="2"/>
        <v>0</v>
      </c>
      <c r="H17" s="43" t="s">
        <v>216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TONT20000OCT2017!C18+TONT20000OCT2017!D18+TONT20000NOV2017!J18</f>
        <v>594644.5446189557</v>
      </c>
      <c r="E18" s="6"/>
      <c r="F18" s="7">
        <f t="shared" si="1"/>
        <v>0</v>
      </c>
      <c r="G18" s="7">
        <f t="shared" si="2"/>
        <v>0</v>
      </c>
      <c r="H18" s="43" t="s">
        <v>216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TONT20000OCT2017!C19+TONT20000OCT2017!D19+TONT20000NOV2017!J19</f>
        <v>132108.55597304628</v>
      </c>
      <c r="E19" s="6"/>
      <c r="F19" s="7">
        <f t="shared" si="1"/>
        <v>0</v>
      </c>
      <c r="G19" s="7">
        <f t="shared" si="2"/>
        <v>0</v>
      </c>
      <c r="H19" s="43" t="s">
        <v>216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TONT20000OCT2017!C20+TONT20000OCT2017!D20+TONT20000NOV2017!J20</f>
        <v>3338758.8168935962</v>
      </c>
      <c r="E20" s="6"/>
      <c r="F20" s="7">
        <f t="shared" si="1"/>
        <v>0</v>
      </c>
      <c r="G20" s="7">
        <f t="shared" si="2"/>
        <v>0</v>
      </c>
      <c r="H20" s="43" t="s">
        <v>216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TONT20000OCT2017!C21+TONT20000OCT2017!D21+TONT20000NOV2017!J21</f>
        <v>476784.30490372144</v>
      </c>
      <c r="E21" s="6"/>
      <c r="F21" s="7">
        <f t="shared" si="1"/>
        <v>0</v>
      </c>
      <c r="G21" s="7">
        <f t="shared" si="2"/>
        <v>0</v>
      </c>
      <c r="H21" s="43" t="s">
        <v>216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TONT20000OCT2017!C22+TONT20000OCT2017!D22+TONT20000NOV2017!J22</f>
        <v>496787.47505750641</v>
      </c>
      <c r="E22" s="6"/>
      <c r="F22" s="7">
        <f t="shared" si="1"/>
        <v>0</v>
      </c>
      <c r="G22" s="7">
        <f t="shared" si="2"/>
        <v>0</v>
      </c>
      <c r="H22" s="43" t="s">
        <v>216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TONT20000OCT2017!C23+TONT20000OCT2017!D23+TONT20000NOV2017!J23</f>
        <v>477135.76617254084</v>
      </c>
      <c r="E23" s="6"/>
      <c r="F23" s="7">
        <f t="shared" si="1"/>
        <v>0</v>
      </c>
      <c r="G23" s="7">
        <f t="shared" si="2"/>
        <v>0</v>
      </c>
      <c r="H23" s="43" t="s">
        <v>216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TONT20000OCT2017!C24+TONT20000OCT2017!D24+TONT20000NOV2017!J24</f>
        <v>478345.04932239989</v>
      </c>
      <c r="E24" s="6"/>
      <c r="F24" s="7">
        <f t="shared" si="1"/>
        <v>0</v>
      </c>
      <c r="G24" s="7">
        <f t="shared" si="2"/>
        <v>0</v>
      </c>
      <c r="H24" s="43" t="s">
        <v>216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TONT20000OCT2017!C25+TONT20000OCT2017!D25+TONT20000NOV2017!J25</f>
        <v>474046.81459864823</v>
      </c>
      <c r="E25" s="6"/>
      <c r="F25" s="7">
        <f t="shared" si="1"/>
        <v>0</v>
      </c>
      <c r="G25" s="7">
        <f t="shared" si="2"/>
        <v>0</v>
      </c>
      <c r="H25" s="43" t="s">
        <v>216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TONT20000OCT2017!C26+TONT20000OCT2017!D26+TONT20000NOV2017!J26</f>
        <v>477194.52109589981</v>
      </c>
      <c r="E26" s="6"/>
      <c r="F26" s="7">
        <f t="shared" si="1"/>
        <v>0</v>
      </c>
      <c r="G26" s="7">
        <f t="shared" si="2"/>
        <v>0</v>
      </c>
      <c r="H26" s="43" t="s">
        <v>216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TONT20000OCT2017!C27+TONT20000OCT2017!D27+TONT20000NOV2017!J27</f>
        <v>519097.34226725675</v>
      </c>
      <c r="E27" s="6"/>
      <c r="F27" s="7">
        <f t="shared" si="1"/>
        <v>0</v>
      </c>
      <c r="G27" s="7">
        <f t="shared" si="2"/>
        <v>0</v>
      </c>
      <c r="H27" s="43" t="s">
        <v>216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TONT20000OCT2017!C28+TONT20000OCT2017!D28+TONT20000NOV2017!J28</f>
        <v>449174.05080276757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TONT20000OCT2017!C29+TONT20000OCT2017!D29+TONT20000NOV2017!J29</f>
        <v>487347.18730397057</v>
      </c>
      <c r="E29" s="6"/>
      <c r="F29" s="7">
        <f t="shared" si="1"/>
        <v>0</v>
      </c>
      <c r="G29" s="7">
        <f t="shared" si="2"/>
        <v>0</v>
      </c>
      <c r="H29" s="43" t="s">
        <v>216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TONT20000OCT2017!C30+TONT20000OCT2017!D30+TONT20000NOV2017!J30</f>
        <v>67237.582940742315</v>
      </c>
      <c r="E30" s="6"/>
      <c r="F30" s="7">
        <f t="shared" si="1"/>
        <v>0</v>
      </c>
      <c r="G30" s="7">
        <f t="shared" si="2"/>
        <v>0</v>
      </c>
      <c r="H30" s="43" t="s">
        <v>216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TONT20000OCT2017!C31+TONT20000OCT2017!D31+TONT20000NOV2017!J31</f>
        <v>519639.7758479027</v>
      </c>
      <c r="E31" s="6"/>
      <c r="F31" s="7">
        <f t="shared" si="1"/>
        <v>0</v>
      </c>
      <c r="G31" s="7">
        <f t="shared" si="2"/>
        <v>0</v>
      </c>
      <c r="H31" s="43" t="s">
        <v>216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TONT20000OCT2017!C32+TONT20000OCT2017!D32+TONT20000NOV2017!J32</f>
        <v>485067.44553898001</v>
      </c>
      <c r="E32" s="6"/>
      <c r="F32" s="7">
        <f t="shared" si="1"/>
        <v>0</v>
      </c>
      <c r="G32" s="7">
        <f t="shared" si="2"/>
        <v>0</v>
      </c>
      <c r="H32" s="43" t="s">
        <v>216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TONT20000OCT2017!C33+TONT20000OCT2017!D33+TONT20000NOV2017!J33</f>
        <v>581568.92458061315</v>
      </c>
      <c r="E33" s="6"/>
      <c r="F33" s="7">
        <f t="shared" si="1"/>
        <v>0</v>
      </c>
      <c r="G33" s="7">
        <f t="shared" si="2"/>
        <v>0</v>
      </c>
      <c r="H33" s="43" t="s">
        <v>216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TONT20000OCT2017!C34+TONT20000OCT2017!D34+TONT20000NOV2017!J34</f>
        <v>633376.69428158994</v>
      </c>
      <c r="E34" s="6"/>
      <c r="F34" s="7">
        <f t="shared" si="1"/>
        <v>0</v>
      </c>
      <c r="G34" s="7">
        <f t="shared" si="2"/>
        <v>0</v>
      </c>
      <c r="H34" s="43" t="s">
        <v>216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TONT20000OCT2017!C35+TONT20000OCT2017!D35+TONT20000NOV2017!J35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TONT20000OCT2017!C36+TONT20000OCT2017!D36+TONT20000NOV2017!J36</f>
        <v>0</v>
      </c>
      <c r="E36" s="6"/>
      <c r="F36" s="7">
        <f t="shared" si="1"/>
        <v>0</v>
      </c>
      <c r="G36" s="7">
        <f t="shared" si="2"/>
        <v>0</v>
      </c>
      <c r="H36" s="43" t="s">
        <v>216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TONT20000OCT2017!C37+TONT20000OCT2017!D37+TONT20000NOV2017!J37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TONT20000OCT2017!C38+TONT20000OCT2017!D38+TONT20000NOV2017!J38</f>
        <v>479409.74568841461</v>
      </c>
      <c r="E38" s="6"/>
      <c r="F38" s="7">
        <f t="shared" si="1"/>
        <v>0</v>
      </c>
      <c r="G38" s="7">
        <f t="shared" si="2"/>
        <v>0</v>
      </c>
      <c r="H38" s="43" t="s">
        <v>216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TONT20000OCT2017!C39+TONT20000OCT2017!D39+TONT20000NOV2017!J39</f>
        <v>483984.08353973652</v>
      </c>
      <c r="E39" s="6"/>
      <c r="F39" s="7">
        <f t="shared" si="1"/>
        <v>0</v>
      </c>
      <c r="G39" s="7">
        <f t="shared" si="2"/>
        <v>0</v>
      </c>
      <c r="H39" s="43" t="s">
        <v>216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TONT20000OCT2017!C40+TONT20000OCT2017!D40+TONT20000NOV2017!J40</f>
        <v>442100.08442298841</v>
      </c>
      <c r="E40" s="6"/>
      <c r="F40" s="7">
        <f t="shared" si="1"/>
        <v>0</v>
      </c>
      <c r="G40" s="7">
        <f t="shared" si="2"/>
        <v>0</v>
      </c>
      <c r="H40" s="43" t="s">
        <v>216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TONT20000OCT2017!C41+TONT20000OCT2017!D41+TONT20000NOV2017!J41</f>
        <v>482016.32774288108</v>
      </c>
      <c r="E41" s="6"/>
      <c r="F41" s="7">
        <f t="shared" si="1"/>
        <v>0</v>
      </c>
      <c r="G41" s="7">
        <f t="shared" si="2"/>
        <v>0</v>
      </c>
      <c r="H41" s="43" t="s">
        <v>216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TONT20000OCT2017!C42+TONT20000OCT2017!D42+TONT20000NOV2017!J42</f>
        <v>481603.97500803514</v>
      </c>
      <c r="E42" s="6"/>
      <c r="F42" s="7">
        <f t="shared" si="1"/>
        <v>0</v>
      </c>
      <c r="G42" s="7">
        <f t="shared" si="2"/>
        <v>0</v>
      </c>
      <c r="H42" s="43" t="s">
        <v>216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TONT20000OCT2017!C43+TONT20000OCT2017!D43+TONT20000NOV2017!J43</f>
        <v>652785.74755793437</v>
      </c>
      <c r="E43" s="6"/>
      <c r="F43" s="7">
        <f t="shared" si="1"/>
        <v>0</v>
      </c>
      <c r="G43" s="7">
        <f t="shared" si="2"/>
        <v>0</v>
      </c>
      <c r="H43" s="43" t="s">
        <v>216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 t="shared" si="11"/>
        <v>0</v>
      </c>
      <c r="D44" s="6">
        <f>TONT20000OCT2017!C44+TONT20000OCT2017!D44+TONT20000NOV2017!J44</f>
        <v>446450.3702267537</v>
      </c>
      <c r="E44" s="6"/>
      <c r="F44" s="7">
        <f t="shared" si="1"/>
        <v>0</v>
      </c>
      <c r="G44" s="7">
        <f t="shared" si="2"/>
        <v>0</v>
      </c>
      <c r="H44" s="43" t="s">
        <v>216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TONT20000OCT2017!C45+TONT20000OCT2017!D45+TONT20000NOV2017!J45</f>
        <v>40948.689974752189</v>
      </c>
      <c r="E45" s="6"/>
      <c r="F45" s="7">
        <f t="shared" si="1"/>
        <v>0</v>
      </c>
      <c r="G45" s="7">
        <f t="shared" si="2"/>
        <v>0</v>
      </c>
      <c r="H45" s="43" t="s">
        <v>216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TONT20000OCT2017!C46+TONT20000OCT2017!D46+TONT20000NOV2017!J46</f>
        <v>479602.03452849825</v>
      </c>
      <c r="E46" s="6"/>
      <c r="F46" s="7">
        <f t="shared" si="1"/>
        <v>0</v>
      </c>
      <c r="G46" s="7">
        <f t="shared" si="2"/>
        <v>0</v>
      </c>
      <c r="H46" s="43" t="s">
        <v>216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TONT20000OCT2017!C47+TONT20000OCT2017!D47+TONT20000NOV2017!J47</f>
        <v>547468.46977922355</v>
      </c>
      <c r="E47" s="6"/>
      <c r="F47" s="7">
        <f t="shared" si="1"/>
        <v>0</v>
      </c>
      <c r="G47" s="7">
        <f t="shared" si="2"/>
        <v>0</v>
      </c>
      <c r="H47" s="43" t="s">
        <v>216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TONT20000OCT2017!C48+TONT20000OCT2017!D48+TONT20000NOV2017!J48</f>
        <v>25092.338567192724</v>
      </c>
      <c r="E48" s="6"/>
      <c r="F48" s="7">
        <f t="shared" si="1"/>
        <v>0</v>
      </c>
      <c r="G48" s="7">
        <f t="shared" si="2"/>
        <v>0</v>
      </c>
      <c r="H48" s="43" t="s">
        <v>216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TONT20000OCT2017!C49+TONT20000OCT2017!D49+TONT20000NOV2017!J49</f>
        <v>515205.56569438585</v>
      </c>
      <c r="E49" s="6"/>
      <c r="F49" s="7">
        <f t="shared" si="1"/>
        <v>0</v>
      </c>
      <c r="G49" s="7">
        <f t="shared" si="2"/>
        <v>0</v>
      </c>
      <c r="H49" s="43" t="s">
        <v>216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TONT20000OCT2017!C50+TONT20000OCT2017!D50+TONT20000NOV2017!J50</f>
        <v>473439.63826436154</v>
      </c>
      <c r="E50" s="6"/>
      <c r="F50" s="7">
        <f>IF(H50="ECHEC",0,13000)</f>
        <v>0</v>
      </c>
      <c r="G50" s="7">
        <f t="shared" si="2"/>
        <v>0</v>
      </c>
      <c r="H50" s="43" t="s">
        <v>216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TONT20000OCT2017!C51+TONT20000OCT2017!D51+TONT20000NOV2017!J51</f>
        <v>897646.51904088992</v>
      </c>
      <c r="E51" s="6"/>
      <c r="F51" s="7">
        <f t="shared" si="1"/>
        <v>0</v>
      </c>
      <c r="G51" s="7">
        <f t="shared" si="2"/>
        <v>0</v>
      </c>
      <c r="H51" s="43" t="s">
        <v>216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 t="shared" si="11"/>
        <v>0</v>
      </c>
      <c r="D52" s="6">
        <f>TONT20000OCT2017!C52+TONT20000OCT2017!D52+TONT20000NOV2017!J52</f>
        <v>1634252.7734199998</v>
      </c>
      <c r="E52" s="6"/>
      <c r="F52" s="7">
        <f t="shared" si="1"/>
        <v>0</v>
      </c>
      <c r="G52" s="7">
        <f t="shared" si="2"/>
        <v>0</v>
      </c>
      <c r="H52" s="43" t="s">
        <v>216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24836818.999999996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M6" sqref="M6:M3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7" width="13" customWidth="1"/>
    <col min="8" max="8" width="13" hidden="1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5" style="2" bestFit="1" customWidth="1"/>
    <col min="15" max="15" width="16.85546875" bestFit="1" customWidth="1"/>
    <col min="16" max="16" width="15" bestFit="1" customWidth="1"/>
    <col min="17" max="17" width="18.140625" customWidth="1"/>
    <col min="20" max="20" width="12.28515625" customWidth="1"/>
    <col min="22" max="22" width="25.42578125" bestFit="1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>TONT20000DEC2016!E5+TONT20000JANV2017!C5+TONT20000FEV2017!C5+TONT20000MARS2017!C5+TONT20000AVRIL2017!C5+TONT20000MAI2017!C5+TONT20000JUIN2017!C5+TONT20000JUIL2017!C5+TONT20000AOUT2017!C5+TONT20000SEPT2017!C5+TONT20000OCT2017!C5+TONT20000NOV2017!C5</f>
        <v>24242.945817566724</v>
      </c>
      <c r="D5" s="6">
        <f>TONT20000OCT2017!C5+TONT20000OCT2017!D5+TONT20000ANNUELLE!J5</f>
        <v>379339.94581756671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TONT20000DEC2016!E6+TONT20000JANV2017!C6+TONT20000FEV2017!C6+TONT20000MARS2017!C6+TONT20000AVRIL2017!C6+TONT20000MAI2017!C6+TONT20000JUIN2017!C6+TONT20000JUIL2017!C6+TONT20000AOUT2017!C6+TONT20000SEPT2017!C6+TONT20000OCT2017!C6+TONT20000NOV2017!C6</f>
        <v>32224.497730462026</v>
      </c>
      <c r="D6" s="6">
        <f>TONT20000OCT2017!C6+TONT20000OCT2017!D6+TONT20000ANNUELLE!J6</f>
        <v>514217.49773046206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TONT20000DEC2016!K6+TONT20000JANV2017!I6+TONT20000FEV2017!I6+TONT20000MARS2017!I6+TONT20000AVRIL2017!I6+TONT20000MAI2017!I6+TONT20000JUIN2017!I6+TONT20000JUIL2017!I6+TONT20000AOUT2017!J6</f>
        <v>30000</v>
      </c>
      <c r="J6" s="7">
        <f>TONT20000DEC2016!L6+TONT20000JANV2017!J6+TONT20000FEV2017!J6+TONT20000MARS2017!J6+TONT20000AVRIL2017!J6+TONT20000MAI2017!J6+TONT20000JUIN2017!J6+TONT20000JUIL2017!J6+TONT20000AOUT2017!K6</f>
        <v>5000</v>
      </c>
      <c r="K6" s="7">
        <f>TONT20000DEC2016!M6+TONT20000JANV2017!K6+TONT20000FEV2017!K6+TONT20000MARS2017!K6+TONT20000AVRIL2017!K6+TONT20000MAI2017!K6+TONT20000JUIN2017!K6+TONT20000JUIL2017!K6+TONT20000AOUT2017!L6</f>
        <v>10000</v>
      </c>
      <c r="L6" s="7">
        <f>TONT20000DEC2016!N6+TONT20000JANV2017!L6+TONT20000FEV2017!L6+TONT20000MARS2017!L6+TONT20000AVRIL2017!L6+TONT20000MAI2017!L6+TONT20000JUIN2017!L6+TONT20000JUIL2017!L6+TONT20000AOUT2017!M6</f>
        <v>25000</v>
      </c>
      <c r="M6" s="7">
        <f>TONT20000DEC2016!O6+TONT20000JANV2017!M6+TONT20000FEV2017!M6+TONT20000MARS2017!M6+TONT20000AVRIL2017!M6+TONT20000MAI2017!M6+TONT20000JUIN2017!M6+TONT20000JUIL2017!M6+TONT20000AOUT2017!M6</f>
        <v>25000</v>
      </c>
      <c r="N6" s="7">
        <f>TONT20000DEC2016!P6+TONT20000JANV2017!N6+TONT20000FEV2017!N6+TONT20000MARS2017!N6+TONT20000AVRIL2017!N6+TONT20000MAI2017!N6+TONT20000JUIN2017!N6+TONT20000JUIL2017!N6+TONT20000AOUT2017!N6</f>
        <v>0</v>
      </c>
      <c r="O6" s="7">
        <f>TONT20000DEC2016!Q6+TONT20000JANV2017!O6+TONT20000FEV2017!O6+TONT20000MARS2017!O6+TONT20000AVRIL2017!O6+TONT20000MAI2017!O6+TONT20000JUIN2017!O6+TONT20000JUIL2017!O6+TONT20000AOUT2017!O6</f>
        <v>0</v>
      </c>
      <c r="P6" s="7">
        <f>TONT20000DEC2016!R6+TONT20000JANV2017!P6+TONT20000FEV2017!P6+TONT20000MARS2017!P6+TONT20000AVRIL2017!P6+TONT20000MAI2017!P6+TONT20000JUIN2017!P6+TONT20000JUIL2017!P6+TONT20000AOUT2017!P6</f>
        <v>0</v>
      </c>
      <c r="Q6" s="7">
        <f>TONT20000DEC2016!S6+TONT20000JANV2017!Q6+TONT20000FEV2017!Q6+TONT20000MARS2017!Q6+TONT20000AVRIL2017!Q6+TONT20000MAI2017!Q6+TONT20000JUIN2017!Q6+TONT20000JUIL2017!Q6+TONT20000AOUT2017!Q6</f>
        <v>0</v>
      </c>
      <c r="R6" s="7">
        <f>TONT20000DEC2016!T6+TONT20000JANV2017!R6+TONT20000FEV2017!R6+TONT20000MARS2017!R6+TONT20000AVRIL2017!R6+TONT20000MAI2017!R6+TONT20000JUIN2017!R6+TONT20000JUIL2017!R6+TONT20000AOUT2017!R6</f>
        <v>0</v>
      </c>
      <c r="S6" s="7">
        <f>TONT20000DEC2016!U6+TONT20000JANV2017!S6+TONT20000FEV2017!S6+TONT20000MARS2017!S6+TONT20000AVRIL2017!S6+TONT20000MAI2017!S6+TONT20000JUIN2017!S6+TONT20000JUIL2017!S6+TONT20000AOUT2017!S6</f>
        <v>0</v>
      </c>
      <c r="T6" s="7">
        <f>TONT20000DEC2016!V6+TONT20000JANV2017!T6+TONT20000FEV2017!T6+TONT20000MARS2017!T6+TONT20000AVRIL2017!T6+TONT20000MAI2017!T6+TONT20000JUIN2017!T6+TONT20000JUIL2017!T6+TONT20000AOUT2017!T6</f>
        <v>0</v>
      </c>
      <c r="U6" t="s">
        <v>242</v>
      </c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TONT20000DEC2016!E7+TONT20000JANV2017!C7+TONT20000FEV2017!C7+TONT20000MARS2017!C7+TONT20000AVRIL2017!C7+TONT20000MAI2017!C7+TONT20000JUIN2017!C7+TONT20000JUIL2017!C7+TONT20000AOUT2017!C7+TONT20000SEPT2017!C7+TONT20000OCT2017!C7+TONT20000NOV2017!C7</f>
        <v>29952.087397890016</v>
      </c>
      <c r="D7" s="6">
        <f>TONT20000OCT2017!C7+TONT20000OCT2017!D7+TONT20000ANNUELLE!J7</f>
        <v>501672.08739788999</v>
      </c>
      <c r="E7" s="6"/>
      <c r="F7" s="7">
        <f t="shared" ref="F7:F52" si="0">IF(H7="ECHEC",0,13000)</f>
        <v>0</v>
      </c>
      <c r="G7" s="7">
        <f t="shared" ref="G7:G52" si="1">IF(H7="ESPECES",1000,0)</f>
        <v>0</v>
      </c>
      <c r="H7" s="43" t="s">
        <v>216</v>
      </c>
      <c r="I7" s="7">
        <f>TONT20000DEC2016!K7+TONT20000JANV2017!I7+TONT20000FEV2017!I7+TONT20000MARS2017!I7+TONT20000AVRIL2017!I7+TONT20000MAI2017!I7+TONT20000JUIN2017!I7+TONT20000JUIL2017!I7+TONT20000AOUT2017!J7</f>
        <v>163000</v>
      </c>
      <c r="J7" s="7">
        <f>TONT20000DEC2016!L7+TONT20000JANV2017!J7+TONT20000FEV2017!J7+TONT20000MARS2017!J7+TONT20000AVRIL2017!J7+TONT20000MAI2017!J7+TONT20000JUIN2017!J7+TONT20000JUIL2017!J7+TONT20000AOUT2017!K7</f>
        <v>24500</v>
      </c>
      <c r="K7" s="7">
        <f>TONT20000DEC2016!M7+TONT20000JANV2017!K7+TONT20000FEV2017!K7+TONT20000MARS2017!K7+TONT20000AVRIL2017!K7+TONT20000MAI2017!K7+TONT20000JUIN2017!K7+TONT20000JUIL2017!K7+TONT20000AOUT2017!L7</f>
        <v>5000</v>
      </c>
      <c r="L7" s="7">
        <f>TONT20000DEC2016!N7+TONT20000JANV2017!L7+TONT20000FEV2017!L7+TONT20000MARS2017!L7+TONT20000AVRIL2017!L7+TONT20000MAI2017!L7+TONT20000JUIN2017!L7+TONT20000JUIL2017!L7+TONT20000AOUT2017!M7</f>
        <v>10500</v>
      </c>
      <c r="M7" s="7">
        <f>TONT20000DEC2016!O7+TONT20000JANV2017!M7+TONT20000FEV2017!M7+TONT20000MARS2017!M7+TONT20000AVRIL2017!M7+TONT20000MAI2017!M7+TONT20000JUIN2017!M7+TONT20000JUIL2017!M7+TONT20000AOUT2017!M7</f>
        <v>22500</v>
      </c>
      <c r="N7" s="7">
        <f>TONT20000DEC2016!P7+TONT20000JANV2017!N7+TONT20000FEV2017!N7+TONT20000MARS2017!N7+TONT20000AVRIL2017!N7+TONT20000MAI2017!N7+TONT20000JUIN2017!N7+TONT20000JUIL2017!N7+TONT20000AOUT2017!N7</f>
        <v>0</v>
      </c>
      <c r="O7" s="7">
        <f>TONT20000DEC2016!Q7+TONT20000JANV2017!O7+TONT20000FEV2017!O7+TONT20000MARS2017!O7+TONT20000AVRIL2017!O7+TONT20000MAI2017!O7+TONT20000JUIN2017!O7+TONT20000JUIL2017!O7+TONT20000AOUT2017!O7</f>
        <v>0</v>
      </c>
      <c r="P7" s="7">
        <f>TONT20000DEC2016!R7+TONT20000JANV2017!P7+TONT20000FEV2017!P7+TONT20000MARS2017!P7+TONT20000AVRIL2017!P7+TONT20000MAI2017!P7+TONT20000JUIN2017!P7+TONT20000JUIL2017!P7+TONT20000AOUT2017!P7</f>
        <v>0</v>
      </c>
      <c r="Q7" s="7">
        <f>TONT20000DEC2016!S7+TONT20000JANV2017!Q7+TONT20000FEV2017!Q7+TONT20000MARS2017!Q7+TONT20000AVRIL2017!Q7+TONT20000MAI2017!Q7+TONT20000JUIN2017!Q7+TONT20000JUIL2017!Q7+TONT20000AOUT2017!Q7</f>
        <v>0</v>
      </c>
      <c r="R7" s="7">
        <f>TONT20000DEC2016!T7+TONT20000JANV2017!R7+TONT20000FEV2017!R7+TONT20000MARS2017!R7+TONT20000AVRIL2017!R7+TONT20000MAI2017!R7+TONT20000JUIN2017!R7+TONT20000JUIL2017!R7+TONT20000AOUT2017!R7</f>
        <v>0</v>
      </c>
      <c r="S7" s="7">
        <f>TONT20000DEC2016!U7+TONT20000JANV2017!S7+TONT20000FEV2017!S7+TONT20000MARS2017!S7+TONT20000AVRIL2017!S7+TONT20000MAI2017!S7+TONT20000JUIN2017!S7+TONT20000JUIL2017!S7+TONT20000AOUT2017!S7</f>
        <v>0</v>
      </c>
      <c r="T7" s="7">
        <f>TONT20000DEC2016!V7+TONT20000JANV2017!T7+TONT20000FEV2017!T7+TONT20000MARS2017!T7+TONT20000AVRIL2017!T7+TONT20000MAI2017!T7+TONT20000JUIN2017!T7+TONT20000JUIL2017!T7+TONT20000AOUT2017!T7</f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TONT20000DEC2016!E8+TONT20000JANV2017!C8+TONT20000FEV2017!C8+TONT20000MARS2017!C8+TONT20000AVRIL2017!C8+TONT20000MAI2017!C8+TONT20000JUIN2017!C8+TONT20000JUIL2017!C8+TONT20000AOUT2017!C8+TONT20000SEPT2017!C8+TONT20000OCT2017!C8+TONT20000NOV2017!C8</f>
        <v>30167.415184688009</v>
      </c>
      <c r="D8" s="6">
        <f>TONT20000OCT2017!C8+TONT20000OCT2017!D8+TONT20000ANNUELLE!J8</f>
        <v>505041.41518468806</v>
      </c>
      <c r="E8" s="6"/>
      <c r="F8" s="7">
        <f t="shared" si="0"/>
        <v>0</v>
      </c>
      <c r="G8" s="7">
        <f t="shared" si="1"/>
        <v>0</v>
      </c>
      <c r="H8" s="43" t="s">
        <v>216</v>
      </c>
      <c r="I8" s="7">
        <f>TONT20000DEC2016!K8+TONT20000JANV2017!I8+TONT20000FEV2017!I8+TONT20000MARS2017!I8+TONT20000AVRIL2017!I8+TONT20000MAI2017!I8+TONT20000JUIN2017!I8+TONT20000JUIL2017!I8+TONT20000AOUT2017!J8</f>
        <v>163000</v>
      </c>
      <c r="J8" s="7">
        <f>TONT20000DEC2016!L8+TONT20000JANV2017!J8+TONT20000FEV2017!J8+TONT20000MARS2017!J8+TONT20000AVRIL2017!J8+TONT20000MAI2017!J8+TONT20000JUIN2017!J8+TONT20000JUIL2017!J8+TONT20000AOUT2017!K8</f>
        <v>24500</v>
      </c>
      <c r="K8" s="7">
        <f>TONT20000DEC2016!M8+TONT20000JANV2017!K8+TONT20000FEV2017!K8+TONT20000MARS2017!K8+TONT20000AVRIL2017!K8+TONT20000MAI2017!K8+TONT20000JUIN2017!K8+TONT20000JUIL2017!K8+TONT20000AOUT2017!L8</f>
        <v>5000</v>
      </c>
      <c r="L8" s="7">
        <f>TONT20000DEC2016!N8+TONT20000JANV2017!L8+TONT20000FEV2017!L8+TONT20000MARS2017!L8+TONT20000AVRIL2017!L8+TONT20000MAI2017!L8+TONT20000JUIN2017!L8+TONT20000JUIL2017!L8+TONT20000AOUT2017!M8</f>
        <v>10500</v>
      </c>
      <c r="M8" s="7">
        <f>TONT20000DEC2016!O8+TONT20000JANV2017!M8+TONT20000FEV2017!M8+TONT20000MARS2017!M8+TONT20000AVRIL2017!M8+TONT20000MAI2017!M8+TONT20000JUIN2017!M8+TONT20000JUIL2017!M8+TONT20000AOUT2017!M8</f>
        <v>22500</v>
      </c>
      <c r="N8" s="7">
        <f>TONT20000DEC2016!P8+TONT20000JANV2017!N8+TONT20000FEV2017!N8+TONT20000MARS2017!N8+TONT20000AVRIL2017!N8+TONT20000MAI2017!N8+TONT20000JUIN2017!N8+TONT20000JUIL2017!N8+TONT20000AOUT2017!N8</f>
        <v>0</v>
      </c>
      <c r="O8" s="7">
        <f>TONT20000DEC2016!Q8+TONT20000JANV2017!O8+TONT20000FEV2017!O8+TONT20000MARS2017!O8+TONT20000AVRIL2017!O8+TONT20000MAI2017!O8+TONT20000JUIN2017!O8+TONT20000JUIL2017!O8+TONT20000AOUT2017!O8</f>
        <v>0</v>
      </c>
      <c r="P8" s="7">
        <f>TONT20000DEC2016!R8+TONT20000JANV2017!P8+TONT20000FEV2017!P8+TONT20000MARS2017!P8+TONT20000AVRIL2017!P8+TONT20000MAI2017!P8+TONT20000JUIN2017!P8+TONT20000JUIL2017!P8+TONT20000AOUT2017!P8</f>
        <v>0</v>
      </c>
      <c r="Q8" s="7">
        <f>TONT20000DEC2016!S8+TONT20000JANV2017!Q8+TONT20000FEV2017!Q8+TONT20000MARS2017!Q8+TONT20000AVRIL2017!Q8+TONT20000MAI2017!Q8+TONT20000JUIN2017!Q8+TONT20000JUIL2017!Q8+TONT20000AOUT2017!Q8</f>
        <v>0</v>
      </c>
      <c r="R8" s="7">
        <f>TONT20000DEC2016!T8+TONT20000JANV2017!R8+TONT20000FEV2017!R8+TONT20000MARS2017!R8+TONT20000AVRIL2017!R8+TONT20000MAI2017!R8+TONT20000JUIN2017!R8+TONT20000JUIL2017!R8+TONT20000AOUT2017!R8</f>
        <v>0</v>
      </c>
      <c r="S8" s="7">
        <f>TONT20000DEC2016!U8+TONT20000JANV2017!S8+TONT20000FEV2017!S8+TONT20000MARS2017!S8+TONT20000AVRIL2017!S8+TONT20000MAI2017!S8+TONT20000JUIN2017!S8+TONT20000JUIL2017!S8+TONT20000AOUT2017!S8</f>
        <v>0</v>
      </c>
      <c r="T8" s="7">
        <f>TONT20000DEC2016!V8+TONT20000JANV2017!T8+TONT20000FEV2017!T8+TONT20000MARS2017!T8+TONT20000AVRIL2017!T8+TONT20000MAI2017!T8+TONT20000JUIN2017!T8+TONT20000JUIL2017!T8+TONT20000AOUT2017!T8</f>
        <v>0</v>
      </c>
      <c r="U8" s="44">
        <v>42632</v>
      </c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TONT20000DEC2016!E9+TONT20000JANV2017!C9+TONT20000FEV2017!C9+TONT20000MARS2017!C9+TONT20000AVRIL2017!C9+TONT20000MAI2017!C9+TONT20000JUIN2017!C9+TONT20000JUIL2017!C9+TONT20000AOUT2017!C9+TONT20000SEPT2017!C9+TONT20000OCT2017!C9+TONT20000NOV2017!C9</f>
        <v>30416.082362378602</v>
      </c>
      <c r="D9" s="6">
        <f>TONT20000OCT2017!C9+TONT20000OCT2017!D9+TONT20000ANNUELLE!J9</f>
        <v>522986.08236237866</v>
      </c>
      <c r="E9" s="6"/>
      <c r="F9" s="7">
        <f t="shared" si="0"/>
        <v>0</v>
      </c>
      <c r="G9" s="7">
        <f t="shared" si="1"/>
        <v>0</v>
      </c>
      <c r="H9" s="43" t="s">
        <v>216</v>
      </c>
      <c r="I9" s="7">
        <f>TONT20000DEC2016!K9+TONT20000JANV2017!I9+TONT20000FEV2017!I9+TONT20000MARS2017!I9+TONT20000AVRIL2017!I9+TONT20000MAI2017!I9+TONT20000JUIN2017!I9+TONT20000JUIL2017!I9+TONT20000AOUT2017!J9</f>
        <v>173500</v>
      </c>
      <c r="J9" s="7">
        <f>TONT20000DEC2016!L9+TONT20000JANV2017!J9+TONT20000FEV2017!J9+TONT20000MARS2017!J9+TONT20000AVRIL2017!J9+TONT20000MAI2017!J9+TONT20000JUIN2017!J9+TONT20000JUIL2017!J9+TONT20000AOUT2017!K9</f>
        <v>35000</v>
      </c>
      <c r="K9" s="7">
        <f>TONT20000DEC2016!M9+TONT20000JANV2017!K9+TONT20000FEV2017!K9+TONT20000MARS2017!K9+TONT20000AVRIL2017!K9+TONT20000MAI2017!K9+TONT20000JUIN2017!K9+TONT20000JUIL2017!K9+TONT20000AOUT2017!L9</f>
        <v>5000</v>
      </c>
      <c r="L9" s="7">
        <f>TONT20000DEC2016!N9+TONT20000JANV2017!L9+TONT20000FEV2017!L9+TONT20000MARS2017!L9+TONT20000AVRIL2017!L9+TONT20000MAI2017!L9+TONT20000JUIN2017!L9+TONT20000JUIL2017!L9+TONT20000AOUT2017!M9</f>
        <v>10500</v>
      </c>
      <c r="M9" s="7">
        <f>TONT20000DEC2016!O9+TONT20000JANV2017!M9+TONT20000FEV2017!M9+TONT20000MARS2017!M9+TONT20000AVRIL2017!M9+TONT20000MAI2017!M9+TONT20000JUIN2017!M9+TONT20000JUIL2017!M9+TONT20000AOUT2017!M9</f>
        <v>22500</v>
      </c>
      <c r="N9" s="7">
        <f>TONT20000DEC2016!P9+TONT20000JANV2017!N9+TONT20000FEV2017!N9+TONT20000MARS2017!N9+TONT20000AVRIL2017!N9+TONT20000MAI2017!N9+TONT20000JUIN2017!N9+TONT20000JUIL2017!N9+TONT20000AOUT2017!N9</f>
        <v>0</v>
      </c>
      <c r="O9" s="7">
        <f>TONT20000DEC2016!Q9+TONT20000JANV2017!O9+TONT20000FEV2017!O9+TONT20000MARS2017!O9+TONT20000AVRIL2017!O9+TONT20000MAI2017!O9+TONT20000JUIN2017!O9+TONT20000JUIL2017!O9+TONT20000AOUT2017!O9</f>
        <v>1000000</v>
      </c>
      <c r="P9" s="7">
        <f>TONT20000DEC2016!R9+TONT20000JANV2017!P9+TONT20000FEV2017!P9+TONT20000MARS2017!P9+TONT20000AVRIL2017!P9+TONT20000MAI2017!P9+TONT20000JUIN2017!P9+TONT20000JUIL2017!P9+TONT20000AOUT2017!P9</f>
        <v>120000</v>
      </c>
      <c r="Q9" s="7">
        <f>TONT20000DEC2016!S9+TONT20000JANV2017!Q9+TONT20000FEV2017!Q9+TONT20000MARS2017!Q9+TONT20000AVRIL2017!Q9+TONT20000MAI2017!Q9+TONT20000JUIN2017!Q9+TONT20000JUIL2017!Q9+TONT20000AOUT2017!Q9</f>
        <v>103000</v>
      </c>
      <c r="R9" s="7">
        <f>TONT20000DEC2016!T9+TONT20000JANV2017!R9+TONT20000FEV2017!R9+TONT20000MARS2017!R9+TONT20000AVRIL2017!R9+TONT20000MAI2017!R9+TONT20000JUIN2017!R9+TONT20000JUIL2017!R9+TONT20000AOUT2017!R9</f>
        <v>0</v>
      </c>
      <c r="S9" s="7">
        <f>TONT20000DEC2016!U9+TONT20000JANV2017!S9+TONT20000FEV2017!S9+TONT20000MARS2017!S9+TONT20000AVRIL2017!S9+TONT20000MAI2017!S9+TONT20000JUIN2017!S9+TONT20000JUIL2017!S9+TONT20000AOUT2017!S9</f>
        <v>0</v>
      </c>
      <c r="T9" s="7">
        <f>TONT20000DEC2016!V9+TONT20000JANV2017!T9+TONT20000FEV2017!T9+TONT20000MARS2017!T9+TONT20000AVRIL2017!T9+TONT20000MAI2017!T9+TONT20000JUIN2017!T9+TONT20000JUIL2017!T9+TONT20000AOUT2017!T9</f>
        <v>11000</v>
      </c>
      <c r="U9" s="44">
        <v>42723</v>
      </c>
      <c r="V9" s="1" t="s">
        <v>83</v>
      </c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>TONT20000DEC2016!E10+TONT20000JANV2017!C10+TONT20000FEV2017!C10+TONT20000MARS2017!C10+TONT20000AVRIL2017!C10+TONT20000MAI2017!C10+TONT20000JUIN2017!C10+TONT20000JUIL2017!C10+TONT20000AOUT2017!C10+TONT20000SEPT2017!C10+TONT20000OCT2017!C10+TONT20000NOV2017!C10</f>
        <v>30540.319216501161</v>
      </c>
      <c r="D10" s="6">
        <f>TONT20000OCT2017!C10+TONT20000OCT2017!D10+TONT20000ANNUELLE!J10</f>
        <v>536237.3192165012</v>
      </c>
      <c r="E10" s="6"/>
      <c r="F10" s="7">
        <f t="shared" si="0"/>
        <v>0</v>
      </c>
      <c r="G10" s="7">
        <f t="shared" si="1"/>
        <v>0</v>
      </c>
      <c r="H10" s="43" t="s">
        <v>216</v>
      </c>
      <c r="I10" s="7">
        <f>TONT20000DEC2016!K10+TONT20000JANV2017!I10+TONT20000FEV2017!I10+TONT20000MARS2017!I10+TONT20000AVRIL2017!I10+TONT20000MAI2017!I10+TONT20000JUIN2017!I10+TONT20000JUIL2017!I10+TONT20000AOUT2017!J10</f>
        <v>180000</v>
      </c>
      <c r="J10" s="7">
        <f>TONT20000DEC2016!L10+TONT20000JANV2017!J10+TONT20000FEV2017!J10+TONT20000MARS2017!J10+TONT20000AVRIL2017!J10+TONT20000MAI2017!J10+TONT20000JUIN2017!J10+TONT20000JUIL2017!J10+TONT20000AOUT2017!K10</f>
        <v>41500</v>
      </c>
      <c r="K10" s="7">
        <f>TONT20000DEC2016!M10+TONT20000JANV2017!K10+TONT20000FEV2017!K10+TONT20000MARS2017!K10+TONT20000AVRIL2017!K10+TONT20000MAI2017!K10+TONT20000JUIN2017!K10+TONT20000JUIL2017!K10+TONT20000AOUT2017!L10</f>
        <v>5000</v>
      </c>
      <c r="L10" s="7">
        <f>TONT20000DEC2016!N10+TONT20000JANV2017!L10+TONT20000FEV2017!L10+TONT20000MARS2017!L10+TONT20000AVRIL2017!L10+TONT20000MAI2017!L10+TONT20000JUIN2017!L10+TONT20000JUIL2017!L10+TONT20000AOUT2017!M10</f>
        <v>10500</v>
      </c>
      <c r="M10" s="7">
        <f>TONT20000DEC2016!O10+TONT20000JANV2017!M10+TONT20000FEV2017!M10+TONT20000MARS2017!M10+TONT20000AVRIL2017!M10+TONT20000MAI2017!M10+TONT20000JUIN2017!M10+TONT20000JUIL2017!M10+TONT20000AOUT2017!M10</f>
        <v>22500</v>
      </c>
      <c r="N10" s="7">
        <f>TONT20000DEC2016!P10+TONT20000JANV2017!N10+TONT20000FEV2017!N10+TONT20000MARS2017!N10+TONT20000AVRIL2017!N10+TONT20000MAI2017!N10+TONT20000JUIN2017!N10+TONT20000JUIL2017!N10+TONT20000AOUT2017!N10</f>
        <v>0</v>
      </c>
      <c r="O10" s="7">
        <f>TONT20000DEC2016!Q10+TONT20000JANV2017!O10+TONT20000FEV2017!O10+TONT20000MARS2017!O10+TONT20000AVRIL2017!O10+TONT20000MAI2017!O10+TONT20000JUIN2017!O10+TONT20000JUIL2017!O10+TONT20000AOUT2017!O10</f>
        <v>0</v>
      </c>
      <c r="P10" s="7">
        <f>TONT20000DEC2016!R10+TONT20000JANV2017!P10+TONT20000FEV2017!P10+TONT20000MARS2017!P10+TONT20000AVRIL2017!P10+TONT20000MAI2017!P10+TONT20000JUIN2017!P10+TONT20000JUIL2017!P10+TONT20000AOUT2017!P10</f>
        <v>0</v>
      </c>
      <c r="Q10" s="7">
        <f>TONT20000DEC2016!S10+TONT20000JANV2017!Q10+TONT20000FEV2017!Q10+TONT20000MARS2017!Q10+TONT20000AVRIL2017!Q10+TONT20000MAI2017!Q10+TONT20000JUIN2017!Q10+TONT20000JUIL2017!Q10+TONT20000AOUT2017!Q10</f>
        <v>140000</v>
      </c>
      <c r="R10" s="7">
        <f>TONT20000DEC2016!T10+TONT20000JANV2017!R10+TONT20000FEV2017!R10+TONT20000MARS2017!R10+TONT20000AVRIL2017!R10+TONT20000MAI2017!R10+TONT20000JUIN2017!R10+TONT20000JUIL2017!R10+TONT20000AOUT2017!R10</f>
        <v>0</v>
      </c>
      <c r="S10" s="7">
        <f>TONT20000DEC2016!U10+TONT20000JANV2017!S10+TONT20000FEV2017!S10+TONT20000MARS2017!S10+TONT20000AVRIL2017!S10+TONT20000MAI2017!S10+TONT20000JUIN2017!S10+TONT20000JUIL2017!S10+TONT20000AOUT2017!S10</f>
        <v>0</v>
      </c>
      <c r="T10" s="7">
        <f>TONT20000DEC2016!V10+TONT20000JANV2017!T10+TONT20000FEV2017!T10+TONT20000MARS2017!T10+TONT20000AVRIL2017!T10+TONT20000MAI2017!T10+TONT20000JUIN2017!T10+TONT20000JUIL2017!T10+TONT20000AOUT2017!T10</f>
        <v>10000</v>
      </c>
      <c r="U10" s="44">
        <v>42876</v>
      </c>
      <c r="V10" s="1"/>
    </row>
    <row r="11" spans="1:22" x14ac:dyDescent="0.25">
      <c r="A11" s="1"/>
      <c r="B11" s="1"/>
      <c r="C11" s="6">
        <f>TONT20000DEC2016!E11+TONT20000JANV2017!C11+TONT20000FEV2017!C11+TONT20000MARS2017!C11+TONT20000AVRIL2017!C11+TONT20000MAI2017!C11+TONT20000JUIN2017!C11+TONT20000JUIL2017!C11+TONT20000AOUT2017!C11+TONT20000SEPT2017!C11+TONT20000OCT2017!C11+TONT20000NOV2017!C11</f>
        <v>0</v>
      </c>
      <c r="D11" s="6">
        <f>TONT20000OCT2017!C11+TONT20000OCT2017!D11+TONT20000ANNUELLE!J11</f>
        <v>0</v>
      </c>
      <c r="E11" s="6"/>
      <c r="F11" s="7"/>
      <c r="G11" s="7"/>
      <c r="H11" s="43"/>
      <c r="I11" s="7">
        <f>TONT20000DEC2016!K11+TONT20000JANV2017!I11+TONT20000FEV2017!I11+TONT20000MARS2017!I11+TONT20000AVRIL2017!I11+TONT20000MAI2017!I11+TONT20000JUIN2017!I11+TONT20000JUIL2017!I11+TONT20000AOUT2017!J11</f>
        <v>0</v>
      </c>
      <c r="J11" s="7">
        <f>TONT20000DEC2016!L11+TONT20000JANV2017!J11+TONT20000FEV2017!J11+TONT20000MARS2017!J11+TONT20000AVRIL2017!J11+TONT20000MAI2017!J11+TONT20000JUIN2017!J11+TONT20000JUIL2017!J11+TONT20000AOUT2017!K11</f>
        <v>0</v>
      </c>
      <c r="K11" s="7">
        <f>TONT20000DEC2016!M11+TONT20000JANV2017!K11+TONT20000FEV2017!K11+TONT20000MARS2017!K11+TONT20000AVRIL2017!K11+TONT20000MAI2017!K11+TONT20000JUIN2017!K11+TONT20000JUIL2017!K11+TONT20000AOUT2017!L11</f>
        <v>0</v>
      </c>
      <c r="L11" s="7">
        <f>TONT20000DEC2016!N11+TONT20000JANV2017!L11+TONT20000FEV2017!L11+TONT20000MARS2017!L11+TONT20000AVRIL2017!L11+TONT20000MAI2017!L11+TONT20000JUIN2017!L11+TONT20000JUIL2017!L11+TONT20000AOUT2017!M11</f>
        <v>0</v>
      </c>
      <c r="M11" s="7">
        <f>TONT20000DEC2016!O11+TONT20000JANV2017!M11+TONT20000FEV2017!M11+TONT20000MARS2017!M11+TONT20000AVRIL2017!M11+TONT20000MAI2017!M11+TONT20000JUIN2017!M11+TONT20000JUIL2017!M11+TONT20000AOUT2017!M11</f>
        <v>0</v>
      </c>
      <c r="N11" s="7">
        <f>TONT20000DEC2016!P11+TONT20000JANV2017!N11+TONT20000FEV2017!N11+TONT20000MARS2017!N11+TONT20000AVRIL2017!N11+TONT20000MAI2017!N11+TONT20000JUIN2017!N11+TONT20000JUIL2017!N11+TONT20000AOUT2017!N11</f>
        <v>0</v>
      </c>
      <c r="O11" s="7">
        <f>TONT20000DEC2016!Q11+TONT20000JANV2017!O11+TONT20000FEV2017!O11+TONT20000MARS2017!O11+TONT20000AVRIL2017!O11+TONT20000MAI2017!O11+TONT20000JUIN2017!O11+TONT20000JUIL2017!O11+TONT20000AOUT2017!O11</f>
        <v>0</v>
      </c>
      <c r="P11" s="7">
        <f>TONT20000DEC2016!R11+TONT20000JANV2017!P11+TONT20000FEV2017!P11+TONT20000MARS2017!P11+TONT20000AVRIL2017!P11+TONT20000MAI2017!P11+TONT20000JUIN2017!P11+TONT20000JUIL2017!P11+TONT20000AOUT2017!P11</f>
        <v>0</v>
      </c>
      <c r="Q11" s="7">
        <f>TONT20000DEC2016!S11+TONT20000JANV2017!Q11+TONT20000FEV2017!Q11+TONT20000MARS2017!Q11+TONT20000AVRIL2017!Q11+TONT20000MAI2017!Q11+TONT20000JUIN2017!Q11+TONT20000JUIL2017!Q11+TONT20000AOUT2017!Q11</f>
        <v>0</v>
      </c>
      <c r="R11" s="7">
        <f>TONT20000DEC2016!T11+TONT20000JANV2017!R11+TONT20000FEV2017!R11+TONT20000MARS2017!R11+TONT20000AVRIL2017!R11+TONT20000MAI2017!R11+TONT20000JUIN2017!R11+TONT20000JUIL2017!R11+TONT20000AOUT2017!R11</f>
        <v>0</v>
      </c>
      <c r="S11" s="7">
        <f>TONT20000DEC2016!U11+TONT20000JANV2017!S11+TONT20000FEV2017!S11+TONT20000MARS2017!S11+TONT20000AVRIL2017!S11+TONT20000MAI2017!S11+TONT20000JUIN2017!S11+TONT20000JUIL2017!S11+TONT20000AOUT2017!S11</f>
        <v>0</v>
      </c>
      <c r="T11" s="7">
        <f>TONT20000DEC2016!V11+TONT20000JANV2017!T11+TONT20000FEV2017!T11+TONT20000MARS2017!T11+TONT20000AVRIL2017!T11+TONT20000MAI2017!T11+TONT20000JUIN2017!T11+TONT20000JUIL2017!T11+TONT20000AOUT2017!T11</f>
        <v>0</v>
      </c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TONT20000DEC2016!E12+TONT20000JANV2017!C12+TONT20000FEV2017!C12+TONT20000MARS2017!C12+TONT20000AVRIL2017!C12+TONT20000MAI2017!C12+TONT20000JUIN2017!C12+TONT20000JUIL2017!C12+TONT20000AOUT2017!C12+TONT20000SEPT2017!C12+TONT20000OCT2017!C12+TONT20000NOV2017!C12</f>
        <v>73155.552851759159</v>
      </c>
      <c r="D12" s="6">
        <f>TONT20000OCT2017!C12+TONT20000OCT2017!D12+TONT20000ANNUELLE!J12</f>
        <v>1177695.5528517591</v>
      </c>
      <c r="E12" s="6"/>
      <c r="F12" s="7">
        <f t="shared" si="0"/>
        <v>0</v>
      </c>
      <c r="G12" s="7">
        <f t="shared" si="1"/>
        <v>0</v>
      </c>
      <c r="H12" s="43" t="s">
        <v>216</v>
      </c>
      <c r="I12" s="7">
        <f>TONT20000DEC2016!K12+TONT20000JANV2017!I12+TONT20000FEV2017!I12+TONT20000MARS2017!I12+TONT20000AVRIL2017!I12+TONT20000MAI2017!I12+TONT20000JUIN2017!I12+TONT20000JUIL2017!I12+TONT20000AOUT2017!J12</f>
        <v>363000</v>
      </c>
      <c r="J12" s="7">
        <f>TONT20000DEC2016!L12+TONT20000JANV2017!J12+TONT20000FEV2017!J12+TONT20000MARS2017!J12+TONT20000AVRIL2017!J12+TONT20000MAI2017!J12+TONT20000JUIN2017!J12+TONT20000JUIL2017!J12+TONT20000AOUT2017!K12</f>
        <v>24500</v>
      </c>
      <c r="K12" s="7">
        <f>TONT20000DEC2016!M12+TONT20000JANV2017!K12+TONT20000FEV2017!K12+TONT20000MARS2017!K12+TONT20000AVRIL2017!K12+TONT20000MAI2017!K12+TONT20000JUIN2017!K12+TONT20000JUIL2017!K12+TONT20000AOUT2017!L12</f>
        <v>5000</v>
      </c>
      <c r="L12" s="7">
        <f>TONT20000DEC2016!N12+TONT20000JANV2017!L12+TONT20000FEV2017!L12+TONT20000MARS2017!L12+TONT20000AVRIL2017!L12+TONT20000MAI2017!L12+TONT20000JUIN2017!L12+TONT20000JUIL2017!L12+TONT20000AOUT2017!M12</f>
        <v>10500</v>
      </c>
      <c r="M12" s="7">
        <f>TONT20000DEC2016!O12+TONT20000JANV2017!M12+TONT20000FEV2017!M12+TONT20000MARS2017!M12+TONT20000AVRIL2017!M12+TONT20000MAI2017!M12+TONT20000JUIN2017!M12+TONT20000JUIL2017!M12+TONT20000AOUT2017!M12</f>
        <v>22500</v>
      </c>
      <c r="N12" s="7">
        <f>TONT20000DEC2016!P12+TONT20000JANV2017!N12+TONT20000FEV2017!N12+TONT20000MARS2017!N12+TONT20000AVRIL2017!N12+TONT20000MAI2017!N12+TONT20000JUIN2017!N12+TONT20000JUIL2017!N12+TONT20000AOUT2017!N12</f>
        <v>0</v>
      </c>
      <c r="O12" s="7">
        <f>TONT20000DEC2016!Q12+TONT20000JANV2017!O12+TONT20000FEV2017!O12+TONT20000MARS2017!O12+TONT20000AVRIL2017!O12+TONT20000MAI2017!O12+TONT20000JUIN2017!O12+TONT20000JUIL2017!O12+TONT20000AOUT2017!O12</f>
        <v>1000000</v>
      </c>
      <c r="P12" s="7">
        <f>TONT20000DEC2016!R12+TONT20000JANV2017!P12+TONT20000FEV2017!P12+TONT20000MARS2017!P12+TONT20000AVRIL2017!P12+TONT20000MAI2017!P12+TONT20000JUIN2017!P12+TONT20000JUIL2017!P12+TONT20000AOUT2017!P12</f>
        <v>120000</v>
      </c>
      <c r="Q12" s="7">
        <f>TONT20000DEC2016!S12+TONT20000JANV2017!Q12+TONT20000FEV2017!Q12+TONT20000MARS2017!Q12+TONT20000AVRIL2017!Q12+TONT20000MAI2017!Q12+TONT20000JUIN2017!Q12+TONT20000JUIL2017!Q12+TONT20000AOUT2017!Q12</f>
        <v>0</v>
      </c>
      <c r="R12" s="7">
        <f>TONT20000DEC2016!T12+TONT20000JANV2017!R12+TONT20000FEV2017!R12+TONT20000MARS2017!R12+TONT20000AVRIL2017!R12+TONT20000MAI2017!R12+TONT20000JUIN2017!R12+TONT20000JUIL2017!R12+TONT20000AOUT2017!R12</f>
        <v>0</v>
      </c>
      <c r="S12" s="7">
        <f>TONT20000DEC2016!U12+TONT20000JANV2017!S12+TONT20000FEV2017!S12+TONT20000MARS2017!S12+TONT20000AVRIL2017!S12+TONT20000MAI2017!S12+TONT20000JUIN2017!S12+TONT20000JUIL2017!S12+TONT20000AOUT2017!S12</f>
        <v>0</v>
      </c>
      <c r="T12" s="7">
        <f>TONT20000DEC2016!V12+TONT20000JANV2017!T12+TONT20000FEV2017!T12+TONT20000MARS2017!T12+TONT20000AVRIL2017!T12+TONT20000MAI2017!T12+TONT20000JUIN2017!T12+TONT20000JUIL2017!T12+TONT20000AOUT2017!T12</f>
        <v>10000</v>
      </c>
      <c r="U12" s="44">
        <v>42813</v>
      </c>
      <c r="V12" s="1" t="s">
        <v>236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TONT20000DEC2016!E13+TONT20000JANV2017!C13+TONT20000FEV2017!C13+TONT20000MARS2017!C13+TONT20000AVRIL2017!C13+TONT20000MAI2017!C13+TONT20000JUIN2017!C13+TONT20000JUIL2017!C13+TONT20000AOUT2017!C13+TONT20000SEPT2017!C13+TONT20000OCT2017!C13+TONT20000NOV2017!C13</f>
        <v>29953.862452568756</v>
      </c>
      <c r="D13" s="6">
        <f>TONT20000OCT2017!C13+TONT20000OCT2017!D13+TONT20000ANNUELLE!J13</f>
        <v>501699.86245256878</v>
      </c>
      <c r="E13" s="6"/>
      <c r="F13" s="7">
        <f t="shared" si="0"/>
        <v>0</v>
      </c>
      <c r="G13" s="7">
        <f t="shared" si="1"/>
        <v>0</v>
      </c>
      <c r="H13" s="43" t="s">
        <v>216</v>
      </c>
      <c r="I13" s="7">
        <f>TONT20000DEC2016!K13+TONT20000JANV2017!I13+TONT20000FEV2017!I13+TONT20000MARS2017!I13+TONT20000AVRIL2017!I13+TONT20000MAI2017!I13+TONT20000JUIN2017!I13+TONT20000JUIL2017!I13+TONT20000AOUT2017!J13</f>
        <v>163000</v>
      </c>
      <c r="J13" s="7">
        <f>TONT20000DEC2016!L13+TONT20000JANV2017!J13+TONT20000FEV2017!J13+TONT20000MARS2017!J13+TONT20000AVRIL2017!J13+TONT20000MAI2017!J13+TONT20000JUIN2017!J13+TONT20000JUIL2017!J13+TONT20000AOUT2017!K13</f>
        <v>24500</v>
      </c>
      <c r="K13" s="7">
        <f>TONT20000DEC2016!M13+TONT20000JANV2017!K13+TONT20000FEV2017!K13+TONT20000MARS2017!K13+TONT20000AVRIL2017!K13+TONT20000MAI2017!K13+TONT20000JUIN2017!K13+TONT20000JUIL2017!K13+TONT20000AOUT2017!L13</f>
        <v>5000</v>
      </c>
      <c r="L13" s="7">
        <f>TONT20000DEC2016!N13+TONT20000JANV2017!L13+TONT20000FEV2017!L13+TONT20000MARS2017!L13+TONT20000AVRIL2017!L13+TONT20000MAI2017!L13+TONT20000JUIN2017!L13+TONT20000JUIL2017!L13+TONT20000AOUT2017!M13</f>
        <v>10500</v>
      </c>
      <c r="M13" s="7">
        <f>TONT20000DEC2016!O13+TONT20000JANV2017!M13+TONT20000FEV2017!M13+TONT20000MARS2017!M13+TONT20000AVRIL2017!M13+TONT20000MAI2017!M13+TONT20000JUIN2017!M13+TONT20000JUIL2017!M13+TONT20000AOUT2017!M13</f>
        <v>22500</v>
      </c>
      <c r="N13" s="7">
        <f>TONT20000DEC2016!P13+TONT20000JANV2017!N13+TONT20000FEV2017!N13+TONT20000MARS2017!N13+TONT20000AVRIL2017!N13+TONT20000MAI2017!N13+TONT20000JUIN2017!N13+TONT20000JUIL2017!N13+TONT20000AOUT2017!N13</f>
        <v>0</v>
      </c>
      <c r="O13" s="7">
        <f>TONT20000DEC2016!Q13+TONT20000JANV2017!O13+TONT20000FEV2017!O13+TONT20000MARS2017!O13+TONT20000AVRIL2017!O13+TONT20000MAI2017!O13+TONT20000JUIN2017!O13+TONT20000JUIL2017!O13+TONT20000AOUT2017!O13</f>
        <v>700000</v>
      </c>
      <c r="P13" s="7">
        <f>TONT20000DEC2016!R13+TONT20000JANV2017!P13+TONT20000FEV2017!P13+TONT20000MARS2017!P13+TONT20000AVRIL2017!P13+TONT20000MAI2017!P13+TONT20000JUIN2017!P13+TONT20000JUIL2017!P13+TONT20000AOUT2017!P13</f>
        <v>84000</v>
      </c>
      <c r="Q13" s="7">
        <f>TONT20000DEC2016!S13+TONT20000JANV2017!Q13+TONT20000FEV2017!Q13+TONT20000MARS2017!Q13+TONT20000AVRIL2017!Q13+TONT20000MAI2017!Q13+TONT20000JUIN2017!Q13+TONT20000JUIL2017!Q13+TONT20000AOUT2017!Q13</f>
        <v>784000</v>
      </c>
      <c r="R13" s="7">
        <f>TONT20000DEC2016!T13+TONT20000JANV2017!R13+TONT20000FEV2017!R13+TONT20000MARS2017!R13+TONT20000AVRIL2017!R13+TONT20000MAI2017!R13+TONT20000JUIN2017!R13+TONT20000JUIL2017!R13+TONT20000AOUT2017!R13</f>
        <v>0</v>
      </c>
      <c r="S13" s="7">
        <f>TONT20000DEC2016!U13+TONT20000JANV2017!S13+TONT20000FEV2017!S13+TONT20000MARS2017!S13+TONT20000AVRIL2017!S13+TONT20000MAI2017!S13+TONT20000JUIN2017!S13+TONT20000JUIL2017!S13+TONT20000AOUT2017!S13</f>
        <v>0</v>
      </c>
      <c r="T13" s="7">
        <f>TONT20000DEC2016!V13+TONT20000JANV2017!T13+TONT20000FEV2017!T13+TONT20000MARS2017!T13+TONT20000AVRIL2017!T13+TONT20000MAI2017!T13+TONT20000JUIN2017!T13+TONT20000JUIL2017!T13+TONT20000AOUT2017!T13</f>
        <v>11000</v>
      </c>
      <c r="U13" s="44">
        <v>42785</v>
      </c>
      <c r="V13" s="1" t="s">
        <v>234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TONT20000DEC2016!E14+TONT20000JANV2017!C14+TONT20000FEV2017!C14+TONT20000MARS2017!C14+TONT20000AVRIL2017!C14+TONT20000MAI2017!C14+TONT20000JUIN2017!C14+TONT20000JUIL2017!C14+TONT20000AOUT2017!C14+TONT20000SEPT2017!C14+TONT20000OCT2017!C14+TONT20000NOV2017!C14</f>
        <v>33435.837018919745</v>
      </c>
      <c r="D14" s="6">
        <f>TONT20000OCT2017!C14+TONT20000OCT2017!D14+TONT20000ANNUELLE!J14</f>
        <v>556183.83701891976</v>
      </c>
      <c r="E14" s="6"/>
      <c r="F14" s="7">
        <f t="shared" si="0"/>
        <v>0</v>
      </c>
      <c r="G14" s="7">
        <f t="shared" si="1"/>
        <v>0</v>
      </c>
      <c r="H14" s="43" t="s">
        <v>216</v>
      </c>
      <c r="I14" s="7">
        <f>TONT20000DEC2016!K14+TONT20000JANV2017!I14+TONT20000FEV2017!I14+TONT20000MARS2017!I14+TONT20000AVRIL2017!I14+TONT20000MAI2017!I14+TONT20000JUIN2017!I14+TONT20000JUIL2017!I14+TONT20000AOUT2017!J14</f>
        <v>163000</v>
      </c>
      <c r="J14" s="7">
        <f>TONT20000DEC2016!L14+TONT20000JANV2017!J14+TONT20000FEV2017!J14+TONT20000MARS2017!J14+TONT20000AVRIL2017!J14+TONT20000MAI2017!J14+TONT20000JUIN2017!J14+TONT20000JUIL2017!J14+TONT20000AOUT2017!K14</f>
        <v>24500</v>
      </c>
      <c r="K14" s="7">
        <f>TONT20000DEC2016!M14+TONT20000JANV2017!K14+TONT20000FEV2017!K14+TONT20000MARS2017!K14+TONT20000AVRIL2017!K14+TONT20000MAI2017!K14+TONT20000JUIN2017!K14+TONT20000JUIL2017!K14+TONT20000AOUT2017!L14</f>
        <v>5000</v>
      </c>
      <c r="L14" s="7">
        <f>TONT20000DEC2016!N14+TONT20000JANV2017!L14+TONT20000FEV2017!L14+TONT20000MARS2017!L14+TONT20000AVRIL2017!L14+TONT20000MAI2017!L14+TONT20000JUIN2017!L14+TONT20000JUIL2017!L14+TONT20000AOUT2017!M14</f>
        <v>10500</v>
      </c>
      <c r="M14" s="7">
        <f>TONT20000DEC2016!O14+TONT20000JANV2017!M14+TONT20000FEV2017!M14+TONT20000MARS2017!M14+TONT20000AVRIL2017!M14+TONT20000MAI2017!M14+TONT20000JUIN2017!M14+TONT20000JUIL2017!M14+TONT20000AOUT2017!M14</f>
        <v>22500</v>
      </c>
      <c r="N14" s="7">
        <f>TONT20000DEC2016!P14+TONT20000JANV2017!N14+TONT20000FEV2017!N14+TONT20000MARS2017!N14+TONT20000AVRIL2017!N14+TONT20000MAI2017!N14+TONT20000JUIN2017!N14+TONT20000JUIL2017!N14+TONT20000AOUT2017!N14</f>
        <v>0</v>
      </c>
      <c r="O14" s="7">
        <f>TONT20000DEC2016!Q14+TONT20000JANV2017!O14+TONT20000FEV2017!O14+TONT20000MARS2017!O14+TONT20000AVRIL2017!O14+TONT20000MAI2017!O14+TONT20000JUIN2017!O14+TONT20000JUIL2017!O14+TONT20000AOUT2017!O14</f>
        <v>0</v>
      </c>
      <c r="P14" s="7">
        <f>TONT20000DEC2016!R14+TONT20000JANV2017!P14+TONT20000FEV2017!P14+TONT20000MARS2017!P14+TONT20000AVRIL2017!P14+TONT20000MAI2017!P14+TONT20000JUIN2017!P14+TONT20000JUIL2017!P14+TONT20000AOUT2017!P14</f>
        <v>0</v>
      </c>
      <c r="Q14" s="7">
        <f>TONT20000DEC2016!S14+TONT20000JANV2017!Q14+TONT20000FEV2017!Q14+TONT20000MARS2017!Q14+TONT20000AVRIL2017!Q14+TONT20000MAI2017!Q14+TONT20000JUIN2017!Q14+TONT20000JUIL2017!Q14+TONT20000AOUT2017!Q14</f>
        <v>0</v>
      </c>
      <c r="R14" s="7">
        <f>TONT20000DEC2016!T14+TONT20000JANV2017!R14+TONT20000FEV2017!R14+TONT20000MARS2017!R14+TONT20000AVRIL2017!R14+TONT20000MAI2017!R14+TONT20000JUIN2017!R14+TONT20000JUIL2017!R14+TONT20000AOUT2017!R14</f>
        <v>0</v>
      </c>
      <c r="S14" s="7">
        <f>TONT20000DEC2016!U14+TONT20000JANV2017!S14+TONT20000FEV2017!S14+TONT20000MARS2017!S14+TONT20000AVRIL2017!S14+TONT20000MAI2017!S14+TONT20000JUIN2017!S14+TONT20000JUIL2017!S14+TONT20000AOUT2017!S14</f>
        <v>0</v>
      </c>
      <c r="T14" s="7">
        <f>TONT20000DEC2016!V14+TONT20000JANV2017!T14+TONT20000FEV2017!T14+TONT20000MARS2017!T14+TONT20000AVRIL2017!T14+TONT20000MAI2017!T14+TONT20000JUIN2017!T14+TONT20000JUIL2017!T14+TONT20000AOUT2017!T14</f>
        <v>10000</v>
      </c>
      <c r="U14" s="44">
        <v>42813</v>
      </c>
      <c r="V14" s="1" t="s">
        <v>237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TONT20000DEC2016!E15+TONT20000JANV2017!C15+TONT20000FEV2017!C15+TONT20000MARS2017!C15+TONT20000AVRIL2017!C15+TONT20000MAI2017!C15+TONT20000JUIN2017!C15+TONT20000JUIL2017!C15+TONT20000AOUT2017!C15+TONT20000SEPT2017!C15+TONT20000OCT2017!C15+TONT20000NOV2017!C15</f>
        <v>29938.569673798065</v>
      </c>
      <c r="D15" s="6">
        <f>TONT20000OCT2017!C15+TONT20000OCT2017!D15+TONT20000ANNUELLE!J15</f>
        <v>501460.56967379805</v>
      </c>
      <c r="E15" s="6"/>
      <c r="F15" s="7">
        <f t="shared" si="0"/>
        <v>0</v>
      </c>
      <c r="G15" s="7">
        <f t="shared" si="1"/>
        <v>0</v>
      </c>
      <c r="H15" s="43" t="s">
        <v>216</v>
      </c>
      <c r="I15" s="7">
        <f>TONT20000DEC2016!K15+TONT20000JANV2017!I15+TONT20000FEV2017!I15+TONT20000MARS2017!I15+TONT20000AVRIL2017!I15+TONT20000MAI2017!I15+TONT20000JUIN2017!I15+TONT20000JUIL2017!I15+TONT20000AOUT2017!J15</f>
        <v>163000</v>
      </c>
      <c r="J15" s="7">
        <f>TONT20000DEC2016!L15+TONT20000JANV2017!J15+TONT20000FEV2017!J15+TONT20000MARS2017!J15+TONT20000AVRIL2017!J15+TONT20000MAI2017!J15+TONT20000JUIN2017!J15+TONT20000JUIL2017!J15+TONT20000AOUT2017!K15</f>
        <v>24500</v>
      </c>
      <c r="K15" s="7">
        <f>TONT20000DEC2016!M15+TONT20000JANV2017!K15+TONT20000FEV2017!K15+TONT20000MARS2017!K15+TONT20000AVRIL2017!K15+TONT20000MAI2017!K15+TONT20000JUIN2017!K15+TONT20000JUIL2017!K15+TONT20000AOUT2017!L15</f>
        <v>5000</v>
      </c>
      <c r="L15" s="7">
        <f>TONT20000DEC2016!N15+TONT20000JANV2017!L15+TONT20000FEV2017!L15+TONT20000MARS2017!L15+TONT20000AVRIL2017!L15+TONT20000MAI2017!L15+TONT20000JUIN2017!L15+TONT20000JUIL2017!L15+TONT20000AOUT2017!M15</f>
        <v>10500</v>
      </c>
      <c r="M15" s="7">
        <f>TONT20000DEC2016!O15+TONT20000JANV2017!M15+TONT20000FEV2017!M15+TONT20000MARS2017!M15+TONT20000AVRIL2017!M15+TONT20000MAI2017!M15+TONT20000JUIN2017!M15+TONT20000JUIL2017!M15+TONT20000AOUT2017!M15</f>
        <v>22500</v>
      </c>
      <c r="N15" s="7">
        <f>TONT20000DEC2016!P15+TONT20000JANV2017!N15+TONT20000FEV2017!N15+TONT20000MARS2017!N15+TONT20000AVRIL2017!N15+TONT20000MAI2017!N15+TONT20000JUIN2017!N15+TONT20000JUIL2017!N15+TONT20000AOUT2017!N15</f>
        <v>0</v>
      </c>
      <c r="O15" s="7">
        <f>TONT20000DEC2016!Q15+TONT20000JANV2017!O15+TONT20000FEV2017!O15+TONT20000MARS2017!O15+TONT20000AVRIL2017!O15+TONT20000MAI2017!O15+TONT20000JUIN2017!O15+TONT20000JUIL2017!O15+TONT20000AOUT2017!O15</f>
        <v>0</v>
      </c>
      <c r="P15" s="7">
        <f>TONT20000DEC2016!R15+TONT20000JANV2017!P15+TONT20000FEV2017!P15+TONT20000MARS2017!P15+TONT20000AVRIL2017!P15+TONT20000MAI2017!P15+TONT20000JUIN2017!P15+TONT20000JUIL2017!P15+TONT20000AOUT2017!P15</f>
        <v>0</v>
      </c>
      <c r="Q15" s="7">
        <f>TONT20000DEC2016!S15+TONT20000JANV2017!Q15+TONT20000FEV2017!Q15+TONT20000MARS2017!Q15+TONT20000AVRIL2017!Q15+TONT20000MAI2017!Q15+TONT20000JUIN2017!Q15+TONT20000JUIL2017!Q15+TONT20000AOUT2017!Q15</f>
        <v>0</v>
      </c>
      <c r="R15" s="7">
        <f>TONT20000DEC2016!T15+TONT20000JANV2017!R15+TONT20000FEV2017!R15+TONT20000MARS2017!R15+TONT20000AVRIL2017!R15+TONT20000MAI2017!R15+TONT20000JUIN2017!R15+TONT20000JUIL2017!R15+TONT20000AOUT2017!R15</f>
        <v>0</v>
      </c>
      <c r="S15" s="7">
        <f>TONT20000DEC2016!U15+TONT20000JANV2017!S15+TONT20000FEV2017!S15+TONT20000MARS2017!S15+TONT20000AVRIL2017!S15+TONT20000MAI2017!S15+TONT20000JUIN2017!S15+TONT20000JUIL2017!S15+TONT20000AOUT2017!S15</f>
        <v>0</v>
      </c>
      <c r="T15" s="7">
        <f>TONT20000DEC2016!V15+TONT20000JANV2017!T15+TONT20000FEV2017!T15+TONT20000MARS2017!T15+TONT20000AVRIL2017!T15+TONT20000MAI2017!T15+TONT20000JUIN2017!T15+TONT20000JUIL2017!T15+TONT20000AOUT2017!T15</f>
        <v>0</v>
      </c>
      <c r="U15" s="44">
        <v>42659</v>
      </c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TONT20000DEC2016!E16+TONT20000JANV2017!C16+TONT20000FEV2017!C16+TONT20000MARS2017!C16+TONT20000AVRIL2017!C16+TONT20000MAI2017!C16+TONT20000JUIN2017!C16+TONT20000JUIL2017!C16+TONT20000AOUT2017!C16+TONT20000SEPT2017!C16+TONT20000OCT2017!C16+TONT20000NOV2017!C16</f>
        <v>34272.297400609335</v>
      </c>
      <c r="D16" s="6">
        <f>TONT20000OCT2017!C16+TONT20000OCT2017!D16+TONT20000ANNUELLE!J16</f>
        <v>635272.29740060936</v>
      </c>
      <c r="E16" s="6"/>
      <c r="F16" s="7">
        <f t="shared" si="0"/>
        <v>0</v>
      </c>
      <c r="G16" s="7">
        <f t="shared" si="1"/>
        <v>0</v>
      </c>
      <c r="H16" s="43" t="s">
        <v>216</v>
      </c>
      <c r="I16" s="7">
        <f>TONT20000DEC2016!K16+TONT20000JANV2017!I16+TONT20000FEV2017!I16+TONT20000MARS2017!I16+TONT20000AVRIL2017!I16+TONT20000MAI2017!I16+TONT20000JUIN2017!I16+TONT20000JUIL2017!I16+TONT20000AOUT2017!J16</f>
        <v>263000</v>
      </c>
      <c r="J16" s="7">
        <f>TONT20000DEC2016!L16+TONT20000JANV2017!J16+TONT20000FEV2017!J16+TONT20000MARS2017!J16+TONT20000AVRIL2017!J16+TONT20000MAI2017!J16+TONT20000JUIN2017!J16+TONT20000JUIL2017!J16+TONT20000AOUT2017!K16</f>
        <v>90500</v>
      </c>
      <c r="K16" s="7">
        <f>TONT20000DEC2016!M16+TONT20000JANV2017!K16+TONT20000FEV2017!K16+TONT20000MARS2017!K16+TONT20000AVRIL2017!K16+TONT20000MAI2017!K16+TONT20000JUIN2017!K16+TONT20000JUIL2017!K16+TONT20000AOUT2017!L16</f>
        <v>6000</v>
      </c>
      <c r="L16" s="7">
        <f>TONT20000DEC2016!N16+TONT20000JANV2017!L16+TONT20000FEV2017!L16+TONT20000MARS2017!L16+TONT20000AVRIL2017!L16+TONT20000MAI2017!L16+TONT20000JUIN2017!L16+TONT20000JUIL2017!L16+TONT20000AOUT2017!M16</f>
        <v>12500</v>
      </c>
      <c r="M16" s="7">
        <f>TONT20000DEC2016!O16+TONT20000JANV2017!M16+TONT20000FEV2017!M16+TONT20000MARS2017!M16+TONT20000AVRIL2017!M16+TONT20000MAI2017!M16+TONT20000JUIN2017!M16+TONT20000JUIL2017!M16+TONT20000AOUT2017!M16</f>
        <v>27500</v>
      </c>
      <c r="N16" s="7">
        <f>TONT20000DEC2016!P16+TONT20000JANV2017!N16+TONT20000FEV2017!N16+TONT20000MARS2017!N16+TONT20000AVRIL2017!N16+TONT20000MAI2017!N16+TONT20000JUIN2017!N16+TONT20000JUIL2017!N16+TONT20000AOUT2017!N16</f>
        <v>0</v>
      </c>
      <c r="O16" s="7">
        <f>TONT20000DEC2016!Q16+TONT20000JANV2017!O16+TONT20000FEV2017!O16+TONT20000MARS2017!O16+TONT20000AVRIL2017!O16+TONT20000MAI2017!O16+TONT20000JUIN2017!O16+TONT20000JUIL2017!O16+TONT20000AOUT2017!O16</f>
        <v>0</v>
      </c>
      <c r="P16" s="7">
        <f>TONT20000DEC2016!R16+TONT20000JANV2017!P16+TONT20000FEV2017!P16+TONT20000MARS2017!P16+TONT20000AVRIL2017!P16+TONT20000MAI2017!P16+TONT20000JUIN2017!P16+TONT20000JUIL2017!P16+TONT20000AOUT2017!P16</f>
        <v>0</v>
      </c>
      <c r="Q16" s="7">
        <f>TONT20000DEC2016!S16+TONT20000JANV2017!Q16+TONT20000FEV2017!Q16+TONT20000MARS2017!Q16+TONT20000AVRIL2017!Q16+TONT20000MAI2017!Q16+TONT20000JUIN2017!Q16+TONT20000JUIL2017!Q16+TONT20000AOUT2017!Q16</f>
        <v>0</v>
      </c>
      <c r="R16" s="7">
        <f>TONT20000DEC2016!T16+TONT20000JANV2017!R16+TONT20000FEV2017!R16+TONT20000MARS2017!R16+TONT20000AVRIL2017!R16+TONT20000MAI2017!R16+TONT20000JUIN2017!R16+TONT20000JUIL2017!R16+TONT20000AOUT2017!R16</f>
        <v>0</v>
      </c>
      <c r="S16" s="7">
        <f>TONT20000DEC2016!U16+TONT20000JANV2017!S16+TONT20000FEV2017!S16+TONT20000MARS2017!S16+TONT20000AVRIL2017!S16+TONT20000MAI2017!S16+TONT20000JUIN2017!S16+TONT20000JUIL2017!S16+TONT20000AOUT2017!S16</f>
        <v>0</v>
      </c>
      <c r="T16" s="7">
        <f>TONT20000DEC2016!V16+TONT20000JANV2017!T16+TONT20000FEV2017!T16+TONT20000MARS2017!T16+TONT20000AVRIL2017!T16+TONT20000MAI2017!T16+TONT20000JUIN2017!T16+TONT20000JUIL2017!T16+TONT20000AOUT2017!T16</f>
        <v>0</v>
      </c>
      <c r="V16" s="1"/>
    </row>
    <row r="17" spans="1:23" x14ac:dyDescent="0.25">
      <c r="A17" s="1" t="s">
        <v>22</v>
      </c>
      <c r="B17" s="1" t="str">
        <f>VLOOKUP(A17,LISTADHERENT!A$5:H$51,2)</f>
        <v>HODIEP JULES</v>
      </c>
      <c r="C17" s="6">
        <f>TONT20000DEC2016!E17+TONT20000JANV2017!C17+TONT20000FEV2017!C17+TONT20000MARS2017!C17+TONT20000AVRIL2017!C17+TONT20000MAI2017!C17+TONT20000JUIN2017!C17+TONT20000JUIL2017!C17+TONT20000AOUT2017!C17+TONT20000SEPT2017!C17+TONT20000OCT2017!C17+TONT20000NOV2017!C17</f>
        <v>3431.3172366730873</v>
      </c>
      <c r="D17" s="6">
        <f>TONT20000OCT2017!C17+TONT20000OCT2017!D17+TONT20000ANNUELLE!J17</f>
        <v>53691.31723667308</v>
      </c>
      <c r="E17" s="6"/>
      <c r="F17" s="7">
        <f t="shared" si="0"/>
        <v>0</v>
      </c>
      <c r="G17" s="7">
        <f t="shared" si="1"/>
        <v>0</v>
      </c>
      <c r="H17" s="43" t="s">
        <v>216</v>
      </c>
      <c r="I17" s="7">
        <f>TONT20000DEC2016!K17+TONT20000JANV2017!I17+TONT20000FEV2017!I17+TONT20000MARS2017!I17+TONT20000AVRIL2017!I17+TONT20000MAI2017!I17+TONT20000JUIN2017!I17+TONT20000JUIL2017!I17+TONT20000AOUT2017!J17</f>
        <v>0</v>
      </c>
      <c r="J17" s="7">
        <f>TONT20000DEC2016!L17+TONT20000JANV2017!J17+TONT20000FEV2017!J17+TONT20000MARS2017!J17+TONT20000AVRIL2017!J17+TONT20000MAI2017!J17+TONT20000JUIN2017!J17+TONT20000JUIL2017!J17+TONT20000AOUT2017!K17</f>
        <v>0</v>
      </c>
      <c r="K17" s="7">
        <f>TONT20000DEC2016!M17+TONT20000JANV2017!K17+TONT20000FEV2017!K17+TONT20000MARS2017!K17+TONT20000AVRIL2017!K17+TONT20000MAI2017!K17+TONT20000JUIN2017!K17+TONT20000JUIL2017!K17+TONT20000AOUT2017!L17</f>
        <v>0</v>
      </c>
      <c r="L17" s="7">
        <f>TONT20000DEC2016!N17+TONT20000JANV2017!L17+TONT20000FEV2017!L17+TONT20000MARS2017!L17+TONT20000AVRIL2017!L17+TONT20000MAI2017!L17+TONT20000JUIN2017!L17+TONT20000JUIL2017!L17+TONT20000AOUT2017!M17</f>
        <v>0</v>
      </c>
      <c r="M17" s="7">
        <f>TONT20000DEC2016!O17+TONT20000JANV2017!M17+TONT20000FEV2017!M17+TONT20000MARS2017!M17+TONT20000AVRIL2017!M17+TONT20000MAI2017!M17+TONT20000JUIN2017!M17+TONT20000JUIL2017!M17+TONT20000AOUT2017!M17</f>
        <v>0</v>
      </c>
      <c r="N17" s="7">
        <f>TONT20000DEC2016!P17+TONT20000JANV2017!N17+TONT20000FEV2017!N17+TONT20000MARS2017!N17+TONT20000AVRIL2017!N17+TONT20000MAI2017!N17+TONT20000JUIN2017!N17+TONT20000JUIL2017!N17+TONT20000AOUT2017!N17</f>
        <v>0</v>
      </c>
      <c r="O17" s="7">
        <f>TONT20000DEC2016!Q17+TONT20000JANV2017!O17+TONT20000FEV2017!O17+TONT20000MARS2017!O17+TONT20000AVRIL2017!O17+TONT20000MAI2017!O17+TONT20000JUIN2017!O17+TONT20000JUIL2017!O17+TONT20000AOUT2017!O17</f>
        <v>0</v>
      </c>
      <c r="P17" s="7">
        <f>TONT20000DEC2016!R17+TONT20000JANV2017!P17+TONT20000FEV2017!P17+TONT20000MARS2017!P17+TONT20000AVRIL2017!P17+TONT20000MAI2017!P17+TONT20000JUIN2017!P17+TONT20000JUIL2017!P17+TONT20000AOUT2017!P17</f>
        <v>0</v>
      </c>
      <c r="Q17" s="7">
        <f>TONT20000DEC2016!S17+TONT20000JANV2017!Q17+TONT20000FEV2017!Q17+TONT20000MARS2017!Q17+TONT20000AVRIL2017!Q17+TONT20000MAI2017!Q17+TONT20000JUIN2017!Q17+TONT20000JUIL2017!Q17+TONT20000AOUT2017!Q17</f>
        <v>0</v>
      </c>
      <c r="R17" s="7">
        <f>TONT20000DEC2016!T17+TONT20000JANV2017!R17+TONT20000FEV2017!R17+TONT20000MARS2017!R17+TONT20000AVRIL2017!R17+TONT20000MAI2017!R17+TONT20000JUIN2017!R17+TONT20000JUIL2017!R17+TONT20000AOUT2017!R17</f>
        <v>0</v>
      </c>
      <c r="S17" s="7">
        <f>TONT20000DEC2016!U17+TONT20000JANV2017!S17+TONT20000FEV2017!S17+TONT20000MARS2017!S17+TONT20000AVRIL2017!S17+TONT20000MAI2017!S17+TONT20000JUIN2017!S17+TONT20000JUIL2017!S17+TONT20000AOUT2017!S17</f>
        <v>0</v>
      </c>
      <c r="T17" s="7">
        <f>TONT20000DEC2016!V17+TONT20000JANV2017!T17+TONT20000FEV2017!T17+TONT20000MARS2017!T17+TONT20000AVRIL2017!T17+TONT20000MAI2017!T17+TONT20000JUIN2017!T17+TONT20000JUIL2017!T17+TONT20000AOUT2017!T17</f>
        <v>0</v>
      </c>
      <c r="U17" t="s">
        <v>242</v>
      </c>
      <c r="V17" s="1"/>
    </row>
    <row r="18" spans="1:23" x14ac:dyDescent="0.25">
      <c r="A18" s="1" t="s">
        <v>23</v>
      </c>
      <c r="B18" s="1" t="str">
        <f>VLOOKUP(A18,LISTADHERENT!A$5:H$51,2)</f>
        <v>HOTCHO BENJAMIN</v>
      </c>
      <c r="C18" s="6">
        <f>TONT20000DEC2016!E18+TONT20000JANV2017!C18+TONT20000FEV2017!C18+TONT20000MARS2017!C18+TONT20000AVRIL2017!C18+TONT20000MAI2017!C18+TONT20000JUIN2017!C18+TONT20000JUIL2017!C18+TONT20000AOUT2017!C18+TONT20000SEPT2017!C18+TONT20000OCT2017!C18+TONT20000NOV2017!C18</f>
        <v>37459.544618955595</v>
      </c>
      <c r="D18" s="6">
        <f>TONT20000OCT2017!C18+TONT20000OCT2017!D18+TONT20000ANNUELLE!J18</f>
        <v>619144.5446189557</v>
      </c>
      <c r="E18" s="6"/>
      <c r="F18" s="7">
        <f t="shared" si="0"/>
        <v>0</v>
      </c>
      <c r="G18" s="7">
        <f t="shared" si="1"/>
        <v>0</v>
      </c>
      <c r="H18" s="43" t="s">
        <v>216</v>
      </c>
      <c r="I18" s="7">
        <f>TONT20000DEC2016!K18+TONT20000JANV2017!I18+TONT20000FEV2017!I18+TONT20000MARS2017!I18+TONT20000AVRIL2017!I18+TONT20000MAI2017!I18+TONT20000JUIN2017!I18+TONT20000JUIL2017!I18+TONT20000AOUT2017!J18</f>
        <v>163000</v>
      </c>
      <c r="J18" s="7">
        <f>TONT20000DEC2016!L18+TONT20000JANV2017!J18+TONT20000FEV2017!J18+TONT20000MARS2017!J18+TONT20000AVRIL2017!J18+TONT20000MAI2017!J18+TONT20000JUIN2017!J18+TONT20000JUIL2017!J18+TONT20000AOUT2017!K18</f>
        <v>24500</v>
      </c>
      <c r="K18" s="7">
        <f>TONT20000DEC2016!M18+TONT20000JANV2017!K18+TONT20000FEV2017!K18+TONT20000MARS2017!K18+TONT20000AVRIL2017!K18+TONT20000MAI2017!K18+TONT20000JUIN2017!K18+TONT20000JUIL2017!K18+TONT20000AOUT2017!L18</f>
        <v>5000</v>
      </c>
      <c r="L18" s="7">
        <f>TONT20000DEC2016!N18+TONT20000JANV2017!L18+TONT20000FEV2017!L18+TONT20000MARS2017!L18+TONT20000AVRIL2017!L18+TONT20000MAI2017!L18+TONT20000JUIN2017!L18+TONT20000JUIL2017!L18+TONT20000AOUT2017!M18</f>
        <v>10500</v>
      </c>
      <c r="M18" s="7">
        <f>TONT20000DEC2016!O18+TONT20000JANV2017!M18+TONT20000FEV2017!M18+TONT20000MARS2017!M18+TONT20000AVRIL2017!M18+TONT20000MAI2017!M18+TONT20000JUIN2017!M18+TONT20000JUIL2017!M18+TONT20000AOUT2017!M18</f>
        <v>22500</v>
      </c>
      <c r="N18" s="7">
        <f>TONT20000DEC2016!P18+TONT20000JANV2017!N18+TONT20000FEV2017!N18+TONT20000MARS2017!N18+TONT20000AVRIL2017!N18+TONT20000MAI2017!N18+TONT20000JUIN2017!N18+TONT20000JUIL2017!N18+TONT20000AOUT2017!N18</f>
        <v>0</v>
      </c>
      <c r="O18" s="7">
        <f>TONT20000DEC2016!Q18+TONT20000JANV2017!O18+TONT20000FEV2017!O18+TONT20000MARS2017!O18+TONT20000AVRIL2017!O18+TONT20000MAI2017!O18+TONT20000JUIN2017!O18+TONT20000JUIL2017!O18+TONT20000AOUT2017!O18</f>
        <v>700000</v>
      </c>
      <c r="P18" s="7">
        <f>TONT20000DEC2016!R18+TONT20000JANV2017!P18+TONT20000FEV2017!P18+TONT20000MARS2017!P18+TONT20000AVRIL2017!P18+TONT20000MAI2017!P18+TONT20000JUIN2017!P18+TONT20000JUIL2017!P18+TONT20000AOUT2017!P18</f>
        <v>84000</v>
      </c>
      <c r="Q18" s="7">
        <f>TONT20000DEC2016!S18+TONT20000JANV2017!Q18+TONT20000FEV2017!Q18+TONT20000MARS2017!Q18+TONT20000AVRIL2017!Q18+TONT20000MAI2017!Q18+TONT20000JUIN2017!Q18+TONT20000JUIL2017!Q18+TONT20000AOUT2017!Q18</f>
        <v>0</v>
      </c>
      <c r="R18" s="7">
        <f>TONT20000DEC2016!T18+TONT20000JANV2017!R18+TONT20000FEV2017!R18+TONT20000MARS2017!R18+TONT20000AVRIL2017!R18+TONT20000MAI2017!R18+TONT20000JUIN2017!R18+TONT20000JUIL2017!R18+TONT20000AOUT2017!R18</f>
        <v>0</v>
      </c>
      <c r="S18" s="7">
        <f>TONT20000DEC2016!U18+TONT20000JANV2017!S18+TONT20000FEV2017!S18+TONT20000MARS2017!S18+TONT20000AVRIL2017!S18+TONT20000MAI2017!S18+TONT20000JUIN2017!S18+TONT20000JUIL2017!S18+TONT20000AOUT2017!S18</f>
        <v>0</v>
      </c>
      <c r="T18" s="7">
        <f>TONT20000DEC2016!V18+TONT20000JANV2017!T18+TONT20000FEV2017!T18+TONT20000MARS2017!T18+TONT20000AVRIL2017!T18+TONT20000MAI2017!T18+TONT20000JUIN2017!T18+TONT20000JUIL2017!T18+TONT20000AOUT2017!T18</f>
        <v>0</v>
      </c>
      <c r="U18" s="44">
        <v>42785</v>
      </c>
      <c r="V18" s="1" t="s">
        <v>233</v>
      </c>
      <c r="W18" s="1" t="s">
        <v>234</v>
      </c>
    </row>
    <row r="19" spans="1:23" x14ac:dyDescent="0.25">
      <c r="A19" s="1" t="s">
        <v>24</v>
      </c>
      <c r="B19" s="1" t="str">
        <f>VLOOKUP(A19,LISTADHERENT!A$5:H$51,2)</f>
        <v>KEPHE DAVID</v>
      </c>
      <c r="C19" s="6">
        <f>TONT20000DEC2016!E19+TONT20000JANV2017!C19+TONT20000FEV2017!C19+TONT20000MARS2017!C19+TONT20000AVRIL2017!C19+TONT20000MAI2017!C19+TONT20000JUIN2017!C19+TONT20000JUIL2017!C19+TONT20000AOUT2017!C19+TONT20000SEPT2017!C19+TONT20000OCT2017!C19+TONT20000NOV2017!C19</f>
        <v>7931.5559730462846</v>
      </c>
      <c r="D19" s="6">
        <f>TONT20000OCT2017!C19+TONT20000OCT2017!D19+TONT20000ANNUELLE!J19</f>
        <v>156108.55597304628</v>
      </c>
      <c r="E19" s="6"/>
      <c r="F19" s="7">
        <f t="shared" si="0"/>
        <v>0</v>
      </c>
      <c r="G19" s="7">
        <f t="shared" si="1"/>
        <v>0</v>
      </c>
      <c r="H19" s="43" t="s">
        <v>216</v>
      </c>
      <c r="I19" s="7">
        <f>TONT20000DEC2016!K19+TONT20000JANV2017!I19+TONT20000FEV2017!I19+TONT20000MARS2017!I19+TONT20000AVRIL2017!I19+TONT20000MAI2017!I19+TONT20000JUIN2017!I19+TONT20000JUIL2017!I19+TONT20000AOUT2017!J19</f>
        <v>160000</v>
      </c>
      <c r="J19" s="7">
        <f>TONT20000DEC2016!L19+TONT20000JANV2017!J19+TONT20000FEV2017!J19+TONT20000MARS2017!J19+TONT20000AVRIL2017!J19+TONT20000MAI2017!J19+TONT20000JUIN2017!J19+TONT20000JUIL2017!J19+TONT20000AOUT2017!K19</f>
        <v>24000</v>
      </c>
      <c r="K19" s="7">
        <f>TONT20000DEC2016!M19+TONT20000JANV2017!K19+TONT20000FEV2017!K19+TONT20000MARS2017!K19+TONT20000AVRIL2017!K19+TONT20000MAI2017!K19+TONT20000JUIN2017!K19+TONT20000JUIL2017!K19+TONT20000AOUT2017!L19</f>
        <v>4000</v>
      </c>
      <c r="L19" s="7">
        <f>TONT20000DEC2016!N19+TONT20000JANV2017!L19+TONT20000FEV2017!L19+TONT20000MARS2017!L19+TONT20000AVRIL2017!L19+TONT20000MAI2017!L19+TONT20000JUIN2017!L19+TONT20000JUIL2017!L19+TONT20000AOUT2017!M19</f>
        <v>8000</v>
      </c>
      <c r="M19" s="7">
        <f>TONT20000DEC2016!O19+TONT20000JANV2017!M19+TONT20000FEV2017!M19+TONT20000MARS2017!M19+TONT20000AVRIL2017!M19+TONT20000MAI2017!M19+TONT20000JUIN2017!M19+TONT20000JUIL2017!M19+TONT20000AOUT2017!M19</f>
        <v>20000</v>
      </c>
      <c r="N19" s="7">
        <f>TONT20000DEC2016!P19+TONT20000JANV2017!N19+TONT20000FEV2017!N19+TONT20000MARS2017!N19+TONT20000AVRIL2017!N19+TONT20000MAI2017!N19+TONT20000JUIN2017!N19+TONT20000JUIL2017!N19+TONT20000AOUT2017!N19</f>
        <v>0</v>
      </c>
      <c r="O19" s="7">
        <f>TONT20000DEC2016!Q19+TONT20000JANV2017!O19+TONT20000FEV2017!O19+TONT20000MARS2017!O19+TONT20000AVRIL2017!O19+TONT20000MAI2017!O19+TONT20000JUIN2017!O19+TONT20000JUIL2017!O19+TONT20000AOUT2017!O19</f>
        <v>0</v>
      </c>
      <c r="P19" s="7">
        <f>TONT20000DEC2016!R19+TONT20000JANV2017!P19+TONT20000FEV2017!P19+TONT20000MARS2017!P19+TONT20000AVRIL2017!P19+TONT20000MAI2017!P19+TONT20000JUIN2017!P19+TONT20000JUIL2017!P19+TONT20000AOUT2017!P19</f>
        <v>0</v>
      </c>
      <c r="Q19" s="7">
        <f>TONT20000DEC2016!S19+TONT20000JANV2017!Q19+TONT20000FEV2017!Q19+TONT20000MARS2017!Q19+TONT20000AVRIL2017!Q19+TONT20000MAI2017!Q19+TONT20000JUIN2017!Q19+TONT20000JUIL2017!Q19+TONT20000AOUT2017!Q19</f>
        <v>0</v>
      </c>
      <c r="R19" s="7">
        <f>TONT20000DEC2016!T19+TONT20000JANV2017!R19+TONT20000FEV2017!R19+TONT20000MARS2017!R19+TONT20000AVRIL2017!R19+TONT20000MAI2017!R19+TONT20000JUIN2017!R19+TONT20000JUIL2017!R19+TONT20000AOUT2017!R19</f>
        <v>0</v>
      </c>
      <c r="S19" s="7">
        <f>TONT20000DEC2016!U19+TONT20000JANV2017!S19+TONT20000FEV2017!S19+TONT20000MARS2017!S19+TONT20000AVRIL2017!S19+TONT20000MAI2017!S19+TONT20000JUIN2017!S19+TONT20000JUIL2017!S19+TONT20000AOUT2017!S19</f>
        <v>0</v>
      </c>
      <c r="T19" s="7">
        <f>TONT20000DEC2016!V19+TONT20000JANV2017!T19+TONT20000FEV2017!T19+TONT20000MARS2017!T19+TONT20000AVRIL2017!T19+TONT20000MAI2017!T19+TONT20000JUIN2017!T19+TONT20000JUIL2017!T19+TONT20000AOUT2017!T19</f>
        <v>0</v>
      </c>
      <c r="U19" s="44">
        <v>42904</v>
      </c>
      <c r="V19" s="1"/>
    </row>
    <row r="20" spans="1:23" x14ac:dyDescent="0.25">
      <c r="A20" s="1" t="s">
        <v>25</v>
      </c>
      <c r="B20" s="1" t="str">
        <f>VLOOKUP(A20,LISTADHERENT!A$5:H$51,2)</f>
        <v>KEPSEU FRANCIS</v>
      </c>
      <c r="C20" s="6">
        <f>TONT20000DEC2016!E20+TONT20000JANV2017!C20+TONT20000FEV2017!C20+TONT20000MARS2017!C20+TONT20000AVRIL2017!C20+TONT20000MAI2017!C20+TONT20000JUIN2017!C20+TONT20000JUIL2017!C20+TONT20000AOUT2017!C20+TONT20000SEPT2017!C20+TONT20000OCT2017!C20+TONT20000NOV2017!C20</f>
        <v>164833.81689359609</v>
      </c>
      <c r="D20" s="6">
        <f>TONT20000OCT2017!C20+TONT20000OCT2017!D20+TONT20000ANNUELLE!J20</f>
        <v>5387258.8168935962</v>
      </c>
      <c r="E20" s="6"/>
      <c r="F20" s="7">
        <f t="shared" si="0"/>
        <v>0</v>
      </c>
      <c r="G20" s="7">
        <f t="shared" si="1"/>
        <v>0</v>
      </c>
      <c r="H20" s="43" t="s">
        <v>216</v>
      </c>
      <c r="I20" s="7">
        <f>TONT20000DEC2016!K20+TONT20000JANV2017!I20+TONT20000FEV2017!I20+TONT20000MARS2017!I20+TONT20000AVRIL2017!I20+TONT20000MAI2017!I20+TONT20000JUIN2017!I20+TONT20000JUIL2017!I20+TONT20000AOUT2017!J20</f>
        <v>2190000</v>
      </c>
      <c r="J20" s="7">
        <f>TONT20000DEC2016!L20+TONT20000JANV2017!J20+TONT20000FEV2017!J20+TONT20000MARS2017!J20+TONT20000AVRIL2017!J20+TONT20000MAI2017!J20+TONT20000JUIN2017!J20+TONT20000JUIL2017!J20+TONT20000AOUT2017!K20</f>
        <v>2048500</v>
      </c>
      <c r="K20" s="7">
        <f>TONT20000DEC2016!M20+TONT20000JANV2017!K20+TONT20000FEV2017!K20+TONT20000MARS2017!K20+TONT20000AVRIL2017!K20+TONT20000MAI2017!K20+TONT20000JUIN2017!K20+TONT20000JUIL2017!K20+TONT20000AOUT2017!L20</f>
        <v>5000</v>
      </c>
      <c r="L20" s="7">
        <f>TONT20000DEC2016!N20+TONT20000JANV2017!L20+TONT20000FEV2017!L20+TONT20000MARS2017!L20+TONT20000AVRIL2017!L20+TONT20000MAI2017!L20+TONT20000JUIN2017!L20+TONT20000JUIL2017!L20+TONT20000AOUT2017!M20</f>
        <v>10500</v>
      </c>
      <c r="M20" s="7">
        <f>TONT20000DEC2016!O20+TONT20000JANV2017!M20+TONT20000FEV2017!M20+TONT20000MARS2017!M20+TONT20000AVRIL2017!M20+TONT20000MAI2017!M20+TONT20000JUIN2017!M20+TONT20000JUIL2017!M20+TONT20000AOUT2017!M20</f>
        <v>22500</v>
      </c>
      <c r="N20" s="7">
        <f>TONT20000DEC2016!P20+TONT20000JANV2017!N20+TONT20000FEV2017!N20+TONT20000MARS2017!N20+TONT20000AVRIL2017!N20+TONT20000MAI2017!N20+TONT20000JUIN2017!N20+TONT20000JUIL2017!N20+TONT20000AOUT2017!N20</f>
        <v>0</v>
      </c>
      <c r="O20" s="7">
        <f>TONT20000DEC2016!Q20+TONT20000JANV2017!O20+TONT20000FEV2017!O20+TONT20000MARS2017!O20+TONT20000AVRIL2017!O20+TONT20000MAI2017!O20+TONT20000JUIN2017!O20+TONT20000JUIL2017!O20+TONT20000AOUT2017!O20</f>
        <v>0</v>
      </c>
      <c r="P20" s="7">
        <f>TONT20000DEC2016!R20+TONT20000JANV2017!P20+TONT20000FEV2017!P20+TONT20000MARS2017!P20+TONT20000AVRIL2017!P20+TONT20000MAI2017!P20+TONT20000JUIN2017!P20+TONT20000JUIL2017!P20+TONT20000AOUT2017!P20</f>
        <v>0</v>
      </c>
      <c r="Q20" s="7">
        <f>TONT20000DEC2016!S20+TONT20000JANV2017!Q20+TONT20000FEV2017!Q20+TONT20000MARS2017!Q20+TONT20000AVRIL2017!Q20+TONT20000MAI2017!Q20+TONT20000JUIN2017!Q20+TONT20000JUIL2017!Q20+TONT20000AOUT2017!Q20</f>
        <v>0</v>
      </c>
      <c r="R20" s="7">
        <f>TONT20000DEC2016!T20+TONT20000JANV2017!R20+TONT20000FEV2017!R20+TONT20000MARS2017!R20+TONT20000AVRIL2017!R20+TONT20000MAI2017!R20+TONT20000JUIN2017!R20+TONT20000JUIL2017!R20+TONT20000AOUT2017!R20</f>
        <v>0</v>
      </c>
      <c r="S20" s="7">
        <f>TONT20000DEC2016!U20+TONT20000JANV2017!S20+TONT20000FEV2017!S20+TONT20000MARS2017!S20+TONT20000AVRIL2017!S20+TONT20000MAI2017!S20+TONT20000JUIN2017!S20+TONT20000JUIL2017!S20+TONT20000AOUT2017!S20</f>
        <v>0</v>
      </c>
      <c r="T20" s="7">
        <f>TONT20000DEC2016!V20+TONT20000JANV2017!T20+TONT20000FEV2017!T20+TONT20000MARS2017!T20+TONT20000AVRIL2017!T20+TONT20000MAI2017!T20+TONT20000JUIN2017!T20+TONT20000JUIL2017!T20+TONT20000AOUT2017!T20</f>
        <v>0</v>
      </c>
      <c r="U20" s="44">
        <v>42750</v>
      </c>
      <c r="V20" s="1" t="s">
        <v>85</v>
      </c>
    </row>
    <row r="21" spans="1:23" x14ac:dyDescent="0.25">
      <c r="A21" s="1" t="s">
        <v>26</v>
      </c>
      <c r="B21" s="1" t="str">
        <f>VLOOKUP(A21,LISTADHERENT!A$5:H$51,2)</f>
        <v>KOUAMOU EMMANUEL</v>
      </c>
      <c r="C21" s="6">
        <f>TONT20000DEC2016!E21+TONT20000JANV2017!C21+TONT20000FEV2017!C21+TONT20000MARS2017!C21+TONT20000AVRIL2017!C21+TONT20000MAI2017!C21+TONT20000JUIN2017!C21+TONT20000JUIL2017!C21+TONT20000AOUT2017!C21+TONT20000SEPT2017!C21+TONT20000OCT2017!C21+TONT20000NOV2017!C21</f>
        <v>29927.304903721444</v>
      </c>
      <c r="D21" s="6">
        <f>TONT20000OCT2017!C21+TONT20000OCT2017!D21+TONT20000ANNUELLE!J21</f>
        <v>501284.30490372144</v>
      </c>
      <c r="E21" s="6"/>
      <c r="F21" s="7">
        <f t="shared" si="0"/>
        <v>0</v>
      </c>
      <c r="G21" s="7">
        <f t="shared" si="1"/>
        <v>0</v>
      </c>
      <c r="H21" s="43" t="s">
        <v>216</v>
      </c>
      <c r="I21" s="7">
        <f>TONT20000DEC2016!K21+TONT20000JANV2017!I21+TONT20000FEV2017!I21+TONT20000MARS2017!I21+TONT20000AVRIL2017!I21+TONT20000MAI2017!I21+TONT20000JUIN2017!I21+TONT20000JUIL2017!I21+TONT20000AOUT2017!J21</f>
        <v>163000</v>
      </c>
      <c r="J21" s="7">
        <f>TONT20000DEC2016!L21+TONT20000JANV2017!J21+TONT20000FEV2017!J21+TONT20000MARS2017!J21+TONT20000AVRIL2017!J21+TONT20000MAI2017!J21+TONT20000JUIN2017!J21+TONT20000JUIL2017!J21+TONT20000AOUT2017!K21</f>
        <v>24500</v>
      </c>
      <c r="K21" s="7">
        <f>TONT20000DEC2016!M21+TONT20000JANV2017!K21+TONT20000FEV2017!K21+TONT20000MARS2017!K21+TONT20000AVRIL2017!K21+TONT20000MAI2017!K21+TONT20000JUIN2017!K21+TONT20000JUIL2017!K21+TONT20000AOUT2017!L21</f>
        <v>5000</v>
      </c>
      <c r="L21" s="7">
        <f>TONT20000DEC2016!N21+TONT20000JANV2017!L21+TONT20000FEV2017!L21+TONT20000MARS2017!L21+TONT20000AVRIL2017!L21+TONT20000MAI2017!L21+TONT20000JUIN2017!L21+TONT20000JUIL2017!L21+TONT20000AOUT2017!M21</f>
        <v>10500</v>
      </c>
      <c r="M21" s="7">
        <f>TONT20000DEC2016!O21+TONT20000JANV2017!M21+TONT20000FEV2017!M21+TONT20000MARS2017!M21+TONT20000AVRIL2017!M21+TONT20000MAI2017!M21+TONT20000JUIN2017!M21+TONT20000JUIL2017!M21+TONT20000AOUT2017!M21</f>
        <v>22500</v>
      </c>
      <c r="N21" s="7">
        <f>TONT20000DEC2016!P21+TONT20000JANV2017!N21+TONT20000FEV2017!N21+TONT20000MARS2017!N21+TONT20000AVRIL2017!N21+TONT20000MAI2017!N21+TONT20000JUIN2017!N21+TONT20000JUIL2017!N21+TONT20000AOUT2017!N21</f>
        <v>0</v>
      </c>
      <c r="O21" s="7">
        <f>TONT20000DEC2016!Q21+TONT20000JANV2017!O21+TONT20000FEV2017!O21+TONT20000MARS2017!O21+TONT20000AVRIL2017!O21+TONT20000MAI2017!O21+TONT20000JUIN2017!O21+TONT20000JUIL2017!O21+TONT20000AOUT2017!O21</f>
        <v>0</v>
      </c>
      <c r="P21" s="7">
        <f>TONT20000DEC2016!R21+TONT20000JANV2017!P21+TONT20000FEV2017!P21+TONT20000MARS2017!P21+TONT20000AVRIL2017!P21+TONT20000MAI2017!P21+TONT20000JUIN2017!P21+TONT20000JUIL2017!P21+TONT20000AOUT2017!P21</f>
        <v>0</v>
      </c>
      <c r="Q21" s="7">
        <f>TONT20000DEC2016!S21+TONT20000JANV2017!Q21+TONT20000FEV2017!Q21+TONT20000MARS2017!Q21+TONT20000AVRIL2017!Q21+TONT20000MAI2017!Q21+TONT20000JUIN2017!Q21+TONT20000JUIL2017!Q21+TONT20000AOUT2017!Q21</f>
        <v>120000</v>
      </c>
      <c r="R21" s="7">
        <f>TONT20000DEC2016!T21+TONT20000JANV2017!R21+TONT20000FEV2017!R21+TONT20000MARS2017!R21+TONT20000AVRIL2017!R21+TONT20000MAI2017!R21+TONT20000JUIN2017!R21+TONT20000JUIL2017!R21+TONT20000AOUT2017!R21</f>
        <v>0</v>
      </c>
      <c r="S21" s="7">
        <f>TONT20000DEC2016!U21+TONT20000JANV2017!S21+TONT20000FEV2017!S21+TONT20000MARS2017!S21+TONT20000AVRIL2017!S21+TONT20000MAI2017!S21+TONT20000JUIN2017!S21+TONT20000JUIL2017!S21+TONT20000AOUT2017!S21</f>
        <v>0</v>
      </c>
      <c r="T21" s="7">
        <f>TONT20000DEC2016!V21+TONT20000JANV2017!T21+TONT20000FEV2017!T21+TONT20000MARS2017!T21+TONT20000AVRIL2017!T21+TONT20000MAI2017!T21+TONT20000JUIN2017!T21+TONT20000JUIL2017!T21+TONT20000AOUT2017!T21</f>
        <v>0</v>
      </c>
      <c r="U21" s="44">
        <v>42659</v>
      </c>
      <c r="V21" s="1"/>
    </row>
    <row r="22" spans="1:23" x14ac:dyDescent="0.25">
      <c r="A22" s="1" t="s">
        <v>27</v>
      </c>
      <c r="B22" s="1" t="str">
        <f>VLOOKUP(A22,LISTADHERENT!A$5:H$51,2)</f>
        <v>KOUAMOU MOISE</v>
      </c>
      <c r="C22" s="6">
        <f>TONT20000DEC2016!E22+TONT20000JANV2017!C22+TONT20000FEV2017!C22+TONT20000MARS2017!C22+TONT20000AVRIL2017!C22+TONT20000MAI2017!C22+TONT20000JUIN2017!C22+TONT20000JUIL2017!C22+TONT20000AOUT2017!C22+TONT20000SEPT2017!C22+TONT20000OCT2017!C22+TONT20000NOV2017!C22</f>
        <v>30239.475057506435</v>
      </c>
      <c r="D22" s="6">
        <f>TONT20000OCT2017!C22+TONT20000OCT2017!D22+TONT20000ANNUELLE!J22</f>
        <v>540287.47505750647</v>
      </c>
      <c r="E22" s="6"/>
      <c r="F22" s="7">
        <f t="shared" si="0"/>
        <v>0</v>
      </c>
      <c r="G22" s="7">
        <f t="shared" si="1"/>
        <v>0</v>
      </c>
      <c r="H22" s="43" t="s">
        <v>216</v>
      </c>
      <c r="I22" s="7">
        <f>TONT20000DEC2016!K22+TONT20000JANV2017!I22+TONT20000FEV2017!I22+TONT20000MARS2017!I22+TONT20000AVRIL2017!I22+TONT20000MAI2017!I22+TONT20000JUIN2017!I22+TONT20000JUIL2017!I22+TONT20000AOUT2017!J22</f>
        <v>165000</v>
      </c>
      <c r="J22" s="7">
        <f>TONT20000DEC2016!L22+TONT20000JANV2017!J22+TONT20000FEV2017!J22+TONT20000MARS2017!J22+TONT20000AVRIL2017!J22+TONT20000MAI2017!J22+TONT20000JUIN2017!J22+TONT20000JUIL2017!J22+TONT20000AOUT2017!K22</f>
        <v>43500</v>
      </c>
      <c r="K22" s="7">
        <f>TONT20000DEC2016!M22+TONT20000JANV2017!K22+TONT20000FEV2017!K22+TONT20000MARS2017!K22+TONT20000AVRIL2017!K22+TONT20000MAI2017!K22+TONT20000JUIN2017!K22+TONT20000JUIL2017!K22+TONT20000AOUT2017!L22</f>
        <v>4500</v>
      </c>
      <c r="L22" s="7">
        <f>TONT20000DEC2016!N22+TONT20000JANV2017!L22+TONT20000FEV2017!L22+TONT20000MARS2017!L22+TONT20000AVRIL2017!L22+TONT20000MAI2017!L22+TONT20000JUIN2017!L22+TONT20000JUIL2017!L22+TONT20000AOUT2017!M22</f>
        <v>9500</v>
      </c>
      <c r="M22" s="7">
        <f>TONT20000DEC2016!O22+TONT20000JANV2017!M22+TONT20000FEV2017!M22+TONT20000MARS2017!M22+TONT20000AVRIL2017!M22+TONT20000MAI2017!M22+TONT20000JUIN2017!M22+TONT20000JUIL2017!M22+TONT20000AOUT2017!M22</f>
        <v>20000</v>
      </c>
      <c r="N22" s="7">
        <f>TONT20000DEC2016!P22+TONT20000JANV2017!N22+TONT20000FEV2017!N22+TONT20000MARS2017!N22+TONT20000AVRIL2017!N22+TONT20000MAI2017!N22+TONT20000JUIN2017!N22+TONT20000JUIL2017!N22+TONT20000AOUT2017!N22</f>
        <v>0</v>
      </c>
      <c r="O22" s="7">
        <f>TONT20000DEC2016!Q22+TONT20000JANV2017!O22+TONT20000FEV2017!O22+TONT20000MARS2017!O22+TONT20000AVRIL2017!O22+TONT20000MAI2017!O22+TONT20000JUIN2017!O22+TONT20000JUIL2017!O22+TONT20000AOUT2017!O22</f>
        <v>500000</v>
      </c>
      <c r="P22" s="7">
        <f>TONT20000DEC2016!R22+TONT20000JANV2017!P22+TONT20000FEV2017!P22+TONT20000MARS2017!P22+TONT20000AVRIL2017!P22+TONT20000MAI2017!P22+TONT20000JUIN2017!P22+TONT20000JUIL2017!P22+TONT20000AOUT2017!P22</f>
        <v>15000</v>
      </c>
      <c r="Q22" s="7">
        <f>TONT20000DEC2016!S22+TONT20000JANV2017!Q22+TONT20000FEV2017!Q22+TONT20000MARS2017!Q22+TONT20000AVRIL2017!Q22+TONT20000MAI2017!Q22+TONT20000JUIN2017!Q22+TONT20000JUIL2017!Q22+TONT20000AOUT2017!Q22</f>
        <v>864000</v>
      </c>
      <c r="R22" s="7">
        <f>TONT20000DEC2016!T22+TONT20000JANV2017!R22+TONT20000FEV2017!R22+TONT20000MARS2017!R22+TONT20000AVRIL2017!R22+TONT20000MAI2017!R22+TONT20000JUIN2017!R22+TONT20000JUIL2017!R22+TONT20000AOUT2017!R22</f>
        <v>0</v>
      </c>
      <c r="S22" s="7">
        <f>TONT20000DEC2016!U22+TONT20000JANV2017!S22+TONT20000FEV2017!S22+TONT20000MARS2017!S22+TONT20000AVRIL2017!S22+TONT20000MAI2017!S22+TONT20000JUIN2017!S22+TONT20000JUIL2017!S22+TONT20000AOUT2017!S22</f>
        <v>0</v>
      </c>
      <c r="T22" s="7">
        <f>TONT20000DEC2016!V22+TONT20000JANV2017!T22+TONT20000FEV2017!T22+TONT20000MARS2017!T22+TONT20000AVRIL2017!T22+TONT20000MAI2017!T22+TONT20000JUIN2017!T22+TONT20000JUIL2017!T22+TONT20000AOUT2017!T22</f>
        <v>12000</v>
      </c>
      <c r="U22" s="44">
        <v>42723</v>
      </c>
      <c r="V22" s="1" t="s">
        <v>102</v>
      </c>
    </row>
    <row r="23" spans="1:23" x14ac:dyDescent="0.25">
      <c r="A23" s="1" t="s">
        <v>28</v>
      </c>
      <c r="B23" s="1" t="str">
        <f>VLOOKUP(A23,LISTADHERENT!A$5:H$51,2)</f>
        <v>KOUAMO VICTOR PEGUY</v>
      </c>
      <c r="C23" s="6">
        <f>TONT20000DEC2016!E23+TONT20000JANV2017!C23+TONT20000FEV2017!C23+TONT20000MARS2017!C23+TONT20000AVRIL2017!C23+TONT20000MAI2017!C23+TONT20000JUIN2017!C23+TONT20000JUIL2017!C23+TONT20000AOUT2017!C23+TONT20000SEPT2017!C23+TONT20000OCT2017!C23+TONT20000NOV2017!C23</f>
        <v>29949.766172540891</v>
      </c>
      <c r="D23" s="6">
        <f>TONT20000OCT2017!C23+TONT20000OCT2017!D23+TONT20000ANNUELLE!J23</f>
        <v>501635.76617254084</v>
      </c>
      <c r="E23" s="6"/>
      <c r="F23" s="7">
        <f t="shared" si="0"/>
        <v>0</v>
      </c>
      <c r="G23" s="7">
        <f t="shared" si="1"/>
        <v>0</v>
      </c>
      <c r="H23" s="43" t="s">
        <v>216</v>
      </c>
      <c r="I23" s="7">
        <f>TONT20000DEC2016!K23+TONT20000JANV2017!I23+TONT20000FEV2017!I23+TONT20000MARS2017!I23+TONT20000AVRIL2017!I23+TONT20000MAI2017!I23+TONT20000JUIN2017!I23+TONT20000JUIL2017!I23+TONT20000AOUT2017!J23</f>
        <v>163000</v>
      </c>
      <c r="J23" s="7">
        <f>TONT20000DEC2016!L23+TONT20000JANV2017!J23+TONT20000FEV2017!J23+TONT20000MARS2017!J23+TONT20000AVRIL2017!J23+TONT20000MAI2017!J23+TONT20000JUIN2017!J23+TONT20000JUIL2017!J23+TONT20000AOUT2017!K23</f>
        <v>24500</v>
      </c>
      <c r="K23" s="7">
        <f>TONT20000DEC2016!M23+TONT20000JANV2017!K23+TONT20000FEV2017!K23+TONT20000MARS2017!K23+TONT20000AVRIL2017!K23+TONT20000MAI2017!K23+TONT20000JUIN2017!K23+TONT20000JUIL2017!K23+TONT20000AOUT2017!L23</f>
        <v>5000</v>
      </c>
      <c r="L23" s="7">
        <f>TONT20000DEC2016!N23+TONT20000JANV2017!L23+TONT20000FEV2017!L23+TONT20000MARS2017!L23+TONT20000AVRIL2017!L23+TONT20000MAI2017!L23+TONT20000JUIN2017!L23+TONT20000JUIL2017!L23+TONT20000AOUT2017!M23</f>
        <v>10500</v>
      </c>
      <c r="M23" s="7">
        <f>TONT20000DEC2016!O23+TONT20000JANV2017!M23+TONT20000FEV2017!M23+TONT20000MARS2017!M23+TONT20000AVRIL2017!M23+TONT20000MAI2017!M23+TONT20000JUIN2017!M23+TONT20000JUIL2017!M23+TONT20000AOUT2017!M23</f>
        <v>22500</v>
      </c>
      <c r="N23" s="7">
        <f>TONT20000DEC2016!P23+TONT20000JANV2017!N23+TONT20000FEV2017!N23+TONT20000MARS2017!N23+TONT20000AVRIL2017!N23+TONT20000MAI2017!N23+TONT20000JUIN2017!N23+TONT20000JUIL2017!N23+TONT20000AOUT2017!N23</f>
        <v>0</v>
      </c>
      <c r="O23" s="7">
        <f>TONT20000DEC2016!Q23+TONT20000JANV2017!O23+TONT20000FEV2017!O23+TONT20000MARS2017!O23+TONT20000AVRIL2017!O23+TONT20000MAI2017!O23+TONT20000JUIN2017!O23+TONT20000JUIL2017!O23+TONT20000AOUT2017!O23</f>
        <v>0</v>
      </c>
      <c r="P23" s="7">
        <f>TONT20000DEC2016!R23+TONT20000JANV2017!P23+TONT20000FEV2017!P23+TONT20000MARS2017!P23+TONT20000AVRIL2017!P23+TONT20000MAI2017!P23+TONT20000JUIN2017!P23+TONT20000JUIL2017!P23+TONT20000AOUT2017!P23</f>
        <v>0</v>
      </c>
      <c r="Q23" s="7">
        <f>TONT20000DEC2016!S23+TONT20000JANV2017!Q23+TONT20000FEV2017!Q23+TONT20000MARS2017!Q23+TONT20000AVRIL2017!Q23+TONT20000MAI2017!Q23+TONT20000JUIN2017!Q23+TONT20000JUIL2017!Q23+TONT20000AOUT2017!Q23</f>
        <v>0</v>
      </c>
      <c r="R23" s="7">
        <f>TONT20000DEC2016!T23+TONT20000JANV2017!R23+TONT20000FEV2017!R23+TONT20000MARS2017!R23+TONT20000AVRIL2017!R23+TONT20000MAI2017!R23+TONT20000JUIN2017!R23+TONT20000JUIL2017!R23+TONT20000AOUT2017!R23</f>
        <v>0</v>
      </c>
      <c r="S23" s="7">
        <f>TONT20000DEC2016!U23+TONT20000JANV2017!S23+TONT20000FEV2017!S23+TONT20000MARS2017!S23+TONT20000AVRIL2017!S23+TONT20000MAI2017!S23+TONT20000JUIN2017!S23+TONT20000JUIL2017!S23+TONT20000AOUT2017!S23</f>
        <v>0</v>
      </c>
      <c r="T23" s="7">
        <f>TONT20000DEC2016!V23+TONT20000JANV2017!T23+TONT20000FEV2017!T23+TONT20000MARS2017!T23+TONT20000AVRIL2017!T23+TONT20000MAI2017!T23+TONT20000JUIN2017!T23+TONT20000JUIL2017!T23+TONT20000AOUT2017!T23</f>
        <v>12000</v>
      </c>
      <c r="U23" s="44">
        <v>42723</v>
      </c>
      <c r="V23" s="1" t="s">
        <v>84</v>
      </c>
    </row>
    <row r="24" spans="1:23" x14ac:dyDescent="0.25">
      <c r="A24" s="1" t="s">
        <v>29</v>
      </c>
      <c r="B24" s="1" t="str">
        <f>VLOOKUP(A24,LISTADHERENT!A$5:H$51,2)</f>
        <v>KOUATCHO MESSACK</v>
      </c>
      <c r="C24" s="6">
        <f>TONT20000DEC2016!E24+TONT20000JANV2017!C24+TONT20000FEV2017!C24+TONT20000MARS2017!C24+TONT20000AVRIL2017!C24+TONT20000MAI2017!C24+TONT20000JUIN2017!C24+TONT20000JUIL2017!C24+TONT20000AOUT2017!C24+TONT20000SEPT2017!C24+TONT20000OCT2017!C24+TONT20000NOV2017!C24</f>
        <v>30027.049322399904</v>
      </c>
      <c r="D24" s="6">
        <f>TONT20000OCT2017!C24+TONT20000OCT2017!D24+TONT20000ANNUELLE!J24</f>
        <v>502845.04932239989</v>
      </c>
      <c r="E24" s="6"/>
      <c r="F24" s="7">
        <f t="shared" si="0"/>
        <v>0</v>
      </c>
      <c r="G24" s="7">
        <f t="shared" si="1"/>
        <v>0</v>
      </c>
      <c r="H24" s="43" t="s">
        <v>216</v>
      </c>
      <c r="I24" s="7">
        <f>TONT20000DEC2016!K24+TONT20000JANV2017!I24+TONT20000FEV2017!I24+TONT20000MARS2017!I24+TONT20000AVRIL2017!I24+TONT20000MAI2017!I24+TONT20000JUIN2017!I24+TONT20000JUIL2017!I24+TONT20000AOUT2017!J24</f>
        <v>163000</v>
      </c>
      <c r="J24" s="7">
        <f>TONT20000DEC2016!L24+TONT20000JANV2017!J24+TONT20000FEV2017!J24+TONT20000MARS2017!J24+TONT20000AVRIL2017!J24+TONT20000MAI2017!J24+TONT20000JUIN2017!J24+TONT20000JUIL2017!J24+TONT20000AOUT2017!K24</f>
        <v>24500</v>
      </c>
      <c r="K24" s="7">
        <f>TONT20000DEC2016!M24+TONT20000JANV2017!K24+TONT20000FEV2017!K24+TONT20000MARS2017!K24+TONT20000AVRIL2017!K24+TONT20000MAI2017!K24+TONT20000JUIN2017!K24+TONT20000JUIL2017!K24+TONT20000AOUT2017!L24</f>
        <v>5000</v>
      </c>
      <c r="L24" s="7">
        <f>TONT20000DEC2016!N24+TONT20000JANV2017!L24+TONT20000FEV2017!L24+TONT20000MARS2017!L24+TONT20000AVRIL2017!L24+TONT20000MAI2017!L24+TONT20000JUIN2017!L24+TONT20000JUIL2017!L24+TONT20000AOUT2017!M24</f>
        <v>10500</v>
      </c>
      <c r="M24" s="7">
        <f>TONT20000DEC2016!O24+TONT20000JANV2017!M24+TONT20000FEV2017!M24+TONT20000MARS2017!M24+TONT20000AVRIL2017!M24+TONT20000MAI2017!M24+TONT20000JUIN2017!M24+TONT20000JUIL2017!M24+TONT20000AOUT2017!M24</f>
        <v>22500</v>
      </c>
      <c r="N24" s="7">
        <f>TONT20000DEC2016!P24+TONT20000JANV2017!N24+TONT20000FEV2017!N24+TONT20000MARS2017!N24+TONT20000AVRIL2017!N24+TONT20000MAI2017!N24+TONT20000JUIN2017!N24+TONT20000JUIL2017!N24+TONT20000AOUT2017!N24</f>
        <v>0</v>
      </c>
      <c r="O24" s="7">
        <f>TONT20000DEC2016!Q24+TONT20000JANV2017!O24+TONT20000FEV2017!O24+TONT20000MARS2017!O24+TONT20000AVRIL2017!O24+TONT20000MAI2017!O24+TONT20000JUIN2017!O24+TONT20000JUIL2017!O24+TONT20000AOUT2017!O24</f>
        <v>1000000</v>
      </c>
      <c r="P24" s="7">
        <f>TONT20000DEC2016!R24+TONT20000JANV2017!P24+TONT20000FEV2017!P24+TONT20000MARS2017!P24+TONT20000AVRIL2017!P24+TONT20000MAI2017!P24+TONT20000JUIN2017!P24+TONT20000JUIL2017!P24+TONT20000AOUT2017!P24</f>
        <v>120000</v>
      </c>
      <c r="Q24" s="7">
        <f>TONT20000DEC2016!S24+TONT20000JANV2017!Q24+TONT20000FEV2017!Q24+TONT20000MARS2017!Q24+TONT20000AVRIL2017!Q24+TONT20000MAI2017!Q24+TONT20000JUIN2017!Q24+TONT20000JUIL2017!Q24+TONT20000AOUT2017!Q24</f>
        <v>1120000</v>
      </c>
      <c r="R24" s="7">
        <f>TONT20000DEC2016!T24+TONT20000JANV2017!R24+TONT20000FEV2017!R24+TONT20000MARS2017!R24+TONT20000AVRIL2017!R24+TONT20000MAI2017!R24+TONT20000JUIN2017!R24+TONT20000JUIL2017!R24+TONT20000AOUT2017!R24</f>
        <v>0</v>
      </c>
      <c r="S24" s="7">
        <f>TONT20000DEC2016!U24+TONT20000JANV2017!S24+TONT20000FEV2017!S24+TONT20000MARS2017!S24+TONT20000AVRIL2017!S24+TONT20000MAI2017!S24+TONT20000JUIN2017!S24+TONT20000JUIL2017!S24+TONT20000AOUT2017!S24</f>
        <v>0</v>
      </c>
      <c r="T24" s="7">
        <f>TONT20000DEC2016!V24+TONT20000JANV2017!T24+TONT20000FEV2017!T24+TONT20000MARS2017!T24+TONT20000AVRIL2017!T24+TONT20000MAI2017!T24+TONT20000JUIN2017!T24+TONT20000JUIL2017!T24+TONT20000AOUT2017!T24</f>
        <v>0</v>
      </c>
      <c r="U24" s="44">
        <v>42632</v>
      </c>
      <c r="V24" s="1"/>
    </row>
    <row r="25" spans="1:23" x14ac:dyDescent="0.25">
      <c r="A25" s="1" t="s">
        <v>30</v>
      </c>
      <c r="B25" s="1" t="str">
        <f>VLOOKUP(A25,LISTADHERENT!A$5:H$51,2)</f>
        <v>LOWE JEAN</v>
      </c>
      <c r="C25" s="6">
        <f>TONT20000DEC2016!E25+TONT20000JANV2017!C25+TONT20000FEV2017!C25+TONT20000MARS2017!C25+TONT20000AVRIL2017!C25+TONT20000MAI2017!C25+TONT20000JUIN2017!C25+TONT20000JUIL2017!C25+TONT20000AOUT2017!C25+TONT20000SEPT2017!C25+TONT20000OCT2017!C25+TONT20000NOV2017!C25</f>
        <v>29894.814598648332</v>
      </c>
      <c r="D25" s="6">
        <f>TONT20000OCT2017!C25+TONT20000OCT2017!D25+TONT20000ANNUELLE!J25</f>
        <v>495546.81459864823</v>
      </c>
      <c r="E25" s="6"/>
      <c r="F25" s="7">
        <f t="shared" si="0"/>
        <v>0</v>
      </c>
      <c r="G25" s="7">
        <f t="shared" si="1"/>
        <v>0</v>
      </c>
      <c r="H25" s="43" t="s">
        <v>216</v>
      </c>
      <c r="I25" s="7">
        <f>TONT20000DEC2016!K25+TONT20000JANV2017!I25+TONT20000FEV2017!I25+TONT20000MARS2017!I25+TONT20000AVRIL2017!I25+TONT20000MAI2017!I25+TONT20000JUIN2017!I25+TONT20000JUIL2017!I25+TONT20000AOUT2017!J25</f>
        <v>143000</v>
      </c>
      <c r="J25" s="7">
        <f>TONT20000DEC2016!L25+TONT20000JANV2017!J25+TONT20000FEV2017!J25+TONT20000MARS2017!J25+TONT20000AVRIL2017!J25+TONT20000MAI2017!J25+TONT20000JUIN2017!J25+TONT20000JUIL2017!J25+TONT20000AOUT2017!K25</f>
        <v>21500</v>
      </c>
      <c r="K25" s="7">
        <f>TONT20000DEC2016!M25+TONT20000JANV2017!K25+TONT20000FEV2017!K25+TONT20000MARS2017!K25+TONT20000AVRIL2017!K25+TONT20000MAI2017!K25+TONT20000JUIN2017!K25+TONT20000JUIL2017!K25+TONT20000AOUT2017!L25</f>
        <v>4500</v>
      </c>
      <c r="L25" s="7">
        <f>TONT20000DEC2016!N25+TONT20000JANV2017!L25+TONT20000FEV2017!L25+TONT20000MARS2017!L25+TONT20000AVRIL2017!L25+TONT20000MAI2017!L25+TONT20000JUIN2017!L25+TONT20000JUIL2017!L25+TONT20000AOUT2017!M25</f>
        <v>9500</v>
      </c>
      <c r="M25" s="7">
        <f>TONT20000DEC2016!O25+TONT20000JANV2017!M25+TONT20000FEV2017!M25+TONT20000MARS2017!M25+TONT20000AVRIL2017!M25+TONT20000MAI2017!M25+TONT20000JUIN2017!M25+TONT20000JUIL2017!M25+TONT20000AOUT2017!M25</f>
        <v>20000</v>
      </c>
      <c r="N25" s="7">
        <f>TONT20000DEC2016!P25+TONT20000JANV2017!N25+TONT20000FEV2017!N25+TONT20000MARS2017!N25+TONT20000AVRIL2017!N25+TONT20000MAI2017!N25+TONT20000JUIN2017!N25+TONT20000JUIL2017!N25+TONT20000AOUT2017!N25</f>
        <v>0</v>
      </c>
      <c r="O25" s="7">
        <f>TONT20000DEC2016!Q25+TONT20000JANV2017!O25+TONT20000FEV2017!O25+TONT20000MARS2017!O25+TONT20000AVRIL2017!O25+TONT20000MAI2017!O25+TONT20000JUIN2017!O25+TONT20000JUIL2017!O25+TONT20000AOUT2017!O25</f>
        <v>150000</v>
      </c>
      <c r="P25" s="7">
        <f>TONT20000DEC2016!R25+TONT20000JANV2017!P25+TONT20000FEV2017!P25+TONT20000MARS2017!P25+TONT20000AVRIL2017!P25+TONT20000MAI2017!P25+TONT20000JUIN2017!P25+TONT20000JUIL2017!P25+TONT20000AOUT2017!P25</f>
        <v>4500</v>
      </c>
      <c r="Q25" s="7">
        <f>TONT20000DEC2016!S25+TONT20000JANV2017!Q25+TONT20000FEV2017!Q25+TONT20000MARS2017!Q25+TONT20000AVRIL2017!Q25+TONT20000MAI2017!Q25+TONT20000JUIN2017!Q25+TONT20000JUIL2017!Q25+TONT20000AOUT2017!Q25</f>
        <v>82400</v>
      </c>
      <c r="R25" s="7">
        <f>TONT20000DEC2016!T25+TONT20000JANV2017!R25+TONT20000FEV2017!R25+TONT20000MARS2017!R25+TONT20000AVRIL2017!R25+TONT20000MAI2017!R25+TONT20000JUIN2017!R25+TONT20000JUIL2017!R25+TONT20000AOUT2017!R25</f>
        <v>0</v>
      </c>
      <c r="S25" s="7">
        <f>TONT20000DEC2016!U25+TONT20000JANV2017!S25+TONT20000FEV2017!S25+TONT20000MARS2017!S25+TONT20000AVRIL2017!S25+TONT20000MAI2017!S25+TONT20000JUIN2017!S25+TONT20000JUIL2017!S25+TONT20000AOUT2017!S25</f>
        <v>0</v>
      </c>
      <c r="T25" s="7">
        <f>TONT20000DEC2016!V25+TONT20000JANV2017!T25+TONT20000FEV2017!T25+TONT20000MARS2017!T25+TONT20000AVRIL2017!T25+TONT20000MAI2017!T25+TONT20000JUIN2017!T25+TONT20000JUIL2017!T25+TONT20000AOUT2017!T25</f>
        <v>0</v>
      </c>
      <c r="U25" s="44">
        <v>42694</v>
      </c>
      <c r="V25" s="1" t="s">
        <v>85</v>
      </c>
    </row>
    <row r="26" spans="1:23" x14ac:dyDescent="0.25">
      <c r="A26" s="1" t="s">
        <v>31</v>
      </c>
      <c r="B26" s="1" t="str">
        <f>VLOOKUP(A26,LISTADHERENT!A$5:H$51,2)</f>
        <v>NANKAM APPOLINAIRE</v>
      </c>
      <c r="C26" s="6">
        <f>TONT20000DEC2016!E26+TONT20000JANV2017!C26+TONT20000FEV2017!C26+TONT20000MARS2017!C26+TONT20000AVRIL2017!C26+TONT20000MAI2017!C26+TONT20000JUIN2017!C26+TONT20000JUIL2017!C26+TONT20000AOUT2017!C26+TONT20000SEPT2017!C26+TONT20000OCT2017!C26+TONT20000NOV2017!C26</f>
        <v>29953.52109589977</v>
      </c>
      <c r="D26" s="6">
        <f>TONT20000OCT2017!C26+TONT20000OCT2017!D26+TONT20000ANNUELLE!J26</f>
        <v>501694.52109589981</v>
      </c>
      <c r="E26" s="6"/>
      <c r="F26" s="7">
        <f t="shared" si="0"/>
        <v>0</v>
      </c>
      <c r="G26" s="7">
        <f t="shared" si="1"/>
        <v>0</v>
      </c>
      <c r="H26" s="43" t="s">
        <v>216</v>
      </c>
      <c r="I26" s="7">
        <f>TONT20000DEC2016!K26+TONT20000JANV2017!I26+TONT20000FEV2017!I26+TONT20000MARS2017!I26+TONT20000AVRIL2017!I26+TONT20000MAI2017!I26+TONT20000JUIN2017!I26+TONT20000JUIL2017!I26+TONT20000AOUT2017!J26</f>
        <v>163000</v>
      </c>
      <c r="J26" s="7">
        <f>TONT20000DEC2016!L26+TONT20000JANV2017!J26+TONT20000FEV2017!J26+TONT20000MARS2017!J26+TONT20000AVRIL2017!J26+TONT20000MAI2017!J26+TONT20000JUIN2017!J26+TONT20000JUIL2017!J26+TONT20000AOUT2017!K26</f>
        <v>24500</v>
      </c>
      <c r="K26" s="7">
        <f>TONT20000DEC2016!M26+TONT20000JANV2017!K26+TONT20000FEV2017!K26+TONT20000MARS2017!K26+TONT20000AVRIL2017!K26+TONT20000MAI2017!K26+TONT20000JUIN2017!K26+TONT20000JUIL2017!K26+TONT20000AOUT2017!L26</f>
        <v>5000</v>
      </c>
      <c r="L26" s="7">
        <f>TONT20000DEC2016!N26+TONT20000JANV2017!L26+TONT20000FEV2017!L26+TONT20000MARS2017!L26+TONT20000AVRIL2017!L26+TONT20000MAI2017!L26+TONT20000JUIN2017!L26+TONT20000JUIL2017!L26+TONT20000AOUT2017!M26</f>
        <v>10500</v>
      </c>
      <c r="M26" s="7">
        <f>TONT20000DEC2016!O26+TONT20000JANV2017!M26+TONT20000FEV2017!M26+TONT20000MARS2017!M26+TONT20000AVRIL2017!M26+TONT20000MAI2017!M26+TONT20000JUIN2017!M26+TONT20000JUIL2017!M26+TONT20000AOUT2017!M26</f>
        <v>22500</v>
      </c>
      <c r="N26" s="7">
        <f>TONT20000DEC2016!P26+TONT20000JANV2017!N26+TONT20000FEV2017!N26+TONT20000MARS2017!N26+TONT20000AVRIL2017!N26+TONT20000MAI2017!N26+TONT20000JUIN2017!N26+TONT20000JUIL2017!N26+TONT20000AOUT2017!N26</f>
        <v>0</v>
      </c>
      <c r="O26" s="7">
        <f>TONT20000DEC2016!Q26+TONT20000JANV2017!O26+TONT20000FEV2017!O26+TONT20000MARS2017!O26+TONT20000AVRIL2017!O26+TONT20000MAI2017!O26+TONT20000JUIN2017!O26+TONT20000JUIL2017!O26+TONT20000AOUT2017!O26</f>
        <v>0</v>
      </c>
      <c r="P26" s="7">
        <f>TONT20000DEC2016!R26+TONT20000JANV2017!P26+TONT20000FEV2017!P26+TONT20000MARS2017!P26+TONT20000AVRIL2017!P26+TONT20000MAI2017!P26+TONT20000JUIN2017!P26+TONT20000JUIL2017!P26+TONT20000AOUT2017!P26</f>
        <v>0</v>
      </c>
      <c r="Q26" s="7">
        <f>TONT20000DEC2016!S26+TONT20000JANV2017!Q26+TONT20000FEV2017!Q26+TONT20000MARS2017!Q26+TONT20000AVRIL2017!Q26+TONT20000MAI2017!Q26+TONT20000JUIN2017!Q26+TONT20000JUIL2017!Q26+TONT20000AOUT2017!Q26</f>
        <v>200000</v>
      </c>
      <c r="R26" s="7">
        <f>TONT20000DEC2016!T26+TONT20000JANV2017!R26+TONT20000FEV2017!R26+TONT20000MARS2017!R26+TONT20000AVRIL2017!R26+TONT20000MAI2017!R26+TONT20000JUIN2017!R26+TONT20000JUIL2017!R26+TONT20000AOUT2017!R26</f>
        <v>0</v>
      </c>
      <c r="S26" s="7">
        <f>TONT20000DEC2016!U26+TONT20000JANV2017!S26+TONT20000FEV2017!S26+TONT20000MARS2017!S26+TONT20000AVRIL2017!S26+TONT20000MAI2017!S26+TONT20000JUIN2017!S26+TONT20000JUIL2017!S26+TONT20000AOUT2017!S26</f>
        <v>0</v>
      </c>
      <c r="T26" s="7">
        <f>TONT20000DEC2016!V26+TONT20000JANV2017!T26+TONT20000FEV2017!T26+TONT20000MARS2017!T26+TONT20000AVRIL2017!T26+TONT20000MAI2017!T26+TONT20000JUIN2017!T26+TONT20000JUIL2017!T26+TONT20000AOUT2017!T26</f>
        <v>0</v>
      </c>
      <c r="U26" s="44">
        <v>42785</v>
      </c>
      <c r="V26" s="1" t="s">
        <v>85</v>
      </c>
    </row>
    <row r="27" spans="1:23" x14ac:dyDescent="0.25">
      <c r="A27" s="1" t="s">
        <v>32</v>
      </c>
      <c r="B27" s="1" t="str">
        <f>VLOOKUP(A27,LISTADHERENT!A$5:H$51,2)</f>
        <v>NDJOMO ETIENNE</v>
      </c>
      <c r="C27" s="6">
        <f>TONT20000DEC2016!E27+TONT20000JANV2017!C27+TONT20000FEV2017!C27+TONT20000MARS2017!C27+TONT20000AVRIL2017!C27+TONT20000MAI2017!C27+TONT20000JUIN2017!C27+TONT20000JUIL2017!C27+TONT20000AOUT2017!C27+TONT20000SEPT2017!C27+TONT20000OCT2017!C27+TONT20000NOV2017!C27</f>
        <v>31779.342267256736</v>
      </c>
      <c r="D27" s="6">
        <f>TONT20000OCT2017!C27+TONT20000OCT2017!D27+TONT20000ANNUELLE!J27</f>
        <v>583597.3422672567</v>
      </c>
      <c r="E27" s="6"/>
      <c r="F27" s="7">
        <f t="shared" si="0"/>
        <v>0</v>
      </c>
      <c r="G27" s="7">
        <f t="shared" si="1"/>
        <v>0</v>
      </c>
      <c r="H27" s="43" t="s">
        <v>216</v>
      </c>
      <c r="I27" s="7">
        <f>TONT20000DEC2016!K27+TONT20000JANV2017!I27+TONT20000FEV2017!I27+TONT20000MARS2017!I27+TONT20000AVRIL2017!I27+TONT20000MAI2017!I27+TONT20000JUIN2017!I27+TONT20000JUIL2017!I27+TONT20000AOUT2017!J27</f>
        <v>208000</v>
      </c>
      <c r="J27" s="7">
        <f>TONT20000DEC2016!L27+TONT20000JANV2017!J27+TONT20000FEV2017!J27+TONT20000MARS2017!J27+TONT20000AVRIL2017!J27+TONT20000MAI2017!J27+TONT20000JUIN2017!J27+TONT20000JUIL2017!J27+TONT20000AOUT2017!K27</f>
        <v>64500</v>
      </c>
      <c r="K27" s="7">
        <f>TONT20000DEC2016!M27+TONT20000JANV2017!K27+TONT20000FEV2017!K27+TONT20000MARS2017!K27+TONT20000AVRIL2017!K27+TONT20000MAI2017!K27+TONT20000JUIN2017!K27+TONT20000JUIL2017!K27+TONT20000AOUT2017!L27</f>
        <v>5000</v>
      </c>
      <c r="L27" s="7">
        <f>TONT20000DEC2016!N27+TONT20000JANV2017!L27+TONT20000FEV2017!L27+TONT20000MARS2017!L27+TONT20000AVRIL2017!L27+TONT20000MAI2017!L27+TONT20000JUIN2017!L27+TONT20000JUIL2017!L27+TONT20000AOUT2017!M27</f>
        <v>10500</v>
      </c>
      <c r="M27" s="7">
        <f>TONT20000DEC2016!O27+TONT20000JANV2017!M27+TONT20000FEV2017!M27+TONT20000MARS2017!M27+TONT20000AVRIL2017!M27+TONT20000MAI2017!M27+TONT20000JUIN2017!M27+TONT20000JUIL2017!M27+TONT20000AOUT2017!M27</f>
        <v>22500</v>
      </c>
      <c r="N27" s="7">
        <f>TONT20000DEC2016!P27+TONT20000JANV2017!N27+TONT20000FEV2017!N27+TONT20000MARS2017!N27+TONT20000AVRIL2017!N27+TONT20000MAI2017!N27+TONT20000JUIN2017!N27+TONT20000JUIL2017!N27+TONT20000AOUT2017!N27</f>
        <v>0</v>
      </c>
      <c r="O27" s="7">
        <f>TONT20000DEC2016!Q27+TONT20000JANV2017!O27+TONT20000FEV2017!O27+TONT20000MARS2017!O27+TONT20000AVRIL2017!O27+TONT20000MAI2017!O27+TONT20000JUIN2017!O27+TONT20000JUIL2017!O27+TONT20000AOUT2017!O27</f>
        <v>1000000</v>
      </c>
      <c r="P27" s="7">
        <f>TONT20000DEC2016!R27+TONT20000JANV2017!P27+TONT20000FEV2017!P27+TONT20000MARS2017!P27+TONT20000AVRIL2017!P27+TONT20000MAI2017!P27+TONT20000JUIN2017!P27+TONT20000JUIL2017!P27+TONT20000AOUT2017!P27</f>
        <v>84000</v>
      </c>
      <c r="Q27" s="7">
        <f>TONT20000DEC2016!S27+TONT20000JANV2017!Q27+TONT20000FEV2017!Q27+TONT20000MARS2017!Q27+TONT20000AVRIL2017!Q27+TONT20000MAI2017!Q27+TONT20000JUIN2017!Q27+TONT20000JUIL2017!Q27+TONT20000AOUT2017!Q27</f>
        <v>824000</v>
      </c>
      <c r="R27" s="7">
        <f>TONT20000DEC2016!T27+TONT20000JANV2017!R27+TONT20000FEV2017!R27+TONT20000MARS2017!R27+TONT20000AVRIL2017!R27+TONT20000MAI2017!R27+TONT20000JUIN2017!R27+TONT20000JUIL2017!R27+TONT20000AOUT2017!R27</f>
        <v>0</v>
      </c>
      <c r="S27" s="7">
        <f>TONT20000DEC2016!U27+TONT20000JANV2017!S27+TONT20000FEV2017!S27+TONT20000MARS2017!S27+TONT20000AVRIL2017!S27+TONT20000MAI2017!S27+TONT20000JUIN2017!S27+TONT20000JUIL2017!S27+TONT20000AOUT2017!S27</f>
        <v>0</v>
      </c>
      <c r="T27" s="7">
        <f>TONT20000DEC2016!V27+TONT20000JANV2017!T27+TONT20000FEV2017!T27+TONT20000MARS2017!T27+TONT20000AVRIL2017!T27+TONT20000MAI2017!T27+TONT20000JUIN2017!T27+TONT20000JUIL2017!T27+TONT20000AOUT2017!T27</f>
        <v>0</v>
      </c>
      <c r="U27" s="44">
        <v>42750</v>
      </c>
      <c r="V27" s="1" t="s">
        <v>241</v>
      </c>
    </row>
    <row r="28" spans="1:23" s="11" customFormat="1" x14ac:dyDescent="0.25">
      <c r="A28" s="34" t="s">
        <v>33</v>
      </c>
      <c r="B28" s="34" t="str">
        <f>VLOOKUP(A28,LISTADHERENT!A$5:H$51,2)</f>
        <v>NDOMBOU JEAN CLAUDE</v>
      </c>
      <c r="C28" s="6">
        <f>TONT20000DEC2016!E28+TONT20000JANV2017!C28+TONT20000FEV2017!C28+TONT20000MARS2017!C28+TONT20000AVRIL2017!C28+TONT20000MAI2017!C28+TONT20000JUIN2017!C28+TONT20000JUIL2017!C28+TONT20000AOUT2017!C28+TONT20000SEPT2017!C28+TONT20000OCT2017!C28+TONT20000NOV2017!C28</f>
        <v>28674.05080276751</v>
      </c>
      <c r="D28" s="6">
        <f>TONT20000OCT2017!C28+TONT20000OCT2017!D28+TONT20000ANNUELLE!J28</f>
        <v>449674.05080276757</v>
      </c>
      <c r="E28" s="35"/>
      <c r="F28" s="10"/>
      <c r="G28" s="10"/>
      <c r="H28" s="46"/>
      <c r="I28" s="7">
        <f>TONT20000DEC2016!K28+TONT20000JANV2017!I28+TONT20000FEV2017!I28+TONT20000MARS2017!I28+TONT20000AVRIL2017!I28+TONT20000MAI2017!I28+TONT20000JUIN2017!I28+TONT20000JUIL2017!I28+TONT20000AOUT2017!J28</f>
        <v>3000</v>
      </c>
      <c r="J28" s="7">
        <f>TONT20000DEC2016!L28+TONT20000JANV2017!J28+TONT20000FEV2017!J28+TONT20000MARS2017!J28+TONT20000AVRIL2017!J28+TONT20000MAI2017!J28+TONT20000JUIN2017!J28+TONT20000JUIL2017!J28+TONT20000AOUT2017!K28</f>
        <v>500</v>
      </c>
      <c r="K28" s="7">
        <f>TONT20000DEC2016!M28+TONT20000JANV2017!K28+TONT20000FEV2017!K28+TONT20000MARS2017!K28+TONT20000AVRIL2017!K28+TONT20000MAI2017!K28+TONT20000JUIN2017!K28+TONT20000JUIL2017!K28+TONT20000AOUT2017!L28</f>
        <v>1000</v>
      </c>
      <c r="L28" s="7">
        <f>TONT20000DEC2016!N28+TONT20000JANV2017!L28+TONT20000FEV2017!L28+TONT20000MARS2017!L28+TONT20000AVRIL2017!L28+TONT20000MAI2017!L28+TONT20000JUIN2017!L28+TONT20000JUIL2017!L28+TONT20000AOUT2017!M28</f>
        <v>2500</v>
      </c>
      <c r="M28" s="7">
        <f>TONT20000DEC2016!O28+TONT20000JANV2017!M28+TONT20000FEV2017!M28+TONT20000MARS2017!M28+TONT20000AVRIL2017!M28+TONT20000MAI2017!M28+TONT20000JUIN2017!M28+TONT20000JUIL2017!M28+TONT20000AOUT2017!M28</f>
        <v>2500</v>
      </c>
      <c r="N28" s="7">
        <f>TONT20000DEC2016!P28+TONT20000JANV2017!N28+TONT20000FEV2017!N28+TONT20000MARS2017!N28+TONT20000AVRIL2017!N28+TONT20000MAI2017!N28+TONT20000JUIN2017!N28+TONT20000JUIL2017!N28+TONT20000AOUT2017!N28</f>
        <v>50000</v>
      </c>
      <c r="O28" s="7">
        <f>TONT20000DEC2016!Q28+TONT20000JANV2017!O28+TONT20000FEV2017!O28+TONT20000MARS2017!O28+TONT20000AVRIL2017!O28+TONT20000MAI2017!O28+TONT20000JUIN2017!O28+TONT20000JUIL2017!O28+TONT20000AOUT2017!O28</f>
        <v>0</v>
      </c>
      <c r="P28" s="7">
        <f>TONT20000DEC2016!R28+TONT20000JANV2017!P28+TONT20000FEV2017!P28+TONT20000MARS2017!P28+TONT20000AVRIL2017!P28+TONT20000MAI2017!P28+TONT20000JUIN2017!P28+TONT20000JUIL2017!P28+TONT20000AOUT2017!P28</f>
        <v>0</v>
      </c>
      <c r="Q28" s="7">
        <f>TONT20000DEC2016!S28+TONT20000JANV2017!Q28+TONT20000FEV2017!Q28+TONT20000MARS2017!Q28+TONT20000AVRIL2017!Q28+TONT20000MAI2017!Q28+TONT20000JUIN2017!Q28+TONT20000JUIL2017!Q28+TONT20000AOUT2017!Q28</f>
        <v>0</v>
      </c>
      <c r="R28" s="7">
        <f>TONT20000DEC2016!T28+TONT20000JANV2017!R28+TONT20000FEV2017!R28+TONT20000MARS2017!R28+TONT20000AVRIL2017!R28+TONT20000MAI2017!R28+TONT20000JUIN2017!R28+TONT20000JUIL2017!R28+TONT20000AOUT2017!R28</f>
        <v>0</v>
      </c>
      <c r="S28" s="7">
        <f>TONT20000DEC2016!U28+TONT20000JANV2017!S28+TONT20000FEV2017!S28+TONT20000MARS2017!S28+TONT20000AVRIL2017!S28+TONT20000MAI2017!S28+TONT20000JUIN2017!S28+TONT20000JUIL2017!S28+TONT20000AOUT2017!S28</f>
        <v>0</v>
      </c>
      <c r="T28" s="7">
        <f>TONT20000DEC2016!V28+TONT20000JANV2017!T28+TONT20000FEV2017!T28+TONT20000MARS2017!T28+TONT20000AVRIL2017!T28+TONT20000MAI2017!T28+TONT20000JUIN2017!T28+TONT20000JUIL2017!T28+TONT20000AOUT2017!T28</f>
        <v>0</v>
      </c>
      <c r="U28" s="11" t="s">
        <v>243</v>
      </c>
      <c r="V28" s="34"/>
    </row>
    <row r="29" spans="1:23" x14ac:dyDescent="0.25">
      <c r="A29" s="1" t="s">
        <v>34</v>
      </c>
      <c r="B29" s="1" t="str">
        <f>VLOOKUP(A29,LISTADHERENT!A$5:H$51,2)</f>
        <v>NGONDIEP CLAUDE</v>
      </c>
      <c r="C29" s="6">
        <f>TONT20000DEC2016!E29+TONT20000JANV2017!C29+TONT20000FEV2017!C29+TONT20000MARS2017!C29+TONT20000AVRIL2017!C29+TONT20000MAI2017!C29+TONT20000JUIN2017!C29+TONT20000JUIL2017!C29+TONT20000AOUT2017!C29+TONT20000SEPT2017!C29+TONT20000OCT2017!C29+TONT20000NOV2017!C29</f>
        <v>30597.187303970561</v>
      </c>
      <c r="D29" s="6">
        <f>TONT20000OCT2017!C29+TONT20000OCT2017!D29+TONT20000ANNUELLE!J29</f>
        <v>520847.18730397057</v>
      </c>
      <c r="E29" s="6"/>
      <c r="F29" s="7">
        <f t="shared" si="0"/>
        <v>0</v>
      </c>
      <c r="G29" s="7">
        <f t="shared" si="1"/>
        <v>0</v>
      </c>
      <c r="H29" s="43" t="s">
        <v>216</v>
      </c>
      <c r="I29" s="7">
        <f>TONT20000DEC2016!K29+TONT20000JANV2017!I29+TONT20000FEV2017!I29+TONT20000MARS2017!I29+TONT20000AVRIL2017!I29+TONT20000MAI2017!I29+TONT20000JUIN2017!I29+TONT20000JUIL2017!I29+TONT20000AOUT2017!J29</f>
        <v>172000</v>
      </c>
      <c r="J29" s="7">
        <f>TONT20000DEC2016!L29+TONT20000JANV2017!J29+TONT20000FEV2017!J29+TONT20000MARS2017!J29+TONT20000AVRIL2017!J29+TONT20000MAI2017!J29+TONT20000JUIN2017!J29+TONT20000JUIL2017!J29+TONT20000AOUT2017!K29</f>
        <v>33500</v>
      </c>
      <c r="K29" s="7">
        <f>TONT20000DEC2016!M29+TONT20000JANV2017!K29+TONT20000FEV2017!K29+TONT20000MARS2017!K29+TONT20000AVRIL2017!K29+TONT20000MAI2017!K29+TONT20000JUIN2017!K29+TONT20000JUIL2017!K29+TONT20000AOUT2017!L29</f>
        <v>5000</v>
      </c>
      <c r="L29" s="7">
        <f>TONT20000DEC2016!N29+TONT20000JANV2017!L29+TONT20000FEV2017!L29+TONT20000MARS2017!L29+TONT20000AVRIL2017!L29+TONT20000MAI2017!L29+TONT20000JUIN2017!L29+TONT20000JUIL2017!L29+TONT20000AOUT2017!M29</f>
        <v>10500</v>
      </c>
      <c r="M29" s="7">
        <f>TONT20000DEC2016!O29+TONT20000JANV2017!M29+TONT20000FEV2017!M29+TONT20000MARS2017!M29+TONT20000AVRIL2017!M29+TONT20000MAI2017!M29+TONT20000JUIN2017!M29+TONT20000JUIL2017!M29+TONT20000AOUT2017!M29</f>
        <v>22500</v>
      </c>
      <c r="N29" s="7">
        <f>TONT20000DEC2016!P29+TONT20000JANV2017!N29+TONT20000FEV2017!N29+TONT20000MARS2017!N29+TONT20000AVRIL2017!N29+TONT20000MAI2017!N29+TONT20000JUIN2017!N29+TONT20000JUIL2017!N29+TONT20000AOUT2017!N29</f>
        <v>0</v>
      </c>
      <c r="O29" s="7">
        <f>TONT20000DEC2016!Q29+TONT20000JANV2017!O29+TONT20000FEV2017!O29+TONT20000MARS2017!O29+TONT20000AVRIL2017!O29+TONT20000MAI2017!O29+TONT20000JUIN2017!O29+TONT20000JUIL2017!O29+TONT20000AOUT2017!O29</f>
        <v>1000000</v>
      </c>
      <c r="P29" s="7">
        <f>TONT20000DEC2016!R29+TONT20000JANV2017!P29+TONT20000FEV2017!P29+TONT20000MARS2017!P29+TONT20000AVRIL2017!P29+TONT20000MAI2017!P29+TONT20000JUIN2017!P29+TONT20000JUIL2017!P29+TONT20000AOUT2017!P29</f>
        <v>120000</v>
      </c>
      <c r="Q29" s="7">
        <f>TONT20000DEC2016!S29+TONT20000JANV2017!Q29+TONT20000FEV2017!Q29+TONT20000MARS2017!Q29+TONT20000AVRIL2017!Q29+TONT20000MAI2017!Q29+TONT20000JUIN2017!Q29+TONT20000JUIL2017!Q29+TONT20000AOUT2017!Q29</f>
        <v>100000</v>
      </c>
      <c r="R29" s="7">
        <f>TONT20000DEC2016!T29+TONT20000JANV2017!R29+TONT20000FEV2017!R29+TONT20000MARS2017!R29+TONT20000AVRIL2017!R29+TONT20000MAI2017!R29+TONT20000JUIN2017!R29+TONT20000JUIL2017!R29+TONT20000AOUT2017!R29</f>
        <v>0</v>
      </c>
      <c r="S29" s="7">
        <f>TONT20000DEC2016!U29+TONT20000JANV2017!S29+TONT20000FEV2017!S29+TONT20000MARS2017!S29+TONT20000AVRIL2017!S29+TONT20000MAI2017!S29+TONT20000JUIN2017!S29+TONT20000JUIL2017!S29+TONT20000AOUT2017!S29</f>
        <v>0</v>
      </c>
      <c r="T29" s="7">
        <f>TONT20000DEC2016!V29+TONT20000JANV2017!T29+TONT20000FEV2017!T29+TONT20000MARS2017!T29+TONT20000AVRIL2017!T29+TONT20000MAI2017!T29+TONT20000JUIN2017!T29+TONT20000JUIL2017!T29+TONT20000AOUT2017!T29</f>
        <v>10000</v>
      </c>
      <c r="U29" s="44">
        <v>42904</v>
      </c>
      <c r="V29" s="1"/>
    </row>
    <row r="30" spans="1:23" x14ac:dyDescent="0.25">
      <c r="A30" s="1" t="s">
        <v>35</v>
      </c>
      <c r="B30" s="1" t="str">
        <f>VLOOKUP(A30,LISTADHERENT!A$5:H$51,2)</f>
        <v>NGONGANG JEAN THEODORE</v>
      </c>
      <c r="C30" s="6">
        <f>TONT20000DEC2016!E30+TONT20000JANV2017!C30+TONT20000FEV2017!C30+TONT20000MARS2017!C30+TONT20000AVRIL2017!C30+TONT20000MAI2017!C30+TONT20000JUIN2017!C30+TONT20000JUIL2017!C30+TONT20000AOUT2017!C30+TONT20000SEPT2017!C30+TONT20000OCT2017!C30+TONT20000NOV2017!C30</f>
        <v>2938.5829407423093</v>
      </c>
      <c r="D30" s="6">
        <f>TONT20000OCT2017!C30+TONT20000OCT2017!D30+TONT20000ANNUELLE!J30</f>
        <v>131430.58294074232</v>
      </c>
      <c r="E30" s="6"/>
      <c r="F30" s="7">
        <f t="shared" si="0"/>
        <v>0</v>
      </c>
      <c r="G30" s="7">
        <f t="shared" si="1"/>
        <v>0</v>
      </c>
      <c r="H30" s="43" t="s">
        <v>216</v>
      </c>
      <c r="I30" s="7">
        <f>TONT20000DEC2016!K30+TONT20000JANV2017!I30+TONT20000FEV2017!I30+TONT20000MARS2017!I30+TONT20000AVRIL2017!I30+TONT20000MAI2017!I30+TONT20000JUIN2017!I30+TONT20000JUIL2017!I30+TONT20000AOUT2017!J30</f>
        <v>229997</v>
      </c>
      <c r="J30" s="7">
        <f>TONT20000DEC2016!L30+TONT20000JANV2017!J30+TONT20000FEV2017!J30+TONT20000MARS2017!J30+TONT20000AVRIL2017!J30+TONT20000MAI2017!J30+TONT20000JUIN2017!J30+TONT20000JUIL2017!J30+TONT20000AOUT2017!K30</f>
        <v>64193</v>
      </c>
      <c r="K30" s="7">
        <f>TONT20000DEC2016!M30+TONT20000JANV2017!K30+TONT20000FEV2017!K30+TONT20000MARS2017!K30+TONT20000AVRIL2017!K30+TONT20000MAI2017!K30+TONT20000JUIN2017!K30+TONT20000JUIL2017!K30+TONT20000AOUT2017!L30</f>
        <v>4000</v>
      </c>
      <c r="L30" s="7">
        <f>TONT20000DEC2016!N30+TONT20000JANV2017!L30+TONT20000FEV2017!L30+TONT20000MARS2017!L30+TONT20000AVRIL2017!L30+TONT20000MAI2017!L30+TONT20000JUIN2017!L30+TONT20000JUIL2017!L30+TONT20000AOUT2017!M30</f>
        <v>8000</v>
      </c>
      <c r="M30" s="7">
        <f>TONT20000DEC2016!O30+TONT20000JANV2017!M30+TONT20000FEV2017!M30+TONT20000MARS2017!M30+TONT20000AVRIL2017!M30+TONT20000MAI2017!M30+TONT20000JUIN2017!M30+TONT20000JUIL2017!M30+TONT20000AOUT2017!M30</f>
        <v>20000</v>
      </c>
      <c r="N30" s="7">
        <f>TONT20000DEC2016!P30+TONT20000JANV2017!N30+TONT20000FEV2017!N30+TONT20000MARS2017!N30+TONT20000AVRIL2017!N30+TONT20000MAI2017!N30+TONT20000JUIN2017!N30+TONT20000JUIL2017!N30+TONT20000AOUT2017!N30</f>
        <v>29804</v>
      </c>
      <c r="O30" s="7">
        <f>TONT20000DEC2016!Q30+TONT20000JANV2017!O30+TONT20000FEV2017!O30+TONT20000MARS2017!O30+TONT20000AVRIL2017!O30+TONT20000MAI2017!O30+TONT20000JUIN2017!O30+TONT20000JUIL2017!O30+TONT20000AOUT2017!O30</f>
        <v>0</v>
      </c>
      <c r="P30" s="7">
        <f>TONT20000DEC2016!R30+TONT20000JANV2017!P30+TONT20000FEV2017!P30+TONT20000MARS2017!P30+TONT20000AVRIL2017!P30+TONT20000MAI2017!P30+TONT20000JUIN2017!P30+TONT20000JUIL2017!P30+TONT20000AOUT2017!P30</f>
        <v>0</v>
      </c>
      <c r="Q30" s="7">
        <f>TONT20000DEC2016!S30+TONT20000JANV2017!Q30+TONT20000FEV2017!Q30+TONT20000MARS2017!Q30+TONT20000AVRIL2017!Q30+TONT20000MAI2017!Q30+TONT20000JUIN2017!Q30+TONT20000JUIL2017!Q30+TONT20000AOUT2017!Q30</f>
        <v>0</v>
      </c>
      <c r="R30" s="7">
        <f>TONT20000DEC2016!T30+TONT20000JANV2017!R30+TONT20000FEV2017!R30+TONT20000MARS2017!R30+TONT20000AVRIL2017!R30+TONT20000MAI2017!R30+TONT20000JUIN2017!R30+TONT20000JUIL2017!R30+TONT20000AOUT2017!R30</f>
        <v>0</v>
      </c>
      <c r="S30" s="7">
        <f>TONT20000DEC2016!U30+TONT20000JANV2017!S30+TONT20000FEV2017!S30+TONT20000MARS2017!S30+TONT20000AVRIL2017!S30+TONT20000MAI2017!S30+TONT20000JUIN2017!S30+TONT20000JUIL2017!S30+TONT20000AOUT2017!S30</f>
        <v>0</v>
      </c>
      <c r="T30" s="7">
        <f>TONT20000DEC2016!V30+TONT20000JANV2017!T30+TONT20000FEV2017!T30+TONT20000MARS2017!T30+TONT20000AVRIL2017!T30+TONT20000MAI2017!T30+TONT20000JUIN2017!T30+TONT20000JUIL2017!T30+TONT20000AOUT2017!T30</f>
        <v>10000</v>
      </c>
      <c r="U30" s="44">
        <v>42876</v>
      </c>
      <c r="V30" s="1"/>
    </row>
    <row r="31" spans="1:23" x14ac:dyDescent="0.25">
      <c r="A31" s="1" t="s">
        <v>36</v>
      </c>
      <c r="B31" s="1" t="str">
        <f>VLOOKUP(A31,LISTADHERENT!A$5:H$51,2)</f>
        <v>NGUIEMEGNI MATHIEU BLAISE</v>
      </c>
      <c r="C31" s="6">
        <f>TONT20000DEC2016!E31+TONT20000JANV2017!C31+TONT20000FEV2017!C31+TONT20000MARS2017!C31+TONT20000AVRIL2017!C31+TONT20000MAI2017!C31+TONT20000JUIN2017!C31+TONT20000JUIL2017!C31+TONT20000AOUT2017!C31+TONT20000SEPT2017!C31+TONT20000OCT2017!C31+TONT20000NOV2017!C31</f>
        <v>32506.775847902751</v>
      </c>
      <c r="D31" s="6">
        <f>TONT20000OCT2017!C31+TONT20000OCT2017!D31+TONT20000ANNUELLE!J31</f>
        <v>546639.77584790275</v>
      </c>
      <c r="E31" s="6"/>
      <c r="F31" s="7">
        <f t="shared" si="0"/>
        <v>0</v>
      </c>
      <c r="G31" s="7">
        <f t="shared" si="1"/>
        <v>0</v>
      </c>
      <c r="H31" s="43" t="s">
        <v>216</v>
      </c>
      <c r="I31" s="7">
        <f>TONT20000DEC2016!K31+TONT20000JANV2017!I31+TONT20000FEV2017!I31+TONT20000MARS2017!I31+TONT20000AVRIL2017!I31+TONT20000MAI2017!I31+TONT20000JUIN2017!I31+TONT20000JUIL2017!I31+TONT20000AOUT2017!I31</f>
        <v>167000</v>
      </c>
      <c r="J31" s="7">
        <f>TONT20000DEC2016!L31+TONT20000JANV2017!J31+TONT20000FEV2017!J31+TONT20000MARS2017!J31+TONT20000AVRIL2017!J31+TONT20000MAI2017!J31+TONT20000JUIN2017!J31+TONT20000JUIL2017!J31+TONT20000AOUT2017!J31</f>
        <v>27000</v>
      </c>
      <c r="K31" s="7">
        <f>TONT20000DEC2016!M31+TONT20000JANV2017!K31+TONT20000FEV2017!K31+TONT20000MARS2017!K31+TONT20000AVRIL2017!K31+TONT20000MAI2017!K31+TONT20000JUIN2017!K31+TONT20000JUIL2017!K31+TONT20000AOUT2017!K31</f>
        <v>4500</v>
      </c>
      <c r="L31" s="7">
        <f>TONT20000DEC2016!N31+TONT20000JANV2017!L31+TONT20000FEV2017!L31+TONT20000MARS2017!L31+TONT20000AVRIL2017!L31+TONT20000MAI2017!L31+TONT20000JUIN2017!L31+TONT20000JUIL2017!L31+TONT20000AOUT2017!L31</f>
        <v>9000</v>
      </c>
      <c r="M31" s="7">
        <f>TONT20000DEC2016!O31+TONT20000JANV2017!M31+TONT20000FEV2017!M31+TONT20000MARS2017!M31+TONT20000AVRIL2017!M31+TONT20000MAI2017!M31+TONT20000JUIN2017!M31+TONT20000JUIL2017!M31+TONT20000AOUT2017!M31</f>
        <v>22500</v>
      </c>
      <c r="N31" s="7">
        <f>TONT20000DEC2016!P31+TONT20000JANV2017!N31+TONT20000FEV2017!N31+TONT20000MARS2017!N31+TONT20000AVRIL2017!N31+TONT20000MAI2017!N31+TONT20000JUIN2017!N31+TONT20000JUIL2017!N31+TONT20000AOUT2017!N31</f>
        <v>0</v>
      </c>
      <c r="O31" s="7">
        <f>TONT20000DEC2016!Q31+TONT20000JANV2017!O31+TONT20000FEV2017!O31+TONT20000MARS2017!O31+TONT20000AVRIL2017!O31+TONT20000MAI2017!O31+TONT20000JUIN2017!O31+TONT20000JUIL2017!O31+TONT20000AOUT2017!O31</f>
        <v>0</v>
      </c>
      <c r="P31" s="7">
        <f>TONT20000DEC2016!R31+TONT20000JANV2017!P31+TONT20000FEV2017!P31+TONT20000MARS2017!P31+TONT20000AVRIL2017!P31+TONT20000MAI2017!P31+TONT20000JUIN2017!P31+TONT20000JUIL2017!P31+TONT20000AOUT2017!P31</f>
        <v>0</v>
      </c>
      <c r="Q31" s="7">
        <f>TONT20000DEC2016!S31+TONT20000JANV2017!Q31+TONT20000FEV2017!Q31+TONT20000MARS2017!Q31+TONT20000AVRIL2017!Q31+TONT20000MAI2017!Q31+TONT20000JUIN2017!Q31+TONT20000JUIL2017!Q31+TONT20000AOUT2017!Q31</f>
        <v>0</v>
      </c>
      <c r="R31" s="7">
        <f>TONT20000DEC2016!T31+TONT20000JANV2017!R31+TONT20000FEV2017!R31+TONT20000MARS2017!R31+TONT20000AVRIL2017!R31+TONT20000MAI2017!R31+TONT20000JUIN2017!R31+TONT20000JUIL2017!R31+TONT20000AOUT2017!R31</f>
        <v>0</v>
      </c>
      <c r="S31" s="7">
        <f>TONT20000DEC2016!U31+TONT20000JANV2017!S31+TONT20000FEV2017!S31+TONT20000MARS2017!S31+TONT20000AVRIL2017!S31+TONT20000MAI2017!S31+TONT20000JUIN2017!S31+TONT20000JUIL2017!S31+TONT20000AOUT2017!S31</f>
        <v>0</v>
      </c>
      <c r="T31" s="7">
        <f>TONT20000DEC2016!V31+TONT20000JANV2017!T31+TONT20000FEV2017!T31+TONT20000MARS2017!T31+TONT20000AVRIL2017!T31+TONT20000MAI2017!T31+TONT20000JUIN2017!T31+TONT20000JUIL2017!T31+TONT20000AOUT2017!T31</f>
        <v>0</v>
      </c>
      <c r="V31" s="1"/>
    </row>
    <row r="32" spans="1:23" x14ac:dyDescent="0.25">
      <c r="A32" s="1" t="s">
        <v>37</v>
      </c>
      <c r="B32" s="1" t="str">
        <f>VLOOKUP(A32,LISTADHERENT!A$5:H$51,2)</f>
        <v>NJEPDJIO MBOUKAM DELUXE</v>
      </c>
      <c r="C32" s="6">
        <f>TONT20000DEC2016!E32+TONT20000JANV2017!C32+TONT20000FEV2017!C32+TONT20000MARS2017!C32+TONT20000AVRIL2017!C32+TONT20000MAI2017!C32+TONT20000JUIN2017!C32+TONT20000JUIL2017!C32+TONT20000AOUT2017!C32+TONT20000SEPT2017!C32+TONT20000OCT2017!C32+TONT20000NOV2017!C32</f>
        <v>30294.445538980035</v>
      </c>
      <c r="D32" s="6">
        <f>TONT20000OCT2017!C32+TONT20000OCT2017!D32+TONT20000ANNUELLE!J32</f>
        <v>517067.44553898001</v>
      </c>
      <c r="E32" s="6"/>
      <c r="F32" s="7">
        <f t="shared" si="0"/>
        <v>0</v>
      </c>
      <c r="G32" s="7">
        <f t="shared" si="1"/>
        <v>0</v>
      </c>
      <c r="H32" s="43" t="s">
        <v>216</v>
      </c>
      <c r="I32" s="7">
        <f>TONT20000DEC2016!K32+TONT20000JANV2017!I32+TONT20000FEV2017!I32+TONT20000MARS2017!I32+TONT20000AVRIL2017!I32+TONT20000MAI2017!I32+TONT20000JUIN2017!I32+TONT20000JUIL2017!I32+TONT20000AOUT2017!I32</f>
        <v>172000</v>
      </c>
      <c r="J32" s="7">
        <f>TONT20000DEC2016!L32+TONT20000JANV2017!J32+TONT20000FEV2017!J32+TONT20000MARS2017!J32+TONT20000AVRIL2017!J32+TONT20000MAI2017!J32+TONT20000JUIN2017!J32+TONT20000JUIL2017!J32+TONT20000AOUT2017!J32</f>
        <v>32000</v>
      </c>
      <c r="K32" s="7">
        <f>TONT20000DEC2016!M32+TONT20000JANV2017!K32+TONT20000FEV2017!K32+TONT20000MARS2017!K32+TONT20000AVRIL2017!K32+TONT20000MAI2017!K32+TONT20000JUIN2017!K32+TONT20000JUIL2017!K32+TONT20000AOUT2017!K32</f>
        <v>4500</v>
      </c>
      <c r="L32" s="7">
        <f>TONT20000DEC2016!N32+TONT20000JANV2017!L32+TONT20000FEV2017!L32+TONT20000MARS2017!L32+TONT20000AVRIL2017!L32+TONT20000MAI2017!L32+TONT20000JUIN2017!L32+TONT20000JUIL2017!L32+TONT20000AOUT2017!L32</f>
        <v>9000</v>
      </c>
      <c r="M32" s="7">
        <f>TONT20000DEC2016!O32+TONT20000JANV2017!M32+TONT20000FEV2017!M32+TONT20000MARS2017!M32+TONT20000AVRIL2017!M32+TONT20000MAI2017!M32+TONT20000JUIN2017!M32+TONT20000JUIL2017!M32+TONT20000AOUT2017!M32</f>
        <v>22500</v>
      </c>
      <c r="N32" s="7">
        <f>TONT20000DEC2016!P32+TONT20000JANV2017!N32+TONT20000FEV2017!N32+TONT20000MARS2017!N32+TONT20000AVRIL2017!N32+TONT20000MAI2017!N32+TONT20000JUIN2017!N32+TONT20000JUIL2017!N32+TONT20000AOUT2017!N32</f>
        <v>0</v>
      </c>
      <c r="O32" s="7">
        <f>TONT20000DEC2016!Q32+TONT20000JANV2017!O32+TONT20000FEV2017!O32+TONT20000MARS2017!O32+TONT20000AVRIL2017!O32+TONT20000MAI2017!O32+TONT20000JUIN2017!O32+TONT20000JUIL2017!O32+TONT20000AOUT2017!O32</f>
        <v>800000</v>
      </c>
      <c r="P32" s="7">
        <f>TONT20000DEC2016!R32+TONT20000JANV2017!P32+TONT20000FEV2017!P32+TONT20000MARS2017!P32+TONT20000AVRIL2017!P32+TONT20000MAI2017!P32+TONT20000JUIN2017!P32+TONT20000JUIL2017!P32+TONT20000AOUT2017!P32</f>
        <v>96000</v>
      </c>
      <c r="Q32" s="7">
        <f>TONT20000DEC2016!S32+TONT20000JANV2017!Q32+TONT20000FEV2017!Q32+TONT20000MARS2017!Q32+TONT20000AVRIL2017!Q32+TONT20000MAI2017!Q32+TONT20000JUIN2017!Q32+TONT20000JUIL2017!Q32+TONT20000AOUT2017!Q32</f>
        <v>1110000</v>
      </c>
      <c r="R32" s="7">
        <f>TONT20000DEC2016!T32+TONT20000JANV2017!R32+TONT20000FEV2017!R32+TONT20000MARS2017!R32+TONT20000AVRIL2017!R32+TONT20000MAI2017!R32+TONT20000JUIN2017!R32+TONT20000JUIL2017!R32+TONT20000AOUT2017!R32</f>
        <v>0</v>
      </c>
      <c r="S32" s="7">
        <f>TONT20000DEC2016!U32+TONT20000JANV2017!S32+TONT20000FEV2017!S32+TONT20000MARS2017!S32+TONT20000AVRIL2017!S32+TONT20000MAI2017!S32+TONT20000JUIN2017!S32+TONT20000JUIL2017!S32+TONT20000AOUT2017!S32</f>
        <v>0</v>
      </c>
      <c r="T32" s="7">
        <f>TONT20000DEC2016!V32+TONT20000JANV2017!T32+TONT20000FEV2017!T32+TONT20000MARS2017!T32+TONT20000AVRIL2017!T32+TONT20000MAI2017!T32+TONT20000JUIN2017!T32+TONT20000JUIL2017!T32+TONT20000AOUT2017!T32</f>
        <v>0</v>
      </c>
      <c r="U32" s="44">
        <v>42659</v>
      </c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TONT20000DEC2016!E33+TONT20000JANV2017!C33+TONT20000FEV2017!C33+TONT20000MARS2017!C33+TONT20000AVRIL2017!C33+TONT20000MAI2017!C33+TONT20000JUIN2017!C33+TONT20000JUIL2017!C33+TONT20000AOUT2017!C33+TONT20000SEPT2017!C33+TONT20000OCT2017!C33+TONT20000NOV2017!C33</f>
        <v>35760.924580613239</v>
      </c>
      <c r="D33" s="6">
        <f>TONT20000OCT2017!C33+TONT20000OCT2017!D33+TONT20000ANNUELLE!J33</f>
        <v>637568.92458061315</v>
      </c>
      <c r="E33" s="6"/>
      <c r="F33" s="7">
        <f t="shared" si="0"/>
        <v>0</v>
      </c>
      <c r="G33" s="7">
        <f t="shared" si="1"/>
        <v>0</v>
      </c>
      <c r="H33" s="43" t="s">
        <v>216</v>
      </c>
      <c r="I33" s="7">
        <f>TONT20000DEC2016!K33+TONT20000JANV2017!I33+TONT20000FEV2017!I33+TONT20000MARS2017!I33+TONT20000AVRIL2017!I33+TONT20000MAI2017!I33+TONT20000JUIN2017!I33+TONT20000JUIL2017!I33+TONT20000AOUT2017!I33</f>
        <v>196000</v>
      </c>
      <c r="J33" s="7">
        <f>TONT20000DEC2016!L33+TONT20000JANV2017!J33+TONT20000FEV2017!J33+TONT20000MARS2017!J33+TONT20000AVRIL2017!J33+TONT20000MAI2017!J33+TONT20000JUIN2017!J33+TONT20000JUIL2017!J33+TONT20000AOUT2017!J33</f>
        <v>56000</v>
      </c>
      <c r="K33" s="7">
        <f>TONT20000DEC2016!M33+TONT20000JANV2017!K33+TONT20000FEV2017!K33+TONT20000MARS2017!K33+TONT20000AVRIL2017!K33+TONT20000MAI2017!K33+TONT20000JUIN2017!K33+TONT20000JUIL2017!K33+TONT20000AOUT2017!K33</f>
        <v>4500</v>
      </c>
      <c r="L33" s="7">
        <f>TONT20000DEC2016!N33+TONT20000JANV2017!L33+TONT20000FEV2017!L33+TONT20000MARS2017!L33+TONT20000AVRIL2017!L33+TONT20000MAI2017!L33+TONT20000JUIN2017!L33+TONT20000JUIL2017!L33+TONT20000AOUT2017!L33</f>
        <v>9000</v>
      </c>
      <c r="M33" s="7">
        <f>TONT20000DEC2016!O33+TONT20000JANV2017!M33+TONT20000FEV2017!M33+TONT20000MARS2017!M33+TONT20000AVRIL2017!M33+TONT20000MAI2017!M33+TONT20000JUIN2017!M33+TONT20000JUIL2017!M33+TONT20000AOUT2017!M33</f>
        <v>22500</v>
      </c>
      <c r="N33" s="7">
        <f>TONT20000DEC2016!P33+TONT20000JANV2017!N33+TONT20000FEV2017!N33+TONT20000MARS2017!N33+TONT20000AVRIL2017!N33+TONT20000MAI2017!N33+TONT20000JUIN2017!N33+TONT20000JUIL2017!N33+TONT20000AOUT2017!N33</f>
        <v>0</v>
      </c>
      <c r="O33" s="7">
        <f>TONT20000DEC2016!Q33+TONT20000JANV2017!O33+TONT20000FEV2017!O33+TONT20000MARS2017!O33+TONT20000AVRIL2017!O33+TONT20000MAI2017!O33+TONT20000JUIN2017!O33+TONT20000JUIL2017!O33+TONT20000AOUT2017!O33</f>
        <v>0</v>
      </c>
      <c r="P33" s="7">
        <f>TONT20000DEC2016!R33+TONT20000JANV2017!P33+TONT20000FEV2017!P33+TONT20000MARS2017!P33+TONT20000AVRIL2017!P33+TONT20000MAI2017!P33+TONT20000JUIN2017!P33+TONT20000JUIL2017!P33+TONT20000AOUT2017!P33</f>
        <v>0</v>
      </c>
      <c r="Q33" s="7">
        <f>TONT20000DEC2016!S33+TONT20000JANV2017!Q33+TONT20000FEV2017!Q33+TONT20000MARS2017!Q33+TONT20000AVRIL2017!Q33+TONT20000MAI2017!Q33+TONT20000JUIN2017!Q33+TONT20000JUIL2017!Q33+TONT20000AOUT2017!Q33</f>
        <v>0</v>
      </c>
      <c r="R33" s="7">
        <f>TONT20000DEC2016!T33+TONT20000JANV2017!R33+TONT20000FEV2017!R33+TONT20000MARS2017!R33+TONT20000AVRIL2017!R33+TONT20000MAI2017!R33+TONT20000JUIN2017!R33+TONT20000JUIL2017!R33+TONT20000AOUT2017!R33</f>
        <v>0</v>
      </c>
      <c r="S33" s="7">
        <f>TONT20000DEC2016!U33+TONT20000JANV2017!S33+TONT20000FEV2017!S33+TONT20000MARS2017!S33+TONT20000AVRIL2017!S33+TONT20000MAI2017!S33+TONT20000JUIN2017!S33+TONT20000JUIL2017!S33+TONT20000AOUT2017!S33</f>
        <v>0</v>
      </c>
      <c r="T33" s="7">
        <f>TONT20000DEC2016!V33+TONT20000JANV2017!T33+TONT20000FEV2017!T33+TONT20000MARS2017!T33+TONT20000AVRIL2017!T33+TONT20000MAI2017!T33+TONT20000JUIN2017!T33+TONT20000JUIL2017!T33+TONT20000AOUT2017!T33</f>
        <v>0</v>
      </c>
      <c r="U33" s="44">
        <v>42632</v>
      </c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TONT20000DEC2016!E34+TONT20000JANV2017!C34+TONT20000FEV2017!C34+TONT20000MARS2017!C34+TONT20000AVRIL2017!C34+TONT20000MAI2017!C34+TONT20000JUIN2017!C34+TONT20000JUIL2017!C34+TONT20000AOUT2017!C34+TONT20000SEPT2017!C34+TONT20000OCT2017!C34+TONT20000NOV2017!C34</f>
        <v>38604.694281590033</v>
      </c>
      <c r="D34" s="6">
        <f>TONT20000OCT2017!C34+TONT20000OCT2017!D34+TONT20000ANNUELLE!J34</f>
        <v>805376.69428158994</v>
      </c>
      <c r="E34" s="6"/>
      <c r="F34" s="7">
        <f t="shared" si="0"/>
        <v>0</v>
      </c>
      <c r="G34" s="7">
        <f t="shared" si="1"/>
        <v>0</v>
      </c>
      <c r="H34" s="43" t="s">
        <v>216</v>
      </c>
      <c r="I34" s="7">
        <f>TONT20000DEC2016!K34+TONT20000JANV2017!I34+TONT20000FEV2017!I34+TONT20000MARS2017!I34+TONT20000AVRIL2017!I34+TONT20000MAI2017!I34+TONT20000JUIN2017!I34+TONT20000JUIL2017!I34+TONT20000AOUT2017!I34</f>
        <v>312000</v>
      </c>
      <c r="J34" s="7">
        <f>TONT20000DEC2016!L34+TONT20000JANV2017!J34+TONT20000FEV2017!J34+TONT20000MARS2017!J34+TONT20000AVRIL2017!J34+TONT20000MAI2017!J34+TONT20000JUIN2017!J34+TONT20000JUIL2017!J34+TONT20000AOUT2017!J34</f>
        <v>172000</v>
      </c>
      <c r="K34" s="7">
        <f>TONT20000DEC2016!M34+TONT20000JANV2017!K34+TONT20000FEV2017!K34+TONT20000MARS2017!K34+TONT20000AVRIL2017!K34+TONT20000MAI2017!K34+TONT20000JUIN2017!K34+TONT20000JUIL2017!K34+TONT20000AOUT2017!K34</f>
        <v>4500</v>
      </c>
      <c r="L34" s="7">
        <f>TONT20000DEC2016!N34+TONT20000JANV2017!L34+TONT20000FEV2017!L34+TONT20000MARS2017!L34+TONT20000AVRIL2017!L34+TONT20000MAI2017!L34+TONT20000JUIN2017!L34+TONT20000JUIL2017!L34+TONT20000AOUT2017!L34</f>
        <v>9000</v>
      </c>
      <c r="M34" s="7">
        <f>TONT20000DEC2016!O34+TONT20000JANV2017!M34+TONT20000FEV2017!M34+TONT20000MARS2017!M34+TONT20000AVRIL2017!M34+TONT20000MAI2017!M34+TONT20000JUIN2017!M34+TONT20000JUIL2017!M34+TONT20000AOUT2017!M34</f>
        <v>22500</v>
      </c>
      <c r="N34" s="7">
        <f>TONT20000DEC2016!P34+TONT20000JANV2017!N34+TONT20000FEV2017!N34+TONT20000MARS2017!N34+TONT20000AVRIL2017!N34+TONT20000MAI2017!N34+TONT20000JUIN2017!N34+TONT20000JUIL2017!N34+TONT20000AOUT2017!N34</f>
        <v>0</v>
      </c>
      <c r="O34" s="7">
        <f>TONT20000DEC2016!Q34+TONT20000JANV2017!O34+TONT20000FEV2017!O34+TONT20000MARS2017!O34+TONT20000AVRIL2017!O34+TONT20000MAI2017!O34+TONT20000JUIN2017!O34+TONT20000JUIL2017!O34+TONT20000AOUT2017!O34</f>
        <v>0</v>
      </c>
      <c r="P34" s="7">
        <f>TONT20000DEC2016!R34+TONT20000JANV2017!P34+TONT20000FEV2017!P34+TONT20000MARS2017!P34+TONT20000AVRIL2017!P34+TONT20000MAI2017!P34+TONT20000JUIN2017!P34+TONT20000JUIL2017!P34+TONT20000AOUT2017!P34</f>
        <v>0</v>
      </c>
      <c r="Q34" s="7">
        <f>TONT20000DEC2016!S34+TONT20000JANV2017!Q34+TONT20000FEV2017!Q34+TONT20000MARS2017!Q34+TONT20000AVRIL2017!Q34+TONT20000MAI2017!Q34+TONT20000JUIN2017!Q34+TONT20000JUIL2017!Q34+TONT20000AOUT2017!Q34</f>
        <v>0</v>
      </c>
      <c r="R34" s="7">
        <f>TONT20000DEC2016!T34+TONT20000JANV2017!R34+TONT20000FEV2017!R34+TONT20000MARS2017!R34+TONT20000AVRIL2017!R34+TONT20000MAI2017!R34+TONT20000JUIN2017!R34+TONT20000JUIL2017!R34+TONT20000AOUT2017!R34</f>
        <v>0</v>
      </c>
      <c r="S34" s="7">
        <f>TONT20000DEC2016!U34+TONT20000JANV2017!S34+TONT20000FEV2017!S34+TONT20000MARS2017!S34+TONT20000AVRIL2017!S34+TONT20000MAI2017!S34+TONT20000JUIN2017!S34+TONT20000JUIL2017!S34+TONT20000AOUT2017!S34</f>
        <v>0</v>
      </c>
      <c r="T34" s="7">
        <f>TONT20000DEC2016!V34+TONT20000JANV2017!T34+TONT20000FEV2017!T34+TONT20000MARS2017!T34+TONT20000AVRIL2017!T34+TONT20000MAI2017!T34+TONT20000JUIN2017!T34+TONT20000JUIL2017!T34+TONT20000AOUT2017!T34</f>
        <v>0</v>
      </c>
      <c r="U34" s="47">
        <v>42694</v>
      </c>
      <c r="V34" s="1"/>
    </row>
    <row r="35" spans="1:22" s="11" customFormat="1" x14ac:dyDescent="0.25">
      <c r="A35" s="1"/>
      <c r="B35" s="1"/>
      <c r="C35" s="6">
        <f>TONT20000DEC2016!E35+TONT20000JANV2017!C35+TONT20000FEV2017!C35+TONT20000MARS2017!C35+TONT20000AVRIL2017!C35+TONT20000MAI2017!C35+TONT20000JUIN2017!C35+TONT20000JUIL2017!C35+TONT20000AOUT2017!C35+TONT20000SEPT2017!C35+TONT20000OCT2017!C35+TONT20000NOV2017!C35</f>
        <v>0</v>
      </c>
      <c r="D35" s="6">
        <f>TONT20000OCT2017!C35+TONT20000OCT2017!D35+TONT20000ANNUELLE!J35</f>
        <v>0</v>
      </c>
      <c r="E35" s="6"/>
      <c r="F35" s="7"/>
      <c r="G35" s="7"/>
      <c r="H35" s="43"/>
      <c r="I35" s="7">
        <f>TONT20000DEC2016!K35+TONT20000JANV2017!I35+TONT20000FEV2017!I35+TONT20000MARS2017!I35+TONT20000AVRIL2017!I35+TONT20000MAI2017!I35+TONT20000JUIN2017!I35+TONT20000JUIL2017!I35+TONT20000AOUT2017!I35</f>
        <v>0</v>
      </c>
      <c r="J35" s="7">
        <f>TONT20000DEC2016!L35+TONT20000JANV2017!J35+TONT20000FEV2017!J35+TONT20000MARS2017!J35+TONT20000AVRIL2017!J35+TONT20000MAI2017!J35+TONT20000JUIN2017!J35+TONT20000JUIL2017!J35+TONT20000AOUT2017!J35</f>
        <v>0</v>
      </c>
      <c r="K35" s="7">
        <f>TONT20000DEC2016!M35+TONT20000JANV2017!K35+TONT20000FEV2017!K35+TONT20000MARS2017!K35+TONT20000AVRIL2017!K35+TONT20000MAI2017!K35+TONT20000JUIN2017!K35+TONT20000JUIL2017!K35+TONT20000AOUT2017!K35</f>
        <v>0</v>
      </c>
      <c r="L35" s="7">
        <f>TONT20000DEC2016!N35+TONT20000JANV2017!L35+TONT20000FEV2017!L35+TONT20000MARS2017!L35+TONT20000AVRIL2017!L35+TONT20000MAI2017!L35+TONT20000JUIN2017!L35+TONT20000JUIL2017!L35+TONT20000AOUT2017!L35</f>
        <v>0</v>
      </c>
      <c r="M35" s="7">
        <f>TONT20000DEC2016!O35+TONT20000JANV2017!M35+TONT20000FEV2017!M35+TONT20000MARS2017!M35+TONT20000AVRIL2017!M35+TONT20000MAI2017!M35+TONT20000JUIN2017!M35+TONT20000JUIL2017!M35+TONT20000AOUT2017!M35</f>
        <v>0</v>
      </c>
      <c r="N35" s="7">
        <f>TONT20000DEC2016!P35+TONT20000JANV2017!N35+TONT20000FEV2017!N35+TONT20000MARS2017!N35+TONT20000AVRIL2017!N35+TONT20000MAI2017!N35+TONT20000JUIN2017!N35+TONT20000JUIL2017!N35+TONT20000AOUT2017!N35</f>
        <v>0</v>
      </c>
      <c r="O35" s="7">
        <f>TONT20000DEC2016!Q35+TONT20000JANV2017!O35+TONT20000FEV2017!O35+TONT20000MARS2017!O35+TONT20000AVRIL2017!O35+TONT20000MAI2017!O35+TONT20000JUIN2017!O35+TONT20000JUIL2017!O35+TONT20000AOUT2017!O35</f>
        <v>0</v>
      </c>
      <c r="P35" s="7">
        <f>TONT20000DEC2016!R35+TONT20000JANV2017!P35+TONT20000FEV2017!P35+TONT20000MARS2017!P35+TONT20000AVRIL2017!P35+TONT20000MAI2017!P35+TONT20000JUIN2017!P35+TONT20000JUIL2017!P35+TONT20000AOUT2017!P35</f>
        <v>0</v>
      </c>
      <c r="Q35" s="7">
        <f>TONT20000DEC2016!S35+TONT20000JANV2017!Q35+TONT20000FEV2017!Q35+TONT20000MARS2017!Q35+TONT20000AVRIL2017!Q35+TONT20000MAI2017!Q35+TONT20000JUIN2017!Q35+TONT20000JUIL2017!Q35+TONT20000AOUT2017!Q35</f>
        <v>0</v>
      </c>
      <c r="R35" s="7">
        <f>TONT20000DEC2016!T35+TONT20000JANV2017!R35+TONT20000FEV2017!R35+TONT20000MARS2017!R35+TONT20000AVRIL2017!R35+TONT20000MAI2017!R35+TONT20000JUIN2017!R35+TONT20000JUIL2017!R35+TONT20000AOUT2017!R35</f>
        <v>0</v>
      </c>
      <c r="S35" s="7">
        <f>TONT20000DEC2016!U35+TONT20000JANV2017!S35+TONT20000FEV2017!S35+TONT20000MARS2017!S35+TONT20000AVRIL2017!S35+TONT20000MAI2017!S35+TONT20000JUIN2017!S35+TONT20000JUIL2017!S35+TONT20000AOUT2017!S35</f>
        <v>0</v>
      </c>
      <c r="T35" s="7">
        <f>TONT20000DEC2016!V35+TONT20000JANV2017!T35+TONT20000FEV2017!T35+TONT20000MARS2017!T35+TONT20000AVRIL2017!T35+TONT20000MAI2017!T35+TONT20000JUIN2017!T35+TONT20000JUIL2017!T35+TONT20000AOUT2017!T35</f>
        <v>0</v>
      </c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TONT20000DEC2016!E36+TONT20000JANV2017!C36+TONT20000FEV2017!C36+TONT20000MARS2017!C36+TONT20000AVRIL2017!C36+TONT20000MAI2017!C36+TONT20000JUIN2017!C36+TONT20000JUIL2017!C36+TONT20000AOUT2017!C36+TONT20000SEPT2017!C36+TONT20000OCT2017!C36+TONT20000NOV2017!C36</f>
        <v>0</v>
      </c>
      <c r="D36" s="6">
        <f>TONT20000OCT2017!C36+TONT20000OCT2017!D36+TONT20000ANNUELLE!J36</f>
        <v>0</v>
      </c>
      <c r="E36" s="6"/>
      <c r="F36" s="7">
        <f t="shared" si="0"/>
        <v>0</v>
      </c>
      <c r="G36" s="7">
        <f t="shared" si="1"/>
        <v>0</v>
      </c>
      <c r="H36" s="43" t="s">
        <v>216</v>
      </c>
      <c r="I36" s="7">
        <f>TONT20000DEC2016!K36+TONT20000JANV2017!I36+TONT20000FEV2017!I36+TONT20000MARS2017!I36+TONT20000AVRIL2017!I36+TONT20000MAI2017!I36+TONT20000JUIN2017!I36+TONT20000JUIL2017!I36+TONT20000AOUT2017!I36</f>
        <v>0</v>
      </c>
      <c r="J36" s="7">
        <f>TONT20000DEC2016!L36+TONT20000JANV2017!J36+TONT20000FEV2017!J36+TONT20000MARS2017!J36+TONT20000AVRIL2017!J36+TONT20000MAI2017!J36+TONT20000JUIN2017!J36+TONT20000JUIL2017!J36+TONT20000AOUT2017!J36</f>
        <v>0</v>
      </c>
      <c r="K36" s="7">
        <f>TONT20000DEC2016!M36+TONT20000JANV2017!K36+TONT20000FEV2017!K36+TONT20000MARS2017!K36+TONT20000AVRIL2017!K36+TONT20000MAI2017!K36+TONT20000JUIN2017!K36+TONT20000JUIL2017!K36+TONT20000AOUT2017!K36</f>
        <v>0</v>
      </c>
      <c r="L36" s="7">
        <f>TONT20000DEC2016!N36+TONT20000JANV2017!L36+TONT20000FEV2017!L36+TONT20000MARS2017!L36+TONT20000AVRIL2017!L36+TONT20000MAI2017!L36+TONT20000JUIN2017!L36+TONT20000JUIL2017!L36+TONT20000AOUT2017!L36</f>
        <v>0</v>
      </c>
      <c r="M36" s="7">
        <f>TONT20000DEC2016!O36+TONT20000JANV2017!M36+TONT20000FEV2017!M36+TONT20000MARS2017!M36+TONT20000AVRIL2017!M36+TONT20000MAI2017!M36+TONT20000JUIN2017!M36+TONT20000JUIL2017!M36+TONT20000AOUT2017!M36</f>
        <v>0</v>
      </c>
      <c r="N36" s="7">
        <f>TONT20000DEC2016!P36+TONT20000JANV2017!N36+TONT20000FEV2017!N36+TONT20000MARS2017!N36+TONT20000AVRIL2017!N36+TONT20000MAI2017!N36+TONT20000JUIN2017!N36+TONT20000JUIL2017!N36+TONT20000AOUT2017!N36</f>
        <v>0</v>
      </c>
      <c r="O36" s="7">
        <f>TONT20000DEC2016!Q36+TONT20000JANV2017!O36+TONT20000FEV2017!O36+TONT20000MARS2017!O36+TONT20000AVRIL2017!O36+TONT20000MAI2017!O36+TONT20000JUIN2017!O36+TONT20000JUIL2017!O36+TONT20000AOUT2017!O36</f>
        <v>0</v>
      </c>
      <c r="P36" s="7">
        <f>TONT20000DEC2016!R36+TONT20000JANV2017!P36+TONT20000FEV2017!P36+TONT20000MARS2017!P36+TONT20000AVRIL2017!P36+TONT20000MAI2017!P36+TONT20000JUIN2017!P36+TONT20000JUIL2017!P36+TONT20000AOUT2017!P36</f>
        <v>0</v>
      </c>
      <c r="Q36" s="7">
        <f>TONT20000DEC2016!S36+TONT20000JANV2017!Q36+TONT20000FEV2017!Q36+TONT20000MARS2017!Q36+TONT20000AVRIL2017!Q36+TONT20000MAI2017!Q36+TONT20000JUIN2017!Q36+TONT20000JUIL2017!Q36+TONT20000AOUT2017!Q36</f>
        <v>0</v>
      </c>
      <c r="R36" s="7">
        <f>TONT20000DEC2016!T36+TONT20000JANV2017!R36+TONT20000FEV2017!R36+TONT20000MARS2017!R36+TONT20000AVRIL2017!R36+TONT20000MAI2017!R36+TONT20000JUIN2017!R36+TONT20000JUIL2017!R36+TONT20000AOUT2017!R36</f>
        <v>0</v>
      </c>
      <c r="S36" s="7">
        <f>TONT20000DEC2016!U36+TONT20000JANV2017!S36+TONT20000FEV2017!S36+TONT20000MARS2017!S36+TONT20000AVRIL2017!S36+TONT20000MAI2017!S36+TONT20000JUIN2017!S36+TONT20000JUIL2017!S36+TONT20000AOUT2017!S36</f>
        <v>0</v>
      </c>
      <c r="T36" s="7">
        <f>TONT20000DEC2016!V36+TONT20000JANV2017!T36+TONT20000FEV2017!T36+TONT20000MARS2017!T36+TONT20000AVRIL2017!T36+TONT20000MAI2017!T36+TONT20000JUIN2017!T36+TONT20000JUIL2017!T36+TONT20000AOUT2017!T36</f>
        <v>0</v>
      </c>
      <c r="U36" t="s">
        <v>242</v>
      </c>
      <c r="V36" s="1"/>
    </row>
    <row r="37" spans="1:22" x14ac:dyDescent="0.25">
      <c r="A37" s="1"/>
      <c r="B37" s="1"/>
      <c r="C37" s="6">
        <f>TONT20000DEC2016!E37+TONT20000JANV2017!C37+TONT20000FEV2017!C37+TONT20000MARS2017!C37+TONT20000AVRIL2017!C37+TONT20000MAI2017!C37+TONT20000JUIN2017!C37+TONT20000JUIL2017!C37+TONT20000AOUT2017!C37+TONT20000SEPT2017!C37+TONT20000OCT2017!C37+TONT20000NOV2017!C37</f>
        <v>0</v>
      </c>
      <c r="D37" s="6">
        <f>TONT20000OCT2017!C37+TONT20000OCT2017!D37+TONT20000ANNUELLE!J37</f>
        <v>0</v>
      </c>
      <c r="E37" s="6"/>
      <c r="F37" s="7"/>
      <c r="G37" s="7"/>
      <c r="H37" s="43"/>
      <c r="I37" s="7">
        <f>TONT20000DEC2016!K37+TONT20000JANV2017!I37+TONT20000FEV2017!I37+TONT20000MARS2017!I37+TONT20000AVRIL2017!I37+TONT20000MAI2017!I37+TONT20000JUIN2017!I37+TONT20000JUIL2017!I37+TONT20000AOUT2017!I37</f>
        <v>0</v>
      </c>
      <c r="J37" s="7">
        <f>TONT20000DEC2016!L37+TONT20000JANV2017!J37+TONT20000FEV2017!J37+TONT20000MARS2017!J37+TONT20000AVRIL2017!J37+TONT20000MAI2017!J37+TONT20000JUIN2017!J37+TONT20000JUIL2017!J37+TONT20000AOUT2017!J37</f>
        <v>0</v>
      </c>
      <c r="K37" s="7">
        <f>TONT20000DEC2016!M37+TONT20000JANV2017!K37+TONT20000FEV2017!K37+TONT20000MARS2017!K37+TONT20000AVRIL2017!K37+TONT20000MAI2017!K37+TONT20000JUIN2017!K37+TONT20000JUIL2017!K37+TONT20000AOUT2017!K37</f>
        <v>0</v>
      </c>
      <c r="L37" s="7">
        <f>TONT20000DEC2016!N37+TONT20000JANV2017!L37+TONT20000FEV2017!L37+TONT20000MARS2017!L37+TONT20000AVRIL2017!L37+TONT20000MAI2017!L37+TONT20000JUIN2017!L37+TONT20000JUIL2017!L37+TONT20000AOUT2017!L37</f>
        <v>0</v>
      </c>
      <c r="M37" s="7">
        <f>TONT20000DEC2016!O37+TONT20000JANV2017!M37+TONT20000FEV2017!M37+TONT20000MARS2017!M37+TONT20000AVRIL2017!M37+TONT20000MAI2017!M37+TONT20000JUIN2017!M37+TONT20000JUIL2017!M37+TONT20000AOUT2017!M37</f>
        <v>0</v>
      </c>
      <c r="N37" s="7">
        <f>TONT20000DEC2016!P37+TONT20000JANV2017!N37+TONT20000FEV2017!N37+TONT20000MARS2017!N37+TONT20000AVRIL2017!N37+TONT20000MAI2017!N37+TONT20000JUIN2017!N37+TONT20000JUIL2017!N37+TONT20000AOUT2017!N37</f>
        <v>0</v>
      </c>
      <c r="O37" s="7">
        <f>TONT20000DEC2016!Q37+TONT20000JANV2017!O37+TONT20000FEV2017!O37+TONT20000MARS2017!O37+TONT20000AVRIL2017!O37+TONT20000MAI2017!O37+TONT20000JUIN2017!O37+TONT20000JUIL2017!O37+TONT20000AOUT2017!O37</f>
        <v>0</v>
      </c>
      <c r="P37" s="7">
        <f>TONT20000DEC2016!R37+TONT20000JANV2017!P37+TONT20000FEV2017!P37+TONT20000MARS2017!P37+TONT20000AVRIL2017!P37+TONT20000MAI2017!P37+TONT20000JUIN2017!P37+TONT20000JUIL2017!P37+TONT20000AOUT2017!P37</f>
        <v>0</v>
      </c>
      <c r="Q37" s="7">
        <f>TONT20000DEC2016!S37+TONT20000JANV2017!Q37+TONT20000FEV2017!Q37+TONT20000MARS2017!Q37+TONT20000AVRIL2017!Q37+TONT20000MAI2017!Q37+TONT20000JUIN2017!Q37+TONT20000JUIL2017!Q37+TONT20000AOUT2017!Q37</f>
        <v>0</v>
      </c>
      <c r="R37" s="7">
        <f>TONT20000DEC2016!T37+TONT20000JANV2017!R37+TONT20000FEV2017!R37+TONT20000MARS2017!R37+TONT20000AVRIL2017!R37+TONT20000MAI2017!R37+TONT20000JUIN2017!R37+TONT20000JUIL2017!R37+TONT20000AOUT2017!R37</f>
        <v>0</v>
      </c>
      <c r="S37" s="7">
        <f>TONT20000DEC2016!U37+TONT20000JANV2017!S37+TONT20000FEV2017!S37+TONT20000MARS2017!S37+TONT20000AVRIL2017!S37+TONT20000MAI2017!S37+TONT20000JUIN2017!S37+TONT20000JUIL2017!S37+TONT20000AOUT2017!S37</f>
        <v>0</v>
      </c>
      <c r="T37" s="7">
        <f>TONT20000DEC2016!V37+TONT20000JANV2017!T37+TONT20000FEV2017!T37+TONT20000MARS2017!T37+TONT20000AVRIL2017!T37+TONT20000MAI2017!T37+TONT20000JUIN2017!T37+TONT20000JUIL2017!T37+TONT20000AOUT2017!T37</f>
        <v>0</v>
      </c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TONT20000DEC2016!E38+TONT20000JANV2017!C38+TONT20000FEV2017!C38+TONT20000MARS2017!C38+TONT20000AVRIL2017!C38+TONT20000MAI2017!C38+TONT20000JUIN2017!C38+TONT20000JUIL2017!C38+TONT20000AOUT2017!C38+TONT20000SEPT2017!C38+TONT20000OCT2017!C38+TONT20000NOV2017!C38</f>
        <v>29935.745688414652</v>
      </c>
      <c r="D38" s="6">
        <f>TONT20000OCT2017!C38+TONT20000OCT2017!D38+TONT20000ANNUELLE!J38</f>
        <v>506409.74568841461</v>
      </c>
      <c r="E38" s="6"/>
      <c r="F38" s="7">
        <f t="shared" si="0"/>
        <v>0</v>
      </c>
      <c r="G38" s="7">
        <f t="shared" si="1"/>
        <v>0</v>
      </c>
      <c r="H38" s="43" t="s">
        <v>216</v>
      </c>
      <c r="I38" s="7">
        <f>TONT20000DEC2016!K38+TONT20000JANV2017!I38+TONT20000FEV2017!I38+TONT20000MARS2017!I38+TONT20000AVRIL2017!I38+TONT20000MAI2017!I38+TONT20000JUIN2017!I38+TONT20000JUIL2017!I38+TONT20000AOUT2017!I38</f>
        <v>167000</v>
      </c>
      <c r="J38" s="7">
        <f>TONT20000DEC2016!L38+TONT20000JANV2017!J38+TONT20000FEV2017!J38+TONT20000MARS2017!J38+TONT20000AVRIL2017!J38+TONT20000MAI2017!J38+TONT20000JUIN2017!J38+TONT20000JUIL2017!J38+TONT20000AOUT2017!J38</f>
        <v>27000</v>
      </c>
      <c r="K38" s="7">
        <f>TONT20000DEC2016!M38+TONT20000JANV2017!K38+TONT20000FEV2017!K38+TONT20000MARS2017!K38+TONT20000AVRIL2017!K38+TONT20000MAI2017!K38+TONT20000JUIN2017!K38+TONT20000JUIL2017!K38+TONT20000AOUT2017!K38</f>
        <v>4500</v>
      </c>
      <c r="L38" s="7">
        <f>TONT20000DEC2016!N38+TONT20000JANV2017!L38+TONT20000FEV2017!L38+TONT20000MARS2017!L38+TONT20000AVRIL2017!L38+TONT20000MAI2017!L38+TONT20000JUIN2017!L38+TONT20000JUIL2017!L38+TONT20000AOUT2017!L38</f>
        <v>9000</v>
      </c>
      <c r="M38" s="7">
        <f>TONT20000DEC2016!O38+TONT20000JANV2017!M38+TONT20000FEV2017!M38+TONT20000MARS2017!M38+TONT20000AVRIL2017!M38+TONT20000MAI2017!M38+TONT20000JUIN2017!M38+TONT20000JUIL2017!M38+TONT20000AOUT2017!M38</f>
        <v>22500</v>
      </c>
      <c r="N38" s="7">
        <f>TONT20000DEC2016!P38+TONT20000JANV2017!N38+TONT20000FEV2017!N38+TONT20000MARS2017!N38+TONT20000AVRIL2017!N38+TONT20000MAI2017!N38+TONT20000JUIN2017!N38+TONT20000JUIL2017!N38+TONT20000AOUT2017!N38</f>
        <v>0</v>
      </c>
      <c r="O38" s="7">
        <f>TONT20000DEC2016!Q38+TONT20000JANV2017!O38+TONT20000FEV2017!O38+TONT20000MARS2017!O38+TONT20000AVRIL2017!O38+TONT20000MAI2017!O38+TONT20000JUIN2017!O38+TONT20000JUIL2017!O38+TONT20000AOUT2017!O38</f>
        <v>0</v>
      </c>
      <c r="P38" s="7">
        <f>TONT20000DEC2016!R38+TONT20000JANV2017!P38+TONT20000FEV2017!P38+TONT20000MARS2017!P38+TONT20000AVRIL2017!P38+TONT20000MAI2017!P38+TONT20000JUIN2017!P38+TONT20000JUIL2017!P38+TONT20000AOUT2017!P38</f>
        <v>0</v>
      </c>
      <c r="Q38" s="7">
        <f>TONT20000DEC2016!S38+TONT20000JANV2017!Q38+TONT20000FEV2017!Q38+TONT20000MARS2017!Q38+TONT20000AVRIL2017!Q38+TONT20000MAI2017!Q38+TONT20000JUIN2017!Q38+TONT20000JUIL2017!Q38+TONT20000AOUT2017!Q38</f>
        <v>0</v>
      </c>
      <c r="R38" s="7">
        <f>TONT20000DEC2016!T38+TONT20000JANV2017!R38+TONT20000FEV2017!R38+TONT20000MARS2017!R38+TONT20000AVRIL2017!R38+TONT20000MAI2017!R38+TONT20000JUIN2017!R38+TONT20000JUIL2017!R38+TONT20000AOUT2017!R38</f>
        <v>0</v>
      </c>
      <c r="S38" s="7">
        <f>TONT20000DEC2016!U38+TONT20000JANV2017!S38+TONT20000FEV2017!S38+TONT20000MARS2017!S38+TONT20000AVRIL2017!S38+TONT20000MAI2017!S38+TONT20000JUIN2017!S38+TONT20000JUIL2017!S38+TONT20000AOUT2017!S38</f>
        <v>0</v>
      </c>
      <c r="T38" s="7">
        <f>TONT20000DEC2016!V38+TONT20000JANV2017!T38+TONT20000FEV2017!T38+TONT20000MARS2017!T38+TONT20000AVRIL2017!T38+TONT20000MAI2017!T38+TONT20000JUIN2017!T38+TONT20000JUIL2017!T38+TONT20000AOUT2017!T38</f>
        <v>10000</v>
      </c>
      <c r="U38" s="44">
        <v>42813</v>
      </c>
      <c r="V38" s="1" t="s">
        <v>238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TONT20000DEC2016!E39+TONT20000JANV2017!C39+TONT20000FEV2017!C39+TONT20000MARS2017!C39+TONT20000AVRIL2017!C39+TONT20000MAI2017!C39+TONT20000JUIN2017!C39+TONT20000JUIL2017!C39+TONT20000AOUT2017!C39+TONT20000SEPT2017!C39+TONT20000OCT2017!C39+TONT20000NOV2017!C39</f>
        <v>30228.083539736468</v>
      </c>
      <c r="D39" s="6">
        <f>TONT20000OCT2017!C39+TONT20000OCT2017!D39+TONT20000ANNUELLE!J39</f>
        <v>510984.08353973652</v>
      </c>
      <c r="E39" s="6"/>
      <c r="F39" s="7">
        <f t="shared" si="0"/>
        <v>0</v>
      </c>
      <c r="G39" s="7">
        <f t="shared" si="1"/>
        <v>0</v>
      </c>
      <c r="H39" s="43" t="s">
        <v>216</v>
      </c>
      <c r="I39" s="7">
        <f>TONT20000DEC2016!K39+TONT20000JANV2017!I39+TONT20000FEV2017!I39+TONT20000MARS2017!I39+TONT20000AVRIL2017!I39+TONT20000MAI2017!I39+TONT20000JUIN2017!I39+TONT20000JUIL2017!I39+TONT20000AOUT2017!I39</f>
        <v>167000</v>
      </c>
      <c r="J39" s="7">
        <f>TONT20000DEC2016!L39+TONT20000JANV2017!J39+TONT20000FEV2017!J39+TONT20000MARS2017!J39+TONT20000AVRIL2017!J39+TONT20000MAI2017!J39+TONT20000JUIN2017!J39+TONT20000JUIL2017!J39+TONT20000AOUT2017!J39</f>
        <v>27000</v>
      </c>
      <c r="K39" s="7">
        <f>TONT20000DEC2016!M39+TONT20000JANV2017!K39+TONT20000FEV2017!K39+TONT20000MARS2017!K39+TONT20000AVRIL2017!K39+TONT20000MAI2017!K39+TONT20000JUIN2017!K39+TONT20000JUIL2017!K39+TONT20000AOUT2017!K39</f>
        <v>4500</v>
      </c>
      <c r="L39" s="7">
        <f>TONT20000DEC2016!N39+TONT20000JANV2017!L39+TONT20000FEV2017!L39+TONT20000MARS2017!L39+TONT20000AVRIL2017!L39+TONT20000MAI2017!L39+TONT20000JUIN2017!L39+TONT20000JUIL2017!L39+TONT20000AOUT2017!L39</f>
        <v>9000</v>
      </c>
      <c r="M39" s="7">
        <f>TONT20000DEC2016!O39+TONT20000JANV2017!M39+TONT20000FEV2017!M39+TONT20000MARS2017!M39+TONT20000AVRIL2017!M39+TONT20000MAI2017!M39+TONT20000JUIN2017!M39+TONT20000JUIL2017!M39+TONT20000AOUT2017!M39</f>
        <v>22500</v>
      </c>
      <c r="N39" s="7">
        <f>TONT20000DEC2016!P39+TONT20000JANV2017!N39+TONT20000FEV2017!N39+TONT20000MARS2017!N39+TONT20000AVRIL2017!N39+TONT20000MAI2017!N39+TONT20000JUIN2017!N39+TONT20000JUIL2017!N39+TONT20000AOUT2017!N39</f>
        <v>0</v>
      </c>
      <c r="O39" s="7">
        <f>TONT20000DEC2016!Q39+TONT20000JANV2017!O39+TONT20000FEV2017!O39+TONT20000MARS2017!O39+TONT20000AVRIL2017!O39+TONT20000MAI2017!O39+TONT20000JUIN2017!O39+TONT20000JUIL2017!O39+TONT20000AOUT2017!O39</f>
        <v>0</v>
      </c>
      <c r="P39" s="7">
        <f>TONT20000DEC2016!R39+TONT20000JANV2017!P39+TONT20000FEV2017!P39+TONT20000MARS2017!P39+TONT20000AVRIL2017!P39+TONT20000MAI2017!P39+TONT20000JUIN2017!P39+TONT20000JUIL2017!P39+TONT20000AOUT2017!P39</f>
        <v>0</v>
      </c>
      <c r="Q39" s="7">
        <f>TONT20000DEC2016!S39+TONT20000JANV2017!Q39+TONT20000FEV2017!Q39+TONT20000MARS2017!Q39+TONT20000AVRIL2017!Q39+TONT20000MAI2017!Q39+TONT20000JUIN2017!Q39+TONT20000JUIL2017!Q39+TONT20000AOUT2017!Q39</f>
        <v>0</v>
      </c>
      <c r="R39" s="7">
        <f>TONT20000DEC2016!T39+TONT20000JANV2017!R39+TONT20000FEV2017!R39+TONT20000MARS2017!R39+TONT20000AVRIL2017!R39+TONT20000MAI2017!R39+TONT20000JUIN2017!R39+TONT20000JUIL2017!R39+TONT20000AOUT2017!R39</f>
        <v>0</v>
      </c>
      <c r="S39" s="7">
        <f>TONT20000DEC2016!U39+TONT20000JANV2017!S39+TONT20000FEV2017!S39+TONT20000MARS2017!S39+TONT20000AVRIL2017!S39+TONT20000MAI2017!S39+TONT20000JUIN2017!S39+TONT20000JUIL2017!S39+TONT20000AOUT2017!S39</f>
        <v>0</v>
      </c>
      <c r="T39" s="7">
        <f>TONT20000DEC2016!V39+TONT20000JANV2017!T39+TONT20000FEV2017!T39+TONT20000MARS2017!T39+TONT20000AVRIL2017!T39+TONT20000MAI2017!T39+TONT20000JUIN2017!T39+TONT20000JUIL2017!T39+TONT20000AOUT2017!T39</f>
        <v>12000</v>
      </c>
      <c r="U39" s="44">
        <v>42723</v>
      </c>
      <c r="V39" s="1" t="s">
        <v>85</v>
      </c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TONT20000DEC2016!E40+TONT20000JANV2017!C40+TONT20000FEV2017!C40+TONT20000MARS2017!C40+TONT20000AVRIL2017!C40+TONT20000MAI2017!C40+TONT20000JUIN2017!C40+TONT20000JUIL2017!C40+TONT20000AOUT2017!C40+TONT20000SEPT2017!C40+TONT20000OCT2017!C40+TONT20000NOV2017!C40</f>
        <v>27612.084422988453</v>
      </c>
      <c r="D40" s="6">
        <f>TONT20000OCT2017!C40+TONT20000OCT2017!D40+TONT20000ANNUELLE!J40</f>
        <v>466100.08442298841</v>
      </c>
      <c r="E40" s="6"/>
      <c r="F40" s="7">
        <f t="shared" si="0"/>
        <v>0</v>
      </c>
      <c r="G40" s="7">
        <f t="shared" si="1"/>
        <v>0</v>
      </c>
      <c r="H40" s="43" t="s">
        <v>216</v>
      </c>
      <c r="I40" s="7">
        <f>TONT20000DEC2016!K40+TONT20000JANV2017!I40+TONT20000FEV2017!I40+TONT20000MARS2017!I40+TONT20000AVRIL2017!I40+TONT20000MAI2017!I40+TONT20000JUIN2017!I40+TONT20000JUIL2017!I40+TONT20000AOUT2017!I40</f>
        <v>147000</v>
      </c>
      <c r="J40" s="7">
        <f>TONT20000DEC2016!L40+TONT20000JANV2017!J40+TONT20000FEV2017!J40+TONT20000MARS2017!J40+TONT20000AVRIL2017!J40+TONT20000MAI2017!J40+TONT20000JUIN2017!J40+TONT20000JUIL2017!J40+TONT20000AOUT2017!J40</f>
        <v>24000</v>
      </c>
      <c r="K40" s="7">
        <f>TONT20000DEC2016!M40+TONT20000JANV2017!K40+TONT20000FEV2017!K40+TONT20000MARS2017!K40+TONT20000AVRIL2017!K40+TONT20000MAI2017!K40+TONT20000JUIN2017!K40+TONT20000JUIL2017!K40+TONT20000AOUT2017!K40</f>
        <v>4000</v>
      </c>
      <c r="L40" s="7">
        <f>TONT20000DEC2016!N40+TONT20000JANV2017!L40+TONT20000FEV2017!L40+TONT20000MARS2017!L40+TONT20000AVRIL2017!L40+TONT20000MAI2017!L40+TONT20000JUIN2017!L40+TONT20000JUIL2017!L40+TONT20000AOUT2017!L40</f>
        <v>8000</v>
      </c>
      <c r="M40" s="7">
        <f>TONT20000DEC2016!O40+TONT20000JANV2017!M40+TONT20000FEV2017!M40+TONT20000MARS2017!M40+TONT20000AVRIL2017!M40+TONT20000MAI2017!M40+TONT20000JUIN2017!M40+TONT20000JUIL2017!M40+TONT20000AOUT2017!M40</f>
        <v>20000</v>
      </c>
      <c r="N40" s="7">
        <f>TONT20000DEC2016!P40+TONT20000JANV2017!N40+TONT20000FEV2017!N40+TONT20000MARS2017!N40+TONT20000AVRIL2017!N40+TONT20000MAI2017!N40+TONT20000JUIN2017!N40+TONT20000JUIL2017!N40+TONT20000AOUT2017!N40</f>
        <v>0</v>
      </c>
      <c r="O40" s="7">
        <f>TONT20000DEC2016!Q40+TONT20000JANV2017!O40+TONT20000FEV2017!O40+TONT20000MARS2017!O40+TONT20000AVRIL2017!O40+TONT20000MAI2017!O40+TONT20000JUIN2017!O40+TONT20000JUIL2017!O40+TONT20000AOUT2017!O40</f>
        <v>700000</v>
      </c>
      <c r="P40" s="7">
        <f>TONT20000DEC2016!R40+TONT20000JANV2017!P40+TONT20000FEV2017!P40+TONT20000MARS2017!P40+TONT20000AVRIL2017!P40+TONT20000MAI2017!P40+TONT20000JUIN2017!P40+TONT20000JUIL2017!P40+TONT20000AOUT2017!P40</f>
        <v>84000</v>
      </c>
      <c r="Q40" s="7">
        <f>TONT20000DEC2016!S40+TONT20000JANV2017!Q40+TONT20000FEV2017!Q40+TONT20000MARS2017!Q40+TONT20000AVRIL2017!Q40+TONT20000MAI2017!Q40+TONT20000JUIN2017!Q40+TONT20000JUIL2017!Q40+TONT20000AOUT2017!Q40</f>
        <v>0</v>
      </c>
      <c r="R40" s="7">
        <f>TONT20000DEC2016!T40+TONT20000JANV2017!R40+TONT20000FEV2017!R40+TONT20000MARS2017!R40+TONT20000AVRIL2017!R40+TONT20000MAI2017!R40+TONT20000JUIN2017!R40+TONT20000JUIL2017!R40+TONT20000AOUT2017!R40</f>
        <v>0</v>
      </c>
      <c r="S40" s="7">
        <f>TONT20000DEC2016!U40+TONT20000JANV2017!S40+TONT20000FEV2017!S40+TONT20000MARS2017!S40+TONT20000AVRIL2017!S40+TONT20000MAI2017!S40+TONT20000JUIN2017!S40+TONT20000JUIL2017!S40+TONT20000AOUT2017!S40</f>
        <v>0</v>
      </c>
      <c r="T40" s="7">
        <f>TONT20000DEC2016!V40+TONT20000JANV2017!T40+TONT20000FEV2017!T40+TONT20000MARS2017!T40+TONT20000AVRIL2017!T40+TONT20000MAI2017!T40+TONT20000JUIN2017!T40+TONT20000JUIL2017!T40+TONT20000AOUT2017!T40</f>
        <v>0</v>
      </c>
      <c r="U40" s="44">
        <v>42785</v>
      </c>
      <c r="V40" s="1" t="s">
        <v>235</v>
      </c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TONT20000DEC2016!E41+TONT20000JANV2017!C41+TONT20000FEV2017!C41+TONT20000MARS2017!C41+TONT20000AVRIL2017!C41+TONT20000MAI2017!C41+TONT20000JUIN2017!C41+TONT20000JUIL2017!C41+TONT20000AOUT2017!C41+TONT20000SEPT2017!C41+TONT20000OCT2017!C41+TONT20000NOV2017!C41</f>
        <v>30102.32774288108</v>
      </c>
      <c r="D41" s="6">
        <f>TONT20000OCT2017!C41+TONT20000OCT2017!D41+TONT20000ANNUELLE!J41</f>
        <v>509016.32774288108</v>
      </c>
      <c r="E41" s="6"/>
      <c r="F41" s="7">
        <f t="shared" si="0"/>
        <v>0</v>
      </c>
      <c r="G41" s="7">
        <f t="shared" si="1"/>
        <v>0</v>
      </c>
      <c r="H41" s="43" t="s">
        <v>216</v>
      </c>
      <c r="I41" s="7">
        <f>TONT20000DEC2016!K41+TONT20000JANV2017!I41+TONT20000FEV2017!I41+TONT20000MARS2017!I41+TONT20000AVRIL2017!I41+TONT20000MAI2017!I41+TONT20000JUIN2017!I41+TONT20000JUIL2017!I41+TONT20000AOUT2017!I41</f>
        <v>167000</v>
      </c>
      <c r="J41" s="7">
        <f>TONT20000DEC2016!L41+TONT20000JANV2017!J41+TONT20000FEV2017!J41+TONT20000MARS2017!J41+TONT20000AVRIL2017!J41+TONT20000MAI2017!J41+TONT20000JUIN2017!J41+TONT20000JUIL2017!J41+TONT20000AOUT2017!J41</f>
        <v>27000</v>
      </c>
      <c r="K41" s="7">
        <f>TONT20000DEC2016!M41+TONT20000JANV2017!K41+TONT20000FEV2017!K41+TONT20000MARS2017!K41+TONT20000AVRIL2017!K41+TONT20000MAI2017!K41+TONT20000JUIN2017!K41+TONT20000JUIL2017!K41+TONT20000AOUT2017!K41</f>
        <v>4500</v>
      </c>
      <c r="L41" s="7">
        <f>TONT20000DEC2016!N41+TONT20000JANV2017!L41+TONT20000FEV2017!L41+TONT20000MARS2017!L41+TONT20000AVRIL2017!L41+TONT20000MAI2017!L41+TONT20000JUIN2017!L41+TONT20000JUIL2017!L41+TONT20000AOUT2017!L41</f>
        <v>9000</v>
      </c>
      <c r="M41" s="7">
        <f>TONT20000DEC2016!O41+TONT20000JANV2017!M41+TONT20000FEV2017!M41+TONT20000MARS2017!M41+TONT20000AVRIL2017!M41+TONT20000MAI2017!M41+TONT20000JUIN2017!M41+TONT20000JUIL2017!M41+TONT20000AOUT2017!M41</f>
        <v>22500</v>
      </c>
      <c r="N41" s="7">
        <f>TONT20000DEC2016!P41+TONT20000JANV2017!N41+TONT20000FEV2017!N41+TONT20000MARS2017!N41+TONT20000AVRIL2017!N41+TONT20000MAI2017!N41+TONT20000JUIN2017!N41+TONT20000JUIL2017!N41+TONT20000AOUT2017!N41</f>
        <v>0</v>
      </c>
      <c r="O41" s="7">
        <f>TONT20000DEC2016!Q41+TONT20000JANV2017!O41+TONT20000FEV2017!O41+TONT20000MARS2017!O41+TONT20000AVRIL2017!O41+TONT20000MAI2017!O41+TONT20000JUIN2017!O41+TONT20000JUIL2017!O41+TONT20000AOUT2017!O41</f>
        <v>1000000</v>
      </c>
      <c r="P41" s="7">
        <f>TONT20000DEC2016!R41+TONT20000JANV2017!P41+TONT20000FEV2017!P41+TONT20000MARS2017!P41+TONT20000AVRIL2017!P41+TONT20000MAI2017!P41+TONT20000JUIN2017!P41+TONT20000JUIL2017!P41+TONT20000AOUT2017!P41</f>
        <v>120000</v>
      </c>
      <c r="Q41" s="7">
        <f>TONT20000DEC2016!S41+TONT20000JANV2017!Q41+TONT20000FEV2017!Q41+TONT20000MARS2017!Q41+TONT20000AVRIL2017!Q41+TONT20000MAI2017!Q41+TONT20000JUIN2017!Q41+TONT20000JUIL2017!Q41+TONT20000AOUT2017!Q41</f>
        <v>1080000</v>
      </c>
      <c r="R41" s="7">
        <f>TONT20000DEC2016!T41+TONT20000JANV2017!R41+TONT20000FEV2017!R41+TONT20000MARS2017!R41+TONT20000AVRIL2017!R41+TONT20000MAI2017!R41+TONT20000JUIN2017!R41+TONT20000JUIL2017!R41+TONT20000AOUT2017!R41</f>
        <v>0</v>
      </c>
      <c r="S41" s="7">
        <f>TONT20000DEC2016!U41+TONT20000JANV2017!S41+TONT20000FEV2017!S41+TONT20000MARS2017!S41+TONT20000AVRIL2017!S41+TONT20000MAI2017!S41+TONT20000JUIN2017!S41+TONT20000JUIL2017!S41+TONT20000AOUT2017!S41</f>
        <v>0</v>
      </c>
      <c r="T41" s="7">
        <f>TONT20000DEC2016!V41+TONT20000JANV2017!T41+TONT20000FEV2017!T41+TONT20000MARS2017!T41+TONT20000AVRIL2017!T41+TONT20000MAI2017!T41+TONT20000JUIN2017!T41+TONT20000JUIL2017!T41+TONT20000AOUT2017!T41</f>
        <v>10000</v>
      </c>
      <c r="U41" s="44">
        <v>42476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TONT20000DEC2016!E42+TONT20000JANV2017!C42+TONT20000FEV2017!C42+TONT20000MARS2017!C42+TONT20000AVRIL2017!C42+TONT20000MAI2017!C42+TONT20000JUIN2017!C42+TONT20000JUIL2017!C42+TONT20000AOUT2017!C42+TONT20000SEPT2017!C42+TONT20000OCT2017!C42+TONT20000NOV2017!C42</f>
        <v>30075.975008035162</v>
      </c>
      <c r="D42" s="6">
        <f>TONT20000OCT2017!C42+TONT20000OCT2017!D42+TONT20000ANNUELLE!J42</f>
        <v>508603.97500803514</v>
      </c>
      <c r="E42" s="6"/>
      <c r="F42" s="7">
        <f t="shared" si="0"/>
        <v>0</v>
      </c>
      <c r="G42" s="7">
        <f t="shared" si="1"/>
        <v>0</v>
      </c>
      <c r="H42" s="43" t="s">
        <v>216</v>
      </c>
      <c r="I42" s="7">
        <f>TONT20000DEC2016!K42+TONT20000JANV2017!I42+TONT20000FEV2017!I42+TONT20000MARS2017!I42+TONT20000AVRIL2017!I42+TONT20000MAI2017!I42+TONT20000JUIN2017!I42+TONT20000JUIL2017!I42+TONT20000AOUT2017!I42</f>
        <v>167000</v>
      </c>
      <c r="J42" s="7">
        <f>TONT20000DEC2016!L42+TONT20000JANV2017!J42+TONT20000FEV2017!J42+TONT20000MARS2017!J42+TONT20000AVRIL2017!J42+TONT20000MAI2017!J42+TONT20000JUIN2017!J42+TONT20000JUIL2017!J42+TONT20000AOUT2017!J42</f>
        <v>27000</v>
      </c>
      <c r="K42" s="7">
        <f>TONT20000DEC2016!M42+TONT20000JANV2017!K42+TONT20000FEV2017!K42+TONT20000MARS2017!K42+TONT20000AVRIL2017!K42+TONT20000MAI2017!K42+TONT20000JUIN2017!K42+TONT20000JUIL2017!K42+TONT20000AOUT2017!K42</f>
        <v>4500</v>
      </c>
      <c r="L42" s="7">
        <f>TONT20000DEC2016!N42+TONT20000JANV2017!L42+TONT20000FEV2017!L42+TONT20000MARS2017!L42+TONT20000AVRIL2017!L42+TONT20000MAI2017!L42+TONT20000JUIN2017!L42+TONT20000JUIL2017!L42+TONT20000AOUT2017!L42</f>
        <v>9000</v>
      </c>
      <c r="M42" s="7">
        <f>TONT20000DEC2016!O42+TONT20000JANV2017!M42+TONT20000FEV2017!M42+TONT20000MARS2017!M42+TONT20000AVRIL2017!M42+TONT20000MAI2017!M42+TONT20000JUIN2017!M42+TONT20000JUIL2017!M42+TONT20000AOUT2017!M42</f>
        <v>22500</v>
      </c>
      <c r="N42" s="7">
        <f>TONT20000DEC2016!P42+TONT20000JANV2017!N42+TONT20000FEV2017!N42+TONT20000MARS2017!N42+TONT20000AVRIL2017!N42+TONT20000MAI2017!N42+TONT20000JUIN2017!N42+TONT20000JUIL2017!N42+TONT20000AOUT2017!N42</f>
        <v>0</v>
      </c>
      <c r="O42" s="7">
        <f>TONT20000DEC2016!Q42+TONT20000JANV2017!O42+TONT20000FEV2017!O42+TONT20000MARS2017!O42+TONT20000AVRIL2017!O42+TONT20000MAI2017!O42+TONT20000JUIN2017!O42+TONT20000JUIL2017!O42+TONT20000AOUT2017!O42</f>
        <v>1000000</v>
      </c>
      <c r="P42" s="7">
        <f>TONT20000DEC2016!R42+TONT20000JANV2017!P42+TONT20000FEV2017!P42+TONT20000MARS2017!P42+TONT20000AVRIL2017!P42+TONT20000MAI2017!P42+TONT20000JUIN2017!P42+TONT20000JUIL2017!P42+TONT20000AOUT2017!P42</f>
        <v>120000</v>
      </c>
      <c r="Q42" s="7">
        <f>TONT20000DEC2016!S42+TONT20000JANV2017!Q42+TONT20000FEV2017!Q42+TONT20000MARS2017!Q42+TONT20000AVRIL2017!Q42+TONT20000MAI2017!Q42+TONT20000JUIN2017!Q42+TONT20000JUIL2017!Q42+TONT20000AOUT2017!Q42</f>
        <v>863000</v>
      </c>
      <c r="R42" s="7">
        <f>TONT20000DEC2016!T42+TONT20000JANV2017!R42+TONT20000FEV2017!R42+TONT20000MARS2017!R42+TONT20000AVRIL2017!R42+TONT20000MAI2017!R42+TONT20000JUIN2017!R42+TONT20000JUIL2017!R42+TONT20000AOUT2017!R42</f>
        <v>0</v>
      </c>
      <c r="S42" s="7">
        <f>TONT20000DEC2016!U42+TONT20000JANV2017!S42+TONT20000FEV2017!S42+TONT20000MARS2017!S42+TONT20000AVRIL2017!S42+TONT20000MAI2017!S42+TONT20000JUIN2017!S42+TONT20000JUIL2017!S42+TONT20000AOUT2017!S42</f>
        <v>0</v>
      </c>
      <c r="T42" s="7">
        <f>TONT20000DEC2016!V42+TONT20000JANV2017!T42+TONT20000FEV2017!T42+TONT20000MARS2017!T42+TONT20000AVRIL2017!T42+TONT20000MAI2017!T42+TONT20000JUIN2017!T42+TONT20000JUIL2017!T42+TONT20000AOUT2017!T42</f>
        <v>0</v>
      </c>
      <c r="U42" s="44">
        <v>42904</v>
      </c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TONT20000DEC2016!E43+TONT20000JANV2017!C43+TONT20000FEV2017!C43+TONT20000MARS2017!C43+TONT20000AVRIL2017!C43+TONT20000MAI2017!C43+TONT20000JUIN2017!C43+TONT20000JUIL2017!C43+TONT20000AOUT2017!C43+TONT20000SEPT2017!C43+TONT20000OCT2017!C43+TONT20000NOV2017!C43</f>
        <v>39810.747557934199</v>
      </c>
      <c r="D43" s="6">
        <f>TONT20000OCT2017!C43+TONT20000OCT2017!D43+TONT20000ANNUELLE!J43</f>
        <v>739785.74755793437</v>
      </c>
      <c r="E43" s="6"/>
      <c r="F43" s="7">
        <f t="shared" si="0"/>
        <v>0</v>
      </c>
      <c r="G43" s="7">
        <f t="shared" si="1"/>
        <v>0</v>
      </c>
      <c r="H43" s="43" t="s">
        <v>216</v>
      </c>
      <c r="I43" s="7">
        <f>TONT20000DEC2016!K43+TONT20000JANV2017!I43+TONT20000FEV2017!I43+TONT20000MARS2017!I43+TONT20000AVRIL2017!I43+TONT20000MAI2017!I43+TONT20000JUIN2017!I43+TONT20000JUIL2017!I43+TONT20000AOUT2017!I43</f>
        <v>227000</v>
      </c>
      <c r="J43" s="7">
        <f>TONT20000DEC2016!L43+TONT20000JANV2017!J43+TONT20000FEV2017!J43+TONT20000MARS2017!J43+TONT20000AVRIL2017!J43+TONT20000MAI2017!J43+TONT20000JUIN2017!J43+TONT20000JUIL2017!J43+TONT20000AOUT2017!J43</f>
        <v>87000</v>
      </c>
      <c r="K43" s="7">
        <f>TONT20000DEC2016!M43+TONT20000JANV2017!K43+TONT20000FEV2017!K43+TONT20000MARS2017!K43+TONT20000AVRIL2017!K43+TONT20000MAI2017!K43+TONT20000JUIN2017!K43+TONT20000JUIL2017!K43+TONT20000AOUT2017!K43</f>
        <v>4500</v>
      </c>
      <c r="L43" s="7">
        <f>TONT20000DEC2016!N43+TONT20000JANV2017!L43+TONT20000FEV2017!L43+TONT20000MARS2017!L43+TONT20000AVRIL2017!L43+TONT20000MAI2017!L43+TONT20000JUIN2017!L43+TONT20000JUIL2017!L43+TONT20000AOUT2017!L43</f>
        <v>9000</v>
      </c>
      <c r="M43" s="7">
        <f>TONT20000DEC2016!O43+TONT20000JANV2017!M43+TONT20000FEV2017!M43+TONT20000MARS2017!M43+TONT20000AVRIL2017!M43+TONT20000MAI2017!M43+TONT20000JUIN2017!M43+TONT20000JUIL2017!M43+TONT20000AOUT2017!M43</f>
        <v>22500</v>
      </c>
      <c r="N43" s="7">
        <f>TONT20000DEC2016!P43+TONT20000JANV2017!N43+TONT20000FEV2017!N43+TONT20000MARS2017!N43+TONT20000AVRIL2017!N43+TONT20000MAI2017!N43+TONT20000JUIN2017!N43+TONT20000JUIL2017!N43+TONT20000AOUT2017!N43</f>
        <v>0</v>
      </c>
      <c r="O43" s="7">
        <f>TONT20000DEC2016!Q43+TONT20000JANV2017!O43+TONT20000FEV2017!O43+TONT20000MARS2017!O43+TONT20000AVRIL2017!O43+TONT20000MAI2017!O43+TONT20000JUIN2017!O43+TONT20000JUIL2017!O43+TONT20000AOUT2017!O43</f>
        <v>400000</v>
      </c>
      <c r="P43" s="7">
        <f>TONT20000DEC2016!R43+TONT20000JANV2017!P43+TONT20000FEV2017!P43+TONT20000MARS2017!P43+TONT20000AVRIL2017!P43+TONT20000MAI2017!P43+TONT20000JUIN2017!P43+TONT20000JUIL2017!P43+TONT20000AOUT2017!P43</f>
        <v>12000</v>
      </c>
      <c r="Q43" s="7">
        <f>TONT20000DEC2016!S43+TONT20000JANV2017!Q43+TONT20000FEV2017!Q43+TONT20000MARS2017!Q43+TONT20000AVRIL2017!Q43+TONT20000MAI2017!Q43+TONT20000JUIN2017!Q43+TONT20000JUIL2017!Q43+TONT20000AOUT2017!Q43</f>
        <v>904200</v>
      </c>
      <c r="R43" s="7">
        <f>TONT20000DEC2016!T43+TONT20000JANV2017!R43+TONT20000FEV2017!R43+TONT20000MARS2017!R43+TONT20000AVRIL2017!R43+TONT20000MAI2017!R43+TONT20000JUIN2017!R43+TONT20000JUIL2017!R43+TONT20000AOUT2017!R43</f>
        <v>0</v>
      </c>
      <c r="S43" s="7">
        <f>TONT20000DEC2016!U43+TONT20000JANV2017!S43+TONT20000FEV2017!S43+TONT20000MARS2017!S43+TONT20000AVRIL2017!S43+TONT20000MAI2017!S43+TONT20000JUIN2017!S43+TONT20000JUIL2017!S43+TONT20000AOUT2017!S43</f>
        <v>0</v>
      </c>
      <c r="T43" s="7">
        <f>TONT20000DEC2016!V43+TONT20000JANV2017!T43+TONT20000FEV2017!T43+TONT20000MARS2017!T43+TONT20000AVRIL2017!T43+TONT20000MAI2017!T43+TONT20000JUIN2017!T43+TONT20000JUIL2017!T43+TONT20000AOUT2017!T43</f>
        <v>0</v>
      </c>
      <c r="U43" s="44">
        <v>42694</v>
      </c>
      <c r="V43" s="1" t="s">
        <v>70</v>
      </c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TONT20000DEC2016!E44+TONT20000JANV2017!C44+TONT20000FEV2017!C44+TONT20000MARS2017!C44+TONT20000AVRIL2017!C44+TONT20000MAI2017!C44+TONT20000JUIN2017!C44+TONT20000JUIL2017!C44+TONT20000AOUT2017!C44+TONT20000SEPT2017!C44+TONT20000OCT2017!C44+TONT20000NOV2017!C44</f>
        <v>27829.370226753796</v>
      </c>
      <c r="D44" s="6">
        <f>TONT20000OCT2017!C44+TONT20000OCT2017!D44+TONT20000ANNUELLE!J44</f>
        <v>473450.3702267537</v>
      </c>
      <c r="E44" s="6"/>
      <c r="F44" s="7">
        <f t="shared" si="0"/>
        <v>0</v>
      </c>
      <c r="G44" s="7">
        <f t="shared" si="1"/>
        <v>0</v>
      </c>
      <c r="H44" s="43" t="s">
        <v>216</v>
      </c>
      <c r="I44" s="7">
        <f>TONT20000DEC2016!K44+TONT20000JANV2017!I44+TONT20000FEV2017!I44+TONT20000MARS2017!I44+TONT20000AVRIL2017!I44+TONT20000MAI2017!I44+TONT20000JUIN2017!I44+TONT20000JUIL2017!I44+TONT20000AOUT2017!I44</f>
        <v>167000</v>
      </c>
      <c r="J44" s="7">
        <f>TONT20000DEC2016!L44+TONT20000JANV2017!J44+TONT20000FEV2017!J44+TONT20000MARS2017!J44+TONT20000AVRIL2017!J44+TONT20000MAI2017!J44+TONT20000JUIN2017!J44+TONT20000JUIL2017!J44+TONT20000AOUT2017!J44</f>
        <v>27000</v>
      </c>
      <c r="K44" s="7">
        <f>TONT20000DEC2016!M44+TONT20000JANV2017!K44+TONT20000FEV2017!K44+TONT20000MARS2017!K44+TONT20000AVRIL2017!K44+TONT20000MAI2017!K44+TONT20000JUIN2017!K44+TONT20000JUIL2017!K44+TONT20000AOUT2017!K44</f>
        <v>4500</v>
      </c>
      <c r="L44" s="7">
        <f>TONT20000DEC2016!N44+TONT20000JANV2017!L44+TONT20000FEV2017!L44+TONT20000MARS2017!L44+TONT20000AVRIL2017!L44+TONT20000MAI2017!L44+TONT20000JUIN2017!L44+TONT20000JUIL2017!L44+TONT20000AOUT2017!L44</f>
        <v>9000</v>
      </c>
      <c r="M44" s="7">
        <f>TONT20000DEC2016!O44+TONT20000JANV2017!M44+TONT20000FEV2017!M44+TONT20000MARS2017!M44+TONT20000AVRIL2017!M44+TONT20000MAI2017!M44+TONT20000JUIN2017!M44+TONT20000JUIL2017!M44+TONT20000AOUT2017!M44</f>
        <v>22500</v>
      </c>
      <c r="N44" s="7">
        <f>TONT20000DEC2016!P44+TONT20000JANV2017!N44+TONT20000FEV2017!N44+TONT20000MARS2017!N44+TONT20000AVRIL2017!N44+TONT20000MAI2017!N44+TONT20000JUIN2017!N44+TONT20000JUIL2017!N44+TONT20000AOUT2017!N44</f>
        <v>0</v>
      </c>
      <c r="O44" s="7">
        <f>TONT20000DEC2016!Q44+TONT20000JANV2017!O44+TONT20000FEV2017!O44+TONT20000MARS2017!O44+TONT20000AVRIL2017!O44+TONT20000MAI2017!O44+TONT20000JUIN2017!O44+TONT20000JUIL2017!O44+TONT20000AOUT2017!O44</f>
        <v>0</v>
      </c>
      <c r="P44" s="7">
        <f>TONT20000DEC2016!R44+TONT20000JANV2017!P44+TONT20000FEV2017!P44+TONT20000MARS2017!P44+TONT20000AVRIL2017!P44+TONT20000MAI2017!P44+TONT20000JUIN2017!P44+TONT20000JUIL2017!P44+TONT20000AOUT2017!P44</f>
        <v>0</v>
      </c>
      <c r="Q44" s="7">
        <f>TONT20000DEC2016!S44+TONT20000JANV2017!Q44+TONT20000FEV2017!Q44+TONT20000MARS2017!Q44+TONT20000AVRIL2017!Q44+TONT20000MAI2017!Q44+TONT20000JUIN2017!Q44+TONT20000JUIL2017!Q44+TONT20000AOUT2017!Q44</f>
        <v>0</v>
      </c>
      <c r="R44" s="7">
        <f>TONT20000DEC2016!T44+TONT20000JANV2017!R44+TONT20000FEV2017!R44+TONT20000MARS2017!R44+TONT20000AVRIL2017!R44+TONT20000MAI2017!R44+TONT20000JUIN2017!R44+TONT20000JUIL2017!R44+TONT20000AOUT2017!R44</f>
        <v>0</v>
      </c>
      <c r="S44" s="7">
        <f>TONT20000DEC2016!U44+TONT20000JANV2017!S44+TONT20000FEV2017!S44+TONT20000MARS2017!S44+TONT20000AVRIL2017!S44+TONT20000MAI2017!S44+TONT20000JUIN2017!S44+TONT20000JUIL2017!S44+TONT20000AOUT2017!S44</f>
        <v>0</v>
      </c>
      <c r="T44" s="7">
        <f>TONT20000DEC2016!V44+TONT20000JANV2017!T44+TONT20000FEV2017!T44+TONT20000MARS2017!T44+TONT20000AVRIL2017!T44+TONT20000MAI2017!T44+TONT20000JUIN2017!T44+TONT20000JUIL2017!T44+TONT20000AOUT2017!T44</f>
        <v>10000</v>
      </c>
      <c r="U44" s="44">
        <v>42813</v>
      </c>
      <c r="V44" s="1" t="s">
        <v>239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TONT20000DEC2016!E45+TONT20000JANV2017!C45+TONT20000FEV2017!C45+TONT20000MARS2017!C45+TONT20000AVRIL2017!C45+TONT20000MAI2017!C45+TONT20000JUIN2017!C45+TONT20000JUIL2017!C45+TONT20000AOUT2017!C45+TONT20000SEPT2017!C45+TONT20000OCT2017!C45+TONT20000NOV2017!C45</f>
        <v>2105.6899747521879</v>
      </c>
      <c r="D45" s="6">
        <f>TONT20000OCT2017!C45+TONT20000OCT2017!D45+TONT20000ANNUELLE!J45</f>
        <v>64948.689974752189</v>
      </c>
      <c r="E45" s="6"/>
      <c r="F45" s="7">
        <f t="shared" si="0"/>
        <v>0</v>
      </c>
      <c r="G45" s="7">
        <f t="shared" si="1"/>
        <v>0</v>
      </c>
      <c r="H45" s="43" t="s">
        <v>216</v>
      </c>
      <c r="I45" s="7">
        <f>TONT20000DEC2016!K45+TONT20000JANV2017!I45+TONT20000FEV2017!I45+TONT20000MARS2017!I45+TONT20000AVRIL2017!I45+TONT20000MAI2017!I45+TONT20000JUIN2017!I45+TONT20000JUIL2017!I45+TONT20000AOUT2017!I45</f>
        <v>160000</v>
      </c>
      <c r="J45" s="7">
        <f>TONT20000DEC2016!L45+TONT20000JANV2017!J45+TONT20000FEV2017!J45+TONT20000MARS2017!J45+TONT20000AVRIL2017!J45+TONT20000MAI2017!J45+TONT20000JUIN2017!J45+TONT20000JUIL2017!J45+TONT20000AOUT2017!J45</f>
        <v>24000</v>
      </c>
      <c r="K45" s="7">
        <f>TONT20000DEC2016!M45+TONT20000JANV2017!K45+TONT20000FEV2017!K45+TONT20000MARS2017!K45+TONT20000AVRIL2017!K45+TONT20000MAI2017!K45+TONT20000JUIN2017!K45+TONT20000JUIL2017!K45+TONT20000AOUT2017!K45</f>
        <v>4000</v>
      </c>
      <c r="L45" s="7">
        <f>TONT20000DEC2016!N45+TONT20000JANV2017!L45+TONT20000FEV2017!L45+TONT20000MARS2017!L45+TONT20000AVRIL2017!L45+TONT20000MAI2017!L45+TONT20000JUIN2017!L45+TONT20000JUIL2017!L45+TONT20000AOUT2017!L45</f>
        <v>8000</v>
      </c>
      <c r="M45" s="7">
        <f>TONT20000DEC2016!O45+TONT20000JANV2017!M45+TONT20000FEV2017!M45+TONT20000MARS2017!M45+TONT20000AVRIL2017!M45+TONT20000MAI2017!M45+TONT20000JUIN2017!M45+TONT20000JUIL2017!M45+TONT20000AOUT2017!M45</f>
        <v>20000</v>
      </c>
      <c r="N45" s="7">
        <f>TONT20000DEC2016!P45+TONT20000JANV2017!N45+TONT20000FEV2017!N45+TONT20000MARS2017!N45+TONT20000AVRIL2017!N45+TONT20000MAI2017!N45+TONT20000JUIN2017!N45+TONT20000JUIL2017!N45+TONT20000AOUT2017!N45</f>
        <v>0</v>
      </c>
      <c r="O45" s="7">
        <f>TONT20000DEC2016!Q45+TONT20000JANV2017!O45+TONT20000FEV2017!O45+TONT20000MARS2017!O45+TONT20000AVRIL2017!O45+TONT20000MAI2017!O45+TONT20000JUIN2017!O45+TONT20000JUIL2017!O45+TONT20000AOUT2017!O45</f>
        <v>0</v>
      </c>
      <c r="P45" s="7">
        <f>TONT20000DEC2016!R45+TONT20000JANV2017!P45+TONT20000FEV2017!P45+TONT20000MARS2017!P45+TONT20000AVRIL2017!P45+TONT20000MAI2017!P45+TONT20000JUIN2017!P45+TONT20000JUIL2017!P45+TONT20000AOUT2017!P45</f>
        <v>0</v>
      </c>
      <c r="Q45" s="7">
        <f>TONT20000DEC2016!S45+TONT20000JANV2017!Q45+TONT20000FEV2017!Q45+TONT20000MARS2017!Q45+TONT20000AVRIL2017!Q45+TONT20000MAI2017!Q45+TONT20000JUIN2017!Q45+TONT20000JUIL2017!Q45+TONT20000AOUT2017!Q45</f>
        <v>0</v>
      </c>
      <c r="R45" s="7">
        <f>TONT20000DEC2016!T45+TONT20000JANV2017!R45+TONT20000FEV2017!R45+TONT20000MARS2017!R45+TONT20000AVRIL2017!R45+TONT20000MAI2017!R45+TONT20000JUIN2017!R45+TONT20000JUIL2017!R45+TONT20000AOUT2017!R45</f>
        <v>0</v>
      </c>
      <c r="S45" s="7">
        <f>TONT20000DEC2016!U45+TONT20000JANV2017!S45+TONT20000FEV2017!S45+TONT20000MARS2017!S45+TONT20000AVRIL2017!S45+TONT20000MAI2017!S45+TONT20000JUIN2017!S45+TONT20000JUIL2017!S45+TONT20000AOUT2017!S45</f>
        <v>0</v>
      </c>
      <c r="T45" s="7">
        <f>TONT20000DEC2016!V45+TONT20000JANV2017!T45+TONT20000FEV2017!T45+TONT20000MARS2017!T45+TONT20000AVRIL2017!T45+TONT20000MAI2017!T45+TONT20000JUIN2017!T45+TONT20000JUIL2017!T45+TONT20000AOUT2017!T45</f>
        <v>0</v>
      </c>
      <c r="U45" s="44">
        <v>42904</v>
      </c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TONT20000DEC2016!E46+TONT20000JANV2017!C46+TONT20000FEV2017!C46+TONT20000MARS2017!C46+TONT20000AVRIL2017!C46+TONT20000MAI2017!C46+TONT20000JUIN2017!C46+TONT20000JUIL2017!C46+TONT20000AOUT2017!C46+TONT20000SEPT2017!C46+TONT20000OCT2017!C46+TONT20000NOV2017!C46</f>
        <v>29948.034528498243</v>
      </c>
      <c r="D46" s="6">
        <f>TONT20000OCT2017!C46+TONT20000OCT2017!D46+TONT20000ANNUELLE!J46</f>
        <v>506602.03452849825</v>
      </c>
      <c r="E46" s="6"/>
      <c r="F46" s="7">
        <f t="shared" si="0"/>
        <v>0</v>
      </c>
      <c r="G46" s="7">
        <f t="shared" si="1"/>
        <v>0</v>
      </c>
      <c r="H46" s="43" t="s">
        <v>216</v>
      </c>
      <c r="I46" s="7">
        <f>TONT20000DEC2016!K46+TONT20000JANV2017!I46+TONT20000FEV2017!I46+TONT20000MARS2017!I46+TONT20000AVRIL2017!I46+TONT20000MAI2017!I46+TONT20000JUIN2017!I46+TONT20000JUIL2017!I46+TONT20000AOUT2017!I46</f>
        <v>167000</v>
      </c>
      <c r="J46" s="7">
        <f>TONT20000DEC2016!L46+TONT20000JANV2017!J46+TONT20000FEV2017!J46+TONT20000MARS2017!J46+TONT20000AVRIL2017!J46+TONT20000MAI2017!J46+TONT20000JUIN2017!J46+TONT20000JUIL2017!J46+TONT20000AOUT2017!J46</f>
        <v>27000</v>
      </c>
      <c r="K46" s="7">
        <f>TONT20000DEC2016!M46+TONT20000JANV2017!K46+TONT20000FEV2017!K46+TONT20000MARS2017!K46+TONT20000AVRIL2017!K46+TONT20000MAI2017!K46+TONT20000JUIN2017!K46+TONT20000JUIL2017!K46+TONT20000AOUT2017!K46</f>
        <v>4500</v>
      </c>
      <c r="L46" s="7">
        <f>TONT20000DEC2016!N46+TONT20000JANV2017!L46+TONT20000FEV2017!L46+TONT20000MARS2017!L46+TONT20000AVRIL2017!L46+TONT20000MAI2017!L46+TONT20000JUIN2017!L46+TONT20000JUIL2017!L46+TONT20000AOUT2017!L46</f>
        <v>9000</v>
      </c>
      <c r="M46" s="7">
        <f>TONT20000DEC2016!O46+TONT20000JANV2017!M46+TONT20000FEV2017!M46+TONT20000MARS2017!M46+TONT20000AVRIL2017!M46+TONT20000MAI2017!M46+TONT20000JUIN2017!M46+TONT20000JUIL2017!M46+TONT20000AOUT2017!M46</f>
        <v>22500</v>
      </c>
      <c r="N46" s="7">
        <f>TONT20000DEC2016!P46+TONT20000JANV2017!N46+TONT20000FEV2017!N46+TONT20000MARS2017!N46+TONT20000AVRIL2017!N46+TONT20000MAI2017!N46+TONT20000JUIN2017!N46+TONT20000JUIL2017!N46+TONT20000AOUT2017!N46</f>
        <v>0</v>
      </c>
      <c r="O46" s="7">
        <f>TONT20000DEC2016!Q46+TONT20000JANV2017!O46+TONT20000FEV2017!O46+TONT20000MARS2017!O46+TONT20000AVRIL2017!O46+TONT20000MAI2017!O46+TONT20000JUIN2017!O46+TONT20000JUIL2017!O46+TONT20000AOUT2017!O46</f>
        <v>0</v>
      </c>
      <c r="P46" s="7">
        <f>TONT20000DEC2016!R46+TONT20000JANV2017!P46+TONT20000FEV2017!P46+TONT20000MARS2017!P46+TONT20000AVRIL2017!P46+TONT20000MAI2017!P46+TONT20000JUIN2017!P46+TONT20000JUIL2017!P46+TONT20000AOUT2017!P46</f>
        <v>0</v>
      </c>
      <c r="Q46" s="7">
        <f>TONT20000DEC2016!S46+TONT20000JANV2017!Q46+TONT20000FEV2017!Q46+TONT20000MARS2017!Q46+TONT20000AVRIL2017!Q46+TONT20000MAI2017!Q46+TONT20000JUIN2017!Q46+TONT20000JUIL2017!Q46+TONT20000AOUT2017!Q46</f>
        <v>554100</v>
      </c>
      <c r="R46" s="7">
        <f>TONT20000DEC2016!T46+TONT20000JANV2017!R46+TONT20000FEV2017!R46+TONT20000MARS2017!R46+TONT20000AVRIL2017!R46+TONT20000MAI2017!R46+TONT20000JUIN2017!R46+TONT20000JUIL2017!R46+TONT20000AOUT2017!R46</f>
        <v>0</v>
      </c>
      <c r="S46" s="7">
        <f>TONT20000DEC2016!U46+TONT20000JANV2017!S46+TONT20000FEV2017!S46+TONT20000MARS2017!S46+TONT20000AVRIL2017!S46+TONT20000MAI2017!S46+TONT20000JUIN2017!S46+TONT20000JUIL2017!S46+TONT20000AOUT2017!S46</f>
        <v>0</v>
      </c>
      <c r="T46" s="7">
        <f>TONT20000DEC2016!V46+TONT20000JANV2017!T46+TONT20000FEV2017!T46+TONT20000MARS2017!T46+TONT20000AVRIL2017!T46+TONT20000MAI2017!T46+TONT20000JUIN2017!T46+TONT20000JUIL2017!T46+TONT20000AOUT2017!T46</f>
        <v>0</v>
      </c>
      <c r="U46" s="44">
        <v>42694</v>
      </c>
      <c r="V46" s="1" t="s">
        <v>240</v>
      </c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TONT20000DEC2016!E47+TONT20000JANV2017!C47+TONT20000FEV2017!C47+TONT20000MARS2017!C47+TONT20000AVRIL2017!C47+TONT20000MAI2017!C47+TONT20000JUIN2017!C47+TONT20000JUIL2017!C47+TONT20000AOUT2017!C47+TONT20000SEPT2017!C47+TONT20000OCT2017!C47+TONT20000NOV2017!C47</f>
        <v>33817.469779223538</v>
      </c>
      <c r="D47" s="6">
        <f>TONT20000OCT2017!C47+TONT20000OCT2017!D47+TONT20000ANNUELLE!J47</f>
        <v>631468.46977922355</v>
      </c>
      <c r="E47" s="6"/>
      <c r="F47" s="7">
        <f t="shared" si="0"/>
        <v>0</v>
      </c>
      <c r="G47" s="7">
        <f t="shared" si="1"/>
        <v>0</v>
      </c>
      <c r="H47" s="43" t="s">
        <v>216</v>
      </c>
      <c r="I47" s="7">
        <f>TONT20000DEC2016!K47+TONT20000JANV2017!I47+TONT20000FEV2017!I47+TONT20000MARS2017!I47+TONT20000AVRIL2017!I47+TONT20000MAI2017!I47+TONT20000JUIN2017!I47+TONT20000JUIL2017!I47+TONT20000AOUT2017!I47</f>
        <v>224000</v>
      </c>
      <c r="J47" s="7">
        <f>TONT20000DEC2016!L47+TONT20000JANV2017!J47+TONT20000FEV2017!J47+TONT20000MARS2017!J47+TONT20000AVRIL2017!J47+TONT20000MAI2017!J47+TONT20000JUIN2017!J47+TONT20000JUIL2017!J47+TONT20000AOUT2017!J47</f>
        <v>84000</v>
      </c>
      <c r="K47" s="7">
        <f>TONT20000DEC2016!M47+TONT20000JANV2017!K47+TONT20000FEV2017!K47+TONT20000MARS2017!K47+TONT20000AVRIL2017!K47+TONT20000MAI2017!K47+TONT20000JUIN2017!K47+TONT20000JUIL2017!K47+TONT20000AOUT2017!K47</f>
        <v>4500</v>
      </c>
      <c r="L47" s="7">
        <f>TONT20000DEC2016!N47+TONT20000JANV2017!L47+TONT20000FEV2017!L47+TONT20000MARS2017!L47+TONT20000AVRIL2017!L47+TONT20000MAI2017!L47+TONT20000JUIN2017!L47+TONT20000JUIL2017!L47+TONT20000AOUT2017!L47</f>
        <v>9000</v>
      </c>
      <c r="M47" s="7">
        <f>TONT20000DEC2016!O47+TONT20000JANV2017!M47+TONT20000FEV2017!M47+TONT20000MARS2017!M47+TONT20000AVRIL2017!M47+TONT20000MAI2017!M47+TONT20000JUIN2017!M47+TONT20000JUIL2017!M47+TONT20000AOUT2017!M47</f>
        <v>22500</v>
      </c>
      <c r="N47" s="7">
        <f>TONT20000DEC2016!P47+TONT20000JANV2017!N47+TONT20000FEV2017!N47+TONT20000MARS2017!N47+TONT20000AVRIL2017!N47+TONT20000MAI2017!N47+TONT20000JUIN2017!N47+TONT20000JUIL2017!N47+TONT20000AOUT2017!N47</f>
        <v>0</v>
      </c>
      <c r="O47" s="7">
        <f>TONT20000DEC2016!Q47+TONT20000JANV2017!O47+TONT20000FEV2017!O47+TONT20000MARS2017!O47+TONT20000AVRIL2017!O47+TONT20000MAI2017!O47+TONT20000JUIN2017!O47+TONT20000JUIL2017!O47+TONT20000AOUT2017!O47</f>
        <v>700000</v>
      </c>
      <c r="P47" s="7">
        <f>TONT20000DEC2016!R47+TONT20000JANV2017!P47+TONT20000FEV2017!P47+TONT20000MARS2017!P47+TONT20000AVRIL2017!P47+TONT20000MAI2017!P47+TONT20000JUIN2017!P47+TONT20000JUIL2017!P47+TONT20000AOUT2017!P47</f>
        <v>84000</v>
      </c>
      <c r="Q47" s="7">
        <f>TONT20000DEC2016!S47+TONT20000JANV2017!Q47+TONT20000FEV2017!Q47+TONT20000MARS2017!Q47+TONT20000AVRIL2017!Q47+TONT20000MAI2017!Q47+TONT20000JUIN2017!Q47+TONT20000JUIL2017!Q47+TONT20000AOUT2017!Q47</f>
        <v>772500</v>
      </c>
      <c r="R47" s="7">
        <f>TONT20000DEC2016!T47+TONT20000JANV2017!R47+TONT20000FEV2017!R47+TONT20000MARS2017!R47+TONT20000AVRIL2017!R47+TONT20000MAI2017!R47+TONT20000JUIN2017!R47+TONT20000JUIL2017!R47+TONT20000AOUT2017!R47</f>
        <v>0</v>
      </c>
      <c r="S47" s="7">
        <f>TONT20000DEC2016!U47+TONT20000JANV2017!S47+TONT20000FEV2017!S47+TONT20000MARS2017!S47+TONT20000AVRIL2017!S47+TONT20000MAI2017!S47+TONT20000JUIN2017!S47+TONT20000JUIL2017!S47+TONT20000AOUT2017!S47</f>
        <v>0</v>
      </c>
      <c r="T47" s="7">
        <f>TONT20000DEC2016!V47+TONT20000JANV2017!T47+TONT20000FEV2017!T47+TONT20000MARS2017!T47+TONT20000AVRIL2017!T47+TONT20000MAI2017!T47+TONT20000JUIN2017!T47+TONT20000JUIL2017!T47+TONT20000AOUT2017!T47</f>
        <v>0</v>
      </c>
      <c r="U47" s="44">
        <v>42634</v>
      </c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TONT20000DEC2016!E48+TONT20000JANV2017!C48+TONT20000FEV2017!C48+TONT20000MARS2017!C48+TONT20000AVRIL2017!C48+TONT20000MAI2017!C48+TONT20000JUIN2017!C48+TONT20000JUIL2017!C48+TONT20000AOUT2017!C48+TONT20000SEPT2017!C48+TONT20000OCT2017!C48+TONT20000NOV2017!C48</f>
        <v>1092.3385671927244</v>
      </c>
      <c r="D48" s="6">
        <f>TONT20000OCT2017!C48+TONT20000OCT2017!D48+TONT20000ANNUELLE!J48</f>
        <v>49092.338567192724</v>
      </c>
      <c r="E48" s="6"/>
      <c r="F48" s="7">
        <f t="shared" si="0"/>
        <v>0</v>
      </c>
      <c r="G48" s="7">
        <f t="shared" si="1"/>
        <v>0</v>
      </c>
      <c r="H48" s="43" t="s">
        <v>216</v>
      </c>
      <c r="I48" s="7">
        <f>TONT20000DEC2016!K48+TONT20000JANV2017!I48+TONT20000FEV2017!I48+TONT20000MARS2017!I48+TONT20000AVRIL2017!I48+TONT20000MAI2017!I48+TONT20000JUIN2017!I48+TONT20000JUIL2017!I48+TONT20000AOUT2017!I48</f>
        <v>160000</v>
      </c>
      <c r="J48" s="7">
        <f>TONT20000DEC2016!L48+TONT20000JANV2017!J48+TONT20000FEV2017!J48+TONT20000MARS2017!J48+TONT20000AVRIL2017!J48+TONT20000MAI2017!J48+TONT20000JUIN2017!J48+TONT20000JUIL2017!J48+TONT20000AOUT2017!J48</f>
        <v>24000</v>
      </c>
      <c r="K48" s="7">
        <f>TONT20000DEC2016!M48+TONT20000JANV2017!K48+TONT20000FEV2017!K48+TONT20000MARS2017!K48+TONT20000AVRIL2017!K48+TONT20000MAI2017!K48+TONT20000JUIN2017!K48+TONT20000JUIL2017!K48+TONT20000AOUT2017!K48</f>
        <v>4000</v>
      </c>
      <c r="L48" s="7">
        <f>TONT20000DEC2016!N48+TONT20000JANV2017!L48+TONT20000FEV2017!L48+TONT20000MARS2017!L48+TONT20000AVRIL2017!L48+TONT20000MAI2017!L48+TONT20000JUIN2017!L48+TONT20000JUIL2017!L48+TONT20000AOUT2017!L48</f>
        <v>8000</v>
      </c>
      <c r="M48" s="7">
        <f>TONT20000DEC2016!O48+TONT20000JANV2017!M48+TONT20000FEV2017!M48+TONT20000MARS2017!M48+TONT20000AVRIL2017!M48+TONT20000MAI2017!M48+TONT20000JUIN2017!M48+TONT20000JUIL2017!M48+TONT20000AOUT2017!M48</f>
        <v>20000</v>
      </c>
      <c r="N48" s="7">
        <f>TONT20000DEC2016!P48+TONT20000JANV2017!N48+TONT20000FEV2017!N48+TONT20000MARS2017!N48+TONT20000AVRIL2017!N48+TONT20000MAI2017!N48+TONT20000JUIN2017!N48+TONT20000JUIL2017!N48+TONT20000AOUT2017!N48</f>
        <v>0</v>
      </c>
      <c r="O48" s="7">
        <f>TONT20000DEC2016!Q48+TONT20000JANV2017!O48+TONT20000FEV2017!O48+TONT20000MARS2017!O48+TONT20000AVRIL2017!O48+TONT20000MAI2017!O48+TONT20000JUIN2017!O48+TONT20000JUIL2017!O48+TONT20000AOUT2017!O48</f>
        <v>0</v>
      </c>
      <c r="P48" s="7">
        <f>TONT20000DEC2016!R48+TONT20000JANV2017!P48+TONT20000FEV2017!P48+TONT20000MARS2017!P48+TONT20000AVRIL2017!P48+TONT20000MAI2017!P48+TONT20000JUIN2017!P48+TONT20000JUIL2017!P48+TONT20000AOUT2017!P48</f>
        <v>0</v>
      </c>
      <c r="Q48" s="7">
        <f>TONT20000DEC2016!S48+TONT20000JANV2017!Q48+TONT20000FEV2017!Q48+TONT20000MARS2017!Q48+TONT20000AVRIL2017!Q48+TONT20000MAI2017!Q48+TONT20000JUIN2017!Q48+TONT20000JUIL2017!Q48+TONT20000AOUT2017!Q48</f>
        <v>0</v>
      </c>
      <c r="R48" s="7">
        <f>TONT20000DEC2016!T48+TONT20000JANV2017!R48+TONT20000FEV2017!R48+TONT20000MARS2017!R48+TONT20000AVRIL2017!R48+TONT20000MAI2017!R48+TONT20000JUIN2017!R48+TONT20000JUIL2017!R48+TONT20000AOUT2017!R48</f>
        <v>0</v>
      </c>
      <c r="S48" s="7">
        <f>TONT20000DEC2016!U48+TONT20000JANV2017!S48+TONT20000FEV2017!S48+TONT20000MARS2017!S48+TONT20000AVRIL2017!S48+TONT20000MAI2017!S48+TONT20000JUIN2017!S48+TONT20000JUIL2017!S48+TONT20000AOUT2017!S48</f>
        <v>0</v>
      </c>
      <c r="T48" s="7">
        <f>TONT20000DEC2016!V48+TONT20000JANV2017!T48+TONT20000FEV2017!T48+TONT20000MARS2017!T48+TONT20000AVRIL2017!T48+TONT20000MAI2017!T48+TONT20000JUIN2017!T48+TONT20000JUIL2017!T48+TONT20000AOUT2017!T48</f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TONT20000DEC2016!E49+TONT20000JANV2017!C49+TONT20000FEV2017!C49+TONT20000MARS2017!C49+TONT20000AVRIL2017!C49+TONT20000MAI2017!C49+TONT20000JUIN2017!C49+TONT20000JUIL2017!C49+TONT20000AOUT2017!C49+TONT20000SEPT2017!C49+TONT20000OCT2017!C49+TONT20000NOV2017!C49</f>
        <v>31612.565694385827</v>
      </c>
      <c r="D49" s="6">
        <f>TONT20000OCT2017!C49+TONT20000OCT2017!D49+TONT20000ANNUELLE!J49</f>
        <v>576205.56569438591</v>
      </c>
      <c r="E49" s="6"/>
      <c r="F49" s="7">
        <f t="shared" si="0"/>
        <v>0</v>
      </c>
      <c r="G49" s="7">
        <f t="shared" si="1"/>
        <v>0</v>
      </c>
      <c r="H49" s="43" t="s">
        <v>216</v>
      </c>
      <c r="I49" s="7">
        <f>TONT20000DEC2016!K49+TONT20000JANV2017!I49+TONT20000FEV2017!I49+TONT20000MARS2017!I49+TONT20000AVRIL2017!I49+TONT20000MAI2017!I49+TONT20000JUIN2017!I49+TONT20000JUIL2017!I49+TONT20000AOUT2017!I49</f>
        <v>201000</v>
      </c>
      <c r="J49" s="7">
        <f>TONT20000DEC2016!L49+TONT20000JANV2017!J49+TONT20000FEV2017!J49+TONT20000MARS2017!J49+TONT20000AVRIL2017!J49+TONT20000MAI2017!J49+TONT20000JUIN2017!J49+TONT20000JUIL2017!J49+TONT20000AOUT2017!J49</f>
        <v>61000</v>
      </c>
      <c r="K49" s="7">
        <f>TONT20000DEC2016!M49+TONT20000JANV2017!K49+TONT20000FEV2017!K49+TONT20000MARS2017!K49+TONT20000AVRIL2017!K49+TONT20000MAI2017!K49+TONT20000JUIN2017!K49+TONT20000JUIL2017!K49+TONT20000AOUT2017!K49</f>
        <v>4500</v>
      </c>
      <c r="L49" s="7">
        <f>TONT20000DEC2016!N49+TONT20000JANV2017!L49+TONT20000FEV2017!L49+TONT20000MARS2017!L49+TONT20000AVRIL2017!L49+TONT20000MAI2017!L49+TONT20000JUIN2017!L49+TONT20000JUIL2017!L49+TONT20000AOUT2017!L49</f>
        <v>9000</v>
      </c>
      <c r="M49" s="7">
        <f>TONT20000DEC2016!O49+TONT20000JANV2017!M49+TONT20000FEV2017!M49+TONT20000MARS2017!M49+TONT20000AVRIL2017!M49+TONT20000MAI2017!M49+TONT20000JUIN2017!M49+TONT20000JUIL2017!M49+TONT20000AOUT2017!M49</f>
        <v>22500</v>
      </c>
      <c r="N49" s="7">
        <f>TONT20000DEC2016!P49+TONT20000JANV2017!N49+TONT20000FEV2017!N49+TONT20000MARS2017!N49+TONT20000AVRIL2017!N49+TONT20000MAI2017!N49+TONT20000JUIN2017!N49+TONT20000JUIL2017!N49+TONT20000AOUT2017!N49</f>
        <v>0</v>
      </c>
      <c r="O49" s="7">
        <f>TONT20000DEC2016!Q49+TONT20000JANV2017!O49+TONT20000FEV2017!O49+TONT20000MARS2017!O49+TONT20000AVRIL2017!O49+TONT20000MAI2017!O49+TONT20000JUIN2017!O49+TONT20000JUIL2017!O49+TONT20000AOUT2017!O49</f>
        <v>1000000</v>
      </c>
      <c r="P49" s="7">
        <f>TONT20000DEC2016!R49+TONT20000JANV2017!P49+TONT20000FEV2017!P49+TONT20000MARS2017!P49+TONT20000AVRIL2017!P49+TONT20000MAI2017!P49+TONT20000JUIN2017!P49+TONT20000JUIL2017!P49+TONT20000AOUT2017!P49</f>
        <v>120000</v>
      </c>
      <c r="Q49" s="7">
        <f>TONT20000DEC2016!S49+TONT20000JANV2017!Q49+TONT20000FEV2017!Q49+TONT20000MARS2017!Q49+TONT20000AVRIL2017!Q49+TONT20000MAI2017!Q49+TONT20000JUIN2017!Q49+TONT20000JUIL2017!Q49+TONT20000AOUT2017!Q49</f>
        <v>1176000</v>
      </c>
      <c r="R49" s="7">
        <f>TONT20000DEC2016!T49+TONT20000JANV2017!R49+TONT20000FEV2017!R49+TONT20000MARS2017!R49+TONT20000AVRIL2017!R49+TONT20000MAI2017!R49+TONT20000JUIN2017!R49+TONT20000JUIL2017!R49+TONT20000AOUT2017!R49</f>
        <v>0</v>
      </c>
      <c r="S49" s="7">
        <f>TONT20000DEC2016!U49+TONT20000JANV2017!S49+TONT20000FEV2017!S49+TONT20000MARS2017!S49+TONT20000AVRIL2017!S49+TONT20000MAI2017!S49+TONT20000JUIN2017!S49+TONT20000JUIL2017!S49+TONT20000AOUT2017!S49</f>
        <v>0</v>
      </c>
      <c r="T49" s="7">
        <f>TONT20000DEC2016!V49+TONT20000JANV2017!T49+TONT20000FEV2017!T49+TONT20000MARS2017!T49+TONT20000AVRIL2017!T49+TONT20000MAI2017!T49+TONT20000JUIN2017!T49+TONT20000JUIL2017!T49+TONT20000AOUT2017!T49</f>
        <v>0</v>
      </c>
      <c r="U49" s="44">
        <v>42659</v>
      </c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TONT20000DEC2016!E50+TONT20000JANV2017!C50+TONT20000FEV2017!C50+TONT20000MARS2017!C50+TONT20000AVRIL2017!C50+TONT20000MAI2017!C50+TONT20000JUIN2017!C50+TONT20000JUIL2017!C50+TONT20000AOUT2017!C50+TONT20000SEPT2017!C50+TONT20000OCT2017!C50+TONT20000NOV2017!C50</f>
        <v>29936.638264361482</v>
      </c>
      <c r="D50" s="6">
        <f>TONT20000OCT2017!C50+TONT20000OCT2017!D50+TONT20000ANNUELLE!J50</f>
        <v>494439.63826436154</v>
      </c>
      <c r="E50" s="6"/>
      <c r="F50" s="7">
        <f>IF(H50="ECHEC",0,13000)</f>
        <v>0</v>
      </c>
      <c r="G50" s="7">
        <f t="shared" si="1"/>
        <v>0</v>
      </c>
      <c r="H50" s="43" t="s">
        <v>216</v>
      </c>
      <c r="I50" s="7">
        <f>TONT20000DEC2016!K50+TONT20000JANV2017!I50+TONT20000FEV2017!I50+TONT20000MARS2017!I50+TONT20000AVRIL2017!I50+TONT20000MAI2017!I50+TONT20000JUIN2017!I50+TONT20000JUIL2017!I50+TONT20000AOUT2017!I50</f>
        <v>140000</v>
      </c>
      <c r="J50" s="7">
        <f>TONT20000DEC2016!L50+TONT20000JANV2017!J50+TONT20000FEV2017!J50+TONT20000MARS2017!J50+TONT20000AVRIL2017!J50+TONT20000MAI2017!J50+TONT20000JUIN2017!J50+TONT20000JUIL2017!J50+TONT20000AOUT2017!J50</f>
        <v>21000</v>
      </c>
      <c r="K50" s="7">
        <f>TONT20000DEC2016!M50+TONT20000JANV2017!K50+TONT20000FEV2017!K50+TONT20000MARS2017!K50+TONT20000AVRIL2017!K50+TONT20000MAI2017!K50+TONT20000JUIN2017!K50+TONT20000JUIL2017!K50+TONT20000AOUT2017!K50</f>
        <v>3500</v>
      </c>
      <c r="L50" s="7">
        <f>TONT20000DEC2016!N50+TONT20000JANV2017!L50+TONT20000FEV2017!L50+TONT20000MARS2017!L50+TONT20000AVRIL2017!L50+TONT20000MAI2017!L50+TONT20000JUIN2017!L50+TONT20000JUIL2017!L50+TONT20000AOUT2017!L50</f>
        <v>7000</v>
      </c>
      <c r="M50" s="7">
        <f>TONT20000DEC2016!O50+TONT20000JANV2017!M50+TONT20000FEV2017!M50+TONT20000MARS2017!M50+TONT20000AVRIL2017!M50+TONT20000MAI2017!M50+TONT20000JUIN2017!M50+TONT20000JUIL2017!M50+TONT20000AOUT2017!M50</f>
        <v>17500</v>
      </c>
      <c r="N50" s="7">
        <f>TONT20000DEC2016!P50+TONT20000JANV2017!N50+TONT20000FEV2017!N50+TONT20000MARS2017!N50+TONT20000AVRIL2017!N50+TONT20000MAI2017!N50+TONT20000JUIN2017!N50+TONT20000JUIL2017!N50+TONT20000AOUT2017!N50</f>
        <v>0</v>
      </c>
      <c r="O50" s="7">
        <f>TONT20000DEC2016!Q50+TONT20000JANV2017!O50+TONT20000FEV2017!O50+TONT20000MARS2017!O50+TONT20000AVRIL2017!O50+TONT20000MAI2017!O50+TONT20000JUIN2017!O50+TONT20000JUIL2017!O50+TONT20000AOUT2017!O50</f>
        <v>1000000</v>
      </c>
      <c r="P50" s="7">
        <f>TONT20000DEC2016!R50+TONT20000JANV2017!P50+TONT20000FEV2017!P50+TONT20000MARS2017!P50+TONT20000AVRIL2017!P50+TONT20000MAI2017!P50+TONT20000JUIN2017!P50+TONT20000JUIL2017!P50+TONT20000AOUT2017!P50</f>
        <v>120000</v>
      </c>
      <c r="Q50" s="7">
        <f>TONT20000DEC2016!S50+TONT20000JANV2017!Q50+TONT20000FEV2017!Q50+TONT20000MARS2017!Q50+TONT20000AVRIL2017!Q50+TONT20000MAI2017!Q50+TONT20000JUIN2017!Q50+TONT20000JUIL2017!Q50+TONT20000AOUT2017!Q50</f>
        <v>0</v>
      </c>
      <c r="R50" s="7">
        <f>TONT20000DEC2016!T50+TONT20000JANV2017!R50+TONT20000FEV2017!R50+TONT20000MARS2017!R50+TONT20000AVRIL2017!R50+TONT20000MAI2017!R50+TONT20000JUIN2017!R50+TONT20000JUIL2017!R50+TONT20000AOUT2017!R50</f>
        <v>0</v>
      </c>
      <c r="S50" s="7">
        <f>TONT20000DEC2016!U50+TONT20000JANV2017!S50+TONT20000FEV2017!S50+TONT20000MARS2017!S50+TONT20000AVRIL2017!S50+TONT20000MAI2017!S50+TONT20000JUIN2017!S50+TONT20000JUIL2017!S50+TONT20000AOUT2017!S50</f>
        <v>0</v>
      </c>
      <c r="T50" s="7">
        <f>TONT20000DEC2016!V50+TONT20000JANV2017!T50+TONT20000FEV2017!T50+TONT20000MARS2017!T50+TONT20000AVRIL2017!T50+TONT20000MAI2017!T50+TONT20000JUIN2017!T50+TONT20000JUIL2017!T50+TONT20000AOUT2017!T50</f>
        <v>0</v>
      </c>
      <c r="U50" s="44">
        <v>42750</v>
      </c>
      <c r="V50" s="1" t="s">
        <v>240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>TONT20000DEC2016!E51+TONT20000JANV2017!C51+TONT20000FEV2017!C51+TONT20000MARS2017!C51+TONT20000AVRIL2017!C51+TONT20000MAI2017!C51+TONT20000JUIN2017!C51+TONT20000JUIL2017!C51+TONT20000AOUT2017!C51+TONT20000SEPT2017!C51+TONT20000OCT2017!C51+TONT20000NOV2017!C51</f>
        <v>56664.519040889929</v>
      </c>
      <c r="D51" s="6">
        <f>TONT20000OCT2017!C51+TONT20000OCT2017!D51+TONT20000ANNUELLE!J51</f>
        <v>924646.51904088992</v>
      </c>
      <c r="E51" s="6"/>
      <c r="F51" s="7">
        <f t="shared" si="0"/>
        <v>0</v>
      </c>
      <c r="G51" s="7">
        <f t="shared" si="1"/>
        <v>0</v>
      </c>
      <c r="H51" s="43" t="s">
        <v>216</v>
      </c>
      <c r="I51" s="7">
        <f>TONT20000DEC2016!K51+TONT20000JANV2017!I51+TONT20000FEV2017!I51+TONT20000MARS2017!I51+TONT20000AVRIL2017!I51+TONT20000MAI2017!I51+TONT20000JUIN2017!I51+TONT20000JUIL2017!I51+TONT20000AOUT2017!I51</f>
        <v>167000</v>
      </c>
      <c r="J51" s="7">
        <f>TONT20000DEC2016!L51+TONT20000JANV2017!J51+TONT20000FEV2017!J51+TONT20000MARS2017!J51+TONT20000AVRIL2017!J51+TONT20000MAI2017!J51+TONT20000JUIN2017!J51+TONT20000JUIL2017!J51+TONT20000AOUT2017!J51</f>
        <v>27000</v>
      </c>
      <c r="K51" s="7">
        <f>TONT20000DEC2016!M51+TONT20000JANV2017!K51+TONT20000FEV2017!K51+TONT20000MARS2017!K51+TONT20000AVRIL2017!K51+TONT20000MAI2017!K51+TONT20000JUIN2017!K51+TONT20000JUIL2017!K51+TONT20000AOUT2017!K51</f>
        <v>4500</v>
      </c>
      <c r="L51" s="7">
        <f>TONT20000DEC2016!N51+TONT20000JANV2017!L51+TONT20000FEV2017!L51+TONT20000MARS2017!L51+TONT20000AVRIL2017!L51+TONT20000MAI2017!L51+TONT20000JUIN2017!L51+TONT20000JUIL2017!L51+TONT20000AOUT2017!L51</f>
        <v>9000</v>
      </c>
      <c r="M51" s="7">
        <f>TONT20000DEC2016!O51+TONT20000JANV2017!M51+TONT20000FEV2017!M51+TONT20000MARS2017!M51+TONT20000AVRIL2017!M51+TONT20000MAI2017!M51+TONT20000JUIN2017!M51+TONT20000JUIL2017!M51+TONT20000AOUT2017!M51</f>
        <v>22500</v>
      </c>
      <c r="N51" s="7">
        <f>TONT20000DEC2016!P51+TONT20000JANV2017!N51+TONT20000FEV2017!N51+TONT20000MARS2017!N51+TONT20000AVRIL2017!N51+TONT20000MAI2017!N51+TONT20000JUIN2017!N51+TONT20000JUIL2017!N51+TONT20000AOUT2017!N51</f>
        <v>0</v>
      </c>
      <c r="O51" s="7">
        <f>TONT20000DEC2016!Q51+TONT20000JANV2017!O51+TONT20000FEV2017!O51+TONT20000MARS2017!O51+TONT20000AVRIL2017!O51+TONT20000MAI2017!O51+TONT20000JUIN2017!O51+TONT20000JUIL2017!O51+TONT20000AOUT2017!O51</f>
        <v>0</v>
      </c>
      <c r="P51" s="7">
        <f>TONT20000DEC2016!R51+TONT20000JANV2017!P51+TONT20000FEV2017!P51+TONT20000MARS2017!P51+TONT20000AVRIL2017!P51+TONT20000MAI2017!P51+TONT20000JUIN2017!P51+TONT20000JUIL2017!P51+TONT20000AOUT2017!P51</f>
        <v>0</v>
      </c>
      <c r="Q51" s="7">
        <f>TONT20000DEC2016!S51+TONT20000JANV2017!Q51+TONT20000FEV2017!Q51+TONT20000MARS2017!Q51+TONT20000AVRIL2017!Q51+TONT20000MAI2017!Q51+TONT20000JUIN2017!Q51+TONT20000JUIL2017!Q51+TONT20000AOUT2017!Q51</f>
        <v>0</v>
      </c>
      <c r="R51" s="7">
        <f>TONT20000DEC2016!T51+TONT20000JANV2017!R51+TONT20000FEV2017!R51+TONT20000MARS2017!R51+TONT20000AVRIL2017!R51+TONT20000MAI2017!R51+TONT20000JUIN2017!R51+TONT20000JUIL2017!R51+TONT20000AOUT2017!R51</f>
        <v>0</v>
      </c>
      <c r="S51" s="7">
        <f>TONT20000DEC2016!U51+TONT20000JANV2017!S51+TONT20000FEV2017!S51+TONT20000MARS2017!S51+TONT20000AVRIL2017!S51+TONT20000MAI2017!S51+TONT20000JUIN2017!S51+TONT20000JUIL2017!S51+TONT20000AOUT2017!S51</f>
        <v>0</v>
      </c>
      <c r="T51" s="7">
        <f>TONT20000DEC2016!V51+TONT20000JANV2017!T51+TONT20000FEV2017!T51+TONT20000MARS2017!T51+TONT20000AVRIL2017!T51+TONT20000MAI2017!T51+TONT20000JUIN2017!T51+TONT20000JUIL2017!T51+TONT20000AOUT2017!T51</f>
        <v>10000</v>
      </c>
      <c r="U51" s="44">
        <v>42476</v>
      </c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>TONT20000DEC2016!E52+TONT20000JANV2017!C52+TONT20000FEV2017!C52+TONT20000MARS2017!C52+TONT20000AVRIL2017!C52+TONT20000MAI2017!C52+TONT20000JUIN2017!C52+TONT20000JUIL2017!C52+TONT20000AOUT2017!C52+TONT20000SEPT2017!C52+TONT20000OCT2017!C52+TONT20000NOV2017!C52</f>
        <v>103624.77341999976</v>
      </c>
      <c r="D52" s="6">
        <f>TONT20000OCT2017!C52+TONT20000OCT2017!D52+TONT20000ANNUELLE!J52</f>
        <v>1861252.7734199998</v>
      </c>
      <c r="E52" s="6"/>
      <c r="F52" s="7">
        <f t="shared" si="0"/>
        <v>0</v>
      </c>
      <c r="G52" s="7">
        <f t="shared" si="1"/>
        <v>0</v>
      </c>
      <c r="H52" s="43" t="s">
        <v>216</v>
      </c>
      <c r="I52" s="7">
        <f>TONT20000DEC2016!K52+TONT20000JANV2017!I52+TONT20000FEV2017!I52+TONT20000MARS2017!I52+TONT20000AVRIL2017!I52+TONT20000MAI2017!I52+TONT20000JUIN2017!I52+TONT20000JUIL2017!I52+TONT20000AOUT2017!I52</f>
        <v>367000</v>
      </c>
      <c r="J52" s="7">
        <f>TONT20000DEC2016!L52+TONT20000JANV2017!J52+TONT20000FEV2017!J52+TONT20000MARS2017!J52+TONT20000AVRIL2017!J52+TONT20000MAI2017!J52+TONT20000JUIN2017!J52+TONT20000JUIL2017!J52+TONT20000AOUT2017!J52</f>
        <v>227000</v>
      </c>
      <c r="K52" s="7">
        <f>TONT20000DEC2016!M52+TONT20000JANV2017!K52+TONT20000FEV2017!K52+TONT20000MARS2017!K52+TONT20000AVRIL2017!K52+TONT20000MAI2017!K52+TONT20000JUIN2017!K52+TONT20000JUIL2017!K52+TONT20000AOUT2017!K52</f>
        <v>4500</v>
      </c>
      <c r="L52" s="7">
        <f>TONT20000DEC2016!N52+TONT20000JANV2017!L52+TONT20000FEV2017!L52+TONT20000MARS2017!L52+TONT20000AVRIL2017!L52+TONT20000MAI2017!L52+TONT20000JUIN2017!L52+TONT20000JUIL2017!L52+TONT20000AOUT2017!L52</f>
        <v>9000</v>
      </c>
      <c r="M52" s="7">
        <f>TONT20000DEC2016!O52+TONT20000JANV2017!M52+TONT20000FEV2017!M52+TONT20000MARS2017!M52+TONT20000AVRIL2017!M52+TONT20000MAI2017!M52+TONT20000JUIN2017!M52+TONT20000JUIL2017!M52+TONT20000AOUT2017!M52</f>
        <v>22500</v>
      </c>
      <c r="N52" s="7">
        <f>TONT20000DEC2016!P52+TONT20000JANV2017!N52+TONT20000FEV2017!N52+TONT20000MARS2017!N52+TONT20000AVRIL2017!N52+TONT20000MAI2017!N52+TONT20000JUIN2017!N52+TONT20000JUIL2017!N52+TONT20000AOUT2017!N52</f>
        <v>0</v>
      </c>
      <c r="O52" s="7">
        <f>TONT20000DEC2016!Q52+TONT20000JANV2017!O52+TONT20000FEV2017!O52+TONT20000MARS2017!O52+TONT20000AVRIL2017!O52+TONT20000MAI2017!O52+TONT20000JUIN2017!O52+TONT20000JUIL2017!O52+TONT20000AOUT2017!O52</f>
        <v>0</v>
      </c>
      <c r="P52" s="7">
        <f>TONT20000DEC2016!R52+TONT20000JANV2017!P52+TONT20000FEV2017!P52+TONT20000MARS2017!P52+TONT20000AVRIL2017!P52+TONT20000MAI2017!P52+TONT20000JUIN2017!P52+TONT20000JUIL2017!P52+TONT20000AOUT2017!P52</f>
        <v>0</v>
      </c>
      <c r="Q52" s="7">
        <f>TONT20000DEC2016!S52+TONT20000JANV2017!Q52+TONT20000FEV2017!Q52+TONT20000MARS2017!Q52+TONT20000AVRIL2017!Q52+TONT20000MAI2017!Q52+TONT20000JUIN2017!Q52+TONT20000JUIL2017!Q52+TONT20000AOUT2017!Q52</f>
        <v>0</v>
      </c>
      <c r="R52" s="7">
        <f>TONT20000DEC2016!T52+TONT20000JANV2017!R52+TONT20000FEV2017!R52+TONT20000MARS2017!R52+TONT20000AVRIL2017!R52+TONT20000MAI2017!R52+TONT20000JUIN2017!R52+TONT20000JUIL2017!R52+TONT20000AOUT2017!R52</f>
        <v>0</v>
      </c>
      <c r="S52" s="7">
        <f>TONT20000DEC2016!U52+TONT20000JANV2017!S52+TONT20000FEV2017!S52+TONT20000MARS2017!S52+TONT20000AVRIL2017!S52+TONT20000MAI2017!S52+TONT20000JUIN2017!S52+TONT20000JUIL2017!S52+TONT20000AOUT2017!S52</f>
        <v>0</v>
      </c>
      <c r="T52" s="7">
        <f>TONT20000DEC2016!V52+TONT20000JANV2017!T52+TONT20000FEV2017!T52+TONT20000MARS2017!T52+TONT20000AVRIL2017!T52+TONT20000MAI2017!T52+TONT20000JUIN2017!T52+TONT20000JUIL2017!T52+TONT20000AOUT2017!T52</f>
        <v>10000</v>
      </c>
      <c r="U52" s="44">
        <v>42511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1507500.0000000002</v>
      </c>
      <c r="D56" s="9">
        <f>SUM(D5:D52)</f>
        <v>28606512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2">SUM(I5:I52)</f>
        <v>9552497</v>
      </c>
      <c r="J56" s="9">
        <f t="shared" si="2"/>
        <v>3769693</v>
      </c>
      <c r="K56" s="9">
        <f t="shared" si="2"/>
        <v>197000</v>
      </c>
      <c r="L56" s="9">
        <f t="shared" si="2"/>
        <v>409000</v>
      </c>
      <c r="M56" s="9">
        <f t="shared" si="2"/>
        <v>910000</v>
      </c>
      <c r="N56" s="9">
        <f t="shared" si="2"/>
        <v>79804</v>
      </c>
      <c r="O56" s="9">
        <f t="shared" si="2"/>
        <v>13650000</v>
      </c>
      <c r="P56" s="9">
        <f t="shared" si="2"/>
        <v>1507500</v>
      </c>
      <c r="Q56" s="9">
        <f t="shared" si="2"/>
        <v>10797200</v>
      </c>
      <c r="R56" s="9">
        <f t="shared" si="2"/>
        <v>0</v>
      </c>
      <c r="S56" s="9">
        <f t="shared" si="2"/>
        <v>0</v>
      </c>
      <c r="T56" s="9">
        <f t="shared" si="2"/>
        <v>178000</v>
      </c>
    </row>
    <row r="60" spans="1:22" ht="18" x14ac:dyDescent="0.25">
      <c r="D60" s="9" t="s">
        <v>58</v>
      </c>
      <c r="E60" s="9">
        <f>+K56</f>
        <v>197000</v>
      </c>
    </row>
    <row r="61" spans="1:22" ht="18" x14ac:dyDescent="0.25">
      <c r="D61" s="9" t="s">
        <v>57</v>
      </c>
      <c r="E61" s="9">
        <f>+J56</f>
        <v>3769693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409000</v>
      </c>
    </row>
    <row r="64" spans="1:22" ht="18" x14ac:dyDescent="0.25">
      <c r="D64" s="9" t="s">
        <v>60</v>
      </c>
      <c r="E64" s="9">
        <f>+M56</f>
        <v>910000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5285693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V52"/>
  <dataValidations disablePrompts="1"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workbookViewId="0">
      <pane xSplit="2" ySplit="4" topLeftCell="D17" activePane="bottomRight" state="frozen"/>
      <selection activeCell="B22" sqref="B22"/>
      <selection pane="topRight" activeCell="B22" sqref="B22"/>
      <selection pane="bottomLeft" activeCell="B22" sqref="B22"/>
      <selection pane="bottomRight" activeCell="F26" sqref="F2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7" width="13" customWidth="1"/>
    <col min="8" max="8" width="13" hidden="1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5" style="2" bestFit="1" customWidth="1"/>
    <col min="15" max="15" width="16.85546875" bestFit="1" customWidth="1"/>
    <col min="16" max="16" width="15" bestFit="1" customWidth="1"/>
    <col min="17" max="17" width="18.140625" customWidth="1"/>
    <col min="20" max="20" width="12.28515625" customWidth="1"/>
    <col min="22" max="22" width="25.42578125" bestFit="1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184</v>
      </c>
      <c r="D4" s="5" t="s">
        <v>185</v>
      </c>
      <c r="E4" s="1" t="s">
        <v>182</v>
      </c>
      <c r="F4" s="5" t="s">
        <v>218</v>
      </c>
      <c r="G4" s="1" t="s">
        <v>219</v>
      </c>
      <c r="H4" s="43" t="s">
        <v>220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180</v>
      </c>
      <c r="S4" s="5" t="s">
        <v>179</v>
      </c>
      <c r="T4" s="6" t="s">
        <v>9</v>
      </c>
      <c r="U4" s="1" t="s">
        <v>10</v>
      </c>
      <c r="V4" s="5" t="s">
        <v>222</v>
      </c>
    </row>
    <row r="5" spans="1:22" x14ac:dyDescent="0.25">
      <c r="A5" s="1" t="s">
        <v>183</v>
      </c>
      <c r="B5" s="1" t="str">
        <f>VLOOKUP(A5,LISTADHERENT!A$5:H$52,2,0)</f>
        <v>ASELBY</v>
      </c>
      <c r="C5" s="6">
        <f>TONT20000DEC2016!E5+TONT20000JANV2017!C5+TONT20000FEV2017!C5+TONT20000MARS2017!C5+TONT20000AVRIL2017!C5+TONT20000MAI2017!C5+TONT20000JUIN2017!C5+TONT20000JUIL2017!C5+TONT20000AOUT2017!C5+TONT20000SEPT2017!C5+TONT20000OCT2017!C5+TONT20000NOV2017!C5</f>
        <v>24242.945817566724</v>
      </c>
      <c r="D5" s="6">
        <f>TONT20000OCT2017!C5+TONT20000OCT2017!D5+TONT20000ANNUELLEBACKUP!J5</f>
        <v>379339.94581756671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TONT20000DEC2016!E6+TONT20000JANV2017!C6+TONT20000FEV2017!C6+TONT20000MARS2017!C6+TONT20000AVRIL2017!C6+TONT20000MAI2017!C6+TONT20000JUIN2017!C6+TONT20000JUIL2017!C6+TONT20000AOUT2017!C6+TONT20000SEPT2017!C6+TONT20000OCT2017!C6+TONT20000NOV2017!C6</f>
        <v>32224.497730462026</v>
      </c>
      <c r="D6" s="6">
        <f>TONT20000OCT2017!C6+TONT20000OCT2017!D6+TONT20000ANNUELLEBACKUP!J6</f>
        <v>514217.49773046206</v>
      </c>
      <c r="E6" s="6"/>
      <c r="F6" s="7">
        <f>IF(H6="ECHEC",0,13000)</f>
        <v>0</v>
      </c>
      <c r="G6" s="7">
        <f>IF(H6="ESPECES",1000,0)</f>
        <v>0</v>
      </c>
      <c r="H6" s="43" t="s">
        <v>216</v>
      </c>
      <c r="I6" s="7">
        <f>TONT20000DEC2016!K6+TONT20000JANV2017!I6+TONT20000FEV2017!I6+TONT20000MARS2017!I6+TONT20000AVRIL2017!I6+TONT20000MAI2017!I6+TONT20000JUIN2017!I6+TONT20000JUIL2017!I6+TONT20000AOUT2017!J6+TONT20000SEPT2017!I6+TONT20000OCT2017!I6+TONT20000NOV2017!I6</f>
        <v>30000</v>
      </c>
      <c r="J6" s="7">
        <f>TONT20000DEC2016!L6+TONT20000JANV2017!J6+TONT20000FEV2017!J6+TONT20000MARS2017!J6+TONT20000AVRIL2017!J6+TONT20000MAI2017!J6+TONT20000JUIN2017!J6+TONT20000JUIL2017!J6+TONT20000AOUT2017!K6+TONT20000SEPT2017!J6+TONT20000OCT2017!J6+TONT20000NOV2017!J6</f>
        <v>5000</v>
      </c>
      <c r="K6" s="7">
        <f>TONT20000DEC2016!M6+TONT20000JANV2017!K6+TONT20000FEV2017!K6+TONT20000MARS2017!K6+TONT20000AVRIL2017!K6+TONT20000MAI2017!K6+TONT20000JUIN2017!K6+TONT20000JUIL2017!K6+TONT20000AOUT2017!L6+TONT20000SEPT2017!K6+TONT20000OCT2017!K6+TONT20000NOV2017!K6</f>
        <v>10000</v>
      </c>
      <c r="L6" s="7">
        <f>TONT20000DEC2016!N6+TONT20000JANV2017!L6+TONT20000FEV2017!L6+TONT20000MARS2017!L6+TONT20000AVRIL2017!L6+TONT20000MAI2017!L6+TONT20000JUIN2017!L6+TONT20000JUIL2017!L6+TONT20000AOUT2017!M6+TONT20000SEPT2017!L6+TONT20000OCT2017!L6+TONT20000NOV2017!L6</f>
        <v>25000</v>
      </c>
      <c r="M6" s="7" t="e">
        <f>TONT20000DEC2016!O6+TONT20000JANV2017!M6+TONT20000FEV2017!M6+TONT20000MARS2017!M6+TONT20000AVRIL2017!M6+TONT20000MAI2017!M6+TONT20000JUIN2017!M6+TONT20000JUIL2017!M6+TONT20000AOUT2017!#REF!+TONT20000SEPT2017!M6+TONT20000OCT2017!M6+TONT20000NOV2017!M6</f>
        <v>#REF!</v>
      </c>
      <c r="N6" s="7">
        <f>TONT20000DEC2016!P6+TONT20000JANV2017!N6+TONT20000FEV2017!N6+TONT20000MARS2017!N6+TONT20000AVRIL2017!N6+TONT20000MAI2017!N6+TONT20000JUIN2017!N6+TONT20000JUIL2017!N6+TONT20000AOUT2017!N6+TONT20000SEPT2017!N6+TONT20000OCT2017!N6+TONT20000NOV2017!N6+TRAVAUXINVENTAIRE!O6</f>
        <v>50000</v>
      </c>
      <c r="O6" s="7">
        <f>TONT20000DEC2016!Q6+TONT20000JANV2017!O6+TONT20000FEV2017!O6+TONT20000MARS2017!O6+TONT20000AVRIL2017!O6+TONT20000MAI2017!O6+TONT20000JUIN2017!O6+TONT20000JUIL2017!O6+TONT20000AOUT2017!O6+TONT20000SEPT2017!O6+TONT20000OCT2017!O6+TONT20000NOV2017!O6</f>
        <v>0</v>
      </c>
      <c r="P6" s="7">
        <f>TONT20000DEC2016!R6+TONT20000JANV2017!P6+TONT20000FEV2017!P6+TONT20000MARS2017!P6+TONT20000AVRIL2017!P6+TONT20000MAI2017!P6+TONT20000JUIN2017!P6+TONT20000JUIL2017!P6+TONT20000AOUT2017!P6+TONT20000SEPT2017!P6+TONT20000OCT2017!P6+TONT20000NOV2017!P6</f>
        <v>0</v>
      </c>
      <c r="Q6" s="7">
        <f>TONT20000DEC2016!S6+TONT20000JANV2017!Q6+TONT20000FEV2017!Q6+TONT20000MARS2017!Q6+TONT20000AVRIL2017!Q6+TONT20000MAI2017!Q6+TONT20000JUIN2017!Q6+TONT20000JUIL2017!Q6+TONT20000AOUT2017!Q6+TONT20000SEPT2017!Q6+TONT20000OCT2017!Q6+TONT20000NOV2017!Q6</f>
        <v>0</v>
      </c>
      <c r="R6" s="7">
        <f>TONT20000DEC2016!T6+TONT20000JANV2017!R6+TONT20000FEV2017!R6+TONT20000MARS2017!R6+TONT20000AVRIL2017!R6+TONT20000MAI2017!R6+TONT20000JUIN2017!R6+TONT20000JUIL2017!R6+TONT20000AOUT2017!R6+TONT20000SEPT2017!R6+TONT20000OCT2017!R6+TONT20000NOV2017!R6</f>
        <v>0</v>
      </c>
      <c r="S6" s="7">
        <f>TONT20000DEC2016!U6+TONT20000JANV2017!S6+TONT20000FEV2017!S6+TONT20000MARS2017!S6+TONT20000AVRIL2017!S6+TONT20000MAI2017!S6+TONT20000JUIN2017!S6+TONT20000JUIL2017!S6+TONT20000AOUT2017!S6+TONT20000SEPT2017!S6+TONT20000OCT2017!S6+TONT20000NOV2017!S6</f>
        <v>0</v>
      </c>
      <c r="T6" s="7">
        <f>TONT20000DEC2016!V6+TONT20000JANV2017!T6+TONT20000FEV2017!T6+TONT20000MARS2017!T6+TONT20000AVRIL2017!T6+TONT20000MAI2017!T6+TONT20000JUIN2017!T6+TONT20000JUIL2017!T6+TONT20000AOUT2017!T6+TONT20000SEPT2017!T6+TONT20000OCT2017!T6+TONT20000NOV2017!T6</f>
        <v>0</v>
      </c>
      <c r="U6" t="s">
        <v>242</v>
      </c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TONT20000DEC2016!E7+TONT20000JANV2017!C7+TONT20000FEV2017!C7+TONT20000MARS2017!C7+TONT20000AVRIL2017!C7+TONT20000MAI2017!C7+TONT20000JUIN2017!C7+TONT20000JUIL2017!C7+TONT20000AOUT2017!C7+TONT20000SEPT2017!C7+TONT20000OCT2017!C7+TONT20000NOV2017!C7</f>
        <v>29952.087397890016</v>
      </c>
      <c r="D7" s="6">
        <f>TONT20000OCT2017!C7+TONT20000OCT2017!D7+TONT20000ANNUELLEBACKUP!J7</f>
        <v>501672.08739788999</v>
      </c>
      <c r="E7" s="6"/>
      <c r="F7" s="7">
        <f t="shared" ref="F7:F52" si="0">IF(H7="ECHEC",0,13000)</f>
        <v>0</v>
      </c>
      <c r="G7" s="7">
        <f t="shared" ref="G7:G52" si="1">IF(H7="ESPECES",1000,0)</f>
        <v>0</v>
      </c>
      <c r="H7" s="43" t="s">
        <v>216</v>
      </c>
      <c r="I7" s="7">
        <f>TONT20000DEC2016!K7+TONT20000JANV2017!I7+TONT20000FEV2017!I7+TONT20000MARS2017!I7+TONT20000AVRIL2017!I7+TONT20000MAI2017!I7+TONT20000JUIN2017!I7+TONT20000JUIL2017!I7+TONT20000AOUT2017!J7+TONT20000SEPT2017!I7+TONT20000OCT2017!I7+TONT20000NOV2017!I7</f>
        <v>163000</v>
      </c>
      <c r="J7" s="7">
        <f>TONT20000DEC2016!L7+TONT20000JANV2017!J7+TONT20000FEV2017!J7+TONT20000MARS2017!J7+TONT20000AVRIL2017!J7+TONT20000MAI2017!J7+TONT20000JUIN2017!J7+TONT20000JUIL2017!J7+TONT20000AOUT2017!K7+TONT20000SEPT2017!J7+TONT20000OCT2017!J7+TONT20000NOV2017!J7</f>
        <v>24500</v>
      </c>
      <c r="K7" s="7">
        <f>TONT20000DEC2016!M7+TONT20000JANV2017!K7+TONT20000FEV2017!K7+TONT20000MARS2017!K7+TONT20000AVRIL2017!K7+TONT20000MAI2017!K7+TONT20000JUIN2017!K7+TONT20000JUIL2017!K7+TONT20000AOUT2017!L7+TONT20000SEPT2017!K7+TONT20000OCT2017!K7+TONT20000NOV2017!K7</f>
        <v>5000</v>
      </c>
      <c r="L7" s="7">
        <f>TONT20000DEC2016!N7+TONT20000JANV2017!L7+TONT20000FEV2017!L7+TONT20000MARS2017!L7+TONT20000AVRIL2017!L7+TONT20000MAI2017!L7+TONT20000JUIN2017!L7+TONT20000JUIL2017!L7+TONT20000AOUT2017!M7+TONT20000SEPT2017!L7+TONT20000OCT2017!L7+TONT20000NOV2017!L7</f>
        <v>10500</v>
      </c>
      <c r="M7" s="7" t="e">
        <f>TONT20000DEC2016!O7+TONT20000JANV2017!M7+TONT20000FEV2017!M7+TONT20000MARS2017!M7+TONT20000AVRIL2017!M7+TONT20000MAI2017!M7+TONT20000JUIN2017!M7+TONT20000JUIL2017!M7+TONT20000AOUT2017!#REF!+TONT20000SEPT2017!M7+TONT20000OCT2017!M7+TONT20000NOV2017!M7</f>
        <v>#REF!</v>
      </c>
      <c r="N7" s="7">
        <f>TONT20000DEC2016!P7+TONT20000JANV2017!N7+TONT20000FEV2017!N7+TONT20000MARS2017!N7+TONT20000AVRIL2017!N7+TONT20000MAI2017!N7+TONT20000JUIN2017!N7+TONT20000JUIL2017!N7+TONT20000AOUT2017!N7+TONT20000SEPT2017!N7+TONT20000OCT2017!N7+TONT20000NOV2017!N7+TRAVAUXINVENTAIRE!O7</f>
        <v>50000</v>
      </c>
      <c r="O7" s="7">
        <f>TONT20000DEC2016!Q7+TONT20000JANV2017!O7+TONT20000FEV2017!O7+TONT20000MARS2017!O7+TONT20000AVRIL2017!O7+TONT20000MAI2017!O7+TONT20000JUIN2017!O7+TONT20000JUIL2017!O7+TONT20000AOUT2017!O7+TONT20000SEPT2017!O7+TONT20000OCT2017!O7+TONT20000NOV2017!O7</f>
        <v>0</v>
      </c>
      <c r="P7" s="7">
        <f>TONT20000DEC2016!R7+TONT20000JANV2017!P7+TONT20000FEV2017!P7+TONT20000MARS2017!P7+TONT20000AVRIL2017!P7+TONT20000MAI2017!P7+TONT20000JUIN2017!P7+TONT20000JUIL2017!P7+TONT20000AOUT2017!P7+TONT20000SEPT2017!P7+TONT20000OCT2017!P7+TONT20000NOV2017!P7</f>
        <v>0</v>
      </c>
      <c r="Q7" s="7">
        <f>TONT20000DEC2016!S7+TONT20000JANV2017!Q7+TONT20000FEV2017!Q7+TONT20000MARS2017!Q7+TONT20000AVRIL2017!Q7+TONT20000MAI2017!Q7+TONT20000JUIN2017!Q7+TONT20000JUIL2017!Q7+TONT20000AOUT2017!Q7+TONT20000SEPT2017!Q7+TONT20000OCT2017!Q7+TONT20000NOV2017!Q7</f>
        <v>0</v>
      </c>
      <c r="R7" s="7">
        <f>TONT20000DEC2016!T7+TONT20000JANV2017!R7+TONT20000FEV2017!R7+TONT20000MARS2017!R7+TONT20000AVRIL2017!R7+TONT20000MAI2017!R7+TONT20000JUIN2017!R7+TONT20000JUIL2017!R7+TONT20000AOUT2017!R7+TONT20000SEPT2017!R7+TONT20000OCT2017!R7+TONT20000NOV2017!R7</f>
        <v>0</v>
      </c>
      <c r="S7" s="7">
        <f>TONT20000DEC2016!U7+TONT20000JANV2017!S7+TONT20000FEV2017!S7+TONT20000MARS2017!S7+TONT20000AVRIL2017!S7+TONT20000MAI2017!S7+TONT20000JUIN2017!S7+TONT20000JUIL2017!S7+TONT20000AOUT2017!S7+TONT20000SEPT2017!S7+TONT20000OCT2017!S7+TONT20000NOV2017!S7</f>
        <v>0</v>
      </c>
      <c r="T7" s="7">
        <f>TONT20000DEC2016!V7+TONT20000JANV2017!T7+TONT20000FEV2017!T7+TONT20000MARS2017!T7+TONT20000AVRIL2017!T7+TONT20000MAI2017!T7+TONT20000JUIN2017!T7+TONT20000JUIL2017!T7+TONT20000AOUT2017!T7+TONT20000SEPT2017!T7+TONT20000OCT2017!T7+TONT20000NOV2017!T7</f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TONT20000DEC2016!E8+TONT20000JANV2017!C8+TONT20000FEV2017!C8+TONT20000MARS2017!C8+TONT20000AVRIL2017!C8+TONT20000MAI2017!C8+TONT20000JUIN2017!C8+TONT20000JUIL2017!C8+TONT20000AOUT2017!C8+TONT20000SEPT2017!C8+TONT20000OCT2017!C8+TONT20000NOV2017!C8</f>
        <v>30167.415184688009</v>
      </c>
      <c r="D8" s="6">
        <f>TONT20000OCT2017!C8+TONT20000OCT2017!D8+TONT20000ANNUELLEBACKUP!J8</f>
        <v>505041.41518468806</v>
      </c>
      <c r="E8" s="6"/>
      <c r="F8" s="7">
        <f t="shared" si="0"/>
        <v>0</v>
      </c>
      <c r="G8" s="7">
        <f t="shared" si="1"/>
        <v>0</v>
      </c>
      <c r="H8" s="43" t="s">
        <v>216</v>
      </c>
      <c r="I8" s="7">
        <f>TONT20000DEC2016!K8+TONT20000JANV2017!I8+TONT20000FEV2017!I8+TONT20000MARS2017!I8+TONT20000AVRIL2017!I8+TONT20000MAI2017!I8+TONT20000JUIN2017!I8+TONT20000JUIL2017!I8+TONT20000AOUT2017!J8+TONT20000SEPT2017!I8+TONT20000OCT2017!I8+TONT20000NOV2017!I8</f>
        <v>163000</v>
      </c>
      <c r="J8" s="7">
        <f>TONT20000DEC2016!L8+TONT20000JANV2017!J8+TONT20000FEV2017!J8+TONT20000MARS2017!J8+TONT20000AVRIL2017!J8+TONT20000MAI2017!J8+TONT20000JUIN2017!J8+TONT20000JUIL2017!J8+TONT20000AOUT2017!K8+TONT20000SEPT2017!J8+TONT20000OCT2017!J8+TONT20000NOV2017!J8</f>
        <v>24500</v>
      </c>
      <c r="K8" s="7">
        <f>TONT20000DEC2016!M8+TONT20000JANV2017!K8+TONT20000FEV2017!K8+TONT20000MARS2017!K8+TONT20000AVRIL2017!K8+TONT20000MAI2017!K8+TONT20000JUIN2017!K8+TONT20000JUIL2017!K8+TONT20000AOUT2017!L8+TONT20000SEPT2017!K8+TONT20000OCT2017!K8+TONT20000NOV2017!K8</f>
        <v>5000</v>
      </c>
      <c r="L8" s="7">
        <f>TONT20000DEC2016!N8+TONT20000JANV2017!L8+TONT20000FEV2017!L8+TONT20000MARS2017!L8+TONT20000AVRIL2017!L8+TONT20000MAI2017!L8+TONT20000JUIN2017!L8+TONT20000JUIL2017!L8+TONT20000AOUT2017!M8+TONT20000SEPT2017!L8+TONT20000OCT2017!L8+TONT20000NOV2017!L8</f>
        <v>10500</v>
      </c>
      <c r="M8" s="7" t="e">
        <f>TONT20000DEC2016!O8+TONT20000JANV2017!M8+TONT20000FEV2017!M8+TONT20000MARS2017!M8+TONT20000AVRIL2017!M8+TONT20000MAI2017!M8+TONT20000JUIN2017!M8+TONT20000JUIL2017!M8+TONT20000AOUT2017!#REF!+TONT20000SEPT2017!M8+TONT20000OCT2017!M8+TONT20000NOV2017!M8</f>
        <v>#REF!</v>
      </c>
      <c r="N8" s="7">
        <f>TONT20000DEC2016!P8+TONT20000JANV2017!N8+TONT20000FEV2017!N8+TONT20000MARS2017!N8+TONT20000AVRIL2017!N8+TONT20000MAI2017!N8+TONT20000JUIN2017!N8+TONT20000JUIL2017!N8+TONT20000AOUT2017!N8+TONT20000SEPT2017!N8+TONT20000OCT2017!N8+TONT20000NOV2017!N8+TRAVAUXINVENTAIRE!O8</f>
        <v>50000</v>
      </c>
      <c r="O8" s="7">
        <f>TONT20000DEC2016!Q8+TONT20000JANV2017!O8+TONT20000FEV2017!O8+TONT20000MARS2017!O8+TONT20000AVRIL2017!O8+TONT20000MAI2017!O8+TONT20000JUIN2017!O8+TONT20000JUIL2017!O8+TONT20000AOUT2017!O8+TONT20000SEPT2017!O8+TONT20000OCT2017!O8+TONT20000NOV2017!O8</f>
        <v>0</v>
      </c>
      <c r="P8" s="7">
        <f>TONT20000DEC2016!R8+TONT20000JANV2017!P8+TONT20000FEV2017!P8+TONT20000MARS2017!P8+TONT20000AVRIL2017!P8+TONT20000MAI2017!P8+TONT20000JUIN2017!P8+TONT20000JUIL2017!P8+TONT20000AOUT2017!P8+TONT20000SEPT2017!P8+TONT20000OCT2017!P8+TONT20000NOV2017!P8</f>
        <v>0</v>
      </c>
      <c r="Q8" s="7">
        <f>TONT20000DEC2016!S8+TONT20000JANV2017!Q8+TONT20000FEV2017!Q8+TONT20000MARS2017!Q8+TONT20000AVRIL2017!Q8+TONT20000MAI2017!Q8+TONT20000JUIN2017!Q8+TONT20000JUIL2017!Q8+TONT20000AOUT2017!Q8+TONT20000SEPT2017!Q8+TONT20000OCT2017!Q8+TONT20000NOV2017!Q8</f>
        <v>0</v>
      </c>
      <c r="R8" s="7">
        <f>TONT20000DEC2016!T8+TONT20000JANV2017!R8+TONT20000FEV2017!R8+TONT20000MARS2017!R8+TONT20000AVRIL2017!R8+TONT20000MAI2017!R8+TONT20000JUIN2017!R8+TONT20000JUIL2017!R8+TONT20000AOUT2017!R8+TONT20000SEPT2017!R8+TONT20000OCT2017!R8+TONT20000NOV2017!R8</f>
        <v>0</v>
      </c>
      <c r="S8" s="7">
        <f>TONT20000DEC2016!U8+TONT20000JANV2017!S8+TONT20000FEV2017!S8+TONT20000MARS2017!S8+TONT20000AVRIL2017!S8+TONT20000MAI2017!S8+TONT20000JUIN2017!S8+TONT20000JUIL2017!S8+TONT20000AOUT2017!S8+TONT20000SEPT2017!S8+TONT20000OCT2017!S8+TONT20000NOV2017!S8</f>
        <v>0</v>
      </c>
      <c r="T8" s="7">
        <f>TONT20000DEC2016!V8+TONT20000JANV2017!T8+TONT20000FEV2017!T8+TONT20000MARS2017!T8+TONT20000AVRIL2017!T8+TONT20000MAI2017!T8+TONT20000JUIN2017!T8+TONT20000JUIL2017!T8+TONT20000AOUT2017!T8+TONT20000SEPT2017!T8+TONT20000OCT2017!T8+TONT20000NOV2017!T8</f>
        <v>0</v>
      </c>
      <c r="U8" s="44">
        <v>42632</v>
      </c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TONT20000DEC2016!E9+TONT20000JANV2017!C9+TONT20000FEV2017!C9+TONT20000MARS2017!C9+TONT20000AVRIL2017!C9+TONT20000MAI2017!C9+TONT20000JUIN2017!C9+TONT20000JUIL2017!C9+TONT20000AOUT2017!C9+TONT20000SEPT2017!C9+TONT20000OCT2017!C9+TONT20000NOV2017!C9</f>
        <v>30416.082362378602</v>
      </c>
      <c r="D9" s="6">
        <f>TONT20000OCT2017!C9+TONT20000OCT2017!D9+TONT20000ANNUELLEBACKUP!J9</f>
        <v>522986.08236237866</v>
      </c>
      <c r="E9" s="6"/>
      <c r="F9" s="7">
        <f t="shared" si="0"/>
        <v>0</v>
      </c>
      <c r="G9" s="7">
        <f t="shared" si="1"/>
        <v>0</v>
      </c>
      <c r="H9" s="43" t="s">
        <v>216</v>
      </c>
      <c r="I9" s="7">
        <f>TONT20000DEC2016!K9+TONT20000JANV2017!I9+TONT20000FEV2017!I9+TONT20000MARS2017!I9+TONT20000AVRIL2017!I9+TONT20000MAI2017!I9+TONT20000JUIN2017!I9+TONT20000JUIL2017!I9+TONT20000AOUT2017!J9+TONT20000SEPT2017!I9+TONT20000OCT2017!I9+TONT20000NOV2017!I9</f>
        <v>173500</v>
      </c>
      <c r="J9" s="7">
        <f>TONT20000DEC2016!L9+TONT20000JANV2017!J9+TONT20000FEV2017!J9+TONT20000MARS2017!J9+TONT20000AVRIL2017!J9+TONT20000MAI2017!J9+TONT20000JUIN2017!J9+TONT20000JUIL2017!J9+TONT20000AOUT2017!K9+TONT20000SEPT2017!J9+TONT20000OCT2017!J9+TONT20000NOV2017!J9</f>
        <v>35000</v>
      </c>
      <c r="K9" s="7">
        <f>TONT20000DEC2016!M9+TONT20000JANV2017!K9+TONT20000FEV2017!K9+TONT20000MARS2017!K9+TONT20000AVRIL2017!K9+TONT20000MAI2017!K9+TONT20000JUIN2017!K9+TONT20000JUIL2017!K9+TONT20000AOUT2017!L9+TONT20000SEPT2017!K9+TONT20000OCT2017!K9+TONT20000NOV2017!K9</f>
        <v>5000</v>
      </c>
      <c r="L9" s="7">
        <f>TONT20000DEC2016!N9+TONT20000JANV2017!L9+TONT20000FEV2017!L9+TONT20000MARS2017!L9+TONT20000AVRIL2017!L9+TONT20000MAI2017!L9+TONT20000JUIN2017!L9+TONT20000JUIL2017!L9+TONT20000AOUT2017!M9+TONT20000SEPT2017!L9+TONT20000OCT2017!L9+TONT20000NOV2017!L9</f>
        <v>10500</v>
      </c>
      <c r="M9" s="7" t="e">
        <f>TONT20000DEC2016!O9+TONT20000JANV2017!M9+TONT20000FEV2017!M9+TONT20000MARS2017!M9+TONT20000AVRIL2017!M9+TONT20000MAI2017!M9+TONT20000JUIN2017!M9+TONT20000JUIL2017!M9+TONT20000AOUT2017!#REF!+TONT20000SEPT2017!M9+TONT20000OCT2017!M9+TONT20000NOV2017!M9</f>
        <v>#REF!</v>
      </c>
      <c r="N9" s="7">
        <f>TONT20000DEC2016!P9+TONT20000JANV2017!N9+TONT20000FEV2017!N9+TONT20000MARS2017!N9+TONT20000AVRIL2017!N9+TONT20000MAI2017!N9+TONT20000JUIN2017!N9+TONT20000JUIL2017!N9+TONT20000AOUT2017!N9+TONT20000SEPT2017!N9+TONT20000OCT2017!N9+TONT20000NOV2017!N9+TRAVAUXINVENTAIRE!O9</f>
        <v>50000</v>
      </c>
      <c r="O9" s="7">
        <f>TONT20000DEC2016!Q9+TONT20000JANV2017!O9+TONT20000FEV2017!O9+TONT20000MARS2017!O9+TONT20000AVRIL2017!O9+TONT20000MAI2017!O9+TONT20000JUIN2017!O9+TONT20000JUIL2017!O9+TONT20000AOUT2017!O9+TONT20000SEPT2017!O9+TONT20000OCT2017!O9+TONT20000NOV2017!O9</f>
        <v>1000000</v>
      </c>
      <c r="P9" s="7">
        <f>TONT20000DEC2016!R9+TONT20000JANV2017!P9+TONT20000FEV2017!P9+TONT20000MARS2017!P9+TONT20000AVRIL2017!P9+TONT20000MAI2017!P9+TONT20000JUIN2017!P9+TONT20000JUIL2017!P9+TONT20000AOUT2017!P9+TONT20000SEPT2017!P9+TONT20000OCT2017!P9+TONT20000NOV2017!P9</f>
        <v>120000</v>
      </c>
      <c r="Q9" s="7">
        <f>TONT20000DEC2016!S9+TONT20000JANV2017!Q9+TONT20000FEV2017!Q9+TONT20000MARS2017!Q9+TONT20000AVRIL2017!Q9+TONT20000MAI2017!Q9+TONT20000JUIN2017!Q9+TONT20000JUIL2017!Q9+TONT20000AOUT2017!Q9+TONT20000SEPT2017!Q9+TONT20000OCT2017!Q9+TONT20000NOV2017!Q9</f>
        <v>103000</v>
      </c>
      <c r="R9" s="7">
        <f>TONT20000DEC2016!T9+TONT20000JANV2017!R9+TONT20000FEV2017!R9+TONT20000MARS2017!R9+TONT20000AVRIL2017!R9+TONT20000MAI2017!R9+TONT20000JUIN2017!R9+TONT20000JUIL2017!R9+TONT20000AOUT2017!R9+TONT20000SEPT2017!R9+TONT20000OCT2017!R9+TONT20000NOV2017!R9</f>
        <v>0</v>
      </c>
      <c r="S9" s="7">
        <f>TONT20000DEC2016!U9+TONT20000JANV2017!S9+TONT20000FEV2017!S9+TONT20000MARS2017!S9+TONT20000AVRIL2017!S9+TONT20000MAI2017!S9+TONT20000JUIN2017!S9+TONT20000JUIL2017!S9+TONT20000AOUT2017!S9+TONT20000SEPT2017!S9+TONT20000OCT2017!S9+TONT20000NOV2017!S9</f>
        <v>0</v>
      </c>
      <c r="T9" s="7">
        <f>TONT20000DEC2016!V9+TONT20000JANV2017!T9+TONT20000FEV2017!T9+TONT20000MARS2017!T9+TONT20000AVRIL2017!T9+TONT20000MAI2017!T9+TONT20000JUIN2017!T9+TONT20000JUIL2017!T9+TONT20000AOUT2017!T9+TONT20000SEPT2017!T9+TONT20000OCT2017!T9+TONT20000NOV2017!T9</f>
        <v>11000</v>
      </c>
      <c r="U9" s="44">
        <v>42723</v>
      </c>
      <c r="V9" s="1" t="s">
        <v>83</v>
      </c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>TONT20000DEC2016!E10+TONT20000JANV2017!C10+TONT20000FEV2017!C10+TONT20000MARS2017!C10+TONT20000AVRIL2017!C10+TONT20000MAI2017!C10+TONT20000JUIN2017!C10+TONT20000JUIL2017!C10+TONT20000AOUT2017!C10+TONT20000SEPT2017!C10+TONT20000OCT2017!C10+TONT20000NOV2017!C10</f>
        <v>30540.319216501161</v>
      </c>
      <c r="D10" s="6">
        <f>TONT20000OCT2017!C10+TONT20000OCT2017!D10+TONT20000ANNUELLEBACKUP!J10</f>
        <v>536237.3192165012</v>
      </c>
      <c r="E10" s="6"/>
      <c r="F10" s="7">
        <f t="shared" si="0"/>
        <v>0</v>
      </c>
      <c r="G10" s="7">
        <f t="shared" si="1"/>
        <v>0</v>
      </c>
      <c r="H10" s="43" t="s">
        <v>216</v>
      </c>
      <c r="I10" s="7">
        <f>TONT20000DEC2016!K10+TONT20000JANV2017!I10+TONT20000FEV2017!I10+TONT20000MARS2017!I10+TONT20000AVRIL2017!I10+TONT20000MAI2017!I10+TONT20000JUIN2017!I10+TONT20000JUIL2017!I10+TONT20000AOUT2017!J10+TONT20000SEPT2017!I10+TONT20000OCT2017!I10+TONT20000NOV2017!I10</f>
        <v>180000</v>
      </c>
      <c r="J10" s="7">
        <f>TONT20000DEC2016!L10+TONT20000JANV2017!J10+TONT20000FEV2017!J10+TONT20000MARS2017!J10+TONT20000AVRIL2017!J10+TONT20000MAI2017!J10+TONT20000JUIN2017!J10+TONT20000JUIL2017!J10+TONT20000AOUT2017!K10+TONT20000SEPT2017!J10+TONT20000OCT2017!J10+TONT20000NOV2017!J10</f>
        <v>41500</v>
      </c>
      <c r="K10" s="7">
        <f>TONT20000DEC2016!M10+TONT20000JANV2017!K10+TONT20000FEV2017!K10+TONT20000MARS2017!K10+TONT20000AVRIL2017!K10+TONT20000MAI2017!K10+TONT20000JUIN2017!K10+TONT20000JUIL2017!K10+TONT20000AOUT2017!L10+TONT20000SEPT2017!K10+TONT20000OCT2017!K10+TONT20000NOV2017!K10</f>
        <v>5000</v>
      </c>
      <c r="L10" s="7">
        <f>TONT20000DEC2016!N10+TONT20000JANV2017!L10+TONT20000FEV2017!L10+TONT20000MARS2017!L10+TONT20000AVRIL2017!L10+TONT20000MAI2017!L10+TONT20000JUIN2017!L10+TONT20000JUIL2017!L10+TONT20000AOUT2017!M10+TONT20000SEPT2017!L10+TONT20000OCT2017!L10+TONT20000NOV2017!L10</f>
        <v>10500</v>
      </c>
      <c r="M10" s="7" t="e">
        <f>TONT20000DEC2016!O10+TONT20000JANV2017!M10+TONT20000FEV2017!M10+TONT20000MARS2017!M10+TONT20000AVRIL2017!M10+TONT20000MAI2017!M10+TONT20000JUIN2017!M10+TONT20000JUIL2017!M10+TONT20000AOUT2017!#REF!+TONT20000SEPT2017!M10+TONT20000OCT2017!M10+TONT20000NOV2017!M10</f>
        <v>#REF!</v>
      </c>
      <c r="N10" s="7">
        <f>TONT20000DEC2016!P10+TONT20000JANV2017!N10+TONT20000FEV2017!N10+TONT20000MARS2017!N10+TONT20000AVRIL2017!N10+TONT20000MAI2017!N10+TONT20000JUIN2017!N10+TONT20000JUIL2017!N10+TONT20000AOUT2017!N10+TONT20000SEPT2017!N10+TONT20000OCT2017!N10+TONT20000NOV2017!N10+TRAVAUXINVENTAIRE!O10</f>
        <v>50000</v>
      </c>
      <c r="O10" s="7">
        <f>TONT20000DEC2016!Q10+TONT20000JANV2017!O10+TONT20000FEV2017!O10+TONT20000MARS2017!O10+TONT20000AVRIL2017!O10+TONT20000MAI2017!O10+TONT20000JUIN2017!O10+TONT20000JUIL2017!O10+TONT20000AOUT2017!O10+TONT20000SEPT2017!O10+TONT20000OCT2017!O10+TONT20000NOV2017!O10</f>
        <v>0</v>
      </c>
      <c r="P10" s="7">
        <f>TONT20000DEC2016!R10+TONT20000JANV2017!P10+TONT20000FEV2017!P10+TONT20000MARS2017!P10+TONT20000AVRIL2017!P10+TONT20000MAI2017!P10+TONT20000JUIN2017!P10+TONT20000JUIL2017!P10+TONT20000AOUT2017!P10+TONT20000SEPT2017!P10+TONT20000OCT2017!P10+TONT20000NOV2017!P10</f>
        <v>0</v>
      </c>
      <c r="Q10" s="7">
        <f>TONT20000DEC2016!S10+TONT20000JANV2017!Q10+TONT20000FEV2017!Q10+TONT20000MARS2017!Q10+TONT20000AVRIL2017!Q10+TONT20000MAI2017!Q10+TONT20000JUIN2017!Q10+TONT20000JUIL2017!Q10+TONT20000AOUT2017!Q10+TONT20000SEPT2017!Q10+TONT20000OCT2017!Q10+TONT20000NOV2017!Q10</f>
        <v>140000</v>
      </c>
      <c r="R10" s="7">
        <f>TONT20000DEC2016!T10+TONT20000JANV2017!R10+TONT20000FEV2017!R10+TONT20000MARS2017!R10+TONT20000AVRIL2017!R10+TONT20000MAI2017!R10+TONT20000JUIN2017!R10+TONT20000JUIL2017!R10+TONT20000AOUT2017!R10+TONT20000SEPT2017!R10+TONT20000OCT2017!R10+TONT20000NOV2017!R10</f>
        <v>0</v>
      </c>
      <c r="S10" s="7">
        <f>TONT20000DEC2016!U10+TONT20000JANV2017!S10+TONT20000FEV2017!S10+TONT20000MARS2017!S10+TONT20000AVRIL2017!S10+TONT20000MAI2017!S10+TONT20000JUIN2017!S10+TONT20000JUIL2017!S10+TONT20000AOUT2017!S10+TONT20000SEPT2017!S10+TONT20000OCT2017!S10+TONT20000NOV2017!S10</f>
        <v>0</v>
      </c>
      <c r="T10" s="7">
        <f>TONT20000DEC2016!V10+TONT20000JANV2017!T10+TONT20000FEV2017!T10+TONT20000MARS2017!T10+TONT20000AVRIL2017!T10+TONT20000MAI2017!T10+TONT20000JUIN2017!T10+TONT20000JUIL2017!T10+TONT20000AOUT2017!T10+TONT20000SEPT2017!T10+TONT20000OCT2017!T10+TONT20000NOV2017!T10</f>
        <v>10000</v>
      </c>
      <c r="U10" s="44">
        <v>42876</v>
      </c>
      <c r="V10" s="1"/>
    </row>
    <row r="11" spans="1:22" x14ac:dyDescent="0.25">
      <c r="A11" s="1"/>
      <c r="B11" s="1"/>
      <c r="C11" s="6">
        <f>TONT20000DEC2016!E11+TONT20000JANV2017!C11+TONT20000FEV2017!C11+TONT20000MARS2017!C11+TONT20000AVRIL2017!C11+TONT20000MAI2017!C11+TONT20000JUIN2017!C11+TONT20000JUIL2017!C11+TONT20000AOUT2017!C11+TONT20000SEPT2017!C11+TONT20000OCT2017!C11+TONT20000NOV2017!C11</f>
        <v>0</v>
      </c>
      <c r="D11" s="6">
        <f>TONT20000OCT2017!C11+TONT20000OCT2017!D11+TONT20000ANNUELLEBACKUP!J11</f>
        <v>0</v>
      </c>
      <c r="E11" s="6"/>
      <c r="F11" s="7"/>
      <c r="G11" s="7"/>
      <c r="H11" s="43"/>
      <c r="I11" s="7">
        <f>TONT20000DEC2016!K11+TONT20000JANV2017!I11+TONT20000FEV2017!I11+TONT20000MARS2017!I11+TONT20000AVRIL2017!I11+TONT20000MAI2017!I11+TONT20000JUIN2017!I11+TONT20000JUIL2017!I11+TONT20000AOUT2017!J11+TONT20000SEPT2017!I11+TONT20000OCT2017!I11+TONT20000NOV2017!I11</f>
        <v>0</v>
      </c>
      <c r="J11" s="7">
        <f>TONT20000DEC2016!L11+TONT20000JANV2017!J11+TONT20000FEV2017!J11+TONT20000MARS2017!J11+TONT20000AVRIL2017!J11+TONT20000MAI2017!J11+TONT20000JUIN2017!J11+TONT20000JUIL2017!J11+TONT20000AOUT2017!K11+TONT20000SEPT2017!J11+TONT20000OCT2017!J11+TONT20000NOV2017!J11</f>
        <v>0</v>
      </c>
      <c r="K11" s="7">
        <f>TONT20000DEC2016!M11+TONT20000JANV2017!K11+TONT20000FEV2017!K11+TONT20000MARS2017!K11+TONT20000AVRIL2017!K11+TONT20000MAI2017!K11+TONT20000JUIN2017!K11+TONT20000JUIL2017!K11+TONT20000AOUT2017!L11+TONT20000SEPT2017!K11+TONT20000OCT2017!K11+TONT20000NOV2017!K11</f>
        <v>0</v>
      </c>
      <c r="L11" s="7">
        <f>TONT20000DEC2016!N11+TONT20000JANV2017!L11+TONT20000FEV2017!L11+TONT20000MARS2017!L11+TONT20000AVRIL2017!L11+TONT20000MAI2017!L11+TONT20000JUIN2017!L11+TONT20000JUIL2017!L11+TONT20000AOUT2017!M11+TONT20000SEPT2017!L11+TONT20000OCT2017!L11+TONT20000NOV2017!L11</f>
        <v>0</v>
      </c>
      <c r="M11" s="7" t="e">
        <f>TONT20000DEC2016!O11+TONT20000JANV2017!M11+TONT20000FEV2017!M11+TONT20000MARS2017!M11+TONT20000AVRIL2017!M11+TONT20000MAI2017!M11+TONT20000JUIN2017!M11+TONT20000JUIL2017!M11+TONT20000AOUT2017!#REF!+TONT20000SEPT2017!M11+TONT20000OCT2017!M11+TONT20000NOV2017!M11</f>
        <v>#REF!</v>
      </c>
      <c r="N11" s="7">
        <f>TONT20000DEC2016!P11+TONT20000JANV2017!N11+TONT20000FEV2017!N11+TONT20000MARS2017!N11+TONT20000AVRIL2017!N11+TONT20000MAI2017!N11+TONT20000JUIN2017!N11+TONT20000JUIL2017!N11+TONT20000AOUT2017!N11+TONT20000SEPT2017!N11+TONT20000OCT2017!N11+TONT20000NOV2017!N11+TRAVAUXINVENTAIRE!O11</f>
        <v>0</v>
      </c>
      <c r="O11" s="7">
        <f>TONT20000DEC2016!Q11+TONT20000JANV2017!O11+TONT20000FEV2017!O11+TONT20000MARS2017!O11+TONT20000AVRIL2017!O11+TONT20000MAI2017!O11+TONT20000JUIN2017!O11+TONT20000JUIL2017!O11+TONT20000AOUT2017!O11+TONT20000SEPT2017!O11+TONT20000OCT2017!O11+TONT20000NOV2017!O11</f>
        <v>0</v>
      </c>
      <c r="P11" s="7">
        <f>TONT20000DEC2016!R11+TONT20000JANV2017!P11+TONT20000FEV2017!P11+TONT20000MARS2017!P11+TONT20000AVRIL2017!P11+TONT20000MAI2017!P11+TONT20000JUIN2017!P11+TONT20000JUIL2017!P11+TONT20000AOUT2017!P11+TONT20000SEPT2017!P11+TONT20000OCT2017!P11+TONT20000NOV2017!P11</f>
        <v>0</v>
      </c>
      <c r="Q11" s="7">
        <f>TONT20000DEC2016!S11+TONT20000JANV2017!Q11+TONT20000FEV2017!Q11+TONT20000MARS2017!Q11+TONT20000AVRIL2017!Q11+TONT20000MAI2017!Q11+TONT20000JUIN2017!Q11+TONT20000JUIL2017!Q11+TONT20000AOUT2017!Q11+TONT20000SEPT2017!Q11+TONT20000OCT2017!Q11+TONT20000NOV2017!Q11</f>
        <v>0</v>
      </c>
      <c r="R11" s="7">
        <f>TONT20000DEC2016!T11+TONT20000JANV2017!R11+TONT20000FEV2017!R11+TONT20000MARS2017!R11+TONT20000AVRIL2017!R11+TONT20000MAI2017!R11+TONT20000JUIN2017!R11+TONT20000JUIL2017!R11+TONT20000AOUT2017!R11+TONT20000SEPT2017!R11+TONT20000OCT2017!R11+TONT20000NOV2017!R11</f>
        <v>0</v>
      </c>
      <c r="S11" s="7">
        <f>TONT20000DEC2016!U11+TONT20000JANV2017!S11+TONT20000FEV2017!S11+TONT20000MARS2017!S11+TONT20000AVRIL2017!S11+TONT20000MAI2017!S11+TONT20000JUIN2017!S11+TONT20000JUIL2017!S11+TONT20000AOUT2017!S11+TONT20000SEPT2017!S11+TONT20000OCT2017!S11+TONT20000NOV2017!S11</f>
        <v>0</v>
      </c>
      <c r="T11" s="7">
        <f>TONT20000DEC2016!V11+TONT20000JANV2017!T11+TONT20000FEV2017!T11+TONT20000MARS2017!T11+TONT20000AVRIL2017!T11+TONT20000MAI2017!T11+TONT20000JUIN2017!T11+TONT20000JUIL2017!T11+TONT20000AOUT2017!T11+TONT20000SEPT2017!T11+TONT20000OCT2017!T11+TONT20000NOV2017!T11</f>
        <v>0</v>
      </c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TONT20000DEC2016!E12+TONT20000JANV2017!C12+TONT20000FEV2017!C12+TONT20000MARS2017!C12+TONT20000AVRIL2017!C12+TONT20000MAI2017!C12+TONT20000JUIN2017!C12+TONT20000JUIL2017!C12+TONT20000AOUT2017!C12+TONT20000SEPT2017!C12+TONT20000OCT2017!C12+TONT20000NOV2017!C12</f>
        <v>73155.552851759159</v>
      </c>
      <c r="D12" s="6">
        <f>TONT20000OCT2017!C12+TONT20000OCT2017!D12+TONT20000ANNUELLEBACKUP!J12</f>
        <v>1177695.5528517591</v>
      </c>
      <c r="E12" s="6"/>
      <c r="F12" s="7">
        <f t="shared" si="0"/>
        <v>0</v>
      </c>
      <c r="G12" s="7">
        <f t="shared" si="1"/>
        <v>0</v>
      </c>
      <c r="H12" s="43" t="s">
        <v>216</v>
      </c>
      <c r="I12" s="7">
        <f>TONT20000DEC2016!K12+TONT20000JANV2017!I12+TONT20000FEV2017!I12+TONT20000MARS2017!I12+TONT20000AVRIL2017!I12+TONT20000MAI2017!I12+TONT20000JUIN2017!I12+TONT20000JUIL2017!I12+TONT20000AOUT2017!J12+TONT20000SEPT2017!I12+TONT20000OCT2017!I12+TONT20000NOV2017!I12</f>
        <v>363000</v>
      </c>
      <c r="J12" s="7">
        <f>TONT20000DEC2016!L12+TONT20000JANV2017!J12+TONT20000FEV2017!J12+TONT20000MARS2017!J12+TONT20000AVRIL2017!J12+TONT20000MAI2017!J12+TONT20000JUIN2017!J12+TONT20000JUIL2017!J12+TONT20000AOUT2017!K12+TONT20000SEPT2017!J12+TONT20000OCT2017!J12+TONT20000NOV2017!J12</f>
        <v>24500</v>
      </c>
      <c r="K12" s="7">
        <f>TONT20000DEC2016!M12+TONT20000JANV2017!K12+TONT20000FEV2017!K12+TONT20000MARS2017!K12+TONT20000AVRIL2017!K12+TONT20000MAI2017!K12+TONT20000JUIN2017!K12+TONT20000JUIL2017!K12+TONT20000AOUT2017!L12+TONT20000SEPT2017!K12+TONT20000OCT2017!K12+TONT20000NOV2017!K12</f>
        <v>5000</v>
      </c>
      <c r="L12" s="7">
        <f>TONT20000DEC2016!N12+TONT20000JANV2017!L12+TONT20000FEV2017!L12+TONT20000MARS2017!L12+TONT20000AVRIL2017!L12+TONT20000MAI2017!L12+TONT20000JUIN2017!L12+TONT20000JUIL2017!L12+TONT20000AOUT2017!M12+TONT20000SEPT2017!L12+TONT20000OCT2017!L12+TONT20000NOV2017!L12</f>
        <v>10500</v>
      </c>
      <c r="M12" s="7" t="e">
        <f>TONT20000DEC2016!O12+TONT20000JANV2017!M12+TONT20000FEV2017!M12+TONT20000MARS2017!M12+TONT20000AVRIL2017!M12+TONT20000MAI2017!M12+TONT20000JUIN2017!M12+TONT20000JUIL2017!M12+TONT20000AOUT2017!#REF!+TONT20000SEPT2017!M12+TONT20000OCT2017!M12+TONT20000NOV2017!M12</f>
        <v>#REF!</v>
      </c>
      <c r="N12" s="7">
        <f>TONT20000DEC2016!P12+TONT20000JANV2017!N12+TONT20000FEV2017!N12+TONT20000MARS2017!N12+TONT20000AVRIL2017!N12+TONT20000MAI2017!N12+TONT20000JUIN2017!N12+TONT20000JUIL2017!N12+TONT20000AOUT2017!N12+TONT20000SEPT2017!N12+TONT20000OCT2017!N12+TONT20000NOV2017!N12+TRAVAUXINVENTAIRE!O12</f>
        <v>50000</v>
      </c>
      <c r="O12" s="7">
        <f>TONT20000DEC2016!Q12+TONT20000JANV2017!O12+TONT20000FEV2017!O12+TONT20000MARS2017!O12+TONT20000AVRIL2017!O12+TONT20000MAI2017!O12+TONT20000JUIN2017!O12+TONT20000JUIL2017!O12+TONT20000AOUT2017!O12+TONT20000SEPT2017!O12+TONT20000OCT2017!O12+TONT20000NOV2017!O12</f>
        <v>1000000</v>
      </c>
      <c r="P12" s="7">
        <f>TONT20000DEC2016!R12+TONT20000JANV2017!P12+TONT20000FEV2017!P12+TONT20000MARS2017!P12+TONT20000AVRIL2017!P12+TONT20000MAI2017!P12+TONT20000JUIN2017!P12+TONT20000JUIL2017!P12+TONT20000AOUT2017!P12+TONT20000SEPT2017!P12+TONT20000OCT2017!P12+TONT20000NOV2017!P12</f>
        <v>120000</v>
      </c>
      <c r="Q12" s="7">
        <f>TONT20000DEC2016!S12+TONT20000JANV2017!Q12+TONT20000FEV2017!Q12+TONT20000MARS2017!Q12+TONT20000AVRIL2017!Q12+TONT20000MAI2017!Q12+TONT20000JUIN2017!Q12+TONT20000JUIL2017!Q12+TONT20000AOUT2017!Q12+TONT20000SEPT2017!Q12+TONT20000OCT2017!Q12+TONT20000NOV2017!Q12</f>
        <v>0</v>
      </c>
      <c r="R12" s="7">
        <f>TONT20000DEC2016!T12+TONT20000JANV2017!R12+TONT20000FEV2017!R12+TONT20000MARS2017!R12+TONT20000AVRIL2017!R12+TONT20000MAI2017!R12+TONT20000JUIN2017!R12+TONT20000JUIL2017!R12+TONT20000AOUT2017!R12+TONT20000SEPT2017!R12+TONT20000OCT2017!R12+TONT20000NOV2017!R12</f>
        <v>0</v>
      </c>
      <c r="S12" s="7">
        <f>TONT20000DEC2016!U12+TONT20000JANV2017!S12+TONT20000FEV2017!S12+TONT20000MARS2017!S12+TONT20000AVRIL2017!S12+TONT20000MAI2017!S12+TONT20000JUIN2017!S12+TONT20000JUIL2017!S12+TONT20000AOUT2017!S12+TONT20000SEPT2017!S12+TONT20000OCT2017!S12+TONT20000NOV2017!S12</f>
        <v>0</v>
      </c>
      <c r="T12" s="7">
        <f>TONT20000DEC2016!V12+TONT20000JANV2017!T12+TONT20000FEV2017!T12+TONT20000MARS2017!T12+TONT20000AVRIL2017!T12+TONT20000MAI2017!T12+TONT20000JUIN2017!T12+TONT20000JUIL2017!T12+TONT20000AOUT2017!T12+TONT20000SEPT2017!T12+TONT20000OCT2017!T12+TONT20000NOV2017!T12</f>
        <v>10000</v>
      </c>
      <c r="U12" s="44">
        <v>42813</v>
      </c>
      <c r="V12" s="1" t="s">
        <v>236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TONT20000DEC2016!E13+TONT20000JANV2017!C13+TONT20000FEV2017!C13+TONT20000MARS2017!C13+TONT20000AVRIL2017!C13+TONT20000MAI2017!C13+TONT20000JUIN2017!C13+TONT20000JUIL2017!C13+TONT20000AOUT2017!C13+TONT20000SEPT2017!C13+TONT20000OCT2017!C13+TONT20000NOV2017!C13</f>
        <v>29953.862452568756</v>
      </c>
      <c r="D13" s="6">
        <f>TONT20000OCT2017!C13+TONT20000OCT2017!D13+TONT20000ANNUELLEBACKUP!J13</f>
        <v>501699.86245256878</v>
      </c>
      <c r="E13" s="6"/>
      <c r="F13" s="7">
        <f t="shared" si="0"/>
        <v>0</v>
      </c>
      <c r="G13" s="7">
        <f t="shared" si="1"/>
        <v>0</v>
      </c>
      <c r="H13" s="43" t="s">
        <v>216</v>
      </c>
      <c r="I13" s="7">
        <f>TONT20000DEC2016!K13+TONT20000JANV2017!I13+TONT20000FEV2017!I13+TONT20000MARS2017!I13+TONT20000AVRIL2017!I13+TONT20000MAI2017!I13+TONT20000JUIN2017!I13+TONT20000JUIL2017!I13+TONT20000AOUT2017!J13+TONT20000SEPT2017!I13+TONT20000OCT2017!I13+TONT20000NOV2017!I13</f>
        <v>163000</v>
      </c>
      <c r="J13" s="7">
        <f>TONT20000DEC2016!L13+TONT20000JANV2017!J13+TONT20000FEV2017!J13+TONT20000MARS2017!J13+TONT20000AVRIL2017!J13+TONT20000MAI2017!J13+TONT20000JUIN2017!J13+TONT20000JUIL2017!J13+TONT20000AOUT2017!K13+TONT20000SEPT2017!J13+TONT20000OCT2017!J13+TONT20000NOV2017!J13</f>
        <v>24500</v>
      </c>
      <c r="K13" s="7">
        <f>TONT20000DEC2016!M13+TONT20000JANV2017!K13+TONT20000FEV2017!K13+TONT20000MARS2017!K13+TONT20000AVRIL2017!K13+TONT20000MAI2017!K13+TONT20000JUIN2017!K13+TONT20000JUIL2017!K13+TONT20000AOUT2017!L13+TONT20000SEPT2017!K13+TONT20000OCT2017!K13+TONT20000NOV2017!K13</f>
        <v>5000</v>
      </c>
      <c r="L13" s="7">
        <f>TONT20000DEC2016!N13+TONT20000JANV2017!L13+TONT20000FEV2017!L13+TONT20000MARS2017!L13+TONT20000AVRIL2017!L13+TONT20000MAI2017!L13+TONT20000JUIN2017!L13+TONT20000JUIL2017!L13+TONT20000AOUT2017!M13+TONT20000SEPT2017!L13+TONT20000OCT2017!L13+TONT20000NOV2017!L13</f>
        <v>10500</v>
      </c>
      <c r="M13" s="7" t="e">
        <f>TONT20000DEC2016!O13+TONT20000JANV2017!M13+TONT20000FEV2017!M13+TONT20000MARS2017!M13+TONT20000AVRIL2017!M13+TONT20000MAI2017!M13+TONT20000JUIN2017!M13+TONT20000JUIL2017!M13+TONT20000AOUT2017!#REF!+TONT20000SEPT2017!M13+TONT20000OCT2017!M13+TONT20000NOV2017!M13</f>
        <v>#REF!</v>
      </c>
      <c r="N13" s="7">
        <f>TONT20000DEC2016!P13+TONT20000JANV2017!N13+TONT20000FEV2017!N13+TONT20000MARS2017!N13+TONT20000AVRIL2017!N13+TONT20000MAI2017!N13+TONT20000JUIN2017!N13+TONT20000JUIL2017!N13+TONT20000AOUT2017!N13+TONT20000SEPT2017!N13+TONT20000OCT2017!N13+TONT20000NOV2017!N13+TRAVAUXINVENTAIRE!O13</f>
        <v>50000</v>
      </c>
      <c r="O13" s="7">
        <f>TONT20000DEC2016!Q13+TONT20000JANV2017!O13+TONT20000FEV2017!O13+TONT20000MARS2017!O13+TONT20000AVRIL2017!O13+TONT20000MAI2017!O13+TONT20000JUIN2017!O13+TONT20000JUIL2017!O13+TONT20000AOUT2017!O13+TONT20000SEPT2017!O13+TONT20000OCT2017!O13+TONT20000NOV2017!O13</f>
        <v>700000</v>
      </c>
      <c r="P13" s="7">
        <f>TONT20000DEC2016!R13+TONT20000JANV2017!P13+TONT20000FEV2017!P13+TONT20000MARS2017!P13+TONT20000AVRIL2017!P13+TONT20000MAI2017!P13+TONT20000JUIN2017!P13+TONT20000JUIL2017!P13+TONT20000AOUT2017!P13+TONT20000SEPT2017!P13+TONT20000OCT2017!P13+TONT20000NOV2017!P13</f>
        <v>84000</v>
      </c>
      <c r="Q13" s="7">
        <f>TONT20000DEC2016!S13+TONT20000JANV2017!Q13+TONT20000FEV2017!Q13+TONT20000MARS2017!Q13+TONT20000AVRIL2017!Q13+TONT20000MAI2017!Q13+TONT20000JUIN2017!Q13+TONT20000JUIL2017!Q13+TONT20000AOUT2017!Q13+TONT20000SEPT2017!Q13+TONT20000OCT2017!Q13+TONT20000NOV2017!Q13</f>
        <v>784000</v>
      </c>
      <c r="R13" s="7">
        <f>TONT20000DEC2016!T13+TONT20000JANV2017!R13+TONT20000FEV2017!R13+TONT20000MARS2017!R13+TONT20000AVRIL2017!R13+TONT20000MAI2017!R13+TONT20000JUIN2017!R13+TONT20000JUIL2017!R13+TONT20000AOUT2017!R13+TONT20000SEPT2017!R13+TONT20000OCT2017!R13+TONT20000NOV2017!R13</f>
        <v>0</v>
      </c>
      <c r="S13" s="7">
        <f>TONT20000DEC2016!U13+TONT20000JANV2017!S13+TONT20000FEV2017!S13+TONT20000MARS2017!S13+TONT20000AVRIL2017!S13+TONT20000MAI2017!S13+TONT20000JUIN2017!S13+TONT20000JUIL2017!S13+TONT20000AOUT2017!S13+TONT20000SEPT2017!S13+TONT20000OCT2017!S13+TONT20000NOV2017!S13</f>
        <v>0</v>
      </c>
      <c r="T13" s="7">
        <f>TONT20000DEC2016!V13+TONT20000JANV2017!T13+TONT20000FEV2017!T13+TONT20000MARS2017!T13+TONT20000AVRIL2017!T13+TONT20000MAI2017!T13+TONT20000JUIN2017!T13+TONT20000JUIL2017!T13+TONT20000AOUT2017!T13+TONT20000SEPT2017!T13+TONT20000OCT2017!T13+TONT20000NOV2017!T13</f>
        <v>11000</v>
      </c>
      <c r="U13" s="44">
        <v>42785</v>
      </c>
      <c r="V13" s="1" t="s">
        <v>234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TONT20000DEC2016!E14+TONT20000JANV2017!C14+TONT20000FEV2017!C14+TONT20000MARS2017!C14+TONT20000AVRIL2017!C14+TONT20000MAI2017!C14+TONT20000JUIN2017!C14+TONT20000JUIL2017!C14+TONT20000AOUT2017!C14+TONT20000SEPT2017!C14+TONT20000OCT2017!C14+TONT20000NOV2017!C14</f>
        <v>33435.837018919745</v>
      </c>
      <c r="D14" s="6">
        <f>TONT20000OCT2017!C14+TONT20000OCT2017!D14+TONT20000ANNUELLEBACKUP!J14</f>
        <v>556183.83701891976</v>
      </c>
      <c r="E14" s="6"/>
      <c r="F14" s="7">
        <f t="shared" si="0"/>
        <v>0</v>
      </c>
      <c r="G14" s="7">
        <f t="shared" si="1"/>
        <v>0</v>
      </c>
      <c r="H14" s="43" t="s">
        <v>216</v>
      </c>
      <c r="I14" s="7">
        <f>TONT20000DEC2016!K14+TONT20000JANV2017!I14+TONT20000FEV2017!I14+TONT20000MARS2017!I14+TONT20000AVRIL2017!I14+TONT20000MAI2017!I14+TONT20000JUIN2017!I14+TONT20000JUIL2017!I14+TONT20000AOUT2017!J14+TONT20000SEPT2017!I14+TONT20000OCT2017!I14+TONT20000NOV2017!I14</f>
        <v>163000</v>
      </c>
      <c r="J14" s="7">
        <f>TONT20000DEC2016!L14+TONT20000JANV2017!J14+TONT20000FEV2017!J14+TONT20000MARS2017!J14+TONT20000AVRIL2017!J14+TONT20000MAI2017!J14+TONT20000JUIN2017!J14+TONT20000JUIL2017!J14+TONT20000AOUT2017!K14+TONT20000SEPT2017!J14+TONT20000OCT2017!J14+TONT20000NOV2017!J14</f>
        <v>24500</v>
      </c>
      <c r="K14" s="7">
        <f>TONT20000DEC2016!M14+TONT20000JANV2017!K14+TONT20000FEV2017!K14+TONT20000MARS2017!K14+TONT20000AVRIL2017!K14+TONT20000MAI2017!K14+TONT20000JUIN2017!K14+TONT20000JUIL2017!K14+TONT20000AOUT2017!L14+TONT20000SEPT2017!K14+TONT20000OCT2017!K14+TONT20000NOV2017!K14</f>
        <v>5000</v>
      </c>
      <c r="L14" s="7">
        <f>TONT20000DEC2016!N14+TONT20000JANV2017!L14+TONT20000FEV2017!L14+TONT20000MARS2017!L14+TONT20000AVRIL2017!L14+TONT20000MAI2017!L14+TONT20000JUIN2017!L14+TONT20000JUIL2017!L14+TONT20000AOUT2017!M14+TONT20000SEPT2017!L14+TONT20000OCT2017!L14+TONT20000NOV2017!L14</f>
        <v>10500</v>
      </c>
      <c r="M14" s="7" t="e">
        <f>TONT20000DEC2016!O14+TONT20000JANV2017!M14+TONT20000FEV2017!M14+TONT20000MARS2017!M14+TONT20000AVRIL2017!M14+TONT20000MAI2017!M14+TONT20000JUIN2017!M14+TONT20000JUIL2017!M14+TONT20000AOUT2017!#REF!+TONT20000SEPT2017!M14+TONT20000OCT2017!M14+TONT20000NOV2017!M14</f>
        <v>#REF!</v>
      </c>
      <c r="N14" s="7">
        <f>TONT20000DEC2016!P14+TONT20000JANV2017!N14+TONT20000FEV2017!N14+TONT20000MARS2017!N14+TONT20000AVRIL2017!N14+TONT20000MAI2017!N14+TONT20000JUIN2017!N14+TONT20000JUIL2017!N14+TONT20000AOUT2017!N14+TONT20000SEPT2017!N14+TONT20000OCT2017!N14+TONT20000NOV2017!N14+TRAVAUXINVENTAIRE!O14</f>
        <v>50000</v>
      </c>
      <c r="O14" s="7">
        <f>TONT20000DEC2016!Q14+TONT20000JANV2017!O14+TONT20000FEV2017!O14+TONT20000MARS2017!O14+TONT20000AVRIL2017!O14+TONT20000MAI2017!O14+TONT20000JUIN2017!O14+TONT20000JUIL2017!O14+TONT20000AOUT2017!O14+TONT20000SEPT2017!O14+TONT20000OCT2017!O14+TONT20000NOV2017!O14</f>
        <v>0</v>
      </c>
      <c r="P14" s="7">
        <f>TONT20000DEC2016!R14+TONT20000JANV2017!P14+TONT20000FEV2017!P14+TONT20000MARS2017!P14+TONT20000AVRIL2017!P14+TONT20000MAI2017!P14+TONT20000JUIN2017!P14+TONT20000JUIL2017!P14+TONT20000AOUT2017!P14+TONT20000SEPT2017!P14+TONT20000OCT2017!P14+TONT20000NOV2017!P14</f>
        <v>0</v>
      </c>
      <c r="Q14" s="7">
        <f>TONT20000DEC2016!S14+TONT20000JANV2017!Q14+TONT20000FEV2017!Q14+TONT20000MARS2017!Q14+TONT20000AVRIL2017!Q14+TONT20000MAI2017!Q14+TONT20000JUIN2017!Q14+TONT20000JUIL2017!Q14+TONT20000AOUT2017!Q14+TONT20000SEPT2017!Q14+TONT20000OCT2017!Q14+TONT20000NOV2017!Q14</f>
        <v>0</v>
      </c>
      <c r="R14" s="7">
        <f>TONT20000DEC2016!T14+TONT20000JANV2017!R14+TONT20000FEV2017!R14+TONT20000MARS2017!R14+TONT20000AVRIL2017!R14+TONT20000MAI2017!R14+TONT20000JUIN2017!R14+TONT20000JUIL2017!R14+TONT20000AOUT2017!R14+TONT20000SEPT2017!R14+TONT20000OCT2017!R14+TONT20000NOV2017!R14</f>
        <v>0</v>
      </c>
      <c r="S14" s="7">
        <f>TONT20000DEC2016!U14+TONT20000JANV2017!S14+TONT20000FEV2017!S14+TONT20000MARS2017!S14+TONT20000AVRIL2017!S14+TONT20000MAI2017!S14+TONT20000JUIN2017!S14+TONT20000JUIL2017!S14+TONT20000AOUT2017!S14+TONT20000SEPT2017!S14+TONT20000OCT2017!S14+TONT20000NOV2017!S14</f>
        <v>0</v>
      </c>
      <c r="T14" s="7">
        <f>TONT20000DEC2016!V14+TONT20000JANV2017!T14+TONT20000FEV2017!T14+TONT20000MARS2017!T14+TONT20000AVRIL2017!T14+TONT20000MAI2017!T14+TONT20000JUIN2017!T14+TONT20000JUIL2017!T14+TONT20000AOUT2017!T14+TONT20000SEPT2017!T14+TONT20000OCT2017!T14+TONT20000NOV2017!T14</f>
        <v>10000</v>
      </c>
      <c r="U14" s="44">
        <v>42813</v>
      </c>
      <c r="V14" s="1" t="s">
        <v>237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TONT20000DEC2016!E15+TONT20000JANV2017!C15+TONT20000FEV2017!C15+TONT20000MARS2017!C15+TONT20000AVRIL2017!C15+TONT20000MAI2017!C15+TONT20000JUIN2017!C15+TONT20000JUIL2017!C15+TONT20000AOUT2017!C15+TONT20000SEPT2017!C15+TONT20000OCT2017!C15+TONT20000NOV2017!C15</f>
        <v>29938.569673798065</v>
      </c>
      <c r="D15" s="6">
        <f>TONT20000OCT2017!C15+TONT20000OCT2017!D15+TONT20000ANNUELLEBACKUP!J15</f>
        <v>501460.56967379805</v>
      </c>
      <c r="E15" s="6"/>
      <c r="F15" s="7">
        <f t="shared" si="0"/>
        <v>0</v>
      </c>
      <c r="G15" s="7">
        <f t="shared" si="1"/>
        <v>0</v>
      </c>
      <c r="H15" s="43" t="s">
        <v>216</v>
      </c>
      <c r="I15" s="7">
        <f>TONT20000DEC2016!K15+TONT20000JANV2017!I15+TONT20000FEV2017!I15+TONT20000MARS2017!I15+TONT20000AVRIL2017!I15+TONT20000MAI2017!I15+TONT20000JUIN2017!I15+TONT20000JUIL2017!I15+TONT20000AOUT2017!J15+TONT20000SEPT2017!I15+TONT20000OCT2017!I15+TONT20000NOV2017!I15</f>
        <v>163000</v>
      </c>
      <c r="J15" s="7">
        <f>TONT20000DEC2016!L15+TONT20000JANV2017!J15+TONT20000FEV2017!J15+TONT20000MARS2017!J15+TONT20000AVRIL2017!J15+TONT20000MAI2017!J15+TONT20000JUIN2017!J15+TONT20000JUIL2017!J15+TONT20000AOUT2017!K15+TONT20000SEPT2017!J15+TONT20000OCT2017!J15+TONT20000NOV2017!J15</f>
        <v>24500</v>
      </c>
      <c r="K15" s="7">
        <f>TONT20000DEC2016!M15+TONT20000JANV2017!K15+TONT20000FEV2017!K15+TONT20000MARS2017!K15+TONT20000AVRIL2017!K15+TONT20000MAI2017!K15+TONT20000JUIN2017!K15+TONT20000JUIL2017!K15+TONT20000AOUT2017!L15+TONT20000SEPT2017!K15+TONT20000OCT2017!K15+TONT20000NOV2017!K15</f>
        <v>5000</v>
      </c>
      <c r="L15" s="7">
        <f>TONT20000DEC2016!N15+TONT20000JANV2017!L15+TONT20000FEV2017!L15+TONT20000MARS2017!L15+TONT20000AVRIL2017!L15+TONT20000MAI2017!L15+TONT20000JUIN2017!L15+TONT20000JUIL2017!L15+TONT20000AOUT2017!M15+TONT20000SEPT2017!L15+TONT20000OCT2017!L15+TONT20000NOV2017!L15</f>
        <v>10500</v>
      </c>
      <c r="M15" s="7" t="e">
        <f>TONT20000DEC2016!O15+TONT20000JANV2017!M15+TONT20000FEV2017!M15+TONT20000MARS2017!M15+TONT20000AVRIL2017!M15+TONT20000MAI2017!M15+TONT20000JUIN2017!M15+TONT20000JUIL2017!M15+TONT20000AOUT2017!#REF!+TONT20000SEPT2017!M15+TONT20000OCT2017!M15+TONT20000NOV2017!M15</f>
        <v>#REF!</v>
      </c>
      <c r="N15" s="7">
        <f>TONT20000DEC2016!P15+TONT20000JANV2017!N15+TONT20000FEV2017!N15+TONT20000MARS2017!N15+TONT20000AVRIL2017!N15+TONT20000MAI2017!N15+TONT20000JUIN2017!N15+TONT20000JUIL2017!N15+TONT20000AOUT2017!N15+TONT20000SEPT2017!N15+TONT20000OCT2017!N15+TONT20000NOV2017!N15+TRAVAUXINVENTAIRE!O15</f>
        <v>50000</v>
      </c>
      <c r="O15" s="7">
        <f>TONT20000DEC2016!Q15+TONT20000JANV2017!O15+TONT20000FEV2017!O15+TONT20000MARS2017!O15+TONT20000AVRIL2017!O15+TONT20000MAI2017!O15+TONT20000JUIN2017!O15+TONT20000JUIL2017!O15+TONT20000AOUT2017!O15+TONT20000SEPT2017!O15+TONT20000OCT2017!O15+TONT20000NOV2017!O15</f>
        <v>0</v>
      </c>
      <c r="P15" s="7">
        <f>TONT20000DEC2016!R15+TONT20000JANV2017!P15+TONT20000FEV2017!P15+TONT20000MARS2017!P15+TONT20000AVRIL2017!P15+TONT20000MAI2017!P15+TONT20000JUIN2017!P15+TONT20000JUIL2017!P15+TONT20000AOUT2017!P15+TONT20000SEPT2017!P15+TONT20000OCT2017!P15+TONT20000NOV2017!P15</f>
        <v>0</v>
      </c>
      <c r="Q15" s="7">
        <f>TONT20000DEC2016!S15+TONT20000JANV2017!Q15+TONT20000FEV2017!Q15+TONT20000MARS2017!Q15+TONT20000AVRIL2017!Q15+TONT20000MAI2017!Q15+TONT20000JUIN2017!Q15+TONT20000JUIL2017!Q15+TONT20000AOUT2017!Q15+TONT20000SEPT2017!Q15+TONT20000OCT2017!Q15+TONT20000NOV2017!Q15</f>
        <v>0</v>
      </c>
      <c r="R15" s="7">
        <f>TONT20000DEC2016!T15+TONT20000JANV2017!R15+TONT20000FEV2017!R15+TONT20000MARS2017!R15+TONT20000AVRIL2017!R15+TONT20000MAI2017!R15+TONT20000JUIN2017!R15+TONT20000JUIL2017!R15+TONT20000AOUT2017!R15+TONT20000SEPT2017!R15+TONT20000OCT2017!R15+TONT20000NOV2017!R15</f>
        <v>0</v>
      </c>
      <c r="S15" s="7">
        <f>TONT20000DEC2016!U15+TONT20000JANV2017!S15+TONT20000FEV2017!S15+TONT20000MARS2017!S15+TONT20000AVRIL2017!S15+TONT20000MAI2017!S15+TONT20000JUIN2017!S15+TONT20000JUIL2017!S15+TONT20000AOUT2017!S15+TONT20000SEPT2017!S15+TONT20000OCT2017!S15+TONT20000NOV2017!S15</f>
        <v>0</v>
      </c>
      <c r="T15" s="7">
        <f>TONT20000DEC2016!V15+TONT20000JANV2017!T15+TONT20000FEV2017!T15+TONT20000MARS2017!T15+TONT20000AVRIL2017!T15+TONT20000MAI2017!T15+TONT20000JUIN2017!T15+TONT20000JUIL2017!T15+TONT20000AOUT2017!T15+TONT20000SEPT2017!T15+TONT20000OCT2017!T15+TONT20000NOV2017!T15</f>
        <v>0</v>
      </c>
      <c r="U15" s="44">
        <v>42659</v>
      </c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TONT20000DEC2016!E16+TONT20000JANV2017!C16+TONT20000FEV2017!C16+TONT20000MARS2017!C16+TONT20000AVRIL2017!C16+TONT20000MAI2017!C16+TONT20000JUIN2017!C16+TONT20000JUIL2017!C16+TONT20000AOUT2017!C16+TONT20000SEPT2017!C16+TONT20000OCT2017!C16+TONT20000NOV2017!C16</f>
        <v>34272.297400609335</v>
      </c>
      <c r="D16" s="6">
        <f>TONT20000OCT2017!C16+TONT20000OCT2017!D16+TONT20000ANNUELLEBACKUP!J16</f>
        <v>635272.29740060936</v>
      </c>
      <c r="E16" s="6"/>
      <c r="F16" s="7">
        <f t="shared" si="0"/>
        <v>0</v>
      </c>
      <c r="G16" s="7">
        <f t="shared" si="1"/>
        <v>0</v>
      </c>
      <c r="H16" s="43" t="s">
        <v>216</v>
      </c>
      <c r="I16" s="7">
        <f>TONT20000DEC2016!K16+TONT20000JANV2017!I16+TONT20000FEV2017!I16+TONT20000MARS2017!I16+TONT20000AVRIL2017!I16+TONT20000MAI2017!I16+TONT20000JUIN2017!I16+TONT20000JUIL2017!I16+TONT20000AOUT2017!J16+TONT20000SEPT2017!I16+TONT20000OCT2017!I16+TONT20000NOV2017!I16</f>
        <v>263000</v>
      </c>
      <c r="J16" s="7">
        <f>TONT20000DEC2016!L16+TONT20000JANV2017!J16+TONT20000FEV2017!J16+TONT20000MARS2017!J16+TONT20000AVRIL2017!J16+TONT20000MAI2017!J16+TONT20000JUIN2017!J16+TONT20000JUIL2017!J16+TONT20000AOUT2017!K16+TONT20000SEPT2017!J16+TONT20000OCT2017!J16+TONT20000NOV2017!J16</f>
        <v>90500</v>
      </c>
      <c r="K16" s="7">
        <f>TONT20000DEC2016!M16+TONT20000JANV2017!K16+TONT20000FEV2017!K16+TONT20000MARS2017!K16+TONT20000AVRIL2017!K16+TONT20000MAI2017!K16+TONT20000JUIN2017!K16+TONT20000JUIL2017!K16+TONT20000AOUT2017!L16+TONT20000SEPT2017!K16+TONT20000OCT2017!K16+TONT20000NOV2017!K16</f>
        <v>6000</v>
      </c>
      <c r="L16" s="7">
        <f>TONT20000DEC2016!N16+TONT20000JANV2017!L16+TONT20000FEV2017!L16+TONT20000MARS2017!L16+TONT20000AVRIL2017!L16+TONT20000MAI2017!L16+TONT20000JUIN2017!L16+TONT20000JUIL2017!L16+TONT20000AOUT2017!M16+TONT20000SEPT2017!L16+TONT20000OCT2017!L16+TONT20000NOV2017!L16</f>
        <v>12500</v>
      </c>
      <c r="M16" s="7" t="e">
        <f>TONT20000DEC2016!O16+TONT20000JANV2017!M16+TONT20000FEV2017!M16+TONT20000MARS2017!M16+TONT20000AVRIL2017!M16+TONT20000MAI2017!M16+TONT20000JUIN2017!M16+TONT20000JUIL2017!M16+TONT20000AOUT2017!#REF!+TONT20000SEPT2017!M16+TONT20000OCT2017!M16+TONT20000NOV2017!M16</f>
        <v>#REF!</v>
      </c>
      <c r="N16" s="7">
        <f>TONT20000DEC2016!P16+TONT20000JANV2017!N16+TONT20000FEV2017!N16+TONT20000MARS2017!N16+TONT20000AVRIL2017!N16+TONT20000MAI2017!N16+TONT20000JUIN2017!N16+TONT20000JUIL2017!N16+TONT20000AOUT2017!N16+TONT20000SEPT2017!N16+TONT20000OCT2017!N16+TONT20000NOV2017!N16+TRAVAUXINVENTAIRE!O16</f>
        <v>50000</v>
      </c>
      <c r="O16" s="7">
        <f>TONT20000DEC2016!Q16+TONT20000JANV2017!O16+TONT20000FEV2017!O16+TONT20000MARS2017!O16+TONT20000AVRIL2017!O16+TONT20000MAI2017!O16+TONT20000JUIN2017!O16+TONT20000JUIL2017!O16+TONT20000AOUT2017!O16+TONT20000SEPT2017!O16+TONT20000OCT2017!O16+TONT20000NOV2017!O16</f>
        <v>0</v>
      </c>
      <c r="P16" s="7">
        <f>TONT20000DEC2016!R16+TONT20000JANV2017!P16+TONT20000FEV2017!P16+TONT20000MARS2017!P16+TONT20000AVRIL2017!P16+TONT20000MAI2017!P16+TONT20000JUIN2017!P16+TONT20000JUIL2017!P16+TONT20000AOUT2017!P16+TONT20000SEPT2017!P16+TONT20000OCT2017!P16+TONT20000NOV2017!P16</f>
        <v>0</v>
      </c>
      <c r="Q16" s="7">
        <f>TONT20000DEC2016!S16+TONT20000JANV2017!Q16+TONT20000FEV2017!Q16+TONT20000MARS2017!Q16+TONT20000AVRIL2017!Q16+TONT20000MAI2017!Q16+TONT20000JUIN2017!Q16+TONT20000JUIL2017!Q16+TONT20000AOUT2017!Q16+TONT20000SEPT2017!Q16+TONT20000OCT2017!Q16+TONT20000NOV2017!Q16</f>
        <v>0</v>
      </c>
      <c r="R16" s="7">
        <f>TONT20000DEC2016!T16+TONT20000JANV2017!R16+TONT20000FEV2017!R16+TONT20000MARS2017!R16+TONT20000AVRIL2017!R16+TONT20000MAI2017!R16+TONT20000JUIN2017!R16+TONT20000JUIL2017!R16+TONT20000AOUT2017!R16+TONT20000SEPT2017!R16+TONT20000OCT2017!R16+TONT20000NOV2017!R16</f>
        <v>0</v>
      </c>
      <c r="S16" s="7">
        <f>TONT20000DEC2016!U16+TONT20000JANV2017!S16+TONT20000FEV2017!S16+TONT20000MARS2017!S16+TONT20000AVRIL2017!S16+TONT20000MAI2017!S16+TONT20000JUIN2017!S16+TONT20000JUIL2017!S16+TONT20000AOUT2017!S16+TONT20000SEPT2017!S16+TONT20000OCT2017!S16+TONT20000NOV2017!S16</f>
        <v>0</v>
      </c>
      <c r="T16" s="7">
        <f>TONT20000DEC2016!V16+TONT20000JANV2017!T16+TONT20000FEV2017!T16+TONT20000MARS2017!T16+TONT20000AVRIL2017!T16+TONT20000MAI2017!T16+TONT20000JUIN2017!T16+TONT20000JUIL2017!T16+TONT20000AOUT2017!T16+TONT20000SEPT2017!T16+TONT20000OCT2017!T16+TONT20000NOV2017!T16</f>
        <v>0</v>
      </c>
      <c r="V16" s="1"/>
    </row>
    <row r="17" spans="1:23" x14ac:dyDescent="0.25">
      <c r="A17" s="1" t="s">
        <v>22</v>
      </c>
      <c r="B17" s="1" t="str">
        <f>VLOOKUP(A17,LISTADHERENT!A$5:H$51,2)</f>
        <v>HODIEP JULES</v>
      </c>
      <c r="C17" s="6">
        <f>TONT20000DEC2016!E17+TONT20000JANV2017!C17+TONT20000FEV2017!C17+TONT20000MARS2017!C17+TONT20000AVRIL2017!C17+TONT20000MAI2017!C17+TONT20000JUIN2017!C17+TONT20000JUIL2017!C17+TONT20000AOUT2017!C17+TONT20000SEPT2017!C17+TONT20000OCT2017!C17+TONT20000NOV2017!C17</f>
        <v>3431.3172366730873</v>
      </c>
      <c r="D17" s="6">
        <f>TONT20000OCT2017!C17+TONT20000OCT2017!D17+TONT20000ANNUELLEBACKUP!J17</f>
        <v>53691.31723667308</v>
      </c>
      <c r="E17" s="6"/>
      <c r="F17" s="7">
        <f t="shared" si="0"/>
        <v>0</v>
      </c>
      <c r="G17" s="7">
        <f t="shared" si="1"/>
        <v>0</v>
      </c>
      <c r="H17" s="43" t="s">
        <v>216</v>
      </c>
      <c r="I17" s="7">
        <f>TONT20000DEC2016!K17+TONT20000JANV2017!I17+TONT20000FEV2017!I17+TONT20000MARS2017!I17+TONT20000AVRIL2017!I17+TONT20000MAI2017!I17+TONT20000JUIN2017!I17+TONT20000JUIL2017!I17+TONT20000AOUT2017!J17+TONT20000SEPT2017!I17+TONT20000OCT2017!I17+TONT20000NOV2017!I17</f>
        <v>0</v>
      </c>
      <c r="J17" s="7">
        <f>TONT20000DEC2016!L17+TONT20000JANV2017!J17+TONT20000FEV2017!J17+TONT20000MARS2017!J17+TONT20000AVRIL2017!J17+TONT20000MAI2017!J17+TONT20000JUIN2017!J17+TONT20000JUIL2017!J17+TONT20000AOUT2017!K17+TONT20000SEPT2017!J17+TONT20000OCT2017!J17+TONT20000NOV2017!J17</f>
        <v>0</v>
      </c>
      <c r="K17" s="7">
        <f>TONT20000DEC2016!M17+TONT20000JANV2017!K17+TONT20000FEV2017!K17+TONT20000MARS2017!K17+TONT20000AVRIL2017!K17+TONT20000MAI2017!K17+TONT20000JUIN2017!K17+TONT20000JUIL2017!K17+TONT20000AOUT2017!L17+TONT20000SEPT2017!K17+TONT20000OCT2017!K17+TONT20000NOV2017!K17</f>
        <v>0</v>
      </c>
      <c r="L17" s="7">
        <f>TONT20000DEC2016!N17+TONT20000JANV2017!L17+TONT20000FEV2017!L17+TONT20000MARS2017!L17+TONT20000AVRIL2017!L17+TONT20000MAI2017!L17+TONT20000JUIN2017!L17+TONT20000JUIL2017!L17+TONT20000AOUT2017!M17+TONT20000SEPT2017!L17+TONT20000OCT2017!L17+TONT20000NOV2017!L17</f>
        <v>0</v>
      </c>
      <c r="M17" s="7" t="e">
        <f>TONT20000DEC2016!O17+TONT20000JANV2017!M17+TONT20000FEV2017!M17+TONT20000MARS2017!M17+TONT20000AVRIL2017!M17+TONT20000MAI2017!M17+TONT20000JUIN2017!M17+TONT20000JUIL2017!M17+TONT20000AOUT2017!#REF!+TONT20000SEPT2017!M17+TONT20000OCT2017!M17+TONT20000NOV2017!M17</f>
        <v>#REF!</v>
      </c>
      <c r="N17" s="7">
        <f>TONT20000DEC2016!P17+TONT20000JANV2017!N17+TONT20000FEV2017!N17+TONT20000MARS2017!N17+TONT20000AVRIL2017!N17+TONT20000MAI2017!N17+TONT20000JUIN2017!N17+TONT20000JUIL2017!N17+TONT20000AOUT2017!N17+TONT20000SEPT2017!N17+TONT20000OCT2017!N17+TONT20000NOV2017!N17+TRAVAUXINVENTAIRE!O17</f>
        <v>14092</v>
      </c>
      <c r="O17" s="7">
        <f>TONT20000DEC2016!Q17+TONT20000JANV2017!O17+TONT20000FEV2017!O17+TONT20000MARS2017!O17+TONT20000AVRIL2017!O17+TONT20000MAI2017!O17+TONT20000JUIN2017!O17+TONT20000JUIL2017!O17+TONT20000AOUT2017!O17+TONT20000SEPT2017!O17+TONT20000OCT2017!O17+TONT20000NOV2017!O17</f>
        <v>0</v>
      </c>
      <c r="P17" s="7">
        <f>TONT20000DEC2016!R17+TONT20000JANV2017!P17+TONT20000FEV2017!P17+TONT20000MARS2017!P17+TONT20000AVRIL2017!P17+TONT20000MAI2017!P17+TONT20000JUIN2017!P17+TONT20000JUIL2017!P17+TONT20000AOUT2017!P17+TONT20000SEPT2017!P17+TONT20000OCT2017!P17+TONT20000NOV2017!P17</f>
        <v>0</v>
      </c>
      <c r="Q17" s="7">
        <f>TONT20000DEC2016!S17+TONT20000JANV2017!Q17+TONT20000FEV2017!Q17+TONT20000MARS2017!Q17+TONT20000AVRIL2017!Q17+TONT20000MAI2017!Q17+TONT20000JUIN2017!Q17+TONT20000JUIL2017!Q17+TONT20000AOUT2017!Q17+TONT20000SEPT2017!Q17+TONT20000OCT2017!Q17+TONT20000NOV2017!Q17</f>
        <v>0</v>
      </c>
      <c r="R17" s="7">
        <f>TONT20000DEC2016!T17+TONT20000JANV2017!R17+TONT20000FEV2017!R17+TONT20000MARS2017!R17+TONT20000AVRIL2017!R17+TONT20000MAI2017!R17+TONT20000JUIN2017!R17+TONT20000JUIL2017!R17+TONT20000AOUT2017!R17+TONT20000SEPT2017!R17+TONT20000OCT2017!R17+TONT20000NOV2017!R17</f>
        <v>0</v>
      </c>
      <c r="S17" s="7">
        <f>TONT20000DEC2016!U17+TONT20000JANV2017!S17+TONT20000FEV2017!S17+TONT20000MARS2017!S17+TONT20000AVRIL2017!S17+TONT20000MAI2017!S17+TONT20000JUIN2017!S17+TONT20000JUIL2017!S17+TONT20000AOUT2017!S17+TONT20000SEPT2017!S17+TONT20000OCT2017!S17+TONT20000NOV2017!S17</f>
        <v>0</v>
      </c>
      <c r="T17" s="7">
        <f>TONT20000DEC2016!V17+TONT20000JANV2017!T17+TONT20000FEV2017!T17+TONT20000MARS2017!T17+TONT20000AVRIL2017!T17+TONT20000MAI2017!T17+TONT20000JUIN2017!T17+TONT20000JUIL2017!T17+TONT20000AOUT2017!T17+TONT20000SEPT2017!T17+TONT20000OCT2017!T17+TONT20000NOV2017!T17</f>
        <v>0</v>
      </c>
      <c r="U17" t="s">
        <v>242</v>
      </c>
      <c r="V17" s="1"/>
    </row>
    <row r="18" spans="1:23" x14ac:dyDescent="0.25">
      <c r="A18" s="1" t="s">
        <v>23</v>
      </c>
      <c r="B18" s="1" t="str">
        <f>VLOOKUP(A18,LISTADHERENT!A$5:H$51,2)</f>
        <v>HOTCHO BENJAMIN</v>
      </c>
      <c r="C18" s="6">
        <f>TONT20000DEC2016!E18+TONT20000JANV2017!C18+TONT20000FEV2017!C18+TONT20000MARS2017!C18+TONT20000AVRIL2017!C18+TONT20000MAI2017!C18+TONT20000JUIN2017!C18+TONT20000JUIL2017!C18+TONT20000AOUT2017!C18+TONT20000SEPT2017!C18+TONT20000OCT2017!C18+TONT20000NOV2017!C18</f>
        <v>37459.544618955595</v>
      </c>
      <c r="D18" s="6">
        <f>TONT20000OCT2017!C18+TONT20000OCT2017!D18+TONT20000ANNUELLEBACKUP!J18</f>
        <v>619144.5446189557</v>
      </c>
      <c r="E18" s="6"/>
      <c r="F18" s="7">
        <f t="shared" si="0"/>
        <v>0</v>
      </c>
      <c r="G18" s="7">
        <f t="shared" si="1"/>
        <v>0</v>
      </c>
      <c r="H18" s="43" t="s">
        <v>216</v>
      </c>
      <c r="I18" s="7">
        <f>TONT20000DEC2016!K18+TONT20000JANV2017!I18+TONT20000FEV2017!I18+TONT20000MARS2017!I18+TONT20000AVRIL2017!I18+TONT20000MAI2017!I18+TONT20000JUIN2017!I18+TONT20000JUIL2017!I18+TONT20000AOUT2017!J18+TONT20000SEPT2017!I18+TONT20000OCT2017!I18+TONT20000NOV2017!I18</f>
        <v>163000</v>
      </c>
      <c r="J18" s="7">
        <f>TONT20000DEC2016!L18+TONT20000JANV2017!J18+TONT20000FEV2017!J18+TONT20000MARS2017!J18+TONT20000AVRIL2017!J18+TONT20000MAI2017!J18+TONT20000JUIN2017!J18+TONT20000JUIL2017!J18+TONT20000AOUT2017!K18+TONT20000SEPT2017!J18+TONT20000OCT2017!J18+TONT20000NOV2017!J18</f>
        <v>24500</v>
      </c>
      <c r="K18" s="7">
        <f>TONT20000DEC2016!M18+TONT20000JANV2017!K18+TONT20000FEV2017!K18+TONT20000MARS2017!K18+TONT20000AVRIL2017!K18+TONT20000MAI2017!K18+TONT20000JUIN2017!K18+TONT20000JUIL2017!K18+TONT20000AOUT2017!L18+TONT20000SEPT2017!K18+TONT20000OCT2017!K18+TONT20000NOV2017!K18</f>
        <v>5000</v>
      </c>
      <c r="L18" s="7">
        <f>TONT20000DEC2016!N18+TONT20000JANV2017!L18+TONT20000FEV2017!L18+TONT20000MARS2017!L18+TONT20000AVRIL2017!L18+TONT20000MAI2017!L18+TONT20000JUIN2017!L18+TONT20000JUIL2017!L18+TONT20000AOUT2017!M18+TONT20000SEPT2017!L18+TONT20000OCT2017!L18+TONT20000NOV2017!L18</f>
        <v>10500</v>
      </c>
      <c r="M18" s="7" t="e">
        <f>TONT20000DEC2016!O18+TONT20000JANV2017!M18+TONT20000FEV2017!M18+TONT20000MARS2017!M18+TONT20000AVRIL2017!M18+TONT20000MAI2017!M18+TONT20000JUIN2017!M18+TONT20000JUIL2017!M18+TONT20000AOUT2017!#REF!+TONT20000SEPT2017!M18+TONT20000OCT2017!M18+TONT20000NOV2017!M18</f>
        <v>#REF!</v>
      </c>
      <c r="N18" s="7">
        <f>TONT20000DEC2016!P18+TONT20000JANV2017!N18+TONT20000FEV2017!N18+TONT20000MARS2017!N18+TONT20000AVRIL2017!N18+TONT20000MAI2017!N18+TONT20000JUIN2017!N18+TONT20000JUIL2017!N18+TONT20000AOUT2017!N18+TONT20000SEPT2017!N18+TONT20000OCT2017!N18+TONT20000NOV2017!N18+TRAVAUXINVENTAIRE!O18</f>
        <v>50000</v>
      </c>
      <c r="O18" s="7">
        <f>TONT20000DEC2016!Q18+TONT20000JANV2017!O18+TONT20000FEV2017!O18+TONT20000MARS2017!O18+TONT20000AVRIL2017!O18+TONT20000MAI2017!O18+TONT20000JUIN2017!O18+TONT20000JUIL2017!O18+TONT20000AOUT2017!O18+TONT20000SEPT2017!O18+TONT20000OCT2017!O18+TONT20000NOV2017!O18</f>
        <v>700000</v>
      </c>
      <c r="P18" s="7">
        <f>TONT20000DEC2016!R18+TONT20000JANV2017!P18+TONT20000FEV2017!P18+TONT20000MARS2017!P18+TONT20000AVRIL2017!P18+TONT20000MAI2017!P18+TONT20000JUIN2017!P18+TONT20000JUIL2017!P18+TONT20000AOUT2017!P18+TONT20000SEPT2017!P18+TONT20000OCT2017!P18+TONT20000NOV2017!P18</f>
        <v>84000</v>
      </c>
      <c r="Q18" s="7">
        <f>TONT20000DEC2016!S18+TONT20000JANV2017!Q18+TONT20000FEV2017!Q18+TONT20000MARS2017!Q18+TONT20000AVRIL2017!Q18+TONT20000MAI2017!Q18+TONT20000JUIN2017!Q18+TONT20000JUIL2017!Q18+TONT20000AOUT2017!Q18+TONT20000SEPT2017!Q18+TONT20000OCT2017!Q18+TONT20000NOV2017!Q18</f>
        <v>0</v>
      </c>
      <c r="R18" s="7">
        <f>TONT20000DEC2016!T18+TONT20000JANV2017!R18+TONT20000FEV2017!R18+TONT20000MARS2017!R18+TONT20000AVRIL2017!R18+TONT20000MAI2017!R18+TONT20000JUIN2017!R18+TONT20000JUIL2017!R18+TONT20000AOUT2017!R18+TONT20000SEPT2017!R18+TONT20000OCT2017!R18+TONT20000NOV2017!R18</f>
        <v>0</v>
      </c>
      <c r="S18" s="7">
        <f>TONT20000DEC2016!U18+TONT20000JANV2017!S18+TONT20000FEV2017!S18+TONT20000MARS2017!S18+TONT20000AVRIL2017!S18+TONT20000MAI2017!S18+TONT20000JUIN2017!S18+TONT20000JUIL2017!S18+TONT20000AOUT2017!S18+TONT20000SEPT2017!S18+TONT20000OCT2017!S18+TONT20000NOV2017!S18</f>
        <v>0</v>
      </c>
      <c r="T18" s="7">
        <f>TONT20000DEC2016!V18+TONT20000JANV2017!T18+TONT20000FEV2017!T18+TONT20000MARS2017!T18+TONT20000AVRIL2017!T18+TONT20000MAI2017!T18+TONT20000JUIN2017!T18+TONT20000JUIL2017!T18+TONT20000AOUT2017!T18+TONT20000SEPT2017!T18+TONT20000OCT2017!T18+TONT20000NOV2017!T18</f>
        <v>0</v>
      </c>
      <c r="U18" s="44">
        <v>42785</v>
      </c>
      <c r="V18" s="1" t="s">
        <v>233</v>
      </c>
      <c r="W18" s="1" t="s">
        <v>234</v>
      </c>
    </row>
    <row r="19" spans="1:23" x14ac:dyDescent="0.25">
      <c r="A19" s="1" t="s">
        <v>24</v>
      </c>
      <c r="B19" s="1" t="str">
        <f>VLOOKUP(A19,LISTADHERENT!A$5:H$51,2)</f>
        <v>KEPHE DAVID</v>
      </c>
      <c r="C19" s="6">
        <f>TONT20000DEC2016!E19+TONT20000JANV2017!C19+TONT20000FEV2017!C19+TONT20000MARS2017!C19+TONT20000AVRIL2017!C19+TONT20000MAI2017!C19+TONT20000JUIN2017!C19+TONT20000JUIL2017!C19+TONT20000AOUT2017!C19+TONT20000SEPT2017!C19+TONT20000OCT2017!C19+TONT20000NOV2017!C19</f>
        <v>7931.5559730462846</v>
      </c>
      <c r="D19" s="6">
        <f>TONT20000OCT2017!C19+TONT20000OCT2017!D19+TONT20000ANNUELLEBACKUP!J19</f>
        <v>156108.55597304628</v>
      </c>
      <c r="E19" s="6"/>
      <c r="F19" s="7">
        <f t="shared" si="0"/>
        <v>0</v>
      </c>
      <c r="G19" s="7">
        <f t="shared" si="1"/>
        <v>0</v>
      </c>
      <c r="H19" s="43" t="s">
        <v>216</v>
      </c>
      <c r="I19" s="7">
        <f>TONT20000DEC2016!K19+TONT20000JANV2017!I19+TONT20000FEV2017!I19+TONT20000MARS2017!I19+TONT20000AVRIL2017!I19+TONT20000MAI2017!I19+TONT20000JUIN2017!I19+TONT20000JUIL2017!I19+TONT20000AOUT2017!J19+TONT20000SEPT2017!I19+TONT20000OCT2017!I19+TONT20000NOV2017!I19</f>
        <v>160000</v>
      </c>
      <c r="J19" s="7">
        <f>TONT20000DEC2016!L19+TONT20000JANV2017!J19+TONT20000FEV2017!J19+TONT20000MARS2017!J19+TONT20000AVRIL2017!J19+TONT20000MAI2017!J19+TONT20000JUIN2017!J19+TONT20000JUIL2017!J19+TONT20000AOUT2017!K19+TONT20000SEPT2017!J19+TONT20000OCT2017!J19+TONT20000NOV2017!J19</f>
        <v>24000</v>
      </c>
      <c r="K19" s="7">
        <f>TONT20000DEC2016!M19+TONT20000JANV2017!K19+TONT20000FEV2017!K19+TONT20000MARS2017!K19+TONT20000AVRIL2017!K19+TONT20000MAI2017!K19+TONT20000JUIN2017!K19+TONT20000JUIL2017!K19+TONT20000AOUT2017!L19+TONT20000SEPT2017!K19+TONT20000OCT2017!K19+TONT20000NOV2017!K19</f>
        <v>4000</v>
      </c>
      <c r="L19" s="7">
        <f>TONT20000DEC2016!N19+TONT20000JANV2017!L19+TONT20000FEV2017!L19+TONT20000MARS2017!L19+TONT20000AVRIL2017!L19+TONT20000MAI2017!L19+TONT20000JUIN2017!L19+TONT20000JUIL2017!L19+TONT20000AOUT2017!M19+TONT20000SEPT2017!L19+TONT20000OCT2017!L19+TONT20000NOV2017!L19</f>
        <v>8000</v>
      </c>
      <c r="M19" s="7" t="e">
        <f>TONT20000DEC2016!O19+TONT20000JANV2017!M19+TONT20000FEV2017!M19+TONT20000MARS2017!M19+TONT20000AVRIL2017!M19+TONT20000MAI2017!M19+TONT20000JUIN2017!M19+TONT20000JUIL2017!M19+TONT20000AOUT2017!#REF!+TONT20000SEPT2017!M19+TONT20000OCT2017!M19+TONT20000NOV2017!M19</f>
        <v>#REF!</v>
      </c>
      <c r="N19" s="7">
        <f>TONT20000DEC2016!P19+TONT20000JANV2017!N19+TONT20000FEV2017!N19+TONT20000MARS2017!N19+TONT20000AVRIL2017!N19+TONT20000MAI2017!N19+TONT20000JUIN2017!N19+TONT20000JUIL2017!N19+TONT20000AOUT2017!N19+TONT20000SEPT2017!N19+TONT20000OCT2017!N19+TONT20000NOV2017!N19+TRAVAUXINVENTAIRE!O19</f>
        <v>21829</v>
      </c>
      <c r="O19" s="7">
        <f>TONT20000DEC2016!Q19+TONT20000JANV2017!O19+TONT20000FEV2017!O19+TONT20000MARS2017!O19+TONT20000AVRIL2017!O19+TONT20000MAI2017!O19+TONT20000JUIN2017!O19+TONT20000JUIL2017!O19+TONT20000AOUT2017!O19+TONT20000SEPT2017!O19+TONT20000OCT2017!O19+TONT20000NOV2017!O19</f>
        <v>0</v>
      </c>
      <c r="P19" s="7">
        <f>TONT20000DEC2016!R19+TONT20000JANV2017!P19+TONT20000FEV2017!P19+TONT20000MARS2017!P19+TONT20000AVRIL2017!P19+TONT20000MAI2017!P19+TONT20000JUIN2017!P19+TONT20000JUIL2017!P19+TONT20000AOUT2017!P19+TONT20000SEPT2017!P19+TONT20000OCT2017!P19+TONT20000NOV2017!P19</f>
        <v>0</v>
      </c>
      <c r="Q19" s="7">
        <f>TONT20000DEC2016!S19+TONT20000JANV2017!Q19+TONT20000FEV2017!Q19+TONT20000MARS2017!Q19+TONT20000AVRIL2017!Q19+TONT20000MAI2017!Q19+TONT20000JUIN2017!Q19+TONT20000JUIL2017!Q19+TONT20000AOUT2017!Q19+TONT20000SEPT2017!Q19+TONT20000OCT2017!Q19+TONT20000NOV2017!Q19</f>
        <v>0</v>
      </c>
      <c r="R19" s="7">
        <f>TONT20000DEC2016!T19+TONT20000JANV2017!R19+TONT20000FEV2017!R19+TONT20000MARS2017!R19+TONT20000AVRIL2017!R19+TONT20000MAI2017!R19+TONT20000JUIN2017!R19+TONT20000JUIL2017!R19+TONT20000AOUT2017!R19+TONT20000SEPT2017!R19+TONT20000OCT2017!R19+TONT20000NOV2017!R19</f>
        <v>0</v>
      </c>
      <c r="S19" s="7">
        <f>TONT20000DEC2016!U19+TONT20000JANV2017!S19+TONT20000FEV2017!S19+TONT20000MARS2017!S19+TONT20000AVRIL2017!S19+TONT20000MAI2017!S19+TONT20000JUIN2017!S19+TONT20000JUIL2017!S19+TONT20000AOUT2017!S19+TONT20000SEPT2017!S19+TONT20000OCT2017!S19+TONT20000NOV2017!S19</f>
        <v>0</v>
      </c>
      <c r="T19" s="7">
        <f>TONT20000DEC2016!V19+TONT20000JANV2017!T19+TONT20000FEV2017!T19+TONT20000MARS2017!T19+TONT20000AVRIL2017!T19+TONT20000MAI2017!T19+TONT20000JUIN2017!T19+TONT20000JUIL2017!T19+TONT20000AOUT2017!T19+TONT20000SEPT2017!T19+TONT20000OCT2017!T19+TONT20000NOV2017!T19</f>
        <v>0</v>
      </c>
      <c r="U19" s="44">
        <v>42904</v>
      </c>
      <c r="V19" s="1"/>
    </row>
    <row r="20" spans="1:23" x14ac:dyDescent="0.25">
      <c r="A20" s="1" t="s">
        <v>25</v>
      </c>
      <c r="B20" s="1" t="str">
        <f>VLOOKUP(A20,LISTADHERENT!A$5:H$51,2)</f>
        <v>KEPSEU FRANCIS</v>
      </c>
      <c r="C20" s="6">
        <f>TONT20000DEC2016!E20+TONT20000JANV2017!C20+TONT20000FEV2017!C20+TONT20000MARS2017!C20+TONT20000AVRIL2017!C20+TONT20000MAI2017!C20+TONT20000JUIN2017!C20+TONT20000JUIL2017!C20+TONT20000AOUT2017!C20+TONT20000SEPT2017!C20+TONT20000OCT2017!C20+TONT20000NOV2017!C20</f>
        <v>164833.81689359609</v>
      </c>
      <c r="D20" s="6">
        <f>TONT20000OCT2017!C20+TONT20000OCT2017!D20+TONT20000ANNUELLEBACKUP!J20</f>
        <v>5387258.8168935962</v>
      </c>
      <c r="E20" s="6"/>
      <c r="F20" s="7">
        <f t="shared" si="0"/>
        <v>0</v>
      </c>
      <c r="G20" s="7">
        <f t="shared" si="1"/>
        <v>0</v>
      </c>
      <c r="H20" s="43" t="s">
        <v>216</v>
      </c>
      <c r="I20" s="7">
        <f>TONT20000DEC2016!K20+TONT20000JANV2017!I20+TONT20000FEV2017!I20+TONT20000MARS2017!I20+TONT20000AVRIL2017!I20+TONT20000MAI2017!I20+TONT20000JUIN2017!I20+TONT20000JUIL2017!I20+TONT20000AOUT2017!J20+TONT20000SEPT2017!I20+TONT20000OCT2017!I20+TONT20000NOV2017!I20</f>
        <v>2190000</v>
      </c>
      <c r="J20" s="7">
        <f>TONT20000DEC2016!L20+TONT20000JANV2017!J20+TONT20000FEV2017!J20+TONT20000MARS2017!J20+TONT20000AVRIL2017!J20+TONT20000MAI2017!J20+TONT20000JUIN2017!J20+TONT20000JUIL2017!J20+TONT20000AOUT2017!K20+TONT20000SEPT2017!J20+TONT20000OCT2017!J20+TONT20000NOV2017!J20</f>
        <v>2048500</v>
      </c>
      <c r="K20" s="7">
        <f>TONT20000DEC2016!M20+TONT20000JANV2017!K20+TONT20000FEV2017!K20+TONT20000MARS2017!K20+TONT20000AVRIL2017!K20+TONT20000MAI2017!K20+TONT20000JUIN2017!K20+TONT20000JUIL2017!K20+TONT20000AOUT2017!L20+TONT20000SEPT2017!K20+TONT20000OCT2017!K20+TONT20000NOV2017!K20</f>
        <v>5000</v>
      </c>
      <c r="L20" s="7">
        <f>TONT20000DEC2016!N20+TONT20000JANV2017!L20+TONT20000FEV2017!L20+TONT20000MARS2017!L20+TONT20000AVRIL2017!L20+TONT20000MAI2017!L20+TONT20000JUIN2017!L20+TONT20000JUIL2017!L20+TONT20000AOUT2017!M20+TONT20000SEPT2017!L20+TONT20000OCT2017!L20+TONT20000NOV2017!L20</f>
        <v>10500</v>
      </c>
      <c r="M20" s="7" t="e">
        <f>TONT20000DEC2016!O20+TONT20000JANV2017!M20+TONT20000FEV2017!M20+TONT20000MARS2017!M20+TONT20000AVRIL2017!M20+TONT20000MAI2017!M20+TONT20000JUIN2017!M20+TONT20000JUIL2017!M20+TONT20000AOUT2017!#REF!+TONT20000SEPT2017!M20+TONT20000OCT2017!M20+TONT20000NOV2017!M20</f>
        <v>#REF!</v>
      </c>
      <c r="N20" s="7">
        <f>TONT20000DEC2016!P20+TONT20000JANV2017!N20+TONT20000FEV2017!N20+TONT20000MARS2017!N20+TONT20000AVRIL2017!N20+TONT20000MAI2017!N20+TONT20000JUIN2017!N20+TONT20000JUIL2017!N20+TONT20000AOUT2017!N20+TONT20000SEPT2017!N20+TONT20000OCT2017!N20+TONT20000NOV2017!N20+TRAVAUXINVENTAIRE!O20</f>
        <v>50000</v>
      </c>
      <c r="O20" s="7">
        <f>TONT20000DEC2016!Q20+TONT20000JANV2017!O20+TONT20000FEV2017!O20+TONT20000MARS2017!O20+TONT20000AVRIL2017!O20+TONT20000MAI2017!O20+TONT20000JUIN2017!O20+TONT20000JUIL2017!O20+TONT20000AOUT2017!O20+TONT20000SEPT2017!O20+TONT20000OCT2017!O20+TONT20000NOV2017!O20</f>
        <v>0</v>
      </c>
      <c r="P20" s="7">
        <f>TONT20000DEC2016!R20+TONT20000JANV2017!P20+TONT20000FEV2017!P20+TONT20000MARS2017!P20+TONT20000AVRIL2017!P20+TONT20000MAI2017!P20+TONT20000JUIN2017!P20+TONT20000JUIL2017!P20+TONT20000AOUT2017!P20+TONT20000SEPT2017!P20+TONT20000OCT2017!P20+TONT20000NOV2017!P20</f>
        <v>0</v>
      </c>
      <c r="Q20" s="7">
        <f>TONT20000DEC2016!S20+TONT20000JANV2017!Q20+TONT20000FEV2017!Q20+TONT20000MARS2017!Q20+TONT20000AVRIL2017!Q20+TONT20000MAI2017!Q20+TONT20000JUIN2017!Q20+TONT20000JUIL2017!Q20+TONT20000AOUT2017!Q20+TONT20000SEPT2017!Q20+TONT20000OCT2017!Q20+TONT20000NOV2017!Q20</f>
        <v>0</v>
      </c>
      <c r="R20" s="7">
        <f>TONT20000DEC2016!T20+TONT20000JANV2017!R20+TONT20000FEV2017!R20+TONT20000MARS2017!R20+TONT20000AVRIL2017!R20+TONT20000MAI2017!R20+TONT20000JUIN2017!R20+TONT20000JUIL2017!R20+TONT20000AOUT2017!R20+TONT20000SEPT2017!R20+TONT20000OCT2017!R20+TONT20000NOV2017!R20</f>
        <v>0</v>
      </c>
      <c r="S20" s="7">
        <f>TONT20000DEC2016!U20+TONT20000JANV2017!S20+TONT20000FEV2017!S20+TONT20000MARS2017!S20+TONT20000AVRIL2017!S20+TONT20000MAI2017!S20+TONT20000JUIN2017!S20+TONT20000JUIL2017!S20+TONT20000AOUT2017!S20+TONT20000SEPT2017!S20+TONT20000OCT2017!S20+TONT20000NOV2017!S20</f>
        <v>0</v>
      </c>
      <c r="T20" s="7">
        <f>TONT20000DEC2016!V20+TONT20000JANV2017!T20+TONT20000FEV2017!T20+TONT20000MARS2017!T20+TONT20000AVRIL2017!T20+TONT20000MAI2017!T20+TONT20000JUIN2017!T20+TONT20000JUIL2017!T20+TONT20000AOUT2017!T20+TONT20000SEPT2017!T20+TONT20000OCT2017!T20+TONT20000NOV2017!T20</f>
        <v>0</v>
      </c>
      <c r="U20" s="44">
        <v>42750</v>
      </c>
      <c r="V20" s="1" t="s">
        <v>85</v>
      </c>
    </row>
    <row r="21" spans="1:23" x14ac:dyDescent="0.25">
      <c r="A21" s="1" t="s">
        <v>26</v>
      </c>
      <c r="B21" s="1" t="str">
        <f>VLOOKUP(A21,LISTADHERENT!A$5:H$51,2)</f>
        <v>KOUAMOU EMMANUEL</v>
      </c>
      <c r="C21" s="6">
        <f>TONT20000DEC2016!E21+TONT20000JANV2017!C21+TONT20000FEV2017!C21+TONT20000MARS2017!C21+TONT20000AVRIL2017!C21+TONT20000MAI2017!C21+TONT20000JUIN2017!C21+TONT20000JUIL2017!C21+TONT20000AOUT2017!C21+TONT20000SEPT2017!C21+TONT20000OCT2017!C21+TONT20000NOV2017!C21</f>
        <v>29927.304903721444</v>
      </c>
      <c r="D21" s="6">
        <f>TONT20000OCT2017!C21+TONT20000OCT2017!D21+TONT20000ANNUELLEBACKUP!J21</f>
        <v>501284.30490372144</v>
      </c>
      <c r="E21" s="6"/>
      <c r="F21" s="7">
        <f t="shared" si="0"/>
        <v>0</v>
      </c>
      <c r="G21" s="7">
        <f t="shared" si="1"/>
        <v>0</v>
      </c>
      <c r="H21" s="43" t="s">
        <v>216</v>
      </c>
      <c r="I21" s="7">
        <f>TONT20000DEC2016!K21+TONT20000JANV2017!I21+TONT20000FEV2017!I21+TONT20000MARS2017!I21+TONT20000AVRIL2017!I21+TONT20000MAI2017!I21+TONT20000JUIN2017!I21+TONT20000JUIL2017!I21+TONT20000AOUT2017!J21+TONT20000SEPT2017!I21+TONT20000OCT2017!I21+TONT20000NOV2017!I21</f>
        <v>163000</v>
      </c>
      <c r="J21" s="7">
        <f>TONT20000DEC2016!L21+TONT20000JANV2017!J21+TONT20000FEV2017!J21+TONT20000MARS2017!J21+TONT20000AVRIL2017!J21+TONT20000MAI2017!J21+TONT20000JUIN2017!J21+TONT20000JUIL2017!J21+TONT20000AOUT2017!K21+TONT20000SEPT2017!J21+TONT20000OCT2017!J21+TONT20000NOV2017!J21</f>
        <v>24500</v>
      </c>
      <c r="K21" s="7">
        <f>TONT20000DEC2016!M21+TONT20000JANV2017!K21+TONT20000FEV2017!K21+TONT20000MARS2017!K21+TONT20000AVRIL2017!K21+TONT20000MAI2017!K21+TONT20000JUIN2017!K21+TONT20000JUIL2017!K21+TONT20000AOUT2017!L21+TONT20000SEPT2017!K21+TONT20000OCT2017!K21+TONT20000NOV2017!K21</f>
        <v>5000</v>
      </c>
      <c r="L21" s="7">
        <f>TONT20000DEC2016!N21+TONT20000JANV2017!L21+TONT20000FEV2017!L21+TONT20000MARS2017!L21+TONT20000AVRIL2017!L21+TONT20000MAI2017!L21+TONT20000JUIN2017!L21+TONT20000JUIL2017!L21+TONT20000AOUT2017!M21+TONT20000SEPT2017!L21+TONT20000OCT2017!L21+TONT20000NOV2017!L21</f>
        <v>10500</v>
      </c>
      <c r="M21" s="7" t="e">
        <f>TONT20000DEC2016!O21+TONT20000JANV2017!M21+TONT20000FEV2017!M21+TONT20000MARS2017!M21+TONT20000AVRIL2017!M21+TONT20000MAI2017!M21+TONT20000JUIN2017!M21+TONT20000JUIL2017!M21+TONT20000AOUT2017!#REF!+TONT20000SEPT2017!M21+TONT20000OCT2017!M21+TONT20000NOV2017!M21</f>
        <v>#REF!</v>
      </c>
      <c r="N21" s="7">
        <f>TONT20000DEC2016!P21+TONT20000JANV2017!N21+TONT20000FEV2017!N21+TONT20000MARS2017!N21+TONT20000AVRIL2017!N21+TONT20000MAI2017!N21+TONT20000JUIN2017!N21+TONT20000JUIL2017!N21+TONT20000AOUT2017!N21+TONT20000SEPT2017!N21+TONT20000OCT2017!N21+TONT20000NOV2017!N21+TRAVAUXINVENTAIRE!O21</f>
        <v>50000</v>
      </c>
      <c r="O21" s="7">
        <f>TONT20000DEC2016!Q21+TONT20000JANV2017!O21+TONT20000FEV2017!O21+TONT20000MARS2017!O21+TONT20000AVRIL2017!O21+TONT20000MAI2017!O21+TONT20000JUIN2017!O21+TONT20000JUIL2017!O21+TONT20000AOUT2017!O21+TONT20000SEPT2017!O21+TONT20000OCT2017!O21+TONT20000NOV2017!O21</f>
        <v>0</v>
      </c>
      <c r="P21" s="7">
        <f>TONT20000DEC2016!R21+TONT20000JANV2017!P21+TONT20000FEV2017!P21+TONT20000MARS2017!P21+TONT20000AVRIL2017!P21+TONT20000MAI2017!P21+TONT20000JUIN2017!P21+TONT20000JUIL2017!P21+TONT20000AOUT2017!P21+TONT20000SEPT2017!P21+TONT20000OCT2017!P21+TONT20000NOV2017!P21</f>
        <v>0</v>
      </c>
      <c r="Q21" s="7">
        <f>TONT20000DEC2016!S21+TONT20000JANV2017!Q21+TONT20000FEV2017!Q21+TONT20000MARS2017!Q21+TONT20000AVRIL2017!Q21+TONT20000MAI2017!Q21+TONT20000JUIN2017!Q21+TONT20000JUIL2017!Q21+TONT20000AOUT2017!Q21+TONT20000SEPT2017!Q21+TONT20000OCT2017!Q21+TONT20000NOV2017!Q21</f>
        <v>120000</v>
      </c>
      <c r="R21" s="7">
        <f>TONT20000DEC2016!T21+TONT20000JANV2017!R21+TONT20000FEV2017!R21+TONT20000MARS2017!R21+TONT20000AVRIL2017!R21+TONT20000MAI2017!R21+TONT20000JUIN2017!R21+TONT20000JUIL2017!R21+TONT20000AOUT2017!R21+TONT20000SEPT2017!R21+TONT20000OCT2017!R21+TONT20000NOV2017!R21</f>
        <v>0</v>
      </c>
      <c r="S21" s="7">
        <f>TONT20000DEC2016!U21+TONT20000JANV2017!S21+TONT20000FEV2017!S21+TONT20000MARS2017!S21+TONT20000AVRIL2017!S21+TONT20000MAI2017!S21+TONT20000JUIN2017!S21+TONT20000JUIL2017!S21+TONT20000AOUT2017!S21+TONT20000SEPT2017!S21+TONT20000OCT2017!S21+TONT20000NOV2017!S21</f>
        <v>0</v>
      </c>
      <c r="T21" s="7">
        <f>TONT20000DEC2016!V21+TONT20000JANV2017!T21+TONT20000FEV2017!T21+TONT20000MARS2017!T21+TONT20000AVRIL2017!T21+TONT20000MAI2017!T21+TONT20000JUIN2017!T21+TONT20000JUIL2017!T21+TONT20000AOUT2017!T21+TONT20000SEPT2017!T21+TONT20000OCT2017!T21+TONT20000NOV2017!T21</f>
        <v>0</v>
      </c>
      <c r="U21" s="44">
        <v>42659</v>
      </c>
      <c r="V21" s="1"/>
    </row>
    <row r="22" spans="1:23" x14ac:dyDescent="0.25">
      <c r="A22" s="1" t="s">
        <v>27</v>
      </c>
      <c r="B22" s="1" t="str">
        <f>VLOOKUP(A22,LISTADHERENT!A$5:H$51,2)</f>
        <v>KOUAMOU MOISE</v>
      </c>
      <c r="C22" s="6">
        <f>TONT20000DEC2016!E22+TONT20000JANV2017!C22+TONT20000FEV2017!C22+TONT20000MARS2017!C22+TONT20000AVRIL2017!C22+TONT20000MAI2017!C22+TONT20000JUIN2017!C22+TONT20000JUIL2017!C22+TONT20000AOUT2017!C22+TONT20000SEPT2017!C22+TONT20000OCT2017!C22+TONT20000NOV2017!C22</f>
        <v>30239.475057506435</v>
      </c>
      <c r="D22" s="6">
        <f>TONT20000OCT2017!C22+TONT20000OCT2017!D22+TONT20000ANNUELLEBACKUP!J22</f>
        <v>540287.47505750647</v>
      </c>
      <c r="E22" s="6"/>
      <c r="F22" s="7">
        <f t="shared" si="0"/>
        <v>0</v>
      </c>
      <c r="G22" s="7">
        <f t="shared" si="1"/>
        <v>0</v>
      </c>
      <c r="H22" s="43" t="s">
        <v>216</v>
      </c>
      <c r="I22" s="7">
        <f>TONT20000DEC2016!K22+TONT20000JANV2017!I22+TONT20000FEV2017!I22+TONT20000MARS2017!I22+TONT20000AVRIL2017!I22+TONT20000MAI2017!I22+TONT20000JUIN2017!I22+TONT20000JUIL2017!I22+TONT20000AOUT2017!J22+TONT20000SEPT2017!I22+TONT20000OCT2017!I22+TONT20000NOV2017!I22</f>
        <v>165000</v>
      </c>
      <c r="J22" s="7">
        <f>TONT20000DEC2016!L22+TONT20000JANV2017!J22+TONT20000FEV2017!J22+TONT20000MARS2017!J22+TONT20000AVRIL2017!J22+TONT20000MAI2017!J22+TONT20000JUIN2017!J22+TONT20000JUIL2017!J22+TONT20000AOUT2017!K22+TONT20000SEPT2017!J22+TONT20000OCT2017!J22+TONT20000NOV2017!J22</f>
        <v>43500</v>
      </c>
      <c r="K22" s="7">
        <f>TONT20000DEC2016!M22+TONT20000JANV2017!K22+TONT20000FEV2017!K22+TONT20000MARS2017!K22+TONT20000AVRIL2017!K22+TONT20000MAI2017!K22+TONT20000JUIN2017!K22+TONT20000JUIL2017!K22+TONT20000AOUT2017!L22+TONT20000SEPT2017!K22+TONT20000OCT2017!K22+TONT20000NOV2017!K22</f>
        <v>4500</v>
      </c>
      <c r="L22" s="7">
        <f>TONT20000DEC2016!N22+TONT20000JANV2017!L22+TONT20000FEV2017!L22+TONT20000MARS2017!L22+TONT20000AVRIL2017!L22+TONT20000MAI2017!L22+TONT20000JUIN2017!L22+TONT20000JUIL2017!L22+TONT20000AOUT2017!M22+TONT20000SEPT2017!L22+TONT20000OCT2017!L22+TONT20000NOV2017!L22</f>
        <v>9500</v>
      </c>
      <c r="M22" s="7" t="e">
        <f>TONT20000DEC2016!O22+TONT20000JANV2017!M22+TONT20000FEV2017!M22+TONT20000MARS2017!M22+TONT20000AVRIL2017!M22+TONT20000MAI2017!M22+TONT20000JUIN2017!M22+TONT20000JUIL2017!M22+TONT20000AOUT2017!#REF!+TONT20000SEPT2017!M22+TONT20000OCT2017!M22+TONT20000NOV2017!M22</f>
        <v>#REF!</v>
      </c>
      <c r="N22" s="7">
        <f>TONT20000DEC2016!P22+TONT20000JANV2017!N22+TONT20000FEV2017!N22+TONT20000MARS2017!N22+TONT20000AVRIL2017!N22+TONT20000MAI2017!N22+TONT20000JUIN2017!N22+TONT20000JUIL2017!N22+TONT20000AOUT2017!N22+TONT20000SEPT2017!N22+TONT20000OCT2017!N22+TONT20000NOV2017!N22+TRAVAUXINVENTAIRE!O22</f>
        <v>50000</v>
      </c>
      <c r="O22" s="7">
        <f>TONT20000DEC2016!Q22+TONT20000JANV2017!O22+TONT20000FEV2017!O22+TONT20000MARS2017!O22+TONT20000AVRIL2017!O22+TONT20000MAI2017!O22+TONT20000JUIN2017!O22+TONT20000JUIL2017!O22+TONT20000AOUT2017!O22+TONT20000SEPT2017!O22+TONT20000OCT2017!O22+TONT20000NOV2017!O22</f>
        <v>500000</v>
      </c>
      <c r="P22" s="7">
        <f>TONT20000DEC2016!R22+TONT20000JANV2017!P22+TONT20000FEV2017!P22+TONT20000MARS2017!P22+TONT20000AVRIL2017!P22+TONT20000MAI2017!P22+TONT20000JUIN2017!P22+TONT20000JUIL2017!P22+TONT20000AOUT2017!P22+TONT20000SEPT2017!P22+TONT20000OCT2017!P22+TONT20000NOV2017!P22</f>
        <v>15000</v>
      </c>
      <c r="Q22" s="7">
        <f>TONT20000DEC2016!S22+TONT20000JANV2017!Q22+TONT20000FEV2017!Q22+TONT20000MARS2017!Q22+TONT20000AVRIL2017!Q22+TONT20000MAI2017!Q22+TONT20000JUIN2017!Q22+TONT20000JUIL2017!Q22+TONT20000AOUT2017!Q22+TONT20000SEPT2017!Q22+TONT20000OCT2017!Q22+TONT20000NOV2017!Q22</f>
        <v>864000</v>
      </c>
      <c r="R22" s="7">
        <f>TONT20000DEC2016!T22+TONT20000JANV2017!R22+TONT20000FEV2017!R22+TONT20000MARS2017!R22+TONT20000AVRIL2017!R22+TONT20000MAI2017!R22+TONT20000JUIN2017!R22+TONT20000JUIL2017!R22+TONT20000AOUT2017!R22+TONT20000SEPT2017!R22+TONT20000OCT2017!R22+TONT20000NOV2017!R22</f>
        <v>0</v>
      </c>
      <c r="S22" s="7">
        <f>TONT20000DEC2016!U22+TONT20000JANV2017!S22+TONT20000FEV2017!S22+TONT20000MARS2017!S22+TONT20000AVRIL2017!S22+TONT20000MAI2017!S22+TONT20000JUIN2017!S22+TONT20000JUIL2017!S22+TONT20000AOUT2017!S22+TONT20000SEPT2017!S22+TONT20000OCT2017!S22+TONT20000NOV2017!S22</f>
        <v>0</v>
      </c>
      <c r="T22" s="7">
        <f>TONT20000DEC2016!V22+TONT20000JANV2017!T22+TONT20000FEV2017!T22+TONT20000MARS2017!T22+TONT20000AVRIL2017!T22+TONT20000MAI2017!T22+TONT20000JUIN2017!T22+TONT20000JUIL2017!T22+TONT20000AOUT2017!T22+TONT20000SEPT2017!T22+TONT20000OCT2017!T22+TONT20000NOV2017!T22</f>
        <v>12000</v>
      </c>
      <c r="U22" s="44">
        <v>42723</v>
      </c>
      <c r="V22" s="1" t="s">
        <v>102</v>
      </c>
    </row>
    <row r="23" spans="1:23" x14ac:dyDescent="0.25">
      <c r="A23" s="1" t="s">
        <v>28</v>
      </c>
      <c r="B23" s="1" t="str">
        <f>VLOOKUP(A23,LISTADHERENT!A$5:H$51,2)</f>
        <v>KOUAMO VICTOR PEGUY</v>
      </c>
      <c r="C23" s="6">
        <f>TONT20000DEC2016!E23+TONT20000JANV2017!C23+TONT20000FEV2017!C23+TONT20000MARS2017!C23+TONT20000AVRIL2017!C23+TONT20000MAI2017!C23+TONT20000JUIN2017!C23+TONT20000JUIL2017!C23+TONT20000AOUT2017!C23+TONT20000SEPT2017!C23+TONT20000OCT2017!C23+TONT20000NOV2017!C23</f>
        <v>29949.766172540891</v>
      </c>
      <c r="D23" s="6">
        <f>TONT20000OCT2017!C23+TONT20000OCT2017!D23+TONT20000ANNUELLEBACKUP!J23</f>
        <v>501635.76617254084</v>
      </c>
      <c r="E23" s="6"/>
      <c r="F23" s="7">
        <f t="shared" si="0"/>
        <v>0</v>
      </c>
      <c r="G23" s="7">
        <f t="shared" si="1"/>
        <v>0</v>
      </c>
      <c r="H23" s="43" t="s">
        <v>216</v>
      </c>
      <c r="I23" s="7">
        <f>TONT20000DEC2016!K23+TONT20000JANV2017!I23+TONT20000FEV2017!I23+TONT20000MARS2017!I23+TONT20000AVRIL2017!I23+TONT20000MAI2017!I23+TONT20000JUIN2017!I23+TONT20000JUIL2017!I23+TONT20000AOUT2017!J23+TONT20000SEPT2017!I23+TONT20000OCT2017!I23+TONT20000NOV2017!I23</f>
        <v>163000</v>
      </c>
      <c r="J23" s="7">
        <f>TONT20000DEC2016!L23+TONT20000JANV2017!J23+TONT20000FEV2017!J23+TONT20000MARS2017!J23+TONT20000AVRIL2017!J23+TONT20000MAI2017!J23+TONT20000JUIN2017!J23+TONT20000JUIL2017!J23+TONT20000AOUT2017!K23+TONT20000SEPT2017!J23+TONT20000OCT2017!J23+TONT20000NOV2017!J23</f>
        <v>24500</v>
      </c>
      <c r="K23" s="7">
        <f>TONT20000DEC2016!M23+TONT20000JANV2017!K23+TONT20000FEV2017!K23+TONT20000MARS2017!K23+TONT20000AVRIL2017!K23+TONT20000MAI2017!K23+TONT20000JUIN2017!K23+TONT20000JUIL2017!K23+TONT20000AOUT2017!L23+TONT20000SEPT2017!K23+TONT20000OCT2017!K23+TONT20000NOV2017!K23</f>
        <v>5000</v>
      </c>
      <c r="L23" s="7">
        <f>TONT20000DEC2016!N23+TONT20000JANV2017!L23+TONT20000FEV2017!L23+TONT20000MARS2017!L23+TONT20000AVRIL2017!L23+TONT20000MAI2017!L23+TONT20000JUIN2017!L23+TONT20000JUIL2017!L23+TONT20000AOUT2017!M23+TONT20000SEPT2017!L23+TONT20000OCT2017!L23+TONT20000NOV2017!L23</f>
        <v>10500</v>
      </c>
      <c r="M23" s="7" t="e">
        <f>TONT20000DEC2016!O23+TONT20000JANV2017!M23+TONT20000FEV2017!M23+TONT20000MARS2017!M23+TONT20000AVRIL2017!M23+TONT20000MAI2017!M23+TONT20000JUIN2017!M23+TONT20000JUIL2017!M23+TONT20000AOUT2017!#REF!+TONT20000SEPT2017!M23+TONT20000OCT2017!M23+TONT20000NOV2017!M23</f>
        <v>#REF!</v>
      </c>
      <c r="N23" s="7">
        <f>TONT20000DEC2016!P23+TONT20000JANV2017!N23+TONT20000FEV2017!N23+TONT20000MARS2017!N23+TONT20000AVRIL2017!N23+TONT20000MAI2017!N23+TONT20000JUIN2017!N23+TONT20000JUIL2017!N23+TONT20000AOUT2017!N23+TONT20000SEPT2017!N23+TONT20000OCT2017!N23+TONT20000NOV2017!N23+TRAVAUXINVENTAIRE!O23</f>
        <v>50000</v>
      </c>
      <c r="O23" s="7">
        <f>TONT20000DEC2016!Q23+TONT20000JANV2017!O23+TONT20000FEV2017!O23+TONT20000MARS2017!O23+TONT20000AVRIL2017!O23+TONT20000MAI2017!O23+TONT20000JUIN2017!O23+TONT20000JUIL2017!O23+TONT20000AOUT2017!O23+TONT20000SEPT2017!O23+TONT20000OCT2017!O23+TONT20000NOV2017!O23</f>
        <v>0</v>
      </c>
      <c r="P23" s="7">
        <f>TONT20000DEC2016!R23+TONT20000JANV2017!P23+TONT20000FEV2017!P23+TONT20000MARS2017!P23+TONT20000AVRIL2017!P23+TONT20000MAI2017!P23+TONT20000JUIN2017!P23+TONT20000JUIL2017!P23+TONT20000AOUT2017!P23+TONT20000SEPT2017!P23+TONT20000OCT2017!P23+TONT20000NOV2017!P23</f>
        <v>0</v>
      </c>
      <c r="Q23" s="7">
        <f>TONT20000DEC2016!S23+TONT20000JANV2017!Q23+TONT20000FEV2017!Q23+TONT20000MARS2017!Q23+TONT20000AVRIL2017!Q23+TONT20000MAI2017!Q23+TONT20000JUIN2017!Q23+TONT20000JUIL2017!Q23+TONT20000AOUT2017!Q23+TONT20000SEPT2017!Q23+TONT20000OCT2017!Q23+TONT20000NOV2017!Q23</f>
        <v>0</v>
      </c>
      <c r="R23" s="7">
        <f>TONT20000DEC2016!T23+TONT20000JANV2017!R23+TONT20000FEV2017!R23+TONT20000MARS2017!R23+TONT20000AVRIL2017!R23+TONT20000MAI2017!R23+TONT20000JUIN2017!R23+TONT20000JUIL2017!R23+TONT20000AOUT2017!R23+TONT20000SEPT2017!R23+TONT20000OCT2017!R23+TONT20000NOV2017!R23</f>
        <v>0</v>
      </c>
      <c r="S23" s="7">
        <f>TONT20000DEC2016!U23+TONT20000JANV2017!S23+TONT20000FEV2017!S23+TONT20000MARS2017!S23+TONT20000AVRIL2017!S23+TONT20000MAI2017!S23+TONT20000JUIN2017!S23+TONT20000JUIL2017!S23+TONT20000AOUT2017!S23+TONT20000SEPT2017!S23+TONT20000OCT2017!S23+TONT20000NOV2017!S23</f>
        <v>0</v>
      </c>
      <c r="T23" s="7">
        <f>TONT20000DEC2016!V23+TONT20000JANV2017!T23+TONT20000FEV2017!T23+TONT20000MARS2017!T23+TONT20000AVRIL2017!T23+TONT20000MAI2017!T23+TONT20000JUIN2017!T23+TONT20000JUIL2017!T23+TONT20000AOUT2017!T23+TONT20000SEPT2017!T23+TONT20000OCT2017!T23+TONT20000NOV2017!T23</f>
        <v>12000</v>
      </c>
      <c r="U23" s="44">
        <v>42723</v>
      </c>
      <c r="V23" s="1" t="s">
        <v>84</v>
      </c>
    </row>
    <row r="24" spans="1:23" x14ac:dyDescent="0.25">
      <c r="A24" s="1" t="s">
        <v>29</v>
      </c>
      <c r="B24" s="1" t="str">
        <f>VLOOKUP(A24,LISTADHERENT!A$5:H$51,2)</f>
        <v>KOUATCHO MESSACK</v>
      </c>
      <c r="C24" s="6">
        <f>TONT20000DEC2016!E24+TONT20000JANV2017!C24+TONT20000FEV2017!C24+TONT20000MARS2017!C24+TONT20000AVRIL2017!C24+TONT20000MAI2017!C24+TONT20000JUIN2017!C24+TONT20000JUIL2017!C24+TONT20000AOUT2017!C24+TONT20000SEPT2017!C24+TONT20000OCT2017!C24+TONT20000NOV2017!C24</f>
        <v>30027.049322399904</v>
      </c>
      <c r="D24" s="6">
        <f>TONT20000OCT2017!C24+TONT20000OCT2017!D24+TONT20000ANNUELLEBACKUP!J24</f>
        <v>502845.04932239989</v>
      </c>
      <c r="E24" s="6"/>
      <c r="F24" s="7">
        <f t="shared" si="0"/>
        <v>0</v>
      </c>
      <c r="G24" s="7">
        <f t="shared" si="1"/>
        <v>0</v>
      </c>
      <c r="H24" s="43" t="s">
        <v>216</v>
      </c>
      <c r="I24" s="7">
        <f>TONT20000DEC2016!K24+TONT20000JANV2017!I24+TONT20000FEV2017!I24+TONT20000MARS2017!I24+TONT20000AVRIL2017!I24+TONT20000MAI2017!I24+TONT20000JUIN2017!I24+TONT20000JUIL2017!I24+TONT20000AOUT2017!J24+TONT20000SEPT2017!I24+TONT20000OCT2017!I24+TONT20000NOV2017!I24</f>
        <v>163000</v>
      </c>
      <c r="J24" s="7">
        <f>TONT20000DEC2016!L24+TONT20000JANV2017!J24+TONT20000FEV2017!J24+TONT20000MARS2017!J24+TONT20000AVRIL2017!J24+TONT20000MAI2017!J24+TONT20000JUIN2017!J24+TONT20000JUIL2017!J24+TONT20000AOUT2017!K24+TONT20000SEPT2017!J24+TONT20000OCT2017!J24+TONT20000NOV2017!J24</f>
        <v>24500</v>
      </c>
      <c r="K24" s="7">
        <f>TONT20000DEC2016!M24+TONT20000JANV2017!K24+TONT20000FEV2017!K24+TONT20000MARS2017!K24+TONT20000AVRIL2017!K24+TONT20000MAI2017!K24+TONT20000JUIN2017!K24+TONT20000JUIL2017!K24+TONT20000AOUT2017!L24+TONT20000SEPT2017!K24+TONT20000OCT2017!K24+TONT20000NOV2017!K24</f>
        <v>5000</v>
      </c>
      <c r="L24" s="7">
        <f>TONT20000DEC2016!N24+TONT20000JANV2017!L24+TONT20000FEV2017!L24+TONT20000MARS2017!L24+TONT20000AVRIL2017!L24+TONT20000MAI2017!L24+TONT20000JUIN2017!L24+TONT20000JUIL2017!L24+TONT20000AOUT2017!M24+TONT20000SEPT2017!L24+TONT20000OCT2017!L24+TONT20000NOV2017!L24</f>
        <v>10500</v>
      </c>
      <c r="M24" s="7" t="e">
        <f>TONT20000DEC2016!O24+TONT20000JANV2017!M24+TONT20000FEV2017!M24+TONT20000MARS2017!M24+TONT20000AVRIL2017!M24+TONT20000MAI2017!M24+TONT20000JUIN2017!M24+TONT20000JUIL2017!M24+TONT20000AOUT2017!#REF!+TONT20000SEPT2017!M24+TONT20000OCT2017!M24+TONT20000NOV2017!M24</f>
        <v>#REF!</v>
      </c>
      <c r="N24" s="7">
        <f>TONT20000DEC2016!P24+TONT20000JANV2017!N24+TONT20000FEV2017!N24+TONT20000MARS2017!N24+TONT20000AVRIL2017!N24+TONT20000MAI2017!N24+TONT20000JUIN2017!N24+TONT20000JUIL2017!N24+TONT20000AOUT2017!N24+TONT20000SEPT2017!N24+TONT20000OCT2017!N24+TONT20000NOV2017!N24+TRAVAUXINVENTAIRE!O24</f>
        <v>50000</v>
      </c>
      <c r="O24" s="7">
        <f>TONT20000DEC2016!Q24+TONT20000JANV2017!O24+TONT20000FEV2017!O24+TONT20000MARS2017!O24+TONT20000AVRIL2017!O24+TONT20000MAI2017!O24+TONT20000JUIN2017!O24+TONT20000JUIL2017!O24+TONT20000AOUT2017!O24+TONT20000SEPT2017!O24+TONT20000OCT2017!O24+TONT20000NOV2017!O24</f>
        <v>1000000</v>
      </c>
      <c r="P24" s="7">
        <f>TONT20000DEC2016!R24+TONT20000JANV2017!P24+TONT20000FEV2017!P24+TONT20000MARS2017!P24+TONT20000AVRIL2017!P24+TONT20000MAI2017!P24+TONT20000JUIN2017!P24+TONT20000JUIL2017!P24+TONT20000AOUT2017!P24+TONT20000SEPT2017!P24+TONT20000OCT2017!P24+TONT20000NOV2017!P24</f>
        <v>120000</v>
      </c>
      <c r="Q24" s="7">
        <f>TONT20000DEC2016!S24+TONT20000JANV2017!Q24+TONT20000FEV2017!Q24+TONT20000MARS2017!Q24+TONT20000AVRIL2017!Q24+TONT20000MAI2017!Q24+TONT20000JUIN2017!Q24+TONT20000JUIL2017!Q24+TONT20000AOUT2017!Q24+TONT20000SEPT2017!Q24+TONT20000OCT2017!Q24+TONT20000NOV2017!Q24</f>
        <v>1120000</v>
      </c>
      <c r="R24" s="7">
        <f>TONT20000DEC2016!T24+TONT20000JANV2017!R24+TONT20000FEV2017!R24+TONT20000MARS2017!R24+TONT20000AVRIL2017!R24+TONT20000MAI2017!R24+TONT20000JUIN2017!R24+TONT20000JUIL2017!R24+TONT20000AOUT2017!R24+TONT20000SEPT2017!R24+TONT20000OCT2017!R24+TONT20000NOV2017!R24</f>
        <v>0</v>
      </c>
      <c r="S24" s="7">
        <f>TONT20000DEC2016!U24+TONT20000JANV2017!S24+TONT20000FEV2017!S24+TONT20000MARS2017!S24+TONT20000AVRIL2017!S24+TONT20000MAI2017!S24+TONT20000JUIN2017!S24+TONT20000JUIL2017!S24+TONT20000AOUT2017!S24+TONT20000SEPT2017!S24+TONT20000OCT2017!S24+TONT20000NOV2017!S24</f>
        <v>0</v>
      </c>
      <c r="T24" s="7">
        <f>TONT20000DEC2016!V24+TONT20000JANV2017!T24+TONT20000FEV2017!T24+TONT20000MARS2017!T24+TONT20000AVRIL2017!T24+TONT20000MAI2017!T24+TONT20000JUIN2017!T24+TONT20000JUIL2017!T24+TONT20000AOUT2017!T24+TONT20000SEPT2017!T24+TONT20000OCT2017!T24+TONT20000NOV2017!T24</f>
        <v>0</v>
      </c>
      <c r="U24" s="44">
        <v>42632</v>
      </c>
      <c r="V24" s="1"/>
    </row>
    <row r="25" spans="1:23" x14ac:dyDescent="0.25">
      <c r="A25" s="1" t="s">
        <v>30</v>
      </c>
      <c r="B25" s="1" t="str">
        <f>VLOOKUP(A25,LISTADHERENT!A$5:H$51,2)</f>
        <v>LOWE JEAN</v>
      </c>
      <c r="C25" s="6">
        <f>TONT20000DEC2016!E25+TONT20000JANV2017!C25+TONT20000FEV2017!C25+TONT20000MARS2017!C25+TONT20000AVRIL2017!C25+TONT20000MAI2017!C25+TONT20000JUIN2017!C25+TONT20000JUIL2017!C25+TONT20000AOUT2017!C25+TONT20000SEPT2017!C25+TONT20000OCT2017!C25+TONT20000NOV2017!C25</f>
        <v>29894.814598648332</v>
      </c>
      <c r="D25" s="6">
        <f>TONT20000OCT2017!C25+TONT20000OCT2017!D25+TONT20000ANNUELLEBACKUP!J25</f>
        <v>495546.81459864823</v>
      </c>
      <c r="E25" s="6"/>
      <c r="F25" s="7">
        <f t="shared" si="0"/>
        <v>0</v>
      </c>
      <c r="G25" s="7">
        <f t="shared" si="1"/>
        <v>0</v>
      </c>
      <c r="H25" s="43" t="s">
        <v>216</v>
      </c>
      <c r="I25" s="7">
        <f>TONT20000DEC2016!K25+TONT20000JANV2017!I25+TONT20000FEV2017!I25+TONT20000MARS2017!I25+TONT20000AVRIL2017!I25+TONT20000MAI2017!I25+TONT20000JUIN2017!I25+TONT20000JUIL2017!I25+TONT20000AOUT2017!J25+TONT20000SEPT2017!I25+TONT20000OCT2017!I25+TONT20000NOV2017!I25</f>
        <v>143000</v>
      </c>
      <c r="J25" s="7">
        <f>TONT20000DEC2016!L25+TONT20000JANV2017!J25+TONT20000FEV2017!J25+TONT20000MARS2017!J25+TONT20000AVRIL2017!J25+TONT20000MAI2017!J25+TONT20000JUIN2017!J25+TONT20000JUIL2017!J25+TONT20000AOUT2017!K25+TONT20000SEPT2017!J25+TONT20000OCT2017!J25+TONT20000NOV2017!J25</f>
        <v>21500</v>
      </c>
      <c r="K25" s="7">
        <f>TONT20000DEC2016!M25+TONT20000JANV2017!K25+TONT20000FEV2017!K25+TONT20000MARS2017!K25+TONT20000AVRIL2017!K25+TONT20000MAI2017!K25+TONT20000JUIN2017!K25+TONT20000JUIL2017!K25+TONT20000AOUT2017!L25+TONT20000SEPT2017!K25+TONT20000OCT2017!K25+TONT20000NOV2017!K25</f>
        <v>4500</v>
      </c>
      <c r="L25" s="7">
        <f>TONT20000DEC2016!N25+TONT20000JANV2017!L25+TONT20000FEV2017!L25+TONT20000MARS2017!L25+TONT20000AVRIL2017!L25+TONT20000MAI2017!L25+TONT20000JUIN2017!L25+TONT20000JUIL2017!L25+TONT20000AOUT2017!M25+TONT20000SEPT2017!L25+TONT20000OCT2017!L25+TONT20000NOV2017!L25</f>
        <v>9500</v>
      </c>
      <c r="M25" s="7" t="e">
        <f>TONT20000DEC2016!O25+TONT20000JANV2017!M25+TONT20000FEV2017!M25+TONT20000MARS2017!M25+TONT20000AVRIL2017!M25+TONT20000MAI2017!M25+TONT20000JUIN2017!M25+TONT20000JUIL2017!M25+TONT20000AOUT2017!#REF!+TONT20000SEPT2017!M25+TONT20000OCT2017!M25+TONT20000NOV2017!M25</f>
        <v>#REF!</v>
      </c>
      <c r="N25" s="7">
        <f>TONT20000DEC2016!P25+TONT20000JANV2017!N25+TONT20000FEV2017!N25+TONT20000MARS2017!N25+TONT20000AVRIL2017!N25+TONT20000MAI2017!N25+TONT20000JUIN2017!N25+TONT20000JUIL2017!N25+TONT20000AOUT2017!N25+TONT20000SEPT2017!N25+TONT20000OCT2017!N25+TONT20000NOV2017!N25+TRAVAUXINVENTAIRE!O25</f>
        <v>50000</v>
      </c>
      <c r="O25" s="7">
        <f>TONT20000DEC2016!Q25+TONT20000JANV2017!O25+TONT20000FEV2017!O25+TONT20000MARS2017!O25+TONT20000AVRIL2017!O25+TONT20000MAI2017!O25+TONT20000JUIN2017!O25+TONT20000JUIL2017!O25+TONT20000AOUT2017!O25+TONT20000SEPT2017!O25+TONT20000OCT2017!O25+TONT20000NOV2017!O25</f>
        <v>150000</v>
      </c>
      <c r="P25" s="7">
        <f>TONT20000DEC2016!R25+TONT20000JANV2017!P25+TONT20000FEV2017!P25+TONT20000MARS2017!P25+TONT20000AVRIL2017!P25+TONT20000MAI2017!P25+TONT20000JUIN2017!P25+TONT20000JUIL2017!P25+TONT20000AOUT2017!P25+TONT20000SEPT2017!P25+TONT20000OCT2017!P25+TONT20000NOV2017!P25</f>
        <v>4500</v>
      </c>
      <c r="Q25" s="7">
        <f>TONT20000DEC2016!S25+TONT20000JANV2017!Q25+TONT20000FEV2017!Q25+TONT20000MARS2017!Q25+TONT20000AVRIL2017!Q25+TONT20000MAI2017!Q25+TONT20000JUIN2017!Q25+TONT20000JUIL2017!Q25+TONT20000AOUT2017!Q25+TONT20000SEPT2017!Q25+TONT20000OCT2017!Q25+TONT20000NOV2017!Q25</f>
        <v>82400</v>
      </c>
      <c r="R25" s="7">
        <f>TONT20000DEC2016!T25+TONT20000JANV2017!R25+TONT20000FEV2017!R25+TONT20000MARS2017!R25+TONT20000AVRIL2017!R25+TONT20000MAI2017!R25+TONT20000JUIN2017!R25+TONT20000JUIL2017!R25+TONT20000AOUT2017!R25+TONT20000SEPT2017!R25+TONT20000OCT2017!R25+TONT20000NOV2017!R25</f>
        <v>0</v>
      </c>
      <c r="S25" s="7">
        <f>TONT20000DEC2016!U25+TONT20000JANV2017!S25+TONT20000FEV2017!S25+TONT20000MARS2017!S25+TONT20000AVRIL2017!S25+TONT20000MAI2017!S25+TONT20000JUIN2017!S25+TONT20000JUIL2017!S25+TONT20000AOUT2017!S25+TONT20000SEPT2017!S25+TONT20000OCT2017!S25+TONT20000NOV2017!S25</f>
        <v>0</v>
      </c>
      <c r="T25" s="7">
        <f>TONT20000DEC2016!V25+TONT20000JANV2017!T25+TONT20000FEV2017!T25+TONT20000MARS2017!T25+TONT20000AVRIL2017!T25+TONT20000MAI2017!T25+TONT20000JUIN2017!T25+TONT20000JUIL2017!T25+TONT20000AOUT2017!T25+TONT20000SEPT2017!T25+TONT20000OCT2017!T25+TONT20000NOV2017!T25</f>
        <v>0</v>
      </c>
      <c r="U25" s="44">
        <v>42694</v>
      </c>
      <c r="V25" s="1" t="s">
        <v>85</v>
      </c>
    </row>
    <row r="26" spans="1:23" x14ac:dyDescent="0.25">
      <c r="A26" s="1" t="s">
        <v>31</v>
      </c>
      <c r="B26" s="1" t="str">
        <f>VLOOKUP(A26,LISTADHERENT!A$5:H$51,2)</f>
        <v>NANKAM APPOLINAIRE</v>
      </c>
      <c r="C26" s="6">
        <f>TONT20000DEC2016!E26+TONT20000JANV2017!C26+TONT20000FEV2017!C26+TONT20000MARS2017!C26+TONT20000AVRIL2017!C26+TONT20000MAI2017!C26+TONT20000JUIN2017!C26+TONT20000JUIL2017!C26+TONT20000AOUT2017!C26+TONT20000SEPT2017!C26+TONT20000OCT2017!C26+TONT20000NOV2017!C26</f>
        <v>29953.52109589977</v>
      </c>
      <c r="D26" s="6">
        <f>TONT20000OCT2017!C26+TONT20000OCT2017!D26+TONT20000ANNUELLEBACKUP!J26</f>
        <v>501694.52109589981</v>
      </c>
      <c r="E26" s="6"/>
      <c r="F26" s="7">
        <f t="shared" si="0"/>
        <v>0</v>
      </c>
      <c r="G26" s="7">
        <f t="shared" si="1"/>
        <v>0</v>
      </c>
      <c r="H26" s="43" t="s">
        <v>216</v>
      </c>
      <c r="I26" s="7">
        <f>TONT20000DEC2016!K26+TONT20000JANV2017!I26+TONT20000FEV2017!I26+TONT20000MARS2017!I26+TONT20000AVRIL2017!I26+TONT20000MAI2017!I26+TONT20000JUIN2017!I26+TONT20000JUIL2017!I26+TONT20000AOUT2017!J26+TONT20000SEPT2017!I26+TONT20000OCT2017!I26+TONT20000NOV2017!I26</f>
        <v>163000</v>
      </c>
      <c r="J26" s="7">
        <f>TONT20000DEC2016!L26+TONT20000JANV2017!J26+TONT20000FEV2017!J26+TONT20000MARS2017!J26+TONT20000AVRIL2017!J26+TONT20000MAI2017!J26+TONT20000JUIN2017!J26+TONT20000JUIL2017!J26+TONT20000AOUT2017!K26+TONT20000SEPT2017!J26+TONT20000OCT2017!J26+TONT20000NOV2017!J26</f>
        <v>24500</v>
      </c>
      <c r="K26" s="7">
        <f>TONT20000DEC2016!M26+TONT20000JANV2017!K26+TONT20000FEV2017!K26+TONT20000MARS2017!K26+TONT20000AVRIL2017!K26+TONT20000MAI2017!K26+TONT20000JUIN2017!K26+TONT20000JUIL2017!K26+TONT20000AOUT2017!L26+TONT20000SEPT2017!K26+TONT20000OCT2017!K26+TONT20000NOV2017!K26</f>
        <v>5000</v>
      </c>
      <c r="L26" s="7">
        <f>TONT20000DEC2016!N26+TONT20000JANV2017!L26+TONT20000FEV2017!L26+TONT20000MARS2017!L26+TONT20000AVRIL2017!L26+TONT20000MAI2017!L26+TONT20000JUIN2017!L26+TONT20000JUIL2017!L26+TONT20000AOUT2017!M26+TONT20000SEPT2017!L26+TONT20000OCT2017!L26+TONT20000NOV2017!L26</f>
        <v>10500</v>
      </c>
      <c r="M26" s="7" t="e">
        <f>TONT20000DEC2016!O26+TONT20000JANV2017!M26+TONT20000FEV2017!M26+TONT20000MARS2017!M26+TONT20000AVRIL2017!M26+TONT20000MAI2017!M26+TONT20000JUIN2017!M26+TONT20000JUIL2017!M26+TONT20000AOUT2017!#REF!+TONT20000SEPT2017!M26+TONT20000OCT2017!M26+TONT20000NOV2017!M26</f>
        <v>#REF!</v>
      </c>
      <c r="N26" s="7">
        <f>TONT20000DEC2016!P26+TONT20000JANV2017!N26+TONT20000FEV2017!N26+TONT20000MARS2017!N26+TONT20000AVRIL2017!N26+TONT20000MAI2017!N26+TONT20000JUIN2017!N26+TONT20000JUIL2017!N26+TONT20000AOUT2017!N26+TONT20000SEPT2017!N26+TONT20000OCT2017!N26+TONT20000NOV2017!N26+TRAVAUXINVENTAIRE!O26</f>
        <v>50000</v>
      </c>
      <c r="O26" s="7">
        <f>TONT20000DEC2016!Q26+TONT20000JANV2017!O26+TONT20000FEV2017!O26+TONT20000MARS2017!O26+TONT20000AVRIL2017!O26+TONT20000MAI2017!O26+TONT20000JUIN2017!O26+TONT20000JUIL2017!O26+TONT20000AOUT2017!O26+TONT20000SEPT2017!O26+TONT20000OCT2017!O26+TONT20000NOV2017!O26</f>
        <v>0</v>
      </c>
      <c r="P26" s="7">
        <f>TONT20000DEC2016!R26+TONT20000JANV2017!P26+TONT20000FEV2017!P26+TONT20000MARS2017!P26+TONT20000AVRIL2017!P26+TONT20000MAI2017!P26+TONT20000JUIN2017!P26+TONT20000JUIL2017!P26+TONT20000AOUT2017!P26+TONT20000SEPT2017!P26+TONT20000OCT2017!P26+TONT20000NOV2017!P26</f>
        <v>0</v>
      </c>
      <c r="Q26" s="7">
        <f>TONT20000DEC2016!S26+TONT20000JANV2017!Q26+TONT20000FEV2017!Q26+TONT20000MARS2017!Q26+TONT20000AVRIL2017!Q26+TONT20000MAI2017!Q26+TONT20000JUIN2017!Q26+TONT20000JUIL2017!Q26+TONT20000AOUT2017!Q26+TONT20000SEPT2017!Q26+TONT20000OCT2017!Q26+TONT20000NOV2017!Q26</f>
        <v>200000</v>
      </c>
      <c r="R26" s="7">
        <f>TONT20000DEC2016!T26+TONT20000JANV2017!R26+TONT20000FEV2017!R26+TONT20000MARS2017!R26+TONT20000AVRIL2017!R26+TONT20000MAI2017!R26+TONT20000JUIN2017!R26+TONT20000JUIL2017!R26+TONT20000AOUT2017!R26+TONT20000SEPT2017!R26+TONT20000OCT2017!R26+TONT20000NOV2017!R26</f>
        <v>0</v>
      </c>
      <c r="S26" s="7">
        <f>TONT20000DEC2016!U26+TONT20000JANV2017!S26+TONT20000FEV2017!S26+TONT20000MARS2017!S26+TONT20000AVRIL2017!S26+TONT20000MAI2017!S26+TONT20000JUIN2017!S26+TONT20000JUIL2017!S26+TONT20000AOUT2017!S26+TONT20000SEPT2017!S26+TONT20000OCT2017!S26+TONT20000NOV2017!S26</f>
        <v>0</v>
      </c>
      <c r="T26" s="7">
        <f>TONT20000DEC2016!V26+TONT20000JANV2017!T26+TONT20000FEV2017!T26+TONT20000MARS2017!T26+TONT20000AVRIL2017!T26+TONT20000MAI2017!T26+TONT20000JUIN2017!T26+TONT20000JUIL2017!T26+TONT20000AOUT2017!T26+TONT20000SEPT2017!T26+TONT20000OCT2017!T26+TONT20000NOV2017!T26</f>
        <v>0</v>
      </c>
      <c r="U26" s="44">
        <v>42785</v>
      </c>
      <c r="V26" s="1" t="s">
        <v>85</v>
      </c>
    </row>
    <row r="27" spans="1:23" x14ac:dyDescent="0.25">
      <c r="A27" s="1" t="s">
        <v>32</v>
      </c>
      <c r="B27" s="1" t="str">
        <f>VLOOKUP(A27,LISTADHERENT!A$5:H$51,2)</f>
        <v>NDJOMO ETIENNE</v>
      </c>
      <c r="C27" s="6">
        <f>TONT20000DEC2016!E27+TONT20000JANV2017!C27+TONT20000FEV2017!C27+TONT20000MARS2017!C27+TONT20000AVRIL2017!C27+TONT20000MAI2017!C27+TONT20000JUIN2017!C27+TONT20000JUIL2017!C27+TONT20000AOUT2017!C27+TONT20000SEPT2017!C27+TONT20000OCT2017!C27+TONT20000NOV2017!C27</f>
        <v>31779.342267256736</v>
      </c>
      <c r="D27" s="6">
        <f>TONT20000OCT2017!C27+TONT20000OCT2017!D27+TONT20000ANNUELLEBACKUP!J27</f>
        <v>583597.3422672567</v>
      </c>
      <c r="E27" s="6"/>
      <c r="F27" s="7">
        <f t="shared" si="0"/>
        <v>0</v>
      </c>
      <c r="G27" s="7">
        <f t="shared" si="1"/>
        <v>0</v>
      </c>
      <c r="H27" s="43" t="s">
        <v>216</v>
      </c>
      <c r="I27" s="7">
        <f>TONT20000DEC2016!K27+TONT20000JANV2017!I27+TONT20000FEV2017!I27+TONT20000MARS2017!I27+TONT20000AVRIL2017!I27+TONT20000MAI2017!I27+TONT20000JUIN2017!I27+TONT20000JUIL2017!I27+TONT20000AOUT2017!J27+TONT20000SEPT2017!I27+TONT20000OCT2017!I27+TONT20000NOV2017!I27</f>
        <v>208000</v>
      </c>
      <c r="J27" s="7">
        <f>TONT20000DEC2016!L27+TONT20000JANV2017!J27+TONT20000FEV2017!J27+TONT20000MARS2017!J27+TONT20000AVRIL2017!J27+TONT20000MAI2017!J27+TONT20000JUIN2017!J27+TONT20000JUIL2017!J27+TONT20000AOUT2017!K27+TONT20000SEPT2017!J27+TONT20000OCT2017!J27+TONT20000NOV2017!J27</f>
        <v>64500</v>
      </c>
      <c r="K27" s="7">
        <f>TONT20000DEC2016!M27+TONT20000JANV2017!K27+TONT20000FEV2017!K27+TONT20000MARS2017!K27+TONT20000AVRIL2017!K27+TONT20000MAI2017!K27+TONT20000JUIN2017!K27+TONT20000JUIL2017!K27+TONT20000AOUT2017!L27+TONT20000SEPT2017!K27+TONT20000OCT2017!K27+TONT20000NOV2017!K27</f>
        <v>5000</v>
      </c>
      <c r="L27" s="7">
        <f>TONT20000DEC2016!N27+TONT20000JANV2017!L27+TONT20000FEV2017!L27+TONT20000MARS2017!L27+TONT20000AVRIL2017!L27+TONT20000MAI2017!L27+TONT20000JUIN2017!L27+TONT20000JUIL2017!L27+TONT20000AOUT2017!M27+TONT20000SEPT2017!L27+TONT20000OCT2017!L27+TONT20000NOV2017!L27</f>
        <v>10500</v>
      </c>
      <c r="M27" s="7" t="e">
        <f>TONT20000DEC2016!O27+TONT20000JANV2017!M27+TONT20000FEV2017!M27+TONT20000MARS2017!M27+TONT20000AVRIL2017!M27+TONT20000MAI2017!M27+TONT20000JUIN2017!M27+TONT20000JUIL2017!M27+TONT20000AOUT2017!#REF!+TONT20000SEPT2017!M27+TONT20000OCT2017!M27+TONT20000NOV2017!M27</f>
        <v>#REF!</v>
      </c>
      <c r="N27" s="7">
        <f>TONT20000DEC2016!P27+TONT20000JANV2017!N27+TONT20000FEV2017!N27+TONT20000MARS2017!N27+TONT20000AVRIL2017!N27+TONT20000MAI2017!N27+TONT20000JUIN2017!N27+TONT20000JUIL2017!N27+TONT20000AOUT2017!N27+TONT20000SEPT2017!N27+TONT20000OCT2017!N27+TONT20000NOV2017!N27+TRAVAUXINVENTAIRE!O27</f>
        <v>50000</v>
      </c>
      <c r="O27" s="7">
        <f>TONT20000DEC2016!Q27+TONT20000JANV2017!O27+TONT20000FEV2017!O27+TONT20000MARS2017!O27+TONT20000AVRIL2017!O27+TONT20000MAI2017!O27+TONT20000JUIN2017!O27+TONT20000JUIL2017!O27+TONT20000AOUT2017!O27+TONT20000SEPT2017!O27+TONT20000OCT2017!O27+TONT20000NOV2017!O27</f>
        <v>1000000</v>
      </c>
      <c r="P27" s="7">
        <f>TONT20000DEC2016!R27+TONT20000JANV2017!P27+TONT20000FEV2017!P27+TONT20000MARS2017!P27+TONT20000AVRIL2017!P27+TONT20000MAI2017!P27+TONT20000JUIN2017!P27+TONT20000JUIL2017!P27+TONT20000AOUT2017!P27+TONT20000SEPT2017!P27+TONT20000OCT2017!P27+TONT20000NOV2017!P27</f>
        <v>84000</v>
      </c>
      <c r="Q27" s="7">
        <f>TONT20000DEC2016!S27+TONT20000JANV2017!Q27+TONT20000FEV2017!Q27+TONT20000MARS2017!Q27+TONT20000AVRIL2017!Q27+TONT20000MAI2017!Q27+TONT20000JUIN2017!Q27+TONT20000JUIL2017!Q27+TONT20000AOUT2017!Q27+TONT20000SEPT2017!Q27+TONT20000OCT2017!Q27+TONT20000NOV2017!Q27</f>
        <v>824000</v>
      </c>
      <c r="R27" s="7">
        <f>TONT20000DEC2016!T27+TONT20000JANV2017!R27+TONT20000FEV2017!R27+TONT20000MARS2017!R27+TONT20000AVRIL2017!R27+TONT20000MAI2017!R27+TONT20000JUIN2017!R27+TONT20000JUIL2017!R27+TONT20000AOUT2017!R27+TONT20000SEPT2017!R27+TONT20000OCT2017!R27+TONT20000NOV2017!R27</f>
        <v>0</v>
      </c>
      <c r="S27" s="7">
        <f>TONT20000DEC2016!U27+TONT20000JANV2017!S27+TONT20000FEV2017!S27+TONT20000MARS2017!S27+TONT20000AVRIL2017!S27+TONT20000MAI2017!S27+TONT20000JUIN2017!S27+TONT20000JUIL2017!S27+TONT20000AOUT2017!S27+TONT20000SEPT2017!S27+TONT20000OCT2017!S27+TONT20000NOV2017!S27</f>
        <v>0</v>
      </c>
      <c r="T27" s="7">
        <f>TONT20000DEC2016!V27+TONT20000JANV2017!T27+TONT20000FEV2017!T27+TONT20000MARS2017!T27+TONT20000AVRIL2017!T27+TONT20000MAI2017!T27+TONT20000JUIN2017!T27+TONT20000JUIL2017!T27+TONT20000AOUT2017!T27+TONT20000SEPT2017!T27+TONT20000OCT2017!T27+TONT20000NOV2017!T27</f>
        <v>0</v>
      </c>
      <c r="U27" s="44">
        <v>42750</v>
      </c>
      <c r="V27" s="1" t="s">
        <v>241</v>
      </c>
    </row>
    <row r="28" spans="1:23" s="11" customFormat="1" x14ac:dyDescent="0.25">
      <c r="A28" s="34" t="s">
        <v>33</v>
      </c>
      <c r="B28" s="34" t="str">
        <f>VLOOKUP(A28,LISTADHERENT!A$5:H$51,2)</f>
        <v>NDOMBOU JEAN CLAUDE</v>
      </c>
      <c r="C28" s="6">
        <f>TONT20000DEC2016!E28+TONT20000JANV2017!C28+TONT20000FEV2017!C28+TONT20000MARS2017!C28+TONT20000AVRIL2017!C28+TONT20000MAI2017!C28+TONT20000JUIN2017!C28+TONT20000JUIL2017!C28+TONT20000AOUT2017!C28+TONT20000SEPT2017!C28+TONT20000OCT2017!C28+TONT20000NOV2017!C28</f>
        <v>28674.05080276751</v>
      </c>
      <c r="D28" s="6">
        <f>TONT20000OCT2017!C28+TONT20000OCT2017!D28+TONT20000ANNUELLEBACKUP!J28</f>
        <v>449674.05080276757</v>
      </c>
      <c r="E28" s="35"/>
      <c r="F28" s="10"/>
      <c r="G28" s="10"/>
      <c r="H28" s="46"/>
      <c r="I28" s="10">
        <f>TONT20000DEC2016!K28+TONT20000JANV2017!I28+TONT20000FEV2017!I28+TONT20000MARS2017!I28+TONT20000AVRIL2017!I28+TONT20000MAI2017!I28+TONT20000JUIN2017!I28+TONT20000JUIL2017!I28+TONT20000AOUT2017!J28+TONT20000SEPT2017!I28+TONT20000OCT2017!I28+TONT20000NOV2017!I28</f>
        <v>3000</v>
      </c>
      <c r="J28" s="10">
        <f>TONT20000DEC2016!L28+TONT20000JANV2017!J28+TONT20000FEV2017!J28+TONT20000MARS2017!J28+TONT20000AVRIL2017!J28+TONT20000MAI2017!J28+TONT20000JUIN2017!J28+TONT20000JUIL2017!J28+TONT20000AOUT2017!K28+TONT20000SEPT2017!J28+TONT20000OCT2017!J28+TONT20000NOV2017!J28</f>
        <v>500</v>
      </c>
      <c r="K28" s="10">
        <f>TONT20000DEC2016!M28+TONT20000JANV2017!K28+TONT20000FEV2017!K28+TONT20000MARS2017!K28+TONT20000AVRIL2017!K28+TONT20000MAI2017!K28+TONT20000JUIN2017!K28+TONT20000JUIL2017!K28+TONT20000AOUT2017!L28+TONT20000SEPT2017!K28+TONT20000OCT2017!K28+TONT20000NOV2017!K28</f>
        <v>1000</v>
      </c>
      <c r="L28" s="10">
        <f>TONT20000DEC2016!N28+TONT20000JANV2017!L28+TONT20000FEV2017!L28+TONT20000MARS2017!L28+TONT20000AVRIL2017!L28+TONT20000MAI2017!L28+TONT20000JUIN2017!L28+TONT20000JUIL2017!L28+TONT20000AOUT2017!M28+TONT20000SEPT2017!L28+TONT20000OCT2017!L28+TONT20000NOV2017!L28</f>
        <v>2500</v>
      </c>
      <c r="M28" s="10" t="e">
        <f>TONT20000DEC2016!O28+TONT20000JANV2017!M28+TONT20000FEV2017!M28+TONT20000MARS2017!M28+TONT20000AVRIL2017!M28+TONT20000MAI2017!M28+TONT20000JUIN2017!M28+TONT20000JUIL2017!M28+TONT20000AOUT2017!#REF!+TONT20000SEPT2017!M28+TONT20000OCT2017!M28+TONT20000NOV2017!M28</f>
        <v>#REF!</v>
      </c>
      <c r="N28" s="7">
        <f>TONT20000DEC2016!P28+TONT20000JANV2017!N28+TONT20000FEV2017!N28+TONT20000MARS2017!N28+TONT20000AVRIL2017!N28+TONT20000MAI2017!N28+TONT20000JUIN2017!N28+TONT20000JUIL2017!N28+TONT20000AOUT2017!N28+TONT20000SEPT2017!N28+TONT20000OCT2017!N28+TONT20000NOV2017!N28+TRAVAUXINVENTAIRE!O28</f>
        <v>50000</v>
      </c>
      <c r="O28" s="10">
        <f>TONT20000DEC2016!Q28+TONT20000JANV2017!O28+TONT20000FEV2017!O28+TONT20000MARS2017!O28+TONT20000AVRIL2017!O28+TONT20000MAI2017!O28+TONT20000JUIN2017!O28+TONT20000JUIL2017!O28+TONT20000AOUT2017!O28+TONT20000SEPT2017!O28+TONT20000OCT2017!O28+TONT20000NOV2017!O28</f>
        <v>0</v>
      </c>
      <c r="P28" s="10">
        <f>TONT20000DEC2016!R28+TONT20000JANV2017!P28+TONT20000FEV2017!P28+TONT20000MARS2017!P28+TONT20000AVRIL2017!P28+TONT20000MAI2017!P28+TONT20000JUIN2017!P28+TONT20000JUIL2017!P28+TONT20000AOUT2017!P28+TONT20000SEPT2017!P28+TONT20000OCT2017!P28+TONT20000NOV2017!P28</f>
        <v>0</v>
      </c>
      <c r="Q28" s="10">
        <f>TONT20000DEC2016!S28+TONT20000JANV2017!Q28+TONT20000FEV2017!Q28+TONT20000MARS2017!Q28+TONT20000AVRIL2017!Q28+TONT20000MAI2017!Q28+TONT20000JUIN2017!Q28+TONT20000JUIL2017!Q28+TONT20000AOUT2017!Q28+TONT20000SEPT2017!Q28+TONT20000OCT2017!Q28+TONT20000NOV2017!Q28</f>
        <v>0</v>
      </c>
      <c r="R28" s="10">
        <f>TONT20000DEC2016!T28+TONT20000JANV2017!R28+TONT20000FEV2017!R28+TONT20000MARS2017!R28+TONT20000AVRIL2017!R28+TONT20000MAI2017!R28+TONT20000JUIN2017!R28+TONT20000JUIL2017!R28+TONT20000AOUT2017!R28+TONT20000SEPT2017!R28+TONT20000OCT2017!R28+TONT20000NOV2017!R28</f>
        <v>0</v>
      </c>
      <c r="S28" s="10">
        <f>TONT20000DEC2016!U28+TONT20000JANV2017!S28+TONT20000FEV2017!S28+TONT20000MARS2017!S28+TONT20000AVRIL2017!S28+TONT20000MAI2017!S28+TONT20000JUIN2017!S28+TONT20000JUIL2017!S28+TONT20000AOUT2017!S28+TONT20000SEPT2017!S28+TONT20000OCT2017!S28+TONT20000NOV2017!S28</f>
        <v>0</v>
      </c>
      <c r="T28" s="10">
        <f>TONT20000DEC2016!V28+TONT20000JANV2017!T28+TONT20000FEV2017!T28+TONT20000MARS2017!T28+TONT20000AVRIL2017!T28+TONT20000MAI2017!T28+TONT20000JUIN2017!T28+TONT20000JUIL2017!T28+TONT20000AOUT2017!T28+TONT20000SEPT2017!T28+TONT20000OCT2017!T28+TONT20000NOV2017!T28</f>
        <v>0</v>
      </c>
      <c r="U28" s="11" t="s">
        <v>243</v>
      </c>
      <c r="V28" s="34"/>
    </row>
    <row r="29" spans="1:23" x14ac:dyDescent="0.25">
      <c r="A29" s="1" t="s">
        <v>34</v>
      </c>
      <c r="B29" s="1" t="str">
        <f>VLOOKUP(A29,LISTADHERENT!A$5:H$51,2)</f>
        <v>NGONDIEP CLAUDE</v>
      </c>
      <c r="C29" s="6">
        <f>TONT20000DEC2016!E29+TONT20000JANV2017!C29+TONT20000FEV2017!C29+TONT20000MARS2017!C29+TONT20000AVRIL2017!C29+TONT20000MAI2017!C29+TONT20000JUIN2017!C29+TONT20000JUIL2017!C29+TONT20000AOUT2017!C29+TONT20000SEPT2017!C29+TONT20000OCT2017!C29+TONT20000NOV2017!C29</f>
        <v>30597.187303970561</v>
      </c>
      <c r="D29" s="6">
        <f>TONT20000OCT2017!C29+TONT20000OCT2017!D29+TONT20000ANNUELLEBACKUP!J29</f>
        <v>520847.18730397057</v>
      </c>
      <c r="E29" s="6"/>
      <c r="F29" s="7">
        <f t="shared" si="0"/>
        <v>0</v>
      </c>
      <c r="G29" s="7">
        <f t="shared" si="1"/>
        <v>0</v>
      </c>
      <c r="H29" s="43" t="s">
        <v>216</v>
      </c>
      <c r="I29" s="7">
        <f>TONT20000DEC2016!K29+TONT20000JANV2017!I29+TONT20000FEV2017!I29+TONT20000MARS2017!I29+TONT20000AVRIL2017!I29+TONT20000MAI2017!I29+TONT20000JUIN2017!I29+TONT20000JUIL2017!I29+TONT20000AOUT2017!J29+TONT20000SEPT2017!I29+TONT20000OCT2017!I29+TONT20000NOV2017!I29</f>
        <v>172000</v>
      </c>
      <c r="J29" s="7">
        <f>TONT20000DEC2016!L29+TONT20000JANV2017!J29+TONT20000FEV2017!J29+TONT20000MARS2017!J29+TONT20000AVRIL2017!J29+TONT20000MAI2017!J29+TONT20000JUIN2017!J29+TONT20000JUIL2017!J29+TONT20000AOUT2017!K29+TONT20000SEPT2017!J29+TONT20000OCT2017!J29+TONT20000NOV2017!J29</f>
        <v>33500</v>
      </c>
      <c r="K29" s="7">
        <f>TONT20000DEC2016!M29+TONT20000JANV2017!K29+TONT20000FEV2017!K29+TONT20000MARS2017!K29+TONT20000AVRIL2017!K29+TONT20000MAI2017!K29+TONT20000JUIN2017!K29+TONT20000JUIL2017!K29+TONT20000AOUT2017!L29+TONT20000SEPT2017!K29+TONT20000OCT2017!K29+TONT20000NOV2017!K29</f>
        <v>5000</v>
      </c>
      <c r="L29" s="7">
        <f>TONT20000DEC2016!N29+TONT20000JANV2017!L29+TONT20000FEV2017!L29+TONT20000MARS2017!L29+TONT20000AVRIL2017!L29+TONT20000MAI2017!L29+TONT20000JUIN2017!L29+TONT20000JUIL2017!L29+TONT20000AOUT2017!M29+TONT20000SEPT2017!L29+TONT20000OCT2017!L29+TONT20000NOV2017!L29</f>
        <v>10500</v>
      </c>
      <c r="M29" s="7" t="e">
        <f>TONT20000DEC2016!O29+TONT20000JANV2017!M29+TONT20000FEV2017!M29+TONT20000MARS2017!M29+TONT20000AVRIL2017!M29+TONT20000MAI2017!M29+TONT20000JUIN2017!M29+TONT20000JUIL2017!M29+TONT20000AOUT2017!#REF!+TONT20000SEPT2017!M29+TONT20000OCT2017!M29+TONT20000NOV2017!M29</f>
        <v>#REF!</v>
      </c>
      <c r="N29" s="7">
        <f>TONT20000DEC2016!P29+TONT20000JANV2017!N29+TONT20000FEV2017!N29+TONT20000MARS2017!N29+TONT20000AVRIL2017!N29+TONT20000MAI2017!N29+TONT20000JUIN2017!N29+TONT20000JUIL2017!N29+TONT20000AOUT2017!N29+TONT20000SEPT2017!N29+TONT20000OCT2017!N29+TONT20000NOV2017!N29+TRAVAUXINVENTAIRE!O29</f>
        <v>50000</v>
      </c>
      <c r="O29" s="7">
        <f>TONT20000DEC2016!Q29+TONT20000JANV2017!O29+TONT20000FEV2017!O29+TONT20000MARS2017!O29+TONT20000AVRIL2017!O29+TONT20000MAI2017!O29+TONT20000JUIN2017!O29+TONT20000JUIL2017!O29+TONT20000AOUT2017!O29+TONT20000SEPT2017!O29+TONT20000OCT2017!O29+TONT20000NOV2017!O29</f>
        <v>1000000</v>
      </c>
      <c r="P29" s="7">
        <f>TONT20000DEC2016!R29+TONT20000JANV2017!P29+TONT20000FEV2017!P29+TONT20000MARS2017!P29+TONT20000AVRIL2017!P29+TONT20000MAI2017!P29+TONT20000JUIN2017!P29+TONT20000JUIL2017!P29+TONT20000AOUT2017!P29+TONT20000SEPT2017!P29+TONT20000OCT2017!P29+TONT20000NOV2017!P29</f>
        <v>120000</v>
      </c>
      <c r="Q29" s="7">
        <f>TONT20000DEC2016!S29+TONT20000JANV2017!Q29+TONT20000FEV2017!Q29+TONT20000MARS2017!Q29+TONT20000AVRIL2017!Q29+TONT20000MAI2017!Q29+TONT20000JUIN2017!Q29+TONT20000JUIL2017!Q29+TONT20000AOUT2017!Q29+TONT20000SEPT2017!Q29+TONT20000OCT2017!Q29+TONT20000NOV2017!Q29</f>
        <v>100000</v>
      </c>
      <c r="R29" s="7">
        <f>TONT20000DEC2016!T29+TONT20000JANV2017!R29+TONT20000FEV2017!R29+TONT20000MARS2017!R29+TONT20000AVRIL2017!R29+TONT20000MAI2017!R29+TONT20000JUIN2017!R29+TONT20000JUIL2017!R29+TONT20000AOUT2017!R29+TONT20000SEPT2017!R29+TONT20000OCT2017!R29+TONT20000NOV2017!R29</f>
        <v>0</v>
      </c>
      <c r="S29" s="7">
        <f>TONT20000DEC2016!U29+TONT20000JANV2017!S29+TONT20000FEV2017!S29+TONT20000MARS2017!S29+TONT20000AVRIL2017!S29+TONT20000MAI2017!S29+TONT20000JUIN2017!S29+TONT20000JUIL2017!S29+TONT20000AOUT2017!S29+TONT20000SEPT2017!S29+TONT20000OCT2017!S29+TONT20000NOV2017!S29</f>
        <v>0</v>
      </c>
      <c r="T29" s="7">
        <f>TONT20000DEC2016!V29+TONT20000JANV2017!T29+TONT20000FEV2017!T29+TONT20000MARS2017!T29+TONT20000AVRIL2017!T29+TONT20000MAI2017!T29+TONT20000JUIN2017!T29+TONT20000JUIL2017!T29+TONT20000AOUT2017!T29+TONT20000SEPT2017!T29+TONT20000OCT2017!T29+TONT20000NOV2017!T29</f>
        <v>10000</v>
      </c>
      <c r="U29" s="44">
        <v>42904</v>
      </c>
      <c r="V29" s="1"/>
    </row>
    <row r="30" spans="1:23" x14ac:dyDescent="0.25">
      <c r="A30" s="1" t="s">
        <v>35</v>
      </c>
      <c r="B30" s="1" t="str">
        <f>VLOOKUP(A30,LISTADHERENT!A$5:H$51,2)</f>
        <v>NGONGANG JEAN THEODORE</v>
      </c>
      <c r="C30" s="6">
        <f>TONT20000DEC2016!E30+TONT20000JANV2017!C30+TONT20000FEV2017!C30+TONT20000MARS2017!C30+TONT20000AVRIL2017!C30+TONT20000MAI2017!C30+TONT20000JUIN2017!C30+TONT20000JUIL2017!C30+TONT20000AOUT2017!C30+TONT20000SEPT2017!C30+TONT20000OCT2017!C30+TONT20000NOV2017!C30</f>
        <v>2938.5829407423093</v>
      </c>
      <c r="D30" s="6">
        <f>TONT20000OCT2017!C30+TONT20000OCT2017!D30+TONT20000ANNUELLEBACKUP!J30</f>
        <v>131430.58294074232</v>
      </c>
      <c r="E30" s="6"/>
      <c r="F30" s="7">
        <f t="shared" si="0"/>
        <v>0</v>
      </c>
      <c r="G30" s="7">
        <f t="shared" si="1"/>
        <v>0</v>
      </c>
      <c r="H30" s="43" t="s">
        <v>216</v>
      </c>
      <c r="I30" s="7">
        <f>TONT20000DEC2016!K30+TONT20000JANV2017!I30+TONT20000FEV2017!I30+TONT20000MARS2017!I30+TONT20000AVRIL2017!I30+TONT20000MAI2017!I30+TONT20000JUIN2017!I30+TONT20000JUIL2017!I30+TONT20000AOUT2017!J30+TONT20000SEPT2017!I30+TONT20000OCT2017!I30+TONT20000NOV2017!I30</f>
        <v>229997</v>
      </c>
      <c r="J30" s="7">
        <f>TONT20000DEC2016!L30+TONT20000JANV2017!J30+TONT20000FEV2017!J30+TONT20000MARS2017!J30+TONT20000AVRIL2017!J30+TONT20000MAI2017!J30+TONT20000JUIN2017!J30+TONT20000JUIL2017!J30+TONT20000AOUT2017!K30+TONT20000SEPT2017!J30+TONT20000OCT2017!J30+TONT20000NOV2017!J30</f>
        <v>64193</v>
      </c>
      <c r="K30" s="7">
        <f>TONT20000DEC2016!M30+TONT20000JANV2017!K30+TONT20000FEV2017!K30+TONT20000MARS2017!K30+TONT20000AVRIL2017!K30+TONT20000MAI2017!K30+TONT20000JUIN2017!K30+TONT20000JUIL2017!K30+TONT20000AOUT2017!L30+TONT20000SEPT2017!K30+TONT20000OCT2017!K30+TONT20000NOV2017!K30</f>
        <v>4000</v>
      </c>
      <c r="L30" s="7">
        <f>TONT20000DEC2016!N30+TONT20000JANV2017!L30+TONT20000FEV2017!L30+TONT20000MARS2017!L30+TONT20000AVRIL2017!L30+TONT20000MAI2017!L30+TONT20000JUIN2017!L30+TONT20000JUIL2017!L30+TONT20000AOUT2017!M30+TONT20000SEPT2017!L30+TONT20000OCT2017!L30+TONT20000NOV2017!L30</f>
        <v>8000</v>
      </c>
      <c r="M30" s="7" t="e">
        <f>TONT20000DEC2016!O30+TONT20000JANV2017!M30+TONT20000FEV2017!M30+TONT20000MARS2017!M30+TONT20000AVRIL2017!M30+TONT20000MAI2017!M30+TONT20000JUIN2017!M30+TONT20000JUIL2017!M30+TONT20000AOUT2017!#REF!+TONT20000SEPT2017!M30+TONT20000OCT2017!M30+TONT20000NOV2017!M30</f>
        <v>#REF!</v>
      </c>
      <c r="N30" s="7">
        <f>TONT20000DEC2016!P30+TONT20000JANV2017!N30+TONT20000FEV2017!N30+TONT20000MARS2017!N30+TONT20000AVRIL2017!N30+TONT20000MAI2017!N30+TONT20000JUIN2017!N30+TONT20000JUIL2017!N30+TONT20000AOUT2017!N30+TONT20000SEPT2017!N30+TONT20000OCT2017!N30+TONT20000NOV2017!N30+TRAVAUXINVENTAIRE!O30</f>
        <v>50000</v>
      </c>
      <c r="O30" s="7">
        <f>TONT20000DEC2016!Q30+TONT20000JANV2017!O30+TONT20000FEV2017!O30+TONT20000MARS2017!O30+TONT20000AVRIL2017!O30+TONT20000MAI2017!O30+TONT20000JUIN2017!O30+TONT20000JUIL2017!O30+TONT20000AOUT2017!O30+TONT20000SEPT2017!O30+TONT20000OCT2017!O30+TONT20000NOV2017!O30</f>
        <v>0</v>
      </c>
      <c r="P30" s="7">
        <f>TONT20000DEC2016!R30+TONT20000JANV2017!P30+TONT20000FEV2017!P30+TONT20000MARS2017!P30+TONT20000AVRIL2017!P30+TONT20000MAI2017!P30+TONT20000JUIN2017!P30+TONT20000JUIL2017!P30+TONT20000AOUT2017!P30+TONT20000SEPT2017!P30+TONT20000OCT2017!P30+TONT20000NOV2017!P30</f>
        <v>0</v>
      </c>
      <c r="Q30" s="7">
        <f>TONT20000DEC2016!S30+TONT20000JANV2017!Q30+TONT20000FEV2017!Q30+TONT20000MARS2017!Q30+TONT20000AVRIL2017!Q30+TONT20000MAI2017!Q30+TONT20000JUIN2017!Q30+TONT20000JUIL2017!Q30+TONT20000AOUT2017!Q30+TONT20000SEPT2017!Q30+TONT20000OCT2017!Q30+TONT20000NOV2017!Q30</f>
        <v>0</v>
      </c>
      <c r="R30" s="7">
        <f>TONT20000DEC2016!T30+TONT20000JANV2017!R30+TONT20000FEV2017!R30+TONT20000MARS2017!R30+TONT20000AVRIL2017!R30+TONT20000MAI2017!R30+TONT20000JUIN2017!R30+TONT20000JUIL2017!R30+TONT20000AOUT2017!R30+TONT20000SEPT2017!R30+TONT20000OCT2017!R30+TONT20000NOV2017!R30</f>
        <v>0</v>
      </c>
      <c r="S30" s="7">
        <f>TONT20000DEC2016!U30+TONT20000JANV2017!S30+TONT20000FEV2017!S30+TONT20000MARS2017!S30+TONT20000AVRIL2017!S30+TONT20000MAI2017!S30+TONT20000JUIN2017!S30+TONT20000JUIL2017!S30+TONT20000AOUT2017!S30+TONT20000SEPT2017!S30+TONT20000OCT2017!S30+TONT20000NOV2017!S30</f>
        <v>0</v>
      </c>
      <c r="T30" s="7">
        <f>TONT20000DEC2016!V30+TONT20000JANV2017!T30+TONT20000FEV2017!T30+TONT20000MARS2017!T30+TONT20000AVRIL2017!T30+TONT20000MAI2017!T30+TONT20000JUIN2017!T30+TONT20000JUIL2017!T30+TONT20000AOUT2017!T30+TONT20000SEPT2017!T30+TONT20000OCT2017!T30+TONT20000NOV2017!T30</f>
        <v>10000</v>
      </c>
      <c r="U30" s="44">
        <v>42876</v>
      </c>
      <c r="V30" s="1"/>
    </row>
    <row r="31" spans="1:23" x14ac:dyDescent="0.25">
      <c r="A31" s="1" t="s">
        <v>36</v>
      </c>
      <c r="B31" s="1" t="str">
        <f>VLOOKUP(A31,LISTADHERENT!A$5:H$51,2)</f>
        <v>NGUIEMEGNI MATHIEU BLAISE</v>
      </c>
      <c r="C31" s="6">
        <f>TONT20000DEC2016!E31+TONT20000JANV2017!C31+TONT20000FEV2017!C31+TONT20000MARS2017!C31+TONT20000AVRIL2017!C31+TONT20000MAI2017!C31+TONT20000JUIN2017!C31+TONT20000JUIL2017!C31+TONT20000AOUT2017!C31+TONT20000SEPT2017!C31+TONT20000OCT2017!C31+TONT20000NOV2017!C31</f>
        <v>32506.775847902751</v>
      </c>
      <c r="D31" s="6">
        <f>TONT20000OCT2017!C31+TONT20000OCT2017!D31+TONT20000ANNUELLEBACKUP!J31</f>
        <v>546639.77584790275</v>
      </c>
      <c r="E31" s="6"/>
      <c r="F31" s="7">
        <f t="shared" si="0"/>
        <v>0</v>
      </c>
      <c r="G31" s="7">
        <f t="shared" si="1"/>
        <v>0</v>
      </c>
      <c r="H31" s="43" t="s">
        <v>216</v>
      </c>
      <c r="I31" s="7">
        <f>TONT20000DEC2016!K31+TONT20000JANV2017!I31+TONT20000FEV2017!I31+TONT20000MARS2017!I31+TONT20000AVRIL2017!I31+TONT20000MAI2017!I31+TONT20000JUIN2017!I31+TONT20000JUIL2017!I31+TONT20000AOUT2017!I31+TONT20000SEPT2017!I31+TONT20000OCT2017!I31+TONT20000NOV2017!I31</f>
        <v>167000</v>
      </c>
      <c r="J31" s="7">
        <f>TONT20000DEC2016!L31+TONT20000JANV2017!J31+TONT20000FEV2017!J31+TONT20000MARS2017!J31+TONT20000AVRIL2017!J31+TONT20000MAI2017!J31+TONT20000JUIN2017!J31+TONT20000JUIL2017!J31+TONT20000AOUT2017!J31+TONT20000SEPT2017!J31+TONT20000OCT2017!J31+TONT20000NOV2017!J31</f>
        <v>27000</v>
      </c>
      <c r="K31" s="7">
        <f>TONT20000DEC2016!M31+TONT20000JANV2017!K31+TONT20000FEV2017!K31+TONT20000MARS2017!K31+TONT20000AVRIL2017!K31+TONT20000MAI2017!K31+TONT20000JUIN2017!K31+TONT20000JUIL2017!K31+TONT20000AOUT2017!K31+TONT20000SEPT2017!K31+TONT20000OCT2017!K31+TONT20000NOV2017!K31</f>
        <v>4500</v>
      </c>
      <c r="L31" s="7">
        <f>TONT20000DEC2016!N31+TONT20000JANV2017!L31+TONT20000FEV2017!L31+TONT20000MARS2017!L31+TONT20000AVRIL2017!L31+TONT20000MAI2017!L31+TONT20000JUIN2017!L31+TONT20000JUIL2017!L31+TONT20000AOUT2017!L31+TONT20000SEPT2017!L31+TONT20000OCT2017!L31+TONT20000NOV2017!L31</f>
        <v>9000</v>
      </c>
      <c r="M31" s="7">
        <f>TONT20000DEC2016!O31+TONT20000JANV2017!M31+TONT20000FEV2017!M31+TONT20000MARS2017!M31+TONT20000AVRIL2017!M31+TONT20000MAI2017!M31+TONT20000JUIN2017!M31+TONT20000JUIL2017!M31+TONT20000AOUT2017!M31+TONT20000SEPT2017!M31+TONT20000OCT2017!M31+TONT20000NOV2017!M31</f>
        <v>22500</v>
      </c>
      <c r="N31" s="7">
        <f>TONT20000DEC2016!P31+TONT20000JANV2017!N31+TONT20000FEV2017!N31+TONT20000MARS2017!N31+TONT20000AVRIL2017!N31+TONT20000MAI2017!N31+TONT20000JUIN2017!N31+TONT20000JUIL2017!N31+TONT20000AOUT2017!N31+TONT20000SEPT2017!N31+TONT20000OCT2017!N31+TONT20000NOV2017!N31+TRAVAUXINVENTAIRE!O31</f>
        <v>50000</v>
      </c>
      <c r="O31" s="7">
        <f>TONT20000DEC2016!Q31+TONT20000JANV2017!O31+TONT20000FEV2017!O31+TONT20000MARS2017!O31+TONT20000AVRIL2017!O31+TONT20000MAI2017!O31+TONT20000JUIN2017!O31+TONT20000JUIL2017!O31+TONT20000AOUT2017!O31+TONT20000SEPT2017!O31+TONT20000OCT2017!O31+TONT20000NOV2017!O31</f>
        <v>0</v>
      </c>
      <c r="P31" s="7">
        <f>TONT20000DEC2016!R31+TONT20000JANV2017!P31+TONT20000FEV2017!P31+TONT20000MARS2017!P31+TONT20000AVRIL2017!P31+TONT20000MAI2017!P31+TONT20000JUIN2017!P31+TONT20000JUIL2017!P31+TONT20000AOUT2017!P31+TONT20000SEPT2017!P31+TONT20000OCT2017!P31+TONT20000NOV2017!P31</f>
        <v>0</v>
      </c>
      <c r="Q31" s="7">
        <f>TONT20000DEC2016!S31+TONT20000JANV2017!Q31+TONT20000FEV2017!Q31+TONT20000MARS2017!Q31+TONT20000AVRIL2017!Q31+TONT20000MAI2017!Q31+TONT20000JUIN2017!Q31+TONT20000JUIL2017!Q31+TONT20000AOUT2017!Q31+TONT20000SEPT2017!Q31+TONT20000OCT2017!Q31+TONT20000NOV2017!Q31</f>
        <v>0</v>
      </c>
      <c r="R31" s="7">
        <f>TONT20000DEC2016!T31+TONT20000JANV2017!R31+TONT20000FEV2017!R31+TONT20000MARS2017!R31+TONT20000AVRIL2017!R31+TONT20000MAI2017!R31+TONT20000JUIN2017!R31+TONT20000JUIL2017!R31+TONT20000AOUT2017!R31+TONT20000SEPT2017!R31+TONT20000OCT2017!R31+TONT20000NOV2017!R31</f>
        <v>0</v>
      </c>
      <c r="S31" s="7">
        <f>TONT20000DEC2016!U31+TONT20000JANV2017!S31+TONT20000FEV2017!S31+TONT20000MARS2017!S31+TONT20000AVRIL2017!S31+TONT20000MAI2017!S31+TONT20000JUIN2017!S31+TONT20000JUIL2017!S31+TONT20000AOUT2017!S31+TONT20000SEPT2017!S31+TONT20000OCT2017!S31+TONT20000NOV2017!S31</f>
        <v>0</v>
      </c>
      <c r="T31" s="7">
        <f>TONT20000DEC2016!V31+TONT20000JANV2017!T31+TONT20000FEV2017!T31+TONT20000MARS2017!T31+TONT20000AVRIL2017!T31+TONT20000MAI2017!T31+TONT20000JUIN2017!T31+TONT20000JUIL2017!T31+TONT20000AOUT2017!T31+TONT20000SEPT2017!T31+TONT20000OCT2017!T31+TONT20000NOV2017!T31</f>
        <v>0</v>
      </c>
      <c r="V31" s="1"/>
    </row>
    <row r="32" spans="1:23" x14ac:dyDescent="0.25">
      <c r="A32" s="1" t="s">
        <v>37</v>
      </c>
      <c r="B32" s="1" t="str">
        <f>VLOOKUP(A32,LISTADHERENT!A$5:H$51,2)</f>
        <v>NJEPDJIO MBOUKAM DELUXE</v>
      </c>
      <c r="C32" s="6">
        <f>TONT20000DEC2016!E32+TONT20000JANV2017!C32+TONT20000FEV2017!C32+TONT20000MARS2017!C32+TONT20000AVRIL2017!C32+TONT20000MAI2017!C32+TONT20000JUIN2017!C32+TONT20000JUIL2017!C32+TONT20000AOUT2017!C32+TONT20000SEPT2017!C32+TONT20000OCT2017!C32+TONT20000NOV2017!C32</f>
        <v>30294.445538980035</v>
      </c>
      <c r="D32" s="6">
        <f>TONT20000OCT2017!C32+TONT20000OCT2017!D32+TONT20000ANNUELLEBACKUP!J32</f>
        <v>517067.44553898001</v>
      </c>
      <c r="E32" s="6"/>
      <c r="F32" s="7">
        <f t="shared" si="0"/>
        <v>0</v>
      </c>
      <c r="G32" s="7">
        <f t="shared" si="1"/>
        <v>0</v>
      </c>
      <c r="H32" s="43" t="s">
        <v>216</v>
      </c>
      <c r="I32" s="7">
        <f>TONT20000DEC2016!K32+TONT20000JANV2017!I32+TONT20000FEV2017!I32+TONT20000MARS2017!I32+TONT20000AVRIL2017!I32+TONT20000MAI2017!I32+TONT20000JUIN2017!I32+TONT20000JUIL2017!I32+TONT20000AOUT2017!I32+TONT20000SEPT2017!I32+TONT20000OCT2017!I32+TONT20000NOV2017!I32</f>
        <v>172000</v>
      </c>
      <c r="J32" s="7">
        <f>TONT20000DEC2016!L32+TONT20000JANV2017!J32+TONT20000FEV2017!J32+TONT20000MARS2017!J32+TONT20000AVRIL2017!J32+TONT20000MAI2017!J32+TONT20000JUIN2017!J32+TONT20000JUIL2017!J32+TONT20000AOUT2017!J32+TONT20000SEPT2017!J32+TONT20000OCT2017!J32+TONT20000NOV2017!J32</f>
        <v>32000</v>
      </c>
      <c r="K32" s="7">
        <f>TONT20000DEC2016!M32+TONT20000JANV2017!K32+TONT20000FEV2017!K32+TONT20000MARS2017!K32+TONT20000AVRIL2017!K32+TONT20000MAI2017!K32+TONT20000JUIN2017!K32+TONT20000JUIL2017!K32+TONT20000AOUT2017!K32+TONT20000SEPT2017!K32+TONT20000OCT2017!K32+TONT20000NOV2017!K32</f>
        <v>4500</v>
      </c>
      <c r="L32" s="7">
        <f>TONT20000DEC2016!N32+TONT20000JANV2017!L32+TONT20000FEV2017!L32+TONT20000MARS2017!L32+TONT20000AVRIL2017!L32+TONT20000MAI2017!L32+TONT20000JUIN2017!L32+TONT20000JUIL2017!L32+TONT20000AOUT2017!L32+TONT20000SEPT2017!L32+TONT20000OCT2017!L32+TONT20000NOV2017!L32</f>
        <v>9000</v>
      </c>
      <c r="M32" s="7">
        <f>TONT20000DEC2016!O32+TONT20000JANV2017!M32+TONT20000FEV2017!M32+TONT20000MARS2017!M32+TONT20000AVRIL2017!M32+TONT20000MAI2017!M32+TONT20000JUIN2017!M32+TONT20000JUIL2017!M32+TONT20000AOUT2017!M32+TONT20000SEPT2017!M32+TONT20000OCT2017!M32+TONT20000NOV2017!M32</f>
        <v>22500</v>
      </c>
      <c r="N32" s="7">
        <f>TONT20000DEC2016!P32+TONT20000JANV2017!N32+TONT20000FEV2017!N32+TONT20000MARS2017!N32+TONT20000AVRIL2017!N32+TONT20000MAI2017!N32+TONT20000JUIN2017!N32+TONT20000JUIL2017!N32+TONT20000AOUT2017!N32+TONT20000SEPT2017!N32+TONT20000OCT2017!N32+TONT20000NOV2017!N32+TRAVAUXINVENTAIRE!O32</f>
        <v>50000</v>
      </c>
      <c r="O32" s="7">
        <f>TONT20000DEC2016!Q32+TONT20000JANV2017!O32+TONT20000FEV2017!O32+TONT20000MARS2017!O32+TONT20000AVRIL2017!O32+TONT20000MAI2017!O32+TONT20000JUIN2017!O32+TONT20000JUIL2017!O32+TONT20000AOUT2017!O32+TONT20000SEPT2017!O32+TONT20000OCT2017!O32+TONT20000NOV2017!O32</f>
        <v>800000</v>
      </c>
      <c r="P32" s="7">
        <f>TONT20000DEC2016!R32+TONT20000JANV2017!P32+TONT20000FEV2017!P32+TONT20000MARS2017!P32+TONT20000AVRIL2017!P32+TONT20000MAI2017!P32+TONT20000JUIN2017!P32+TONT20000JUIL2017!P32+TONT20000AOUT2017!P32+TONT20000SEPT2017!P32+TONT20000OCT2017!P32+TONT20000NOV2017!P32</f>
        <v>96000</v>
      </c>
      <c r="Q32" s="7">
        <f>TONT20000DEC2016!S32+TONT20000JANV2017!Q32+TONT20000FEV2017!Q32+TONT20000MARS2017!Q32+TONT20000AVRIL2017!Q32+TONT20000MAI2017!Q32+TONT20000JUIN2017!Q32+TONT20000JUIL2017!Q32+TONT20000AOUT2017!Q32+TONT20000SEPT2017!Q32+TONT20000OCT2017!Q32+TONT20000NOV2017!Q32</f>
        <v>1110000</v>
      </c>
      <c r="R32" s="7">
        <f>TONT20000DEC2016!T32+TONT20000JANV2017!R32+TONT20000FEV2017!R32+TONT20000MARS2017!R32+TONT20000AVRIL2017!R32+TONT20000MAI2017!R32+TONT20000JUIN2017!R32+TONT20000JUIL2017!R32+TONT20000AOUT2017!R32+TONT20000SEPT2017!R32+TONT20000OCT2017!R32+TONT20000NOV2017!R32</f>
        <v>0</v>
      </c>
      <c r="S32" s="7">
        <f>TONT20000DEC2016!U32+TONT20000JANV2017!S32+TONT20000FEV2017!S32+TONT20000MARS2017!S32+TONT20000AVRIL2017!S32+TONT20000MAI2017!S32+TONT20000JUIN2017!S32+TONT20000JUIL2017!S32+TONT20000AOUT2017!S32+TONT20000SEPT2017!S32+TONT20000OCT2017!S32+TONT20000NOV2017!S32</f>
        <v>0</v>
      </c>
      <c r="T32" s="7">
        <f>TONT20000DEC2016!V32+TONT20000JANV2017!T32+TONT20000FEV2017!T32+TONT20000MARS2017!T32+TONT20000AVRIL2017!T32+TONT20000MAI2017!T32+TONT20000JUIN2017!T32+TONT20000JUIL2017!T32+TONT20000AOUT2017!T32+TONT20000SEPT2017!T32+TONT20000OCT2017!T32+TONT20000NOV2017!T32</f>
        <v>0</v>
      </c>
      <c r="U32" s="44">
        <v>42659</v>
      </c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TONT20000DEC2016!E33+TONT20000JANV2017!C33+TONT20000FEV2017!C33+TONT20000MARS2017!C33+TONT20000AVRIL2017!C33+TONT20000MAI2017!C33+TONT20000JUIN2017!C33+TONT20000JUIL2017!C33+TONT20000AOUT2017!C33+TONT20000SEPT2017!C33+TONT20000OCT2017!C33+TONT20000NOV2017!C33</f>
        <v>35760.924580613239</v>
      </c>
      <c r="D33" s="6">
        <f>TONT20000OCT2017!C33+TONT20000OCT2017!D33+TONT20000ANNUELLEBACKUP!J33</f>
        <v>637568.92458061315</v>
      </c>
      <c r="E33" s="6"/>
      <c r="F33" s="7">
        <f t="shared" si="0"/>
        <v>0</v>
      </c>
      <c r="G33" s="7">
        <f t="shared" si="1"/>
        <v>0</v>
      </c>
      <c r="H33" s="43" t="s">
        <v>216</v>
      </c>
      <c r="I33" s="7">
        <f>TONT20000DEC2016!K33+TONT20000JANV2017!I33+TONT20000FEV2017!I33+TONT20000MARS2017!I33+TONT20000AVRIL2017!I33+TONT20000MAI2017!I33+TONT20000JUIN2017!I33+TONT20000JUIL2017!I33+TONT20000AOUT2017!I33+TONT20000SEPT2017!I33+TONT20000OCT2017!I33+TONT20000NOV2017!I33</f>
        <v>196000</v>
      </c>
      <c r="J33" s="7">
        <f>TONT20000DEC2016!L33+TONT20000JANV2017!J33+TONT20000FEV2017!J33+TONT20000MARS2017!J33+TONT20000AVRIL2017!J33+TONT20000MAI2017!J33+TONT20000JUIN2017!J33+TONT20000JUIL2017!J33+TONT20000AOUT2017!J33+TONT20000SEPT2017!J33+TONT20000OCT2017!J33+TONT20000NOV2017!J33</f>
        <v>56000</v>
      </c>
      <c r="K33" s="7">
        <f>TONT20000DEC2016!M33+TONT20000JANV2017!K33+TONT20000FEV2017!K33+TONT20000MARS2017!K33+TONT20000AVRIL2017!K33+TONT20000MAI2017!K33+TONT20000JUIN2017!K33+TONT20000JUIL2017!K33+TONT20000AOUT2017!K33+TONT20000SEPT2017!K33+TONT20000OCT2017!K33+TONT20000NOV2017!K33</f>
        <v>4500</v>
      </c>
      <c r="L33" s="7">
        <f>TONT20000DEC2016!N33+TONT20000JANV2017!L33+TONT20000FEV2017!L33+TONT20000MARS2017!L33+TONT20000AVRIL2017!L33+TONT20000MAI2017!L33+TONT20000JUIN2017!L33+TONT20000JUIL2017!L33+TONT20000AOUT2017!L33+TONT20000SEPT2017!L33+TONT20000OCT2017!L33+TONT20000NOV2017!L33</f>
        <v>9000</v>
      </c>
      <c r="M33" s="7">
        <f>TONT20000DEC2016!O33+TONT20000JANV2017!M33+TONT20000FEV2017!M33+TONT20000MARS2017!M33+TONT20000AVRIL2017!M33+TONT20000MAI2017!M33+TONT20000JUIN2017!M33+TONT20000JUIL2017!M33+TONT20000AOUT2017!M33+TONT20000SEPT2017!M33+TONT20000OCT2017!M33+TONT20000NOV2017!M33</f>
        <v>22500</v>
      </c>
      <c r="N33" s="7">
        <f>TONT20000DEC2016!P33+TONT20000JANV2017!N33+TONT20000FEV2017!N33+TONT20000MARS2017!N33+TONT20000AVRIL2017!N33+TONT20000MAI2017!N33+TONT20000JUIN2017!N33+TONT20000JUIL2017!N33+TONT20000AOUT2017!N33+TONT20000SEPT2017!N33+TONT20000OCT2017!N33+TONT20000NOV2017!N33+TRAVAUXINVENTAIRE!O33</f>
        <v>50000</v>
      </c>
      <c r="O33" s="7">
        <f>TONT20000DEC2016!Q33+TONT20000JANV2017!O33+TONT20000FEV2017!O33+TONT20000MARS2017!O33+TONT20000AVRIL2017!O33+TONT20000MAI2017!O33+TONT20000JUIN2017!O33+TONT20000JUIL2017!O33+TONT20000AOUT2017!O33+TONT20000SEPT2017!O33+TONT20000OCT2017!O33+TONT20000NOV2017!O33</f>
        <v>0</v>
      </c>
      <c r="P33" s="7">
        <f>TONT20000DEC2016!R33+TONT20000JANV2017!P33+TONT20000FEV2017!P33+TONT20000MARS2017!P33+TONT20000AVRIL2017!P33+TONT20000MAI2017!P33+TONT20000JUIN2017!P33+TONT20000JUIL2017!P33+TONT20000AOUT2017!P33+TONT20000SEPT2017!P33+TONT20000OCT2017!P33+TONT20000NOV2017!P33</f>
        <v>0</v>
      </c>
      <c r="Q33" s="7">
        <f>TONT20000DEC2016!S33+TONT20000JANV2017!Q33+TONT20000FEV2017!Q33+TONT20000MARS2017!Q33+TONT20000AVRIL2017!Q33+TONT20000MAI2017!Q33+TONT20000JUIN2017!Q33+TONT20000JUIL2017!Q33+TONT20000AOUT2017!Q33+TONT20000SEPT2017!Q33+TONT20000OCT2017!Q33+TONT20000NOV2017!Q33</f>
        <v>0</v>
      </c>
      <c r="R33" s="7">
        <f>TONT20000DEC2016!T33+TONT20000JANV2017!R33+TONT20000FEV2017!R33+TONT20000MARS2017!R33+TONT20000AVRIL2017!R33+TONT20000MAI2017!R33+TONT20000JUIN2017!R33+TONT20000JUIL2017!R33+TONT20000AOUT2017!R33+TONT20000SEPT2017!R33+TONT20000OCT2017!R33+TONT20000NOV2017!R33</f>
        <v>0</v>
      </c>
      <c r="S33" s="7">
        <f>TONT20000DEC2016!U33+TONT20000JANV2017!S33+TONT20000FEV2017!S33+TONT20000MARS2017!S33+TONT20000AVRIL2017!S33+TONT20000MAI2017!S33+TONT20000JUIN2017!S33+TONT20000JUIL2017!S33+TONT20000AOUT2017!S33+TONT20000SEPT2017!S33+TONT20000OCT2017!S33+TONT20000NOV2017!S33</f>
        <v>0</v>
      </c>
      <c r="T33" s="7">
        <f>TONT20000DEC2016!V33+TONT20000JANV2017!T33+TONT20000FEV2017!T33+TONT20000MARS2017!T33+TONT20000AVRIL2017!T33+TONT20000MAI2017!T33+TONT20000JUIN2017!T33+TONT20000JUIL2017!T33+TONT20000AOUT2017!T33+TONT20000SEPT2017!T33+TONT20000OCT2017!T33+TONT20000NOV2017!T33</f>
        <v>0</v>
      </c>
      <c r="U33" s="44">
        <v>42632</v>
      </c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TONT20000DEC2016!E34+TONT20000JANV2017!C34+TONT20000FEV2017!C34+TONT20000MARS2017!C34+TONT20000AVRIL2017!C34+TONT20000MAI2017!C34+TONT20000JUIN2017!C34+TONT20000JUIL2017!C34+TONT20000AOUT2017!C34+TONT20000SEPT2017!C34+TONT20000OCT2017!C34+TONT20000NOV2017!C34</f>
        <v>38604.694281590033</v>
      </c>
      <c r="D34" s="6">
        <f>TONT20000OCT2017!C34+TONT20000OCT2017!D34+TONT20000ANNUELLEBACKUP!J34</f>
        <v>805376.69428158994</v>
      </c>
      <c r="E34" s="6"/>
      <c r="F34" s="7">
        <f t="shared" si="0"/>
        <v>0</v>
      </c>
      <c r="G34" s="7">
        <f t="shared" si="1"/>
        <v>0</v>
      </c>
      <c r="H34" s="43" t="s">
        <v>216</v>
      </c>
      <c r="I34" s="7">
        <f>TONT20000DEC2016!K34+TONT20000JANV2017!I34+TONT20000FEV2017!I34+TONT20000MARS2017!I34+TONT20000AVRIL2017!I34+TONT20000MAI2017!I34+TONT20000JUIN2017!I34+TONT20000JUIL2017!I34+TONT20000AOUT2017!I34+TONT20000SEPT2017!I34+TONT20000OCT2017!I34+TONT20000NOV2017!I34</f>
        <v>312000</v>
      </c>
      <c r="J34" s="7">
        <f>TONT20000DEC2016!L34+TONT20000JANV2017!J34+TONT20000FEV2017!J34+TONT20000MARS2017!J34+TONT20000AVRIL2017!J34+TONT20000MAI2017!J34+TONT20000JUIN2017!J34+TONT20000JUIL2017!J34+TONT20000AOUT2017!J34+TONT20000SEPT2017!J34+TONT20000OCT2017!J34+TONT20000NOV2017!J34</f>
        <v>172000</v>
      </c>
      <c r="K34" s="7">
        <f>TONT20000DEC2016!M34+TONT20000JANV2017!K34+TONT20000FEV2017!K34+TONT20000MARS2017!K34+TONT20000AVRIL2017!K34+TONT20000MAI2017!K34+TONT20000JUIN2017!K34+TONT20000JUIL2017!K34+TONT20000AOUT2017!K34+TONT20000SEPT2017!K34+TONT20000OCT2017!K34+TONT20000NOV2017!K34</f>
        <v>4500</v>
      </c>
      <c r="L34" s="7">
        <f>TONT20000DEC2016!N34+TONT20000JANV2017!L34+TONT20000FEV2017!L34+TONT20000MARS2017!L34+TONT20000AVRIL2017!L34+TONT20000MAI2017!L34+TONT20000JUIN2017!L34+TONT20000JUIL2017!L34+TONT20000AOUT2017!L34+TONT20000SEPT2017!L34+TONT20000OCT2017!L34+TONT20000NOV2017!L34</f>
        <v>9000</v>
      </c>
      <c r="M34" s="7">
        <f>TONT20000DEC2016!O34+TONT20000JANV2017!M34+TONT20000FEV2017!M34+TONT20000MARS2017!M34+TONT20000AVRIL2017!M34+TONT20000MAI2017!M34+TONT20000JUIN2017!M34+TONT20000JUIL2017!M34+TONT20000AOUT2017!M34+TONT20000SEPT2017!M34+TONT20000OCT2017!M34+TONT20000NOV2017!M34</f>
        <v>22500</v>
      </c>
      <c r="N34" s="7">
        <f>TONT20000DEC2016!P34+TONT20000JANV2017!N34+TONT20000FEV2017!N34+TONT20000MARS2017!N34+TONT20000AVRIL2017!N34+TONT20000MAI2017!N34+TONT20000JUIN2017!N34+TONT20000JUIL2017!N34+TONT20000AOUT2017!N34+TONT20000SEPT2017!N34+TONT20000OCT2017!N34+TONT20000NOV2017!N34+TRAVAUXINVENTAIRE!O34</f>
        <v>50000</v>
      </c>
      <c r="O34" s="7">
        <f>TONT20000DEC2016!Q34+TONT20000JANV2017!O34+TONT20000FEV2017!O34+TONT20000MARS2017!O34+TONT20000AVRIL2017!O34+TONT20000MAI2017!O34+TONT20000JUIN2017!O34+TONT20000JUIL2017!O34+TONT20000AOUT2017!O34+TONT20000SEPT2017!O34+TONT20000OCT2017!O34+TONT20000NOV2017!O34</f>
        <v>0</v>
      </c>
      <c r="P34" s="7">
        <f>TONT20000DEC2016!R34+TONT20000JANV2017!P34+TONT20000FEV2017!P34+TONT20000MARS2017!P34+TONT20000AVRIL2017!P34+TONT20000MAI2017!P34+TONT20000JUIN2017!P34+TONT20000JUIL2017!P34+TONT20000AOUT2017!P34+TONT20000SEPT2017!P34+TONT20000OCT2017!P34+TONT20000NOV2017!P34</f>
        <v>0</v>
      </c>
      <c r="Q34" s="7">
        <f>TONT20000DEC2016!S34+TONT20000JANV2017!Q34+TONT20000FEV2017!Q34+TONT20000MARS2017!Q34+TONT20000AVRIL2017!Q34+TONT20000MAI2017!Q34+TONT20000JUIN2017!Q34+TONT20000JUIL2017!Q34+TONT20000AOUT2017!Q34+TONT20000SEPT2017!Q34+TONT20000OCT2017!Q34+TONT20000NOV2017!Q34</f>
        <v>0</v>
      </c>
      <c r="R34" s="7">
        <f>TONT20000DEC2016!T34+TONT20000JANV2017!R34+TONT20000FEV2017!R34+TONT20000MARS2017!R34+TONT20000AVRIL2017!R34+TONT20000MAI2017!R34+TONT20000JUIN2017!R34+TONT20000JUIL2017!R34+TONT20000AOUT2017!R34+TONT20000SEPT2017!R34+TONT20000OCT2017!R34+TONT20000NOV2017!R34</f>
        <v>0</v>
      </c>
      <c r="S34" s="7">
        <f>TONT20000DEC2016!U34+TONT20000JANV2017!S34+TONT20000FEV2017!S34+TONT20000MARS2017!S34+TONT20000AVRIL2017!S34+TONT20000MAI2017!S34+TONT20000JUIN2017!S34+TONT20000JUIL2017!S34+TONT20000AOUT2017!S34+TONT20000SEPT2017!S34+TONT20000OCT2017!S34+TONT20000NOV2017!S34</f>
        <v>0</v>
      </c>
      <c r="T34" s="7">
        <f>TONT20000DEC2016!V34+TONT20000JANV2017!T34+TONT20000FEV2017!T34+TONT20000MARS2017!T34+TONT20000AVRIL2017!T34+TONT20000MAI2017!T34+TONT20000JUIN2017!T34+TONT20000JUIL2017!T34+TONT20000AOUT2017!T34+TONT20000SEPT2017!T34+TONT20000OCT2017!T34+TONT20000NOV2017!T34</f>
        <v>0</v>
      </c>
      <c r="U34" s="47">
        <v>42694</v>
      </c>
      <c r="V34" s="1"/>
    </row>
    <row r="35" spans="1:22" s="11" customFormat="1" x14ac:dyDescent="0.25">
      <c r="A35" s="1"/>
      <c r="B35" s="1"/>
      <c r="C35" s="6">
        <f>TONT20000DEC2016!E35+TONT20000JANV2017!C35+TONT20000FEV2017!C35+TONT20000MARS2017!C35+TONT20000AVRIL2017!C35+TONT20000MAI2017!C35+TONT20000JUIN2017!C35+TONT20000JUIL2017!C35+TONT20000AOUT2017!C35+TONT20000SEPT2017!C35+TONT20000OCT2017!C35+TONT20000NOV2017!C35</f>
        <v>0</v>
      </c>
      <c r="D35" s="6">
        <f>TONT20000OCT2017!C35+TONT20000OCT2017!D35+TONT20000ANNUELLEBACKUP!J35</f>
        <v>0</v>
      </c>
      <c r="E35" s="6"/>
      <c r="F35" s="7"/>
      <c r="G35" s="7"/>
      <c r="H35" s="43"/>
      <c r="I35" s="7">
        <f>TONT20000DEC2016!K35+TONT20000JANV2017!I35+TONT20000FEV2017!I35+TONT20000MARS2017!I35+TONT20000AVRIL2017!I35+TONT20000MAI2017!I35+TONT20000JUIN2017!I35+TONT20000JUIL2017!I35+TONT20000AOUT2017!I35+TONT20000SEPT2017!I35+TONT20000OCT2017!I35+TONT20000NOV2017!I35</f>
        <v>0</v>
      </c>
      <c r="J35" s="7">
        <f>TONT20000DEC2016!L35+TONT20000JANV2017!J35+TONT20000FEV2017!J35+TONT20000MARS2017!J35+TONT20000AVRIL2017!J35+TONT20000MAI2017!J35+TONT20000JUIN2017!J35+TONT20000JUIL2017!J35+TONT20000AOUT2017!J35+TONT20000SEPT2017!J35+TONT20000OCT2017!J35+TONT20000NOV2017!J35</f>
        <v>0</v>
      </c>
      <c r="K35" s="7">
        <f>TONT20000DEC2016!M35+TONT20000JANV2017!K35+TONT20000FEV2017!K35+TONT20000MARS2017!K35+TONT20000AVRIL2017!K35+TONT20000MAI2017!K35+TONT20000JUIN2017!K35+TONT20000JUIL2017!K35+TONT20000AOUT2017!K35+TONT20000SEPT2017!K35+TONT20000OCT2017!K35+TONT20000NOV2017!K35</f>
        <v>0</v>
      </c>
      <c r="L35" s="7">
        <f>TONT20000DEC2016!N35+TONT20000JANV2017!L35+TONT20000FEV2017!L35+TONT20000MARS2017!L35+TONT20000AVRIL2017!L35+TONT20000MAI2017!L35+TONT20000JUIN2017!L35+TONT20000JUIL2017!L35+TONT20000AOUT2017!L35+TONT20000SEPT2017!L35+TONT20000OCT2017!L35+TONT20000NOV2017!L35</f>
        <v>0</v>
      </c>
      <c r="M35" s="7">
        <f>TONT20000DEC2016!O35+TONT20000JANV2017!M35+TONT20000FEV2017!M35+TONT20000MARS2017!M35+TONT20000AVRIL2017!M35+TONT20000MAI2017!M35+TONT20000JUIN2017!M35+TONT20000JUIL2017!M35+TONT20000AOUT2017!M35+TONT20000SEPT2017!M35+TONT20000OCT2017!M35+TONT20000NOV2017!M35</f>
        <v>0</v>
      </c>
      <c r="N35" s="7">
        <f>TONT20000DEC2016!P35+TONT20000JANV2017!N35+TONT20000FEV2017!N35+TONT20000MARS2017!N35+TONT20000AVRIL2017!N35+TONT20000MAI2017!N35+TONT20000JUIN2017!N35+TONT20000JUIL2017!N35+TONT20000AOUT2017!N35+TONT20000SEPT2017!N35+TONT20000OCT2017!N35+TONT20000NOV2017!N35+TRAVAUXINVENTAIRE!O35</f>
        <v>0</v>
      </c>
      <c r="O35" s="7">
        <f>TONT20000DEC2016!Q35+TONT20000JANV2017!O35+TONT20000FEV2017!O35+TONT20000MARS2017!O35+TONT20000AVRIL2017!O35+TONT20000MAI2017!O35+TONT20000JUIN2017!O35+TONT20000JUIL2017!O35+TONT20000AOUT2017!O35+TONT20000SEPT2017!O35+TONT20000OCT2017!O35+TONT20000NOV2017!O35</f>
        <v>0</v>
      </c>
      <c r="P35" s="7">
        <f>TONT20000DEC2016!R35+TONT20000JANV2017!P35+TONT20000FEV2017!P35+TONT20000MARS2017!P35+TONT20000AVRIL2017!P35+TONT20000MAI2017!P35+TONT20000JUIN2017!P35+TONT20000JUIL2017!P35+TONT20000AOUT2017!P35+TONT20000SEPT2017!P35+TONT20000OCT2017!P35+TONT20000NOV2017!P35</f>
        <v>0</v>
      </c>
      <c r="Q35" s="7">
        <f>TONT20000DEC2016!S35+TONT20000JANV2017!Q35+TONT20000FEV2017!Q35+TONT20000MARS2017!Q35+TONT20000AVRIL2017!Q35+TONT20000MAI2017!Q35+TONT20000JUIN2017!Q35+TONT20000JUIL2017!Q35+TONT20000AOUT2017!Q35+TONT20000SEPT2017!Q35+TONT20000OCT2017!Q35+TONT20000NOV2017!Q35</f>
        <v>0</v>
      </c>
      <c r="R35" s="7">
        <f>TONT20000DEC2016!T35+TONT20000JANV2017!R35+TONT20000FEV2017!R35+TONT20000MARS2017!R35+TONT20000AVRIL2017!R35+TONT20000MAI2017!R35+TONT20000JUIN2017!R35+TONT20000JUIL2017!R35+TONT20000AOUT2017!R35+TONT20000SEPT2017!R35+TONT20000OCT2017!R35+TONT20000NOV2017!R35</f>
        <v>0</v>
      </c>
      <c r="S35" s="7">
        <f>TONT20000DEC2016!U35+TONT20000JANV2017!S35+TONT20000FEV2017!S35+TONT20000MARS2017!S35+TONT20000AVRIL2017!S35+TONT20000MAI2017!S35+TONT20000JUIN2017!S35+TONT20000JUIL2017!S35+TONT20000AOUT2017!S35+TONT20000SEPT2017!S35+TONT20000OCT2017!S35+TONT20000NOV2017!S35</f>
        <v>0</v>
      </c>
      <c r="T35" s="7">
        <f>TONT20000DEC2016!V35+TONT20000JANV2017!T35+TONT20000FEV2017!T35+TONT20000MARS2017!T35+TONT20000AVRIL2017!T35+TONT20000MAI2017!T35+TONT20000JUIN2017!T35+TONT20000JUIL2017!T35+TONT20000AOUT2017!T35+TONT20000SEPT2017!T35+TONT20000OCT2017!T35+TONT20000NOV2017!T35</f>
        <v>0</v>
      </c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TONT20000DEC2016!E36+TONT20000JANV2017!C36+TONT20000FEV2017!C36+TONT20000MARS2017!C36+TONT20000AVRIL2017!C36+TONT20000MAI2017!C36+TONT20000JUIN2017!C36+TONT20000JUIL2017!C36+TONT20000AOUT2017!C36+TONT20000SEPT2017!C36+TONT20000OCT2017!C36+TONT20000NOV2017!C36</f>
        <v>0</v>
      </c>
      <c r="D36" s="6">
        <f>TONT20000OCT2017!C36+TONT20000OCT2017!D36+TONT20000ANNUELLEBACKUP!J36</f>
        <v>0</v>
      </c>
      <c r="E36" s="6"/>
      <c r="F36" s="7">
        <f t="shared" si="0"/>
        <v>0</v>
      </c>
      <c r="G36" s="7">
        <f t="shared" si="1"/>
        <v>0</v>
      </c>
      <c r="H36" s="43" t="s">
        <v>216</v>
      </c>
      <c r="I36" s="7">
        <f>TONT20000DEC2016!K36+TONT20000JANV2017!I36+TONT20000FEV2017!I36+TONT20000MARS2017!I36+TONT20000AVRIL2017!I36+TONT20000MAI2017!I36+TONT20000JUIN2017!I36+TONT20000JUIL2017!I36+TONT20000AOUT2017!I36+TONT20000SEPT2017!I36+TONT20000OCT2017!I36+TONT20000NOV2017!I36</f>
        <v>0</v>
      </c>
      <c r="J36" s="7">
        <f>TONT20000DEC2016!L36+TONT20000JANV2017!J36+TONT20000FEV2017!J36+TONT20000MARS2017!J36+TONT20000AVRIL2017!J36+TONT20000MAI2017!J36+TONT20000JUIN2017!J36+TONT20000JUIL2017!J36+TONT20000AOUT2017!J36+TONT20000SEPT2017!J36+TONT20000OCT2017!J36+TONT20000NOV2017!J36</f>
        <v>0</v>
      </c>
      <c r="K36" s="7">
        <f>TONT20000DEC2016!M36+TONT20000JANV2017!K36+TONT20000FEV2017!K36+TONT20000MARS2017!K36+TONT20000AVRIL2017!K36+TONT20000MAI2017!K36+TONT20000JUIN2017!K36+TONT20000JUIL2017!K36+TONT20000AOUT2017!K36+TONT20000SEPT2017!K36+TONT20000OCT2017!K36+TONT20000NOV2017!K36</f>
        <v>0</v>
      </c>
      <c r="L36" s="7">
        <f>TONT20000DEC2016!N36+TONT20000JANV2017!L36+TONT20000FEV2017!L36+TONT20000MARS2017!L36+TONT20000AVRIL2017!L36+TONT20000MAI2017!L36+TONT20000JUIN2017!L36+TONT20000JUIL2017!L36+TONT20000AOUT2017!L36+TONT20000SEPT2017!L36+TONT20000OCT2017!L36+TONT20000NOV2017!L36</f>
        <v>0</v>
      </c>
      <c r="M36" s="7">
        <f>TONT20000DEC2016!O36+TONT20000JANV2017!M36+TONT20000FEV2017!M36+TONT20000MARS2017!M36+TONT20000AVRIL2017!M36+TONT20000MAI2017!M36+TONT20000JUIN2017!M36+TONT20000JUIL2017!M36+TONT20000AOUT2017!M36+TONT20000SEPT2017!M36+TONT20000OCT2017!M36+TONT20000NOV2017!M36</f>
        <v>0</v>
      </c>
      <c r="N36" s="7">
        <f>TONT20000DEC2016!P36+TONT20000JANV2017!N36+TONT20000FEV2017!N36+TONT20000MARS2017!N36+TONT20000AVRIL2017!N36+TONT20000MAI2017!N36+TONT20000JUIN2017!N36+TONT20000JUIL2017!N36+TONT20000AOUT2017!N36+TONT20000SEPT2017!N36+TONT20000OCT2017!N36+TONT20000NOV2017!N36+TRAVAUXINVENTAIRE!O36</f>
        <v>0</v>
      </c>
      <c r="O36" s="7">
        <f>TONT20000DEC2016!Q36+TONT20000JANV2017!O36+TONT20000FEV2017!O36+TONT20000MARS2017!O36+TONT20000AVRIL2017!O36+TONT20000MAI2017!O36+TONT20000JUIN2017!O36+TONT20000JUIL2017!O36+TONT20000AOUT2017!O36+TONT20000SEPT2017!O36+TONT20000OCT2017!O36+TONT20000NOV2017!O36</f>
        <v>0</v>
      </c>
      <c r="P36" s="7">
        <f>TONT20000DEC2016!R36+TONT20000JANV2017!P36+TONT20000FEV2017!P36+TONT20000MARS2017!P36+TONT20000AVRIL2017!P36+TONT20000MAI2017!P36+TONT20000JUIN2017!P36+TONT20000JUIL2017!P36+TONT20000AOUT2017!P36+TONT20000SEPT2017!P36+TONT20000OCT2017!P36+TONT20000NOV2017!P36</f>
        <v>0</v>
      </c>
      <c r="Q36" s="7">
        <f>TONT20000DEC2016!S36+TONT20000JANV2017!Q36+TONT20000FEV2017!Q36+TONT20000MARS2017!Q36+TONT20000AVRIL2017!Q36+TONT20000MAI2017!Q36+TONT20000JUIN2017!Q36+TONT20000JUIL2017!Q36+TONT20000AOUT2017!Q36+TONT20000SEPT2017!Q36+TONT20000OCT2017!Q36+TONT20000NOV2017!Q36</f>
        <v>0</v>
      </c>
      <c r="R36" s="7">
        <f>TONT20000DEC2016!T36+TONT20000JANV2017!R36+TONT20000FEV2017!R36+TONT20000MARS2017!R36+TONT20000AVRIL2017!R36+TONT20000MAI2017!R36+TONT20000JUIN2017!R36+TONT20000JUIL2017!R36+TONT20000AOUT2017!R36+TONT20000SEPT2017!R36+TONT20000OCT2017!R36+TONT20000NOV2017!R36</f>
        <v>0</v>
      </c>
      <c r="S36" s="7">
        <f>TONT20000DEC2016!U36+TONT20000JANV2017!S36+TONT20000FEV2017!S36+TONT20000MARS2017!S36+TONT20000AVRIL2017!S36+TONT20000MAI2017!S36+TONT20000JUIN2017!S36+TONT20000JUIL2017!S36+TONT20000AOUT2017!S36+TONT20000SEPT2017!S36+TONT20000OCT2017!S36+TONT20000NOV2017!S36</f>
        <v>0</v>
      </c>
      <c r="T36" s="7">
        <f>TONT20000DEC2016!V36+TONT20000JANV2017!T36+TONT20000FEV2017!T36+TONT20000MARS2017!T36+TONT20000AVRIL2017!T36+TONT20000MAI2017!T36+TONT20000JUIN2017!T36+TONT20000JUIL2017!T36+TONT20000AOUT2017!T36+TONT20000SEPT2017!T36+TONT20000OCT2017!T36+TONT20000NOV2017!T36</f>
        <v>0</v>
      </c>
      <c r="U36" t="s">
        <v>242</v>
      </c>
      <c r="V36" s="1"/>
    </row>
    <row r="37" spans="1:22" x14ac:dyDescent="0.25">
      <c r="A37" s="1"/>
      <c r="B37" s="1"/>
      <c r="C37" s="6">
        <f>TONT20000DEC2016!E37+TONT20000JANV2017!C37+TONT20000FEV2017!C37+TONT20000MARS2017!C37+TONT20000AVRIL2017!C37+TONT20000MAI2017!C37+TONT20000JUIN2017!C37+TONT20000JUIL2017!C37+TONT20000AOUT2017!C37+TONT20000SEPT2017!C37+TONT20000OCT2017!C37+TONT20000NOV2017!C37</f>
        <v>0</v>
      </c>
      <c r="D37" s="6">
        <f>TONT20000OCT2017!C37+TONT20000OCT2017!D37+TONT20000ANNUELLEBACKUP!J37</f>
        <v>0</v>
      </c>
      <c r="E37" s="6"/>
      <c r="F37" s="7"/>
      <c r="G37" s="7"/>
      <c r="H37" s="43"/>
      <c r="I37" s="7">
        <f>TONT20000DEC2016!K37+TONT20000JANV2017!I37+TONT20000FEV2017!I37+TONT20000MARS2017!I37+TONT20000AVRIL2017!I37+TONT20000MAI2017!I37+TONT20000JUIN2017!I37+TONT20000JUIL2017!I37+TONT20000AOUT2017!I37+TONT20000SEPT2017!I37+TONT20000OCT2017!I37+TONT20000NOV2017!I37</f>
        <v>0</v>
      </c>
      <c r="J37" s="7">
        <f>TONT20000DEC2016!L37+TONT20000JANV2017!J37+TONT20000FEV2017!J37+TONT20000MARS2017!J37+TONT20000AVRIL2017!J37+TONT20000MAI2017!J37+TONT20000JUIN2017!J37+TONT20000JUIL2017!J37+TONT20000AOUT2017!J37+TONT20000SEPT2017!J37+TONT20000OCT2017!J37+TONT20000NOV2017!J37</f>
        <v>0</v>
      </c>
      <c r="K37" s="7">
        <f>TONT20000DEC2016!M37+TONT20000JANV2017!K37+TONT20000FEV2017!K37+TONT20000MARS2017!K37+TONT20000AVRIL2017!K37+TONT20000MAI2017!K37+TONT20000JUIN2017!K37+TONT20000JUIL2017!K37+TONT20000AOUT2017!K37+TONT20000SEPT2017!K37+TONT20000OCT2017!K37+TONT20000NOV2017!K37</f>
        <v>0</v>
      </c>
      <c r="L37" s="7">
        <f>TONT20000DEC2016!N37+TONT20000JANV2017!L37+TONT20000FEV2017!L37+TONT20000MARS2017!L37+TONT20000AVRIL2017!L37+TONT20000MAI2017!L37+TONT20000JUIN2017!L37+TONT20000JUIL2017!L37+TONT20000AOUT2017!L37+TONT20000SEPT2017!L37+TONT20000OCT2017!L37+TONT20000NOV2017!L37</f>
        <v>0</v>
      </c>
      <c r="M37" s="7">
        <f>TONT20000DEC2016!O37+TONT20000JANV2017!M37+TONT20000FEV2017!M37+TONT20000MARS2017!M37+TONT20000AVRIL2017!M37+TONT20000MAI2017!M37+TONT20000JUIN2017!M37+TONT20000JUIL2017!M37+TONT20000AOUT2017!M37+TONT20000SEPT2017!M37+TONT20000OCT2017!M37+TONT20000NOV2017!M37</f>
        <v>0</v>
      </c>
      <c r="N37" s="7">
        <f>TONT20000DEC2016!P37+TONT20000JANV2017!N37+TONT20000FEV2017!N37+TONT20000MARS2017!N37+TONT20000AVRIL2017!N37+TONT20000MAI2017!N37+TONT20000JUIN2017!N37+TONT20000JUIL2017!N37+TONT20000AOUT2017!N37+TONT20000SEPT2017!N37+TONT20000OCT2017!N37+TONT20000NOV2017!N37+TRAVAUXINVENTAIRE!O37</f>
        <v>0</v>
      </c>
      <c r="O37" s="7">
        <f>TONT20000DEC2016!Q37+TONT20000JANV2017!O37+TONT20000FEV2017!O37+TONT20000MARS2017!O37+TONT20000AVRIL2017!O37+TONT20000MAI2017!O37+TONT20000JUIN2017!O37+TONT20000JUIL2017!O37+TONT20000AOUT2017!O37+TONT20000SEPT2017!O37+TONT20000OCT2017!O37+TONT20000NOV2017!O37</f>
        <v>0</v>
      </c>
      <c r="P37" s="7">
        <f>TONT20000DEC2016!R37+TONT20000JANV2017!P37+TONT20000FEV2017!P37+TONT20000MARS2017!P37+TONT20000AVRIL2017!P37+TONT20000MAI2017!P37+TONT20000JUIN2017!P37+TONT20000JUIL2017!P37+TONT20000AOUT2017!P37+TONT20000SEPT2017!P37+TONT20000OCT2017!P37+TONT20000NOV2017!P37</f>
        <v>0</v>
      </c>
      <c r="Q37" s="7">
        <f>TONT20000DEC2016!S37+TONT20000JANV2017!Q37+TONT20000FEV2017!Q37+TONT20000MARS2017!Q37+TONT20000AVRIL2017!Q37+TONT20000MAI2017!Q37+TONT20000JUIN2017!Q37+TONT20000JUIL2017!Q37+TONT20000AOUT2017!Q37+TONT20000SEPT2017!Q37+TONT20000OCT2017!Q37+TONT20000NOV2017!Q37</f>
        <v>0</v>
      </c>
      <c r="R37" s="7">
        <f>TONT20000DEC2016!T37+TONT20000JANV2017!R37+TONT20000FEV2017!R37+TONT20000MARS2017!R37+TONT20000AVRIL2017!R37+TONT20000MAI2017!R37+TONT20000JUIN2017!R37+TONT20000JUIL2017!R37+TONT20000AOUT2017!R37+TONT20000SEPT2017!R37+TONT20000OCT2017!R37+TONT20000NOV2017!R37</f>
        <v>0</v>
      </c>
      <c r="S37" s="7">
        <f>TONT20000DEC2016!U37+TONT20000JANV2017!S37+TONT20000FEV2017!S37+TONT20000MARS2017!S37+TONT20000AVRIL2017!S37+TONT20000MAI2017!S37+TONT20000JUIN2017!S37+TONT20000JUIL2017!S37+TONT20000AOUT2017!S37+TONT20000SEPT2017!S37+TONT20000OCT2017!S37+TONT20000NOV2017!S37</f>
        <v>0</v>
      </c>
      <c r="T37" s="7">
        <f>TONT20000DEC2016!V37+TONT20000JANV2017!T37+TONT20000FEV2017!T37+TONT20000MARS2017!T37+TONT20000AVRIL2017!T37+TONT20000MAI2017!T37+TONT20000JUIN2017!T37+TONT20000JUIL2017!T37+TONT20000AOUT2017!T37+TONT20000SEPT2017!T37+TONT20000OCT2017!T37+TONT20000NOV2017!T37</f>
        <v>0</v>
      </c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TONT20000DEC2016!E38+TONT20000JANV2017!C38+TONT20000FEV2017!C38+TONT20000MARS2017!C38+TONT20000AVRIL2017!C38+TONT20000MAI2017!C38+TONT20000JUIN2017!C38+TONT20000JUIL2017!C38+TONT20000AOUT2017!C38+TONT20000SEPT2017!C38+TONT20000OCT2017!C38+TONT20000NOV2017!C38</f>
        <v>29935.745688414652</v>
      </c>
      <c r="D38" s="6">
        <f>TONT20000OCT2017!C38+TONT20000OCT2017!D38+TONT20000ANNUELLEBACKUP!J38</f>
        <v>506409.74568841461</v>
      </c>
      <c r="E38" s="6"/>
      <c r="F38" s="7">
        <f t="shared" si="0"/>
        <v>0</v>
      </c>
      <c r="G38" s="7">
        <f t="shared" si="1"/>
        <v>0</v>
      </c>
      <c r="H38" s="43" t="s">
        <v>216</v>
      </c>
      <c r="I38" s="7">
        <f>TONT20000DEC2016!K38+TONT20000JANV2017!I38+TONT20000FEV2017!I38+TONT20000MARS2017!I38+TONT20000AVRIL2017!I38+TONT20000MAI2017!I38+TONT20000JUIN2017!I38+TONT20000JUIL2017!I38+TONT20000AOUT2017!I38+TONT20000SEPT2017!I38+TONT20000OCT2017!I38+TONT20000NOV2017!I38</f>
        <v>167000</v>
      </c>
      <c r="J38" s="7">
        <f>TONT20000DEC2016!L38+TONT20000JANV2017!J38+TONT20000FEV2017!J38+TONT20000MARS2017!J38+TONT20000AVRIL2017!J38+TONT20000MAI2017!J38+TONT20000JUIN2017!J38+TONT20000JUIL2017!J38+TONT20000AOUT2017!J38+TONT20000SEPT2017!J38+TONT20000OCT2017!J38+TONT20000NOV2017!J38</f>
        <v>27000</v>
      </c>
      <c r="K38" s="7">
        <f>TONT20000DEC2016!M38+TONT20000JANV2017!K38+TONT20000FEV2017!K38+TONT20000MARS2017!K38+TONT20000AVRIL2017!K38+TONT20000MAI2017!K38+TONT20000JUIN2017!K38+TONT20000JUIL2017!K38+TONT20000AOUT2017!K38+TONT20000SEPT2017!K38+TONT20000OCT2017!K38+TONT20000NOV2017!K38</f>
        <v>4500</v>
      </c>
      <c r="L38" s="7">
        <f>TONT20000DEC2016!N38+TONT20000JANV2017!L38+TONT20000FEV2017!L38+TONT20000MARS2017!L38+TONT20000AVRIL2017!L38+TONT20000MAI2017!L38+TONT20000JUIN2017!L38+TONT20000JUIL2017!L38+TONT20000AOUT2017!L38+TONT20000SEPT2017!L38+TONT20000OCT2017!L38+TONT20000NOV2017!L38</f>
        <v>9000</v>
      </c>
      <c r="M38" s="7">
        <f>TONT20000DEC2016!O38+TONT20000JANV2017!M38+TONT20000FEV2017!M38+TONT20000MARS2017!M38+TONT20000AVRIL2017!M38+TONT20000MAI2017!M38+TONT20000JUIN2017!M38+TONT20000JUIL2017!M38+TONT20000AOUT2017!M38+TONT20000SEPT2017!M38+TONT20000OCT2017!M38+TONT20000NOV2017!M38</f>
        <v>22500</v>
      </c>
      <c r="N38" s="7">
        <f>TONT20000DEC2016!P38+TONT20000JANV2017!N38+TONT20000FEV2017!N38+TONT20000MARS2017!N38+TONT20000AVRIL2017!N38+TONT20000MAI2017!N38+TONT20000JUIN2017!N38+TONT20000JUIL2017!N38+TONT20000AOUT2017!N38+TONT20000SEPT2017!N38+TONT20000OCT2017!N38+TONT20000NOV2017!N38+TRAVAUXINVENTAIRE!O38</f>
        <v>50000</v>
      </c>
      <c r="O38" s="7">
        <f>TONT20000DEC2016!Q38+TONT20000JANV2017!O38+TONT20000FEV2017!O38+TONT20000MARS2017!O38+TONT20000AVRIL2017!O38+TONT20000MAI2017!O38+TONT20000JUIN2017!O38+TONT20000JUIL2017!O38+TONT20000AOUT2017!O38+TONT20000SEPT2017!O38+TONT20000OCT2017!O38+TONT20000NOV2017!O38</f>
        <v>0</v>
      </c>
      <c r="P38" s="7">
        <f>TONT20000DEC2016!R38+TONT20000JANV2017!P38+TONT20000FEV2017!P38+TONT20000MARS2017!P38+TONT20000AVRIL2017!P38+TONT20000MAI2017!P38+TONT20000JUIN2017!P38+TONT20000JUIL2017!P38+TONT20000AOUT2017!P38+TONT20000SEPT2017!P38+TONT20000OCT2017!P38+TONT20000NOV2017!P38</f>
        <v>0</v>
      </c>
      <c r="Q38" s="7">
        <f>TONT20000DEC2016!S38+TONT20000JANV2017!Q38+TONT20000FEV2017!Q38+TONT20000MARS2017!Q38+TONT20000AVRIL2017!Q38+TONT20000MAI2017!Q38+TONT20000JUIN2017!Q38+TONT20000JUIL2017!Q38+TONT20000AOUT2017!Q38+TONT20000SEPT2017!Q38+TONT20000OCT2017!Q38+TONT20000NOV2017!Q38</f>
        <v>0</v>
      </c>
      <c r="R38" s="7">
        <f>TONT20000DEC2016!T38+TONT20000JANV2017!R38+TONT20000FEV2017!R38+TONT20000MARS2017!R38+TONT20000AVRIL2017!R38+TONT20000MAI2017!R38+TONT20000JUIN2017!R38+TONT20000JUIL2017!R38+TONT20000AOUT2017!R38+TONT20000SEPT2017!R38+TONT20000OCT2017!R38+TONT20000NOV2017!R38</f>
        <v>0</v>
      </c>
      <c r="S38" s="7">
        <f>TONT20000DEC2016!U38+TONT20000JANV2017!S38+TONT20000FEV2017!S38+TONT20000MARS2017!S38+TONT20000AVRIL2017!S38+TONT20000MAI2017!S38+TONT20000JUIN2017!S38+TONT20000JUIL2017!S38+TONT20000AOUT2017!S38+TONT20000SEPT2017!S38+TONT20000OCT2017!S38+TONT20000NOV2017!S38</f>
        <v>0</v>
      </c>
      <c r="T38" s="7">
        <f>TONT20000DEC2016!V38+TONT20000JANV2017!T38+TONT20000FEV2017!T38+TONT20000MARS2017!T38+TONT20000AVRIL2017!T38+TONT20000MAI2017!T38+TONT20000JUIN2017!T38+TONT20000JUIL2017!T38+TONT20000AOUT2017!T38+TONT20000SEPT2017!T38+TONT20000OCT2017!T38+TONT20000NOV2017!T38</f>
        <v>10000</v>
      </c>
      <c r="U38" s="44">
        <v>42813</v>
      </c>
      <c r="V38" s="1" t="s">
        <v>238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TONT20000DEC2016!E39+TONT20000JANV2017!C39+TONT20000FEV2017!C39+TONT20000MARS2017!C39+TONT20000AVRIL2017!C39+TONT20000MAI2017!C39+TONT20000JUIN2017!C39+TONT20000JUIL2017!C39+TONT20000AOUT2017!C39+TONT20000SEPT2017!C39+TONT20000OCT2017!C39+TONT20000NOV2017!C39</f>
        <v>30228.083539736468</v>
      </c>
      <c r="D39" s="6">
        <f>TONT20000OCT2017!C39+TONT20000OCT2017!D39+TONT20000ANNUELLEBACKUP!J39</f>
        <v>510984.08353973652</v>
      </c>
      <c r="E39" s="6"/>
      <c r="F39" s="7">
        <f t="shared" si="0"/>
        <v>0</v>
      </c>
      <c r="G39" s="7">
        <f t="shared" si="1"/>
        <v>0</v>
      </c>
      <c r="H39" s="43" t="s">
        <v>216</v>
      </c>
      <c r="I39" s="7">
        <f>TONT20000DEC2016!K39+TONT20000JANV2017!I39+TONT20000FEV2017!I39+TONT20000MARS2017!I39+TONT20000AVRIL2017!I39+TONT20000MAI2017!I39+TONT20000JUIN2017!I39+TONT20000JUIL2017!I39+TONT20000AOUT2017!I39+TONT20000SEPT2017!I39+TONT20000OCT2017!I39+TONT20000NOV2017!I39</f>
        <v>167000</v>
      </c>
      <c r="J39" s="7">
        <f>TONT20000DEC2016!L39+TONT20000JANV2017!J39+TONT20000FEV2017!J39+TONT20000MARS2017!J39+TONT20000AVRIL2017!J39+TONT20000MAI2017!J39+TONT20000JUIN2017!J39+TONT20000JUIL2017!J39+TONT20000AOUT2017!J39+TONT20000SEPT2017!J39+TONT20000OCT2017!J39+TONT20000NOV2017!J39</f>
        <v>27000</v>
      </c>
      <c r="K39" s="7">
        <f>TONT20000DEC2016!M39+TONT20000JANV2017!K39+TONT20000FEV2017!K39+TONT20000MARS2017!K39+TONT20000AVRIL2017!K39+TONT20000MAI2017!K39+TONT20000JUIN2017!K39+TONT20000JUIL2017!K39+TONT20000AOUT2017!K39+TONT20000SEPT2017!K39+TONT20000OCT2017!K39+TONT20000NOV2017!K39</f>
        <v>4500</v>
      </c>
      <c r="L39" s="7">
        <f>TONT20000DEC2016!N39+TONT20000JANV2017!L39+TONT20000FEV2017!L39+TONT20000MARS2017!L39+TONT20000AVRIL2017!L39+TONT20000MAI2017!L39+TONT20000JUIN2017!L39+TONT20000JUIL2017!L39+TONT20000AOUT2017!L39+TONT20000SEPT2017!L39+TONT20000OCT2017!L39+TONT20000NOV2017!L39</f>
        <v>9000</v>
      </c>
      <c r="M39" s="7">
        <f>TONT20000DEC2016!O39+TONT20000JANV2017!M39+TONT20000FEV2017!M39+TONT20000MARS2017!M39+TONT20000AVRIL2017!M39+TONT20000MAI2017!M39+TONT20000JUIN2017!M39+TONT20000JUIL2017!M39+TONT20000AOUT2017!M39+TONT20000SEPT2017!M39+TONT20000OCT2017!M39+TONT20000NOV2017!M39</f>
        <v>22500</v>
      </c>
      <c r="N39" s="7">
        <f>TONT20000DEC2016!P39+TONT20000JANV2017!N39+TONT20000FEV2017!N39+TONT20000MARS2017!N39+TONT20000AVRIL2017!N39+TONT20000MAI2017!N39+TONT20000JUIN2017!N39+TONT20000JUIL2017!N39+TONT20000AOUT2017!N39+TONT20000SEPT2017!N39+TONT20000OCT2017!N39+TONT20000NOV2017!N39+TRAVAUXINVENTAIRE!O39</f>
        <v>50000</v>
      </c>
      <c r="O39" s="7">
        <f>TONT20000DEC2016!Q39+TONT20000JANV2017!O39+TONT20000FEV2017!O39+TONT20000MARS2017!O39+TONT20000AVRIL2017!O39+TONT20000MAI2017!O39+TONT20000JUIN2017!O39+TONT20000JUIL2017!O39+TONT20000AOUT2017!O39+TONT20000SEPT2017!O39+TONT20000OCT2017!O39+TONT20000NOV2017!O39</f>
        <v>0</v>
      </c>
      <c r="P39" s="7">
        <f>TONT20000DEC2016!R39+TONT20000JANV2017!P39+TONT20000FEV2017!P39+TONT20000MARS2017!P39+TONT20000AVRIL2017!P39+TONT20000MAI2017!P39+TONT20000JUIN2017!P39+TONT20000JUIL2017!P39+TONT20000AOUT2017!P39+TONT20000SEPT2017!P39+TONT20000OCT2017!P39+TONT20000NOV2017!P39</f>
        <v>0</v>
      </c>
      <c r="Q39" s="7">
        <f>TONT20000DEC2016!S39+TONT20000JANV2017!Q39+TONT20000FEV2017!Q39+TONT20000MARS2017!Q39+TONT20000AVRIL2017!Q39+TONT20000MAI2017!Q39+TONT20000JUIN2017!Q39+TONT20000JUIL2017!Q39+TONT20000AOUT2017!Q39+TONT20000SEPT2017!Q39+TONT20000OCT2017!Q39+TONT20000NOV2017!Q39</f>
        <v>0</v>
      </c>
      <c r="R39" s="7">
        <f>TONT20000DEC2016!T39+TONT20000JANV2017!R39+TONT20000FEV2017!R39+TONT20000MARS2017!R39+TONT20000AVRIL2017!R39+TONT20000MAI2017!R39+TONT20000JUIN2017!R39+TONT20000JUIL2017!R39+TONT20000AOUT2017!R39+TONT20000SEPT2017!R39+TONT20000OCT2017!R39+TONT20000NOV2017!R39</f>
        <v>0</v>
      </c>
      <c r="S39" s="7">
        <f>TONT20000DEC2016!U39+TONT20000JANV2017!S39+TONT20000FEV2017!S39+TONT20000MARS2017!S39+TONT20000AVRIL2017!S39+TONT20000MAI2017!S39+TONT20000JUIN2017!S39+TONT20000JUIL2017!S39+TONT20000AOUT2017!S39+TONT20000SEPT2017!S39+TONT20000OCT2017!S39+TONT20000NOV2017!S39</f>
        <v>0</v>
      </c>
      <c r="T39" s="7">
        <f>TONT20000DEC2016!V39+TONT20000JANV2017!T39+TONT20000FEV2017!T39+TONT20000MARS2017!T39+TONT20000AVRIL2017!T39+TONT20000MAI2017!T39+TONT20000JUIN2017!T39+TONT20000JUIL2017!T39+TONT20000AOUT2017!T39+TONT20000SEPT2017!T39+TONT20000OCT2017!T39+TONT20000NOV2017!T39</f>
        <v>12000</v>
      </c>
      <c r="U39" s="44">
        <v>42723</v>
      </c>
      <c r="V39" s="1" t="s">
        <v>85</v>
      </c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TONT20000DEC2016!E40+TONT20000JANV2017!C40+TONT20000FEV2017!C40+TONT20000MARS2017!C40+TONT20000AVRIL2017!C40+TONT20000MAI2017!C40+TONT20000JUIN2017!C40+TONT20000JUIL2017!C40+TONT20000AOUT2017!C40+TONT20000SEPT2017!C40+TONT20000OCT2017!C40+TONT20000NOV2017!C40</f>
        <v>27612.084422988453</v>
      </c>
      <c r="D40" s="6">
        <f>TONT20000OCT2017!C40+TONT20000OCT2017!D40+TONT20000ANNUELLEBACKUP!J40</f>
        <v>466100.08442298841</v>
      </c>
      <c r="E40" s="6"/>
      <c r="F40" s="7">
        <f t="shared" si="0"/>
        <v>0</v>
      </c>
      <c r="G40" s="7">
        <f t="shared" si="1"/>
        <v>0</v>
      </c>
      <c r="H40" s="43" t="s">
        <v>216</v>
      </c>
      <c r="I40" s="7">
        <f>TONT20000DEC2016!K40+TONT20000JANV2017!I40+TONT20000FEV2017!I40+TONT20000MARS2017!I40+TONT20000AVRIL2017!I40+TONT20000MAI2017!I40+TONT20000JUIN2017!I40+TONT20000JUIL2017!I40+TONT20000AOUT2017!I40+TONT20000SEPT2017!I40+TONT20000OCT2017!I40+TONT20000NOV2017!I40</f>
        <v>147000</v>
      </c>
      <c r="J40" s="7">
        <f>TONT20000DEC2016!L40+TONT20000JANV2017!J40+TONT20000FEV2017!J40+TONT20000MARS2017!J40+TONT20000AVRIL2017!J40+TONT20000MAI2017!J40+TONT20000JUIN2017!J40+TONT20000JUIL2017!J40+TONT20000AOUT2017!J40+TONT20000SEPT2017!J40+TONT20000OCT2017!J40+TONT20000NOV2017!J40</f>
        <v>24000</v>
      </c>
      <c r="K40" s="7">
        <f>TONT20000DEC2016!M40+TONT20000JANV2017!K40+TONT20000FEV2017!K40+TONT20000MARS2017!K40+TONT20000AVRIL2017!K40+TONT20000MAI2017!K40+TONT20000JUIN2017!K40+TONT20000JUIL2017!K40+TONT20000AOUT2017!K40+TONT20000SEPT2017!K40+TONT20000OCT2017!K40+TONT20000NOV2017!K40</f>
        <v>4000</v>
      </c>
      <c r="L40" s="7">
        <f>TONT20000DEC2016!N40+TONT20000JANV2017!L40+TONT20000FEV2017!L40+TONT20000MARS2017!L40+TONT20000AVRIL2017!L40+TONT20000MAI2017!L40+TONT20000JUIN2017!L40+TONT20000JUIL2017!L40+TONT20000AOUT2017!L40+TONT20000SEPT2017!L40+TONT20000OCT2017!L40+TONT20000NOV2017!L40</f>
        <v>8000</v>
      </c>
      <c r="M40" s="7">
        <f>TONT20000DEC2016!O40+TONT20000JANV2017!M40+TONT20000FEV2017!M40+TONT20000MARS2017!M40+TONT20000AVRIL2017!M40+TONT20000MAI2017!M40+TONT20000JUIN2017!M40+TONT20000JUIL2017!M40+TONT20000AOUT2017!M40+TONT20000SEPT2017!M40+TONT20000OCT2017!M40+TONT20000NOV2017!M40</f>
        <v>20000</v>
      </c>
      <c r="N40" s="7">
        <f>TONT20000DEC2016!P40+TONT20000JANV2017!N40+TONT20000FEV2017!N40+TONT20000MARS2017!N40+TONT20000AVRIL2017!N40+TONT20000MAI2017!N40+TONT20000JUIN2017!N40+TONT20000JUIL2017!N40+TONT20000AOUT2017!N40+TONT20000SEPT2017!N40+TONT20000OCT2017!N40+TONT20000NOV2017!N40+TRAVAUXINVENTAIRE!O40</f>
        <v>24006</v>
      </c>
      <c r="O40" s="7">
        <f>TONT20000DEC2016!Q40+TONT20000JANV2017!O40+TONT20000FEV2017!O40+TONT20000MARS2017!O40+TONT20000AVRIL2017!O40+TONT20000MAI2017!O40+TONT20000JUIN2017!O40+TONT20000JUIL2017!O40+TONT20000AOUT2017!O40+TONT20000SEPT2017!O40+TONT20000OCT2017!O40+TONT20000NOV2017!O40</f>
        <v>700000</v>
      </c>
      <c r="P40" s="7">
        <f>TONT20000DEC2016!R40+TONT20000JANV2017!P40+TONT20000FEV2017!P40+TONT20000MARS2017!P40+TONT20000AVRIL2017!P40+TONT20000MAI2017!P40+TONT20000JUIN2017!P40+TONT20000JUIL2017!P40+TONT20000AOUT2017!P40+TONT20000SEPT2017!P40+TONT20000OCT2017!P40+TONT20000NOV2017!P40</f>
        <v>84000</v>
      </c>
      <c r="Q40" s="7">
        <f>TONT20000DEC2016!S40+TONT20000JANV2017!Q40+TONT20000FEV2017!Q40+TONT20000MARS2017!Q40+TONT20000AVRIL2017!Q40+TONT20000MAI2017!Q40+TONT20000JUIN2017!Q40+TONT20000JUIL2017!Q40+TONT20000AOUT2017!Q40+TONT20000SEPT2017!Q40+TONT20000OCT2017!Q40+TONT20000NOV2017!Q40</f>
        <v>0</v>
      </c>
      <c r="R40" s="7">
        <f>TONT20000DEC2016!T40+TONT20000JANV2017!R40+TONT20000FEV2017!R40+TONT20000MARS2017!R40+TONT20000AVRIL2017!R40+TONT20000MAI2017!R40+TONT20000JUIN2017!R40+TONT20000JUIL2017!R40+TONT20000AOUT2017!R40+TONT20000SEPT2017!R40+TONT20000OCT2017!R40+TONT20000NOV2017!R40</f>
        <v>0</v>
      </c>
      <c r="S40" s="7">
        <f>TONT20000DEC2016!U40+TONT20000JANV2017!S40+TONT20000FEV2017!S40+TONT20000MARS2017!S40+TONT20000AVRIL2017!S40+TONT20000MAI2017!S40+TONT20000JUIN2017!S40+TONT20000JUIL2017!S40+TONT20000AOUT2017!S40+TONT20000SEPT2017!S40+TONT20000OCT2017!S40+TONT20000NOV2017!S40</f>
        <v>0</v>
      </c>
      <c r="T40" s="7">
        <f>TONT20000DEC2016!V40+TONT20000JANV2017!T40+TONT20000FEV2017!T40+TONT20000MARS2017!T40+TONT20000AVRIL2017!T40+TONT20000MAI2017!T40+TONT20000JUIN2017!T40+TONT20000JUIL2017!T40+TONT20000AOUT2017!T40+TONT20000SEPT2017!T40+TONT20000OCT2017!T40+TONT20000NOV2017!T40</f>
        <v>0</v>
      </c>
      <c r="U40" s="44">
        <v>42785</v>
      </c>
      <c r="V40" s="1" t="s">
        <v>235</v>
      </c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TONT20000DEC2016!E41+TONT20000JANV2017!C41+TONT20000FEV2017!C41+TONT20000MARS2017!C41+TONT20000AVRIL2017!C41+TONT20000MAI2017!C41+TONT20000JUIN2017!C41+TONT20000JUIL2017!C41+TONT20000AOUT2017!C41+TONT20000SEPT2017!C41+TONT20000OCT2017!C41+TONT20000NOV2017!C41</f>
        <v>30102.32774288108</v>
      </c>
      <c r="D41" s="6">
        <f>TONT20000OCT2017!C41+TONT20000OCT2017!D41+TONT20000ANNUELLEBACKUP!J41</f>
        <v>509016.32774288108</v>
      </c>
      <c r="E41" s="6"/>
      <c r="F41" s="7">
        <f t="shared" si="0"/>
        <v>0</v>
      </c>
      <c r="G41" s="7">
        <f t="shared" si="1"/>
        <v>0</v>
      </c>
      <c r="H41" s="43" t="s">
        <v>216</v>
      </c>
      <c r="I41" s="7">
        <f>TONT20000DEC2016!K41+TONT20000JANV2017!I41+TONT20000FEV2017!I41+TONT20000MARS2017!I41+TONT20000AVRIL2017!I41+TONT20000MAI2017!I41+TONT20000JUIN2017!I41+TONT20000JUIL2017!I41+TONT20000AOUT2017!I41+TONT20000SEPT2017!I41+TONT20000OCT2017!I41+TONT20000NOV2017!I41</f>
        <v>167000</v>
      </c>
      <c r="J41" s="7">
        <f>TONT20000DEC2016!L41+TONT20000JANV2017!J41+TONT20000FEV2017!J41+TONT20000MARS2017!J41+TONT20000AVRIL2017!J41+TONT20000MAI2017!J41+TONT20000JUIN2017!J41+TONT20000JUIL2017!J41+TONT20000AOUT2017!J41+TONT20000SEPT2017!J41+TONT20000OCT2017!J41+TONT20000NOV2017!J41</f>
        <v>27000</v>
      </c>
      <c r="K41" s="7">
        <f>TONT20000DEC2016!M41+TONT20000JANV2017!K41+TONT20000FEV2017!K41+TONT20000MARS2017!K41+TONT20000AVRIL2017!K41+TONT20000MAI2017!K41+TONT20000JUIN2017!K41+TONT20000JUIL2017!K41+TONT20000AOUT2017!K41+TONT20000SEPT2017!K41+TONT20000OCT2017!K41+TONT20000NOV2017!K41</f>
        <v>4500</v>
      </c>
      <c r="L41" s="7">
        <f>TONT20000DEC2016!N41+TONT20000JANV2017!L41+TONT20000FEV2017!L41+TONT20000MARS2017!L41+TONT20000AVRIL2017!L41+TONT20000MAI2017!L41+TONT20000JUIN2017!L41+TONT20000JUIL2017!L41+TONT20000AOUT2017!L41+TONT20000SEPT2017!L41+TONT20000OCT2017!L41+TONT20000NOV2017!L41</f>
        <v>9000</v>
      </c>
      <c r="M41" s="7">
        <f>TONT20000DEC2016!O41+TONT20000JANV2017!M41+TONT20000FEV2017!M41+TONT20000MARS2017!M41+TONT20000AVRIL2017!M41+TONT20000MAI2017!M41+TONT20000JUIN2017!M41+TONT20000JUIL2017!M41+TONT20000AOUT2017!M41+TONT20000SEPT2017!M41+TONT20000OCT2017!M41+TONT20000NOV2017!M41</f>
        <v>22500</v>
      </c>
      <c r="N41" s="7">
        <f>TONT20000DEC2016!P41+TONT20000JANV2017!N41+TONT20000FEV2017!N41+TONT20000MARS2017!N41+TONT20000AVRIL2017!N41+TONT20000MAI2017!N41+TONT20000JUIN2017!N41+TONT20000JUIL2017!N41+TONT20000AOUT2017!N41+TONT20000SEPT2017!N41+TONT20000OCT2017!N41+TONT20000NOV2017!N41+TRAVAUXINVENTAIRE!O41</f>
        <v>50000</v>
      </c>
      <c r="O41" s="7">
        <f>TONT20000DEC2016!Q41+TONT20000JANV2017!O41+TONT20000FEV2017!O41+TONT20000MARS2017!O41+TONT20000AVRIL2017!O41+TONT20000MAI2017!O41+TONT20000JUIN2017!O41+TONT20000JUIL2017!O41+TONT20000AOUT2017!O41+TONT20000SEPT2017!O41+TONT20000OCT2017!O41+TONT20000NOV2017!O41</f>
        <v>1000000</v>
      </c>
      <c r="P41" s="7">
        <f>TONT20000DEC2016!R41+TONT20000JANV2017!P41+TONT20000FEV2017!P41+TONT20000MARS2017!P41+TONT20000AVRIL2017!P41+TONT20000MAI2017!P41+TONT20000JUIN2017!P41+TONT20000JUIL2017!P41+TONT20000AOUT2017!P41+TONT20000SEPT2017!P41+TONT20000OCT2017!P41+TONT20000NOV2017!P41</f>
        <v>120000</v>
      </c>
      <c r="Q41" s="7">
        <f>TONT20000DEC2016!S41+TONT20000JANV2017!Q41+TONT20000FEV2017!Q41+TONT20000MARS2017!Q41+TONT20000AVRIL2017!Q41+TONT20000MAI2017!Q41+TONT20000JUIN2017!Q41+TONT20000JUIL2017!Q41+TONT20000AOUT2017!Q41+TONT20000SEPT2017!Q41+TONT20000OCT2017!Q41+TONT20000NOV2017!Q41</f>
        <v>1080000</v>
      </c>
      <c r="R41" s="7">
        <f>TONT20000DEC2016!T41+TONT20000JANV2017!R41+TONT20000FEV2017!R41+TONT20000MARS2017!R41+TONT20000AVRIL2017!R41+TONT20000MAI2017!R41+TONT20000JUIN2017!R41+TONT20000JUIL2017!R41+TONT20000AOUT2017!R41+TONT20000SEPT2017!R41+TONT20000OCT2017!R41+TONT20000NOV2017!R41</f>
        <v>0</v>
      </c>
      <c r="S41" s="7">
        <f>TONT20000DEC2016!U41+TONT20000JANV2017!S41+TONT20000FEV2017!S41+TONT20000MARS2017!S41+TONT20000AVRIL2017!S41+TONT20000MAI2017!S41+TONT20000JUIN2017!S41+TONT20000JUIL2017!S41+TONT20000AOUT2017!S41+TONT20000SEPT2017!S41+TONT20000OCT2017!S41+TONT20000NOV2017!S41</f>
        <v>0</v>
      </c>
      <c r="T41" s="7">
        <f>TONT20000DEC2016!V41+TONT20000JANV2017!T41+TONT20000FEV2017!T41+TONT20000MARS2017!T41+TONT20000AVRIL2017!T41+TONT20000MAI2017!T41+TONT20000JUIN2017!T41+TONT20000JUIL2017!T41+TONT20000AOUT2017!T41+TONT20000SEPT2017!T41+TONT20000OCT2017!T41+TONT20000NOV2017!T41</f>
        <v>10000</v>
      </c>
      <c r="U41" s="44">
        <v>42476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TONT20000DEC2016!E42+TONT20000JANV2017!C42+TONT20000FEV2017!C42+TONT20000MARS2017!C42+TONT20000AVRIL2017!C42+TONT20000MAI2017!C42+TONT20000JUIN2017!C42+TONT20000JUIL2017!C42+TONT20000AOUT2017!C42+TONT20000SEPT2017!C42+TONT20000OCT2017!C42+TONT20000NOV2017!C42</f>
        <v>30075.975008035162</v>
      </c>
      <c r="D42" s="6">
        <f>TONT20000OCT2017!C42+TONT20000OCT2017!D42+TONT20000ANNUELLEBACKUP!J42</f>
        <v>508603.97500803514</v>
      </c>
      <c r="E42" s="6"/>
      <c r="F42" s="7">
        <f t="shared" si="0"/>
        <v>0</v>
      </c>
      <c r="G42" s="7">
        <f t="shared" si="1"/>
        <v>0</v>
      </c>
      <c r="H42" s="43" t="s">
        <v>216</v>
      </c>
      <c r="I42" s="7">
        <f>TONT20000DEC2016!K42+TONT20000JANV2017!I42+TONT20000FEV2017!I42+TONT20000MARS2017!I42+TONT20000AVRIL2017!I42+TONT20000MAI2017!I42+TONT20000JUIN2017!I42+TONT20000JUIL2017!I42+TONT20000AOUT2017!I42+TONT20000SEPT2017!I42+TONT20000OCT2017!I42+TONT20000NOV2017!I42</f>
        <v>167000</v>
      </c>
      <c r="J42" s="7">
        <f>TONT20000DEC2016!L42+TONT20000JANV2017!J42+TONT20000FEV2017!J42+TONT20000MARS2017!J42+TONT20000AVRIL2017!J42+TONT20000MAI2017!J42+TONT20000JUIN2017!J42+TONT20000JUIL2017!J42+TONT20000AOUT2017!J42+TONT20000SEPT2017!J42+TONT20000OCT2017!J42+TONT20000NOV2017!J42</f>
        <v>27000</v>
      </c>
      <c r="K42" s="7">
        <f>TONT20000DEC2016!M42+TONT20000JANV2017!K42+TONT20000FEV2017!K42+TONT20000MARS2017!K42+TONT20000AVRIL2017!K42+TONT20000MAI2017!K42+TONT20000JUIN2017!K42+TONT20000JUIL2017!K42+TONT20000AOUT2017!K42+TONT20000SEPT2017!K42+TONT20000OCT2017!K42+TONT20000NOV2017!K42</f>
        <v>4500</v>
      </c>
      <c r="L42" s="7">
        <f>TONT20000DEC2016!N42+TONT20000JANV2017!L42+TONT20000FEV2017!L42+TONT20000MARS2017!L42+TONT20000AVRIL2017!L42+TONT20000MAI2017!L42+TONT20000JUIN2017!L42+TONT20000JUIL2017!L42+TONT20000AOUT2017!L42+TONT20000SEPT2017!L42+TONT20000OCT2017!L42+TONT20000NOV2017!L42</f>
        <v>9000</v>
      </c>
      <c r="M42" s="7">
        <f>TONT20000DEC2016!O42+TONT20000JANV2017!M42+TONT20000FEV2017!M42+TONT20000MARS2017!M42+TONT20000AVRIL2017!M42+TONT20000MAI2017!M42+TONT20000JUIN2017!M42+TONT20000JUIL2017!M42+TONT20000AOUT2017!M42+TONT20000SEPT2017!M42+TONT20000OCT2017!M42+TONT20000NOV2017!M42</f>
        <v>22500</v>
      </c>
      <c r="N42" s="7">
        <f>TONT20000DEC2016!P42+TONT20000JANV2017!N42+TONT20000FEV2017!N42+TONT20000MARS2017!N42+TONT20000AVRIL2017!N42+TONT20000MAI2017!N42+TONT20000JUIN2017!N42+TONT20000JUIL2017!N42+TONT20000AOUT2017!N42+TONT20000SEPT2017!N42+TONT20000OCT2017!N42+TONT20000NOV2017!N42+TRAVAUXINVENTAIRE!O42</f>
        <v>50000</v>
      </c>
      <c r="O42" s="7">
        <f>TONT20000DEC2016!Q42+TONT20000JANV2017!O42+TONT20000FEV2017!O42+TONT20000MARS2017!O42+TONT20000AVRIL2017!O42+TONT20000MAI2017!O42+TONT20000JUIN2017!O42+TONT20000JUIL2017!O42+TONT20000AOUT2017!O42+TONT20000SEPT2017!O42+TONT20000OCT2017!O42+TONT20000NOV2017!O42</f>
        <v>1000000</v>
      </c>
      <c r="P42" s="7">
        <f>TONT20000DEC2016!R42+TONT20000JANV2017!P42+TONT20000FEV2017!P42+TONT20000MARS2017!P42+TONT20000AVRIL2017!P42+TONT20000MAI2017!P42+TONT20000JUIN2017!P42+TONT20000JUIL2017!P42+TONT20000AOUT2017!P42+TONT20000SEPT2017!P42+TONT20000OCT2017!P42+TONT20000NOV2017!P42</f>
        <v>120000</v>
      </c>
      <c r="Q42" s="7">
        <f>TONT20000DEC2016!S42+TONT20000JANV2017!Q42+TONT20000FEV2017!Q42+TONT20000MARS2017!Q42+TONT20000AVRIL2017!Q42+TONT20000MAI2017!Q42+TONT20000JUIN2017!Q42+TONT20000JUIL2017!Q42+TONT20000AOUT2017!Q42+TONT20000SEPT2017!Q42+TONT20000OCT2017!Q42+TONT20000NOV2017!Q42</f>
        <v>863000</v>
      </c>
      <c r="R42" s="7">
        <f>TONT20000DEC2016!T42+TONT20000JANV2017!R42+TONT20000FEV2017!R42+TONT20000MARS2017!R42+TONT20000AVRIL2017!R42+TONT20000MAI2017!R42+TONT20000JUIN2017!R42+TONT20000JUIL2017!R42+TONT20000AOUT2017!R42+TONT20000SEPT2017!R42+TONT20000OCT2017!R42+TONT20000NOV2017!R42</f>
        <v>0</v>
      </c>
      <c r="S42" s="7">
        <f>TONT20000DEC2016!U42+TONT20000JANV2017!S42+TONT20000FEV2017!S42+TONT20000MARS2017!S42+TONT20000AVRIL2017!S42+TONT20000MAI2017!S42+TONT20000JUIN2017!S42+TONT20000JUIL2017!S42+TONT20000AOUT2017!S42+TONT20000SEPT2017!S42+TONT20000OCT2017!S42+TONT20000NOV2017!S42</f>
        <v>0</v>
      </c>
      <c r="T42" s="7">
        <f>TONT20000DEC2016!V42+TONT20000JANV2017!T42+TONT20000FEV2017!T42+TONT20000MARS2017!T42+TONT20000AVRIL2017!T42+TONT20000MAI2017!T42+TONT20000JUIN2017!T42+TONT20000JUIL2017!T42+TONT20000AOUT2017!T42+TONT20000SEPT2017!T42+TONT20000OCT2017!T42+TONT20000NOV2017!T42</f>
        <v>0</v>
      </c>
      <c r="U42" s="44">
        <v>42904</v>
      </c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TONT20000DEC2016!E43+TONT20000JANV2017!C43+TONT20000FEV2017!C43+TONT20000MARS2017!C43+TONT20000AVRIL2017!C43+TONT20000MAI2017!C43+TONT20000JUIN2017!C43+TONT20000JUIL2017!C43+TONT20000AOUT2017!C43+TONT20000SEPT2017!C43+TONT20000OCT2017!C43+TONT20000NOV2017!C43</f>
        <v>39810.747557934199</v>
      </c>
      <c r="D43" s="6">
        <f>TONT20000OCT2017!C43+TONT20000OCT2017!D43+TONT20000ANNUELLEBACKUP!J43</f>
        <v>739785.74755793437</v>
      </c>
      <c r="E43" s="6"/>
      <c r="F43" s="7">
        <f t="shared" si="0"/>
        <v>0</v>
      </c>
      <c r="G43" s="7">
        <f t="shared" si="1"/>
        <v>0</v>
      </c>
      <c r="H43" s="43" t="s">
        <v>216</v>
      </c>
      <c r="I43" s="7">
        <f>TONT20000DEC2016!K43+TONT20000JANV2017!I43+TONT20000FEV2017!I43+TONT20000MARS2017!I43+TONT20000AVRIL2017!I43+TONT20000MAI2017!I43+TONT20000JUIN2017!I43+TONT20000JUIL2017!I43+TONT20000AOUT2017!I43+TONT20000SEPT2017!I43+TONT20000OCT2017!I43+TONT20000NOV2017!I43</f>
        <v>227000</v>
      </c>
      <c r="J43" s="7">
        <f>TONT20000DEC2016!L43+TONT20000JANV2017!J43+TONT20000FEV2017!J43+TONT20000MARS2017!J43+TONT20000AVRIL2017!J43+TONT20000MAI2017!J43+TONT20000JUIN2017!J43+TONT20000JUIL2017!J43+TONT20000AOUT2017!J43+TONT20000SEPT2017!J43+TONT20000OCT2017!J43+TONT20000NOV2017!J43</f>
        <v>87000</v>
      </c>
      <c r="K43" s="7">
        <f>TONT20000DEC2016!M43+TONT20000JANV2017!K43+TONT20000FEV2017!K43+TONT20000MARS2017!K43+TONT20000AVRIL2017!K43+TONT20000MAI2017!K43+TONT20000JUIN2017!K43+TONT20000JUIL2017!K43+TONT20000AOUT2017!K43+TONT20000SEPT2017!K43+TONT20000OCT2017!K43+TONT20000NOV2017!K43</f>
        <v>4500</v>
      </c>
      <c r="L43" s="7">
        <f>TONT20000DEC2016!N43+TONT20000JANV2017!L43+TONT20000FEV2017!L43+TONT20000MARS2017!L43+TONT20000AVRIL2017!L43+TONT20000MAI2017!L43+TONT20000JUIN2017!L43+TONT20000JUIL2017!L43+TONT20000AOUT2017!L43+TONT20000SEPT2017!L43+TONT20000OCT2017!L43+TONT20000NOV2017!L43</f>
        <v>9000</v>
      </c>
      <c r="M43" s="7">
        <f>TONT20000DEC2016!O43+TONT20000JANV2017!M43+TONT20000FEV2017!M43+TONT20000MARS2017!M43+TONT20000AVRIL2017!M43+TONT20000MAI2017!M43+TONT20000JUIN2017!M43+TONT20000JUIL2017!M43+TONT20000AOUT2017!M43+TONT20000SEPT2017!M43+TONT20000OCT2017!M43+TONT20000NOV2017!M43</f>
        <v>22500</v>
      </c>
      <c r="N43" s="7">
        <f>TONT20000DEC2016!P43+TONT20000JANV2017!N43+TONT20000FEV2017!N43+TONT20000MARS2017!N43+TONT20000AVRIL2017!N43+TONT20000MAI2017!N43+TONT20000JUIN2017!N43+TONT20000JUIL2017!N43+TONT20000AOUT2017!N43+TONT20000SEPT2017!N43+TONT20000OCT2017!N43+TONT20000NOV2017!N43+TRAVAUXINVENTAIRE!O43</f>
        <v>50000</v>
      </c>
      <c r="O43" s="7">
        <f>TONT20000DEC2016!Q43+TONT20000JANV2017!O43+TONT20000FEV2017!O43+TONT20000MARS2017!O43+TONT20000AVRIL2017!O43+TONT20000MAI2017!O43+TONT20000JUIN2017!O43+TONT20000JUIL2017!O43+TONT20000AOUT2017!O43+TONT20000SEPT2017!O43+TONT20000OCT2017!O43+TONT20000NOV2017!O43</f>
        <v>400000</v>
      </c>
      <c r="P43" s="7">
        <f>TONT20000DEC2016!R43+TONT20000JANV2017!P43+TONT20000FEV2017!P43+TONT20000MARS2017!P43+TONT20000AVRIL2017!P43+TONT20000MAI2017!P43+TONT20000JUIN2017!P43+TONT20000JUIL2017!P43+TONT20000AOUT2017!P43+TONT20000SEPT2017!P43+TONT20000OCT2017!P43+TONT20000NOV2017!P43</f>
        <v>12000</v>
      </c>
      <c r="Q43" s="7">
        <f>TONT20000DEC2016!S43+TONT20000JANV2017!Q43+TONT20000FEV2017!Q43+TONT20000MARS2017!Q43+TONT20000AVRIL2017!Q43+TONT20000MAI2017!Q43+TONT20000JUIN2017!Q43+TONT20000JUIL2017!Q43+TONT20000AOUT2017!Q43+TONT20000SEPT2017!Q43+TONT20000OCT2017!Q43+TONT20000NOV2017!Q43</f>
        <v>904200</v>
      </c>
      <c r="R43" s="7">
        <f>TONT20000DEC2016!T43+TONT20000JANV2017!R43+TONT20000FEV2017!R43+TONT20000MARS2017!R43+TONT20000AVRIL2017!R43+TONT20000MAI2017!R43+TONT20000JUIN2017!R43+TONT20000JUIL2017!R43+TONT20000AOUT2017!R43+TONT20000SEPT2017!R43+TONT20000OCT2017!R43+TONT20000NOV2017!R43</f>
        <v>0</v>
      </c>
      <c r="S43" s="7">
        <f>TONT20000DEC2016!U43+TONT20000JANV2017!S43+TONT20000FEV2017!S43+TONT20000MARS2017!S43+TONT20000AVRIL2017!S43+TONT20000MAI2017!S43+TONT20000JUIN2017!S43+TONT20000JUIL2017!S43+TONT20000AOUT2017!S43+TONT20000SEPT2017!S43+TONT20000OCT2017!S43+TONT20000NOV2017!S43</f>
        <v>0</v>
      </c>
      <c r="T43" s="7">
        <f>TONT20000DEC2016!V43+TONT20000JANV2017!T43+TONT20000FEV2017!T43+TONT20000MARS2017!T43+TONT20000AVRIL2017!T43+TONT20000MAI2017!T43+TONT20000JUIN2017!T43+TONT20000JUIL2017!T43+TONT20000AOUT2017!T43+TONT20000SEPT2017!T43+TONT20000OCT2017!T43+TONT20000NOV2017!T43</f>
        <v>0</v>
      </c>
      <c r="U43" s="44">
        <v>42694</v>
      </c>
      <c r="V43" s="1" t="s">
        <v>70</v>
      </c>
    </row>
    <row r="44" spans="1:22" x14ac:dyDescent="0.25">
      <c r="A44" s="1" t="s">
        <v>49</v>
      </c>
      <c r="B44" s="1" t="str">
        <f>VLOOKUP(A44,LISTADHERENT!A$5:H$51,2)</f>
        <v>TAGNE NANGUEN MARTIN</v>
      </c>
      <c r="C44" s="6">
        <f>TONT20000DEC2016!E44+TONT20000JANV2017!C44+TONT20000FEV2017!C44+TONT20000MARS2017!C44+TONT20000AVRIL2017!C44+TONT20000MAI2017!C44+TONT20000JUIN2017!C44+TONT20000JUIL2017!C44+TONT20000AOUT2017!C44+TONT20000SEPT2017!C44+TONT20000OCT2017!C44+TONT20000NOV2017!C44</f>
        <v>27829.370226753796</v>
      </c>
      <c r="D44" s="6">
        <f>TONT20000OCT2017!C44+TONT20000OCT2017!D44+TONT20000ANNUELLEBACKUP!J44</f>
        <v>473450.3702267537</v>
      </c>
      <c r="E44" s="6"/>
      <c r="F44" s="7">
        <f t="shared" si="0"/>
        <v>0</v>
      </c>
      <c r="G44" s="7">
        <f t="shared" si="1"/>
        <v>0</v>
      </c>
      <c r="H44" s="43" t="s">
        <v>216</v>
      </c>
      <c r="I44" s="7">
        <f>TONT20000DEC2016!K44+TONT20000JANV2017!I44+TONT20000FEV2017!I44+TONT20000MARS2017!I44+TONT20000AVRIL2017!I44+TONT20000MAI2017!I44+TONT20000JUIN2017!I44+TONT20000JUIL2017!I44+TONT20000AOUT2017!I44+TONT20000SEPT2017!I44+TONT20000OCT2017!I44+TONT20000NOV2017!I44</f>
        <v>167000</v>
      </c>
      <c r="J44" s="7">
        <f>TONT20000DEC2016!L44+TONT20000JANV2017!J44+TONT20000FEV2017!J44+TONT20000MARS2017!J44+TONT20000AVRIL2017!J44+TONT20000MAI2017!J44+TONT20000JUIN2017!J44+TONT20000JUIL2017!J44+TONT20000AOUT2017!J44+TONT20000SEPT2017!J44+TONT20000OCT2017!J44+TONT20000NOV2017!J44</f>
        <v>27000</v>
      </c>
      <c r="K44" s="7">
        <f>TONT20000DEC2016!M44+TONT20000JANV2017!K44+TONT20000FEV2017!K44+TONT20000MARS2017!K44+TONT20000AVRIL2017!K44+TONT20000MAI2017!K44+TONT20000JUIN2017!K44+TONT20000JUIL2017!K44+TONT20000AOUT2017!K44+TONT20000SEPT2017!K44+TONT20000OCT2017!K44+TONT20000NOV2017!K44</f>
        <v>4500</v>
      </c>
      <c r="L44" s="7">
        <f>TONT20000DEC2016!N44+TONT20000JANV2017!L44+TONT20000FEV2017!L44+TONT20000MARS2017!L44+TONT20000AVRIL2017!L44+TONT20000MAI2017!L44+TONT20000JUIN2017!L44+TONT20000JUIL2017!L44+TONT20000AOUT2017!L44+TONT20000SEPT2017!L44+TONT20000OCT2017!L44+TONT20000NOV2017!L44</f>
        <v>9000</v>
      </c>
      <c r="M44" s="7">
        <f>TONT20000DEC2016!O44+TONT20000JANV2017!M44+TONT20000FEV2017!M44+TONT20000MARS2017!M44+TONT20000AVRIL2017!M44+TONT20000MAI2017!M44+TONT20000JUIN2017!M44+TONT20000JUIL2017!M44+TONT20000AOUT2017!M44+TONT20000SEPT2017!M44+TONT20000OCT2017!M44+TONT20000NOV2017!M44</f>
        <v>22500</v>
      </c>
      <c r="N44" s="7">
        <f>TONT20000DEC2016!P44+TONT20000JANV2017!N44+TONT20000FEV2017!N44+TONT20000MARS2017!N44+TONT20000AVRIL2017!N44+TONT20000MAI2017!N44+TONT20000JUIN2017!N44+TONT20000JUIL2017!N44+TONT20000AOUT2017!N44+TONT20000SEPT2017!N44+TONT20000OCT2017!N44+TONT20000NOV2017!N44+TRAVAUXINVENTAIRE!O44</f>
        <v>50000</v>
      </c>
      <c r="O44" s="7">
        <f>TONT20000DEC2016!Q44+TONT20000JANV2017!O44+TONT20000FEV2017!O44+TONT20000MARS2017!O44+TONT20000AVRIL2017!O44+TONT20000MAI2017!O44+TONT20000JUIN2017!O44+TONT20000JUIL2017!O44+TONT20000AOUT2017!O44+TONT20000SEPT2017!O44+TONT20000OCT2017!O44+TONT20000NOV2017!O44</f>
        <v>0</v>
      </c>
      <c r="P44" s="7">
        <f>TONT20000DEC2016!R44+TONT20000JANV2017!P44+TONT20000FEV2017!P44+TONT20000MARS2017!P44+TONT20000AVRIL2017!P44+TONT20000MAI2017!P44+TONT20000JUIN2017!P44+TONT20000JUIL2017!P44+TONT20000AOUT2017!P44+TONT20000SEPT2017!P44+TONT20000OCT2017!P44+TONT20000NOV2017!P44</f>
        <v>0</v>
      </c>
      <c r="Q44" s="7">
        <f>TONT20000DEC2016!S44+TONT20000JANV2017!Q44+TONT20000FEV2017!Q44+TONT20000MARS2017!Q44+TONT20000AVRIL2017!Q44+TONT20000MAI2017!Q44+TONT20000JUIN2017!Q44+TONT20000JUIL2017!Q44+TONT20000AOUT2017!Q44+TONT20000SEPT2017!Q44+TONT20000OCT2017!Q44+TONT20000NOV2017!Q44</f>
        <v>0</v>
      </c>
      <c r="R44" s="7">
        <f>TONT20000DEC2016!T44+TONT20000JANV2017!R44+TONT20000FEV2017!R44+TONT20000MARS2017!R44+TONT20000AVRIL2017!R44+TONT20000MAI2017!R44+TONT20000JUIN2017!R44+TONT20000JUIL2017!R44+TONT20000AOUT2017!R44+TONT20000SEPT2017!R44+TONT20000OCT2017!R44+TONT20000NOV2017!R44</f>
        <v>0</v>
      </c>
      <c r="S44" s="7">
        <f>TONT20000DEC2016!U44+TONT20000JANV2017!S44+TONT20000FEV2017!S44+TONT20000MARS2017!S44+TONT20000AVRIL2017!S44+TONT20000MAI2017!S44+TONT20000JUIN2017!S44+TONT20000JUIL2017!S44+TONT20000AOUT2017!S44+TONT20000SEPT2017!S44+TONT20000OCT2017!S44+TONT20000NOV2017!S44</f>
        <v>0</v>
      </c>
      <c r="T44" s="7">
        <f>TONT20000DEC2016!V44+TONT20000JANV2017!T44+TONT20000FEV2017!T44+TONT20000MARS2017!T44+TONT20000AVRIL2017!T44+TONT20000MAI2017!T44+TONT20000JUIN2017!T44+TONT20000JUIL2017!T44+TONT20000AOUT2017!T44+TONT20000SEPT2017!T44+TONT20000OCT2017!T44+TONT20000NOV2017!T44</f>
        <v>10000</v>
      </c>
      <c r="U44" s="44">
        <v>42813</v>
      </c>
      <c r="V44" s="1" t="s">
        <v>239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TONT20000DEC2016!E45+TONT20000JANV2017!C45+TONT20000FEV2017!C45+TONT20000MARS2017!C45+TONT20000AVRIL2017!C45+TONT20000MAI2017!C45+TONT20000JUIN2017!C45+TONT20000JUIL2017!C45+TONT20000AOUT2017!C45+TONT20000SEPT2017!C45+TONT20000OCT2017!C45+TONT20000NOV2017!C45</f>
        <v>2105.6899747521879</v>
      </c>
      <c r="D45" s="6">
        <f>TONT20000OCT2017!C45+TONT20000OCT2017!D45+TONT20000ANNUELLEBACKUP!J45</f>
        <v>64948.689974752189</v>
      </c>
      <c r="E45" s="6"/>
      <c r="F45" s="7">
        <f t="shared" si="0"/>
        <v>0</v>
      </c>
      <c r="G45" s="7">
        <f t="shared" si="1"/>
        <v>0</v>
      </c>
      <c r="H45" s="43" t="s">
        <v>216</v>
      </c>
      <c r="I45" s="7">
        <f>TONT20000DEC2016!K45+TONT20000JANV2017!I45+TONT20000FEV2017!I45+TONT20000MARS2017!I45+TONT20000AVRIL2017!I45+TONT20000MAI2017!I45+TONT20000JUIN2017!I45+TONT20000JUIL2017!I45+TONT20000AOUT2017!I45+TONT20000SEPT2017!I45+TONT20000OCT2017!I45+TONT20000NOV2017!I45</f>
        <v>160000</v>
      </c>
      <c r="J45" s="7">
        <f>TONT20000DEC2016!L45+TONT20000JANV2017!J45+TONT20000FEV2017!J45+TONT20000MARS2017!J45+TONT20000AVRIL2017!J45+TONT20000MAI2017!J45+TONT20000JUIN2017!J45+TONT20000JUIL2017!J45+TONT20000AOUT2017!J45+TONT20000SEPT2017!J45+TONT20000OCT2017!J45+TONT20000NOV2017!J45</f>
        <v>24000</v>
      </c>
      <c r="K45" s="7">
        <f>TONT20000DEC2016!M45+TONT20000JANV2017!K45+TONT20000FEV2017!K45+TONT20000MARS2017!K45+TONT20000AVRIL2017!K45+TONT20000MAI2017!K45+TONT20000JUIN2017!K45+TONT20000JUIL2017!K45+TONT20000AOUT2017!K45+TONT20000SEPT2017!K45+TONT20000OCT2017!K45+TONT20000NOV2017!K45</f>
        <v>4000</v>
      </c>
      <c r="L45" s="7">
        <f>TONT20000DEC2016!N45+TONT20000JANV2017!L45+TONT20000FEV2017!L45+TONT20000MARS2017!L45+TONT20000AVRIL2017!L45+TONT20000MAI2017!L45+TONT20000JUIN2017!L45+TONT20000JUIL2017!L45+TONT20000AOUT2017!L45+TONT20000SEPT2017!L45+TONT20000OCT2017!L45+TONT20000NOV2017!L45</f>
        <v>8000</v>
      </c>
      <c r="M45" s="7">
        <f>TONT20000DEC2016!O45+TONT20000JANV2017!M45+TONT20000FEV2017!M45+TONT20000MARS2017!M45+TONT20000AVRIL2017!M45+TONT20000MAI2017!M45+TONT20000JUIN2017!M45+TONT20000JUIL2017!M45+TONT20000AOUT2017!M45+TONT20000SEPT2017!M45+TONT20000OCT2017!M45+TONT20000NOV2017!M45</f>
        <v>20000</v>
      </c>
      <c r="N45" s="7">
        <f>TONT20000DEC2016!P45+TONT20000JANV2017!N45+TONT20000FEV2017!N45+TONT20000MARS2017!N45+TONT20000AVRIL2017!N45+TONT20000MAI2017!N45+TONT20000JUIN2017!N45+TONT20000JUIL2017!N45+TONT20000AOUT2017!N45+TONT20000SEPT2017!N45+TONT20000OCT2017!N45+TONT20000NOV2017!N45+TRAVAUXINVENTAIRE!O45</f>
        <v>50000</v>
      </c>
      <c r="O45" s="7">
        <f>TONT20000DEC2016!Q45+TONT20000JANV2017!O45+TONT20000FEV2017!O45+TONT20000MARS2017!O45+TONT20000AVRIL2017!O45+TONT20000MAI2017!O45+TONT20000JUIN2017!O45+TONT20000JUIL2017!O45+TONT20000AOUT2017!O45+TONT20000SEPT2017!O45+TONT20000OCT2017!O45+TONT20000NOV2017!O45</f>
        <v>0</v>
      </c>
      <c r="P45" s="7">
        <f>TONT20000DEC2016!R45+TONT20000JANV2017!P45+TONT20000FEV2017!P45+TONT20000MARS2017!P45+TONT20000AVRIL2017!P45+TONT20000MAI2017!P45+TONT20000JUIN2017!P45+TONT20000JUIL2017!P45+TONT20000AOUT2017!P45+TONT20000SEPT2017!P45+TONT20000OCT2017!P45+TONT20000NOV2017!P45</f>
        <v>0</v>
      </c>
      <c r="Q45" s="7">
        <f>TONT20000DEC2016!S45+TONT20000JANV2017!Q45+TONT20000FEV2017!Q45+TONT20000MARS2017!Q45+TONT20000AVRIL2017!Q45+TONT20000MAI2017!Q45+TONT20000JUIN2017!Q45+TONT20000JUIL2017!Q45+TONT20000AOUT2017!Q45+TONT20000SEPT2017!Q45+TONT20000OCT2017!Q45+TONT20000NOV2017!Q45</f>
        <v>0</v>
      </c>
      <c r="R45" s="7">
        <f>TONT20000DEC2016!T45+TONT20000JANV2017!R45+TONT20000FEV2017!R45+TONT20000MARS2017!R45+TONT20000AVRIL2017!R45+TONT20000MAI2017!R45+TONT20000JUIN2017!R45+TONT20000JUIL2017!R45+TONT20000AOUT2017!R45+TONT20000SEPT2017!R45+TONT20000OCT2017!R45+TONT20000NOV2017!R45</f>
        <v>0</v>
      </c>
      <c r="S45" s="7">
        <f>TONT20000DEC2016!U45+TONT20000JANV2017!S45+TONT20000FEV2017!S45+TONT20000MARS2017!S45+TONT20000AVRIL2017!S45+TONT20000MAI2017!S45+TONT20000JUIN2017!S45+TONT20000JUIL2017!S45+TONT20000AOUT2017!S45+TONT20000SEPT2017!S45+TONT20000OCT2017!S45+TONT20000NOV2017!S45</f>
        <v>0</v>
      </c>
      <c r="T45" s="7">
        <f>TONT20000DEC2016!V45+TONT20000JANV2017!T45+TONT20000FEV2017!T45+TONT20000MARS2017!T45+TONT20000AVRIL2017!T45+TONT20000MAI2017!T45+TONT20000JUIN2017!T45+TONT20000JUIL2017!T45+TONT20000AOUT2017!T45+TONT20000SEPT2017!T45+TONT20000OCT2017!T45+TONT20000NOV2017!T45</f>
        <v>0</v>
      </c>
      <c r="U45" s="44">
        <v>42904</v>
      </c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TONT20000DEC2016!E46+TONT20000JANV2017!C46+TONT20000FEV2017!C46+TONT20000MARS2017!C46+TONT20000AVRIL2017!C46+TONT20000MAI2017!C46+TONT20000JUIN2017!C46+TONT20000JUIL2017!C46+TONT20000AOUT2017!C46+TONT20000SEPT2017!C46+TONT20000OCT2017!C46+TONT20000NOV2017!C46</f>
        <v>29948.034528498243</v>
      </c>
      <c r="D46" s="6">
        <f>TONT20000OCT2017!C46+TONT20000OCT2017!D46+TONT20000ANNUELLEBACKUP!J46</f>
        <v>506602.03452849825</v>
      </c>
      <c r="E46" s="6"/>
      <c r="F46" s="7">
        <f t="shared" si="0"/>
        <v>0</v>
      </c>
      <c r="G46" s="7">
        <f t="shared" si="1"/>
        <v>0</v>
      </c>
      <c r="H46" s="43" t="s">
        <v>216</v>
      </c>
      <c r="I46" s="7">
        <f>TONT20000DEC2016!K46+TONT20000JANV2017!I46+TONT20000FEV2017!I46+TONT20000MARS2017!I46+TONT20000AVRIL2017!I46+TONT20000MAI2017!I46+TONT20000JUIN2017!I46+TONT20000JUIL2017!I46+TONT20000AOUT2017!I46+TONT20000SEPT2017!I46+TONT20000OCT2017!I46+TONT20000NOV2017!I46</f>
        <v>167000</v>
      </c>
      <c r="J46" s="7">
        <f>TONT20000DEC2016!L46+TONT20000JANV2017!J46+TONT20000FEV2017!J46+TONT20000MARS2017!J46+TONT20000AVRIL2017!J46+TONT20000MAI2017!J46+TONT20000JUIN2017!J46+TONT20000JUIL2017!J46+TONT20000AOUT2017!J46+TONT20000SEPT2017!J46+TONT20000OCT2017!J46+TONT20000NOV2017!J46</f>
        <v>27000</v>
      </c>
      <c r="K46" s="7">
        <f>TONT20000DEC2016!M46+TONT20000JANV2017!K46+TONT20000FEV2017!K46+TONT20000MARS2017!K46+TONT20000AVRIL2017!K46+TONT20000MAI2017!K46+TONT20000JUIN2017!K46+TONT20000JUIL2017!K46+TONT20000AOUT2017!K46+TONT20000SEPT2017!K46+TONT20000OCT2017!K46+TONT20000NOV2017!K46</f>
        <v>4500</v>
      </c>
      <c r="L46" s="7">
        <f>TONT20000DEC2016!N46+TONT20000JANV2017!L46+TONT20000FEV2017!L46+TONT20000MARS2017!L46+TONT20000AVRIL2017!L46+TONT20000MAI2017!L46+TONT20000JUIN2017!L46+TONT20000JUIL2017!L46+TONT20000AOUT2017!L46+TONT20000SEPT2017!L46+TONT20000OCT2017!L46+TONT20000NOV2017!L46</f>
        <v>9000</v>
      </c>
      <c r="M46" s="7">
        <f>TONT20000DEC2016!O46+TONT20000JANV2017!M46+TONT20000FEV2017!M46+TONT20000MARS2017!M46+TONT20000AVRIL2017!M46+TONT20000MAI2017!M46+TONT20000JUIN2017!M46+TONT20000JUIL2017!M46+TONT20000AOUT2017!M46+TONT20000SEPT2017!M46+TONT20000OCT2017!M46+TONT20000NOV2017!M46</f>
        <v>22500</v>
      </c>
      <c r="N46" s="7">
        <f>TONT20000DEC2016!P46+TONT20000JANV2017!N46+TONT20000FEV2017!N46+TONT20000MARS2017!N46+TONT20000AVRIL2017!N46+TONT20000MAI2017!N46+TONT20000JUIN2017!N46+TONT20000JUIL2017!N46+TONT20000AOUT2017!N46+TONT20000SEPT2017!N46+TONT20000OCT2017!N46+TONT20000NOV2017!N46+TRAVAUXINVENTAIRE!O46</f>
        <v>50000</v>
      </c>
      <c r="O46" s="7">
        <f>TONT20000DEC2016!Q46+TONT20000JANV2017!O46+TONT20000FEV2017!O46+TONT20000MARS2017!O46+TONT20000AVRIL2017!O46+TONT20000MAI2017!O46+TONT20000JUIN2017!O46+TONT20000JUIL2017!O46+TONT20000AOUT2017!O46+TONT20000SEPT2017!O46+TONT20000OCT2017!O46+TONT20000NOV2017!O46</f>
        <v>0</v>
      </c>
      <c r="P46" s="7">
        <f>TONT20000DEC2016!R46+TONT20000JANV2017!P46+TONT20000FEV2017!P46+TONT20000MARS2017!P46+TONT20000AVRIL2017!P46+TONT20000MAI2017!P46+TONT20000JUIN2017!P46+TONT20000JUIL2017!P46+TONT20000AOUT2017!P46+TONT20000SEPT2017!P46+TONT20000OCT2017!P46+TONT20000NOV2017!P46</f>
        <v>0</v>
      </c>
      <c r="Q46" s="7">
        <f>TONT20000DEC2016!S46+TONT20000JANV2017!Q46+TONT20000FEV2017!Q46+TONT20000MARS2017!Q46+TONT20000AVRIL2017!Q46+TONT20000MAI2017!Q46+TONT20000JUIN2017!Q46+TONT20000JUIL2017!Q46+TONT20000AOUT2017!Q46+TONT20000SEPT2017!Q46+TONT20000OCT2017!Q46+TONT20000NOV2017!Q46</f>
        <v>554100</v>
      </c>
      <c r="R46" s="7">
        <f>TONT20000DEC2016!T46+TONT20000JANV2017!R46+TONT20000FEV2017!R46+TONT20000MARS2017!R46+TONT20000AVRIL2017!R46+TONT20000MAI2017!R46+TONT20000JUIN2017!R46+TONT20000JUIL2017!R46+TONT20000AOUT2017!R46+TONT20000SEPT2017!R46+TONT20000OCT2017!R46+TONT20000NOV2017!R46</f>
        <v>0</v>
      </c>
      <c r="S46" s="7">
        <f>TONT20000DEC2016!U46+TONT20000JANV2017!S46+TONT20000FEV2017!S46+TONT20000MARS2017!S46+TONT20000AVRIL2017!S46+TONT20000MAI2017!S46+TONT20000JUIN2017!S46+TONT20000JUIL2017!S46+TONT20000AOUT2017!S46+TONT20000SEPT2017!S46+TONT20000OCT2017!S46+TONT20000NOV2017!S46</f>
        <v>0</v>
      </c>
      <c r="T46" s="7">
        <f>TONT20000DEC2016!V46+TONT20000JANV2017!T46+TONT20000FEV2017!T46+TONT20000MARS2017!T46+TONT20000AVRIL2017!T46+TONT20000MAI2017!T46+TONT20000JUIN2017!T46+TONT20000JUIL2017!T46+TONT20000AOUT2017!T46+TONT20000SEPT2017!T46+TONT20000OCT2017!T46+TONT20000NOV2017!T46</f>
        <v>0</v>
      </c>
      <c r="U46" s="44">
        <v>42694</v>
      </c>
      <c r="V46" s="1" t="s">
        <v>240</v>
      </c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TONT20000DEC2016!E47+TONT20000JANV2017!C47+TONT20000FEV2017!C47+TONT20000MARS2017!C47+TONT20000AVRIL2017!C47+TONT20000MAI2017!C47+TONT20000JUIN2017!C47+TONT20000JUIL2017!C47+TONT20000AOUT2017!C47+TONT20000SEPT2017!C47+TONT20000OCT2017!C47+TONT20000NOV2017!C47</f>
        <v>33817.469779223538</v>
      </c>
      <c r="D47" s="6">
        <f>TONT20000OCT2017!C47+TONT20000OCT2017!D47+TONT20000ANNUELLEBACKUP!J47</f>
        <v>631468.46977922355</v>
      </c>
      <c r="E47" s="6"/>
      <c r="F47" s="7">
        <f t="shared" si="0"/>
        <v>0</v>
      </c>
      <c r="G47" s="7">
        <f t="shared" si="1"/>
        <v>0</v>
      </c>
      <c r="H47" s="43" t="s">
        <v>216</v>
      </c>
      <c r="I47" s="7">
        <f>TONT20000DEC2016!K47+TONT20000JANV2017!I47+TONT20000FEV2017!I47+TONT20000MARS2017!I47+TONT20000AVRIL2017!I47+TONT20000MAI2017!I47+TONT20000JUIN2017!I47+TONT20000JUIL2017!I47+TONT20000AOUT2017!I47+TONT20000SEPT2017!I47+TONT20000OCT2017!I47+TONT20000NOV2017!I47</f>
        <v>224000</v>
      </c>
      <c r="J47" s="7">
        <f>TONT20000DEC2016!L47+TONT20000JANV2017!J47+TONT20000FEV2017!J47+TONT20000MARS2017!J47+TONT20000AVRIL2017!J47+TONT20000MAI2017!J47+TONT20000JUIN2017!J47+TONT20000JUIL2017!J47+TONT20000AOUT2017!J47+TONT20000SEPT2017!J47+TONT20000OCT2017!J47+TONT20000NOV2017!J47</f>
        <v>84000</v>
      </c>
      <c r="K47" s="7">
        <f>TONT20000DEC2016!M47+TONT20000JANV2017!K47+TONT20000FEV2017!K47+TONT20000MARS2017!K47+TONT20000AVRIL2017!K47+TONT20000MAI2017!K47+TONT20000JUIN2017!K47+TONT20000JUIL2017!K47+TONT20000AOUT2017!K47+TONT20000SEPT2017!K47+TONT20000OCT2017!K47+TONT20000NOV2017!K47</f>
        <v>4500</v>
      </c>
      <c r="L47" s="7">
        <f>TONT20000DEC2016!N47+TONT20000JANV2017!L47+TONT20000FEV2017!L47+TONT20000MARS2017!L47+TONT20000AVRIL2017!L47+TONT20000MAI2017!L47+TONT20000JUIN2017!L47+TONT20000JUIL2017!L47+TONT20000AOUT2017!L47+TONT20000SEPT2017!L47+TONT20000OCT2017!L47+TONT20000NOV2017!L47</f>
        <v>9000</v>
      </c>
      <c r="M47" s="7">
        <f>TONT20000DEC2016!O47+TONT20000JANV2017!M47+TONT20000FEV2017!M47+TONT20000MARS2017!M47+TONT20000AVRIL2017!M47+TONT20000MAI2017!M47+TONT20000JUIN2017!M47+TONT20000JUIL2017!M47+TONT20000AOUT2017!M47+TONT20000SEPT2017!M47+TONT20000OCT2017!M47+TONT20000NOV2017!M47</f>
        <v>22500</v>
      </c>
      <c r="N47" s="7">
        <f>TONT20000DEC2016!P47+TONT20000JANV2017!N47+TONT20000FEV2017!N47+TONT20000MARS2017!N47+TONT20000AVRIL2017!N47+TONT20000MAI2017!N47+TONT20000JUIN2017!N47+TONT20000JUIL2017!N47+TONT20000AOUT2017!N47+TONT20000SEPT2017!N47+TONT20000OCT2017!N47+TONT20000NOV2017!N47+TRAVAUXINVENTAIRE!O47</f>
        <v>50000</v>
      </c>
      <c r="O47" s="7">
        <f>TONT20000DEC2016!Q47+TONT20000JANV2017!O47+TONT20000FEV2017!O47+TONT20000MARS2017!O47+TONT20000AVRIL2017!O47+TONT20000MAI2017!O47+TONT20000JUIN2017!O47+TONT20000JUIL2017!O47+TONT20000AOUT2017!O47+TONT20000SEPT2017!O47+TONT20000OCT2017!O47+TONT20000NOV2017!O47</f>
        <v>700000</v>
      </c>
      <c r="P47" s="7">
        <f>TONT20000DEC2016!R47+TONT20000JANV2017!P47+TONT20000FEV2017!P47+TONT20000MARS2017!P47+TONT20000AVRIL2017!P47+TONT20000MAI2017!P47+TONT20000JUIN2017!P47+TONT20000JUIL2017!P47+TONT20000AOUT2017!P47+TONT20000SEPT2017!P47+TONT20000OCT2017!P47+TONT20000NOV2017!P47</f>
        <v>84000</v>
      </c>
      <c r="Q47" s="7">
        <f>TONT20000DEC2016!S47+TONT20000JANV2017!Q47+TONT20000FEV2017!Q47+TONT20000MARS2017!Q47+TONT20000AVRIL2017!Q47+TONT20000MAI2017!Q47+TONT20000JUIN2017!Q47+TONT20000JUIL2017!Q47+TONT20000AOUT2017!Q47+TONT20000SEPT2017!Q47+TONT20000OCT2017!Q47+TONT20000NOV2017!Q47</f>
        <v>772500</v>
      </c>
      <c r="R47" s="7">
        <f>TONT20000DEC2016!T47+TONT20000JANV2017!R47+TONT20000FEV2017!R47+TONT20000MARS2017!R47+TONT20000AVRIL2017!R47+TONT20000MAI2017!R47+TONT20000JUIN2017!R47+TONT20000JUIL2017!R47+TONT20000AOUT2017!R47+TONT20000SEPT2017!R47+TONT20000OCT2017!R47+TONT20000NOV2017!R47</f>
        <v>0</v>
      </c>
      <c r="S47" s="7">
        <f>TONT20000DEC2016!U47+TONT20000JANV2017!S47+TONT20000FEV2017!S47+TONT20000MARS2017!S47+TONT20000AVRIL2017!S47+TONT20000MAI2017!S47+TONT20000JUIN2017!S47+TONT20000JUIL2017!S47+TONT20000AOUT2017!S47+TONT20000SEPT2017!S47+TONT20000OCT2017!S47+TONT20000NOV2017!S47</f>
        <v>0</v>
      </c>
      <c r="T47" s="7">
        <f>TONT20000DEC2016!V47+TONT20000JANV2017!T47+TONT20000FEV2017!T47+TONT20000MARS2017!T47+TONT20000AVRIL2017!T47+TONT20000MAI2017!T47+TONT20000JUIN2017!T47+TONT20000JUIL2017!T47+TONT20000AOUT2017!T47+TONT20000SEPT2017!T47+TONT20000OCT2017!T47+TONT20000NOV2017!T47</f>
        <v>0</v>
      </c>
      <c r="U47" s="44">
        <v>42634</v>
      </c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TONT20000DEC2016!E48+TONT20000JANV2017!C48+TONT20000FEV2017!C48+TONT20000MARS2017!C48+TONT20000AVRIL2017!C48+TONT20000MAI2017!C48+TONT20000JUIN2017!C48+TONT20000JUIL2017!C48+TONT20000AOUT2017!C48+TONT20000SEPT2017!C48+TONT20000OCT2017!C48+TONT20000NOV2017!C48</f>
        <v>1092.3385671927244</v>
      </c>
      <c r="D48" s="6">
        <f>TONT20000OCT2017!C48+TONT20000OCT2017!D48+TONT20000ANNUELLEBACKUP!J48</f>
        <v>49092.338567192724</v>
      </c>
      <c r="E48" s="6"/>
      <c r="F48" s="7">
        <f t="shared" si="0"/>
        <v>0</v>
      </c>
      <c r="G48" s="7">
        <f t="shared" si="1"/>
        <v>0</v>
      </c>
      <c r="H48" s="43" t="s">
        <v>216</v>
      </c>
      <c r="I48" s="7">
        <f>TONT20000DEC2016!K48+TONT20000JANV2017!I48+TONT20000FEV2017!I48+TONT20000MARS2017!I48+TONT20000AVRIL2017!I48+TONT20000MAI2017!I48+TONT20000JUIN2017!I48+TONT20000JUIL2017!I48+TONT20000AOUT2017!I48+TONT20000SEPT2017!I48+TONT20000OCT2017!I48+TONT20000NOV2017!I48</f>
        <v>160000</v>
      </c>
      <c r="J48" s="7">
        <f>TONT20000DEC2016!L48+TONT20000JANV2017!J48+TONT20000FEV2017!J48+TONT20000MARS2017!J48+TONT20000AVRIL2017!J48+TONT20000MAI2017!J48+TONT20000JUIN2017!J48+TONT20000JUIL2017!J48+TONT20000AOUT2017!J48+TONT20000SEPT2017!J48+TONT20000OCT2017!J48+TONT20000NOV2017!J48</f>
        <v>24000</v>
      </c>
      <c r="K48" s="7">
        <f>TONT20000DEC2016!M48+TONT20000JANV2017!K48+TONT20000FEV2017!K48+TONT20000MARS2017!K48+TONT20000AVRIL2017!K48+TONT20000MAI2017!K48+TONT20000JUIN2017!K48+TONT20000JUIL2017!K48+TONT20000AOUT2017!K48+TONT20000SEPT2017!K48+TONT20000OCT2017!K48+TONT20000NOV2017!K48</f>
        <v>4000</v>
      </c>
      <c r="L48" s="7">
        <f>TONT20000DEC2016!N48+TONT20000JANV2017!L48+TONT20000FEV2017!L48+TONT20000MARS2017!L48+TONT20000AVRIL2017!L48+TONT20000MAI2017!L48+TONT20000JUIN2017!L48+TONT20000JUIL2017!L48+TONT20000AOUT2017!L48+TONT20000SEPT2017!L48+TONT20000OCT2017!L48+TONT20000NOV2017!L48</f>
        <v>8000</v>
      </c>
      <c r="M48" s="7">
        <f>TONT20000DEC2016!O48+TONT20000JANV2017!M48+TONT20000FEV2017!M48+TONT20000MARS2017!M48+TONT20000AVRIL2017!M48+TONT20000MAI2017!M48+TONT20000JUIN2017!M48+TONT20000JUIL2017!M48+TONT20000AOUT2017!M48+TONT20000SEPT2017!M48+TONT20000OCT2017!M48+TONT20000NOV2017!M48</f>
        <v>20000</v>
      </c>
      <c r="N48" s="7">
        <f>TONT20000DEC2016!P48+TONT20000JANV2017!N48+TONT20000FEV2017!N48+TONT20000MARS2017!N48+TONT20000AVRIL2017!N48+TONT20000MAI2017!N48+TONT20000JUIN2017!N48+TONT20000JUIL2017!N48+TONT20000AOUT2017!N48+TONT20000SEPT2017!N48+TONT20000OCT2017!N48+TONT20000NOV2017!N48+TRAVAUXINVENTAIRE!O48</f>
        <v>0</v>
      </c>
      <c r="O48" s="7">
        <f>TONT20000DEC2016!Q48+TONT20000JANV2017!O48+TONT20000FEV2017!O48+TONT20000MARS2017!O48+TONT20000AVRIL2017!O48+TONT20000MAI2017!O48+TONT20000JUIN2017!O48+TONT20000JUIL2017!O48+TONT20000AOUT2017!O48+TONT20000SEPT2017!O48+TONT20000OCT2017!O48+TONT20000NOV2017!O48</f>
        <v>0</v>
      </c>
      <c r="P48" s="7">
        <f>TONT20000DEC2016!R48+TONT20000JANV2017!P48+TONT20000FEV2017!P48+TONT20000MARS2017!P48+TONT20000AVRIL2017!P48+TONT20000MAI2017!P48+TONT20000JUIN2017!P48+TONT20000JUIL2017!P48+TONT20000AOUT2017!P48+TONT20000SEPT2017!P48+TONT20000OCT2017!P48+TONT20000NOV2017!P48</f>
        <v>0</v>
      </c>
      <c r="Q48" s="7">
        <f>TONT20000DEC2016!S48+TONT20000JANV2017!Q48+TONT20000FEV2017!Q48+TONT20000MARS2017!Q48+TONT20000AVRIL2017!Q48+TONT20000MAI2017!Q48+TONT20000JUIN2017!Q48+TONT20000JUIL2017!Q48+TONT20000AOUT2017!Q48+TONT20000SEPT2017!Q48+TONT20000OCT2017!Q48+TONT20000NOV2017!Q48</f>
        <v>0</v>
      </c>
      <c r="R48" s="7">
        <f>TONT20000DEC2016!T48+TONT20000JANV2017!R48+TONT20000FEV2017!R48+TONT20000MARS2017!R48+TONT20000AVRIL2017!R48+TONT20000MAI2017!R48+TONT20000JUIN2017!R48+TONT20000JUIL2017!R48+TONT20000AOUT2017!R48+TONT20000SEPT2017!R48+TONT20000OCT2017!R48+TONT20000NOV2017!R48</f>
        <v>0</v>
      </c>
      <c r="S48" s="7">
        <f>TONT20000DEC2016!U48+TONT20000JANV2017!S48+TONT20000FEV2017!S48+TONT20000MARS2017!S48+TONT20000AVRIL2017!S48+TONT20000MAI2017!S48+TONT20000JUIN2017!S48+TONT20000JUIL2017!S48+TONT20000AOUT2017!S48+TONT20000SEPT2017!S48+TONT20000OCT2017!S48+TONT20000NOV2017!S48</f>
        <v>0</v>
      </c>
      <c r="T48" s="7">
        <f>TONT20000DEC2016!V48+TONT20000JANV2017!T48+TONT20000FEV2017!T48+TONT20000MARS2017!T48+TONT20000AVRIL2017!T48+TONT20000MAI2017!T48+TONT20000JUIN2017!T48+TONT20000JUIL2017!T48+TONT20000AOUT2017!T48+TONT20000SEPT2017!T48+TONT20000OCT2017!T48+TONT20000NOV2017!T48</f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TONT20000DEC2016!E49+TONT20000JANV2017!C49+TONT20000FEV2017!C49+TONT20000MARS2017!C49+TONT20000AVRIL2017!C49+TONT20000MAI2017!C49+TONT20000JUIN2017!C49+TONT20000JUIL2017!C49+TONT20000AOUT2017!C49+TONT20000SEPT2017!C49+TONT20000OCT2017!C49+TONT20000NOV2017!C49</f>
        <v>31612.565694385827</v>
      </c>
      <c r="D49" s="6">
        <f>TONT20000OCT2017!C49+TONT20000OCT2017!D49+TONT20000ANNUELLEBACKUP!J49</f>
        <v>576205.56569438591</v>
      </c>
      <c r="E49" s="6"/>
      <c r="F49" s="7">
        <f t="shared" si="0"/>
        <v>0</v>
      </c>
      <c r="G49" s="7">
        <f t="shared" si="1"/>
        <v>0</v>
      </c>
      <c r="H49" s="43" t="s">
        <v>216</v>
      </c>
      <c r="I49" s="7">
        <f>TONT20000DEC2016!K49+TONT20000JANV2017!I49+TONT20000FEV2017!I49+TONT20000MARS2017!I49+TONT20000AVRIL2017!I49+TONT20000MAI2017!I49+TONT20000JUIN2017!I49+TONT20000JUIL2017!I49+TONT20000AOUT2017!I49+TONT20000SEPT2017!I49+TONT20000OCT2017!I49+TONT20000NOV2017!I49</f>
        <v>201000</v>
      </c>
      <c r="J49" s="7">
        <f>TONT20000DEC2016!L49+TONT20000JANV2017!J49+TONT20000FEV2017!J49+TONT20000MARS2017!J49+TONT20000AVRIL2017!J49+TONT20000MAI2017!J49+TONT20000JUIN2017!J49+TONT20000JUIL2017!J49+TONT20000AOUT2017!J49+TONT20000SEPT2017!J49+TONT20000OCT2017!J49+TONT20000NOV2017!J49</f>
        <v>61000</v>
      </c>
      <c r="K49" s="7">
        <f>TONT20000DEC2016!M49+TONT20000JANV2017!K49+TONT20000FEV2017!K49+TONT20000MARS2017!K49+TONT20000AVRIL2017!K49+TONT20000MAI2017!K49+TONT20000JUIN2017!K49+TONT20000JUIL2017!K49+TONT20000AOUT2017!K49+TONT20000SEPT2017!K49+TONT20000OCT2017!K49+TONT20000NOV2017!K49</f>
        <v>4500</v>
      </c>
      <c r="L49" s="7">
        <f>TONT20000DEC2016!N49+TONT20000JANV2017!L49+TONT20000FEV2017!L49+TONT20000MARS2017!L49+TONT20000AVRIL2017!L49+TONT20000MAI2017!L49+TONT20000JUIN2017!L49+TONT20000JUIL2017!L49+TONT20000AOUT2017!L49+TONT20000SEPT2017!L49+TONT20000OCT2017!L49+TONT20000NOV2017!L49</f>
        <v>9000</v>
      </c>
      <c r="M49" s="7">
        <f>TONT20000DEC2016!O49+TONT20000JANV2017!M49+TONT20000FEV2017!M49+TONT20000MARS2017!M49+TONT20000AVRIL2017!M49+TONT20000MAI2017!M49+TONT20000JUIN2017!M49+TONT20000JUIL2017!M49+TONT20000AOUT2017!M49+TONT20000SEPT2017!M49+TONT20000OCT2017!M49+TONT20000NOV2017!M49</f>
        <v>22500</v>
      </c>
      <c r="N49" s="7">
        <f>TONT20000DEC2016!P49+TONT20000JANV2017!N49+TONT20000FEV2017!N49+TONT20000MARS2017!N49+TONT20000AVRIL2017!N49+TONT20000MAI2017!N49+TONT20000JUIN2017!N49+TONT20000JUIL2017!N49+TONT20000AOUT2017!N49+TONT20000SEPT2017!N49+TONT20000OCT2017!N49+TONT20000NOV2017!N49+TRAVAUXINVENTAIRE!O49</f>
        <v>50000</v>
      </c>
      <c r="O49" s="7">
        <f>TONT20000DEC2016!Q49+TONT20000JANV2017!O49+TONT20000FEV2017!O49+TONT20000MARS2017!O49+TONT20000AVRIL2017!O49+TONT20000MAI2017!O49+TONT20000JUIN2017!O49+TONT20000JUIL2017!O49+TONT20000AOUT2017!O49+TONT20000SEPT2017!O49+TONT20000OCT2017!O49+TONT20000NOV2017!O49</f>
        <v>1000000</v>
      </c>
      <c r="P49" s="7">
        <f>TONT20000DEC2016!R49+TONT20000JANV2017!P49+TONT20000FEV2017!P49+TONT20000MARS2017!P49+TONT20000AVRIL2017!P49+TONT20000MAI2017!P49+TONT20000JUIN2017!P49+TONT20000JUIL2017!P49+TONT20000AOUT2017!P49+TONT20000SEPT2017!P49+TONT20000OCT2017!P49+TONT20000NOV2017!P49</f>
        <v>120000</v>
      </c>
      <c r="Q49" s="7">
        <f>TONT20000DEC2016!S49+TONT20000JANV2017!Q49+TONT20000FEV2017!Q49+TONT20000MARS2017!Q49+TONT20000AVRIL2017!Q49+TONT20000MAI2017!Q49+TONT20000JUIN2017!Q49+TONT20000JUIL2017!Q49+TONT20000AOUT2017!Q49+TONT20000SEPT2017!Q49+TONT20000OCT2017!Q49+TONT20000NOV2017!Q49</f>
        <v>1176000</v>
      </c>
      <c r="R49" s="7">
        <f>TONT20000DEC2016!T49+TONT20000JANV2017!R49+TONT20000FEV2017!R49+TONT20000MARS2017!R49+TONT20000AVRIL2017!R49+TONT20000MAI2017!R49+TONT20000JUIN2017!R49+TONT20000JUIL2017!R49+TONT20000AOUT2017!R49+TONT20000SEPT2017!R49+TONT20000OCT2017!R49+TONT20000NOV2017!R49</f>
        <v>0</v>
      </c>
      <c r="S49" s="7">
        <f>TONT20000DEC2016!U49+TONT20000JANV2017!S49+TONT20000FEV2017!S49+TONT20000MARS2017!S49+TONT20000AVRIL2017!S49+TONT20000MAI2017!S49+TONT20000JUIN2017!S49+TONT20000JUIL2017!S49+TONT20000AOUT2017!S49+TONT20000SEPT2017!S49+TONT20000OCT2017!S49+TONT20000NOV2017!S49</f>
        <v>0</v>
      </c>
      <c r="T49" s="7">
        <f>TONT20000DEC2016!V49+TONT20000JANV2017!T49+TONT20000FEV2017!T49+TONT20000MARS2017!T49+TONT20000AVRIL2017!T49+TONT20000MAI2017!T49+TONT20000JUIN2017!T49+TONT20000JUIL2017!T49+TONT20000AOUT2017!T49+TONT20000SEPT2017!T49+TONT20000OCT2017!T49+TONT20000NOV2017!T49</f>
        <v>0</v>
      </c>
      <c r="U49" s="44">
        <v>42659</v>
      </c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TONT20000DEC2016!E50+TONT20000JANV2017!C50+TONT20000FEV2017!C50+TONT20000MARS2017!C50+TONT20000AVRIL2017!C50+TONT20000MAI2017!C50+TONT20000JUIN2017!C50+TONT20000JUIL2017!C50+TONT20000AOUT2017!C50+TONT20000SEPT2017!C50+TONT20000OCT2017!C50+TONT20000NOV2017!C50</f>
        <v>29936.638264361482</v>
      </c>
      <c r="D50" s="6">
        <f>TONT20000OCT2017!C50+TONT20000OCT2017!D50+TONT20000ANNUELLEBACKUP!J50</f>
        <v>494439.63826436154</v>
      </c>
      <c r="E50" s="6"/>
      <c r="F50" s="7">
        <f>IF(H50="ECHEC",0,13000)</f>
        <v>0</v>
      </c>
      <c r="G50" s="7">
        <f t="shared" si="1"/>
        <v>0</v>
      </c>
      <c r="H50" s="43" t="s">
        <v>216</v>
      </c>
      <c r="I50" s="7">
        <f>TONT20000DEC2016!K50+TONT20000JANV2017!I50+TONT20000FEV2017!I50+TONT20000MARS2017!I50+TONT20000AVRIL2017!I50+TONT20000MAI2017!I50+TONT20000JUIN2017!I50+TONT20000JUIL2017!I50+TONT20000AOUT2017!I50+TONT20000SEPT2017!I50+TONT20000OCT2017!I50+TONT20000NOV2017!I50</f>
        <v>140000</v>
      </c>
      <c r="J50" s="7">
        <f>TONT20000DEC2016!L50+TONT20000JANV2017!J50+TONT20000FEV2017!J50+TONT20000MARS2017!J50+TONT20000AVRIL2017!J50+TONT20000MAI2017!J50+TONT20000JUIN2017!J50+TONT20000JUIL2017!J50+TONT20000AOUT2017!J50+TONT20000SEPT2017!J50+TONT20000OCT2017!J50+TONT20000NOV2017!J50</f>
        <v>21000</v>
      </c>
      <c r="K50" s="7">
        <f>TONT20000DEC2016!M50+TONT20000JANV2017!K50+TONT20000FEV2017!K50+TONT20000MARS2017!K50+TONT20000AVRIL2017!K50+TONT20000MAI2017!K50+TONT20000JUIN2017!K50+TONT20000JUIL2017!K50+TONT20000AOUT2017!K50+TONT20000SEPT2017!K50+TONT20000OCT2017!K50+TONT20000NOV2017!K50</f>
        <v>3500</v>
      </c>
      <c r="L50" s="7">
        <f>TONT20000DEC2016!N50+TONT20000JANV2017!L50+TONT20000FEV2017!L50+TONT20000MARS2017!L50+TONT20000AVRIL2017!L50+TONT20000MAI2017!L50+TONT20000JUIN2017!L50+TONT20000JUIL2017!L50+TONT20000AOUT2017!L50+TONT20000SEPT2017!L50+TONT20000OCT2017!L50+TONT20000NOV2017!L50</f>
        <v>7000</v>
      </c>
      <c r="M50" s="7">
        <f>TONT20000DEC2016!O50+TONT20000JANV2017!M50+TONT20000FEV2017!M50+TONT20000MARS2017!M50+TONT20000AVRIL2017!M50+TONT20000MAI2017!M50+TONT20000JUIN2017!M50+TONT20000JUIL2017!M50+TONT20000AOUT2017!M50+TONT20000SEPT2017!M50+TONT20000OCT2017!M50+TONT20000NOV2017!M50</f>
        <v>17500</v>
      </c>
      <c r="N50" s="7">
        <f>TONT20000DEC2016!P50+TONT20000JANV2017!N50+TONT20000FEV2017!N50+TONT20000MARS2017!N50+TONT20000AVRIL2017!N50+TONT20000MAI2017!N50+TONT20000JUIN2017!N50+TONT20000JUIL2017!N50+TONT20000AOUT2017!N50+TONT20000SEPT2017!N50+TONT20000OCT2017!N50+TONT20000NOV2017!N50+TRAVAUXINVENTAIRE!O50</f>
        <v>50000</v>
      </c>
      <c r="O50" s="7">
        <f>TONT20000DEC2016!Q50+TONT20000JANV2017!O50+TONT20000FEV2017!O50+TONT20000MARS2017!O50+TONT20000AVRIL2017!O50+TONT20000MAI2017!O50+TONT20000JUIN2017!O50+TONT20000JUIL2017!O50+TONT20000AOUT2017!O50+TONT20000SEPT2017!O50+TONT20000OCT2017!O50+TONT20000NOV2017!O50</f>
        <v>1000000</v>
      </c>
      <c r="P50" s="7">
        <f>TONT20000DEC2016!R50+TONT20000JANV2017!P50+TONT20000FEV2017!P50+TONT20000MARS2017!P50+TONT20000AVRIL2017!P50+TONT20000MAI2017!P50+TONT20000JUIN2017!P50+TONT20000JUIL2017!P50+TONT20000AOUT2017!P50+TONT20000SEPT2017!P50+TONT20000OCT2017!P50+TONT20000NOV2017!P50</f>
        <v>120000</v>
      </c>
      <c r="Q50" s="7">
        <f>TONT20000DEC2016!S50+TONT20000JANV2017!Q50+TONT20000FEV2017!Q50+TONT20000MARS2017!Q50+TONT20000AVRIL2017!Q50+TONT20000MAI2017!Q50+TONT20000JUIN2017!Q50+TONT20000JUIL2017!Q50+TONT20000AOUT2017!Q50+TONT20000SEPT2017!Q50+TONT20000OCT2017!Q50+TONT20000NOV2017!Q50</f>
        <v>0</v>
      </c>
      <c r="R50" s="7">
        <f>TONT20000DEC2016!T50+TONT20000JANV2017!R50+TONT20000FEV2017!R50+TONT20000MARS2017!R50+TONT20000AVRIL2017!R50+TONT20000MAI2017!R50+TONT20000JUIN2017!R50+TONT20000JUIL2017!R50+TONT20000AOUT2017!R50+TONT20000SEPT2017!R50+TONT20000OCT2017!R50+TONT20000NOV2017!R50</f>
        <v>0</v>
      </c>
      <c r="S50" s="7">
        <f>TONT20000DEC2016!U50+TONT20000JANV2017!S50+TONT20000FEV2017!S50+TONT20000MARS2017!S50+TONT20000AVRIL2017!S50+TONT20000MAI2017!S50+TONT20000JUIN2017!S50+TONT20000JUIL2017!S50+TONT20000AOUT2017!S50+TONT20000SEPT2017!S50+TONT20000OCT2017!S50+TONT20000NOV2017!S50</f>
        <v>0</v>
      </c>
      <c r="T50" s="7">
        <f>TONT20000DEC2016!V50+TONT20000JANV2017!T50+TONT20000FEV2017!T50+TONT20000MARS2017!T50+TONT20000AVRIL2017!T50+TONT20000MAI2017!T50+TONT20000JUIN2017!T50+TONT20000JUIL2017!T50+TONT20000AOUT2017!T50+TONT20000SEPT2017!T50+TONT20000OCT2017!T50+TONT20000NOV2017!T50</f>
        <v>0</v>
      </c>
      <c r="U50" s="44">
        <v>42750</v>
      </c>
      <c r="V50" s="1" t="s">
        <v>240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>TONT20000DEC2016!E51+TONT20000JANV2017!C51+TONT20000FEV2017!C51+TONT20000MARS2017!C51+TONT20000AVRIL2017!C51+TONT20000MAI2017!C51+TONT20000JUIN2017!C51+TONT20000JUIL2017!C51+TONT20000AOUT2017!C51+TONT20000SEPT2017!C51+TONT20000OCT2017!C51+TONT20000NOV2017!C51</f>
        <v>56664.519040889929</v>
      </c>
      <c r="D51" s="6">
        <f>TONT20000OCT2017!C51+TONT20000OCT2017!D51+TONT20000ANNUELLEBACKUP!J51</f>
        <v>924646.51904088992</v>
      </c>
      <c r="E51" s="6"/>
      <c r="F51" s="7">
        <f t="shared" si="0"/>
        <v>0</v>
      </c>
      <c r="G51" s="7">
        <f t="shared" si="1"/>
        <v>0</v>
      </c>
      <c r="H51" s="43" t="s">
        <v>216</v>
      </c>
      <c r="I51" s="7">
        <f>TONT20000DEC2016!K51+TONT20000JANV2017!I51+TONT20000FEV2017!I51+TONT20000MARS2017!I51+TONT20000AVRIL2017!I51+TONT20000MAI2017!I51+TONT20000JUIN2017!I51+TONT20000JUIL2017!I51+TONT20000AOUT2017!I51+TONT20000SEPT2017!I51+TONT20000OCT2017!I51+TONT20000NOV2017!I51</f>
        <v>167000</v>
      </c>
      <c r="J51" s="7">
        <f>TONT20000DEC2016!L51+TONT20000JANV2017!J51+TONT20000FEV2017!J51+TONT20000MARS2017!J51+TONT20000AVRIL2017!J51+TONT20000MAI2017!J51+TONT20000JUIN2017!J51+TONT20000JUIL2017!J51+TONT20000AOUT2017!J51+TONT20000SEPT2017!J51+TONT20000OCT2017!J51+TONT20000NOV2017!J51</f>
        <v>27000</v>
      </c>
      <c r="K51" s="7">
        <f>TONT20000DEC2016!M51+TONT20000JANV2017!K51+TONT20000FEV2017!K51+TONT20000MARS2017!K51+TONT20000AVRIL2017!K51+TONT20000MAI2017!K51+TONT20000JUIN2017!K51+TONT20000JUIL2017!K51+TONT20000AOUT2017!K51+TONT20000SEPT2017!K51+TONT20000OCT2017!K51+TONT20000NOV2017!K51</f>
        <v>4500</v>
      </c>
      <c r="L51" s="7">
        <f>TONT20000DEC2016!N51+TONT20000JANV2017!L51+TONT20000FEV2017!L51+TONT20000MARS2017!L51+TONT20000AVRIL2017!L51+TONT20000MAI2017!L51+TONT20000JUIN2017!L51+TONT20000JUIL2017!L51+TONT20000AOUT2017!L51+TONT20000SEPT2017!L51+TONT20000OCT2017!L51+TONT20000NOV2017!L51</f>
        <v>9000</v>
      </c>
      <c r="M51" s="7">
        <f>TONT20000DEC2016!O51+TONT20000JANV2017!M51+TONT20000FEV2017!M51+TONT20000MARS2017!M51+TONT20000AVRIL2017!M51+TONT20000MAI2017!M51+TONT20000JUIN2017!M51+TONT20000JUIL2017!M51+TONT20000AOUT2017!M51+TONT20000SEPT2017!M51+TONT20000OCT2017!M51+TONT20000NOV2017!M51</f>
        <v>22500</v>
      </c>
      <c r="N51" s="7">
        <f>TONT20000DEC2016!P51+TONT20000JANV2017!N51+TONT20000FEV2017!N51+TONT20000MARS2017!N51+TONT20000AVRIL2017!N51+TONT20000MAI2017!N51+TONT20000JUIN2017!N51+TONT20000JUIL2017!N51+TONT20000AOUT2017!N51+TONT20000SEPT2017!N51+TONT20000OCT2017!N51+TONT20000NOV2017!N51+TRAVAUXINVENTAIRE!O51</f>
        <v>50000</v>
      </c>
      <c r="O51" s="7">
        <f>TONT20000DEC2016!Q51+TONT20000JANV2017!O51+TONT20000FEV2017!O51+TONT20000MARS2017!O51+TONT20000AVRIL2017!O51+TONT20000MAI2017!O51+TONT20000JUIN2017!O51+TONT20000JUIL2017!O51+TONT20000AOUT2017!O51+TONT20000SEPT2017!O51+TONT20000OCT2017!O51+TONT20000NOV2017!O51</f>
        <v>0</v>
      </c>
      <c r="P51" s="7">
        <f>TONT20000DEC2016!R51+TONT20000JANV2017!P51+TONT20000FEV2017!P51+TONT20000MARS2017!P51+TONT20000AVRIL2017!P51+TONT20000MAI2017!P51+TONT20000JUIN2017!P51+TONT20000JUIL2017!P51+TONT20000AOUT2017!P51+TONT20000SEPT2017!P51+TONT20000OCT2017!P51+TONT20000NOV2017!P51</f>
        <v>0</v>
      </c>
      <c r="Q51" s="7">
        <f>TONT20000DEC2016!S51+TONT20000JANV2017!Q51+TONT20000FEV2017!Q51+TONT20000MARS2017!Q51+TONT20000AVRIL2017!Q51+TONT20000MAI2017!Q51+TONT20000JUIN2017!Q51+TONT20000JUIL2017!Q51+TONT20000AOUT2017!Q51+TONT20000SEPT2017!Q51+TONT20000OCT2017!Q51+TONT20000NOV2017!Q51</f>
        <v>0</v>
      </c>
      <c r="R51" s="7">
        <f>TONT20000DEC2016!T51+TONT20000JANV2017!R51+TONT20000FEV2017!R51+TONT20000MARS2017!R51+TONT20000AVRIL2017!R51+TONT20000MAI2017!R51+TONT20000JUIN2017!R51+TONT20000JUIL2017!R51+TONT20000AOUT2017!R51+TONT20000SEPT2017!R51+TONT20000OCT2017!R51+TONT20000NOV2017!R51</f>
        <v>0</v>
      </c>
      <c r="S51" s="7">
        <f>TONT20000DEC2016!U51+TONT20000JANV2017!S51+TONT20000FEV2017!S51+TONT20000MARS2017!S51+TONT20000AVRIL2017!S51+TONT20000MAI2017!S51+TONT20000JUIN2017!S51+TONT20000JUIL2017!S51+TONT20000AOUT2017!S51+TONT20000SEPT2017!S51+TONT20000OCT2017!S51+TONT20000NOV2017!S51</f>
        <v>0</v>
      </c>
      <c r="T51" s="7">
        <f>TONT20000DEC2016!V51+TONT20000JANV2017!T51+TONT20000FEV2017!T51+TONT20000MARS2017!T51+TONT20000AVRIL2017!T51+TONT20000MAI2017!T51+TONT20000JUIN2017!T51+TONT20000JUIL2017!T51+TONT20000AOUT2017!T51+TONT20000SEPT2017!T51+TONT20000OCT2017!T51+TONT20000NOV2017!T51</f>
        <v>10000</v>
      </c>
      <c r="U51" s="44">
        <v>42476</v>
      </c>
      <c r="V51" s="1"/>
    </row>
    <row r="52" spans="1:22" x14ac:dyDescent="0.25">
      <c r="A52" s="1" t="s">
        <v>177</v>
      </c>
      <c r="B52" s="1" t="str">
        <f>VLOOKUP(A52,LISTADHERENT!A$5:H$51,2)</f>
        <v>YOUMBI EMMANUEL</v>
      </c>
      <c r="C52" s="6">
        <f>TONT20000DEC2016!E52+TONT20000JANV2017!C52+TONT20000FEV2017!C52+TONT20000MARS2017!C52+TONT20000AVRIL2017!C52+TONT20000MAI2017!C52+TONT20000JUIN2017!C52+TONT20000JUIL2017!C52+TONT20000AOUT2017!C52+TONT20000SEPT2017!C52+TONT20000OCT2017!C52+TONT20000NOV2017!C52</f>
        <v>103624.77341999976</v>
      </c>
      <c r="D52" s="6">
        <f>TONT20000OCT2017!C52+TONT20000OCT2017!D52+TONT20000ANNUELLEBACKUP!J52</f>
        <v>1861252.7734199998</v>
      </c>
      <c r="E52" s="6"/>
      <c r="F52" s="7">
        <f t="shared" si="0"/>
        <v>0</v>
      </c>
      <c r="G52" s="7">
        <f t="shared" si="1"/>
        <v>0</v>
      </c>
      <c r="H52" s="43" t="s">
        <v>216</v>
      </c>
      <c r="I52" s="7">
        <f>TONT20000DEC2016!K52+TONT20000JANV2017!I52+TONT20000FEV2017!I52+TONT20000MARS2017!I52+TONT20000AVRIL2017!I52+TONT20000MAI2017!I52+TONT20000JUIN2017!I52+TONT20000JUIL2017!I52+TONT20000AOUT2017!I52+TONT20000SEPT2017!I52+TONT20000OCT2017!I52+TONT20000NOV2017!I52</f>
        <v>367000</v>
      </c>
      <c r="J52" s="7">
        <f>TONT20000DEC2016!L52+TONT20000JANV2017!J52+TONT20000FEV2017!J52+TONT20000MARS2017!J52+TONT20000AVRIL2017!J52+TONT20000MAI2017!J52+TONT20000JUIN2017!J52+TONT20000JUIL2017!J52+TONT20000AOUT2017!J52+TONT20000SEPT2017!J52+TONT20000OCT2017!J52+TONT20000NOV2017!J52</f>
        <v>227000</v>
      </c>
      <c r="K52" s="7">
        <f>TONT20000DEC2016!M52+TONT20000JANV2017!K52+TONT20000FEV2017!K52+TONT20000MARS2017!K52+TONT20000AVRIL2017!K52+TONT20000MAI2017!K52+TONT20000JUIN2017!K52+TONT20000JUIL2017!K52+TONT20000AOUT2017!K52+TONT20000SEPT2017!K52+TONT20000OCT2017!K52+TONT20000NOV2017!K52</f>
        <v>4500</v>
      </c>
      <c r="L52" s="7">
        <f>TONT20000DEC2016!N52+TONT20000JANV2017!L52+TONT20000FEV2017!L52+TONT20000MARS2017!L52+TONT20000AVRIL2017!L52+TONT20000MAI2017!L52+TONT20000JUIN2017!L52+TONT20000JUIL2017!L52+TONT20000AOUT2017!L52+TONT20000SEPT2017!L52+TONT20000OCT2017!L52+TONT20000NOV2017!L52</f>
        <v>9000</v>
      </c>
      <c r="M52" s="7">
        <f>TONT20000DEC2016!O52+TONT20000JANV2017!M52+TONT20000FEV2017!M52+TONT20000MARS2017!M52+TONT20000AVRIL2017!M52+TONT20000MAI2017!M52+TONT20000JUIN2017!M52+TONT20000JUIL2017!M52+TONT20000AOUT2017!M52+TONT20000SEPT2017!M52+TONT20000OCT2017!M52+TONT20000NOV2017!M52</f>
        <v>22500</v>
      </c>
      <c r="N52" s="7">
        <f>TONT20000DEC2016!P52+TONT20000JANV2017!N52+TONT20000FEV2017!N52+TONT20000MARS2017!N52+TONT20000AVRIL2017!N52+TONT20000MAI2017!N52+TONT20000JUIN2017!N52+TONT20000JUIL2017!N52+TONT20000AOUT2017!N52+TONT20000SEPT2017!N52+TONT20000OCT2017!N52+TONT20000NOV2017!N52+TRAVAUXINVENTAIRE!O52</f>
        <v>50000</v>
      </c>
      <c r="O52" s="7">
        <f>TONT20000DEC2016!Q52+TONT20000JANV2017!O52+TONT20000FEV2017!O52+TONT20000MARS2017!O52+TONT20000AVRIL2017!O52+TONT20000MAI2017!O52+TONT20000JUIN2017!O52+TONT20000JUIL2017!O52+TONT20000AOUT2017!O52+TONT20000SEPT2017!O52+TONT20000OCT2017!O52+TONT20000NOV2017!O52</f>
        <v>0</v>
      </c>
      <c r="P52" s="7">
        <f>TONT20000DEC2016!R52+TONT20000JANV2017!P52+TONT20000FEV2017!P52+TONT20000MARS2017!P52+TONT20000AVRIL2017!P52+TONT20000MAI2017!P52+TONT20000JUIN2017!P52+TONT20000JUIL2017!P52+TONT20000AOUT2017!P52+TONT20000SEPT2017!P52+TONT20000OCT2017!P52+TONT20000NOV2017!P52</f>
        <v>0</v>
      </c>
      <c r="Q52" s="7">
        <f>TONT20000DEC2016!S52+TONT20000JANV2017!Q52+TONT20000FEV2017!Q52+TONT20000MARS2017!Q52+TONT20000AVRIL2017!Q52+TONT20000MAI2017!Q52+TONT20000JUIN2017!Q52+TONT20000JUIL2017!Q52+TONT20000AOUT2017!Q52+TONT20000SEPT2017!Q52+TONT20000OCT2017!Q52+TONT20000NOV2017!Q52</f>
        <v>0</v>
      </c>
      <c r="R52" s="7">
        <f>TONT20000DEC2016!T52+TONT20000JANV2017!R52+TONT20000FEV2017!R52+TONT20000MARS2017!R52+TONT20000AVRIL2017!R52+TONT20000MAI2017!R52+TONT20000JUIN2017!R52+TONT20000JUIL2017!R52+TONT20000AOUT2017!R52+TONT20000SEPT2017!R52+TONT20000OCT2017!R52+TONT20000NOV2017!R52</f>
        <v>0</v>
      </c>
      <c r="S52" s="7">
        <f>TONT20000DEC2016!U52+TONT20000JANV2017!S52+TONT20000FEV2017!S52+TONT20000MARS2017!S52+TONT20000AVRIL2017!S52+TONT20000MAI2017!S52+TONT20000JUIN2017!S52+TONT20000JUIL2017!S52+TONT20000AOUT2017!S52+TONT20000SEPT2017!S52+TONT20000OCT2017!S52+TONT20000NOV2017!S52</f>
        <v>0</v>
      </c>
      <c r="T52" s="7">
        <f>TONT20000DEC2016!V52+TONT20000JANV2017!T52+TONT20000FEV2017!T52+TONT20000MARS2017!T52+TONT20000AVRIL2017!T52+TONT20000MAI2017!T52+TONT20000JUIN2017!T52+TONT20000JUIL2017!T52+TONT20000AOUT2017!T52+TONT20000SEPT2017!T52+TONT20000OCT2017!T52+TONT20000NOV2017!T52</f>
        <v>10000</v>
      </c>
      <c r="U52" s="44">
        <v>42511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1507500.0000000002</v>
      </c>
      <c r="D56" s="9">
        <f>SUM(D5:D52)</f>
        <v>28606512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2">SUM(I5:I52)</f>
        <v>9552497</v>
      </c>
      <c r="J56" s="9">
        <f t="shared" si="2"/>
        <v>3769693</v>
      </c>
      <c r="K56" s="9">
        <f t="shared" si="2"/>
        <v>197000</v>
      </c>
      <c r="L56" s="9">
        <f t="shared" si="2"/>
        <v>409000</v>
      </c>
      <c r="M56" s="9" t="e">
        <f t="shared" si="2"/>
        <v>#REF!</v>
      </c>
      <c r="N56" s="9">
        <f t="shared" si="2"/>
        <v>2009927</v>
      </c>
      <c r="O56" s="9">
        <f t="shared" si="2"/>
        <v>13650000</v>
      </c>
      <c r="P56" s="9">
        <f t="shared" si="2"/>
        <v>1507500</v>
      </c>
      <c r="Q56" s="9">
        <f t="shared" si="2"/>
        <v>10797200</v>
      </c>
      <c r="R56" s="9">
        <f t="shared" si="2"/>
        <v>0</v>
      </c>
      <c r="S56" s="9">
        <f t="shared" si="2"/>
        <v>0</v>
      </c>
      <c r="T56" s="9">
        <f t="shared" si="2"/>
        <v>178000</v>
      </c>
    </row>
    <row r="60" spans="1:22" ht="18" x14ac:dyDescent="0.25">
      <c r="D60" s="9" t="s">
        <v>58</v>
      </c>
      <c r="E60" s="9">
        <f>+K56</f>
        <v>197000</v>
      </c>
    </row>
    <row r="61" spans="1:22" ht="18" x14ac:dyDescent="0.25">
      <c r="D61" s="9" t="s">
        <v>57</v>
      </c>
      <c r="E61" s="9">
        <f>+J56</f>
        <v>3769693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224</v>
      </c>
      <c r="E63" s="9">
        <f>+L56</f>
        <v>409000</v>
      </c>
    </row>
    <row r="64" spans="1:22" ht="18" x14ac:dyDescent="0.25">
      <c r="D64" s="9" t="s">
        <v>60</v>
      </c>
      <c r="E64" s="9" t="e">
        <f>+M56</f>
        <v>#REF!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 t="e">
        <f>SUM(E60:E66)</f>
        <v>#REF!</v>
      </c>
    </row>
    <row r="70" spans="4:7" ht="18" x14ac:dyDescent="0.25">
      <c r="D70" s="9" t="s">
        <v>225</v>
      </c>
    </row>
    <row r="71" spans="4:7" ht="18" x14ac:dyDescent="0.25">
      <c r="E71" s="9" t="s">
        <v>223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217</v>
      </c>
      <c r="F72" s="9">
        <f>SUMIFS(I6:I52,H6:H52,"BANQUE")</f>
        <v>0</v>
      </c>
      <c r="G72" s="9">
        <f>SUMIFS(F6:F52,H6:H52,"BANQUE")</f>
        <v>0</v>
      </c>
    </row>
  </sheetData>
  <autoFilter ref="A4:V52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H58" sqref="H58"/>
    </sheetView>
  </sheetViews>
  <sheetFormatPr baseColWidth="10" defaultRowHeight="15" x14ac:dyDescent="0.25"/>
  <cols>
    <col min="1" max="1" width="12.42578125" customWidth="1"/>
    <col min="2" max="2" width="26.28515625" customWidth="1"/>
    <col min="3" max="3" width="14.5703125" customWidth="1"/>
    <col min="4" max="4" width="14.7109375" customWidth="1"/>
    <col min="5" max="5" width="13.7109375" customWidth="1"/>
    <col min="6" max="6" width="12.7109375" customWidth="1"/>
    <col min="7" max="7" width="9.85546875" customWidth="1"/>
    <col min="8" max="8" width="13.28515625" customWidth="1"/>
    <col min="9" max="9" width="9.85546875" customWidth="1"/>
    <col min="10" max="11" width="14.85546875" customWidth="1"/>
    <col min="12" max="12" width="13" style="79" customWidth="1"/>
  </cols>
  <sheetData>
    <row r="1" spans="1:13" x14ac:dyDescent="0.25">
      <c r="A1" s="1" t="s">
        <v>258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77"/>
    </row>
    <row r="2" spans="1:13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77"/>
    </row>
    <row r="3" spans="1:13" ht="15.75" thickBot="1" x14ac:dyDescent="0.3">
      <c r="A3" s="1" t="s">
        <v>257</v>
      </c>
      <c r="B3" s="1"/>
      <c r="C3" s="1"/>
      <c r="D3" s="1"/>
      <c r="E3" s="1"/>
      <c r="F3" s="1"/>
      <c r="G3" s="1"/>
      <c r="H3" s="1"/>
      <c r="I3" s="1"/>
      <c r="J3" s="1"/>
      <c r="K3" s="1"/>
      <c r="L3" s="77"/>
    </row>
    <row r="4" spans="1:13" ht="45.75" customHeight="1" thickTop="1" x14ac:dyDescent="0.25">
      <c r="A4" s="63" t="s">
        <v>6</v>
      </c>
      <c r="B4" s="64" t="s">
        <v>7</v>
      </c>
      <c r="C4" s="65" t="s">
        <v>186</v>
      </c>
      <c r="D4" s="65" t="s">
        <v>221</v>
      </c>
      <c r="E4" s="74" t="s">
        <v>57</v>
      </c>
      <c r="F4" s="65" t="s">
        <v>61</v>
      </c>
      <c r="G4" s="74" t="s">
        <v>182</v>
      </c>
      <c r="H4" s="74" t="s">
        <v>263</v>
      </c>
      <c r="I4" s="74" t="s">
        <v>264</v>
      </c>
      <c r="J4" s="75" t="s">
        <v>244</v>
      </c>
      <c r="K4" s="82" t="s">
        <v>261</v>
      </c>
      <c r="L4" s="86" t="s">
        <v>259</v>
      </c>
      <c r="M4" s="78" t="s">
        <v>262</v>
      </c>
    </row>
    <row r="5" spans="1:13" x14ac:dyDescent="0.25">
      <c r="A5" s="66" t="s">
        <v>183</v>
      </c>
      <c r="B5" s="67" t="str">
        <f>VLOOKUP(A5,LISTADHERENT!A$5:H$52,2,0)</f>
        <v>ASELBY</v>
      </c>
      <c r="C5" s="68">
        <f>FONDSDECAISSE!O5</f>
        <v>0</v>
      </c>
      <c r="D5" s="68">
        <f>TONT20000DEC2016!D5</f>
        <v>355097</v>
      </c>
      <c r="E5" s="68">
        <f>TONT20000ANNUELLE!J5</f>
        <v>0</v>
      </c>
      <c r="F5" s="68">
        <f>TONT20000ANNUELLE!N5</f>
        <v>0</v>
      </c>
      <c r="G5" s="69"/>
      <c r="H5" s="68">
        <f>TONT20000ANNUELLE!C5</f>
        <v>24242.945817566724</v>
      </c>
      <c r="I5" s="69"/>
      <c r="J5" s="70"/>
      <c r="K5" s="83"/>
      <c r="L5" s="80"/>
      <c r="M5" s="84"/>
    </row>
    <row r="6" spans="1:13" x14ac:dyDescent="0.25">
      <c r="A6" s="66" t="s">
        <v>11</v>
      </c>
      <c r="B6" s="67" t="str">
        <f>VLOOKUP(A6,LISTADHERENT!A$5:H$52,2,0)</f>
        <v>BAKOP ACHILLE</v>
      </c>
      <c r="C6" s="68">
        <f>FONDSDECAISSE!O6</f>
        <v>420000</v>
      </c>
      <c r="D6" s="68">
        <f>TONT20000DEC2016!D6</f>
        <v>51993</v>
      </c>
      <c r="E6" s="68">
        <f>TONT20000ANNUELLE!J6</f>
        <v>5000</v>
      </c>
      <c r="F6" s="68">
        <f>TONT20000ANNUELLE!N6</f>
        <v>0</v>
      </c>
      <c r="G6" s="69"/>
      <c r="H6" s="68">
        <f>TONT20000ANNUELLE!C6</f>
        <v>32224.497730462026</v>
      </c>
      <c r="I6" s="69"/>
      <c r="J6" s="70">
        <f>[3]EMPRUNT!$AP6</f>
        <v>560000</v>
      </c>
      <c r="K6" s="83">
        <f>[3]EMPRUNT!$AR6</f>
        <v>60000</v>
      </c>
      <c r="L6" s="80">
        <f>[3]EMPRUNT!$AQ6</f>
        <v>42948</v>
      </c>
      <c r="M6" s="85" t="str">
        <f>[3]EMPRUNT!$AS6</f>
        <v>ECHEC</v>
      </c>
    </row>
    <row r="7" spans="1:13" x14ac:dyDescent="0.25">
      <c r="A7" s="66" t="s">
        <v>12</v>
      </c>
      <c r="B7" s="67" t="str">
        <f>VLOOKUP(A7,LISTADHERENT!A$5:H$51,2)</f>
        <v>BOUTCHOUANG WILLIAM</v>
      </c>
      <c r="C7" s="68">
        <f>FONDSDECAISSE!O7</f>
        <v>420000</v>
      </c>
      <c r="D7" s="68">
        <f>TONT20000DEC2016!D7</f>
        <v>2720</v>
      </c>
      <c r="E7" s="68">
        <f>TONT20000ANNUELLE!J7</f>
        <v>24500</v>
      </c>
      <c r="F7" s="68">
        <f>TONT20000ANNUELLE!N7</f>
        <v>0</v>
      </c>
      <c r="G7" s="69"/>
      <c r="H7" s="68">
        <f>TONT20000ANNUELLE!C7</f>
        <v>29952.087397890016</v>
      </c>
      <c r="I7" s="69"/>
      <c r="J7" s="70">
        <f>[3]EMPRUNT!$AP7</f>
        <v>784000</v>
      </c>
      <c r="K7" s="83">
        <f>[3]EMPRUNT!$AR7</f>
        <v>63000</v>
      </c>
      <c r="L7" s="80">
        <f>[3]EMPRUNT!$AQ7</f>
        <v>43040</v>
      </c>
      <c r="M7" s="84"/>
    </row>
    <row r="8" spans="1:13" x14ac:dyDescent="0.25">
      <c r="A8" s="66" t="s">
        <v>13</v>
      </c>
      <c r="B8" s="67" t="str">
        <f>VLOOKUP(A8,LISTADHERENT!A$5:H$51,2)</f>
        <v>CHINGUE FABRICE</v>
      </c>
      <c r="C8" s="68">
        <f>FONDSDECAISSE!O8</f>
        <v>420000</v>
      </c>
      <c r="D8" s="68">
        <f>TONT20000DEC2016!D8</f>
        <v>5874</v>
      </c>
      <c r="E8" s="68">
        <f>TONT20000ANNUELLE!J8</f>
        <v>24500</v>
      </c>
      <c r="F8" s="68">
        <f>TONT20000ANNUELLE!N8</f>
        <v>0</v>
      </c>
      <c r="G8" s="69"/>
      <c r="H8" s="68">
        <f>TONT20000ANNUELLE!C8</f>
        <v>30167.415184688009</v>
      </c>
      <c r="I8" s="69"/>
      <c r="J8" s="70">
        <f>[3]EMPRUNT!$AP8</f>
        <v>1120000</v>
      </c>
      <c r="K8" s="83">
        <f>[3]EMPRUNT!$AR8</f>
        <v>140000</v>
      </c>
      <c r="L8" s="80">
        <f>[3]EMPRUNT!$AQ8</f>
        <v>42887</v>
      </c>
      <c r="M8" s="85" t="str">
        <f>[3]EMPRUNT!$AS8</f>
        <v>ECHEC</v>
      </c>
    </row>
    <row r="9" spans="1:13" x14ac:dyDescent="0.25">
      <c r="A9" s="66" t="s">
        <v>14</v>
      </c>
      <c r="B9" s="67" t="str">
        <f>VLOOKUP(A9,LISTADHERENT!A$5:H$51,2)</f>
        <v xml:space="preserve">DJOMO JEAN PAUL </v>
      </c>
      <c r="C9" s="68">
        <f>FONDSDECAISSE!O9</f>
        <v>420000</v>
      </c>
      <c r="D9" s="68">
        <f>TONT20000DEC2016!D9</f>
        <v>2570</v>
      </c>
      <c r="E9" s="68">
        <f>TONT20000ANNUELLE!J9</f>
        <v>35000</v>
      </c>
      <c r="F9" s="68">
        <f>TONT20000ANNUELLE!N9</f>
        <v>0</v>
      </c>
      <c r="G9" s="69"/>
      <c r="H9" s="68">
        <f>TONT20000ANNUELLE!C9</f>
        <v>30416.082362378602</v>
      </c>
      <c r="I9" s="69"/>
      <c r="J9" s="70">
        <f>[3]EMPRUNT!$AP9</f>
        <v>1017000</v>
      </c>
      <c r="K9" s="83">
        <f>[3]EMPRUNT!$AR9</f>
        <v>70000</v>
      </c>
      <c r="L9" s="80">
        <f>[3]EMPRUNT!$AQ9</f>
        <v>43132</v>
      </c>
      <c r="M9" s="85"/>
    </row>
    <row r="10" spans="1:13" x14ac:dyDescent="0.25">
      <c r="A10" s="66" t="s">
        <v>15</v>
      </c>
      <c r="B10" s="67" t="str">
        <f>VLOOKUP(A10,LISTADHERENT!A$5:H$51,2)</f>
        <v>DJOUKWE NANGUEN GUY BLAISE</v>
      </c>
      <c r="C10" s="68">
        <f>FONDSDECAISSE!O10</f>
        <v>420000</v>
      </c>
      <c r="D10" s="68">
        <f>TONT20000DEC2016!D10</f>
        <v>2697</v>
      </c>
      <c r="E10" s="68">
        <f>TONT20000ANNUELLE!J10</f>
        <v>41500</v>
      </c>
      <c r="F10" s="68">
        <f>TONT20000ANNUELLE!N10</f>
        <v>0</v>
      </c>
      <c r="G10" s="69"/>
      <c r="H10" s="68">
        <f>TONT20000ANNUELLE!C10</f>
        <v>30540.319216501161</v>
      </c>
      <c r="I10" s="69"/>
      <c r="J10" s="70">
        <f>[3]EMPRUNT!$AP10</f>
        <v>140000</v>
      </c>
      <c r="K10" s="83">
        <f>[3]EMPRUNT!$AR10</f>
        <v>20000</v>
      </c>
      <c r="L10" s="80">
        <f>[3]EMPRUNT!$AQ10</f>
        <v>42767</v>
      </c>
      <c r="M10" s="85"/>
    </row>
    <row r="11" spans="1:13" x14ac:dyDescent="0.25">
      <c r="A11" s="66"/>
      <c r="B11" s="67"/>
      <c r="C11" s="68">
        <f>FONDSDECAISSE!O11</f>
        <v>0</v>
      </c>
      <c r="D11" s="68">
        <f>TONT20000DEC2016!D11</f>
        <v>0</v>
      </c>
      <c r="E11" s="68">
        <f>TONT20000ANNUELLE!J11</f>
        <v>0</v>
      </c>
      <c r="F11" s="68">
        <f>TONT20000ANNUELLE!N11</f>
        <v>0</v>
      </c>
      <c r="G11" s="69"/>
      <c r="H11" s="68">
        <f>TONT20000ANNUELLE!C11</f>
        <v>0</v>
      </c>
      <c r="I11" s="69"/>
    </row>
    <row r="12" spans="1:13" x14ac:dyDescent="0.25">
      <c r="A12" s="66" t="s">
        <v>17</v>
      </c>
      <c r="B12" s="67" t="str">
        <f>VLOOKUP(A12,LISTADHERENT!A$5:H$51,2)</f>
        <v>DJOUNKEP SAMUEL</v>
      </c>
      <c r="C12" s="68">
        <f>FONDSDECAISSE!O12</f>
        <v>420000</v>
      </c>
      <c r="D12" s="68">
        <f>TONT20000DEC2016!D12</f>
        <v>635540</v>
      </c>
      <c r="E12" s="68">
        <f>TONT20000ANNUELLE!J12</f>
        <v>24500</v>
      </c>
      <c r="F12" s="68">
        <f>TONT20000ANNUELLE!N12</f>
        <v>0</v>
      </c>
      <c r="G12" s="69"/>
      <c r="H12" s="68">
        <f>TONT20000ANNUELLE!C12</f>
        <v>73155.552851759159</v>
      </c>
      <c r="I12" s="69"/>
      <c r="J12" s="70">
        <f>[3]EMPRUNT!$AP11</f>
        <v>1120000</v>
      </c>
      <c r="K12" s="83">
        <f>[3]EMPRUNT!$AR11</f>
        <v>20000</v>
      </c>
      <c r="L12" s="80">
        <f>[3]EMPRUNT!$AQ11</f>
        <v>43252</v>
      </c>
      <c r="M12" s="85"/>
    </row>
    <row r="13" spans="1:13" x14ac:dyDescent="0.25">
      <c r="A13" s="66" t="s">
        <v>18</v>
      </c>
      <c r="B13" s="67" t="str">
        <f>VLOOKUP(A13,LISTADHERENT!A$5:H$51,2)</f>
        <v>DJUOMBESSY ANTOINE</v>
      </c>
      <c r="C13" s="68">
        <f>FONDSDECAISSE!O13</f>
        <v>420000</v>
      </c>
      <c r="D13" s="68">
        <f>TONT20000DEC2016!D13</f>
        <v>2746</v>
      </c>
      <c r="E13" s="68">
        <f>TONT20000ANNUELLE!J13</f>
        <v>24500</v>
      </c>
      <c r="F13" s="68">
        <f>TONT20000ANNUELLE!N13</f>
        <v>0</v>
      </c>
      <c r="G13" s="69"/>
      <c r="H13" s="68">
        <f>TONT20000ANNUELLE!C13</f>
        <v>29953.862452568756</v>
      </c>
      <c r="I13" s="69"/>
      <c r="J13" s="70">
        <f>[3]EMPRUNT!$AP12</f>
        <v>784000</v>
      </c>
      <c r="K13" s="83">
        <f>[3]EMPRUNT!$AR12</f>
        <v>14000</v>
      </c>
      <c r="L13" s="80">
        <f>[3]EMPRUNT!$AQ12</f>
        <v>43252</v>
      </c>
      <c r="M13" s="85"/>
    </row>
    <row r="14" spans="1:13" x14ac:dyDescent="0.25">
      <c r="A14" s="66" t="s">
        <v>19</v>
      </c>
      <c r="B14" s="67" t="str">
        <f>VLOOKUP(A14,LISTADHERENT!A$5:H$51,2)</f>
        <v>DONHOU DAVID</v>
      </c>
      <c r="C14" s="68">
        <f>FONDSDECAISSE!O14</f>
        <v>420000</v>
      </c>
      <c r="D14" s="68">
        <f>TONT20000DEC2016!D14</f>
        <v>53748</v>
      </c>
      <c r="E14" s="68">
        <f>TONT20000ANNUELLE!J14</f>
        <v>24500</v>
      </c>
      <c r="F14" s="68">
        <f>TONT20000ANNUELLE!N14</f>
        <v>0</v>
      </c>
      <c r="G14" s="69"/>
      <c r="H14" s="68">
        <f>TONT20000ANNUELLE!C14</f>
        <v>33435.837018919745</v>
      </c>
      <c r="I14" s="69"/>
      <c r="J14" s="70">
        <f>[3]EMPRUNT!$AP13</f>
        <v>0</v>
      </c>
      <c r="K14" s="83">
        <f>[3]EMPRUNT!$AR13</f>
        <v>0</v>
      </c>
      <c r="L14" s="80">
        <f>[3]EMPRUNT!$AQ13</f>
        <v>0</v>
      </c>
      <c r="M14" s="85"/>
    </row>
    <row r="15" spans="1:13" x14ac:dyDescent="0.25">
      <c r="A15" s="66" t="s">
        <v>20</v>
      </c>
      <c r="B15" s="67" t="str">
        <f>VLOOKUP(A15,LISTADHERENT!A$5:H$51,2)</f>
        <v>FOTSO THOMAS</v>
      </c>
      <c r="C15" s="68">
        <f>FONDSDECAISSE!O15</f>
        <v>420000</v>
      </c>
      <c r="D15" s="68">
        <f>TONT20000DEC2016!D15</f>
        <v>2522</v>
      </c>
      <c r="E15" s="68">
        <f>TONT20000ANNUELLE!J15</f>
        <v>24500</v>
      </c>
      <c r="F15" s="68">
        <f>TONT20000ANNUELLE!N15</f>
        <v>0</v>
      </c>
      <c r="G15" s="69"/>
      <c r="H15" s="68">
        <f>TONT20000ANNUELLE!C15</f>
        <v>29938.569673798065</v>
      </c>
      <c r="I15" s="69"/>
      <c r="J15" s="70">
        <f>[3]EMPRUNT!$AP14</f>
        <v>1120000</v>
      </c>
      <c r="K15" s="83">
        <f>[3]EMPRUNT!$AR14</f>
        <v>170000</v>
      </c>
      <c r="L15" s="80">
        <f>[3]EMPRUNT!$AQ14</f>
        <v>42826</v>
      </c>
      <c r="M15" s="85" t="str">
        <f>[3]EMPRUNT!$AS14</f>
        <v>ECHEC</v>
      </c>
    </row>
    <row r="16" spans="1:13" x14ac:dyDescent="0.25">
      <c r="A16" s="66" t="s">
        <v>21</v>
      </c>
      <c r="B16" s="67" t="str">
        <f>VLOOKUP(A16,LISTADHERENT!A$5:H$51,2)</f>
        <v>HENGUE PAUL OMER</v>
      </c>
      <c r="C16" s="68">
        <f>FONDSDECAISSE!O16</f>
        <v>420000</v>
      </c>
      <c r="D16" s="68">
        <f>TONT20000DEC2016!D16</f>
        <v>0</v>
      </c>
      <c r="E16" s="68">
        <f>TONT20000ANNUELLE!J16</f>
        <v>90500</v>
      </c>
      <c r="F16" s="68">
        <f>TONT20000ANNUELLE!N16</f>
        <v>0</v>
      </c>
      <c r="G16" s="69"/>
      <c r="H16" s="68">
        <f>TONT20000ANNUELLE!C16</f>
        <v>34272.297400609335</v>
      </c>
      <c r="I16" s="69"/>
      <c r="J16" s="70">
        <f>[3]EMPRUNT!$AP15</f>
        <v>0</v>
      </c>
      <c r="K16" s="83">
        <f>[3]EMPRUNT!$AR15</f>
        <v>0</v>
      </c>
      <c r="L16" s="80">
        <f>[3]EMPRUNT!$AQ15</f>
        <v>0</v>
      </c>
      <c r="M16" s="85"/>
    </row>
    <row r="17" spans="1:13" x14ac:dyDescent="0.25">
      <c r="A17" s="66" t="s">
        <v>22</v>
      </c>
      <c r="B17" s="67" t="str">
        <f>VLOOKUP(A17,LISTADHERENT!A$5:H$51,2)</f>
        <v>HODIEP JULES</v>
      </c>
      <c r="C17" s="68">
        <f>FONDSDECAISSE!O17</f>
        <v>50000</v>
      </c>
      <c r="D17" s="68">
        <f>TONT20000DEC2016!D17</f>
        <v>260</v>
      </c>
      <c r="E17" s="68">
        <f>TONT20000ANNUELLE!J17</f>
        <v>0</v>
      </c>
      <c r="F17" s="68">
        <f>TONT20000ANNUELLE!N17</f>
        <v>0</v>
      </c>
      <c r="G17" s="69"/>
      <c r="H17" s="68">
        <f>TONT20000ANNUELLE!C17</f>
        <v>3431.3172366730873</v>
      </c>
      <c r="I17" s="69"/>
      <c r="J17" s="70">
        <f>[3]EMPRUNT!$AP16</f>
        <v>0</v>
      </c>
      <c r="K17" s="83">
        <f>[3]EMPRUNT!$AR16</f>
        <v>0</v>
      </c>
      <c r="L17" s="80">
        <f>[3]EMPRUNT!$AQ16</f>
        <v>0</v>
      </c>
      <c r="M17" s="85"/>
    </row>
    <row r="18" spans="1:13" x14ac:dyDescent="0.25">
      <c r="A18" s="66" t="s">
        <v>23</v>
      </c>
      <c r="B18" s="67" t="str">
        <f>VLOOKUP(A18,LISTADHERENT!A$5:H$51,2)</f>
        <v>HOTCHO BENJAMIN</v>
      </c>
      <c r="C18" s="68">
        <f>FONDSDECAISSE!O18</f>
        <v>420000</v>
      </c>
      <c r="D18" s="68">
        <f>TONT20000DEC2016!D18</f>
        <v>112685</v>
      </c>
      <c r="E18" s="68">
        <f>TONT20000ANNUELLE!J18</f>
        <v>24500</v>
      </c>
      <c r="F18" s="68">
        <f>TONT20000ANNUELLE!N18</f>
        <v>0</v>
      </c>
      <c r="G18" s="69"/>
      <c r="H18" s="68">
        <f>TONT20000ANNUELLE!C18</f>
        <v>37459.544618955595</v>
      </c>
      <c r="I18" s="69"/>
      <c r="J18" s="70">
        <f>[3]EMPRUNT!$AP17</f>
        <v>784000</v>
      </c>
      <c r="K18" s="83">
        <f>[3]EMPRUNT!$AR17</f>
        <v>14000</v>
      </c>
      <c r="L18" s="80">
        <f>[3]EMPRUNT!$AQ17</f>
        <v>43252</v>
      </c>
      <c r="M18" s="85"/>
    </row>
    <row r="19" spans="1:13" x14ac:dyDescent="0.25">
      <c r="A19" s="66" t="s">
        <v>24</v>
      </c>
      <c r="B19" s="67" t="str">
        <f>VLOOKUP(A19,LISTADHERENT!A$5:H$51,2)</f>
        <v>KEPHE DAVID</v>
      </c>
      <c r="C19" s="68">
        <f>FONDSDECAISSE!O19</f>
        <v>100000</v>
      </c>
      <c r="D19" s="68">
        <f>TONT20000DEC2016!D19</f>
        <v>177</v>
      </c>
      <c r="E19" s="68">
        <f>TONT20000ANNUELLE!J19</f>
        <v>24000</v>
      </c>
      <c r="F19" s="68">
        <f>TONT20000ANNUELLE!N19</f>
        <v>0</v>
      </c>
      <c r="G19" s="69"/>
      <c r="H19" s="68">
        <f>TONT20000ANNUELLE!C19</f>
        <v>7931.5559730462846</v>
      </c>
      <c r="I19" s="69"/>
      <c r="J19" s="70">
        <f>[3]EMPRUNT!$AP18</f>
        <v>0</v>
      </c>
      <c r="K19" s="83">
        <f>[3]EMPRUNT!$AR18</f>
        <v>0</v>
      </c>
      <c r="L19" s="80">
        <f>[3]EMPRUNT!$AQ18</f>
        <v>0</v>
      </c>
      <c r="M19" s="85"/>
    </row>
    <row r="20" spans="1:13" x14ac:dyDescent="0.25">
      <c r="A20" s="66" t="s">
        <v>25</v>
      </c>
      <c r="B20" s="67" t="str">
        <f>VLOOKUP(A20,LISTADHERENT!A$5:H$51,2)</f>
        <v>KEPSEU FRANCIS</v>
      </c>
      <c r="C20" s="68">
        <f>FONDSDECAISSE!O20</f>
        <v>420000</v>
      </c>
      <c r="D20" s="68">
        <f>TONT20000DEC2016!D20</f>
        <v>705425</v>
      </c>
      <c r="E20" s="68">
        <f>TONT20000ANNUELLE!J20</f>
        <v>2048500</v>
      </c>
      <c r="F20" s="68">
        <f>TONT20000ANNUELLE!N20</f>
        <v>0</v>
      </c>
      <c r="G20" s="69"/>
      <c r="H20" s="68">
        <f>TONT20000ANNUELLE!C20</f>
        <v>164833.81689359609</v>
      </c>
      <c r="I20" s="69"/>
      <c r="J20" s="70">
        <f>[3]EMPRUNT!$AP19</f>
        <v>0</v>
      </c>
      <c r="K20" s="83">
        <f>[3]EMPRUNT!$AR19</f>
        <v>0</v>
      </c>
      <c r="L20" s="80">
        <f>[3]EMPRUNT!$AQ19</f>
        <v>0</v>
      </c>
      <c r="M20" s="85"/>
    </row>
    <row r="21" spans="1:13" x14ac:dyDescent="0.25">
      <c r="A21" s="66" t="s">
        <v>26</v>
      </c>
      <c r="B21" s="67" t="str">
        <f>VLOOKUP(A21,LISTADHERENT!A$5:H$51,2)</f>
        <v>KOUAMOU EMMANUEL</v>
      </c>
      <c r="C21" s="68">
        <f>FONDSDECAISSE!O21</f>
        <v>420000</v>
      </c>
      <c r="D21" s="68">
        <f>TONT20000DEC2016!D21</f>
        <v>2357</v>
      </c>
      <c r="E21" s="68">
        <f>TONT20000ANNUELLE!J21</f>
        <v>24500</v>
      </c>
      <c r="F21" s="68">
        <f>TONT20000ANNUELLE!N21</f>
        <v>0</v>
      </c>
      <c r="G21" s="69"/>
      <c r="H21" s="68">
        <f>TONT20000ANNUELLE!C21</f>
        <v>29927.304903721444</v>
      </c>
      <c r="I21" s="69"/>
      <c r="J21" s="70">
        <f>[3]EMPRUNT!$AP20</f>
        <v>950000</v>
      </c>
      <c r="K21" s="83">
        <f>[3]EMPRUNT!$AR20</f>
        <v>120000</v>
      </c>
      <c r="L21" s="80">
        <f>[3]EMPRUNT!$AQ20</f>
        <v>42917</v>
      </c>
      <c r="M21" s="85"/>
    </row>
    <row r="22" spans="1:13" x14ac:dyDescent="0.25">
      <c r="A22" s="66" t="s">
        <v>27</v>
      </c>
      <c r="B22" s="67" t="str">
        <f>VLOOKUP(A22,LISTADHERENT!A$5:H$51,2)</f>
        <v>KOUAMOU MOISE</v>
      </c>
      <c r="C22" s="68">
        <f>FONDSDECAISSE!O22</f>
        <v>420000</v>
      </c>
      <c r="D22" s="68">
        <f>TONT20000DEC2016!D22</f>
        <v>3048</v>
      </c>
      <c r="E22" s="68">
        <f>TONT20000ANNUELLE!J22</f>
        <v>43500</v>
      </c>
      <c r="F22" s="68">
        <f>TONT20000ANNUELLE!N22</f>
        <v>0</v>
      </c>
      <c r="G22" s="69"/>
      <c r="H22" s="68">
        <f>TONT20000ANNUELLE!C22</f>
        <v>30239.475057506435</v>
      </c>
      <c r="I22" s="69"/>
      <c r="J22" s="70">
        <f>[3]EMPRUNT!$AP21</f>
        <v>592000</v>
      </c>
      <c r="K22" s="83">
        <f>[3]EMPRUNT!$AR21</f>
        <v>25000</v>
      </c>
      <c r="L22" s="80">
        <f>[3]EMPRUNT!$AQ21</f>
        <v>43160</v>
      </c>
      <c r="M22" s="85"/>
    </row>
    <row r="23" spans="1:13" x14ac:dyDescent="0.25">
      <c r="A23" s="66" t="s">
        <v>28</v>
      </c>
      <c r="B23" s="67" t="str">
        <f>VLOOKUP(A23,LISTADHERENT!A$5:H$51,2)</f>
        <v>KOUAMO VICTOR PEGUY</v>
      </c>
      <c r="C23" s="68">
        <f>FONDSDECAISSE!O23</f>
        <v>420000</v>
      </c>
      <c r="D23" s="68">
        <f>TONT20000DEC2016!D23</f>
        <v>2686</v>
      </c>
      <c r="E23" s="68">
        <f>TONT20000ANNUELLE!J23</f>
        <v>24500</v>
      </c>
      <c r="F23" s="68">
        <f>TONT20000ANNUELLE!N23</f>
        <v>0</v>
      </c>
      <c r="G23" s="69"/>
      <c r="H23" s="68">
        <f>TONT20000ANNUELLE!C23</f>
        <v>29949.766172540891</v>
      </c>
      <c r="I23" s="69"/>
      <c r="J23" s="70">
        <f>[3]EMPRUNT!$AP22</f>
        <v>896000</v>
      </c>
      <c r="K23" s="83">
        <f>[3]EMPRUNT!$AR22</f>
        <v>72000</v>
      </c>
      <c r="L23" s="80">
        <f>[3]EMPRUNT!$AQ22</f>
        <v>43040</v>
      </c>
      <c r="M23" s="85"/>
    </row>
    <row r="24" spans="1:13" x14ac:dyDescent="0.25">
      <c r="A24" s="66" t="s">
        <v>29</v>
      </c>
      <c r="B24" s="67" t="str">
        <f>VLOOKUP(A24,LISTADHERENT!A$5:H$51,2)</f>
        <v>KOUATCHO MESSACK</v>
      </c>
      <c r="C24" s="68">
        <f>FONDSDECAISSE!O24</f>
        <v>420000</v>
      </c>
      <c r="D24" s="68">
        <f>TONT20000DEC2016!D24</f>
        <v>3818</v>
      </c>
      <c r="E24" s="68">
        <f>TONT20000ANNUELLE!J24</f>
        <v>24500</v>
      </c>
      <c r="F24" s="68">
        <f>TONT20000ANNUELLE!N24</f>
        <v>0</v>
      </c>
      <c r="G24" s="69"/>
      <c r="H24" s="68">
        <f>TONT20000ANNUELLE!C24</f>
        <v>30027.049322399904</v>
      </c>
      <c r="I24" s="69"/>
      <c r="J24" s="70">
        <f>[3]EMPRUNT!$AP23</f>
        <v>1120000</v>
      </c>
      <c r="K24" s="83">
        <f>[3]EMPRUNT!$AR23</f>
        <v>40000</v>
      </c>
      <c r="L24" s="80">
        <f>[3]EMPRUNT!$AQ23</f>
        <v>43191</v>
      </c>
      <c r="M24" s="85"/>
    </row>
    <row r="25" spans="1:13" x14ac:dyDescent="0.25">
      <c r="A25" s="66" t="s">
        <v>30</v>
      </c>
      <c r="B25" s="67" t="str">
        <f>VLOOKUP(A25,LISTADHERENT!A$5:H$51,2)</f>
        <v>LOWE JEAN</v>
      </c>
      <c r="C25" s="68">
        <f>FONDSDECAISSE!O25</f>
        <v>420000</v>
      </c>
      <c r="D25" s="68">
        <f>TONT20000DEC2016!D25</f>
        <v>2652</v>
      </c>
      <c r="E25" s="68">
        <f>TONT20000ANNUELLE!J25</f>
        <v>21500</v>
      </c>
      <c r="F25" s="68">
        <f>TONT20000ANNUELLE!N25</f>
        <v>0</v>
      </c>
      <c r="G25" s="69"/>
      <c r="H25" s="68">
        <f>TONT20000ANNUELLE!C25</f>
        <v>29894.814598648332</v>
      </c>
      <c r="I25" s="69"/>
      <c r="J25" s="70">
        <f>[3]EMPRUNT!$AP24</f>
        <v>161700</v>
      </c>
      <c r="K25" s="83">
        <f>[3]EMPRUNT!$AR24</f>
        <v>4600</v>
      </c>
      <c r="L25" s="80">
        <f>[3]EMPRUNT!$AQ24</f>
        <v>42979</v>
      </c>
      <c r="M25" s="85" t="str">
        <f>[3]EMPRUNT!$AS24</f>
        <v>ECHEC</v>
      </c>
    </row>
    <row r="26" spans="1:13" x14ac:dyDescent="0.25">
      <c r="A26" s="66" t="s">
        <v>31</v>
      </c>
      <c r="B26" s="67" t="str">
        <f>VLOOKUP(A26,LISTADHERENT!A$5:H$51,2)</f>
        <v>NANKAM APPOLINAIRE</v>
      </c>
      <c r="C26" s="68">
        <f>FONDSDECAISSE!O26</f>
        <v>420000</v>
      </c>
      <c r="D26" s="68">
        <f>TONT20000DEC2016!D26</f>
        <v>2741</v>
      </c>
      <c r="E26" s="68">
        <f>TONT20000ANNUELLE!J26</f>
        <v>24500</v>
      </c>
      <c r="F26" s="68">
        <f>TONT20000ANNUELLE!N26</f>
        <v>0</v>
      </c>
      <c r="G26" s="69"/>
      <c r="H26" s="68">
        <f>TONT20000ANNUELLE!C26</f>
        <v>29953.52109589977</v>
      </c>
      <c r="I26" s="69"/>
      <c r="J26" s="70">
        <f>[3]EMPRUNT!$AP25</f>
        <v>899000</v>
      </c>
      <c r="K26" s="83">
        <f>[3]EMPRUNT!$AR25</f>
        <v>140000</v>
      </c>
      <c r="L26" s="80">
        <f>[3]EMPRUNT!$AQ25</f>
        <v>42917</v>
      </c>
      <c r="M26" s="85" t="str">
        <f>[3]EMPRUNT!$AS25</f>
        <v>ECHEC</v>
      </c>
    </row>
    <row r="27" spans="1:13" x14ac:dyDescent="0.25">
      <c r="A27" s="66" t="s">
        <v>32</v>
      </c>
      <c r="B27" s="67" t="str">
        <f>VLOOKUP(A27,LISTADHERENT!A$5:H$51,2)</f>
        <v>NDJOMO ETIENNE</v>
      </c>
      <c r="C27" s="68">
        <f>FONDSDECAISSE!O27</f>
        <v>420000</v>
      </c>
      <c r="D27" s="68">
        <f>TONT20000DEC2016!D27</f>
        <v>2818</v>
      </c>
      <c r="E27" s="68">
        <f>TONT20000ANNUELLE!J27</f>
        <v>64500</v>
      </c>
      <c r="F27" s="68">
        <f>TONT20000ANNUELLE!N27</f>
        <v>0</v>
      </c>
      <c r="G27" s="69"/>
      <c r="H27" s="68">
        <f>TONT20000ANNUELLE!C27</f>
        <v>31779.342267256736</v>
      </c>
      <c r="I27" s="69"/>
      <c r="J27" s="70">
        <f>[3]EMPRUNT!$AP26</f>
        <v>672000</v>
      </c>
      <c r="K27" s="83">
        <f>[3]EMPRUNT!$AR26</f>
        <v>30000</v>
      </c>
      <c r="L27" s="80">
        <f>[3]EMPRUNT!$AQ26</f>
        <v>43160</v>
      </c>
      <c r="M27" s="85"/>
    </row>
    <row r="28" spans="1:13" x14ac:dyDescent="0.25">
      <c r="A28" s="71" t="s">
        <v>33</v>
      </c>
      <c r="B28" s="67" t="str">
        <f>VLOOKUP(A28,LISTADHERENT!A$5:H$51,2)</f>
        <v>NDOMBOU JEAN CLAUDE</v>
      </c>
      <c r="C28" s="68">
        <f>FONDSDECAISSE!O28</f>
        <v>420000</v>
      </c>
      <c r="D28" s="68">
        <f>TONT20000DEC2016!D28</f>
        <v>0</v>
      </c>
      <c r="E28" s="68">
        <f>TONT20000ANNUELLE!J28</f>
        <v>500</v>
      </c>
      <c r="F28" s="68">
        <f>TONT20000ANNUELLE!N28</f>
        <v>50000</v>
      </c>
      <c r="G28" s="69"/>
      <c r="H28" s="68">
        <f>TONT20000ANNUELLE!C28</f>
        <v>28674.05080276751</v>
      </c>
      <c r="I28" s="69"/>
      <c r="J28" s="70">
        <f>[3]EMPRUNT!$AP27</f>
        <v>0</v>
      </c>
      <c r="K28" s="83">
        <f>[3]EMPRUNT!$AR27</f>
        <v>0</v>
      </c>
      <c r="L28" s="80">
        <f>[3]EMPRUNT!$AQ27</f>
        <v>0</v>
      </c>
      <c r="M28" s="85"/>
    </row>
    <row r="29" spans="1:13" x14ac:dyDescent="0.25">
      <c r="A29" s="66" t="s">
        <v>34</v>
      </c>
      <c r="B29" s="67" t="str">
        <f>VLOOKUP(A29,LISTADHERENT!A$5:H$51,2)</f>
        <v>NGONDIEP CLAUDE</v>
      </c>
      <c r="C29" s="68">
        <f>FONDSDECAISSE!O29</f>
        <v>420000</v>
      </c>
      <c r="D29" s="68">
        <f>TONT20000DEC2016!D29</f>
        <v>3250</v>
      </c>
      <c r="E29" s="68">
        <f>TONT20000ANNUELLE!J29</f>
        <v>33500</v>
      </c>
      <c r="F29" s="68">
        <f>TONT20000ANNUELLE!N29</f>
        <v>0</v>
      </c>
      <c r="G29" s="69"/>
      <c r="H29" s="68">
        <f>TONT20000ANNUELLE!C29</f>
        <v>30597.187303970561</v>
      </c>
      <c r="I29" s="69"/>
      <c r="J29" s="70">
        <f>[3]EMPRUNT!$AP28</f>
        <v>1020000</v>
      </c>
      <c r="K29" s="83">
        <f>[3]EMPRUNT!$AR28</f>
        <v>20000</v>
      </c>
      <c r="L29" s="80">
        <f>[3]EMPRUNT!$AQ28</f>
        <v>43252</v>
      </c>
      <c r="M29" s="85"/>
    </row>
    <row r="30" spans="1:13" x14ac:dyDescent="0.25">
      <c r="A30" s="66" t="s">
        <v>35</v>
      </c>
      <c r="B30" s="67" t="str">
        <f>VLOOKUP(A30,LISTADHERENT!A$5:H$51,2)</f>
        <v>NGONGANG JEAN THEODORE</v>
      </c>
      <c r="C30" s="68">
        <f>FONDSDECAISSE!O30</f>
        <v>0</v>
      </c>
      <c r="D30" s="68">
        <f>TONT20000DEC2016!D30</f>
        <v>106</v>
      </c>
      <c r="E30" s="68">
        <f>TONT20000ANNUELLE!J30</f>
        <v>64193</v>
      </c>
      <c r="F30" s="68">
        <f>TONT20000ANNUELLE!N30</f>
        <v>29804</v>
      </c>
      <c r="G30" s="69"/>
      <c r="H30" s="68">
        <f>TONT20000ANNUELLE!C30</f>
        <v>2938.5829407423093</v>
      </c>
      <c r="I30" s="69"/>
      <c r="J30" s="70">
        <f>[3]EMPRUNT!$AP29</f>
        <v>0</v>
      </c>
      <c r="K30" s="83">
        <f>[3]EMPRUNT!$AR29</f>
        <v>0</v>
      </c>
      <c r="L30" s="80">
        <f>[3]EMPRUNT!$AQ29</f>
        <v>0</v>
      </c>
      <c r="M30" s="85"/>
    </row>
    <row r="31" spans="1:13" x14ac:dyDescent="0.25">
      <c r="A31" s="66" t="s">
        <v>36</v>
      </c>
      <c r="B31" s="67" t="str">
        <f>VLOOKUP(A31,LISTADHERENT!A$5:H$51,2)</f>
        <v>NGUIEMEGNI MATHIEU BLAISE</v>
      </c>
      <c r="C31" s="68">
        <f>FONDSDECAISSE!O31</f>
        <v>420000</v>
      </c>
      <c r="D31" s="68">
        <f>TONT20000DEC2016!D31</f>
        <v>40133</v>
      </c>
      <c r="E31" s="68">
        <f>TONT20000ANNUELLE!J31</f>
        <v>27000</v>
      </c>
      <c r="F31" s="68">
        <f>TONT20000ANNUELLE!N31</f>
        <v>0</v>
      </c>
      <c r="G31" s="69"/>
      <c r="H31" s="68">
        <f>TONT20000ANNUELLE!C31</f>
        <v>32506.775847902751</v>
      </c>
      <c r="I31" s="69"/>
      <c r="J31" s="70">
        <f>[3]EMPRUNT!$AP30</f>
        <v>0</v>
      </c>
      <c r="K31" s="83">
        <f>[3]EMPRUNT!$AR30</f>
        <v>0</v>
      </c>
      <c r="L31" s="80">
        <f>[3]EMPRUNT!$AQ30</f>
        <v>0</v>
      </c>
      <c r="M31" s="85"/>
    </row>
    <row r="32" spans="1:13" x14ac:dyDescent="0.25">
      <c r="A32" s="66" t="s">
        <v>37</v>
      </c>
      <c r="B32" s="67" t="str">
        <f>VLOOKUP(A32,LISTADHERENT!A$5:H$51,2)</f>
        <v>NJEPDJIO MBOUKAM DELUXE</v>
      </c>
      <c r="C32" s="68">
        <f>FONDSDECAISSE!O32</f>
        <v>420000</v>
      </c>
      <c r="D32" s="68">
        <f>TONT20000DEC2016!D32</f>
        <v>2773</v>
      </c>
      <c r="E32" s="68">
        <f>TONT20000ANNUELLE!J32</f>
        <v>32000</v>
      </c>
      <c r="F32" s="68">
        <f>TONT20000ANNUELLE!N32</f>
        <v>0</v>
      </c>
      <c r="G32" s="69"/>
      <c r="H32" s="68">
        <f>TONT20000ANNUELLE!C32</f>
        <v>30294.445538980035</v>
      </c>
      <c r="I32" s="69"/>
      <c r="J32" s="70">
        <f>[3]EMPRUNT!$AP31</f>
        <v>906000</v>
      </c>
      <c r="K32" s="83">
        <f>[3]EMPRUNT!$AR31</f>
        <v>24000</v>
      </c>
      <c r="L32" s="80">
        <f>[3]EMPRUNT!$AQ31</f>
        <v>43221</v>
      </c>
      <c r="M32" s="85"/>
    </row>
    <row r="33" spans="1:13" x14ac:dyDescent="0.25">
      <c r="A33" s="66" t="s">
        <v>38</v>
      </c>
      <c r="B33" s="67" t="str">
        <f>VLOOKUP(A33,LISTADHERENT!A$5:H$51,2)</f>
        <v>NKAMGANG JUSTIN DEJOLIE</v>
      </c>
      <c r="C33" s="68">
        <f>FONDSDECAISSE!O33</f>
        <v>420000</v>
      </c>
      <c r="D33" s="68">
        <f>TONT20000DEC2016!D33</f>
        <v>69808</v>
      </c>
      <c r="E33" s="68">
        <f>TONT20000ANNUELLE!J33</f>
        <v>56000</v>
      </c>
      <c r="F33" s="68">
        <f>TONT20000ANNUELLE!N33</f>
        <v>0</v>
      </c>
      <c r="G33" s="69"/>
      <c r="H33" s="68">
        <f>TONT20000ANNUELLE!C33</f>
        <v>35760.924580613239</v>
      </c>
      <c r="I33" s="69"/>
      <c r="J33" s="70">
        <f>[3]EMPRUNT!$AP32</f>
        <v>1120000</v>
      </c>
      <c r="K33" s="83">
        <f>[3]EMPRUNT!$AR32</f>
        <v>90000</v>
      </c>
      <c r="L33" s="80">
        <f>[3]EMPRUNT!$AQ32</f>
        <v>43040</v>
      </c>
      <c r="M33" s="85"/>
    </row>
    <row r="34" spans="1:13" s="11" customFormat="1" x14ac:dyDescent="0.25">
      <c r="A34" s="66" t="s">
        <v>39</v>
      </c>
      <c r="B34" s="67" t="str">
        <f>VLOOKUP(A34,LISTADHERENT!A$5:H$51,2)</f>
        <v>NKEPSEU DIEUDONNE</v>
      </c>
      <c r="C34" s="68">
        <f>FONDSDECAISSE!O34</f>
        <v>420000</v>
      </c>
      <c r="D34" s="68">
        <f>TONT20000DEC2016!D34</f>
        <v>2772</v>
      </c>
      <c r="E34" s="68">
        <f>TONT20000ANNUELLE!J34</f>
        <v>172000</v>
      </c>
      <c r="F34" s="68">
        <f>TONT20000ANNUELLE!N34</f>
        <v>0</v>
      </c>
      <c r="G34" s="69"/>
      <c r="H34" s="68">
        <f>TONT20000ANNUELLE!C34</f>
        <v>38604.694281590033</v>
      </c>
      <c r="I34" s="69"/>
      <c r="J34" s="70">
        <f>[3]EMPRUNT!$AP33</f>
        <v>472000</v>
      </c>
      <c r="K34" s="83">
        <f>[3]EMPRUNT!$AR33</f>
        <v>60000</v>
      </c>
      <c r="L34" s="80">
        <f>[3]EMPRUNT!$AQ33</f>
        <v>43009</v>
      </c>
      <c r="M34" s="85"/>
    </row>
    <row r="35" spans="1:13" s="11" customFormat="1" x14ac:dyDescent="0.25">
      <c r="A35" s="66"/>
      <c r="B35" s="67"/>
      <c r="C35" s="68">
        <f>FONDSDECAISSE!O35</f>
        <v>0</v>
      </c>
      <c r="D35" s="68">
        <f>TONT20000DEC2016!D35</f>
        <v>0</v>
      </c>
      <c r="E35" s="68">
        <f>TONT20000ANNUELLE!J35</f>
        <v>0</v>
      </c>
      <c r="F35" s="68">
        <f>TONT20000ANNUELLE!N35</f>
        <v>0</v>
      </c>
      <c r="G35" s="69"/>
      <c r="H35" s="68">
        <f>TONT20000ANNUELLE!C35</f>
        <v>0</v>
      </c>
      <c r="I35" s="69"/>
    </row>
    <row r="36" spans="1:13" x14ac:dyDescent="0.25">
      <c r="A36" s="66" t="s">
        <v>41</v>
      </c>
      <c r="B36" s="67" t="str">
        <f>VLOOKUP(A36,LISTADHERENT!A$5:H$51,2)</f>
        <v>NTEPDIE TUEMAC MZ</v>
      </c>
      <c r="C36" s="68">
        <f>FONDSDECAISSE!O36</f>
        <v>0</v>
      </c>
      <c r="D36" s="68">
        <f>TONT20000DEC2016!D36</f>
        <v>0</v>
      </c>
      <c r="E36" s="68">
        <f>TONT20000ANNUELLE!J36</f>
        <v>0</v>
      </c>
      <c r="F36" s="68">
        <f>TONT20000ANNUELLE!N36</f>
        <v>0</v>
      </c>
      <c r="G36" s="69"/>
      <c r="H36" s="68">
        <f>TONT20000ANNUELLE!C36</f>
        <v>0</v>
      </c>
      <c r="I36" s="69"/>
      <c r="J36" s="70">
        <f>[3]EMPRUNT!$AP34</f>
        <v>0</v>
      </c>
      <c r="K36" s="83">
        <f>[3]EMPRUNT!$AR34</f>
        <v>0</v>
      </c>
      <c r="L36" s="80">
        <f>[3]EMPRUNT!$AQ34</f>
        <v>0</v>
      </c>
      <c r="M36" s="85"/>
    </row>
    <row r="37" spans="1:13" x14ac:dyDescent="0.25">
      <c r="A37" s="66"/>
      <c r="B37" s="67"/>
      <c r="C37" s="68">
        <f>FONDSDECAISSE!O37</f>
        <v>0</v>
      </c>
      <c r="D37" s="68">
        <f>TONT20000DEC2016!D37</f>
        <v>0</v>
      </c>
      <c r="E37" s="68">
        <f>TONT20000ANNUELLE!J37</f>
        <v>0</v>
      </c>
      <c r="F37" s="68">
        <f>TONT20000ANNUELLE!N37</f>
        <v>0</v>
      </c>
      <c r="G37" s="69"/>
      <c r="H37" s="68">
        <f>TONT20000ANNUELLE!C37</f>
        <v>0</v>
      </c>
      <c r="I37" s="69"/>
      <c r="J37" s="70">
        <f>[3]EMPRUNT!$AP35</f>
        <v>0</v>
      </c>
      <c r="K37" s="83">
        <f>[3]EMPRUNT!$AR35</f>
        <v>0</v>
      </c>
      <c r="L37" s="80">
        <f>[3]EMPRUNT!$AQ35</f>
        <v>0</v>
      </c>
      <c r="M37" s="85"/>
    </row>
    <row r="38" spans="1:13" x14ac:dyDescent="0.25">
      <c r="A38" s="66" t="s">
        <v>43</v>
      </c>
      <c r="B38" s="67" t="str">
        <f>VLOOKUP(A38,LISTADHERENT!A$5:H$51,2)</f>
        <v>PATEGO NJOSSU GUSTAVE</v>
      </c>
      <c r="C38" s="68">
        <f>FONDSDECAISSE!O38</f>
        <v>420000</v>
      </c>
      <c r="D38" s="68">
        <f>TONT20000DEC2016!D38</f>
        <v>2474</v>
      </c>
      <c r="E38" s="68">
        <f>TONT20000ANNUELLE!J38</f>
        <v>27000</v>
      </c>
      <c r="F38" s="68">
        <f>TONT20000ANNUELLE!N38</f>
        <v>0</v>
      </c>
      <c r="G38" s="69"/>
      <c r="H38" s="68">
        <f>TONT20000ANNUELLE!C38</f>
        <v>29935.745688414652</v>
      </c>
      <c r="I38" s="69"/>
      <c r="J38" s="70">
        <f>[3]EMPRUNT!$AP35</f>
        <v>0</v>
      </c>
      <c r="K38" s="83">
        <f>[3]EMPRUNT!$AR35</f>
        <v>0</v>
      </c>
      <c r="L38" s="80">
        <f>[3]EMPRUNT!$AQ35</f>
        <v>0</v>
      </c>
      <c r="M38" s="85"/>
    </row>
    <row r="39" spans="1:13" x14ac:dyDescent="0.25">
      <c r="A39" s="66" t="s">
        <v>44</v>
      </c>
      <c r="B39" s="67" t="str">
        <f>VLOOKUP(A39,LISTADHERENT!A$5:H$51,2)</f>
        <v>SEUNOU RICHELOT</v>
      </c>
      <c r="C39" s="68">
        <f>FONDSDECAISSE!O39</f>
        <v>420000</v>
      </c>
      <c r="D39" s="68">
        <f>TONT20000DEC2016!D39</f>
        <v>6756</v>
      </c>
      <c r="E39" s="68">
        <f>TONT20000ANNUELLE!J39</f>
        <v>27000</v>
      </c>
      <c r="F39" s="68">
        <f>TONT20000ANNUELLE!N39</f>
        <v>0</v>
      </c>
      <c r="G39" s="69"/>
      <c r="H39" s="68">
        <f>TONT20000ANNUELLE!C39</f>
        <v>30228.083539736468</v>
      </c>
      <c r="I39" s="69"/>
      <c r="J39" s="70">
        <f>[3]EMPRUNT!$AP36</f>
        <v>1120000</v>
      </c>
      <c r="K39" s="83">
        <f>[3]EMPRUNT!$AR36</f>
        <v>100000</v>
      </c>
      <c r="L39" s="80">
        <f>[3]EMPRUNT!$AQ36</f>
        <v>43009</v>
      </c>
      <c r="M39" s="85"/>
    </row>
    <row r="40" spans="1:13" x14ac:dyDescent="0.25">
      <c r="A40" s="66" t="s">
        <v>45</v>
      </c>
      <c r="B40" s="67" t="str">
        <f>VLOOKUP(A40,LISTADHERENT!A$5:H$51,2)</f>
        <v>SIME ABEL</v>
      </c>
      <c r="C40" s="68">
        <f>FONDSDECAISSE!O40</f>
        <v>390000</v>
      </c>
      <c r="D40" s="68">
        <f>TONT20000DEC2016!D40</f>
        <v>488</v>
      </c>
      <c r="E40" s="68">
        <f>TONT20000ANNUELLE!J40</f>
        <v>24000</v>
      </c>
      <c r="F40" s="68">
        <f>TONT20000ANNUELLE!N40</f>
        <v>0</v>
      </c>
      <c r="G40" s="69"/>
      <c r="H40" s="68">
        <f>TONT20000ANNUELLE!C40</f>
        <v>27612.084422988453</v>
      </c>
      <c r="I40" s="69"/>
      <c r="J40" s="70">
        <f>[3]EMPRUNT!$AP37</f>
        <v>784000</v>
      </c>
      <c r="K40" s="83">
        <f>[3]EMPRUNT!$AR37</f>
        <v>21000</v>
      </c>
      <c r="L40" s="80">
        <f>[3]EMPRUNT!$AQ37</f>
        <v>43221</v>
      </c>
      <c r="M40" s="85"/>
    </row>
    <row r="41" spans="1:13" x14ac:dyDescent="0.25">
      <c r="A41" s="66" t="s">
        <v>46</v>
      </c>
      <c r="B41" s="67" t="str">
        <f>VLOOKUP(A41,LISTADHERENT!A$5:H$51,2)</f>
        <v>SIME FONGANG ERIC</v>
      </c>
      <c r="C41" s="68">
        <f>FONDSDECAISSE!O41</f>
        <v>420000</v>
      </c>
      <c r="D41" s="68">
        <f>TONT20000DEC2016!D41</f>
        <v>4914</v>
      </c>
      <c r="E41" s="68">
        <f>TONT20000ANNUELLE!J41</f>
        <v>27000</v>
      </c>
      <c r="F41" s="68">
        <f>TONT20000ANNUELLE!N41</f>
        <v>0</v>
      </c>
      <c r="G41" s="69"/>
      <c r="H41" s="68">
        <f>TONT20000ANNUELLE!C41</f>
        <v>30102.32774288108</v>
      </c>
      <c r="I41" s="69"/>
      <c r="J41" s="70">
        <f>[3]EMPRUNT!$AP38</f>
        <v>1160000</v>
      </c>
      <c r="K41" s="83">
        <f>[3]EMPRUNT!$AR38</f>
        <v>30000</v>
      </c>
      <c r="L41" s="80">
        <f>[3]EMPRUNT!$AQ38</f>
        <v>43221</v>
      </c>
      <c r="M41" s="85"/>
    </row>
    <row r="42" spans="1:13" x14ac:dyDescent="0.25">
      <c r="A42" s="66" t="s">
        <v>47</v>
      </c>
      <c r="B42" s="67" t="str">
        <f>VLOOKUP(A42,LISTADHERENT!A$5:H$51,2)</f>
        <v>SIME MATHIEU</v>
      </c>
      <c r="C42" s="68">
        <f>FONDSDECAISSE!O42</f>
        <v>420000</v>
      </c>
      <c r="D42" s="68">
        <f>TONT20000DEC2016!D42</f>
        <v>4528</v>
      </c>
      <c r="E42" s="68">
        <f>TONT20000ANNUELLE!J42</f>
        <v>27000</v>
      </c>
      <c r="F42" s="68">
        <f>TONT20000ANNUELLE!N42</f>
        <v>0</v>
      </c>
      <c r="G42" s="69"/>
      <c r="H42" s="68">
        <f>TONT20000ANNUELLE!C42</f>
        <v>30075.975008035162</v>
      </c>
      <c r="I42" s="69"/>
      <c r="J42" s="70">
        <f>[3]EMPRUNT!$AP39</f>
        <v>1058000</v>
      </c>
      <c r="K42" s="83">
        <f>[3]EMPRUNT!$AR39</f>
        <v>50000</v>
      </c>
      <c r="L42" s="80">
        <f>[3]EMPRUNT!$AQ39</f>
        <v>43160</v>
      </c>
      <c r="M42" s="85"/>
    </row>
    <row r="43" spans="1:13" x14ac:dyDescent="0.25">
      <c r="A43" s="66" t="s">
        <v>48</v>
      </c>
      <c r="B43" s="67" t="str">
        <f>VLOOKUP(A43,LISTADHERENT!A$5:H$51,2)</f>
        <v>SIME PIERRE</v>
      </c>
      <c r="C43" s="68">
        <f>FONDSDECAISSE!O43</f>
        <v>420000</v>
      </c>
      <c r="D43" s="68">
        <f>TONT20000DEC2016!D43</f>
        <v>105975</v>
      </c>
      <c r="E43" s="68">
        <f>TONT20000ANNUELLE!J43</f>
        <v>87000</v>
      </c>
      <c r="F43" s="68">
        <f>TONT20000ANNUELLE!N43</f>
        <v>0</v>
      </c>
      <c r="G43" s="69"/>
      <c r="H43" s="68">
        <f>TONT20000ANNUELLE!C43</f>
        <v>39810.747557934199</v>
      </c>
      <c r="I43" s="69"/>
      <c r="J43" s="70">
        <f>[3]EMPRUNT!$AP40</f>
        <v>182200</v>
      </c>
      <c r="K43" s="83">
        <f>[3]EMPRUNT!$AR40</f>
        <v>8000</v>
      </c>
      <c r="L43" s="80">
        <f>[3]EMPRUNT!$AQ40</f>
        <v>43252</v>
      </c>
      <c r="M43" s="85"/>
    </row>
    <row r="44" spans="1:13" x14ac:dyDescent="0.25">
      <c r="A44" s="66" t="s">
        <v>49</v>
      </c>
      <c r="B44" s="67" t="str">
        <f>VLOOKUP(A44,LISTADHERENT!A$5:H$51,2)</f>
        <v>TAGNE NANGUEN MARTIN</v>
      </c>
      <c r="C44" s="68">
        <f>FONDSDECAISSE!O44</f>
        <v>390000</v>
      </c>
      <c r="D44" s="68">
        <f>TONT20000DEC2016!D44</f>
        <v>1621</v>
      </c>
      <c r="E44" s="68">
        <f>TONT20000ANNUELLE!J44</f>
        <v>27000</v>
      </c>
      <c r="F44" s="68">
        <f>TONT20000ANNUELLE!N44</f>
        <v>0</v>
      </c>
      <c r="G44" s="69"/>
      <c r="H44" s="68">
        <f>TONT20000ANNUELLE!C44</f>
        <v>27829.370226753796</v>
      </c>
      <c r="I44" s="69"/>
      <c r="J44" s="70">
        <f>[3]EMPRUNT!$AP41</f>
        <v>0</v>
      </c>
      <c r="K44" s="83">
        <f>[3]EMPRUNT!$AR41</f>
        <v>0</v>
      </c>
      <c r="L44" s="80">
        <f>[3]EMPRUNT!$AQ41</f>
        <v>0</v>
      </c>
      <c r="M44" s="85"/>
    </row>
    <row r="45" spans="1:13" x14ac:dyDescent="0.25">
      <c r="A45" s="66" t="s">
        <v>50</v>
      </c>
      <c r="B45" s="67" t="str">
        <f>VLOOKUP(A45,LISTADHERENT!A$5:H$51,2)</f>
        <v>TCHOUAMOU JEAN PAUL</v>
      </c>
      <c r="C45" s="68">
        <f>FONDSDECAISSE!O45</f>
        <v>0</v>
      </c>
      <c r="D45" s="68">
        <f>TONT20000DEC2016!D45</f>
        <v>14843</v>
      </c>
      <c r="E45" s="68">
        <f>TONT20000ANNUELLE!J45</f>
        <v>24000</v>
      </c>
      <c r="F45" s="68">
        <f>TONT20000ANNUELLE!N45</f>
        <v>0</v>
      </c>
      <c r="G45" s="69"/>
      <c r="H45" s="68">
        <f>TONT20000ANNUELLE!C45</f>
        <v>2105.6899747521879</v>
      </c>
      <c r="I45" s="69"/>
      <c r="J45" s="70">
        <f>[3]EMPRUNT!$AP42</f>
        <v>0</v>
      </c>
      <c r="K45" s="83">
        <f>[3]EMPRUNT!$AR42</f>
        <v>0</v>
      </c>
      <c r="L45" s="80">
        <f>[3]EMPRUNT!$AQ42</f>
        <v>0</v>
      </c>
      <c r="M45" s="85"/>
    </row>
    <row r="46" spans="1:13" x14ac:dyDescent="0.25">
      <c r="A46" s="66" t="s">
        <v>51</v>
      </c>
      <c r="B46" s="67" t="str">
        <f>VLOOKUP(A46,LISTADHERENT!A$5:H$51,2)</f>
        <v>TCHOUAMOU MATHIEU</v>
      </c>
      <c r="C46" s="68">
        <f>FONDSDECAISSE!O46</f>
        <v>420000</v>
      </c>
      <c r="D46" s="68">
        <f>TONT20000DEC2016!D46</f>
        <v>2654</v>
      </c>
      <c r="E46" s="68">
        <f>TONT20000ANNUELLE!J46</f>
        <v>27000</v>
      </c>
      <c r="F46" s="68">
        <f>TONT20000ANNUELLE!N46</f>
        <v>0</v>
      </c>
      <c r="G46" s="69"/>
      <c r="H46" s="68">
        <f>TONT20000ANNUELLE!C46</f>
        <v>29948.034528498243</v>
      </c>
      <c r="I46" s="69"/>
      <c r="J46" s="70">
        <f>[3]EMPRUNT!$AP43</f>
        <v>5900</v>
      </c>
      <c r="K46" s="83">
        <f>[3]EMPRUNT!$AR43</f>
        <v>70000</v>
      </c>
      <c r="L46" s="80">
        <f>[3]EMPRUNT!$AQ43</f>
        <v>42887</v>
      </c>
      <c r="M46" s="85" t="str">
        <f>[3]EMPRUNT!$AS43</f>
        <v>ECHEC</v>
      </c>
    </row>
    <row r="47" spans="1:13" x14ac:dyDescent="0.25">
      <c r="A47" s="66" t="s">
        <v>52</v>
      </c>
      <c r="B47" s="67" t="str">
        <f>VLOOKUP(A47,LISTADHERENT!A$5:H$51,2)</f>
        <v>TCHOUANTE FRANCOIS</v>
      </c>
      <c r="C47" s="68">
        <f>FONDSDECAISSE!O47</f>
        <v>403819</v>
      </c>
      <c r="D47" s="68">
        <f>TONT20000DEC2016!D47</f>
        <v>25832</v>
      </c>
      <c r="E47" s="68">
        <f>TONT20000ANNUELLE!J47</f>
        <v>84000</v>
      </c>
      <c r="F47" s="68">
        <f>TONT20000ANNUELLE!N47</f>
        <v>0</v>
      </c>
      <c r="G47" s="69"/>
      <c r="H47" s="68">
        <f>TONT20000ANNUELLE!C47</f>
        <v>33817.469779223538</v>
      </c>
      <c r="I47" s="69"/>
      <c r="J47" s="70">
        <f>[3]EMPRUNT!$AP44</f>
        <v>851500</v>
      </c>
      <c r="K47" s="83">
        <f>[3]EMPRUNT!$AR44</f>
        <v>14000</v>
      </c>
      <c r="L47" s="80">
        <f>[3]EMPRUNT!$AQ44</f>
        <v>43252</v>
      </c>
      <c r="M47" s="85"/>
    </row>
    <row r="48" spans="1:13" x14ac:dyDescent="0.25">
      <c r="A48" s="66" t="s">
        <v>53</v>
      </c>
      <c r="B48" s="67" t="str">
        <f>VLOOKUP(A48,LISTADHERENT!A$5:H$51,2)</f>
        <v>TCHOUTOU NANA CLAUDE</v>
      </c>
      <c r="C48" s="68">
        <f>FONDSDECAISSE!O48</f>
        <v>0</v>
      </c>
      <c r="D48" s="68">
        <f>TONT20000DEC2016!D48</f>
        <v>0</v>
      </c>
      <c r="E48" s="68">
        <f>TONT20000ANNUELLE!J48</f>
        <v>24000</v>
      </c>
      <c r="F48" s="68">
        <f>TONT20000ANNUELLE!N48</f>
        <v>0</v>
      </c>
      <c r="G48" s="69"/>
      <c r="H48" s="68">
        <f>TONT20000ANNUELLE!C48</f>
        <v>1092.3385671927244</v>
      </c>
      <c r="I48" s="69"/>
      <c r="J48" s="70"/>
      <c r="K48" s="83">
        <f>[3]EMPRUNT!$AR45</f>
        <v>0</v>
      </c>
      <c r="L48" s="80"/>
      <c r="M48" s="85"/>
    </row>
    <row r="49" spans="1:13" x14ac:dyDescent="0.25">
      <c r="A49" s="66" t="s">
        <v>54</v>
      </c>
      <c r="B49" s="67" t="str">
        <f>VLOOKUP(A49,LISTADHERENT!A$5:H$51,2)</f>
        <v>TIEYAM ERNEST</v>
      </c>
      <c r="C49" s="68">
        <f>FONDSDECAISSE!O49</f>
        <v>420000</v>
      </c>
      <c r="D49" s="68">
        <f>TONT20000DEC2016!D49</f>
        <v>2593</v>
      </c>
      <c r="E49" s="68">
        <f>TONT20000ANNUELLE!J49</f>
        <v>61000</v>
      </c>
      <c r="F49" s="68">
        <f>TONT20000ANNUELLE!N49</f>
        <v>0</v>
      </c>
      <c r="G49" s="69"/>
      <c r="H49" s="68">
        <f>TONT20000ANNUELLE!C49</f>
        <v>31612.565694385827</v>
      </c>
      <c r="I49" s="69"/>
      <c r="J49" s="70">
        <f>[3]EMPRUNT!$AP46</f>
        <v>1064000</v>
      </c>
      <c r="K49" s="83">
        <f>[3]EMPRUNT!$AR46</f>
        <v>120000</v>
      </c>
      <c r="L49" s="80">
        <f>[3]EMPRUNT!$AQ46</f>
        <v>43132</v>
      </c>
      <c r="M49" s="85"/>
    </row>
    <row r="50" spans="1:13" x14ac:dyDescent="0.25">
      <c r="A50" s="66" t="s">
        <v>55</v>
      </c>
      <c r="B50" s="67" t="str">
        <f>VLOOKUP(A50,LISTADHERENT!A$5:H$51,2)</f>
        <v>TUGMA PIERRE LOTI</v>
      </c>
      <c r="C50" s="68">
        <f>FONDSDECAISSE!O50</f>
        <v>420000</v>
      </c>
      <c r="D50" s="68">
        <f>TONT20000DEC2016!D50</f>
        <v>2503</v>
      </c>
      <c r="E50" s="68">
        <f>TONT20000ANNUELLE!J50</f>
        <v>21000</v>
      </c>
      <c r="F50" s="68">
        <f>TONT20000ANNUELLE!N50</f>
        <v>0</v>
      </c>
      <c r="G50" s="69"/>
      <c r="H50" s="68">
        <f>TONT20000ANNUELLE!C50</f>
        <v>29936.638264361482</v>
      </c>
      <c r="I50" s="69"/>
      <c r="J50" s="70">
        <f>[3]EMPRUNT!$AP47</f>
        <v>1120000</v>
      </c>
      <c r="K50" s="83">
        <f>[3]EMPRUNT!$AR47</f>
        <v>30000</v>
      </c>
      <c r="L50" s="80">
        <f>[3]EMPRUNT!$AQ47</f>
        <v>43221</v>
      </c>
      <c r="M50" s="85"/>
    </row>
    <row r="51" spans="1:13" x14ac:dyDescent="0.25">
      <c r="A51" s="66" t="s">
        <v>66</v>
      </c>
      <c r="B51" s="67" t="str">
        <f>VLOOKUP(A51,LISTADHERENT!A$5:H$51,2)</f>
        <v>YEPMOU JEAN JACQUES</v>
      </c>
      <c r="C51" s="68">
        <f>FONDSDECAISSE!O51</f>
        <v>420000</v>
      </c>
      <c r="D51" s="68">
        <f>TONT20000DEC2016!D51</f>
        <v>393982</v>
      </c>
      <c r="E51" s="68">
        <f>TONT20000ANNUELLE!J51</f>
        <v>27000</v>
      </c>
      <c r="F51" s="68">
        <f>TONT20000ANNUELLE!N51</f>
        <v>0</v>
      </c>
      <c r="G51" s="69"/>
      <c r="H51" s="68">
        <f>TONT20000ANNUELLE!C51</f>
        <v>56664.519040889929</v>
      </c>
      <c r="I51" s="69"/>
      <c r="J51" s="70">
        <f>[3]EMPRUNT!$AP48</f>
        <v>0</v>
      </c>
      <c r="K51" s="83">
        <f>[3]EMPRUNT!$AR48</f>
        <v>0</v>
      </c>
      <c r="L51" s="80">
        <f>[3]EMPRUNT!$AQ48</f>
        <v>0</v>
      </c>
      <c r="M51" s="85"/>
    </row>
    <row r="52" spans="1:13" x14ac:dyDescent="0.25">
      <c r="A52" s="66" t="s">
        <v>177</v>
      </c>
      <c r="B52" s="67" t="str">
        <f>VLOOKUP(A52,LISTADHERENT!A$5:H$51,2)</f>
        <v>YOUMBI EMMANUEL</v>
      </c>
      <c r="C52" s="68">
        <f>FONDSDECAISSE!O52</f>
        <v>420000</v>
      </c>
      <c r="D52" s="68">
        <f>TONT20000DEC2016!D52</f>
        <v>883628</v>
      </c>
      <c r="E52" s="68">
        <f>TONT20000ANNUELLE!J52</f>
        <v>227000</v>
      </c>
      <c r="F52" s="68">
        <f>TONT20000ANNUELLE!N52</f>
        <v>0</v>
      </c>
      <c r="G52" s="69"/>
      <c r="H52" s="68">
        <f>TONT20000ANNUELLE!C52</f>
        <v>103624.77341999976</v>
      </c>
      <c r="I52" s="69"/>
      <c r="J52" s="70">
        <f>[3]EMPRUNT!$AP49</f>
        <v>0</v>
      </c>
      <c r="K52" s="83">
        <f>[3]EMPRUNT!$AR49</f>
        <v>0</v>
      </c>
      <c r="L52" s="80">
        <f>[3]EMPRUNT!$AQ49</f>
        <v>0</v>
      </c>
      <c r="M52" s="85"/>
    </row>
    <row r="53" spans="1:13" x14ac:dyDescent="0.25">
      <c r="A53" s="66"/>
      <c r="B53" s="67"/>
      <c r="C53" s="68"/>
      <c r="D53" s="68"/>
      <c r="E53" s="68"/>
      <c r="F53" s="68"/>
      <c r="G53" s="68"/>
      <c r="H53" s="68"/>
      <c r="I53" s="68"/>
      <c r="J53" s="70"/>
      <c r="K53" s="83"/>
      <c r="L53" s="80"/>
      <c r="M53" s="85"/>
    </row>
    <row r="54" spans="1:13" x14ac:dyDescent="0.25">
      <c r="A54" s="66"/>
      <c r="B54" s="67"/>
      <c r="C54" s="68"/>
      <c r="D54" s="68"/>
      <c r="E54" s="68"/>
      <c r="F54" s="68"/>
      <c r="G54" s="68"/>
      <c r="H54" s="68"/>
      <c r="I54" s="68"/>
      <c r="J54" s="70"/>
      <c r="K54" s="83"/>
      <c r="L54" s="80"/>
      <c r="M54" s="85"/>
    </row>
    <row r="55" spans="1:13" ht="16.5" thickBot="1" x14ac:dyDescent="0.3">
      <c r="A55" s="72" t="s">
        <v>56</v>
      </c>
      <c r="B55" s="73"/>
      <c r="C55" s="76">
        <f t="shared" ref="C55:J55" si="0">SUM(C5:C52)</f>
        <v>16033819</v>
      </c>
      <c r="D55" s="76">
        <f t="shared" si="0"/>
        <v>3525807</v>
      </c>
      <c r="E55" s="76">
        <f t="shared" si="0"/>
        <v>3769693</v>
      </c>
      <c r="F55" s="76">
        <f t="shared" si="0"/>
        <v>79804</v>
      </c>
      <c r="G55" s="76">
        <f t="shared" si="0"/>
        <v>0</v>
      </c>
      <c r="H55" s="76">
        <f t="shared" si="0"/>
        <v>1507500.0000000002</v>
      </c>
      <c r="I55" s="76"/>
      <c r="J55" s="76">
        <f>SUM(J5:J54)</f>
        <v>23583300</v>
      </c>
      <c r="K55" s="76">
        <f>SUM(K5:K54)</f>
        <v>1639600</v>
      </c>
      <c r="L55" s="81"/>
    </row>
    <row r="56" spans="1:13" ht="15.75" thickTop="1" x14ac:dyDescent="0.25"/>
  </sheetData>
  <autoFilter ref="A4:L49">
    <sortState ref="A5:L48">
      <sortCondition ref="B5:B48"/>
    </sortState>
  </autoFilter>
  <pageMargins left="0.11811023622047245" right="0.11811023622047245" top="0.35433070866141736" bottom="0.35433070866141736" header="0.31496062992125984" footer="0.31496062992125984"/>
  <pageSetup orientation="landscape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B15" sqref="B15"/>
    </sheetView>
  </sheetViews>
  <sheetFormatPr baseColWidth="10" defaultRowHeight="15" x14ac:dyDescent="0.25"/>
  <cols>
    <col min="1" max="1" width="32.5703125" customWidth="1"/>
    <col min="2" max="2" width="11.42578125" bestFit="1" customWidth="1"/>
    <col min="3" max="3" width="1" customWidth="1"/>
    <col min="4" max="4" width="32.42578125" customWidth="1"/>
    <col min="5" max="5" width="11.42578125" bestFit="1" customWidth="1"/>
    <col min="6" max="6" width="1.28515625" customWidth="1"/>
    <col min="7" max="7" width="33.28515625" customWidth="1"/>
    <col min="8" max="8" width="13.5703125" customWidth="1"/>
  </cols>
  <sheetData>
    <row r="1" spans="1:8" ht="18.75" x14ac:dyDescent="0.3">
      <c r="A1" s="50" t="s">
        <v>1</v>
      </c>
      <c r="B1" s="48"/>
      <c r="C1" s="48"/>
      <c r="D1" s="50" t="s">
        <v>1</v>
      </c>
      <c r="E1" s="48"/>
      <c r="F1" s="48"/>
      <c r="G1" s="50" t="s">
        <v>1</v>
      </c>
      <c r="H1" s="49"/>
    </row>
    <row r="2" spans="1:8" ht="18.75" x14ac:dyDescent="0.3">
      <c r="A2" s="50" t="s">
        <v>245</v>
      </c>
      <c r="B2" s="48"/>
      <c r="C2" s="48"/>
      <c r="D2" s="50" t="s">
        <v>245</v>
      </c>
      <c r="E2" s="48"/>
      <c r="F2" s="48"/>
      <c r="G2" s="50" t="s">
        <v>245</v>
      </c>
      <c r="H2" s="49"/>
    </row>
    <row r="3" spans="1:8" ht="30" customHeight="1" x14ac:dyDescent="0.3">
      <c r="A3" s="50" t="s">
        <v>246</v>
      </c>
      <c r="B3" s="48"/>
      <c r="C3" s="48"/>
      <c r="D3" s="50" t="s">
        <v>246</v>
      </c>
      <c r="E3" s="48"/>
      <c r="F3" s="48"/>
      <c r="G3" s="50" t="s">
        <v>246</v>
      </c>
      <c r="H3" s="49"/>
    </row>
    <row r="4" spans="1:8" ht="18.75" x14ac:dyDescent="0.3">
      <c r="A4" s="50" t="s">
        <v>247</v>
      </c>
      <c r="B4" s="48"/>
      <c r="C4" s="48"/>
      <c r="D4" s="50" t="s">
        <v>247</v>
      </c>
      <c r="E4" s="48"/>
      <c r="F4" s="48"/>
      <c r="G4" s="50" t="s">
        <v>247</v>
      </c>
      <c r="H4" s="49"/>
    </row>
    <row r="5" spans="1:8" ht="19.5" thickBot="1" x14ac:dyDescent="0.35">
      <c r="A5" s="50"/>
      <c r="B5" s="48"/>
      <c r="C5" s="48"/>
      <c r="D5" s="50"/>
      <c r="E5" s="48"/>
      <c r="F5" s="48"/>
      <c r="G5" s="50"/>
      <c r="H5" s="49"/>
    </row>
    <row r="6" spans="1:8" ht="16.5" thickTop="1" x14ac:dyDescent="0.25">
      <c r="A6" s="51" t="s">
        <v>256</v>
      </c>
      <c r="B6" s="52" t="s">
        <v>253</v>
      </c>
      <c r="C6" s="52"/>
      <c r="D6" s="52" t="s">
        <v>256</v>
      </c>
      <c r="E6" s="52" t="s">
        <v>253</v>
      </c>
      <c r="F6" s="52"/>
      <c r="G6" s="52" t="s">
        <v>256</v>
      </c>
      <c r="H6" s="53" t="s">
        <v>253</v>
      </c>
    </row>
    <row r="7" spans="1:8" ht="18.75" x14ac:dyDescent="0.3">
      <c r="A7" s="54"/>
      <c r="B7" s="55"/>
      <c r="C7" s="55"/>
      <c r="D7" s="55"/>
      <c r="E7" s="55"/>
      <c r="F7" s="55"/>
      <c r="G7" s="55"/>
      <c r="H7" s="56"/>
    </row>
    <row r="8" spans="1:8" ht="18.75" x14ac:dyDescent="0.3">
      <c r="A8" s="57" t="s">
        <v>250</v>
      </c>
      <c r="B8" s="58"/>
      <c r="C8" s="58"/>
      <c r="D8" s="58" t="s">
        <v>250</v>
      </c>
      <c r="E8" s="58"/>
      <c r="F8" s="58"/>
      <c r="G8" s="58" t="s">
        <v>250</v>
      </c>
      <c r="H8" s="59"/>
    </row>
    <row r="9" spans="1:8" ht="18.75" x14ac:dyDescent="0.3">
      <c r="A9" s="57" t="s">
        <v>249</v>
      </c>
      <c r="B9" s="58"/>
      <c r="C9" s="58"/>
      <c r="D9" s="58" t="s">
        <v>249</v>
      </c>
      <c r="E9" s="58"/>
      <c r="F9" s="58"/>
      <c r="G9" s="58" t="s">
        <v>249</v>
      </c>
      <c r="H9" s="59"/>
    </row>
    <row r="10" spans="1:8" ht="18.75" x14ac:dyDescent="0.3">
      <c r="A10" s="57" t="s">
        <v>248</v>
      </c>
      <c r="B10" s="58"/>
      <c r="C10" s="58"/>
      <c r="D10" s="58" t="s">
        <v>248</v>
      </c>
      <c r="E10" s="58"/>
      <c r="F10" s="58"/>
      <c r="G10" s="58" t="s">
        <v>248</v>
      </c>
      <c r="H10" s="59"/>
    </row>
    <row r="11" spans="1:8" ht="18.75" x14ac:dyDescent="0.3">
      <c r="A11" s="57" t="s">
        <v>251</v>
      </c>
      <c r="B11" s="58"/>
      <c r="C11" s="58"/>
      <c r="D11" s="58" t="s">
        <v>251</v>
      </c>
      <c r="E11" s="58"/>
      <c r="F11" s="58"/>
      <c r="G11" s="58" t="s">
        <v>251</v>
      </c>
      <c r="H11" s="59"/>
    </row>
    <row r="12" spans="1:8" ht="18.75" x14ac:dyDescent="0.3">
      <c r="A12" s="57" t="s">
        <v>252</v>
      </c>
      <c r="B12" s="58"/>
      <c r="C12" s="58"/>
      <c r="D12" s="58" t="s">
        <v>252</v>
      </c>
      <c r="E12" s="58"/>
      <c r="F12" s="58"/>
      <c r="G12" s="58" t="s">
        <v>252</v>
      </c>
      <c r="H12" s="59"/>
    </row>
    <row r="13" spans="1:8" ht="18.75" x14ac:dyDescent="0.3">
      <c r="A13" s="57" t="s">
        <v>61</v>
      </c>
      <c r="B13" s="58"/>
      <c r="C13" s="58"/>
      <c r="D13" s="58" t="s">
        <v>61</v>
      </c>
      <c r="E13" s="58"/>
      <c r="F13" s="58"/>
      <c r="G13" s="58" t="s">
        <v>61</v>
      </c>
      <c r="H13" s="59"/>
    </row>
    <row r="14" spans="1:8" ht="18.75" x14ac:dyDescent="0.3">
      <c r="A14" s="57"/>
      <c r="B14" s="58"/>
      <c r="C14" s="58"/>
      <c r="D14" s="58"/>
      <c r="E14" s="58"/>
      <c r="F14" s="58"/>
      <c r="G14" s="58"/>
      <c r="H14" s="59"/>
    </row>
    <row r="15" spans="1:8" ht="19.5" thickBot="1" x14ac:dyDescent="0.35">
      <c r="A15" s="60" t="s">
        <v>56</v>
      </c>
      <c r="B15" s="61"/>
      <c r="C15" s="61"/>
      <c r="D15" s="61" t="s">
        <v>56</v>
      </c>
      <c r="E15" s="61"/>
      <c r="F15" s="61"/>
      <c r="G15" s="61" t="s">
        <v>56</v>
      </c>
      <c r="H15" s="62"/>
    </row>
    <row r="16" spans="1:8" ht="19.5" thickTop="1" x14ac:dyDescent="0.3">
      <c r="A16" s="48"/>
      <c r="B16" s="48"/>
      <c r="C16" s="48"/>
      <c r="D16" s="48"/>
      <c r="E16" s="48"/>
      <c r="F16" s="48"/>
      <c r="G16" s="48"/>
      <c r="H16" s="49"/>
    </row>
    <row r="17" spans="1:8" ht="18.75" x14ac:dyDescent="0.3">
      <c r="A17" s="48"/>
      <c r="B17" s="48"/>
      <c r="C17" s="48"/>
      <c r="D17" s="48"/>
      <c r="E17" s="48"/>
      <c r="F17" s="48"/>
      <c r="G17" s="48"/>
      <c r="H17" s="49"/>
    </row>
    <row r="18" spans="1:8" ht="18.75" x14ac:dyDescent="0.3">
      <c r="A18" s="50" t="s">
        <v>254</v>
      </c>
      <c r="B18" s="48"/>
      <c r="C18" s="48"/>
      <c r="D18" s="50" t="s">
        <v>254</v>
      </c>
      <c r="E18" s="48"/>
      <c r="F18" s="48"/>
      <c r="G18" s="50" t="s">
        <v>254</v>
      </c>
      <c r="H18" s="49"/>
    </row>
    <row r="19" spans="1:8" ht="15.75" x14ac:dyDescent="0.25">
      <c r="A19" s="48"/>
      <c r="B19" s="48"/>
      <c r="C19" s="48"/>
      <c r="D19" s="48"/>
      <c r="E19" s="48"/>
      <c r="F19" s="48"/>
      <c r="G19" s="48"/>
    </row>
    <row r="20" spans="1:8" ht="15.75" x14ac:dyDescent="0.25">
      <c r="A20" s="48"/>
      <c r="B20" s="48"/>
      <c r="C20" s="48"/>
      <c r="D20" s="48"/>
      <c r="E20" s="48"/>
      <c r="F20" s="48"/>
      <c r="G20" s="48"/>
    </row>
    <row r="21" spans="1:8" ht="15.75" x14ac:dyDescent="0.25">
      <c r="A21" s="48"/>
      <c r="B21" s="48"/>
      <c r="C21" s="48"/>
      <c r="D21" s="48"/>
      <c r="E21" s="48"/>
      <c r="F21" s="48"/>
      <c r="G21" s="48"/>
    </row>
    <row r="22" spans="1:8" ht="15.75" x14ac:dyDescent="0.25">
      <c r="A22" s="48"/>
      <c r="B22" s="48"/>
      <c r="C22" s="48"/>
      <c r="D22" s="48"/>
      <c r="E22" s="48"/>
      <c r="F22" s="48"/>
      <c r="G22" s="48"/>
    </row>
    <row r="23" spans="1:8" ht="15.75" x14ac:dyDescent="0.25">
      <c r="A23" s="50" t="s">
        <v>255</v>
      </c>
      <c r="B23" s="48"/>
      <c r="C23" s="48"/>
      <c r="D23" s="50" t="s">
        <v>255</v>
      </c>
      <c r="E23" s="48"/>
      <c r="F23" s="48"/>
      <c r="G23" s="50" t="s">
        <v>255</v>
      </c>
    </row>
  </sheetData>
  <pageMargins left="0.31496062992125984" right="0.31496062992125984" top="0.35433070866141736" bottom="0.35433070866141736" header="0.31496062992125984" footer="0.31496062992125984"/>
  <pageSetup paperSize="9" orientation="landscape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5" sqref="Q5:Q52"/>
    </sheetView>
  </sheetViews>
  <sheetFormatPr baseColWidth="10" defaultRowHeight="15" x14ac:dyDescent="0.25"/>
  <sheetData>
    <row r="1" spans="1:1" x14ac:dyDescent="0.25">
      <c r="A1" t="s">
        <v>217</v>
      </c>
    </row>
    <row r="2" spans="1:1" x14ac:dyDescent="0.25">
      <c r="A2" t="s">
        <v>223</v>
      </c>
    </row>
    <row r="3" spans="1:1" x14ac:dyDescent="0.25">
      <c r="A3" t="s">
        <v>216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pane xSplit="2" ySplit="4" topLeftCell="C5" activePane="bottomRight" state="frozen"/>
      <selection activeCell="Q5" sqref="Q5:Q52"/>
      <selection pane="topRight" activeCell="Q5" sqref="Q5:Q52"/>
      <selection pane="bottomLeft" activeCell="Q5" sqref="Q5:Q52"/>
      <selection pane="bottomRight" activeCell="Q5" sqref="Q5:Q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.28515625" style="2" customWidth="1"/>
    <col min="4" max="7" width="17.28515625" customWidth="1"/>
    <col min="8" max="8" width="13.140625" customWidth="1"/>
    <col min="9" max="9" width="16.85546875" style="2" bestFit="1" customWidth="1"/>
    <col min="10" max="10" width="15" bestFit="1" customWidth="1"/>
    <col min="11" max="11" width="17.5703125" style="3" bestFit="1" customWidth="1"/>
    <col min="12" max="12" width="15.7109375" style="2" customWidth="1"/>
    <col min="13" max="13" width="15" style="2" bestFit="1" customWidth="1"/>
    <col min="14" max="14" width="18.140625" style="2" bestFit="1" customWidth="1"/>
    <col min="15" max="20" width="18.140625" customWidth="1"/>
    <col min="21" max="21" width="21.28515625" style="2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</row>
    <row r="4" spans="1:22" ht="43.5" x14ac:dyDescent="0.25">
      <c r="A4" s="1" t="s">
        <v>6</v>
      </c>
      <c r="B4" s="1" t="s">
        <v>7</v>
      </c>
      <c r="C4" s="5" t="s">
        <v>186</v>
      </c>
      <c r="D4" s="5" t="s">
        <v>181</v>
      </c>
      <c r="E4" s="5" t="s">
        <v>184</v>
      </c>
      <c r="F4" s="5" t="s">
        <v>185</v>
      </c>
      <c r="G4" s="5" t="s">
        <v>187</v>
      </c>
      <c r="H4" s="5" t="s">
        <v>182</v>
      </c>
      <c r="I4" s="5" t="s">
        <v>65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8</v>
      </c>
      <c r="S4" s="5" t="s">
        <v>180</v>
      </c>
      <c r="T4" s="5" t="s">
        <v>179</v>
      </c>
      <c r="U4" s="6" t="s">
        <v>9</v>
      </c>
      <c r="V4" s="1" t="s">
        <v>10</v>
      </c>
    </row>
    <row r="5" spans="1:22" x14ac:dyDescent="0.25">
      <c r="A5" s="1" t="s">
        <v>183</v>
      </c>
      <c r="B5" s="1" t="str">
        <f>VLOOKUP(A5,LISTADHERENT!A$5:H$52,2,0)</f>
        <v>ASELBY</v>
      </c>
      <c r="C5" s="1">
        <f>VLOOKUP(A5,FONDSDECAISSE!A$5:C$52,3,0)</f>
        <v>0</v>
      </c>
      <c r="D5" s="1">
        <v>318145</v>
      </c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x14ac:dyDescent="0.25">
      <c r="A6" s="1" t="s">
        <v>11</v>
      </c>
      <c r="B6" s="1" t="str">
        <f>VLOOKUP(A6,LISTADHERENT!A$5:H$52,2,0)</f>
        <v>BAKOP ACHILLE</v>
      </c>
      <c r="C6" s="1">
        <f>VLOOKUP(A6,FONDSDECAISSE!A$5:C$52,3,0)</f>
        <v>420000</v>
      </c>
      <c r="D6" s="6">
        <v>33536</v>
      </c>
      <c r="E6" s="6"/>
      <c r="F6" s="6"/>
      <c r="G6" s="6"/>
      <c r="H6" s="6"/>
      <c r="I6" s="7" t="e">
        <f>J6+K6+L6+M6+N6+O6+T6</f>
        <v>#REF!</v>
      </c>
      <c r="J6" s="7" t="e">
        <f>#REF!+#REF!+#REF!+#REF!+#REF!+#REF!+#REF!+#REF!+#REF!+#REF!+#REF!+#REF!</f>
        <v>#REF!</v>
      </c>
      <c r="K6" s="7" t="e">
        <f>#REF!+#REF!+#REF!+#REF!+#REF!+#REF!+#REF!+#REF!+#REF!+#REF!+#REF!+#REF!</f>
        <v>#REF!</v>
      </c>
      <c r="L6" s="7" t="e">
        <f>#REF!+#REF!+#REF!+#REF!+#REF!+#REF!+#REF!+#REF!+#REF!+#REF!+#REF!+#REF!</f>
        <v>#REF!</v>
      </c>
      <c r="M6" s="7" t="e">
        <f>#REF!+#REF!+#REF!+#REF!+#REF!+#REF!+#REF!+#REF!+#REF!+#REF!+#REF!+#REF!</f>
        <v>#REF!</v>
      </c>
      <c r="N6" s="7" t="e">
        <f>#REF!+#REF!+#REF!+#REF!+#REF!+#REF!+#REF!+#REF!+#REF!+#REF!+#REF!+#REF!</f>
        <v>#REF!</v>
      </c>
      <c r="O6" s="7" t="e">
        <f>#REF!+#REF!+#REF!+#REF!+#REF!+#REF!+#REF!+#REF!+#REF!+#REF!+#REF!+#REF!</f>
        <v>#REF!</v>
      </c>
      <c r="P6" s="7" t="e">
        <f>#REF!+#REF!+#REF!+#REF!+#REF!+#REF!+#REF!+#REF!+#REF!+#REF!+#REF!+#REF!</f>
        <v>#REF!</v>
      </c>
      <c r="Q6" s="7" t="e">
        <f>#REF!+#REF!+#REF!+#REF!+#REF!+#REF!+#REF!+#REF!+#REF!+#REF!+#REF!+#REF!</f>
        <v>#REF!</v>
      </c>
      <c r="R6" s="7" t="e">
        <f>#REF!+#REF!+#REF!+#REF!+#REF!+#REF!+#REF!+#REF!+#REF!+#REF!+#REF!+#REF!</f>
        <v>#REF!</v>
      </c>
      <c r="S6" s="7" t="e">
        <f>#REF!+#REF!+#REF!+#REF!+#REF!+#REF!+#REF!+#REF!+#REF!+#REF!+#REF!+#REF!</f>
        <v>#REF!</v>
      </c>
      <c r="T6" s="7" t="e">
        <f>#REF!+#REF!+#REF!+#REF!+#REF!+#REF!+#REF!+#REF!+#REF!+#REF!+#REF!+#REF!</f>
        <v>#REF!</v>
      </c>
      <c r="U6" s="7"/>
    </row>
    <row r="7" spans="1:22" x14ac:dyDescent="0.25">
      <c r="A7" s="1" t="s">
        <v>12</v>
      </c>
      <c r="B7" s="1" t="str">
        <f>VLOOKUP(A7,LISTADHERENT!A$5:H$52,2,0)</f>
        <v>BOUTCHOUANG WILLIAM</v>
      </c>
      <c r="C7" s="1">
        <f>VLOOKUP(A7,FONDSDECAISSE!A$5:C$52,3,0)</f>
        <v>420000</v>
      </c>
      <c r="D7" s="6">
        <v>1704</v>
      </c>
      <c r="E7" s="6"/>
      <c r="F7" s="6"/>
      <c r="G7" s="6"/>
      <c r="H7" s="6"/>
      <c r="I7" s="7" t="e">
        <f t="shared" ref="I7:I54" si="0">J7+K7+L7+M7+N7+O7+T7</f>
        <v>#REF!</v>
      </c>
      <c r="J7" s="7" t="e">
        <f>#REF!+#REF!+#REF!+#REF!+#REF!+#REF!+#REF!+#REF!+#REF!+#REF!+#REF!+#REF!</f>
        <v>#REF!</v>
      </c>
      <c r="K7" s="7" t="e">
        <f>#REF!+#REF!+#REF!+#REF!+#REF!+#REF!+#REF!+#REF!+#REF!+#REF!+#REF!+#REF!</f>
        <v>#REF!</v>
      </c>
      <c r="L7" s="7" t="e">
        <f>#REF!+#REF!+#REF!+#REF!+#REF!+#REF!+#REF!+#REF!+#REF!+#REF!+#REF!+#REF!</f>
        <v>#REF!</v>
      </c>
      <c r="M7" s="7" t="e">
        <f>#REF!+#REF!+#REF!+#REF!+#REF!+#REF!+#REF!+#REF!+#REF!+#REF!+#REF!+#REF!</f>
        <v>#REF!</v>
      </c>
      <c r="N7" s="7" t="e">
        <f>#REF!+#REF!+#REF!+#REF!+#REF!+#REF!+#REF!+#REF!+#REF!+#REF!+#REF!+#REF!</f>
        <v>#REF!</v>
      </c>
      <c r="O7" s="7" t="e">
        <f>#REF!+#REF!+#REF!+#REF!+#REF!+#REF!+#REF!+#REF!+#REF!+#REF!+#REF!+#REF!</f>
        <v>#REF!</v>
      </c>
      <c r="P7" s="7" t="e">
        <f>#REF!+#REF!+#REF!+#REF!+#REF!+#REF!+#REF!+#REF!+#REF!+#REF!+#REF!+#REF!</f>
        <v>#REF!</v>
      </c>
      <c r="Q7" s="7" t="e">
        <f>#REF!+#REF!+#REF!+#REF!+#REF!+#REF!+#REF!+#REF!+#REF!+#REF!+#REF!+#REF!</f>
        <v>#REF!</v>
      </c>
      <c r="R7" s="7" t="e">
        <f>#REF!+#REF!+#REF!+#REF!+#REF!+#REF!+#REF!+#REF!+#REF!+#REF!+#REF!+#REF!</f>
        <v>#REF!</v>
      </c>
      <c r="S7" s="7" t="e">
        <f>#REF!+#REF!+#REF!+#REF!+#REF!+#REF!+#REF!+#REF!+#REF!+#REF!+#REF!+#REF!</f>
        <v>#REF!</v>
      </c>
      <c r="T7" s="7" t="e">
        <f>#REF!+#REF!+#REF!+#REF!+#REF!+#REF!+#REF!+#REF!+#REF!+#REF!+#REF!+#REF!</f>
        <v>#REF!</v>
      </c>
      <c r="U7" s="7"/>
    </row>
    <row r="8" spans="1:22" x14ac:dyDescent="0.25">
      <c r="A8" s="1" t="s">
        <v>13</v>
      </c>
      <c r="B8" s="1" t="str">
        <f>VLOOKUP(A8,LISTADHERENT!A$5:H$52,2,0)</f>
        <v>CHINGUE FABRICE</v>
      </c>
      <c r="C8" s="1">
        <f>VLOOKUP(A8,FONDSDECAISSE!A$5:C$52,3,0)</f>
        <v>420000</v>
      </c>
      <c r="D8" s="6">
        <v>1842</v>
      </c>
      <c r="E8" s="6"/>
      <c r="F8" s="6"/>
      <c r="G8" s="6"/>
      <c r="H8" s="6"/>
      <c r="I8" s="7" t="e">
        <f t="shared" si="0"/>
        <v>#REF!</v>
      </c>
      <c r="J8" s="7" t="e">
        <f>#REF!+#REF!+#REF!+#REF!+#REF!+#REF!+#REF!+#REF!+#REF!+#REF!+#REF!+#REF!</f>
        <v>#REF!</v>
      </c>
      <c r="K8" s="7" t="e">
        <f>#REF!+#REF!+#REF!+#REF!+#REF!+#REF!+#REF!+#REF!+#REF!+#REF!+#REF!+#REF!</f>
        <v>#REF!</v>
      </c>
      <c r="L8" s="7" t="e">
        <f>#REF!+#REF!+#REF!+#REF!+#REF!+#REF!+#REF!+#REF!+#REF!+#REF!+#REF!+#REF!</f>
        <v>#REF!</v>
      </c>
      <c r="M8" s="7" t="e">
        <f>#REF!+#REF!+#REF!+#REF!+#REF!+#REF!+#REF!+#REF!+#REF!+#REF!+#REF!+#REF!</f>
        <v>#REF!</v>
      </c>
      <c r="N8" s="7" t="e">
        <f>#REF!+#REF!+#REF!+#REF!+#REF!+#REF!+#REF!+#REF!+#REF!+#REF!+#REF!+#REF!</f>
        <v>#REF!</v>
      </c>
      <c r="O8" s="7" t="e">
        <f>#REF!+#REF!+#REF!+#REF!+#REF!+#REF!+#REF!+#REF!+#REF!+#REF!+#REF!+#REF!</f>
        <v>#REF!</v>
      </c>
      <c r="P8" s="7" t="e">
        <f>#REF!+#REF!+#REF!+#REF!+#REF!+#REF!+#REF!+#REF!+#REF!+#REF!+#REF!+#REF!</f>
        <v>#REF!</v>
      </c>
      <c r="Q8" s="7" t="e">
        <f>#REF!+#REF!+#REF!+#REF!+#REF!+#REF!+#REF!+#REF!+#REF!+#REF!+#REF!+#REF!</f>
        <v>#REF!</v>
      </c>
      <c r="R8" s="7" t="e">
        <f>#REF!+#REF!+#REF!+#REF!+#REF!+#REF!+#REF!+#REF!+#REF!+#REF!+#REF!+#REF!</f>
        <v>#REF!</v>
      </c>
      <c r="S8" s="7" t="e">
        <f>#REF!+#REF!+#REF!+#REF!+#REF!+#REF!+#REF!+#REF!+#REF!+#REF!+#REF!+#REF!</f>
        <v>#REF!</v>
      </c>
      <c r="T8" s="7" t="e">
        <f>#REF!+#REF!+#REF!+#REF!+#REF!+#REF!+#REF!+#REF!+#REF!+#REF!+#REF!+#REF!</f>
        <v>#REF!</v>
      </c>
      <c r="U8" s="7"/>
    </row>
    <row r="9" spans="1:22" x14ac:dyDescent="0.25">
      <c r="A9" s="1" t="s">
        <v>14</v>
      </c>
      <c r="B9" s="1" t="str">
        <f>VLOOKUP(A9,LISTADHERENT!A$5:H$52,2,0)</f>
        <v xml:space="preserve">DJOMO JEAN PAUL </v>
      </c>
      <c r="C9" s="1">
        <f>VLOOKUP(A9,FONDSDECAISSE!A$5:C$52,3,0)</f>
        <v>420000</v>
      </c>
      <c r="D9" s="6">
        <v>8156</v>
      </c>
      <c r="E9" s="6"/>
      <c r="F9" s="6"/>
      <c r="G9" s="6"/>
      <c r="H9" s="6"/>
      <c r="I9" s="7" t="e">
        <f t="shared" si="0"/>
        <v>#REF!</v>
      </c>
      <c r="J9" s="7" t="e">
        <f>#REF!+#REF!+#REF!+#REF!+#REF!+#REF!+#REF!+#REF!+#REF!+#REF!+#REF!+#REF!</f>
        <v>#REF!</v>
      </c>
      <c r="K9" s="7" t="e">
        <f>#REF!+#REF!+#REF!+#REF!+#REF!+#REF!+#REF!+#REF!+#REF!+#REF!+#REF!+#REF!</f>
        <v>#REF!</v>
      </c>
      <c r="L9" s="7" t="e">
        <f>#REF!+#REF!+#REF!+#REF!+#REF!+#REF!+#REF!+#REF!+#REF!+#REF!+#REF!+#REF!</f>
        <v>#REF!</v>
      </c>
      <c r="M9" s="7" t="e">
        <f>#REF!+#REF!+#REF!+#REF!+#REF!+#REF!+#REF!+#REF!+#REF!+#REF!+#REF!+#REF!</f>
        <v>#REF!</v>
      </c>
      <c r="N9" s="7" t="e">
        <f>#REF!+#REF!+#REF!+#REF!+#REF!+#REF!+#REF!+#REF!+#REF!+#REF!+#REF!+#REF!</f>
        <v>#REF!</v>
      </c>
      <c r="O9" s="7" t="e">
        <f>#REF!+#REF!+#REF!+#REF!+#REF!+#REF!+#REF!+#REF!+#REF!+#REF!+#REF!+#REF!</f>
        <v>#REF!</v>
      </c>
      <c r="P9" s="7" t="e">
        <f>#REF!+#REF!+#REF!+#REF!+#REF!+#REF!+#REF!+#REF!+#REF!+#REF!+#REF!+#REF!</f>
        <v>#REF!</v>
      </c>
      <c r="Q9" s="7" t="e">
        <f>#REF!+#REF!+#REF!+#REF!+#REF!+#REF!+#REF!+#REF!+#REF!+#REF!+#REF!+#REF!</f>
        <v>#REF!</v>
      </c>
      <c r="R9" s="7" t="e">
        <f>#REF!+#REF!+#REF!+#REF!+#REF!+#REF!+#REF!+#REF!+#REF!+#REF!+#REF!+#REF!</f>
        <v>#REF!</v>
      </c>
      <c r="S9" s="7" t="e">
        <f>#REF!+#REF!+#REF!+#REF!+#REF!+#REF!+#REF!+#REF!+#REF!+#REF!+#REF!+#REF!</f>
        <v>#REF!</v>
      </c>
      <c r="T9" s="7" t="e">
        <f>#REF!+#REF!+#REF!+#REF!+#REF!+#REF!+#REF!+#REF!+#REF!+#REF!+#REF!+#REF!</f>
        <v>#REF!</v>
      </c>
      <c r="U9" s="7"/>
    </row>
    <row r="10" spans="1:22" x14ac:dyDescent="0.25">
      <c r="A10" s="1" t="s">
        <v>15</v>
      </c>
      <c r="B10" s="1" t="str">
        <f>VLOOKUP(A10,LISTADHERENT!A$5:H$52,2,0)</f>
        <v>DJOUKWE NANGUEN GUY BLAISE</v>
      </c>
      <c r="C10" s="1">
        <f>VLOOKUP(A10,FONDSDECAISSE!A$5:C$52,3,0)</f>
        <v>420000</v>
      </c>
      <c r="D10" s="6">
        <v>5905</v>
      </c>
      <c r="E10" s="6"/>
      <c r="F10" s="6"/>
      <c r="G10" s="6"/>
      <c r="H10" s="6"/>
      <c r="I10" s="7" t="e">
        <f t="shared" si="0"/>
        <v>#REF!</v>
      </c>
      <c r="J10" s="7" t="e">
        <f>#REF!+#REF!+#REF!+#REF!+#REF!+#REF!+#REF!+#REF!+#REF!+#REF!+#REF!+#REF!</f>
        <v>#REF!</v>
      </c>
      <c r="K10" s="7" t="e">
        <f>#REF!+#REF!+#REF!+#REF!+#REF!+#REF!+#REF!+#REF!+#REF!+#REF!+#REF!+#REF!</f>
        <v>#REF!</v>
      </c>
      <c r="L10" s="7" t="e">
        <f>#REF!+#REF!+#REF!+#REF!+#REF!+#REF!+#REF!+#REF!+#REF!+#REF!+#REF!+#REF!</f>
        <v>#REF!</v>
      </c>
      <c r="M10" s="7" t="e">
        <f>#REF!+#REF!+#REF!+#REF!+#REF!+#REF!+#REF!+#REF!+#REF!+#REF!+#REF!+#REF!</f>
        <v>#REF!</v>
      </c>
      <c r="N10" s="7" t="e">
        <f>#REF!+#REF!+#REF!+#REF!+#REF!+#REF!+#REF!+#REF!+#REF!+#REF!+#REF!+#REF!</f>
        <v>#REF!</v>
      </c>
      <c r="O10" s="7" t="e">
        <f>#REF!+#REF!+#REF!+#REF!+#REF!+#REF!+#REF!+#REF!+#REF!+#REF!+#REF!+#REF!</f>
        <v>#REF!</v>
      </c>
      <c r="P10" s="7" t="e">
        <f>#REF!+#REF!+#REF!+#REF!+#REF!+#REF!+#REF!+#REF!+#REF!+#REF!+#REF!+#REF!</f>
        <v>#REF!</v>
      </c>
      <c r="Q10" s="7" t="e">
        <f>#REF!+#REF!+#REF!+#REF!+#REF!+#REF!+#REF!+#REF!+#REF!+#REF!+#REF!+#REF!</f>
        <v>#REF!</v>
      </c>
      <c r="R10" s="7" t="e">
        <f>#REF!+#REF!+#REF!+#REF!+#REF!+#REF!+#REF!+#REF!+#REF!+#REF!+#REF!+#REF!</f>
        <v>#REF!</v>
      </c>
      <c r="S10" s="7" t="e">
        <f>#REF!+#REF!+#REF!+#REF!+#REF!+#REF!+#REF!+#REF!+#REF!+#REF!+#REF!+#REF!</f>
        <v>#REF!</v>
      </c>
      <c r="T10" s="7" t="e">
        <f>#REF!+#REF!+#REF!+#REF!+#REF!+#REF!+#REF!+#REF!+#REF!+#REF!+#REF!+#REF!</f>
        <v>#REF!</v>
      </c>
      <c r="U10" s="7"/>
    </row>
    <row r="11" spans="1:22" x14ac:dyDescent="0.25">
      <c r="A11" s="1" t="s">
        <v>16</v>
      </c>
      <c r="B11" s="1" t="str">
        <f>VLOOKUP(A11,LISTADHERENT!A$5:H$52,2,0)</f>
        <v>DJOSSEU JOSUE</v>
      </c>
      <c r="C11" s="1">
        <f>VLOOKUP(A11,FONDSDECAISSE!A$5:C$52,3,0)</f>
        <v>0</v>
      </c>
      <c r="D11" s="6">
        <v>0</v>
      </c>
      <c r="E11" s="6"/>
      <c r="F11" s="6"/>
      <c r="G11" s="6"/>
      <c r="H11" s="6"/>
      <c r="I11" s="7" t="e">
        <f t="shared" si="0"/>
        <v>#REF!</v>
      </c>
      <c r="J11" s="7" t="e">
        <f>#REF!+#REF!+#REF!+#REF!+#REF!+#REF!+#REF!+#REF!+#REF!+#REF!+#REF!+#REF!</f>
        <v>#REF!</v>
      </c>
      <c r="K11" s="7" t="e">
        <f>#REF!+#REF!+#REF!+#REF!+#REF!+#REF!+#REF!+#REF!+#REF!+#REF!+#REF!+#REF!</f>
        <v>#REF!</v>
      </c>
      <c r="L11" s="7" t="e">
        <f>#REF!+#REF!+#REF!+#REF!+#REF!+#REF!+#REF!+#REF!+#REF!+#REF!+#REF!+#REF!</f>
        <v>#REF!</v>
      </c>
      <c r="M11" s="7" t="e">
        <f>#REF!+#REF!+#REF!+#REF!+#REF!+#REF!+#REF!+#REF!+#REF!+#REF!+#REF!+#REF!</f>
        <v>#REF!</v>
      </c>
      <c r="N11" s="7" t="e">
        <f>#REF!+#REF!+#REF!+#REF!+#REF!+#REF!+#REF!+#REF!+#REF!+#REF!+#REF!+#REF!</f>
        <v>#REF!</v>
      </c>
      <c r="O11" s="7" t="e">
        <f>#REF!+#REF!+#REF!+#REF!+#REF!+#REF!+#REF!+#REF!+#REF!+#REF!+#REF!+#REF!</f>
        <v>#REF!</v>
      </c>
      <c r="P11" s="7" t="e">
        <f>#REF!+#REF!+#REF!+#REF!+#REF!+#REF!+#REF!+#REF!+#REF!+#REF!+#REF!+#REF!</f>
        <v>#REF!</v>
      </c>
      <c r="Q11" s="7" t="e">
        <f>#REF!+#REF!+#REF!+#REF!+#REF!+#REF!+#REF!+#REF!+#REF!+#REF!+#REF!+#REF!</f>
        <v>#REF!</v>
      </c>
      <c r="R11" s="7" t="e">
        <f>#REF!+#REF!+#REF!+#REF!+#REF!+#REF!+#REF!+#REF!+#REF!+#REF!+#REF!+#REF!</f>
        <v>#REF!</v>
      </c>
      <c r="S11" s="7" t="e">
        <f>#REF!+#REF!+#REF!+#REF!+#REF!+#REF!+#REF!+#REF!+#REF!+#REF!+#REF!+#REF!</f>
        <v>#REF!</v>
      </c>
      <c r="T11" s="7" t="e">
        <f>#REF!+#REF!+#REF!+#REF!+#REF!+#REF!+#REF!+#REF!+#REF!+#REF!+#REF!+#REF!</f>
        <v>#REF!</v>
      </c>
      <c r="U11" s="7"/>
    </row>
    <row r="12" spans="1:22" x14ac:dyDescent="0.25">
      <c r="A12" s="1" t="s">
        <v>17</v>
      </c>
      <c r="B12" s="1" t="str">
        <f>VLOOKUP(A12,LISTADHERENT!A$5:H$52,2,0)</f>
        <v>DJOUNKEP SAMUEL</v>
      </c>
      <c r="C12" s="1">
        <f>VLOOKUP(A12,FONDSDECAISSE!A$5:C$52,3,0)</f>
        <v>420000</v>
      </c>
      <c r="D12" s="6">
        <f>1055294-69705</f>
        <v>985589</v>
      </c>
      <c r="E12" s="6"/>
      <c r="F12" s="6"/>
      <c r="G12" s="6"/>
      <c r="H12" s="6"/>
      <c r="I12" s="7" t="e">
        <f t="shared" si="0"/>
        <v>#REF!</v>
      </c>
      <c r="J12" s="7" t="e">
        <f>#REF!+#REF!+#REF!+#REF!+#REF!+#REF!+#REF!+#REF!+#REF!+#REF!+#REF!+#REF!</f>
        <v>#REF!</v>
      </c>
      <c r="K12" s="7" t="e">
        <f>#REF!+#REF!+#REF!+#REF!+#REF!+#REF!+#REF!+#REF!+#REF!+#REF!+#REF!+#REF!</f>
        <v>#REF!</v>
      </c>
      <c r="L12" s="7" t="e">
        <f>#REF!+#REF!+#REF!+#REF!+#REF!+#REF!+#REF!+#REF!+#REF!+#REF!+#REF!+#REF!</f>
        <v>#REF!</v>
      </c>
      <c r="M12" s="7" t="e">
        <f>#REF!+#REF!+#REF!+#REF!+#REF!+#REF!+#REF!+#REF!+#REF!+#REF!+#REF!+#REF!</f>
        <v>#REF!</v>
      </c>
      <c r="N12" s="7" t="e">
        <f>#REF!+#REF!+#REF!+#REF!+#REF!+#REF!+#REF!+#REF!+#REF!+#REF!+#REF!+#REF!</f>
        <v>#REF!</v>
      </c>
      <c r="O12" s="7" t="e">
        <f>#REF!+#REF!+#REF!+#REF!+#REF!+#REF!+#REF!+#REF!+#REF!+#REF!+#REF!+#REF!</f>
        <v>#REF!</v>
      </c>
      <c r="P12" s="7" t="e">
        <f>#REF!+#REF!+#REF!+#REF!+#REF!+#REF!+#REF!+#REF!+#REF!+#REF!+#REF!+#REF!</f>
        <v>#REF!</v>
      </c>
      <c r="Q12" s="7" t="e">
        <f>#REF!+#REF!+#REF!+#REF!+#REF!+#REF!+#REF!+#REF!+#REF!+#REF!+#REF!+#REF!</f>
        <v>#REF!</v>
      </c>
      <c r="R12" s="7" t="e">
        <f>#REF!+#REF!+#REF!+#REF!+#REF!+#REF!+#REF!+#REF!+#REF!+#REF!+#REF!+#REF!</f>
        <v>#REF!</v>
      </c>
      <c r="S12" s="7" t="e">
        <f>#REF!+#REF!+#REF!+#REF!+#REF!+#REF!+#REF!+#REF!+#REF!+#REF!+#REF!+#REF!</f>
        <v>#REF!</v>
      </c>
      <c r="T12" s="7" t="e">
        <f>#REF!+#REF!+#REF!+#REF!+#REF!+#REF!+#REF!+#REF!+#REF!+#REF!+#REF!+#REF!</f>
        <v>#REF!</v>
      </c>
      <c r="U12" s="7"/>
    </row>
    <row r="13" spans="1:22" x14ac:dyDescent="0.25">
      <c r="A13" s="1" t="s">
        <v>18</v>
      </c>
      <c r="B13" s="1" t="str">
        <f>VLOOKUP(A13,LISTADHERENT!A$5:H$52,2,0)</f>
        <v>DJUOMBESSY ANTOINE</v>
      </c>
      <c r="C13" s="1">
        <f>VLOOKUP(A13,FONDSDECAISSE!A$5:C$52,3,0)</f>
        <v>420000</v>
      </c>
      <c r="D13" s="6">
        <v>0</v>
      </c>
      <c r="E13" s="6"/>
      <c r="F13" s="6"/>
      <c r="G13" s="6"/>
      <c r="H13" s="6"/>
      <c r="I13" s="7" t="e">
        <f t="shared" si="0"/>
        <v>#REF!</v>
      </c>
      <c r="J13" s="7" t="e">
        <f>#REF!+#REF!+#REF!+#REF!+#REF!+#REF!+#REF!+#REF!+#REF!+#REF!+#REF!+#REF!</f>
        <v>#REF!</v>
      </c>
      <c r="K13" s="7" t="e">
        <f>#REF!+#REF!+#REF!+#REF!+#REF!+#REF!+#REF!+#REF!+#REF!+#REF!+#REF!+#REF!</f>
        <v>#REF!</v>
      </c>
      <c r="L13" s="7" t="e">
        <f>#REF!+#REF!+#REF!+#REF!+#REF!+#REF!+#REF!+#REF!+#REF!+#REF!+#REF!+#REF!</f>
        <v>#REF!</v>
      </c>
      <c r="M13" s="7" t="e">
        <f>#REF!+#REF!+#REF!+#REF!+#REF!+#REF!+#REF!+#REF!+#REF!+#REF!+#REF!+#REF!</f>
        <v>#REF!</v>
      </c>
      <c r="N13" s="7" t="e">
        <f>#REF!+#REF!+#REF!+#REF!+#REF!+#REF!+#REF!+#REF!+#REF!+#REF!+#REF!+#REF!</f>
        <v>#REF!</v>
      </c>
      <c r="O13" s="7" t="e">
        <f>#REF!+#REF!+#REF!+#REF!+#REF!+#REF!+#REF!+#REF!+#REF!+#REF!+#REF!+#REF!</f>
        <v>#REF!</v>
      </c>
      <c r="P13" s="7" t="e">
        <f>#REF!+#REF!+#REF!+#REF!+#REF!+#REF!+#REF!+#REF!+#REF!+#REF!+#REF!+#REF!</f>
        <v>#REF!</v>
      </c>
      <c r="Q13" s="7" t="e">
        <f>#REF!+#REF!+#REF!+#REF!+#REF!+#REF!+#REF!+#REF!+#REF!+#REF!+#REF!+#REF!</f>
        <v>#REF!</v>
      </c>
      <c r="R13" s="7" t="e">
        <f>#REF!+#REF!+#REF!+#REF!+#REF!+#REF!+#REF!+#REF!+#REF!+#REF!+#REF!+#REF!</f>
        <v>#REF!</v>
      </c>
      <c r="S13" s="7" t="e">
        <f>#REF!+#REF!+#REF!+#REF!+#REF!+#REF!+#REF!+#REF!+#REF!+#REF!+#REF!+#REF!</f>
        <v>#REF!</v>
      </c>
      <c r="T13" s="7" t="e">
        <f>#REF!+#REF!+#REF!+#REF!+#REF!+#REF!+#REF!+#REF!+#REF!+#REF!+#REF!+#REF!</f>
        <v>#REF!</v>
      </c>
      <c r="U13" s="7"/>
    </row>
    <row r="14" spans="1:22" x14ac:dyDescent="0.25">
      <c r="A14" s="1" t="s">
        <v>19</v>
      </c>
      <c r="B14" s="1" t="str">
        <f>VLOOKUP(A14,LISTADHERENT!A$5:H$52,2,0)</f>
        <v>DONHOU DAVID</v>
      </c>
      <c r="C14" s="1">
        <f>VLOOKUP(A14,FONDSDECAISSE!A$5:C$52,3,0)</f>
        <v>420000</v>
      </c>
      <c r="D14" s="6">
        <v>44734</v>
      </c>
      <c r="E14" s="6"/>
      <c r="F14" s="6"/>
      <c r="G14" s="6"/>
      <c r="H14" s="6"/>
      <c r="I14" s="7" t="e">
        <f t="shared" si="0"/>
        <v>#REF!</v>
      </c>
      <c r="J14" s="7" t="e">
        <f>#REF!+#REF!+#REF!+#REF!+#REF!+#REF!+#REF!+#REF!+#REF!+#REF!+#REF!+#REF!</f>
        <v>#REF!</v>
      </c>
      <c r="K14" s="7" t="e">
        <f>#REF!+#REF!+#REF!+#REF!+#REF!+#REF!+#REF!+#REF!+#REF!+#REF!+#REF!+#REF!</f>
        <v>#REF!</v>
      </c>
      <c r="L14" s="7" t="e">
        <f>#REF!+#REF!+#REF!+#REF!+#REF!+#REF!+#REF!+#REF!+#REF!+#REF!+#REF!+#REF!</f>
        <v>#REF!</v>
      </c>
      <c r="M14" s="7" t="e">
        <f>#REF!+#REF!+#REF!+#REF!+#REF!+#REF!+#REF!+#REF!+#REF!+#REF!+#REF!+#REF!</f>
        <v>#REF!</v>
      </c>
      <c r="N14" s="7" t="e">
        <f>#REF!+#REF!+#REF!+#REF!+#REF!+#REF!+#REF!+#REF!+#REF!+#REF!+#REF!+#REF!</f>
        <v>#REF!</v>
      </c>
      <c r="O14" s="7" t="e">
        <f>#REF!+#REF!+#REF!+#REF!+#REF!+#REF!+#REF!+#REF!+#REF!+#REF!+#REF!+#REF!</f>
        <v>#REF!</v>
      </c>
      <c r="P14" s="7" t="e">
        <f>#REF!+#REF!+#REF!+#REF!+#REF!+#REF!+#REF!+#REF!+#REF!+#REF!+#REF!+#REF!</f>
        <v>#REF!</v>
      </c>
      <c r="Q14" s="7" t="e">
        <f>#REF!+#REF!+#REF!+#REF!+#REF!+#REF!+#REF!+#REF!+#REF!+#REF!+#REF!+#REF!</f>
        <v>#REF!</v>
      </c>
      <c r="R14" s="7" t="e">
        <f>#REF!+#REF!+#REF!+#REF!+#REF!+#REF!+#REF!+#REF!+#REF!+#REF!+#REF!+#REF!</f>
        <v>#REF!</v>
      </c>
      <c r="S14" s="7" t="e">
        <f>#REF!+#REF!+#REF!+#REF!+#REF!+#REF!+#REF!+#REF!+#REF!+#REF!+#REF!+#REF!</f>
        <v>#REF!</v>
      </c>
      <c r="T14" s="7" t="e">
        <f>#REF!+#REF!+#REF!+#REF!+#REF!+#REF!+#REF!+#REF!+#REF!+#REF!+#REF!+#REF!</f>
        <v>#REF!</v>
      </c>
      <c r="U14" s="7"/>
    </row>
    <row r="15" spans="1:22" x14ac:dyDescent="0.25">
      <c r="A15" s="1" t="s">
        <v>20</v>
      </c>
      <c r="B15" s="1" t="str">
        <f>VLOOKUP(A15,LISTADHERENT!A$5:H$52,2,0)</f>
        <v>FOTSO THOMAS</v>
      </c>
      <c r="C15" s="1">
        <f>VLOOKUP(A15,FONDSDECAISSE!A$5:C$52,3,0)</f>
        <v>420000</v>
      </c>
      <c r="D15" s="6">
        <v>3318</v>
      </c>
      <c r="E15" s="6"/>
      <c r="F15" s="6"/>
      <c r="G15" s="6"/>
      <c r="H15" s="6"/>
      <c r="I15" s="7" t="e">
        <f t="shared" si="0"/>
        <v>#REF!</v>
      </c>
      <c r="J15" s="7" t="e">
        <f>#REF!+#REF!+#REF!+#REF!+#REF!+#REF!+#REF!+#REF!+#REF!+#REF!+#REF!+#REF!</f>
        <v>#REF!</v>
      </c>
      <c r="K15" s="7" t="e">
        <f>#REF!+#REF!+#REF!+#REF!+#REF!+#REF!+#REF!+#REF!+#REF!+#REF!+#REF!+#REF!</f>
        <v>#REF!</v>
      </c>
      <c r="L15" s="7" t="e">
        <f>#REF!+#REF!+#REF!+#REF!+#REF!+#REF!+#REF!+#REF!+#REF!+#REF!+#REF!+#REF!</f>
        <v>#REF!</v>
      </c>
      <c r="M15" s="7" t="e">
        <f>#REF!+#REF!+#REF!+#REF!+#REF!+#REF!+#REF!+#REF!+#REF!+#REF!+#REF!+#REF!</f>
        <v>#REF!</v>
      </c>
      <c r="N15" s="7" t="e">
        <f>#REF!+#REF!+#REF!+#REF!+#REF!+#REF!+#REF!+#REF!+#REF!+#REF!+#REF!+#REF!</f>
        <v>#REF!</v>
      </c>
      <c r="O15" s="7" t="e">
        <f>#REF!+#REF!+#REF!+#REF!+#REF!+#REF!+#REF!+#REF!+#REF!+#REF!+#REF!+#REF!</f>
        <v>#REF!</v>
      </c>
      <c r="P15" s="7" t="e">
        <f>#REF!+#REF!+#REF!+#REF!+#REF!+#REF!+#REF!+#REF!+#REF!+#REF!+#REF!+#REF!</f>
        <v>#REF!</v>
      </c>
      <c r="Q15" s="7" t="e">
        <f>#REF!+#REF!+#REF!+#REF!+#REF!+#REF!+#REF!+#REF!+#REF!+#REF!+#REF!+#REF!</f>
        <v>#REF!</v>
      </c>
      <c r="R15" s="7" t="e">
        <f>#REF!+#REF!+#REF!+#REF!+#REF!+#REF!+#REF!+#REF!+#REF!+#REF!+#REF!+#REF!</f>
        <v>#REF!</v>
      </c>
      <c r="S15" s="7" t="e">
        <f>#REF!+#REF!+#REF!+#REF!+#REF!+#REF!+#REF!+#REF!+#REF!+#REF!+#REF!+#REF!</f>
        <v>#REF!</v>
      </c>
      <c r="T15" s="7" t="e">
        <f>#REF!+#REF!+#REF!+#REF!+#REF!+#REF!+#REF!+#REF!+#REF!+#REF!+#REF!+#REF!</f>
        <v>#REF!</v>
      </c>
      <c r="U15" s="7"/>
    </row>
    <row r="16" spans="1:22" x14ac:dyDescent="0.25">
      <c r="A16" s="1" t="s">
        <v>21</v>
      </c>
      <c r="B16" s="1" t="str">
        <f>VLOOKUP(A16,LISTADHERENT!A$5:H$52,2,0)</f>
        <v>HENGUE PAUL OMER</v>
      </c>
      <c r="C16" s="1">
        <f>VLOOKUP(A16,FONDSDECAISSE!A$5:C$52,3,0)</f>
        <v>420000</v>
      </c>
      <c r="D16" s="6">
        <v>1083990</v>
      </c>
      <c r="E16" s="6"/>
      <c r="F16" s="6"/>
      <c r="G16" s="6"/>
      <c r="H16" s="6"/>
      <c r="I16" s="7" t="e">
        <f t="shared" si="0"/>
        <v>#REF!</v>
      </c>
      <c r="J16" s="7" t="e">
        <f>#REF!+#REF!+#REF!+#REF!+#REF!+#REF!+#REF!+#REF!+#REF!+#REF!+#REF!+#REF!</f>
        <v>#REF!</v>
      </c>
      <c r="K16" s="7" t="e">
        <f>#REF!+#REF!+#REF!+#REF!+#REF!+#REF!+#REF!+#REF!+#REF!+#REF!+#REF!+#REF!</f>
        <v>#REF!</v>
      </c>
      <c r="L16" s="7" t="e">
        <f>#REF!+#REF!+#REF!+#REF!+#REF!+#REF!+#REF!+#REF!+#REF!+#REF!+#REF!+#REF!</f>
        <v>#REF!</v>
      </c>
      <c r="M16" s="7" t="e">
        <f>#REF!+#REF!+#REF!+#REF!+#REF!+#REF!+#REF!+#REF!+#REF!+#REF!+#REF!+#REF!</f>
        <v>#REF!</v>
      </c>
      <c r="N16" s="7" t="e">
        <f>#REF!+#REF!+#REF!+#REF!+#REF!+#REF!+#REF!+#REF!+#REF!+#REF!+#REF!+#REF!</f>
        <v>#REF!</v>
      </c>
      <c r="O16" s="7" t="e">
        <f>#REF!+#REF!+#REF!+#REF!+#REF!+#REF!+#REF!+#REF!+#REF!+#REF!+#REF!+#REF!</f>
        <v>#REF!</v>
      </c>
      <c r="P16" s="7" t="e">
        <f>#REF!+#REF!+#REF!+#REF!+#REF!+#REF!+#REF!+#REF!+#REF!+#REF!+#REF!+#REF!</f>
        <v>#REF!</v>
      </c>
      <c r="Q16" s="7" t="e">
        <f>#REF!+#REF!+#REF!+#REF!+#REF!+#REF!+#REF!+#REF!+#REF!+#REF!+#REF!+#REF!</f>
        <v>#REF!</v>
      </c>
      <c r="R16" s="7" t="e">
        <f>#REF!+#REF!+#REF!+#REF!+#REF!+#REF!+#REF!+#REF!+#REF!+#REF!+#REF!+#REF!</f>
        <v>#REF!</v>
      </c>
      <c r="S16" s="7" t="e">
        <f>#REF!+#REF!+#REF!+#REF!+#REF!+#REF!+#REF!+#REF!+#REF!+#REF!+#REF!+#REF!</f>
        <v>#REF!</v>
      </c>
      <c r="T16" s="7" t="e">
        <f>#REF!+#REF!+#REF!+#REF!+#REF!+#REF!+#REF!+#REF!+#REF!+#REF!+#REF!+#REF!</f>
        <v>#REF!</v>
      </c>
      <c r="U16" s="7"/>
    </row>
    <row r="17" spans="1:21" x14ac:dyDescent="0.25">
      <c r="A17" s="1" t="s">
        <v>22</v>
      </c>
      <c r="B17" s="1" t="str">
        <f>VLOOKUP(A17,LISTADHERENT!A$5:H$52,2,0)</f>
        <v>HODIEP JULES</v>
      </c>
      <c r="C17" s="1">
        <f>VLOOKUP(A17,FONDSDECAISSE!A$5:C$52,3,0)</f>
        <v>50000</v>
      </c>
      <c r="D17" s="6">
        <v>0</v>
      </c>
      <c r="E17" s="6"/>
      <c r="F17" s="6"/>
      <c r="G17" s="6"/>
      <c r="H17" s="6"/>
      <c r="I17" s="7" t="e">
        <f t="shared" si="0"/>
        <v>#REF!</v>
      </c>
      <c r="J17" s="7" t="e">
        <f>#REF!+#REF!+#REF!+#REF!+#REF!+#REF!+#REF!+#REF!+#REF!+#REF!+#REF!+#REF!</f>
        <v>#REF!</v>
      </c>
      <c r="K17" s="7" t="e">
        <f>#REF!+#REF!+#REF!+#REF!+#REF!+#REF!+#REF!+#REF!+#REF!+#REF!+#REF!+#REF!</f>
        <v>#REF!</v>
      </c>
      <c r="L17" s="7" t="e">
        <f>#REF!+#REF!+#REF!+#REF!+#REF!+#REF!+#REF!+#REF!+#REF!+#REF!+#REF!+#REF!</f>
        <v>#REF!</v>
      </c>
      <c r="M17" s="7" t="e">
        <f>#REF!+#REF!+#REF!+#REF!+#REF!+#REF!+#REF!+#REF!+#REF!+#REF!+#REF!+#REF!</f>
        <v>#REF!</v>
      </c>
      <c r="N17" s="7" t="e">
        <f>#REF!+#REF!+#REF!+#REF!+#REF!+#REF!+#REF!+#REF!+#REF!+#REF!+#REF!+#REF!</f>
        <v>#REF!</v>
      </c>
      <c r="O17" s="7" t="e">
        <f>#REF!+#REF!+#REF!+#REF!+#REF!+#REF!+#REF!+#REF!+#REF!+#REF!+#REF!+#REF!</f>
        <v>#REF!</v>
      </c>
      <c r="P17" s="7" t="e">
        <f>#REF!+#REF!+#REF!+#REF!+#REF!+#REF!+#REF!+#REF!+#REF!+#REF!+#REF!+#REF!</f>
        <v>#REF!</v>
      </c>
      <c r="Q17" s="7" t="e">
        <f>#REF!+#REF!+#REF!+#REF!+#REF!+#REF!+#REF!+#REF!+#REF!+#REF!+#REF!+#REF!</f>
        <v>#REF!</v>
      </c>
      <c r="R17" s="7" t="e">
        <f>#REF!+#REF!+#REF!+#REF!+#REF!+#REF!+#REF!+#REF!+#REF!+#REF!+#REF!+#REF!</f>
        <v>#REF!</v>
      </c>
      <c r="S17" s="7" t="e">
        <f>#REF!+#REF!+#REF!+#REF!+#REF!+#REF!+#REF!+#REF!+#REF!+#REF!+#REF!+#REF!</f>
        <v>#REF!</v>
      </c>
      <c r="T17" s="7" t="e">
        <f>#REF!+#REF!+#REF!+#REF!+#REF!+#REF!+#REF!+#REF!+#REF!+#REF!+#REF!+#REF!</f>
        <v>#REF!</v>
      </c>
      <c r="U17" s="7"/>
    </row>
    <row r="18" spans="1:21" x14ac:dyDescent="0.25">
      <c r="A18" s="1" t="s">
        <v>23</v>
      </c>
      <c r="B18" s="1" t="str">
        <f>VLOOKUP(A18,LISTADHERENT!A$5:H$52,2,0)</f>
        <v>HOTCHO BENJAMIN</v>
      </c>
      <c r="C18" s="1">
        <f>VLOOKUP(A18,FONDSDECAISSE!A$5:C$52,3,0)</f>
        <v>420000</v>
      </c>
      <c r="D18" s="6">
        <v>8723</v>
      </c>
      <c r="E18" s="6"/>
      <c r="F18" s="6"/>
      <c r="G18" s="6"/>
      <c r="H18" s="6"/>
      <c r="I18" s="7" t="e">
        <f t="shared" si="0"/>
        <v>#REF!</v>
      </c>
      <c r="J18" s="7" t="e">
        <f>#REF!+#REF!+#REF!+#REF!+#REF!+#REF!+#REF!+#REF!+#REF!+#REF!+#REF!+#REF!</f>
        <v>#REF!</v>
      </c>
      <c r="K18" s="7" t="e">
        <f>#REF!+#REF!+#REF!+#REF!+#REF!+#REF!+#REF!+#REF!+#REF!+#REF!+#REF!+#REF!</f>
        <v>#REF!</v>
      </c>
      <c r="L18" s="7" t="e">
        <f>#REF!+#REF!+#REF!+#REF!+#REF!+#REF!+#REF!+#REF!+#REF!+#REF!+#REF!+#REF!</f>
        <v>#REF!</v>
      </c>
      <c r="M18" s="7" t="e">
        <f>#REF!+#REF!+#REF!+#REF!+#REF!+#REF!+#REF!+#REF!+#REF!+#REF!+#REF!+#REF!</f>
        <v>#REF!</v>
      </c>
      <c r="N18" s="7" t="e">
        <f>#REF!+#REF!+#REF!+#REF!+#REF!+#REF!+#REF!+#REF!+#REF!+#REF!+#REF!+#REF!</f>
        <v>#REF!</v>
      </c>
      <c r="O18" s="7" t="e">
        <f>#REF!+#REF!+#REF!+#REF!+#REF!+#REF!+#REF!+#REF!+#REF!+#REF!+#REF!+#REF!</f>
        <v>#REF!</v>
      </c>
      <c r="P18" s="7" t="e">
        <f>#REF!+#REF!+#REF!+#REF!+#REF!+#REF!+#REF!+#REF!+#REF!+#REF!+#REF!+#REF!</f>
        <v>#REF!</v>
      </c>
      <c r="Q18" s="7" t="e">
        <f>#REF!+#REF!+#REF!+#REF!+#REF!+#REF!+#REF!+#REF!+#REF!+#REF!+#REF!+#REF!</f>
        <v>#REF!</v>
      </c>
      <c r="R18" s="7" t="e">
        <f>#REF!+#REF!+#REF!+#REF!+#REF!+#REF!+#REF!+#REF!+#REF!+#REF!+#REF!+#REF!</f>
        <v>#REF!</v>
      </c>
      <c r="S18" s="7" t="e">
        <f>#REF!+#REF!+#REF!+#REF!+#REF!+#REF!+#REF!+#REF!+#REF!+#REF!+#REF!+#REF!</f>
        <v>#REF!</v>
      </c>
      <c r="T18" s="7" t="e">
        <f>#REF!+#REF!+#REF!+#REF!+#REF!+#REF!+#REF!+#REF!+#REF!+#REF!+#REF!+#REF!</f>
        <v>#REF!</v>
      </c>
      <c r="U18" s="7"/>
    </row>
    <row r="19" spans="1:21" x14ac:dyDescent="0.25">
      <c r="A19" s="1" t="s">
        <v>24</v>
      </c>
      <c r="B19" s="1" t="str">
        <f>VLOOKUP(A19,LISTADHERENT!A$5:H$52,2,0)</f>
        <v>KEPHE DAVID</v>
      </c>
      <c r="C19" s="1">
        <f>VLOOKUP(A19,FONDSDECAISSE!A$5:C$52,3,0)</f>
        <v>0</v>
      </c>
      <c r="D19" s="6">
        <v>12795</v>
      </c>
      <c r="E19" s="6"/>
      <c r="F19" s="6"/>
      <c r="G19" s="6"/>
      <c r="H19" s="6"/>
      <c r="I19" s="7" t="e">
        <f t="shared" si="0"/>
        <v>#REF!</v>
      </c>
      <c r="J19" s="7" t="e">
        <f>#REF!+#REF!+#REF!+#REF!+#REF!+#REF!+#REF!+#REF!+#REF!+#REF!+#REF!+#REF!</f>
        <v>#REF!</v>
      </c>
      <c r="K19" s="7" t="e">
        <f>#REF!+#REF!+#REF!+#REF!+#REF!+#REF!+#REF!+#REF!+#REF!+#REF!+#REF!+#REF!</f>
        <v>#REF!</v>
      </c>
      <c r="L19" s="7" t="e">
        <f>#REF!+#REF!+#REF!+#REF!+#REF!+#REF!+#REF!+#REF!+#REF!+#REF!+#REF!+#REF!</f>
        <v>#REF!</v>
      </c>
      <c r="M19" s="7" t="e">
        <f>#REF!+#REF!+#REF!+#REF!+#REF!+#REF!+#REF!+#REF!+#REF!+#REF!+#REF!+#REF!</f>
        <v>#REF!</v>
      </c>
      <c r="N19" s="7" t="e">
        <f>#REF!+#REF!+#REF!+#REF!+#REF!+#REF!+#REF!+#REF!+#REF!+#REF!+#REF!+#REF!</f>
        <v>#REF!</v>
      </c>
      <c r="O19" s="7" t="e">
        <f>#REF!+#REF!+#REF!+#REF!+#REF!+#REF!+#REF!+#REF!+#REF!+#REF!+#REF!+#REF!</f>
        <v>#REF!</v>
      </c>
      <c r="P19" s="7" t="e">
        <f>#REF!+#REF!+#REF!+#REF!+#REF!+#REF!+#REF!+#REF!+#REF!+#REF!+#REF!+#REF!</f>
        <v>#REF!</v>
      </c>
      <c r="Q19" s="7" t="e">
        <f>#REF!+#REF!+#REF!+#REF!+#REF!+#REF!+#REF!+#REF!+#REF!+#REF!+#REF!+#REF!</f>
        <v>#REF!</v>
      </c>
      <c r="R19" s="7" t="e">
        <f>#REF!+#REF!+#REF!+#REF!+#REF!+#REF!+#REF!+#REF!+#REF!+#REF!+#REF!+#REF!</f>
        <v>#REF!</v>
      </c>
      <c r="S19" s="7" t="e">
        <f>#REF!+#REF!+#REF!+#REF!+#REF!+#REF!+#REF!+#REF!+#REF!+#REF!+#REF!+#REF!</f>
        <v>#REF!</v>
      </c>
      <c r="T19" s="7" t="e">
        <f>#REF!+#REF!+#REF!+#REF!+#REF!+#REF!+#REF!+#REF!+#REF!+#REF!+#REF!+#REF!</f>
        <v>#REF!</v>
      </c>
      <c r="U19" s="7"/>
    </row>
    <row r="20" spans="1:21" x14ac:dyDescent="0.25">
      <c r="A20" s="1" t="s">
        <v>25</v>
      </c>
      <c r="B20" s="1" t="str">
        <f>VLOOKUP(A20,LISTADHERENT!A$5:H$52,2,0)</f>
        <v>KEPSEU FRANCIS</v>
      </c>
      <c r="C20" s="1">
        <f>VLOOKUP(A20,FONDSDECAISSE!A$5:C$52,3,0)</f>
        <v>420000</v>
      </c>
      <c r="D20" s="6">
        <v>186997</v>
      </c>
      <c r="E20" s="6"/>
      <c r="F20" s="6"/>
      <c r="G20" s="6"/>
      <c r="H20" s="6"/>
      <c r="I20" s="7" t="e">
        <f t="shared" si="0"/>
        <v>#REF!</v>
      </c>
      <c r="J20" s="7" t="e">
        <f>#REF!+#REF!+#REF!+#REF!+#REF!+#REF!+#REF!+#REF!+#REF!+#REF!+#REF!+#REF!</f>
        <v>#REF!</v>
      </c>
      <c r="K20" s="7" t="e">
        <f>#REF!+#REF!+#REF!+#REF!+#REF!+#REF!+#REF!+#REF!+#REF!+#REF!+#REF!+#REF!</f>
        <v>#REF!</v>
      </c>
      <c r="L20" s="7" t="e">
        <f>#REF!+#REF!+#REF!+#REF!+#REF!+#REF!+#REF!+#REF!+#REF!+#REF!+#REF!+#REF!</f>
        <v>#REF!</v>
      </c>
      <c r="M20" s="7" t="e">
        <f>#REF!+#REF!+#REF!+#REF!+#REF!+#REF!+#REF!+#REF!+#REF!+#REF!+#REF!+#REF!</f>
        <v>#REF!</v>
      </c>
      <c r="N20" s="7" t="e">
        <f>#REF!+#REF!+#REF!+#REF!+#REF!+#REF!+#REF!+#REF!+#REF!+#REF!+#REF!+#REF!</f>
        <v>#REF!</v>
      </c>
      <c r="O20" s="7" t="e">
        <f>#REF!+#REF!+#REF!+#REF!+#REF!+#REF!+#REF!+#REF!+#REF!+#REF!+#REF!+#REF!</f>
        <v>#REF!</v>
      </c>
      <c r="P20" s="7" t="e">
        <f>#REF!+#REF!+#REF!+#REF!+#REF!+#REF!+#REF!+#REF!+#REF!+#REF!+#REF!+#REF!</f>
        <v>#REF!</v>
      </c>
      <c r="Q20" s="7" t="e">
        <f>#REF!+#REF!+#REF!+#REF!+#REF!+#REF!+#REF!+#REF!+#REF!+#REF!+#REF!+#REF!</f>
        <v>#REF!</v>
      </c>
      <c r="R20" s="7" t="e">
        <f>#REF!+#REF!+#REF!+#REF!+#REF!+#REF!+#REF!+#REF!+#REF!+#REF!+#REF!+#REF!</f>
        <v>#REF!</v>
      </c>
      <c r="S20" s="7" t="e">
        <f>#REF!+#REF!+#REF!+#REF!+#REF!+#REF!+#REF!+#REF!+#REF!+#REF!+#REF!+#REF!</f>
        <v>#REF!</v>
      </c>
      <c r="T20" s="7" t="e">
        <f>#REF!+#REF!+#REF!+#REF!+#REF!+#REF!+#REF!+#REF!+#REF!+#REF!+#REF!+#REF!</f>
        <v>#REF!</v>
      </c>
      <c r="U20" s="7"/>
    </row>
    <row r="21" spans="1:21" x14ac:dyDescent="0.25">
      <c r="A21" s="1" t="s">
        <v>26</v>
      </c>
      <c r="B21" s="1" t="str">
        <f>VLOOKUP(A21,LISTADHERENT!A$5:H$52,2,0)</f>
        <v>KOUAMOU EMMANUEL</v>
      </c>
      <c r="C21" s="1">
        <f>VLOOKUP(A21,FONDSDECAISSE!A$5:C$52,3,0)</f>
        <v>420000</v>
      </c>
      <c r="D21" s="6">
        <v>2723</v>
      </c>
      <c r="E21" s="6"/>
      <c r="F21" s="6"/>
      <c r="G21" s="6"/>
      <c r="H21" s="6"/>
      <c r="I21" s="7" t="e">
        <f t="shared" si="0"/>
        <v>#REF!</v>
      </c>
      <c r="J21" s="7" t="e">
        <f>#REF!+#REF!+#REF!+#REF!+#REF!+#REF!+#REF!+#REF!+#REF!+#REF!+#REF!+#REF!</f>
        <v>#REF!</v>
      </c>
      <c r="K21" s="7" t="e">
        <f>#REF!+#REF!+#REF!+#REF!+#REF!+#REF!+#REF!+#REF!+#REF!+#REF!+#REF!+#REF!</f>
        <v>#REF!</v>
      </c>
      <c r="L21" s="7" t="e">
        <f>#REF!+#REF!+#REF!+#REF!+#REF!+#REF!+#REF!+#REF!+#REF!+#REF!+#REF!+#REF!</f>
        <v>#REF!</v>
      </c>
      <c r="M21" s="7" t="e">
        <f>#REF!+#REF!+#REF!+#REF!+#REF!+#REF!+#REF!+#REF!+#REF!+#REF!+#REF!+#REF!</f>
        <v>#REF!</v>
      </c>
      <c r="N21" s="7" t="e">
        <f>#REF!+#REF!+#REF!+#REF!+#REF!+#REF!+#REF!+#REF!+#REF!+#REF!+#REF!+#REF!</f>
        <v>#REF!</v>
      </c>
      <c r="O21" s="7" t="e">
        <f>#REF!+#REF!+#REF!+#REF!+#REF!+#REF!+#REF!+#REF!+#REF!+#REF!+#REF!+#REF!</f>
        <v>#REF!</v>
      </c>
      <c r="P21" s="7" t="e">
        <f>#REF!+#REF!+#REF!+#REF!+#REF!+#REF!+#REF!+#REF!+#REF!+#REF!+#REF!+#REF!</f>
        <v>#REF!</v>
      </c>
      <c r="Q21" s="7" t="e">
        <f>#REF!+#REF!+#REF!+#REF!+#REF!+#REF!+#REF!+#REF!+#REF!+#REF!+#REF!+#REF!</f>
        <v>#REF!</v>
      </c>
      <c r="R21" s="7" t="e">
        <f>#REF!+#REF!+#REF!+#REF!+#REF!+#REF!+#REF!+#REF!+#REF!+#REF!+#REF!+#REF!</f>
        <v>#REF!</v>
      </c>
      <c r="S21" s="7" t="e">
        <f>#REF!+#REF!+#REF!+#REF!+#REF!+#REF!+#REF!+#REF!+#REF!+#REF!+#REF!+#REF!</f>
        <v>#REF!</v>
      </c>
      <c r="T21" s="7" t="e">
        <f>#REF!+#REF!+#REF!+#REF!+#REF!+#REF!+#REF!+#REF!+#REF!+#REF!+#REF!+#REF!</f>
        <v>#REF!</v>
      </c>
      <c r="U21" s="7"/>
    </row>
    <row r="22" spans="1:21" ht="12.75" customHeight="1" x14ac:dyDescent="0.25">
      <c r="A22" s="1" t="s">
        <v>27</v>
      </c>
      <c r="B22" s="1" t="str">
        <f>VLOOKUP(A22,LISTADHERENT!A$5:H$52,2,0)</f>
        <v>KOUAMOU MOISE</v>
      </c>
      <c r="C22" s="1">
        <f>VLOOKUP(A22,FONDSDECAISSE!A$5:C$52,3,0)</f>
        <v>420000</v>
      </c>
      <c r="D22" s="6">
        <v>2099</v>
      </c>
      <c r="E22" s="6"/>
      <c r="F22" s="6"/>
      <c r="G22" s="6"/>
      <c r="H22" s="6"/>
      <c r="I22" s="7" t="e">
        <f t="shared" si="0"/>
        <v>#REF!</v>
      </c>
      <c r="J22" s="7" t="e">
        <f>#REF!+#REF!+#REF!+#REF!+#REF!+#REF!+#REF!+#REF!+#REF!+#REF!+#REF!+#REF!</f>
        <v>#REF!</v>
      </c>
      <c r="K22" s="7" t="e">
        <f>#REF!+#REF!+#REF!+#REF!+#REF!+#REF!+#REF!+#REF!+#REF!+#REF!+#REF!+#REF!</f>
        <v>#REF!</v>
      </c>
      <c r="L22" s="7" t="e">
        <f>#REF!+#REF!+#REF!+#REF!+#REF!+#REF!+#REF!+#REF!+#REF!+#REF!+#REF!+#REF!</f>
        <v>#REF!</v>
      </c>
      <c r="M22" s="7" t="e">
        <f>#REF!+#REF!+#REF!+#REF!+#REF!+#REF!+#REF!+#REF!+#REF!+#REF!+#REF!+#REF!</f>
        <v>#REF!</v>
      </c>
      <c r="N22" s="7" t="e">
        <f>#REF!+#REF!+#REF!+#REF!+#REF!+#REF!+#REF!+#REF!+#REF!+#REF!+#REF!+#REF!</f>
        <v>#REF!</v>
      </c>
      <c r="O22" s="7" t="e">
        <f>#REF!+#REF!+#REF!+#REF!+#REF!+#REF!+#REF!+#REF!+#REF!+#REF!+#REF!+#REF!</f>
        <v>#REF!</v>
      </c>
      <c r="P22" s="7" t="e">
        <f>#REF!+#REF!+#REF!+#REF!+#REF!+#REF!+#REF!+#REF!+#REF!+#REF!+#REF!+#REF!</f>
        <v>#REF!</v>
      </c>
      <c r="Q22" s="7" t="e">
        <f>#REF!+#REF!+#REF!+#REF!+#REF!+#REF!+#REF!+#REF!+#REF!+#REF!+#REF!+#REF!</f>
        <v>#REF!</v>
      </c>
      <c r="R22" s="7" t="e">
        <f>#REF!+#REF!+#REF!+#REF!+#REF!+#REF!+#REF!+#REF!+#REF!+#REF!+#REF!+#REF!</f>
        <v>#REF!</v>
      </c>
      <c r="S22" s="7" t="e">
        <f>#REF!+#REF!+#REF!+#REF!+#REF!+#REF!+#REF!+#REF!+#REF!+#REF!+#REF!+#REF!</f>
        <v>#REF!</v>
      </c>
      <c r="T22" s="7" t="e">
        <f>#REF!+#REF!+#REF!+#REF!+#REF!+#REF!+#REF!+#REF!+#REF!+#REF!+#REF!+#REF!</f>
        <v>#REF!</v>
      </c>
      <c r="U22" s="7"/>
    </row>
    <row r="23" spans="1:21" x14ac:dyDescent="0.25">
      <c r="A23" s="1" t="s">
        <v>28</v>
      </c>
      <c r="B23" s="1" t="str">
        <f>VLOOKUP(A23,LISTADHERENT!A$5:H$52,2,0)</f>
        <v>KOUAMO VICTOR PEGUY</v>
      </c>
      <c r="C23" s="1">
        <f>VLOOKUP(A23,FONDSDECAISSE!A$5:C$52,3,0)</f>
        <v>420000</v>
      </c>
      <c r="D23" s="6">
        <v>36629</v>
      </c>
      <c r="E23" s="6"/>
      <c r="F23" s="6"/>
      <c r="G23" s="6"/>
      <c r="H23" s="6"/>
      <c r="I23" s="7" t="e">
        <f t="shared" si="0"/>
        <v>#REF!</v>
      </c>
      <c r="J23" s="7" t="e">
        <f>#REF!+#REF!+#REF!+#REF!+#REF!+#REF!+#REF!+#REF!+#REF!+#REF!+#REF!+#REF!</f>
        <v>#REF!</v>
      </c>
      <c r="K23" s="7" t="e">
        <f>#REF!+#REF!+#REF!+#REF!+#REF!+#REF!+#REF!+#REF!+#REF!+#REF!+#REF!+#REF!</f>
        <v>#REF!</v>
      </c>
      <c r="L23" s="7" t="e">
        <f>#REF!+#REF!+#REF!+#REF!+#REF!+#REF!+#REF!+#REF!+#REF!+#REF!+#REF!+#REF!</f>
        <v>#REF!</v>
      </c>
      <c r="M23" s="7" t="e">
        <f>#REF!+#REF!+#REF!+#REF!+#REF!+#REF!+#REF!+#REF!+#REF!+#REF!+#REF!+#REF!</f>
        <v>#REF!</v>
      </c>
      <c r="N23" s="7" t="e">
        <f>#REF!+#REF!+#REF!+#REF!+#REF!+#REF!+#REF!+#REF!+#REF!+#REF!+#REF!+#REF!</f>
        <v>#REF!</v>
      </c>
      <c r="O23" s="7" t="e">
        <f>#REF!+#REF!+#REF!+#REF!+#REF!+#REF!+#REF!+#REF!+#REF!+#REF!+#REF!+#REF!</f>
        <v>#REF!</v>
      </c>
      <c r="P23" s="7" t="e">
        <f>#REF!+#REF!+#REF!+#REF!+#REF!+#REF!+#REF!+#REF!+#REF!+#REF!+#REF!+#REF!</f>
        <v>#REF!</v>
      </c>
      <c r="Q23" s="7" t="e">
        <f>#REF!+#REF!+#REF!+#REF!+#REF!+#REF!+#REF!+#REF!+#REF!+#REF!+#REF!+#REF!</f>
        <v>#REF!</v>
      </c>
      <c r="R23" s="7" t="e">
        <f>#REF!+#REF!+#REF!+#REF!+#REF!+#REF!+#REF!+#REF!+#REF!+#REF!+#REF!+#REF!</f>
        <v>#REF!</v>
      </c>
      <c r="S23" s="7" t="e">
        <f>#REF!+#REF!+#REF!+#REF!+#REF!+#REF!+#REF!+#REF!+#REF!+#REF!+#REF!+#REF!</f>
        <v>#REF!</v>
      </c>
      <c r="T23" s="7" t="e">
        <f>#REF!+#REF!+#REF!+#REF!+#REF!+#REF!+#REF!+#REF!+#REF!+#REF!+#REF!+#REF!</f>
        <v>#REF!</v>
      </c>
      <c r="U23" s="7"/>
    </row>
    <row r="24" spans="1:21" x14ac:dyDescent="0.25">
      <c r="A24" s="1" t="s">
        <v>29</v>
      </c>
      <c r="B24" s="1" t="str">
        <f>VLOOKUP(A24,LISTADHERENT!A$5:H$52,2,0)</f>
        <v>KOUATCHO MESSACK</v>
      </c>
      <c r="C24" s="1">
        <f>VLOOKUP(A24,FONDSDECAISSE!A$5:C$52,3,0)</f>
        <v>420000</v>
      </c>
      <c r="D24" s="6">
        <v>0</v>
      </c>
      <c r="E24" s="6"/>
      <c r="F24" s="6"/>
      <c r="G24" s="6"/>
      <c r="H24" s="6"/>
      <c r="I24" s="7" t="e">
        <f t="shared" si="0"/>
        <v>#REF!</v>
      </c>
      <c r="J24" s="7" t="e">
        <f>#REF!+#REF!+#REF!+#REF!+#REF!+#REF!+#REF!+#REF!+#REF!+#REF!+#REF!+#REF!</f>
        <v>#REF!</v>
      </c>
      <c r="K24" s="7" t="e">
        <f>#REF!+#REF!+#REF!+#REF!+#REF!+#REF!+#REF!+#REF!+#REF!+#REF!+#REF!+#REF!</f>
        <v>#REF!</v>
      </c>
      <c r="L24" s="7" t="e">
        <f>#REF!+#REF!+#REF!+#REF!+#REF!+#REF!+#REF!+#REF!+#REF!+#REF!+#REF!+#REF!</f>
        <v>#REF!</v>
      </c>
      <c r="M24" s="7" t="e">
        <f>#REF!+#REF!+#REF!+#REF!+#REF!+#REF!+#REF!+#REF!+#REF!+#REF!+#REF!+#REF!</f>
        <v>#REF!</v>
      </c>
      <c r="N24" s="7" t="e">
        <f>#REF!+#REF!+#REF!+#REF!+#REF!+#REF!+#REF!+#REF!+#REF!+#REF!+#REF!+#REF!</f>
        <v>#REF!</v>
      </c>
      <c r="O24" s="7" t="e">
        <f>#REF!+#REF!+#REF!+#REF!+#REF!+#REF!+#REF!+#REF!+#REF!+#REF!+#REF!+#REF!</f>
        <v>#REF!</v>
      </c>
      <c r="P24" s="7" t="e">
        <f>#REF!+#REF!+#REF!+#REF!+#REF!+#REF!+#REF!+#REF!+#REF!+#REF!+#REF!+#REF!</f>
        <v>#REF!</v>
      </c>
      <c r="Q24" s="7" t="e">
        <f>#REF!+#REF!+#REF!+#REF!+#REF!+#REF!+#REF!+#REF!+#REF!+#REF!+#REF!+#REF!</f>
        <v>#REF!</v>
      </c>
      <c r="R24" s="7" t="e">
        <f>#REF!+#REF!+#REF!+#REF!+#REF!+#REF!+#REF!+#REF!+#REF!+#REF!+#REF!+#REF!</f>
        <v>#REF!</v>
      </c>
      <c r="S24" s="7" t="e">
        <f>#REF!+#REF!+#REF!+#REF!+#REF!+#REF!+#REF!+#REF!+#REF!+#REF!+#REF!+#REF!</f>
        <v>#REF!</v>
      </c>
      <c r="T24" s="7" t="e">
        <f>#REF!+#REF!+#REF!+#REF!+#REF!+#REF!+#REF!+#REF!+#REF!+#REF!+#REF!+#REF!</f>
        <v>#REF!</v>
      </c>
      <c r="U24" s="7"/>
    </row>
    <row r="25" spans="1:21" x14ac:dyDescent="0.25">
      <c r="A25" s="1" t="s">
        <v>30</v>
      </c>
      <c r="B25" s="1" t="str">
        <f>VLOOKUP(A25,LISTADHERENT!A$5:H$52,2,0)</f>
        <v>LOWE JEAN</v>
      </c>
      <c r="C25" s="1">
        <f>VLOOKUP(A25,FONDSDECAISSE!A$5:C$52,3,0)</f>
        <v>420000</v>
      </c>
      <c r="D25" s="6">
        <v>4331</v>
      </c>
      <c r="E25" s="6"/>
      <c r="F25" s="6"/>
      <c r="G25" s="6"/>
      <c r="H25" s="6"/>
      <c r="I25" s="7" t="e">
        <f t="shared" si="0"/>
        <v>#REF!</v>
      </c>
      <c r="J25" s="7" t="e">
        <f>#REF!+#REF!+#REF!+#REF!+#REF!+#REF!+#REF!+#REF!+#REF!+#REF!+#REF!+#REF!</f>
        <v>#REF!</v>
      </c>
      <c r="K25" s="7" t="e">
        <f>#REF!+#REF!+#REF!+#REF!+#REF!+#REF!+#REF!+#REF!+#REF!+#REF!+#REF!+#REF!</f>
        <v>#REF!</v>
      </c>
      <c r="L25" s="7" t="e">
        <f>#REF!+#REF!+#REF!+#REF!+#REF!+#REF!+#REF!+#REF!+#REF!+#REF!+#REF!+#REF!</f>
        <v>#REF!</v>
      </c>
      <c r="M25" s="7" t="e">
        <f>#REF!+#REF!+#REF!+#REF!+#REF!+#REF!+#REF!+#REF!+#REF!+#REF!+#REF!+#REF!</f>
        <v>#REF!</v>
      </c>
      <c r="N25" s="7" t="e">
        <f>#REF!+#REF!+#REF!+#REF!+#REF!+#REF!+#REF!+#REF!+#REF!+#REF!+#REF!+#REF!</f>
        <v>#REF!</v>
      </c>
      <c r="O25" s="7" t="e">
        <f>#REF!+#REF!+#REF!+#REF!+#REF!+#REF!+#REF!+#REF!+#REF!+#REF!+#REF!+#REF!</f>
        <v>#REF!</v>
      </c>
      <c r="P25" s="7" t="e">
        <f>#REF!+#REF!+#REF!+#REF!+#REF!+#REF!+#REF!+#REF!+#REF!+#REF!+#REF!+#REF!</f>
        <v>#REF!</v>
      </c>
      <c r="Q25" s="7" t="e">
        <f>#REF!+#REF!+#REF!+#REF!+#REF!+#REF!+#REF!+#REF!+#REF!+#REF!+#REF!+#REF!</f>
        <v>#REF!</v>
      </c>
      <c r="R25" s="7" t="e">
        <f>#REF!+#REF!+#REF!+#REF!+#REF!+#REF!+#REF!+#REF!+#REF!+#REF!+#REF!+#REF!</f>
        <v>#REF!</v>
      </c>
      <c r="S25" s="7" t="e">
        <f>#REF!+#REF!+#REF!+#REF!+#REF!+#REF!+#REF!+#REF!+#REF!+#REF!+#REF!+#REF!</f>
        <v>#REF!</v>
      </c>
      <c r="T25" s="7" t="e">
        <f>#REF!+#REF!+#REF!+#REF!+#REF!+#REF!+#REF!+#REF!+#REF!+#REF!+#REF!+#REF!</f>
        <v>#REF!</v>
      </c>
      <c r="U25" s="7"/>
    </row>
    <row r="26" spans="1:21" x14ac:dyDescent="0.25">
      <c r="A26" s="1" t="s">
        <v>31</v>
      </c>
      <c r="B26" s="1" t="str">
        <f>VLOOKUP(A26,LISTADHERENT!A$5:H$52,2,0)</f>
        <v>NANKAM APPOLINAIRE</v>
      </c>
      <c r="C26" s="1">
        <f>VLOOKUP(A26,FONDSDECAISSE!A$5:C$52,3,0)</f>
        <v>420000</v>
      </c>
      <c r="D26" s="6">
        <v>4411</v>
      </c>
      <c r="E26" s="6"/>
      <c r="F26" s="6"/>
      <c r="G26" s="6"/>
      <c r="H26" s="6"/>
      <c r="I26" s="7" t="e">
        <f t="shared" si="0"/>
        <v>#REF!</v>
      </c>
      <c r="J26" s="7" t="e">
        <f>#REF!+#REF!+#REF!+#REF!+#REF!+#REF!+#REF!+#REF!+#REF!+#REF!+#REF!+#REF!</f>
        <v>#REF!</v>
      </c>
      <c r="K26" s="7" t="e">
        <f>#REF!+#REF!+#REF!+#REF!+#REF!+#REF!+#REF!+#REF!+#REF!+#REF!+#REF!+#REF!</f>
        <v>#REF!</v>
      </c>
      <c r="L26" s="7" t="e">
        <f>#REF!+#REF!+#REF!+#REF!+#REF!+#REF!+#REF!+#REF!+#REF!+#REF!+#REF!+#REF!</f>
        <v>#REF!</v>
      </c>
      <c r="M26" s="7" t="e">
        <f>#REF!+#REF!+#REF!+#REF!+#REF!+#REF!+#REF!+#REF!+#REF!+#REF!+#REF!+#REF!</f>
        <v>#REF!</v>
      </c>
      <c r="N26" s="7" t="e">
        <f>#REF!+#REF!+#REF!+#REF!+#REF!+#REF!+#REF!+#REF!+#REF!+#REF!+#REF!+#REF!</f>
        <v>#REF!</v>
      </c>
      <c r="O26" s="7" t="e">
        <f>#REF!+#REF!+#REF!+#REF!+#REF!+#REF!+#REF!+#REF!+#REF!+#REF!+#REF!+#REF!</f>
        <v>#REF!</v>
      </c>
      <c r="P26" s="7" t="e">
        <f>#REF!+#REF!+#REF!+#REF!+#REF!+#REF!+#REF!+#REF!+#REF!+#REF!+#REF!+#REF!</f>
        <v>#REF!</v>
      </c>
      <c r="Q26" s="7" t="e">
        <f>#REF!+#REF!+#REF!+#REF!+#REF!+#REF!+#REF!+#REF!+#REF!+#REF!+#REF!+#REF!</f>
        <v>#REF!</v>
      </c>
      <c r="R26" s="7" t="e">
        <f>#REF!+#REF!+#REF!+#REF!+#REF!+#REF!+#REF!+#REF!+#REF!+#REF!+#REF!+#REF!</f>
        <v>#REF!</v>
      </c>
      <c r="S26" s="7" t="e">
        <f>#REF!+#REF!+#REF!+#REF!+#REF!+#REF!+#REF!+#REF!+#REF!+#REF!+#REF!+#REF!</f>
        <v>#REF!</v>
      </c>
      <c r="T26" s="7" t="e">
        <f>#REF!+#REF!+#REF!+#REF!+#REF!+#REF!+#REF!+#REF!+#REF!+#REF!+#REF!+#REF!</f>
        <v>#REF!</v>
      </c>
      <c r="U26" s="7"/>
    </row>
    <row r="27" spans="1:21" x14ac:dyDescent="0.25">
      <c r="A27" s="1" t="s">
        <v>32</v>
      </c>
      <c r="B27" s="1" t="str">
        <f>VLOOKUP(A27,LISTADHERENT!A$5:H$52,2,0)</f>
        <v>NDJOMO ETIENNE</v>
      </c>
      <c r="C27" s="1">
        <f>VLOOKUP(A27,FONDSDECAISSE!A$5:C$52,3,0)</f>
        <v>420000</v>
      </c>
      <c r="D27" s="6">
        <v>2060</v>
      </c>
      <c r="E27" s="6"/>
      <c r="F27" s="6"/>
      <c r="G27" s="6"/>
      <c r="H27" s="6"/>
      <c r="I27" s="7" t="e">
        <f t="shared" si="0"/>
        <v>#REF!</v>
      </c>
      <c r="J27" s="7" t="e">
        <f>#REF!+#REF!+#REF!+#REF!+#REF!+#REF!+#REF!+#REF!+#REF!+#REF!+#REF!+#REF!</f>
        <v>#REF!</v>
      </c>
      <c r="K27" s="7" t="e">
        <f>#REF!+#REF!+#REF!+#REF!+#REF!+#REF!+#REF!+#REF!+#REF!+#REF!+#REF!+#REF!</f>
        <v>#REF!</v>
      </c>
      <c r="L27" s="7" t="e">
        <f>#REF!+#REF!+#REF!+#REF!+#REF!+#REF!+#REF!+#REF!+#REF!+#REF!+#REF!+#REF!</f>
        <v>#REF!</v>
      </c>
      <c r="M27" s="7" t="e">
        <f>#REF!+#REF!+#REF!+#REF!+#REF!+#REF!+#REF!+#REF!+#REF!+#REF!+#REF!+#REF!</f>
        <v>#REF!</v>
      </c>
      <c r="N27" s="7" t="e">
        <f>#REF!+#REF!+#REF!+#REF!+#REF!+#REF!+#REF!+#REF!+#REF!+#REF!+#REF!+#REF!</f>
        <v>#REF!</v>
      </c>
      <c r="O27" s="7" t="e">
        <f>#REF!+#REF!+#REF!+#REF!+#REF!+#REF!+#REF!+#REF!+#REF!+#REF!+#REF!+#REF!</f>
        <v>#REF!</v>
      </c>
      <c r="P27" s="7" t="e">
        <f>#REF!+#REF!+#REF!+#REF!+#REF!+#REF!+#REF!+#REF!+#REF!+#REF!+#REF!+#REF!</f>
        <v>#REF!</v>
      </c>
      <c r="Q27" s="7" t="e">
        <f>#REF!+#REF!+#REF!+#REF!+#REF!+#REF!+#REF!+#REF!+#REF!+#REF!+#REF!+#REF!</f>
        <v>#REF!</v>
      </c>
      <c r="R27" s="7" t="e">
        <f>#REF!+#REF!+#REF!+#REF!+#REF!+#REF!+#REF!+#REF!+#REF!+#REF!+#REF!+#REF!</f>
        <v>#REF!</v>
      </c>
      <c r="S27" s="7" t="e">
        <f>#REF!+#REF!+#REF!+#REF!+#REF!+#REF!+#REF!+#REF!+#REF!+#REF!+#REF!+#REF!</f>
        <v>#REF!</v>
      </c>
      <c r="T27" s="7" t="e">
        <f>#REF!+#REF!+#REF!+#REF!+#REF!+#REF!+#REF!+#REF!+#REF!+#REF!+#REF!+#REF!</f>
        <v>#REF!</v>
      </c>
      <c r="U27" s="7"/>
    </row>
    <row r="28" spans="1:21" x14ac:dyDescent="0.25">
      <c r="A28" s="1" t="s">
        <v>33</v>
      </c>
      <c r="B28" s="1" t="str">
        <f>VLOOKUP(A28,LISTADHERENT!A$5:H$52,2,0)</f>
        <v>NDOMBOU JEAN CLAUDE</v>
      </c>
      <c r="C28" s="1">
        <f>VLOOKUP(A28,FONDSDECAISSE!A$5:C$52,3,0)</f>
        <v>0</v>
      </c>
      <c r="D28" s="6">
        <v>0</v>
      </c>
      <c r="E28" s="6"/>
      <c r="F28" s="6"/>
      <c r="G28" s="6"/>
      <c r="H28" s="6"/>
      <c r="I28" s="7" t="e">
        <f t="shared" si="0"/>
        <v>#REF!</v>
      </c>
      <c r="J28" s="7" t="e">
        <f>#REF!+#REF!+#REF!+#REF!+#REF!+#REF!+#REF!+#REF!+#REF!+#REF!+#REF!+#REF!</f>
        <v>#REF!</v>
      </c>
      <c r="K28" s="7" t="e">
        <f>#REF!+#REF!+#REF!+#REF!+#REF!+#REF!+#REF!+#REF!+#REF!+#REF!+#REF!+#REF!</f>
        <v>#REF!</v>
      </c>
      <c r="L28" s="7" t="e">
        <f>#REF!+#REF!+#REF!+#REF!+#REF!+#REF!+#REF!+#REF!+#REF!+#REF!+#REF!+#REF!</f>
        <v>#REF!</v>
      </c>
      <c r="M28" s="7" t="e">
        <f>#REF!+#REF!+#REF!+#REF!+#REF!+#REF!+#REF!+#REF!+#REF!+#REF!+#REF!+#REF!</f>
        <v>#REF!</v>
      </c>
      <c r="N28" s="7" t="e">
        <f>#REF!+#REF!+#REF!+#REF!+#REF!+#REF!+#REF!+#REF!+#REF!+#REF!+#REF!+#REF!</f>
        <v>#REF!</v>
      </c>
      <c r="O28" s="7" t="e">
        <f>#REF!+#REF!+#REF!+#REF!+#REF!+#REF!+#REF!+#REF!+#REF!+#REF!+#REF!+#REF!</f>
        <v>#REF!</v>
      </c>
      <c r="P28" s="7" t="e">
        <f>#REF!+#REF!+#REF!+#REF!+#REF!+#REF!+#REF!+#REF!+#REF!+#REF!+#REF!+#REF!</f>
        <v>#REF!</v>
      </c>
      <c r="Q28" s="7" t="e">
        <f>#REF!+#REF!+#REF!+#REF!+#REF!+#REF!+#REF!+#REF!+#REF!+#REF!+#REF!+#REF!</f>
        <v>#REF!</v>
      </c>
      <c r="R28" s="7" t="e">
        <f>#REF!+#REF!+#REF!+#REF!+#REF!+#REF!+#REF!+#REF!+#REF!+#REF!+#REF!+#REF!</f>
        <v>#REF!</v>
      </c>
      <c r="S28" s="7" t="e">
        <f>#REF!+#REF!+#REF!+#REF!+#REF!+#REF!+#REF!+#REF!+#REF!+#REF!+#REF!+#REF!</f>
        <v>#REF!</v>
      </c>
      <c r="T28" s="7" t="e">
        <f>#REF!+#REF!+#REF!+#REF!+#REF!+#REF!+#REF!+#REF!+#REF!+#REF!+#REF!+#REF!</f>
        <v>#REF!</v>
      </c>
      <c r="U28" s="7"/>
    </row>
    <row r="29" spans="1:21" x14ac:dyDescent="0.25">
      <c r="A29" s="1" t="s">
        <v>34</v>
      </c>
      <c r="B29" s="1" t="str">
        <f>VLOOKUP(A29,LISTADHERENT!A$5:H$52,2,0)</f>
        <v>NGONDIEP CLAUDE</v>
      </c>
      <c r="C29" s="1">
        <f>VLOOKUP(A29,FONDSDECAISSE!A$5:C$52,3,0)</f>
        <v>420000</v>
      </c>
      <c r="D29" s="6">
        <v>179574</v>
      </c>
      <c r="E29" s="6"/>
      <c r="F29" s="6"/>
      <c r="G29" s="6"/>
      <c r="H29" s="6"/>
      <c r="I29" s="7" t="e">
        <f t="shared" si="0"/>
        <v>#REF!</v>
      </c>
      <c r="J29" s="7" t="e">
        <f>#REF!+#REF!+#REF!+#REF!+#REF!+#REF!+#REF!+#REF!+#REF!+#REF!+#REF!+#REF!</f>
        <v>#REF!</v>
      </c>
      <c r="K29" s="7" t="e">
        <f>#REF!+#REF!+#REF!+#REF!+#REF!+#REF!+#REF!+#REF!+#REF!+#REF!+#REF!+#REF!</f>
        <v>#REF!</v>
      </c>
      <c r="L29" s="7" t="e">
        <f>#REF!+#REF!+#REF!+#REF!+#REF!+#REF!+#REF!+#REF!+#REF!+#REF!+#REF!+#REF!</f>
        <v>#REF!</v>
      </c>
      <c r="M29" s="7" t="e">
        <f>#REF!+#REF!+#REF!+#REF!+#REF!+#REF!+#REF!+#REF!+#REF!+#REF!+#REF!+#REF!</f>
        <v>#REF!</v>
      </c>
      <c r="N29" s="7" t="e">
        <f>#REF!+#REF!+#REF!+#REF!+#REF!+#REF!+#REF!+#REF!+#REF!+#REF!+#REF!+#REF!</f>
        <v>#REF!</v>
      </c>
      <c r="O29" s="7" t="e">
        <f>#REF!+#REF!+#REF!+#REF!+#REF!+#REF!+#REF!+#REF!+#REF!+#REF!+#REF!+#REF!</f>
        <v>#REF!</v>
      </c>
      <c r="P29" s="7" t="e">
        <f>#REF!+#REF!+#REF!+#REF!+#REF!+#REF!+#REF!+#REF!+#REF!+#REF!+#REF!+#REF!</f>
        <v>#REF!</v>
      </c>
      <c r="Q29" s="7" t="e">
        <f>#REF!+#REF!+#REF!+#REF!+#REF!+#REF!+#REF!+#REF!+#REF!+#REF!+#REF!+#REF!</f>
        <v>#REF!</v>
      </c>
      <c r="R29" s="7" t="e">
        <f>#REF!+#REF!+#REF!+#REF!+#REF!+#REF!+#REF!+#REF!+#REF!+#REF!+#REF!+#REF!</f>
        <v>#REF!</v>
      </c>
      <c r="S29" s="7" t="e">
        <f>#REF!+#REF!+#REF!+#REF!+#REF!+#REF!+#REF!+#REF!+#REF!+#REF!+#REF!+#REF!</f>
        <v>#REF!</v>
      </c>
      <c r="T29" s="7" t="e">
        <f>#REF!+#REF!+#REF!+#REF!+#REF!+#REF!+#REF!+#REF!+#REF!+#REF!+#REF!+#REF!</f>
        <v>#REF!</v>
      </c>
      <c r="U29" s="7"/>
    </row>
    <row r="30" spans="1:21" x14ac:dyDescent="0.25">
      <c r="A30" s="1" t="s">
        <v>35</v>
      </c>
      <c r="B30" s="1" t="str">
        <f>VLOOKUP(A30,LISTADHERENT!A$5:H$52,2,0)</f>
        <v>NGONGANG JEAN THEODORE</v>
      </c>
      <c r="C30" s="1">
        <f>VLOOKUP(A30,FONDSDECAISSE!A$5:C$52,3,0)</f>
        <v>0</v>
      </c>
      <c r="D30" s="6">
        <v>0</v>
      </c>
      <c r="E30" s="6"/>
      <c r="F30" s="6"/>
      <c r="G30" s="6"/>
      <c r="H30" s="6"/>
      <c r="I30" s="7" t="e">
        <f t="shared" si="0"/>
        <v>#REF!</v>
      </c>
      <c r="J30" s="7" t="e">
        <f>#REF!+#REF!+#REF!+#REF!+#REF!+#REF!+#REF!+#REF!+#REF!+#REF!+#REF!+#REF!</f>
        <v>#REF!</v>
      </c>
      <c r="K30" s="7" t="e">
        <f>#REF!+#REF!+#REF!+#REF!+#REF!+#REF!+#REF!+#REF!+#REF!+#REF!+#REF!+#REF!</f>
        <v>#REF!</v>
      </c>
      <c r="L30" s="7" t="e">
        <f>#REF!+#REF!+#REF!+#REF!+#REF!+#REF!+#REF!+#REF!+#REF!+#REF!+#REF!+#REF!</f>
        <v>#REF!</v>
      </c>
      <c r="M30" s="7" t="e">
        <f>#REF!+#REF!+#REF!+#REF!+#REF!+#REF!+#REF!+#REF!+#REF!+#REF!+#REF!+#REF!</f>
        <v>#REF!</v>
      </c>
      <c r="N30" s="7" t="e">
        <f>#REF!+#REF!+#REF!+#REF!+#REF!+#REF!+#REF!+#REF!+#REF!+#REF!+#REF!+#REF!</f>
        <v>#REF!</v>
      </c>
      <c r="O30" s="7" t="e">
        <f>#REF!+#REF!+#REF!+#REF!+#REF!+#REF!+#REF!+#REF!+#REF!+#REF!+#REF!+#REF!</f>
        <v>#REF!</v>
      </c>
      <c r="P30" s="7" t="e">
        <f>#REF!+#REF!+#REF!+#REF!+#REF!+#REF!+#REF!+#REF!+#REF!+#REF!+#REF!+#REF!</f>
        <v>#REF!</v>
      </c>
      <c r="Q30" s="7" t="e">
        <f>#REF!+#REF!+#REF!+#REF!+#REF!+#REF!+#REF!+#REF!+#REF!+#REF!+#REF!+#REF!</f>
        <v>#REF!</v>
      </c>
      <c r="R30" s="7" t="e">
        <f>#REF!+#REF!+#REF!+#REF!+#REF!+#REF!+#REF!+#REF!+#REF!+#REF!+#REF!+#REF!</f>
        <v>#REF!</v>
      </c>
      <c r="S30" s="7" t="e">
        <f>#REF!+#REF!+#REF!+#REF!+#REF!+#REF!+#REF!+#REF!+#REF!+#REF!+#REF!+#REF!</f>
        <v>#REF!</v>
      </c>
      <c r="T30" s="7" t="e">
        <f>#REF!+#REF!+#REF!+#REF!+#REF!+#REF!+#REF!+#REF!+#REF!+#REF!+#REF!+#REF!</f>
        <v>#REF!</v>
      </c>
      <c r="U30" s="7"/>
    </row>
    <row r="31" spans="1:21" x14ac:dyDescent="0.25">
      <c r="A31" s="1" t="s">
        <v>36</v>
      </c>
      <c r="B31" s="1" t="str">
        <f>VLOOKUP(A31,LISTADHERENT!A$5:H$52,2,0)</f>
        <v>NGUIEMEGNI MATHIEU BLAISE</v>
      </c>
      <c r="C31" s="1">
        <f>VLOOKUP(A31,FONDSDECAISSE!A$5:C$52,3,0)</f>
        <v>420000</v>
      </c>
      <c r="D31" s="6">
        <v>0</v>
      </c>
      <c r="E31" s="6"/>
      <c r="F31" s="6"/>
      <c r="G31" s="6"/>
      <c r="H31" s="6"/>
      <c r="I31" s="7" t="e">
        <f t="shared" si="0"/>
        <v>#REF!</v>
      </c>
      <c r="J31" s="7" t="e">
        <f>#REF!+#REF!+#REF!+#REF!+#REF!+#REF!+#REF!+#REF!+#REF!+#REF!+#REF!+#REF!</f>
        <v>#REF!</v>
      </c>
      <c r="K31" s="7" t="e">
        <f>#REF!+#REF!+#REF!+#REF!+#REF!+#REF!+#REF!+#REF!+#REF!+#REF!+#REF!+#REF!</f>
        <v>#REF!</v>
      </c>
      <c r="L31" s="7" t="e">
        <f>#REF!+#REF!+#REF!+#REF!+#REF!+#REF!+#REF!+#REF!+#REF!+#REF!+#REF!+#REF!</f>
        <v>#REF!</v>
      </c>
      <c r="M31" s="7" t="e">
        <f>#REF!+#REF!+#REF!+#REF!+#REF!+#REF!+#REF!+#REF!+#REF!+#REF!+#REF!+#REF!</f>
        <v>#REF!</v>
      </c>
      <c r="N31" s="7" t="e">
        <f>#REF!+#REF!+#REF!+#REF!+#REF!+#REF!+#REF!+#REF!+#REF!+#REF!+#REF!+#REF!</f>
        <v>#REF!</v>
      </c>
      <c r="O31" s="7" t="e">
        <f>#REF!+#REF!+#REF!+#REF!+#REF!+#REF!+#REF!+#REF!+#REF!+#REF!+#REF!+#REF!</f>
        <v>#REF!</v>
      </c>
      <c r="P31" s="7" t="e">
        <f>#REF!+#REF!+#REF!+#REF!+#REF!+#REF!+#REF!+#REF!+#REF!+#REF!+#REF!+#REF!</f>
        <v>#REF!</v>
      </c>
      <c r="Q31" s="7" t="e">
        <f>#REF!+#REF!+#REF!+#REF!+#REF!+#REF!+#REF!+#REF!+#REF!+#REF!+#REF!+#REF!</f>
        <v>#REF!</v>
      </c>
      <c r="R31" s="7" t="e">
        <f>#REF!+#REF!+#REF!+#REF!+#REF!+#REF!+#REF!+#REF!+#REF!+#REF!+#REF!+#REF!</f>
        <v>#REF!</v>
      </c>
      <c r="S31" s="7" t="e">
        <f>#REF!+#REF!+#REF!+#REF!+#REF!+#REF!+#REF!+#REF!+#REF!+#REF!+#REF!+#REF!</f>
        <v>#REF!</v>
      </c>
      <c r="T31" s="7" t="e">
        <f>#REF!+#REF!+#REF!+#REF!+#REF!+#REF!+#REF!+#REF!+#REF!+#REF!+#REF!+#REF!</f>
        <v>#REF!</v>
      </c>
      <c r="U31" s="7"/>
    </row>
    <row r="32" spans="1:21" x14ac:dyDescent="0.25">
      <c r="A32" s="1" t="s">
        <v>37</v>
      </c>
      <c r="B32" s="1" t="str">
        <f>VLOOKUP(A32,LISTADHERENT!A$5:H$52,2,0)</f>
        <v>NJEPDJIO MBOUKAM DELUXE</v>
      </c>
      <c r="C32" s="1">
        <f>VLOOKUP(A32,FONDSDECAISSE!A$5:C$52,3,0)</f>
        <v>420000</v>
      </c>
      <c r="D32" s="6">
        <v>1734</v>
      </c>
      <c r="E32" s="6"/>
      <c r="F32" s="6"/>
      <c r="G32" s="6"/>
      <c r="H32" s="6"/>
      <c r="I32" s="7" t="e">
        <f t="shared" si="0"/>
        <v>#REF!</v>
      </c>
      <c r="J32" s="7" t="e">
        <f>#REF!+#REF!+#REF!+#REF!+#REF!+#REF!+#REF!+#REF!+#REF!+#REF!+#REF!+#REF!</f>
        <v>#REF!</v>
      </c>
      <c r="K32" s="7" t="e">
        <f>#REF!+#REF!+#REF!+#REF!+#REF!+#REF!+#REF!+#REF!+#REF!+#REF!+#REF!+#REF!</f>
        <v>#REF!</v>
      </c>
      <c r="L32" s="7" t="e">
        <f>#REF!+#REF!+#REF!+#REF!+#REF!+#REF!+#REF!+#REF!+#REF!+#REF!+#REF!+#REF!</f>
        <v>#REF!</v>
      </c>
      <c r="M32" s="7" t="e">
        <f>#REF!+#REF!+#REF!+#REF!+#REF!+#REF!+#REF!+#REF!+#REF!+#REF!+#REF!+#REF!</f>
        <v>#REF!</v>
      </c>
      <c r="N32" s="7" t="e">
        <f>#REF!+#REF!+#REF!+#REF!+#REF!+#REF!+#REF!+#REF!+#REF!+#REF!+#REF!+#REF!</f>
        <v>#REF!</v>
      </c>
      <c r="O32" s="7" t="e">
        <f>#REF!+#REF!+#REF!+#REF!+#REF!+#REF!+#REF!+#REF!+#REF!+#REF!+#REF!+#REF!</f>
        <v>#REF!</v>
      </c>
      <c r="P32" s="7" t="e">
        <f>#REF!+#REF!+#REF!+#REF!+#REF!+#REF!+#REF!+#REF!+#REF!+#REF!+#REF!+#REF!</f>
        <v>#REF!</v>
      </c>
      <c r="Q32" s="7" t="e">
        <f>#REF!+#REF!+#REF!+#REF!+#REF!+#REF!+#REF!+#REF!+#REF!+#REF!+#REF!+#REF!</f>
        <v>#REF!</v>
      </c>
      <c r="R32" s="7" t="e">
        <f>#REF!+#REF!+#REF!+#REF!+#REF!+#REF!+#REF!+#REF!+#REF!+#REF!+#REF!+#REF!</f>
        <v>#REF!</v>
      </c>
      <c r="S32" s="7" t="e">
        <f>#REF!+#REF!+#REF!+#REF!+#REF!+#REF!+#REF!+#REF!+#REF!+#REF!+#REF!+#REF!</f>
        <v>#REF!</v>
      </c>
      <c r="T32" s="7" t="e">
        <f>#REF!+#REF!+#REF!+#REF!+#REF!+#REF!+#REF!+#REF!+#REF!+#REF!+#REF!+#REF!</f>
        <v>#REF!</v>
      </c>
      <c r="U32" s="7"/>
    </row>
    <row r="33" spans="1:21" x14ac:dyDescent="0.25">
      <c r="A33" s="1" t="s">
        <v>38</v>
      </c>
      <c r="B33" s="1" t="str">
        <f>VLOOKUP(A33,LISTADHERENT!A$5:H$52,2,0)</f>
        <v>NKAMGANG JUSTIN DEJOLIE</v>
      </c>
      <c r="C33" s="1">
        <f>VLOOKUP(A33,FONDSDECAISSE!A$5:C$52,3,0)</f>
        <v>102800</v>
      </c>
      <c r="D33" s="6">
        <v>0</v>
      </c>
      <c r="E33" s="6"/>
      <c r="F33" s="6"/>
      <c r="G33" s="6"/>
      <c r="H33" s="6"/>
      <c r="I33" s="7" t="e">
        <f t="shared" si="0"/>
        <v>#REF!</v>
      </c>
      <c r="J33" s="7" t="e">
        <f>#REF!+#REF!+#REF!+#REF!+#REF!+#REF!+#REF!+#REF!+#REF!+#REF!+#REF!+#REF!</f>
        <v>#REF!</v>
      </c>
      <c r="K33" s="7" t="e">
        <f>#REF!+#REF!+#REF!+#REF!+#REF!+#REF!+#REF!+#REF!+#REF!+#REF!+#REF!+#REF!</f>
        <v>#REF!</v>
      </c>
      <c r="L33" s="7" t="e">
        <f>#REF!+#REF!+#REF!+#REF!+#REF!+#REF!+#REF!+#REF!+#REF!+#REF!+#REF!+#REF!</f>
        <v>#REF!</v>
      </c>
      <c r="M33" s="7" t="e">
        <f>#REF!+#REF!+#REF!+#REF!+#REF!+#REF!+#REF!+#REF!+#REF!+#REF!+#REF!+#REF!</f>
        <v>#REF!</v>
      </c>
      <c r="N33" s="7" t="e">
        <f>#REF!+#REF!+#REF!+#REF!+#REF!+#REF!+#REF!+#REF!+#REF!+#REF!+#REF!+#REF!</f>
        <v>#REF!</v>
      </c>
      <c r="O33" s="7" t="e">
        <f>#REF!+#REF!+#REF!+#REF!+#REF!+#REF!+#REF!+#REF!+#REF!+#REF!+#REF!+#REF!</f>
        <v>#REF!</v>
      </c>
      <c r="P33" s="7" t="e">
        <f>#REF!+#REF!+#REF!+#REF!+#REF!+#REF!+#REF!+#REF!+#REF!+#REF!+#REF!+#REF!</f>
        <v>#REF!</v>
      </c>
      <c r="Q33" s="7" t="e">
        <f>#REF!+#REF!+#REF!+#REF!+#REF!+#REF!+#REF!+#REF!+#REF!+#REF!+#REF!+#REF!</f>
        <v>#REF!</v>
      </c>
      <c r="R33" s="7" t="e">
        <f>#REF!+#REF!+#REF!+#REF!+#REF!+#REF!+#REF!+#REF!+#REF!+#REF!+#REF!+#REF!</f>
        <v>#REF!</v>
      </c>
      <c r="S33" s="7" t="e">
        <f>#REF!+#REF!+#REF!+#REF!+#REF!+#REF!+#REF!+#REF!+#REF!+#REF!+#REF!+#REF!</f>
        <v>#REF!</v>
      </c>
      <c r="T33" s="7" t="e">
        <f>#REF!+#REF!+#REF!+#REF!+#REF!+#REF!+#REF!+#REF!+#REF!+#REF!+#REF!+#REF!</f>
        <v>#REF!</v>
      </c>
      <c r="U33" s="7"/>
    </row>
    <row r="34" spans="1:21" x14ac:dyDescent="0.25">
      <c r="A34" s="1" t="s">
        <v>39</v>
      </c>
      <c r="B34" s="1" t="str">
        <f>VLOOKUP(A34,LISTADHERENT!A$5:H$52,2,0)</f>
        <v>NKEPSEU DIEUDONNE</v>
      </c>
      <c r="C34" s="1">
        <f>VLOOKUP(A34,FONDSDECAISSE!A$5:C$52,3,0)</f>
        <v>420000</v>
      </c>
      <c r="D34" s="6">
        <v>8739</v>
      </c>
      <c r="E34" s="6"/>
      <c r="F34" s="6"/>
      <c r="G34" s="6"/>
      <c r="H34" s="6"/>
      <c r="I34" s="7" t="e">
        <f t="shared" si="0"/>
        <v>#REF!</v>
      </c>
      <c r="J34" s="7" t="e">
        <f>#REF!+#REF!+#REF!+#REF!+#REF!+#REF!+#REF!+#REF!+#REF!+#REF!+#REF!+#REF!</f>
        <v>#REF!</v>
      </c>
      <c r="K34" s="7" t="e">
        <f>#REF!+#REF!+#REF!+#REF!+#REF!+#REF!+#REF!+#REF!+#REF!+#REF!+#REF!+#REF!</f>
        <v>#REF!</v>
      </c>
      <c r="L34" s="7" t="e">
        <f>#REF!+#REF!+#REF!+#REF!+#REF!+#REF!+#REF!+#REF!+#REF!+#REF!+#REF!+#REF!</f>
        <v>#REF!</v>
      </c>
      <c r="M34" s="7" t="e">
        <f>#REF!+#REF!+#REF!+#REF!+#REF!+#REF!+#REF!+#REF!+#REF!+#REF!+#REF!+#REF!</f>
        <v>#REF!</v>
      </c>
      <c r="N34" s="7" t="e">
        <f>#REF!+#REF!+#REF!+#REF!+#REF!+#REF!+#REF!+#REF!+#REF!+#REF!+#REF!+#REF!</f>
        <v>#REF!</v>
      </c>
      <c r="O34" s="7" t="e">
        <f>#REF!+#REF!+#REF!+#REF!+#REF!+#REF!+#REF!+#REF!+#REF!+#REF!+#REF!+#REF!</f>
        <v>#REF!</v>
      </c>
      <c r="P34" s="7" t="e">
        <f>#REF!+#REF!+#REF!+#REF!+#REF!+#REF!+#REF!+#REF!+#REF!+#REF!+#REF!+#REF!</f>
        <v>#REF!</v>
      </c>
      <c r="Q34" s="7" t="e">
        <f>#REF!+#REF!+#REF!+#REF!+#REF!+#REF!+#REF!+#REF!+#REF!+#REF!+#REF!+#REF!</f>
        <v>#REF!</v>
      </c>
      <c r="R34" s="7" t="e">
        <f>#REF!+#REF!+#REF!+#REF!+#REF!+#REF!+#REF!+#REF!+#REF!+#REF!+#REF!+#REF!</f>
        <v>#REF!</v>
      </c>
      <c r="S34" s="7" t="e">
        <f>#REF!+#REF!+#REF!+#REF!+#REF!+#REF!+#REF!+#REF!+#REF!+#REF!+#REF!+#REF!</f>
        <v>#REF!</v>
      </c>
      <c r="T34" s="7" t="e">
        <f>#REF!+#REF!+#REF!+#REF!+#REF!+#REF!+#REF!+#REF!+#REF!+#REF!+#REF!+#REF!</f>
        <v>#REF!</v>
      </c>
      <c r="U34" s="7"/>
    </row>
    <row r="35" spans="1:21" x14ac:dyDescent="0.25">
      <c r="A35" s="1" t="s">
        <v>40</v>
      </c>
      <c r="B35" s="1" t="str">
        <f>VLOOKUP(A35,LISTADHERENT!A$5:H$52,2,0)</f>
        <v>NKEPSEU HENANG RENE</v>
      </c>
      <c r="C35" s="1">
        <f>VLOOKUP(A35,FONDSDECAISSE!A$5:C$52,3,0)</f>
        <v>0</v>
      </c>
      <c r="D35" s="6">
        <v>7983</v>
      </c>
      <c r="E35" s="6"/>
      <c r="F35" s="6"/>
      <c r="G35" s="6"/>
      <c r="H35" s="6"/>
      <c r="I35" s="7" t="e">
        <f t="shared" si="0"/>
        <v>#REF!</v>
      </c>
      <c r="J35" s="7" t="e">
        <f>#REF!+#REF!+#REF!+#REF!+#REF!+#REF!+#REF!+#REF!+#REF!+#REF!+#REF!+#REF!</f>
        <v>#REF!</v>
      </c>
      <c r="K35" s="7" t="e">
        <f>#REF!+#REF!+#REF!+#REF!+#REF!+#REF!+#REF!+#REF!+#REF!+#REF!+#REF!+#REF!</f>
        <v>#REF!</v>
      </c>
      <c r="L35" s="7" t="e">
        <f>#REF!+#REF!+#REF!+#REF!+#REF!+#REF!+#REF!+#REF!+#REF!+#REF!+#REF!+#REF!</f>
        <v>#REF!</v>
      </c>
      <c r="M35" s="7" t="e">
        <f>#REF!+#REF!+#REF!+#REF!+#REF!+#REF!+#REF!+#REF!+#REF!+#REF!+#REF!+#REF!</f>
        <v>#REF!</v>
      </c>
      <c r="N35" s="7" t="e">
        <f>#REF!+#REF!+#REF!+#REF!+#REF!+#REF!+#REF!+#REF!+#REF!+#REF!+#REF!+#REF!</f>
        <v>#REF!</v>
      </c>
      <c r="O35" s="7" t="e">
        <f>#REF!+#REF!+#REF!+#REF!+#REF!+#REF!+#REF!+#REF!+#REF!+#REF!+#REF!+#REF!</f>
        <v>#REF!</v>
      </c>
      <c r="P35" s="7" t="e">
        <f>#REF!+#REF!+#REF!+#REF!+#REF!+#REF!+#REF!+#REF!+#REF!+#REF!+#REF!+#REF!</f>
        <v>#REF!</v>
      </c>
      <c r="Q35" s="7" t="e">
        <f>#REF!+#REF!+#REF!+#REF!+#REF!+#REF!+#REF!+#REF!+#REF!+#REF!+#REF!+#REF!</f>
        <v>#REF!</v>
      </c>
      <c r="R35" s="7" t="e">
        <f>#REF!+#REF!+#REF!+#REF!+#REF!+#REF!+#REF!+#REF!+#REF!+#REF!+#REF!+#REF!</f>
        <v>#REF!</v>
      </c>
      <c r="S35" s="7" t="e">
        <f>#REF!+#REF!+#REF!+#REF!+#REF!+#REF!+#REF!+#REF!+#REF!+#REF!+#REF!+#REF!</f>
        <v>#REF!</v>
      </c>
      <c r="T35" s="7" t="e">
        <f>#REF!+#REF!+#REF!+#REF!+#REF!+#REF!+#REF!+#REF!+#REF!+#REF!+#REF!+#REF!</f>
        <v>#REF!</v>
      </c>
      <c r="U35" s="7"/>
    </row>
    <row r="36" spans="1:21" x14ac:dyDescent="0.25">
      <c r="A36" s="1" t="s">
        <v>41</v>
      </c>
      <c r="B36" s="1" t="str">
        <f>VLOOKUP(A36,LISTADHERENT!A$5:H$52,2,0)</f>
        <v>NTEPDIE TUEMAC MZ</v>
      </c>
      <c r="C36" s="1">
        <f>VLOOKUP(A36,FONDSDECAISSE!A$5:C$52,3,0)</f>
        <v>0</v>
      </c>
      <c r="D36" s="6">
        <v>0</v>
      </c>
      <c r="E36" s="6"/>
      <c r="F36" s="6"/>
      <c r="G36" s="6"/>
      <c r="H36" s="6"/>
      <c r="I36" s="7" t="e">
        <f t="shared" si="0"/>
        <v>#REF!</v>
      </c>
      <c r="J36" s="7" t="e">
        <f>#REF!+#REF!+#REF!+#REF!+#REF!+#REF!+#REF!+#REF!+#REF!+#REF!+#REF!+#REF!</f>
        <v>#REF!</v>
      </c>
      <c r="K36" s="7" t="e">
        <f>#REF!+#REF!+#REF!+#REF!+#REF!+#REF!+#REF!+#REF!+#REF!+#REF!+#REF!+#REF!</f>
        <v>#REF!</v>
      </c>
      <c r="L36" s="7" t="e">
        <f>#REF!+#REF!+#REF!+#REF!+#REF!+#REF!+#REF!+#REF!+#REF!+#REF!+#REF!+#REF!</f>
        <v>#REF!</v>
      </c>
      <c r="M36" s="7" t="e">
        <f>#REF!+#REF!+#REF!+#REF!+#REF!+#REF!+#REF!+#REF!+#REF!+#REF!+#REF!+#REF!</f>
        <v>#REF!</v>
      </c>
      <c r="N36" s="7" t="e">
        <f>#REF!+#REF!+#REF!+#REF!+#REF!+#REF!+#REF!+#REF!+#REF!+#REF!+#REF!+#REF!</f>
        <v>#REF!</v>
      </c>
      <c r="O36" s="7" t="e">
        <f>#REF!+#REF!+#REF!+#REF!+#REF!+#REF!+#REF!+#REF!+#REF!+#REF!+#REF!+#REF!</f>
        <v>#REF!</v>
      </c>
      <c r="P36" s="7" t="e">
        <f>#REF!+#REF!+#REF!+#REF!+#REF!+#REF!+#REF!+#REF!+#REF!+#REF!+#REF!+#REF!</f>
        <v>#REF!</v>
      </c>
      <c r="Q36" s="7" t="e">
        <f>#REF!+#REF!+#REF!+#REF!+#REF!+#REF!+#REF!+#REF!+#REF!+#REF!+#REF!+#REF!</f>
        <v>#REF!</v>
      </c>
      <c r="R36" s="7" t="e">
        <f>#REF!+#REF!+#REF!+#REF!+#REF!+#REF!+#REF!+#REF!+#REF!+#REF!+#REF!+#REF!</f>
        <v>#REF!</v>
      </c>
      <c r="S36" s="7" t="e">
        <f>#REF!+#REF!+#REF!+#REF!+#REF!+#REF!+#REF!+#REF!+#REF!+#REF!+#REF!+#REF!</f>
        <v>#REF!</v>
      </c>
      <c r="T36" s="7" t="e">
        <f>#REF!+#REF!+#REF!+#REF!+#REF!+#REF!+#REF!+#REF!+#REF!+#REF!+#REF!+#REF!</f>
        <v>#REF!</v>
      </c>
      <c r="U36" s="7"/>
    </row>
    <row r="37" spans="1:21" x14ac:dyDescent="0.25">
      <c r="A37" s="1" t="s">
        <v>42</v>
      </c>
      <c r="B37" s="1" t="str">
        <f>VLOOKUP(A37,LISTADHERENT!A$5:H$52,2,0)</f>
        <v>NTOMBOU ADOLPHE</v>
      </c>
      <c r="C37" s="1">
        <f>VLOOKUP(A37,FONDSDECAISSE!A$5:C$52,3,0)</f>
        <v>0</v>
      </c>
      <c r="D37" s="6">
        <v>0</v>
      </c>
      <c r="E37" s="6"/>
      <c r="F37" s="6"/>
      <c r="G37" s="6"/>
      <c r="H37" s="6"/>
      <c r="I37" s="7" t="e">
        <f t="shared" si="0"/>
        <v>#REF!</v>
      </c>
      <c r="J37" s="7" t="e">
        <f>#REF!+#REF!+#REF!+#REF!+#REF!+#REF!+#REF!+#REF!+#REF!+#REF!+#REF!+#REF!</f>
        <v>#REF!</v>
      </c>
      <c r="K37" s="7" t="e">
        <f>#REF!+#REF!+#REF!+#REF!+#REF!+#REF!+#REF!+#REF!+#REF!+#REF!+#REF!+#REF!</f>
        <v>#REF!</v>
      </c>
      <c r="L37" s="7" t="e">
        <f>#REF!+#REF!+#REF!+#REF!+#REF!+#REF!+#REF!+#REF!+#REF!+#REF!+#REF!+#REF!</f>
        <v>#REF!</v>
      </c>
      <c r="M37" s="7" t="e">
        <f>#REF!+#REF!+#REF!+#REF!+#REF!+#REF!+#REF!+#REF!+#REF!+#REF!+#REF!+#REF!</f>
        <v>#REF!</v>
      </c>
      <c r="N37" s="7" t="e">
        <f>#REF!+#REF!+#REF!+#REF!+#REF!+#REF!+#REF!+#REF!+#REF!+#REF!+#REF!+#REF!</f>
        <v>#REF!</v>
      </c>
      <c r="O37" s="7" t="e">
        <f>#REF!+#REF!+#REF!+#REF!+#REF!+#REF!+#REF!+#REF!+#REF!+#REF!+#REF!+#REF!</f>
        <v>#REF!</v>
      </c>
      <c r="P37" s="7" t="e">
        <f>#REF!+#REF!+#REF!+#REF!+#REF!+#REF!+#REF!+#REF!+#REF!+#REF!+#REF!+#REF!</f>
        <v>#REF!</v>
      </c>
      <c r="Q37" s="7" t="e">
        <f>#REF!+#REF!+#REF!+#REF!+#REF!+#REF!+#REF!+#REF!+#REF!+#REF!+#REF!+#REF!</f>
        <v>#REF!</v>
      </c>
      <c r="R37" s="7" t="e">
        <f>#REF!+#REF!+#REF!+#REF!+#REF!+#REF!+#REF!+#REF!+#REF!+#REF!+#REF!+#REF!</f>
        <v>#REF!</v>
      </c>
      <c r="S37" s="7" t="e">
        <f>#REF!+#REF!+#REF!+#REF!+#REF!+#REF!+#REF!+#REF!+#REF!+#REF!+#REF!+#REF!</f>
        <v>#REF!</v>
      </c>
      <c r="T37" s="7" t="e">
        <f>#REF!+#REF!+#REF!+#REF!+#REF!+#REF!+#REF!+#REF!+#REF!+#REF!+#REF!+#REF!</f>
        <v>#REF!</v>
      </c>
      <c r="U37" s="7"/>
    </row>
    <row r="38" spans="1:21" x14ac:dyDescent="0.25">
      <c r="A38" s="1" t="s">
        <v>43</v>
      </c>
      <c r="B38" s="1" t="str">
        <f>VLOOKUP(A38,LISTADHERENT!A$5:H$52,2,0)</f>
        <v>PATEGO NJOSSU GUSTAVE</v>
      </c>
      <c r="C38" s="1">
        <f>VLOOKUP(A38,FONDSDECAISSE!A$5:C$52,3,0)</f>
        <v>420000</v>
      </c>
      <c r="D38" s="6">
        <v>140</v>
      </c>
      <c r="E38" s="6"/>
      <c r="F38" s="6"/>
      <c r="G38" s="6"/>
      <c r="H38" s="6"/>
      <c r="I38" s="7" t="e">
        <f t="shared" si="0"/>
        <v>#REF!</v>
      </c>
      <c r="J38" s="7" t="e">
        <f>#REF!+#REF!+#REF!+#REF!+#REF!+#REF!+#REF!+#REF!+#REF!+#REF!+#REF!+#REF!</f>
        <v>#REF!</v>
      </c>
      <c r="K38" s="7" t="e">
        <f>#REF!+#REF!+#REF!+#REF!+#REF!+#REF!+#REF!+#REF!+#REF!+#REF!+#REF!+#REF!</f>
        <v>#REF!</v>
      </c>
      <c r="L38" s="7" t="e">
        <f>#REF!+#REF!+#REF!+#REF!+#REF!+#REF!+#REF!+#REF!+#REF!+#REF!+#REF!+#REF!</f>
        <v>#REF!</v>
      </c>
      <c r="M38" s="7" t="e">
        <f>#REF!+#REF!+#REF!+#REF!+#REF!+#REF!+#REF!+#REF!+#REF!+#REF!+#REF!+#REF!</f>
        <v>#REF!</v>
      </c>
      <c r="N38" s="7" t="e">
        <f>#REF!+#REF!+#REF!+#REF!+#REF!+#REF!+#REF!+#REF!+#REF!+#REF!+#REF!+#REF!</f>
        <v>#REF!</v>
      </c>
      <c r="O38" s="7" t="e">
        <f>#REF!+#REF!+#REF!+#REF!+#REF!+#REF!+#REF!+#REF!+#REF!+#REF!+#REF!+#REF!</f>
        <v>#REF!</v>
      </c>
      <c r="P38" s="7" t="e">
        <f>#REF!+#REF!+#REF!+#REF!+#REF!+#REF!+#REF!+#REF!+#REF!+#REF!+#REF!+#REF!</f>
        <v>#REF!</v>
      </c>
      <c r="Q38" s="7" t="e">
        <f>#REF!+#REF!+#REF!+#REF!+#REF!+#REF!+#REF!+#REF!+#REF!+#REF!+#REF!+#REF!</f>
        <v>#REF!</v>
      </c>
      <c r="R38" s="7" t="e">
        <f>#REF!+#REF!+#REF!+#REF!+#REF!+#REF!+#REF!+#REF!+#REF!+#REF!+#REF!+#REF!</f>
        <v>#REF!</v>
      </c>
      <c r="S38" s="7" t="e">
        <f>#REF!+#REF!+#REF!+#REF!+#REF!+#REF!+#REF!+#REF!+#REF!+#REF!+#REF!+#REF!</f>
        <v>#REF!</v>
      </c>
      <c r="T38" s="7" t="e">
        <f>#REF!+#REF!+#REF!+#REF!+#REF!+#REF!+#REF!+#REF!+#REF!+#REF!+#REF!+#REF!</f>
        <v>#REF!</v>
      </c>
      <c r="U38" s="7"/>
    </row>
    <row r="39" spans="1:21" x14ac:dyDescent="0.25">
      <c r="A39" s="1" t="s">
        <v>44</v>
      </c>
      <c r="B39" s="1" t="str">
        <f>VLOOKUP(A39,LISTADHERENT!A$5:H$52,2,0)</f>
        <v>SEUNOU RICHELOT</v>
      </c>
      <c r="C39" s="1">
        <f>VLOOKUP(A39,FONDSDECAISSE!A$5:C$52,3,0)</f>
        <v>420000</v>
      </c>
      <c r="D39" s="6">
        <v>2632</v>
      </c>
      <c r="E39" s="6"/>
      <c r="F39" s="6"/>
      <c r="G39" s="6"/>
      <c r="H39" s="6"/>
      <c r="I39" s="7" t="e">
        <f t="shared" si="0"/>
        <v>#REF!</v>
      </c>
      <c r="J39" s="7" t="e">
        <f>#REF!+#REF!+#REF!+#REF!+#REF!+#REF!+#REF!+#REF!+#REF!+#REF!+#REF!+#REF!</f>
        <v>#REF!</v>
      </c>
      <c r="K39" s="7" t="e">
        <f>#REF!+#REF!+#REF!+#REF!+#REF!+#REF!+#REF!+#REF!+#REF!+#REF!+#REF!+#REF!</f>
        <v>#REF!</v>
      </c>
      <c r="L39" s="7" t="e">
        <f>#REF!+#REF!+#REF!+#REF!+#REF!+#REF!+#REF!+#REF!+#REF!+#REF!+#REF!+#REF!</f>
        <v>#REF!</v>
      </c>
      <c r="M39" s="7" t="e">
        <f>#REF!+#REF!+#REF!+#REF!+#REF!+#REF!+#REF!+#REF!+#REF!+#REF!+#REF!+#REF!</f>
        <v>#REF!</v>
      </c>
      <c r="N39" s="7" t="e">
        <f>#REF!+#REF!+#REF!+#REF!+#REF!+#REF!+#REF!+#REF!+#REF!+#REF!+#REF!+#REF!</f>
        <v>#REF!</v>
      </c>
      <c r="O39" s="7" t="e">
        <f>#REF!+#REF!+#REF!+#REF!+#REF!+#REF!+#REF!+#REF!+#REF!+#REF!+#REF!+#REF!</f>
        <v>#REF!</v>
      </c>
      <c r="P39" s="7" t="e">
        <f>#REF!+#REF!+#REF!+#REF!+#REF!+#REF!+#REF!+#REF!+#REF!+#REF!+#REF!+#REF!</f>
        <v>#REF!</v>
      </c>
      <c r="Q39" s="7" t="e">
        <f>#REF!+#REF!+#REF!+#REF!+#REF!+#REF!+#REF!+#REF!+#REF!+#REF!+#REF!+#REF!</f>
        <v>#REF!</v>
      </c>
      <c r="R39" s="7" t="e">
        <f>#REF!+#REF!+#REF!+#REF!+#REF!+#REF!+#REF!+#REF!+#REF!+#REF!+#REF!+#REF!</f>
        <v>#REF!</v>
      </c>
      <c r="S39" s="7" t="e">
        <f>#REF!+#REF!+#REF!+#REF!+#REF!+#REF!+#REF!+#REF!+#REF!+#REF!+#REF!+#REF!</f>
        <v>#REF!</v>
      </c>
      <c r="T39" s="7" t="e">
        <f>#REF!+#REF!+#REF!+#REF!+#REF!+#REF!+#REF!+#REF!+#REF!+#REF!+#REF!+#REF!</f>
        <v>#REF!</v>
      </c>
      <c r="U39" s="7"/>
    </row>
    <row r="40" spans="1:21" x14ac:dyDescent="0.25">
      <c r="A40" s="1" t="s">
        <v>45</v>
      </c>
      <c r="B40" s="1" t="str">
        <f>VLOOKUP(A40,LISTADHERENT!A$5:H$52,2,0)</f>
        <v>SIME ABEL</v>
      </c>
      <c r="C40" s="1">
        <f>VLOOKUP(A40,FONDSDECAISSE!A$5:C$52,3,0)</f>
        <v>390000</v>
      </c>
      <c r="D40" s="6">
        <v>0</v>
      </c>
      <c r="E40" s="6"/>
      <c r="F40" s="6"/>
      <c r="G40" s="6"/>
      <c r="H40" s="6"/>
      <c r="I40" s="7" t="e">
        <f t="shared" si="0"/>
        <v>#REF!</v>
      </c>
      <c r="J40" s="7" t="e">
        <f>#REF!+#REF!+#REF!+#REF!+#REF!+#REF!+#REF!+#REF!+#REF!+#REF!+#REF!+#REF!</f>
        <v>#REF!</v>
      </c>
      <c r="K40" s="7" t="e">
        <f>#REF!+#REF!+#REF!+#REF!+#REF!+#REF!+#REF!+#REF!+#REF!+#REF!+#REF!+#REF!</f>
        <v>#REF!</v>
      </c>
      <c r="L40" s="7" t="e">
        <f>#REF!+#REF!+#REF!+#REF!+#REF!+#REF!+#REF!+#REF!+#REF!+#REF!+#REF!+#REF!</f>
        <v>#REF!</v>
      </c>
      <c r="M40" s="7" t="e">
        <f>#REF!+#REF!+#REF!+#REF!+#REF!+#REF!+#REF!+#REF!+#REF!+#REF!+#REF!+#REF!</f>
        <v>#REF!</v>
      </c>
      <c r="N40" s="7" t="e">
        <f>#REF!+#REF!+#REF!+#REF!+#REF!+#REF!+#REF!+#REF!+#REF!+#REF!+#REF!+#REF!</f>
        <v>#REF!</v>
      </c>
      <c r="O40" s="7" t="e">
        <f>#REF!+#REF!+#REF!+#REF!+#REF!+#REF!+#REF!+#REF!+#REF!+#REF!+#REF!+#REF!</f>
        <v>#REF!</v>
      </c>
      <c r="P40" s="7" t="e">
        <f>#REF!+#REF!+#REF!+#REF!+#REF!+#REF!+#REF!+#REF!+#REF!+#REF!+#REF!+#REF!</f>
        <v>#REF!</v>
      </c>
      <c r="Q40" s="7" t="e">
        <f>#REF!+#REF!+#REF!+#REF!+#REF!+#REF!+#REF!+#REF!+#REF!+#REF!+#REF!+#REF!</f>
        <v>#REF!</v>
      </c>
      <c r="R40" s="7" t="e">
        <f>#REF!+#REF!+#REF!+#REF!+#REF!+#REF!+#REF!+#REF!+#REF!+#REF!+#REF!+#REF!</f>
        <v>#REF!</v>
      </c>
      <c r="S40" s="7" t="e">
        <f>#REF!+#REF!+#REF!+#REF!+#REF!+#REF!+#REF!+#REF!+#REF!+#REF!+#REF!+#REF!</f>
        <v>#REF!</v>
      </c>
      <c r="T40" s="7" t="e">
        <f>#REF!+#REF!+#REF!+#REF!+#REF!+#REF!+#REF!+#REF!+#REF!+#REF!+#REF!+#REF!</f>
        <v>#REF!</v>
      </c>
      <c r="U40" s="7"/>
    </row>
    <row r="41" spans="1:21" x14ac:dyDescent="0.25">
      <c r="A41" s="1" t="s">
        <v>46</v>
      </c>
      <c r="B41" s="1" t="str">
        <f>VLOOKUP(A41,LISTADHERENT!A$5:H$52,2,0)</f>
        <v>SIME FONGANG ERIC</v>
      </c>
      <c r="C41" s="1">
        <f>VLOOKUP(A41,FONDSDECAISSE!A$5:C$52,3,0)</f>
        <v>420000</v>
      </c>
      <c r="D41" s="6">
        <v>982</v>
      </c>
      <c r="E41" s="6"/>
      <c r="F41" s="6"/>
      <c r="G41" s="6"/>
      <c r="H41" s="6"/>
      <c r="I41" s="7" t="e">
        <f t="shared" si="0"/>
        <v>#REF!</v>
      </c>
      <c r="J41" s="7" t="e">
        <f>#REF!+#REF!+#REF!+#REF!+#REF!+#REF!+#REF!+#REF!+#REF!+#REF!+#REF!+#REF!</f>
        <v>#REF!</v>
      </c>
      <c r="K41" s="7" t="e">
        <f>#REF!+#REF!+#REF!+#REF!+#REF!+#REF!+#REF!+#REF!+#REF!+#REF!+#REF!+#REF!</f>
        <v>#REF!</v>
      </c>
      <c r="L41" s="7" t="e">
        <f>#REF!+#REF!+#REF!+#REF!+#REF!+#REF!+#REF!+#REF!+#REF!+#REF!+#REF!+#REF!</f>
        <v>#REF!</v>
      </c>
      <c r="M41" s="7" t="e">
        <f>#REF!+#REF!+#REF!+#REF!+#REF!+#REF!+#REF!+#REF!+#REF!+#REF!+#REF!+#REF!</f>
        <v>#REF!</v>
      </c>
      <c r="N41" s="7" t="e">
        <f>#REF!+#REF!+#REF!+#REF!+#REF!+#REF!+#REF!+#REF!+#REF!+#REF!+#REF!+#REF!</f>
        <v>#REF!</v>
      </c>
      <c r="O41" s="7" t="e">
        <f>#REF!+#REF!+#REF!+#REF!+#REF!+#REF!+#REF!+#REF!+#REF!+#REF!+#REF!+#REF!</f>
        <v>#REF!</v>
      </c>
      <c r="P41" s="7" t="e">
        <f>#REF!+#REF!+#REF!+#REF!+#REF!+#REF!+#REF!+#REF!+#REF!+#REF!+#REF!+#REF!</f>
        <v>#REF!</v>
      </c>
      <c r="Q41" s="7" t="e">
        <f>#REF!+#REF!+#REF!+#REF!+#REF!+#REF!+#REF!+#REF!+#REF!+#REF!+#REF!+#REF!</f>
        <v>#REF!</v>
      </c>
      <c r="R41" s="7" t="e">
        <f>#REF!+#REF!+#REF!+#REF!+#REF!+#REF!+#REF!+#REF!+#REF!+#REF!+#REF!+#REF!</f>
        <v>#REF!</v>
      </c>
      <c r="S41" s="7" t="e">
        <f>#REF!+#REF!+#REF!+#REF!+#REF!+#REF!+#REF!+#REF!+#REF!+#REF!+#REF!+#REF!</f>
        <v>#REF!</v>
      </c>
      <c r="T41" s="7" t="e">
        <f>#REF!+#REF!+#REF!+#REF!+#REF!+#REF!+#REF!+#REF!+#REF!+#REF!+#REF!+#REF!</f>
        <v>#REF!</v>
      </c>
      <c r="U41" s="7"/>
    </row>
    <row r="42" spans="1:21" x14ac:dyDescent="0.25">
      <c r="A42" s="1" t="s">
        <v>47</v>
      </c>
      <c r="B42" s="1" t="str">
        <f>VLOOKUP(A42,LISTADHERENT!A$5:H$52,2,0)</f>
        <v>SIME MATHIEU</v>
      </c>
      <c r="C42" s="1">
        <f>VLOOKUP(A42,FONDSDECAISSE!A$5:C$52,3,0)</f>
        <v>420000</v>
      </c>
      <c r="D42" s="6">
        <v>636</v>
      </c>
      <c r="E42" s="6"/>
      <c r="F42" s="6"/>
      <c r="G42" s="6"/>
      <c r="H42" s="6"/>
      <c r="I42" s="7" t="e">
        <f t="shared" si="0"/>
        <v>#REF!</v>
      </c>
      <c r="J42" s="7" t="e">
        <f>#REF!+#REF!+#REF!+#REF!+#REF!+#REF!+#REF!+#REF!+#REF!+#REF!+#REF!+#REF!</f>
        <v>#REF!</v>
      </c>
      <c r="K42" s="7" t="e">
        <f>#REF!+#REF!+#REF!+#REF!+#REF!+#REF!+#REF!+#REF!+#REF!+#REF!+#REF!+#REF!</f>
        <v>#REF!</v>
      </c>
      <c r="L42" s="7" t="e">
        <f>#REF!+#REF!+#REF!+#REF!+#REF!+#REF!+#REF!+#REF!+#REF!+#REF!+#REF!+#REF!</f>
        <v>#REF!</v>
      </c>
      <c r="M42" s="7" t="e">
        <f>#REF!+#REF!+#REF!+#REF!+#REF!+#REF!+#REF!+#REF!+#REF!+#REF!+#REF!+#REF!</f>
        <v>#REF!</v>
      </c>
      <c r="N42" s="7" t="e">
        <f>#REF!+#REF!+#REF!+#REF!+#REF!+#REF!+#REF!+#REF!+#REF!+#REF!+#REF!+#REF!</f>
        <v>#REF!</v>
      </c>
      <c r="O42" s="7" t="e">
        <f>#REF!+#REF!+#REF!+#REF!+#REF!+#REF!+#REF!+#REF!+#REF!+#REF!+#REF!+#REF!</f>
        <v>#REF!</v>
      </c>
      <c r="P42" s="7" t="e">
        <f>#REF!+#REF!+#REF!+#REF!+#REF!+#REF!+#REF!+#REF!+#REF!+#REF!+#REF!+#REF!</f>
        <v>#REF!</v>
      </c>
      <c r="Q42" s="7" t="e">
        <f>#REF!+#REF!+#REF!+#REF!+#REF!+#REF!+#REF!+#REF!+#REF!+#REF!+#REF!+#REF!</f>
        <v>#REF!</v>
      </c>
      <c r="R42" s="7" t="e">
        <f>#REF!+#REF!+#REF!+#REF!+#REF!+#REF!+#REF!+#REF!+#REF!+#REF!+#REF!+#REF!</f>
        <v>#REF!</v>
      </c>
      <c r="S42" s="7" t="e">
        <f>#REF!+#REF!+#REF!+#REF!+#REF!+#REF!+#REF!+#REF!+#REF!+#REF!+#REF!+#REF!</f>
        <v>#REF!</v>
      </c>
      <c r="T42" s="7" t="e">
        <f>#REF!+#REF!+#REF!+#REF!+#REF!+#REF!+#REF!+#REF!+#REF!+#REF!+#REF!+#REF!</f>
        <v>#REF!</v>
      </c>
      <c r="U42" s="7"/>
    </row>
    <row r="43" spans="1:21" x14ac:dyDescent="0.25">
      <c r="A43" s="1" t="s">
        <v>48</v>
      </c>
      <c r="B43" s="1" t="str">
        <f>VLOOKUP(A43,LISTADHERENT!A$5:H$52,2,0)</f>
        <v>SIME PIERRE</v>
      </c>
      <c r="C43" s="1">
        <f>VLOOKUP(A43,FONDSDECAISSE!A$5:C$52,3,0)</f>
        <v>420000</v>
      </c>
      <c r="D43" s="6">
        <v>146079</v>
      </c>
      <c r="E43" s="6"/>
      <c r="F43" s="6"/>
      <c r="G43" s="6"/>
      <c r="H43" s="6"/>
      <c r="I43" s="7" t="e">
        <f t="shared" si="0"/>
        <v>#REF!</v>
      </c>
      <c r="J43" s="7" t="e">
        <f>#REF!+#REF!+#REF!+#REF!+#REF!+#REF!+#REF!+#REF!+#REF!+#REF!+#REF!+#REF!</f>
        <v>#REF!</v>
      </c>
      <c r="K43" s="7" t="e">
        <f>#REF!+#REF!+#REF!+#REF!+#REF!+#REF!+#REF!+#REF!+#REF!+#REF!+#REF!+#REF!</f>
        <v>#REF!</v>
      </c>
      <c r="L43" s="7" t="e">
        <f>#REF!+#REF!+#REF!+#REF!+#REF!+#REF!+#REF!+#REF!+#REF!+#REF!+#REF!+#REF!</f>
        <v>#REF!</v>
      </c>
      <c r="M43" s="7" t="e">
        <f>#REF!+#REF!+#REF!+#REF!+#REF!+#REF!+#REF!+#REF!+#REF!+#REF!+#REF!+#REF!</f>
        <v>#REF!</v>
      </c>
      <c r="N43" s="7" t="e">
        <f>#REF!+#REF!+#REF!+#REF!+#REF!+#REF!+#REF!+#REF!+#REF!+#REF!+#REF!+#REF!</f>
        <v>#REF!</v>
      </c>
      <c r="O43" s="7" t="e">
        <f>#REF!+#REF!+#REF!+#REF!+#REF!+#REF!+#REF!+#REF!+#REF!+#REF!+#REF!+#REF!</f>
        <v>#REF!</v>
      </c>
      <c r="P43" s="7" t="e">
        <f>#REF!+#REF!+#REF!+#REF!+#REF!+#REF!+#REF!+#REF!+#REF!+#REF!+#REF!+#REF!</f>
        <v>#REF!</v>
      </c>
      <c r="Q43" s="7" t="e">
        <f>#REF!+#REF!+#REF!+#REF!+#REF!+#REF!+#REF!+#REF!+#REF!+#REF!+#REF!+#REF!</f>
        <v>#REF!</v>
      </c>
      <c r="R43" s="7" t="e">
        <f>#REF!+#REF!+#REF!+#REF!+#REF!+#REF!+#REF!+#REF!+#REF!+#REF!+#REF!+#REF!</f>
        <v>#REF!</v>
      </c>
      <c r="S43" s="7" t="e">
        <f>#REF!+#REF!+#REF!+#REF!+#REF!+#REF!+#REF!+#REF!+#REF!+#REF!+#REF!+#REF!</f>
        <v>#REF!</v>
      </c>
      <c r="T43" s="7" t="e">
        <f>#REF!+#REF!+#REF!+#REF!+#REF!+#REF!+#REF!+#REF!+#REF!+#REF!+#REF!+#REF!</f>
        <v>#REF!</v>
      </c>
      <c r="U43" s="7"/>
    </row>
    <row r="44" spans="1:21" x14ac:dyDescent="0.25">
      <c r="A44" s="1" t="s">
        <v>49</v>
      </c>
      <c r="B44" s="1" t="str">
        <f>VLOOKUP(A44,LISTADHERENT!A$5:H$52,2,0)</f>
        <v>TAGNE NANGUEN MARTIN</v>
      </c>
      <c r="C44" s="1">
        <f>VLOOKUP(A44,FONDSDECAISSE!A$5:C$52,3,0)</f>
        <v>390000</v>
      </c>
      <c r="D44" s="6">
        <v>0</v>
      </c>
      <c r="E44" s="6"/>
      <c r="F44" s="6"/>
      <c r="G44" s="6"/>
      <c r="H44" s="6"/>
      <c r="I44" s="7" t="e">
        <f t="shared" si="0"/>
        <v>#REF!</v>
      </c>
      <c r="J44" s="7" t="e">
        <f>#REF!+#REF!+#REF!+#REF!+#REF!+#REF!+#REF!+#REF!+#REF!+#REF!+#REF!+#REF!</f>
        <v>#REF!</v>
      </c>
      <c r="K44" s="7" t="e">
        <f>#REF!+#REF!+#REF!+#REF!+#REF!+#REF!+#REF!+#REF!+#REF!+#REF!+#REF!+#REF!</f>
        <v>#REF!</v>
      </c>
      <c r="L44" s="7" t="e">
        <f>#REF!+#REF!+#REF!+#REF!+#REF!+#REF!+#REF!+#REF!+#REF!+#REF!+#REF!+#REF!</f>
        <v>#REF!</v>
      </c>
      <c r="M44" s="7" t="e">
        <f>#REF!+#REF!+#REF!+#REF!+#REF!+#REF!+#REF!+#REF!+#REF!+#REF!+#REF!+#REF!</f>
        <v>#REF!</v>
      </c>
      <c r="N44" s="7" t="e">
        <f>#REF!+#REF!+#REF!+#REF!+#REF!+#REF!+#REF!+#REF!+#REF!+#REF!+#REF!+#REF!</f>
        <v>#REF!</v>
      </c>
      <c r="O44" s="7" t="e">
        <f>#REF!+#REF!+#REF!+#REF!+#REF!+#REF!+#REF!+#REF!+#REF!+#REF!+#REF!+#REF!</f>
        <v>#REF!</v>
      </c>
      <c r="P44" s="7" t="e">
        <f>#REF!+#REF!+#REF!+#REF!+#REF!+#REF!+#REF!+#REF!+#REF!+#REF!+#REF!+#REF!</f>
        <v>#REF!</v>
      </c>
      <c r="Q44" s="7" t="e">
        <f>#REF!+#REF!+#REF!+#REF!+#REF!+#REF!+#REF!+#REF!+#REF!+#REF!+#REF!+#REF!</f>
        <v>#REF!</v>
      </c>
      <c r="R44" s="7" t="e">
        <f>#REF!+#REF!+#REF!+#REF!+#REF!+#REF!+#REF!+#REF!+#REF!+#REF!+#REF!+#REF!</f>
        <v>#REF!</v>
      </c>
      <c r="S44" s="7" t="e">
        <f>#REF!+#REF!+#REF!+#REF!+#REF!+#REF!+#REF!+#REF!+#REF!+#REF!+#REF!+#REF!</f>
        <v>#REF!</v>
      </c>
      <c r="T44" s="7" t="e">
        <f>#REF!+#REF!+#REF!+#REF!+#REF!+#REF!+#REF!+#REF!+#REF!+#REF!+#REF!+#REF!</f>
        <v>#REF!</v>
      </c>
      <c r="U44" s="7"/>
    </row>
    <row r="45" spans="1:21" x14ac:dyDescent="0.25">
      <c r="A45" s="1" t="s">
        <v>50</v>
      </c>
      <c r="B45" s="1" t="str">
        <f>VLOOKUP(A45,LISTADHERENT!A$5:H$52,2,0)</f>
        <v>TCHOUAMOU JEAN PAUL</v>
      </c>
      <c r="C45" s="1">
        <f>VLOOKUP(A45,FONDSDECAISSE!A$5:C$52,3,0)</f>
        <v>0</v>
      </c>
      <c r="D45" s="6">
        <v>0</v>
      </c>
      <c r="E45" s="6"/>
      <c r="F45" s="6"/>
      <c r="G45" s="6"/>
      <c r="H45" s="6"/>
      <c r="I45" s="7" t="e">
        <f t="shared" si="0"/>
        <v>#REF!</v>
      </c>
      <c r="J45" s="7" t="e">
        <f>#REF!+#REF!+#REF!+#REF!+#REF!+#REF!+#REF!+#REF!+#REF!+#REF!+#REF!+#REF!</f>
        <v>#REF!</v>
      </c>
      <c r="K45" s="7" t="e">
        <f>#REF!+#REF!+#REF!+#REF!+#REF!+#REF!+#REF!+#REF!+#REF!+#REF!+#REF!+#REF!</f>
        <v>#REF!</v>
      </c>
      <c r="L45" s="7" t="e">
        <f>#REF!+#REF!+#REF!+#REF!+#REF!+#REF!+#REF!+#REF!+#REF!+#REF!+#REF!+#REF!</f>
        <v>#REF!</v>
      </c>
      <c r="M45" s="7" t="e">
        <f>#REF!+#REF!+#REF!+#REF!+#REF!+#REF!+#REF!+#REF!+#REF!+#REF!+#REF!+#REF!</f>
        <v>#REF!</v>
      </c>
      <c r="N45" s="7" t="e">
        <f>#REF!+#REF!+#REF!+#REF!+#REF!+#REF!+#REF!+#REF!+#REF!+#REF!+#REF!+#REF!</f>
        <v>#REF!</v>
      </c>
      <c r="O45" s="7" t="e">
        <f>#REF!+#REF!+#REF!+#REF!+#REF!+#REF!+#REF!+#REF!+#REF!+#REF!+#REF!+#REF!</f>
        <v>#REF!</v>
      </c>
      <c r="P45" s="7" t="e">
        <f>#REF!+#REF!+#REF!+#REF!+#REF!+#REF!+#REF!+#REF!+#REF!+#REF!+#REF!+#REF!</f>
        <v>#REF!</v>
      </c>
      <c r="Q45" s="7" t="e">
        <f>#REF!+#REF!+#REF!+#REF!+#REF!+#REF!+#REF!+#REF!+#REF!+#REF!+#REF!+#REF!</f>
        <v>#REF!</v>
      </c>
      <c r="R45" s="7" t="e">
        <f>#REF!+#REF!+#REF!+#REF!+#REF!+#REF!+#REF!+#REF!+#REF!+#REF!+#REF!+#REF!</f>
        <v>#REF!</v>
      </c>
      <c r="S45" s="7" t="e">
        <f>#REF!+#REF!+#REF!+#REF!+#REF!+#REF!+#REF!+#REF!+#REF!+#REF!+#REF!+#REF!</f>
        <v>#REF!</v>
      </c>
      <c r="T45" s="7" t="e">
        <f>#REF!+#REF!+#REF!+#REF!+#REF!+#REF!+#REF!+#REF!+#REF!+#REF!+#REF!+#REF!</f>
        <v>#REF!</v>
      </c>
      <c r="U45" s="7"/>
    </row>
    <row r="46" spans="1:21" x14ac:dyDescent="0.25">
      <c r="A46" s="1" t="s">
        <v>51</v>
      </c>
      <c r="B46" s="1" t="str">
        <f>VLOOKUP(A46,LISTADHERENT!A$5:H$52,2,0)</f>
        <v>TCHOUAMOU MATHIEU</v>
      </c>
      <c r="C46" s="1">
        <f>VLOOKUP(A46,FONDSDECAISSE!A$5:C$52,3,0)</f>
        <v>420000</v>
      </c>
      <c r="D46" s="6">
        <v>3437</v>
      </c>
      <c r="E46" s="6"/>
      <c r="F46" s="6"/>
      <c r="G46" s="6"/>
      <c r="H46" s="6"/>
      <c r="I46" s="7" t="e">
        <f t="shared" si="0"/>
        <v>#REF!</v>
      </c>
      <c r="J46" s="7" t="e">
        <f>#REF!+#REF!+#REF!+#REF!+#REF!+#REF!+#REF!+#REF!+#REF!+#REF!+#REF!+#REF!</f>
        <v>#REF!</v>
      </c>
      <c r="K46" s="7" t="e">
        <f>#REF!+#REF!+#REF!+#REF!+#REF!+#REF!+#REF!+#REF!+#REF!+#REF!+#REF!+#REF!</f>
        <v>#REF!</v>
      </c>
      <c r="L46" s="7" t="e">
        <f>#REF!+#REF!+#REF!+#REF!+#REF!+#REF!+#REF!+#REF!+#REF!+#REF!+#REF!+#REF!</f>
        <v>#REF!</v>
      </c>
      <c r="M46" s="7" t="e">
        <f>#REF!+#REF!+#REF!+#REF!+#REF!+#REF!+#REF!+#REF!+#REF!+#REF!+#REF!+#REF!</f>
        <v>#REF!</v>
      </c>
      <c r="N46" s="7" t="e">
        <f>#REF!+#REF!+#REF!+#REF!+#REF!+#REF!+#REF!+#REF!+#REF!+#REF!+#REF!+#REF!</f>
        <v>#REF!</v>
      </c>
      <c r="O46" s="7" t="e">
        <f>#REF!+#REF!+#REF!+#REF!+#REF!+#REF!+#REF!+#REF!+#REF!+#REF!+#REF!+#REF!</f>
        <v>#REF!</v>
      </c>
      <c r="P46" s="7" t="e">
        <f>#REF!+#REF!+#REF!+#REF!+#REF!+#REF!+#REF!+#REF!+#REF!+#REF!+#REF!+#REF!</f>
        <v>#REF!</v>
      </c>
      <c r="Q46" s="7" t="e">
        <f>#REF!+#REF!+#REF!+#REF!+#REF!+#REF!+#REF!+#REF!+#REF!+#REF!+#REF!+#REF!</f>
        <v>#REF!</v>
      </c>
      <c r="R46" s="7" t="e">
        <f>#REF!+#REF!+#REF!+#REF!+#REF!+#REF!+#REF!+#REF!+#REF!+#REF!+#REF!+#REF!</f>
        <v>#REF!</v>
      </c>
      <c r="S46" s="7" t="e">
        <f>#REF!+#REF!+#REF!+#REF!+#REF!+#REF!+#REF!+#REF!+#REF!+#REF!+#REF!+#REF!</f>
        <v>#REF!</v>
      </c>
      <c r="T46" s="7" t="e">
        <f>#REF!+#REF!+#REF!+#REF!+#REF!+#REF!+#REF!+#REF!+#REF!+#REF!+#REF!+#REF!</f>
        <v>#REF!</v>
      </c>
      <c r="U46" s="7"/>
    </row>
    <row r="47" spans="1:21" x14ac:dyDescent="0.25">
      <c r="A47" s="1" t="s">
        <v>52</v>
      </c>
      <c r="B47" s="1" t="str">
        <f>VLOOKUP(A47,LISTADHERENT!A$5:H$52,2,0)</f>
        <v>TCHOUANTE FRANCOIS</v>
      </c>
      <c r="C47" s="1">
        <f>VLOOKUP(A47,FONDSDECAISSE!A$5:C$52,3,0)</f>
        <v>403819</v>
      </c>
      <c r="D47" s="6">
        <v>4925</v>
      </c>
      <c r="E47" s="6"/>
      <c r="F47" s="6"/>
      <c r="G47" s="6"/>
      <c r="H47" s="6"/>
      <c r="I47" s="7" t="e">
        <f t="shared" si="0"/>
        <v>#REF!</v>
      </c>
      <c r="J47" s="7" t="e">
        <f>#REF!+#REF!+#REF!+#REF!+#REF!+#REF!+#REF!+#REF!+#REF!+#REF!+#REF!+#REF!</f>
        <v>#REF!</v>
      </c>
      <c r="K47" s="7" t="e">
        <f>#REF!+#REF!+#REF!+#REF!+#REF!+#REF!+#REF!+#REF!+#REF!+#REF!+#REF!+#REF!</f>
        <v>#REF!</v>
      </c>
      <c r="L47" s="7" t="e">
        <f>#REF!+#REF!+#REF!+#REF!+#REF!+#REF!+#REF!+#REF!+#REF!+#REF!+#REF!+#REF!</f>
        <v>#REF!</v>
      </c>
      <c r="M47" s="7" t="e">
        <f>#REF!+#REF!+#REF!+#REF!+#REF!+#REF!+#REF!+#REF!+#REF!+#REF!+#REF!+#REF!</f>
        <v>#REF!</v>
      </c>
      <c r="N47" s="7" t="e">
        <f>#REF!+#REF!+#REF!+#REF!+#REF!+#REF!+#REF!+#REF!+#REF!+#REF!+#REF!+#REF!</f>
        <v>#REF!</v>
      </c>
      <c r="O47" s="7" t="e">
        <f>#REF!+#REF!+#REF!+#REF!+#REF!+#REF!+#REF!+#REF!+#REF!+#REF!+#REF!+#REF!</f>
        <v>#REF!</v>
      </c>
      <c r="P47" s="7" t="e">
        <f>#REF!+#REF!+#REF!+#REF!+#REF!+#REF!+#REF!+#REF!+#REF!+#REF!+#REF!+#REF!</f>
        <v>#REF!</v>
      </c>
      <c r="Q47" s="7" t="e">
        <f>#REF!+#REF!+#REF!+#REF!+#REF!+#REF!+#REF!+#REF!+#REF!+#REF!+#REF!+#REF!</f>
        <v>#REF!</v>
      </c>
      <c r="R47" s="7" t="e">
        <f>#REF!+#REF!+#REF!+#REF!+#REF!+#REF!+#REF!+#REF!+#REF!+#REF!+#REF!+#REF!</f>
        <v>#REF!</v>
      </c>
      <c r="S47" s="7" t="e">
        <f>#REF!+#REF!+#REF!+#REF!+#REF!+#REF!+#REF!+#REF!+#REF!+#REF!+#REF!+#REF!</f>
        <v>#REF!</v>
      </c>
      <c r="T47" s="7" t="e">
        <f>#REF!+#REF!+#REF!+#REF!+#REF!+#REF!+#REF!+#REF!+#REF!+#REF!+#REF!+#REF!</f>
        <v>#REF!</v>
      </c>
      <c r="U47" s="7"/>
    </row>
    <row r="48" spans="1:21" x14ac:dyDescent="0.25">
      <c r="A48" s="1" t="s">
        <v>53</v>
      </c>
      <c r="B48" s="1" t="str">
        <f>VLOOKUP(A48,LISTADHERENT!A$5:H$52,2,0)</f>
        <v>TCHOUTOU NANA CLAUDE</v>
      </c>
      <c r="C48" s="1">
        <f>VLOOKUP(A48,FONDSDECAISSE!A$5:C$52,3,0)</f>
        <v>0</v>
      </c>
      <c r="D48" s="6">
        <v>0</v>
      </c>
      <c r="E48" s="6"/>
      <c r="F48" s="6"/>
      <c r="G48" s="6"/>
      <c r="H48" s="6"/>
      <c r="I48" s="7" t="e">
        <f t="shared" si="0"/>
        <v>#REF!</v>
      </c>
      <c r="J48" s="7" t="e">
        <f>#REF!+#REF!+#REF!+#REF!+#REF!+#REF!+#REF!+#REF!+#REF!+#REF!+#REF!+#REF!</f>
        <v>#REF!</v>
      </c>
      <c r="K48" s="7" t="e">
        <f>#REF!+#REF!+#REF!+#REF!+#REF!+#REF!+#REF!+#REF!+#REF!+#REF!+#REF!+#REF!</f>
        <v>#REF!</v>
      </c>
      <c r="L48" s="7" t="e">
        <f>#REF!+#REF!+#REF!+#REF!+#REF!+#REF!+#REF!+#REF!+#REF!+#REF!+#REF!+#REF!</f>
        <v>#REF!</v>
      </c>
      <c r="M48" s="7" t="e">
        <f>#REF!+#REF!+#REF!+#REF!+#REF!+#REF!+#REF!+#REF!+#REF!+#REF!+#REF!+#REF!</f>
        <v>#REF!</v>
      </c>
      <c r="N48" s="7" t="e">
        <f>#REF!+#REF!+#REF!+#REF!+#REF!+#REF!+#REF!+#REF!+#REF!+#REF!+#REF!+#REF!</f>
        <v>#REF!</v>
      </c>
      <c r="O48" s="7" t="e">
        <f>#REF!+#REF!+#REF!+#REF!+#REF!+#REF!+#REF!+#REF!+#REF!+#REF!+#REF!+#REF!</f>
        <v>#REF!</v>
      </c>
      <c r="P48" s="7" t="e">
        <f>#REF!+#REF!+#REF!+#REF!+#REF!+#REF!+#REF!+#REF!+#REF!+#REF!+#REF!+#REF!</f>
        <v>#REF!</v>
      </c>
      <c r="Q48" s="7" t="e">
        <f>#REF!+#REF!+#REF!+#REF!+#REF!+#REF!+#REF!+#REF!+#REF!+#REF!+#REF!+#REF!</f>
        <v>#REF!</v>
      </c>
      <c r="R48" s="7" t="e">
        <f>#REF!+#REF!+#REF!+#REF!+#REF!+#REF!+#REF!+#REF!+#REF!+#REF!+#REF!+#REF!</f>
        <v>#REF!</v>
      </c>
      <c r="S48" s="7" t="e">
        <f>#REF!+#REF!+#REF!+#REF!+#REF!+#REF!+#REF!+#REF!+#REF!+#REF!+#REF!+#REF!</f>
        <v>#REF!</v>
      </c>
      <c r="T48" s="7" t="e">
        <f>#REF!+#REF!+#REF!+#REF!+#REF!+#REF!+#REF!+#REF!+#REF!+#REF!+#REF!+#REF!</f>
        <v>#REF!</v>
      </c>
      <c r="U48" s="7"/>
    </row>
    <row r="49" spans="1:21" x14ac:dyDescent="0.25">
      <c r="A49" s="1" t="s">
        <v>54</v>
      </c>
      <c r="B49" s="1" t="str">
        <f>VLOOKUP(A49,LISTADHERENT!A$5:H$52,2,0)</f>
        <v>TIEYAM ERNEST</v>
      </c>
      <c r="C49" s="1">
        <f>VLOOKUP(A49,FONDSDECAISSE!A$5:C$52,3,0)</f>
        <v>420000</v>
      </c>
      <c r="D49" s="6">
        <v>804</v>
      </c>
      <c r="E49" s="6"/>
      <c r="F49" s="6"/>
      <c r="G49" s="6"/>
      <c r="H49" s="6"/>
      <c r="I49" s="7" t="e">
        <f t="shared" si="0"/>
        <v>#REF!</v>
      </c>
      <c r="J49" s="7" t="e">
        <f>#REF!+#REF!+#REF!+#REF!+#REF!+#REF!+#REF!+#REF!+#REF!+#REF!+#REF!+#REF!</f>
        <v>#REF!</v>
      </c>
      <c r="K49" s="7" t="e">
        <f>#REF!+#REF!+#REF!+#REF!+#REF!+#REF!+#REF!+#REF!+#REF!+#REF!+#REF!+#REF!</f>
        <v>#REF!</v>
      </c>
      <c r="L49" s="7" t="e">
        <f>#REF!+#REF!+#REF!+#REF!+#REF!+#REF!+#REF!+#REF!+#REF!+#REF!+#REF!+#REF!</f>
        <v>#REF!</v>
      </c>
      <c r="M49" s="7" t="e">
        <f>#REF!+#REF!+#REF!+#REF!+#REF!+#REF!+#REF!+#REF!+#REF!+#REF!+#REF!+#REF!</f>
        <v>#REF!</v>
      </c>
      <c r="N49" s="7" t="e">
        <f>#REF!+#REF!+#REF!+#REF!+#REF!+#REF!+#REF!+#REF!+#REF!+#REF!+#REF!+#REF!</f>
        <v>#REF!</v>
      </c>
      <c r="O49" s="7" t="e">
        <f>#REF!+#REF!+#REF!+#REF!+#REF!+#REF!+#REF!+#REF!+#REF!+#REF!+#REF!+#REF!</f>
        <v>#REF!</v>
      </c>
      <c r="P49" s="7" t="e">
        <f>#REF!+#REF!+#REF!+#REF!+#REF!+#REF!+#REF!+#REF!+#REF!+#REF!+#REF!+#REF!</f>
        <v>#REF!</v>
      </c>
      <c r="Q49" s="7" t="e">
        <f>#REF!+#REF!+#REF!+#REF!+#REF!+#REF!+#REF!+#REF!+#REF!+#REF!+#REF!+#REF!</f>
        <v>#REF!</v>
      </c>
      <c r="R49" s="7" t="e">
        <f>#REF!+#REF!+#REF!+#REF!+#REF!+#REF!+#REF!+#REF!+#REF!+#REF!+#REF!+#REF!</f>
        <v>#REF!</v>
      </c>
      <c r="S49" s="7" t="e">
        <f>#REF!+#REF!+#REF!+#REF!+#REF!+#REF!+#REF!+#REF!+#REF!+#REF!+#REF!+#REF!</f>
        <v>#REF!</v>
      </c>
      <c r="T49" s="7" t="e">
        <f>#REF!+#REF!+#REF!+#REF!+#REF!+#REF!+#REF!+#REF!+#REF!+#REF!+#REF!+#REF!</f>
        <v>#REF!</v>
      </c>
      <c r="U49" s="7"/>
    </row>
    <row r="50" spans="1:21" x14ac:dyDescent="0.25">
      <c r="A50" s="1" t="s">
        <v>55</v>
      </c>
      <c r="B50" s="1" t="str">
        <f>VLOOKUP(A50,LISTADHERENT!A$5:H$52,2,0)</f>
        <v>TUGMA PIERRE LOTI</v>
      </c>
      <c r="C50" s="1">
        <f>VLOOKUP(A50,FONDSDECAISSE!A$5:C$52,3,0)</f>
        <v>420000</v>
      </c>
      <c r="D50" s="6">
        <v>17636</v>
      </c>
      <c r="E50" s="6"/>
      <c r="F50" s="6"/>
      <c r="G50" s="6"/>
      <c r="H50" s="6"/>
      <c r="I50" s="7" t="e">
        <f t="shared" si="0"/>
        <v>#REF!</v>
      </c>
      <c r="J50" s="7" t="e">
        <f>#REF!+#REF!+#REF!+#REF!+#REF!+#REF!+#REF!+#REF!+#REF!+#REF!+#REF!+#REF!</f>
        <v>#REF!</v>
      </c>
      <c r="K50" s="7" t="e">
        <f>#REF!+#REF!+#REF!+#REF!+#REF!+#REF!+#REF!+#REF!+#REF!+#REF!+#REF!+#REF!</f>
        <v>#REF!</v>
      </c>
      <c r="L50" s="7" t="e">
        <f>#REF!+#REF!+#REF!+#REF!+#REF!+#REF!+#REF!+#REF!+#REF!+#REF!+#REF!+#REF!</f>
        <v>#REF!</v>
      </c>
      <c r="M50" s="7" t="e">
        <f>#REF!+#REF!+#REF!+#REF!+#REF!+#REF!+#REF!+#REF!+#REF!+#REF!+#REF!+#REF!</f>
        <v>#REF!</v>
      </c>
      <c r="N50" s="7" t="e">
        <f>#REF!+#REF!+#REF!+#REF!+#REF!+#REF!+#REF!+#REF!+#REF!+#REF!+#REF!+#REF!</f>
        <v>#REF!</v>
      </c>
      <c r="O50" s="7" t="e">
        <f>#REF!+#REF!+#REF!+#REF!+#REF!+#REF!+#REF!+#REF!+#REF!+#REF!+#REF!+#REF!</f>
        <v>#REF!</v>
      </c>
      <c r="P50" s="7" t="e">
        <f>#REF!+#REF!+#REF!+#REF!+#REF!+#REF!+#REF!+#REF!+#REF!+#REF!+#REF!+#REF!</f>
        <v>#REF!</v>
      </c>
      <c r="Q50" s="7" t="e">
        <f>#REF!+#REF!+#REF!+#REF!+#REF!+#REF!+#REF!+#REF!+#REF!+#REF!+#REF!+#REF!</f>
        <v>#REF!</v>
      </c>
      <c r="R50" s="7" t="e">
        <f>#REF!+#REF!+#REF!+#REF!+#REF!+#REF!+#REF!+#REF!+#REF!+#REF!+#REF!+#REF!</f>
        <v>#REF!</v>
      </c>
      <c r="S50" s="7" t="e">
        <f>#REF!+#REF!+#REF!+#REF!+#REF!+#REF!+#REF!+#REF!+#REF!+#REF!+#REF!+#REF!</f>
        <v>#REF!</v>
      </c>
      <c r="T50" s="7" t="e">
        <f>#REF!+#REF!+#REF!+#REF!+#REF!+#REF!+#REF!+#REF!+#REF!+#REF!+#REF!+#REF!</f>
        <v>#REF!</v>
      </c>
      <c r="U50" s="7"/>
    </row>
    <row r="51" spans="1:21" x14ac:dyDescent="0.25">
      <c r="A51" s="1" t="s">
        <v>66</v>
      </c>
      <c r="B51" s="1" t="str">
        <f>VLOOKUP(A51,LISTADHERENT!A$5:H$52,2,0)</f>
        <v>YEPMOU JEAN JACQUES</v>
      </c>
      <c r="C51" s="1">
        <f>VLOOKUP(A51,FONDSDECAISSE!A$5:C$52,3,0)</f>
        <v>420000</v>
      </c>
      <c r="D51" s="6">
        <v>421237</v>
      </c>
      <c r="E51" s="6"/>
      <c r="F51" s="6"/>
      <c r="G51" s="6"/>
      <c r="H51" s="6"/>
      <c r="I51" s="7" t="e">
        <f t="shared" si="0"/>
        <v>#REF!</v>
      </c>
      <c r="J51" s="7" t="e">
        <f>#REF!+#REF!+#REF!+#REF!+#REF!+#REF!+#REF!+#REF!+#REF!+#REF!+#REF!+#REF!</f>
        <v>#REF!</v>
      </c>
      <c r="K51" s="7" t="e">
        <f>#REF!+#REF!+#REF!+#REF!+#REF!+#REF!+#REF!+#REF!+#REF!+#REF!+#REF!+#REF!</f>
        <v>#REF!</v>
      </c>
      <c r="L51" s="7" t="e">
        <f>#REF!+#REF!+#REF!+#REF!+#REF!+#REF!+#REF!+#REF!+#REF!+#REF!+#REF!+#REF!</f>
        <v>#REF!</v>
      </c>
      <c r="M51" s="7" t="e">
        <f>#REF!+#REF!+#REF!+#REF!+#REF!+#REF!+#REF!+#REF!+#REF!+#REF!+#REF!+#REF!</f>
        <v>#REF!</v>
      </c>
      <c r="N51" s="7" t="e">
        <f>#REF!+#REF!+#REF!+#REF!+#REF!+#REF!+#REF!+#REF!+#REF!+#REF!+#REF!+#REF!</f>
        <v>#REF!</v>
      </c>
      <c r="O51" s="7" t="e">
        <f>#REF!+#REF!+#REF!+#REF!+#REF!+#REF!+#REF!+#REF!+#REF!+#REF!+#REF!+#REF!</f>
        <v>#REF!</v>
      </c>
      <c r="P51" s="7" t="e">
        <f>#REF!+#REF!+#REF!+#REF!+#REF!+#REF!+#REF!+#REF!+#REF!+#REF!+#REF!+#REF!</f>
        <v>#REF!</v>
      </c>
      <c r="Q51" s="7" t="e">
        <f>#REF!+#REF!+#REF!+#REF!+#REF!+#REF!+#REF!+#REF!+#REF!+#REF!+#REF!+#REF!</f>
        <v>#REF!</v>
      </c>
      <c r="R51" s="7" t="e">
        <f>#REF!+#REF!+#REF!+#REF!+#REF!+#REF!+#REF!+#REF!+#REF!+#REF!+#REF!+#REF!</f>
        <v>#REF!</v>
      </c>
      <c r="S51" s="7" t="e">
        <f>#REF!+#REF!+#REF!+#REF!+#REF!+#REF!+#REF!+#REF!+#REF!+#REF!+#REF!+#REF!</f>
        <v>#REF!</v>
      </c>
      <c r="T51" s="7" t="e">
        <f>#REF!+#REF!+#REF!+#REF!+#REF!+#REF!+#REF!+#REF!+#REF!+#REF!+#REF!+#REF!</f>
        <v>#REF!</v>
      </c>
    </row>
    <row r="52" spans="1:21" x14ac:dyDescent="0.25">
      <c r="A52" s="1" t="s">
        <v>177</v>
      </c>
      <c r="B52" s="1" t="str">
        <f>VLOOKUP(A52,LISTADHERENT!A$5:H$52,2,0)</f>
        <v>YOUMBI EMMANUEL</v>
      </c>
      <c r="C52" s="1">
        <f>VLOOKUP(A52,FONDSDECAISSE!A$5:C$52,3,0)</f>
        <v>420000</v>
      </c>
      <c r="D52" s="6">
        <v>1003279</v>
      </c>
      <c r="E52" s="6"/>
      <c r="F52" s="6"/>
      <c r="G52" s="6"/>
      <c r="H52" s="6"/>
      <c r="I52" s="7" t="e">
        <f t="shared" si="0"/>
        <v>#REF!</v>
      </c>
      <c r="J52" s="7" t="e">
        <f>#REF!+#REF!+#REF!+#REF!+#REF!+#REF!+#REF!+#REF!+#REF!+#REF!+#REF!+#REF!</f>
        <v>#REF!</v>
      </c>
      <c r="K52" s="7" t="e">
        <f>#REF!+#REF!+#REF!+#REF!+#REF!+#REF!+#REF!+#REF!+#REF!+#REF!+#REF!+#REF!</f>
        <v>#REF!</v>
      </c>
      <c r="L52" s="7" t="e">
        <f>#REF!+#REF!+#REF!+#REF!+#REF!+#REF!+#REF!+#REF!+#REF!+#REF!+#REF!+#REF!</f>
        <v>#REF!</v>
      </c>
      <c r="M52" s="7" t="e">
        <f>#REF!+#REF!+#REF!+#REF!+#REF!+#REF!+#REF!+#REF!+#REF!+#REF!+#REF!+#REF!</f>
        <v>#REF!</v>
      </c>
      <c r="N52" s="7" t="e">
        <f>#REF!+#REF!+#REF!+#REF!+#REF!+#REF!+#REF!+#REF!+#REF!+#REF!+#REF!+#REF!</f>
        <v>#REF!</v>
      </c>
      <c r="O52" s="7" t="e">
        <f>#REF!+#REF!+#REF!+#REF!+#REF!+#REF!+#REF!+#REF!+#REF!+#REF!+#REF!+#REF!</f>
        <v>#REF!</v>
      </c>
      <c r="P52" s="7" t="e">
        <f>#REF!+#REF!+#REF!+#REF!+#REF!+#REF!+#REF!+#REF!+#REF!+#REF!+#REF!+#REF!</f>
        <v>#REF!</v>
      </c>
      <c r="Q52" s="7" t="e">
        <f>#REF!+#REF!+#REF!+#REF!+#REF!+#REF!+#REF!+#REF!+#REF!+#REF!+#REF!+#REF!</f>
        <v>#REF!</v>
      </c>
      <c r="R52" s="7" t="e">
        <f>#REF!+#REF!+#REF!+#REF!+#REF!+#REF!+#REF!+#REF!+#REF!+#REF!+#REF!+#REF!</f>
        <v>#REF!</v>
      </c>
      <c r="S52" s="7" t="e">
        <f>#REF!+#REF!+#REF!+#REF!+#REF!+#REF!+#REF!+#REF!+#REF!+#REF!+#REF!+#REF!</f>
        <v>#REF!</v>
      </c>
      <c r="T52" s="7" t="e">
        <f>#REF!+#REF!+#REF!+#REF!+#REF!+#REF!+#REF!+#REF!+#REF!+#REF!+#REF!+#REF!</f>
        <v>#REF!</v>
      </c>
    </row>
    <row r="53" spans="1:21" x14ac:dyDescent="0.25">
      <c r="A53" s="1"/>
      <c r="B53" s="1"/>
      <c r="C53" s="6"/>
      <c r="D53" s="1"/>
      <c r="E53" s="1"/>
      <c r="F53" s="1"/>
      <c r="G53" s="1"/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1" x14ac:dyDescent="0.25">
      <c r="A54" s="1"/>
      <c r="B54" s="1"/>
      <c r="C54" s="6"/>
      <c r="D54" s="1"/>
      <c r="E54" s="1"/>
      <c r="F54" s="1"/>
      <c r="G54" s="1"/>
      <c r="H54" s="1"/>
      <c r="I54" s="7" t="e">
        <f t="shared" si="0"/>
        <v>#REF!</v>
      </c>
      <c r="J54" s="7" t="e">
        <f>#REF!+#REF!+#REF!+#REF!+#REF!+#REF!+#REF!+#REF!+#REF!+#REF!+#REF!+#REF!</f>
        <v>#REF!</v>
      </c>
      <c r="K54" s="7" t="e">
        <f>#REF!+#REF!+#REF!+#REF!+#REF!+#REF!+#REF!+#REF!+#REF!+#REF!+#REF!+#REF!</f>
        <v>#REF!</v>
      </c>
      <c r="L54" s="7" t="e">
        <f>#REF!+#REF!+#REF!+#REF!+#REF!+#REF!+#REF!+#REF!+#REF!+#REF!+#REF!+#REF!</f>
        <v>#REF!</v>
      </c>
      <c r="M54" s="7" t="e">
        <f>#REF!+#REF!+#REF!+#REF!+#REF!+#REF!+#REF!+#REF!+#REF!+#REF!+#REF!+#REF!</f>
        <v>#REF!</v>
      </c>
      <c r="N54" s="7" t="e">
        <f>#REF!+#REF!+#REF!+#REF!+#REF!+#REF!+#REF!+#REF!+#REF!+#REF!+#REF!+#REF!</f>
        <v>#REF!</v>
      </c>
      <c r="O54" s="7" t="e">
        <f>#REF!+#REF!+#REF!+#REF!+#REF!+#REF!+#REF!+#REF!+#REF!+#REF!+#REF!+#REF!</f>
        <v>#REF!</v>
      </c>
      <c r="P54" s="7" t="e">
        <f>#REF!+#REF!+#REF!+#REF!+#REF!+#REF!+#REF!+#REF!+#REF!+#REF!+#REF!+#REF!</f>
        <v>#REF!</v>
      </c>
      <c r="Q54" s="7" t="e">
        <f>#REF!+#REF!+#REF!+#REF!+#REF!+#REF!+#REF!+#REF!+#REF!+#REF!+#REF!+#REF!</f>
        <v>#REF!</v>
      </c>
      <c r="R54" s="7" t="e">
        <f>#REF!+#REF!+#REF!+#REF!+#REF!+#REF!+#REF!+#REF!+#REF!+#REF!+#REF!+#REF!</f>
        <v>#REF!</v>
      </c>
      <c r="S54" s="7" t="e">
        <f>#REF!+#REF!+#REF!+#REF!+#REF!+#REF!+#REF!+#REF!+#REF!+#REF!+#REF!+#REF!</f>
        <v>#REF!</v>
      </c>
      <c r="T54" s="7" t="e">
        <f>#REF!+#REF!+#REF!+#REF!+#REF!+#REF!+#REF!+#REF!+#REF!+#REF!+#REF!+#REF!</f>
        <v>#REF!</v>
      </c>
      <c r="U54"/>
    </row>
    <row r="55" spans="1:21" ht="18" x14ac:dyDescent="0.25">
      <c r="A55" s="8" t="s">
        <v>56</v>
      </c>
      <c r="B55" s="8"/>
      <c r="C55" s="9">
        <f>SUM(C5:C54)</f>
        <v>15196619</v>
      </c>
      <c r="D55" s="9">
        <f t="shared" ref="D55:U55" si="1">SUM(D5:D54)</f>
        <v>4547504</v>
      </c>
      <c r="E55" s="9"/>
      <c r="F55" s="9"/>
      <c r="G55" s="9"/>
      <c r="H55" s="9">
        <f t="shared" si="1"/>
        <v>0</v>
      </c>
      <c r="I55" s="9" t="e">
        <f t="shared" si="1"/>
        <v>#REF!</v>
      </c>
      <c r="J55" s="9" t="e">
        <f t="shared" si="1"/>
        <v>#REF!</v>
      </c>
      <c r="K55" s="9" t="e">
        <f t="shared" si="1"/>
        <v>#REF!</v>
      </c>
      <c r="L55" s="9" t="e">
        <f t="shared" si="1"/>
        <v>#REF!</v>
      </c>
      <c r="M55" s="9" t="e">
        <f t="shared" si="1"/>
        <v>#REF!</v>
      </c>
      <c r="N55" s="9" t="e">
        <f t="shared" si="1"/>
        <v>#REF!</v>
      </c>
      <c r="O55" s="9" t="e">
        <f t="shared" si="1"/>
        <v>#REF!</v>
      </c>
      <c r="P55" s="9" t="e">
        <f t="shared" si="1"/>
        <v>#REF!</v>
      </c>
      <c r="Q55" s="9" t="e">
        <f t="shared" si="1"/>
        <v>#REF!</v>
      </c>
      <c r="R55" s="9" t="e">
        <f t="shared" si="1"/>
        <v>#REF!</v>
      </c>
      <c r="S55" s="9" t="e">
        <f t="shared" si="1"/>
        <v>#REF!</v>
      </c>
      <c r="T55" s="9" t="e">
        <f t="shared" si="1"/>
        <v>#REF!</v>
      </c>
      <c r="U55" s="9">
        <f t="shared" si="1"/>
        <v>0</v>
      </c>
    </row>
    <row r="56" spans="1:21" ht="18" x14ac:dyDescent="0.25">
      <c r="T56" s="9"/>
    </row>
  </sheetData>
  <autoFilter ref="A4:V50"/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E35" activePane="bottomRight" state="frozen"/>
      <selection activeCell="Q5" sqref="Q5:Q52"/>
      <selection pane="topRight" activeCell="Q5" sqref="Q5:Q52"/>
      <selection pane="bottomLeft" activeCell="Q5" sqref="Q5:Q52"/>
      <selection pane="bottomRight" activeCell="Q5" sqref="Q5:Q52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208</v>
      </c>
      <c r="D4" s="1" t="s">
        <v>195</v>
      </c>
      <c r="E4" s="1" t="s">
        <v>196</v>
      </c>
      <c r="F4" s="1" t="s">
        <v>197</v>
      </c>
      <c r="G4" s="1" t="s">
        <v>198</v>
      </c>
      <c r="H4" s="1" t="s">
        <v>199</v>
      </c>
      <c r="I4" s="1" t="s">
        <v>200</v>
      </c>
      <c r="J4" s="1" t="s">
        <v>201</v>
      </c>
      <c r="K4" s="1" t="s">
        <v>202</v>
      </c>
      <c r="L4" s="1" t="s">
        <v>203</v>
      </c>
      <c r="M4" s="1" t="s">
        <v>204</v>
      </c>
      <c r="N4" s="1" t="s">
        <v>205</v>
      </c>
    </row>
    <row r="5" spans="1:14" x14ac:dyDescent="0.25">
      <c r="A5" s="1" t="s">
        <v>183</v>
      </c>
      <c r="B5" s="1" t="str">
        <f>VLOOKUP(A5,LISTADHERENT!A$5:H$52,2,0)</f>
        <v>ASELBY</v>
      </c>
      <c r="C5" s="6">
        <f>N5+TRAVAUXINVENTAIRE!M5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v>0</v>
      </c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390000</v>
      </c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v>390000</v>
      </c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390000</v>
      </c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390000</v>
      </c>
    </row>
    <row r="10" spans="1:14" x14ac:dyDescent="0.25">
      <c r="A10" s="1" t="s">
        <v>15</v>
      </c>
      <c r="B10" s="1" t="str">
        <f>VLOOKUP(A10,LISTADHERENT!A$5:H$52,2,0)</f>
        <v>DJOUKWE NANGUEN GUY BLAISE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390000</v>
      </c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6">
        <v>0</v>
      </c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390000</v>
      </c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f>390000-C13</f>
        <v>70866</v>
      </c>
      <c r="M13" s="6"/>
      <c r="N13" s="6">
        <v>390000</v>
      </c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390000</v>
      </c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390000</v>
      </c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390000</v>
      </c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>
        <v>50000</v>
      </c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390000</v>
      </c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0</v>
      </c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390000</v>
      </c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390000</v>
      </c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f>390000-C22</f>
        <v>75000</v>
      </c>
      <c r="J22" s="6"/>
      <c r="K22" s="6"/>
      <c r="L22" s="6"/>
      <c r="M22" s="6"/>
      <c r="N22" s="6">
        <v>390000</v>
      </c>
    </row>
    <row r="23" spans="1:14" x14ac:dyDescent="0.25">
      <c r="A23" s="1" t="s">
        <v>28</v>
      </c>
      <c r="B23" s="1" t="str">
        <f>VLOOKUP(A23,LISTADHERENT!A$5:H$52,2,0)</f>
        <v>KOUAMO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390000</v>
      </c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390000</v>
      </c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390000</v>
      </c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390000</v>
      </c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390000</v>
      </c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6">
        <v>0</v>
      </c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390000</v>
      </c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0</v>
      </c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f>390000-C31</f>
        <v>375111</v>
      </c>
      <c r="M31" s="6"/>
      <c r="N31" s="6">
        <v>390000</v>
      </c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v>390000</v>
      </c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72800</v>
      </c>
      <c r="L33" s="6"/>
      <c r="M33" s="6"/>
      <c r="N33" s="6">
        <v>72800</v>
      </c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390000</v>
      </c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390000</v>
      </c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0</v>
      </c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6">
        <v>0</v>
      </c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v>390000</v>
      </c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v>390000</v>
      </c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>
        <v>390000</v>
      </c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390000</v>
      </c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v>390000</v>
      </c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390000</v>
      </c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>
        <v>390000</v>
      </c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v>0</v>
      </c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390000</v>
      </c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48100+20500</f>
        <v>68600</v>
      </c>
      <c r="L47" s="6"/>
      <c r="M47" s="6"/>
      <c r="N47" s="6">
        <v>325719</v>
      </c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0</v>
      </c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390000</v>
      </c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390000</v>
      </c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v>390000</v>
      </c>
    </row>
    <row r="52" spans="1:14" x14ac:dyDescent="0.25">
      <c r="A52" s="1" t="s">
        <v>177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390000</v>
      </c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125000</v>
      </c>
      <c r="J54" s="9">
        <f t="shared" si="0"/>
        <v>0</v>
      </c>
      <c r="K54" s="9">
        <f t="shared" si="0"/>
        <v>141400</v>
      </c>
      <c r="L54" s="9">
        <f t="shared" si="0"/>
        <v>1225977</v>
      </c>
      <c r="M54" s="9">
        <f t="shared" si="0"/>
        <v>0</v>
      </c>
      <c r="N54" s="9">
        <f t="shared" si="0"/>
        <v>14488519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17</vt:i4>
      </vt:variant>
    </vt:vector>
  </HeadingPairs>
  <TitlesOfParts>
    <vt:vector size="39" baseType="lpstr">
      <vt:lpstr>LISTADHERENT</vt:lpstr>
      <vt:lpstr>TRAVAUXINVENTAIRE</vt:lpstr>
      <vt:lpstr>FONDSDECAISSE</vt:lpstr>
      <vt:lpstr>TONT20000DEC2016</vt:lpstr>
      <vt:lpstr>TONT20000JANV2017</vt:lpstr>
      <vt:lpstr>TONT20000FEV2017</vt:lpstr>
      <vt:lpstr>TONT20000MARS2017</vt:lpstr>
      <vt:lpstr>TONT20000AVRIL2017</vt:lpstr>
      <vt:lpstr>TONT20000MAI2017</vt:lpstr>
      <vt:lpstr>TONT20000JUIN2017</vt:lpstr>
      <vt:lpstr>TONT20000JUIL2017</vt:lpstr>
      <vt:lpstr>TONT20000AOUT2017</vt:lpstr>
      <vt:lpstr>TONT20000SEPT2017</vt:lpstr>
      <vt:lpstr>TONT20000OCT2017</vt:lpstr>
      <vt:lpstr>TONT20000NOV2017</vt:lpstr>
      <vt:lpstr>TONT20000ANNUELLE</vt:lpstr>
      <vt:lpstr>TONT20000ANNUELLEBACKUP</vt:lpstr>
      <vt:lpstr>TONTINVENTFINAOUT2017</vt:lpstr>
      <vt:lpstr>DETAILVERSEMENT</vt:lpstr>
      <vt:lpstr>MODEVERSEMENT</vt:lpstr>
      <vt:lpstr>RECAPTONT20000</vt:lpstr>
      <vt:lpstr>FONDSDECAISSEBACKUP</vt:lpstr>
      <vt:lpstr>LISTADHERENT!Impression_des_titres</vt:lpstr>
      <vt:lpstr>TONTINVENTFINAOUT2017!Impression_des_titres</vt:lpstr>
      <vt:lpstr>MODEVERSEMENTS</vt:lpstr>
      <vt:lpstr>TONT20000ANNUELLE!MODPAID</vt:lpstr>
      <vt:lpstr>TONT20000ANNUELLEBACKUP!MODPAID</vt:lpstr>
      <vt:lpstr>TONT20000AOUT2017!MODPAID</vt:lpstr>
      <vt:lpstr>TONT20000AVRIL2017!MODPAID</vt:lpstr>
      <vt:lpstr>TONT20000FEV2017!MODPAID</vt:lpstr>
      <vt:lpstr>TONT20000JANV2017!MODPAID</vt:lpstr>
      <vt:lpstr>TONT20000JUIL2017!MODPAID</vt:lpstr>
      <vt:lpstr>TONT20000JUIN2017!MODPAID</vt:lpstr>
      <vt:lpstr>TONT20000MAI2017!MODPAID</vt:lpstr>
      <vt:lpstr>TONT20000MARS2017!MODPAID</vt:lpstr>
      <vt:lpstr>TONT20000NOV2017!MODPAID</vt:lpstr>
      <vt:lpstr>TONT20000OCT2017!MODPAID</vt:lpstr>
      <vt:lpstr>TONT20000SEPT2017!MODPAID</vt:lpstr>
      <vt:lpstr>MODPAID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Antoine Djuombessy</cp:lastModifiedBy>
  <cp:lastPrinted>2017-07-16T07:43:52Z</cp:lastPrinted>
  <dcterms:created xsi:type="dcterms:W3CDTF">2016-12-07T22:17:38Z</dcterms:created>
  <dcterms:modified xsi:type="dcterms:W3CDTF">2017-08-31T11:30:34Z</dcterms:modified>
</cp:coreProperties>
</file>