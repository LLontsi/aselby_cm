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E619EFBF-F217-4D7A-BF86-22E656BB34A0}" xr6:coauthVersionLast="37" xr6:coauthVersionMax="37" xr10:uidLastSave="{00000000-0000-0000-0000-000000000000}"/>
  <bookViews>
    <workbookView xWindow="0" yWindow="0" windowWidth="15480" windowHeight="6810" firstSheet="9" activeTab="12" xr2:uid="{00000000-000D-0000-FFFF-FFFF00000000}"/>
  </bookViews>
  <sheets>
    <sheet name="MODEPAID" sheetId="3" r:id="rId1"/>
    <sheet name="TONTJANV25" sheetId="118" r:id="rId2"/>
    <sheet name="TONTFEV25" sheetId="119" r:id="rId3"/>
    <sheet name="TONTMARS25" sheetId="120" r:id="rId4"/>
    <sheet name="TONTAVRIL25" sheetId="121" r:id="rId5"/>
    <sheet name="TONTMAI25" sheetId="122" r:id="rId6"/>
    <sheet name="TONTJUIN25" sheetId="123" r:id="rId7"/>
    <sheet name="TONTJUIL25" sheetId="124" r:id="rId8"/>
    <sheet name="TONTAOUT25" sheetId="125" r:id="rId9"/>
    <sheet name="TONTSEPT25" sheetId="126" r:id="rId10"/>
    <sheet name="TONTOCT25" sheetId="127" r:id="rId11"/>
    <sheet name="TONTNOV25" sheetId="128" r:id="rId12"/>
    <sheet name="TONTDEC25" sheetId="129" r:id="rId13"/>
    <sheet name="TONTRESUME25" sheetId="130" r:id="rId14"/>
    <sheet name="TONTJANV24" sheetId="104" r:id="rId15"/>
    <sheet name="TONTFEV24" sheetId="105" r:id="rId16"/>
    <sheet name="TONTMARS24" sheetId="106" r:id="rId17"/>
    <sheet name="TONTAVRIL24" sheetId="107" r:id="rId18"/>
    <sheet name="TONTMAI24" sheetId="108" r:id="rId19"/>
    <sheet name="TONTJUIN24" sheetId="109" r:id="rId20"/>
    <sheet name="TONTJUIL24" sheetId="110" r:id="rId21"/>
    <sheet name="TONTAOUT24" sheetId="111" r:id="rId22"/>
    <sheet name="TONTSEPT24" sheetId="112" r:id="rId23"/>
    <sheet name="TONTOCT24" sheetId="113" r:id="rId24"/>
    <sheet name="TONTNOV24" sheetId="114" r:id="rId25"/>
    <sheet name="TONTDEC24" sheetId="115" r:id="rId26"/>
    <sheet name="TONTRESUME24" sheetId="116" r:id="rId27"/>
    <sheet name="TONTRESUME24EDIT" sheetId="117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21" hidden="1">TONTAOUT24!$A$5:$P$17</definedName>
    <definedName name="_xlnm._FilterDatabase" localSheetId="8" hidden="1">TONTAOUT25!$A$5:$P$13</definedName>
    <definedName name="_xlnm._FilterDatabase" localSheetId="17" hidden="1">TONTAVRIL24!$A$5:$P$17</definedName>
    <definedName name="_xlnm._FilterDatabase" localSheetId="4" hidden="1">TONTAVRIL25!$A$5:$P$13</definedName>
    <definedName name="_xlnm._FilterDatabase" localSheetId="25" hidden="1">TONTDEC24!$A$5:$P$17</definedName>
    <definedName name="_xlnm._FilterDatabase" localSheetId="12" hidden="1">TONTDEC25!$A$5:$P$13</definedName>
    <definedName name="_xlnm._FilterDatabase" localSheetId="15" hidden="1">TONTFEV24!$A$5:$P$16</definedName>
    <definedName name="_xlnm._FilterDatabase" localSheetId="2" hidden="1">TONTFEV25!$A$5:$P$13</definedName>
    <definedName name="_xlnm._FilterDatabase" localSheetId="14" hidden="1">TONTJANV24!$A$5:$P$16</definedName>
    <definedName name="_xlnm._FilterDatabase" localSheetId="1" hidden="1">TONTJANV25!$A$5:$P$13</definedName>
    <definedName name="_xlnm._FilterDatabase" localSheetId="20" hidden="1">TONTJUIL24!$A$5:$P$17</definedName>
    <definedName name="_xlnm._FilterDatabase" localSheetId="7" hidden="1">TONTJUIL25!$A$5:$P$13</definedName>
    <definedName name="_xlnm._FilterDatabase" localSheetId="19" hidden="1">TONTJUIN24!$A$5:$P$17</definedName>
    <definedName name="_xlnm._FilterDatabase" localSheetId="6" hidden="1">TONTJUIN25!$A$5:$P$13</definedName>
    <definedName name="_xlnm._FilterDatabase" localSheetId="18" hidden="1">TONTMAI24!$A$5:$P$17</definedName>
    <definedName name="_xlnm._FilterDatabase" localSheetId="5" hidden="1">TONTMAI25!$A$5:$P$13</definedName>
    <definedName name="_xlnm._FilterDatabase" localSheetId="16" hidden="1">TONTMARS24!$A$5:$P$17</definedName>
    <definedName name="_xlnm._FilterDatabase" localSheetId="3" hidden="1">TONTMARS25!$A$5:$P$13</definedName>
    <definedName name="_xlnm._FilterDatabase" localSheetId="24" hidden="1">TONTNOV24!$A$5:$P$17</definedName>
    <definedName name="_xlnm._FilterDatabase" localSheetId="11" hidden="1">TONTNOV25!$A$5:$P$13</definedName>
    <definedName name="_xlnm._FilterDatabase" localSheetId="23" hidden="1">TONTOCT24!$A$5:$P$17</definedName>
    <definedName name="_xlnm._FilterDatabase" localSheetId="10" hidden="1">TONTOCT25!$A$5:$P$13</definedName>
    <definedName name="_xlnm._FilterDatabase" localSheetId="26" hidden="1">TONTRESUME24!$A$5:$P$17</definedName>
    <definedName name="_xlnm._FilterDatabase" localSheetId="27" hidden="1">TONTRESUME24EDIT!$A$4:$F$16</definedName>
    <definedName name="_xlnm._FilterDatabase" localSheetId="13" hidden="1">TONTRESUME25!$A$5:$P$17</definedName>
    <definedName name="_xlnm._FilterDatabase" localSheetId="22" hidden="1">TONTSEPT24!$A$5:$P$17</definedName>
    <definedName name="_xlnm._FilterDatabase" localSheetId="9" hidden="1">TONTSEPT25!$A$5:$P$13</definedName>
    <definedName name="BANQUE" localSheetId="21">#REF!</definedName>
    <definedName name="BANQUE" localSheetId="8">#REF!</definedName>
    <definedName name="BANQUE" localSheetId="17">#REF!</definedName>
    <definedName name="BANQUE" localSheetId="4">#REF!</definedName>
    <definedName name="BANQUE" localSheetId="25">#REF!</definedName>
    <definedName name="BANQUE" localSheetId="12">#REF!</definedName>
    <definedName name="BANQUE" localSheetId="15">#REF!</definedName>
    <definedName name="BANQUE" localSheetId="2">#REF!</definedName>
    <definedName name="BANQUE" localSheetId="14">#REF!</definedName>
    <definedName name="BANQUE" localSheetId="1">#REF!</definedName>
    <definedName name="BANQUE" localSheetId="20">#REF!</definedName>
    <definedName name="BANQUE" localSheetId="7">#REF!</definedName>
    <definedName name="BANQUE" localSheetId="19">#REF!</definedName>
    <definedName name="BANQUE" localSheetId="6">#REF!</definedName>
    <definedName name="BANQUE" localSheetId="18">#REF!</definedName>
    <definedName name="BANQUE" localSheetId="5">#REF!</definedName>
    <definedName name="BANQUE" localSheetId="16">#REF!</definedName>
    <definedName name="BANQUE" localSheetId="3">#REF!</definedName>
    <definedName name="BANQUE" localSheetId="24">#REF!</definedName>
    <definedName name="BANQUE" localSheetId="11">#REF!</definedName>
    <definedName name="BANQUE" localSheetId="23">#REF!</definedName>
    <definedName name="BANQUE" localSheetId="10">#REF!</definedName>
    <definedName name="BANQUE" localSheetId="26">#REF!</definedName>
    <definedName name="BANQUE" localSheetId="27">#REF!</definedName>
    <definedName name="BANQUE" localSheetId="13">#REF!</definedName>
    <definedName name="BANQUE" localSheetId="22">#REF!</definedName>
    <definedName name="BANQUE" localSheetId="9">#REF!</definedName>
    <definedName name="BANQUE">#REF!</definedName>
    <definedName name="_xlnm.Print_Titles" localSheetId="27">TONTRESUME24EDIT!$A:$B</definedName>
    <definedName name="MODEPAID" localSheetId="0">MODEPAID!$A$1:$A$3</definedName>
    <definedName name="MODEPAID" localSheetId="21">[1]Feuil2!$A$1:$A$3</definedName>
    <definedName name="MODEPAID" localSheetId="8">[1]Feuil2!$A$1:$A$3</definedName>
    <definedName name="MODEPAID" localSheetId="17">[1]Feuil2!$A$1:$A$3</definedName>
    <definedName name="MODEPAID" localSheetId="4">[1]Feuil2!$A$1:$A$3</definedName>
    <definedName name="MODEPAID" localSheetId="25">[1]Feuil2!$A$1:$A$3</definedName>
    <definedName name="MODEPAID" localSheetId="12">[1]Feuil2!$A$1:$A$3</definedName>
    <definedName name="MODEPAID" localSheetId="15">[1]Feuil2!$A$1:$A$3</definedName>
    <definedName name="MODEPAID" localSheetId="2">[1]Feuil2!$A$1:$A$3</definedName>
    <definedName name="MODEPAID" localSheetId="14">[1]Feuil2!$A$1:$A$3</definedName>
    <definedName name="MODEPAID" localSheetId="1">[1]Feuil2!$A$1:$A$3</definedName>
    <definedName name="MODEPAID" localSheetId="20">[1]Feuil2!$A$1:$A$3</definedName>
    <definedName name="MODEPAID" localSheetId="7">[1]Feuil2!$A$1:$A$3</definedName>
    <definedName name="MODEPAID" localSheetId="19">[1]Feuil2!$A$1:$A$3</definedName>
    <definedName name="MODEPAID" localSheetId="6">[1]Feuil2!$A$1:$A$3</definedName>
    <definedName name="MODEPAID" localSheetId="18">[1]Feuil2!$A$1:$A$3</definedName>
    <definedName name="MODEPAID" localSheetId="5">[1]Feuil2!$A$1:$A$3</definedName>
    <definedName name="MODEPAID" localSheetId="16">[1]Feuil2!$A$1:$A$3</definedName>
    <definedName name="MODEPAID" localSheetId="3">[1]Feuil2!$A$1:$A$3</definedName>
    <definedName name="MODEPAID" localSheetId="24">[1]Feuil2!$A$1:$A$3</definedName>
    <definedName name="MODEPAID" localSheetId="11">[1]Feuil2!$A$1:$A$3</definedName>
    <definedName name="MODEPAID" localSheetId="23">[1]Feuil2!$A$1:$A$3</definedName>
    <definedName name="MODEPAID" localSheetId="10">[1]Feuil2!$A$1:$A$3</definedName>
    <definedName name="MODEPAID" localSheetId="26">[1]Feuil2!$A$1:$A$3</definedName>
    <definedName name="MODEPAID" localSheetId="27">[1]Feuil2!$A$1:$A$3</definedName>
    <definedName name="MODEPAID" localSheetId="13">[1]Feuil2!$A$1:$A$3</definedName>
    <definedName name="MODEPAID" localSheetId="22">[1]Feuil2!$A$1:$A$3</definedName>
    <definedName name="MODEPAID" localSheetId="9">[1]Feuil2!$A$1:$A$3</definedName>
    <definedName name="MODEPAID">#REF!</definedName>
    <definedName name="MODET25000">[2]MODEVERSEMENT!$A$1:$A$3</definedName>
    <definedName name="MODEVERSEMENT" localSheetId="21">#REF!</definedName>
    <definedName name="MODEVERSEMENT" localSheetId="8">#REF!</definedName>
    <definedName name="MODEVERSEMENT" localSheetId="17">#REF!</definedName>
    <definedName name="MODEVERSEMENT" localSheetId="4">#REF!</definedName>
    <definedName name="MODEVERSEMENT" localSheetId="25">#REF!</definedName>
    <definedName name="MODEVERSEMENT" localSheetId="12">#REF!</definedName>
    <definedName name="MODEVERSEMENT" localSheetId="15">#REF!</definedName>
    <definedName name="MODEVERSEMENT" localSheetId="2">#REF!</definedName>
    <definedName name="MODEVERSEMENT" localSheetId="14">#REF!</definedName>
    <definedName name="MODEVERSEMENT" localSheetId="1">#REF!</definedName>
    <definedName name="MODEVERSEMENT" localSheetId="20">#REF!</definedName>
    <definedName name="MODEVERSEMENT" localSheetId="7">#REF!</definedName>
    <definedName name="MODEVERSEMENT" localSheetId="19">#REF!</definedName>
    <definedName name="MODEVERSEMENT" localSheetId="6">#REF!</definedName>
    <definedName name="MODEVERSEMENT" localSheetId="18">#REF!</definedName>
    <definedName name="MODEVERSEMENT" localSheetId="5">#REF!</definedName>
    <definedName name="MODEVERSEMENT" localSheetId="16">#REF!</definedName>
    <definedName name="MODEVERSEMENT" localSheetId="3">#REF!</definedName>
    <definedName name="MODEVERSEMENT" localSheetId="24">#REF!</definedName>
    <definedName name="MODEVERSEMENT" localSheetId="11">#REF!</definedName>
    <definedName name="MODEVERSEMENT" localSheetId="23">#REF!</definedName>
    <definedName name="MODEVERSEMENT" localSheetId="10">#REF!</definedName>
    <definedName name="MODEVERSEMENT" localSheetId="26">#REF!</definedName>
    <definedName name="MODEVERSEMENT" localSheetId="27">#REF!</definedName>
    <definedName name="MODEVERSEMENT" localSheetId="13">#REF!</definedName>
    <definedName name="MODEVERSEMENT" localSheetId="22">#REF!</definedName>
    <definedName name="MODEVERSEMENT" localSheetId="9">#REF!</definedName>
    <definedName name="MODEVERSEMENT">#REF!</definedName>
    <definedName name="MODEVERSEMENTS" localSheetId="21">[3]MODEVERSEMENT!$A$1:$A$3</definedName>
    <definedName name="MODEVERSEMENTS" localSheetId="8">[3]MODEVERSEMENT!$A$1:$A$3</definedName>
    <definedName name="MODEVERSEMENTS" localSheetId="17">[3]MODEVERSEMENT!$A$1:$A$3</definedName>
    <definedName name="MODEVERSEMENTS" localSheetId="4">[3]MODEVERSEMENT!$A$1:$A$3</definedName>
    <definedName name="MODEVERSEMENTS" localSheetId="25">[3]MODEVERSEMENT!$A$1:$A$3</definedName>
    <definedName name="MODEVERSEMENTS" localSheetId="12">[3]MODEVERSEMENT!$A$1:$A$3</definedName>
    <definedName name="MODEVERSEMENTS" localSheetId="15">[3]MODEVERSEMENT!$A$1:$A$3</definedName>
    <definedName name="MODEVERSEMENTS" localSheetId="2">[3]MODEVERSEMENT!$A$1:$A$3</definedName>
    <definedName name="MODEVERSEMENTS" localSheetId="14">[3]MODEVERSEMENT!$A$1:$A$3</definedName>
    <definedName name="MODEVERSEMENTS" localSheetId="1">[3]MODEVERSEMENT!$A$1:$A$3</definedName>
    <definedName name="MODEVERSEMENTS" localSheetId="20">[3]MODEVERSEMENT!$A$1:$A$3</definedName>
    <definedName name="MODEVERSEMENTS" localSheetId="7">[3]MODEVERSEMENT!$A$1:$A$3</definedName>
    <definedName name="MODEVERSEMENTS" localSheetId="19">[3]MODEVERSEMENT!$A$1:$A$3</definedName>
    <definedName name="MODEVERSEMENTS" localSheetId="6">[3]MODEVERSEMENT!$A$1:$A$3</definedName>
    <definedName name="MODEVERSEMENTS" localSheetId="18">[3]MODEVERSEMENT!$A$1:$A$3</definedName>
    <definedName name="MODEVERSEMENTS" localSheetId="5">[3]MODEVERSEMENT!$A$1:$A$3</definedName>
    <definedName name="MODEVERSEMENTS" localSheetId="16">[3]MODEVERSEMENT!$A$1:$A$3</definedName>
    <definedName name="MODEVERSEMENTS" localSheetId="3">[3]MODEVERSEMENT!$A$1:$A$3</definedName>
    <definedName name="MODEVERSEMENTS" localSheetId="24">[3]MODEVERSEMENT!$A$1:$A$3</definedName>
    <definedName name="MODEVERSEMENTS" localSheetId="11">[3]MODEVERSEMENT!$A$1:$A$3</definedName>
    <definedName name="MODEVERSEMENTS" localSheetId="23">[3]MODEVERSEMENT!$A$1:$A$3</definedName>
    <definedName name="MODEVERSEMENTS" localSheetId="10">[3]MODEVERSEMENT!$A$1:$A$3</definedName>
    <definedName name="MODEVERSEMENTS" localSheetId="26">[3]MODEVERSEMENT!$A$1:$A$3</definedName>
    <definedName name="MODEVERSEMENTS" localSheetId="27">[3]MODEVERSEMENT!$A$1:$A$3</definedName>
    <definedName name="MODEVERSEMENTS" localSheetId="13">[3]MODEVERSEMENT!$A$1:$A$3</definedName>
    <definedName name="MODEVERSEMENTS" localSheetId="22">[3]MODEVERSEMENT!$A$1:$A$3</definedName>
    <definedName name="MODEVERSEMENTS" localSheetId="9">[3]MODEVERSEMENT!$A$1:$A$3</definedName>
    <definedName name="MODEVERSEMENTS">[4]MODEVERSEMENT!$A$1:$A$3</definedName>
    <definedName name="MODPAID" localSheetId="21">TONTAOUT24!#REF!</definedName>
    <definedName name="MODPAID" localSheetId="8">TONTAOUT25!#REF!</definedName>
    <definedName name="MODPAID" localSheetId="17">TONTAVRIL24!#REF!</definedName>
    <definedName name="MODPAID" localSheetId="4">TONTAVRIL25!#REF!</definedName>
    <definedName name="MODPAID" localSheetId="25">TONTDEC24!#REF!</definedName>
    <definedName name="MODPAID" localSheetId="12">TONTDEC25!#REF!</definedName>
    <definedName name="MODPAID" localSheetId="15">TONTFEV24!#REF!</definedName>
    <definedName name="MODPAID" localSheetId="2">TONTFEV25!#REF!</definedName>
    <definedName name="MODPAID" localSheetId="14">TONTJANV24!#REF!</definedName>
    <definedName name="MODPAID" localSheetId="1">TONTJANV25!#REF!</definedName>
    <definedName name="MODPAID" localSheetId="20">TONTJUIL24!#REF!</definedName>
    <definedName name="MODPAID" localSheetId="7">TONTJUIL25!#REF!</definedName>
    <definedName name="MODPAID" localSheetId="19">TONTJUIN24!#REF!</definedName>
    <definedName name="MODPAID" localSheetId="6">TONTJUIN25!#REF!</definedName>
    <definedName name="MODPAID" localSheetId="18">TONTMAI24!#REF!</definedName>
    <definedName name="MODPAID" localSheetId="5">TONTMAI25!#REF!</definedName>
    <definedName name="MODPAID" localSheetId="16">TONTMARS24!#REF!</definedName>
    <definedName name="MODPAID" localSheetId="3">TONTMARS25!#REF!</definedName>
    <definedName name="MODPAID" localSheetId="24">TONTNOV24!#REF!</definedName>
    <definedName name="MODPAID" localSheetId="11">TONTNOV25!#REF!</definedName>
    <definedName name="MODPAID" localSheetId="23">TONTOCT24!#REF!</definedName>
    <definedName name="MODPAID" localSheetId="10">TONTOCT25!#REF!</definedName>
    <definedName name="MODPAID" localSheetId="26">TONTRESUME24!#REF!</definedName>
    <definedName name="MODPAID" localSheetId="27">TONTRESUME24EDIT!#REF!</definedName>
    <definedName name="MODPAID" localSheetId="13">TONTRESUME25!#REF!</definedName>
    <definedName name="MODPAID" localSheetId="22">TONTSEPT24!#REF!</definedName>
    <definedName name="MODPAID" localSheetId="9">TONTSEPT25!#REF!</definedName>
    <definedName name="VALMODEPAID" localSheetId="21">[5]MODEPAID!$A$1:$A$3</definedName>
    <definedName name="VALMODEPAID" localSheetId="8">[5]MODEPAID!$A$1:$A$3</definedName>
    <definedName name="VALMODEPAID" localSheetId="17">[5]MODEPAID!$A$1:$A$3</definedName>
    <definedName name="VALMODEPAID" localSheetId="4">[5]MODEPAID!$A$1:$A$3</definedName>
    <definedName name="VALMODEPAID" localSheetId="25">[5]MODEPAID!$A$1:$A$3</definedName>
    <definedName name="VALMODEPAID" localSheetId="12">[5]MODEPAID!$A$1:$A$3</definedName>
    <definedName name="VALMODEPAID" localSheetId="15">[5]MODEPAID!$A$1:$A$3</definedName>
    <definedName name="VALMODEPAID" localSheetId="2">[5]MODEPAID!$A$1:$A$3</definedName>
    <definedName name="VALMODEPAID" localSheetId="14">[5]MODEPAID!$A$1:$A$3</definedName>
    <definedName name="VALMODEPAID" localSheetId="1">[5]MODEPAID!$A$1:$A$3</definedName>
    <definedName name="VALMODEPAID" localSheetId="20">[5]MODEPAID!$A$1:$A$3</definedName>
    <definedName name="VALMODEPAID" localSheetId="7">[5]MODEPAID!$A$1:$A$3</definedName>
    <definedName name="VALMODEPAID" localSheetId="19">[5]MODEPAID!$A$1:$A$3</definedName>
    <definedName name="VALMODEPAID" localSheetId="6">[5]MODEPAID!$A$1:$A$3</definedName>
    <definedName name="VALMODEPAID" localSheetId="18">[5]MODEPAID!$A$1:$A$3</definedName>
    <definedName name="VALMODEPAID" localSheetId="5">[5]MODEPAID!$A$1:$A$3</definedName>
    <definedName name="VALMODEPAID" localSheetId="16">[5]MODEPAID!$A$1:$A$3</definedName>
    <definedName name="VALMODEPAID" localSheetId="3">[5]MODEPAID!$A$1:$A$3</definedName>
    <definedName name="VALMODEPAID" localSheetId="24">[5]MODEPAID!$A$1:$A$3</definedName>
    <definedName name="VALMODEPAID" localSheetId="11">[5]MODEPAID!$A$1:$A$3</definedName>
    <definedName name="VALMODEPAID" localSheetId="23">[5]MODEPAID!$A$1:$A$3</definedName>
    <definedName name="VALMODEPAID" localSheetId="10">[5]MODEPAID!$A$1:$A$3</definedName>
    <definedName name="VALMODEPAID" localSheetId="26">[5]MODEPAID!$A$1:$A$3</definedName>
    <definedName name="VALMODEPAID" localSheetId="27">[5]MODEPAID!$A$1:$A$3</definedName>
    <definedName name="VALMODEPAID" localSheetId="13">[5]MODEPAID!$A$1:$A$3</definedName>
    <definedName name="VALMODEPAID" localSheetId="22">[5]MODEPAID!$A$1:$A$3</definedName>
    <definedName name="VALMODEPAID" localSheetId="9">[5]MODEPAID!$A$1:$A$3</definedName>
    <definedName name="VALMODEPAID">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29" l="1"/>
  <c r="M17" i="129" s="1"/>
  <c r="N17" i="129"/>
  <c r="I17" i="129"/>
  <c r="G17" i="129"/>
  <c r="H17" i="129" s="1"/>
  <c r="F17" i="129"/>
  <c r="P16" i="129"/>
  <c r="M16" i="129" s="1"/>
  <c r="N16" i="129"/>
  <c r="I16" i="129"/>
  <c r="G16" i="129"/>
  <c r="H16" i="129" s="1"/>
  <c r="F16" i="129"/>
  <c r="P15" i="129"/>
  <c r="M15" i="129" s="1"/>
  <c r="N15" i="129"/>
  <c r="I15" i="129"/>
  <c r="G15" i="129"/>
  <c r="H15" i="129" s="1"/>
  <c r="F15" i="129"/>
  <c r="P14" i="129"/>
  <c r="M14" i="129" s="1"/>
  <c r="N14" i="129"/>
  <c r="I14" i="129"/>
  <c r="G14" i="129"/>
  <c r="H14" i="129" s="1"/>
  <c r="F14" i="129"/>
  <c r="P13" i="129"/>
  <c r="M13" i="129" s="1"/>
  <c r="N13" i="129"/>
  <c r="I13" i="129"/>
  <c r="G13" i="129"/>
  <c r="H13" i="129" s="1"/>
  <c r="F13" i="129"/>
  <c r="P12" i="129"/>
  <c r="O12" i="129" s="1"/>
  <c r="N12" i="129"/>
  <c r="I12" i="129"/>
  <c r="G12" i="129"/>
  <c r="H12" i="129" s="1"/>
  <c r="F12" i="129"/>
  <c r="P11" i="129"/>
  <c r="M11" i="129" s="1"/>
  <c r="N11" i="129"/>
  <c r="I11" i="129"/>
  <c r="G11" i="129"/>
  <c r="H11" i="129" s="1"/>
  <c r="F11" i="129"/>
  <c r="P10" i="129"/>
  <c r="M10" i="129" s="1"/>
  <c r="N10" i="129"/>
  <c r="I10" i="129"/>
  <c r="G10" i="129"/>
  <c r="H10" i="129" s="1"/>
  <c r="F10" i="129"/>
  <c r="P9" i="129"/>
  <c r="M9" i="129" s="1"/>
  <c r="N9" i="129"/>
  <c r="I9" i="129"/>
  <c r="G9" i="129"/>
  <c r="H9" i="129" s="1"/>
  <c r="F9" i="129"/>
  <c r="P8" i="129"/>
  <c r="M8" i="129" s="1"/>
  <c r="N8" i="129"/>
  <c r="I8" i="129"/>
  <c r="G8" i="129"/>
  <c r="H8" i="129" s="1"/>
  <c r="F8" i="129"/>
  <c r="P7" i="129"/>
  <c r="O7" i="129" s="1"/>
  <c r="N7" i="129"/>
  <c r="I7" i="129"/>
  <c r="G7" i="129"/>
  <c r="H7" i="129" s="1"/>
  <c r="F7" i="129"/>
  <c r="P6" i="129"/>
  <c r="M6" i="129" s="1"/>
  <c r="N6" i="129"/>
  <c r="I6" i="129"/>
  <c r="G6" i="129"/>
  <c r="F6" i="129"/>
  <c r="P17" i="128"/>
  <c r="M17" i="128" s="1"/>
  <c r="N17" i="128"/>
  <c r="I17" i="128"/>
  <c r="G17" i="128"/>
  <c r="H17" i="128" s="1"/>
  <c r="F17" i="128"/>
  <c r="P16" i="128"/>
  <c r="M16" i="128" s="1"/>
  <c r="N16" i="128"/>
  <c r="I16" i="128"/>
  <c r="G16" i="128"/>
  <c r="H16" i="128" s="1"/>
  <c r="F16" i="128"/>
  <c r="P15" i="128"/>
  <c r="M15" i="128" s="1"/>
  <c r="N15" i="128"/>
  <c r="I15" i="128"/>
  <c r="G15" i="128"/>
  <c r="H15" i="128" s="1"/>
  <c r="F15" i="128"/>
  <c r="P14" i="128"/>
  <c r="M14" i="128" s="1"/>
  <c r="N14" i="128"/>
  <c r="I14" i="128"/>
  <c r="G14" i="128"/>
  <c r="H14" i="128" s="1"/>
  <c r="F14" i="128"/>
  <c r="P13" i="128"/>
  <c r="M13" i="128" s="1"/>
  <c r="N13" i="128"/>
  <c r="I13" i="128"/>
  <c r="G13" i="128"/>
  <c r="H13" i="128" s="1"/>
  <c r="F13" i="128"/>
  <c r="P12" i="128"/>
  <c r="O12" i="128" s="1"/>
  <c r="N12" i="128"/>
  <c r="I12" i="128"/>
  <c r="G12" i="128"/>
  <c r="H12" i="128" s="1"/>
  <c r="F12" i="128"/>
  <c r="P11" i="128"/>
  <c r="M11" i="128" s="1"/>
  <c r="N11" i="128"/>
  <c r="I11" i="128"/>
  <c r="G11" i="128"/>
  <c r="H11" i="128" s="1"/>
  <c r="F11" i="128"/>
  <c r="P10" i="128"/>
  <c r="M10" i="128" s="1"/>
  <c r="N10" i="128"/>
  <c r="I10" i="128"/>
  <c r="G10" i="128"/>
  <c r="H10" i="128" s="1"/>
  <c r="F10" i="128"/>
  <c r="P9" i="128"/>
  <c r="M9" i="128" s="1"/>
  <c r="N9" i="128"/>
  <c r="I9" i="128"/>
  <c r="G9" i="128"/>
  <c r="H9" i="128" s="1"/>
  <c r="F9" i="128"/>
  <c r="P8" i="128"/>
  <c r="M8" i="128" s="1"/>
  <c r="N8" i="128"/>
  <c r="I8" i="128"/>
  <c r="G8" i="128"/>
  <c r="H8" i="128" s="1"/>
  <c r="F8" i="128"/>
  <c r="P7" i="128"/>
  <c r="M7" i="128" s="1"/>
  <c r="N7" i="128"/>
  <c r="I7" i="128"/>
  <c r="G7" i="128"/>
  <c r="H7" i="128" s="1"/>
  <c r="F7" i="128"/>
  <c r="P6" i="128"/>
  <c r="N6" i="128"/>
  <c r="I6" i="128"/>
  <c r="G6" i="128"/>
  <c r="F6" i="128"/>
  <c r="P17" i="127"/>
  <c r="M17" i="127" s="1"/>
  <c r="N17" i="127"/>
  <c r="I17" i="127"/>
  <c r="G17" i="127"/>
  <c r="H17" i="127" s="1"/>
  <c r="F17" i="127"/>
  <c r="P16" i="127"/>
  <c r="M16" i="127" s="1"/>
  <c r="N16" i="127"/>
  <c r="I16" i="127"/>
  <c r="G16" i="127"/>
  <c r="H16" i="127" s="1"/>
  <c r="F16" i="127"/>
  <c r="P15" i="127"/>
  <c r="O15" i="127" s="1"/>
  <c r="N15" i="127"/>
  <c r="I15" i="127"/>
  <c r="G15" i="127"/>
  <c r="H15" i="127" s="1"/>
  <c r="F15" i="127"/>
  <c r="P14" i="127"/>
  <c r="M14" i="127" s="1"/>
  <c r="N14" i="127"/>
  <c r="I14" i="127"/>
  <c r="G14" i="127"/>
  <c r="H14" i="127" s="1"/>
  <c r="F14" i="127"/>
  <c r="P13" i="127"/>
  <c r="M13" i="127" s="1"/>
  <c r="N13" i="127"/>
  <c r="I13" i="127"/>
  <c r="G13" i="127"/>
  <c r="H13" i="127" s="1"/>
  <c r="F13" i="127"/>
  <c r="P12" i="127"/>
  <c r="M12" i="127" s="1"/>
  <c r="N12" i="127"/>
  <c r="I12" i="127"/>
  <c r="G12" i="127"/>
  <c r="H12" i="127" s="1"/>
  <c r="F12" i="127"/>
  <c r="P11" i="127"/>
  <c r="M11" i="127" s="1"/>
  <c r="N11" i="127"/>
  <c r="I11" i="127"/>
  <c r="G11" i="127"/>
  <c r="H11" i="127" s="1"/>
  <c r="F11" i="127"/>
  <c r="P10" i="127"/>
  <c r="M10" i="127" s="1"/>
  <c r="N10" i="127"/>
  <c r="I10" i="127"/>
  <c r="G10" i="127"/>
  <c r="H10" i="127" s="1"/>
  <c r="F10" i="127"/>
  <c r="P9" i="127"/>
  <c r="O9" i="127" s="1"/>
  <c r="N9" i="127"/>
  <c r="I9" i="127"/>
  <c r="G9" i="127"/>
  <c r="H9" i="127" s="1"/>
  <c r="F9" i="127"/>
  <c r="P8" i="127"/>
  <c r="M8" i="127" s="1"/>
  <c r="N8" i="127"/>
  <c r="I8" i="127"/>
  <c r="G8" i="127"/>
  <c r="H8" i="127" s="1"/>
  <c r="F8" i="127"/>
  <c r="P7" i="127"/>
  <c r="M7" i="127" s="1"/>
  <c r="N7" i="127"/>
  <c r="I7" i="127"/>
  <c r="G7" i="127"/>
  <c r="H7" i="127" s="1"/>
  <c r="F7" i="127"/>
  <c r="P6" i="127"/>
  <c r="M6" i="127" s="1"/>
  <c r="N6" i="127"/>
  <c r="I6" i="127"/>
  <c r="G6" i="127"/>
  <c r="F6" i="127"/>
  <c r="P17" i="126"/>
  <c r="M17" i="126" s="1"/>
  <c r="N17" i="126"/>
  <c r="I17" i="126"/>
  <c r="G17" i="126"/>
  <c r="H17" i="126" s="1"/>
  <c r="F17" i="126"/>
  <c r="P16" i="126"/>
  <c r="M16" i="126" s="1"/>
  <c r="N16" i="126"/>
  <c r="I16" i="126"/>
  <c r="G16" i="126"/>
  <c r="H16" i="126" s="1"/>
  <c r="F16" i="126"/>
  <c r="P15" i="126"/>
  <c r="M15" i="126" s="1"/>
  <c r="N15" i="126"/>
  <c r="I15" i="126"/>
  <c r="G15" i="126"/>
  <c r="H15" i="126" s="1"/>
  <c r="F15" i="126"/>
  <c r="P14" i="126"/>
  <c r="M14" i="126" s="1"/>
  <c r="N14" i="126"/>
  <c r="I14" i="126"/>
  <c r="G14" i="126"/>
  <c r="H14" i="126" s="1"/>
  <c r="F14" i="126"/>
  <c r="P13" i="126"/>
  <c r="M13" i="126" s="1"/>
  <c r="N13" i="126"/>
  <c r="I13" i="126"/>
  <c r="G13" i="126"/>
  <c r="H13" i="126" s="1"/>
  <c r="F13" i="126"/>
  <c r="P12" i="126"/>
  <c r="M12" i="126" s="1"/>
  <c r="N12" i="126"/>
  <c r="I12" i="126"/>
  <c r="G12" i="126"/>
  <c r="H12" i="126" s="1"/>
  <c r="F12" i="126"/>
  <c r="P11" i="126"/>
  <c r="M11" i="126" s="1"/>
  <c r="N11" i="126"/>
  <c r="I11" i="126"/>
  <c r="G11" i="126"/>
  <c r="H11" i="126" s="1"/>
  <c r="F11" i="126"/>
  <c r="P10" i="126"/>
  <c r="M10" i="126" s="1"/>
  <c r="N10" i="126"/>
  <c r="I10" i="126"/>
  <c r="G10" i="126"/>
  <c r="H10" i="126" s="1"/>
  <c r="F10" i="126"/>
  <c r="P9" i="126"/>
  <c r="M9" i="126" s="1"/>
  <c r="N9" i="126"/>
  <c r="I9" i="126"/>
  <c r="G9" i="126"/>
  <c r="H9" i="126" s="1"/>
  <c r="F9" i="126"/>
  <c r="P8" i="126"/>
  <c r="M8" i="126" s="1"/>
  <c r="N8" i="126"/>
  <c r="I8" i="126"/>
  <c r="G8" i="126"/>
  <c r="H8" i="126" s="1"/>
  <c r="F8" i="126"/>
  <c r="P7" i="126"/>
  <c r="M7" i="126" s="1"/>
  <c r="N7" i="126"/>
  <c r="I7" i="126"/>
  <c r="G7" i="126"/>
  <c r="H7" i="126" s="1"/>
  <c r="F7" i="126"/>
  <c r="P6" i="126"/>
  <c r="O6" i="126" s="1"/>
  <c r="N6" i="126"/>
  <c r="I6" i="126"/>
  <c r="G6" i="126"/>
  <c r="F6" i="126"/>
  <c r="P17" i="125"/>
  <c r="M17" i="125" s="1"/>
  <c r="N17" i="125"/>
  <c r="I17" i="125"/>
  <c r="G17" i="125"/>
  <c r="H17" i="125" s="1"/>
  <c r="F17" i="125"/>
  <c r="P16" i="125"/>
  <c r="M16" i="125" s="1"/>
  <c r="N16" i="125"/>
  <c r="I16" i="125"/>
  <c r="G16" i="125"/>
  <c r="H16" i="125" s="1"/>
  <c r="F16" i="125"/>
  <c r="P15" i="125"/>
  <c r="M15" i="125" s="1"/>
  <c r="N15" i="125"/>
  <c r="I15" i="125"/>
  <c r="G15" i="125"/>
  <c r="H15" i="125" s="1"/>
  <c r="F15" i="125"/>
  <c r="P14" i="125"/>
  <c r="M14" i="125" s="1"/>
  <c r="N14" i="125"/>
  <c r="I14" i="125"/>
  <c r="G14" i="125"/>
  <c r="H14" i="125" s="1"/>
  <c r="F14" i="125"/>
  <c r="P13" i="125"/>
  <c r="M13" i="125" s="1"/>
  <c r="N13" i="125"/>
  <c r="I13" i="125"/>
  <c r="G13" i="125"/>
  <c r="H13" i="125" s="1"/>
  <c r="F13" i="125"/>
  <c r="P12" i="125"/>
  <c r="M12" i="125" s="1"/>
  <c r="N12" i="125"/>
  <c r="I12" i="125"/>
  <c r="G12" i="125"/>
  <c r="H12" i="125" s="1"/>
  <c r="F12" i="125"/>
  <c r="P11" i="125"/>
  <c r="M11" i="125" s="1"/>
  <c r="N11" i="125"/>
  <c r="I11" i="125"/>
  <c r="G11" i="125"/>
  <c r="H11" i="125" s="1"/>
  <c r="F11" i="125"/>
  <c r="P10" i="125"/>
  <c r="O10" i="125" s="1"/>
  <c r="N10" i="125"/>
  <c r="I10" i="125"/>
  <c r="G10" i="125"/>
  <c r="H10" i="125" s="1"/>
  <c r="F10" i="125"/>
  <c r="P9" i="125"/>
  <c r="M9" i="125" s="1"/>
  <c r="N9" i="125"/>
  <c r="I9" i="125"/>
  <c r="G9" i="125"/>
  <c r="H9" i="125" s="1"/>
  <c r="F9" i="125"/>
  <c r="P8" i="125"/>
  <c r="M8" i="125" s="1"/>
  <c r="N8" i="125"/>
  <c r="I8" i="125"/>
  <c r="G8" i="125"/>
  <c r="H8" i="125" s="1"/>
  <c r="F8" i="125"/>
  <c r="P7" i="125"/>
  <c r="M7" i="125" s="1"/>
  <c r="N7" i="125"/>
  <c r="I7" i="125"/>
  <c r="G7" i="125"/>
  <c r="H7" i="125" s="1"/>
  <c r="F7" i="125"/>
  <c r="P6" i="125"/>
  <c r="M6" i="125" s="1"/>
  <c r="N6" i="125"/>
  <c r="I6" i="125"/>
  <c r="G6" i="125"/>
  <c r="F6" i="125"/>
  <c r="P17" i="124"/>
  <c r="M17" i="124" s="1"/>
  <c r="N17" i="124"/>
  <c r="I17" i="124"/>
  <c r="G17" i="124"/>
  <c r="H17" i="124" s="1"/>
  <c r="F17" i="124"/>
  <c r="P16" i="124"/>
  <c r="M16" i="124" s="1"/>
  <c r="N16" i="124"/>
  <c r="I16" i="124"/>
  <c r="G16" i="124"/>
  <c r="H16" i="124" s="1"/>
  <c r="F16" i="124"/>
  <c r="P15" i="124"/>
  <c r="M15" i="124" s="1"/>
  <c r="N15" i="124"/>
  <c r="I15" i="124"/>
  <c r="G15" i="124"/>
  <c r="H15" i="124" s="1"/>
  <c r="F15" i="124"/>
  <c r="P14" i="124"/>
  <c r="M14" i="124" s="1"/>
  <c r="N14" i="124"/>
  <c r="I14" i="124"/>
  <c r="G14" i="124"/>
  <c r="H14" i="124" s="1"/>
  <c r="F14" i="124"/>
  <c r="P13" i="124"/>
  <c r="M13" i="124" s="1"/>
  <c r="N13" i="124"/>
  <c r="I13" i="124"/>
  <c r="G13" i="124"/>
  <c r="H13" i="124" s="1"/>
  <c r="F13" i="124"/>
  <c r="P12" i="124"/>
  <c r="M12" i="124" s="1"/>
  <c r="N12" i="124"/>
  <c r="I12" i="124"/>
  <c r="G12" i="124"/>
  <c r="H12" i="124" s="1"/>
  <c r="F12" i="124"/>
  <c r="P11" i="124"/>
  <c r="O11" i="124" s="1"/>
  <c r="N11" i="124"/>
  <c r="I11" i="124"/>
  <c r="G11" i="124"/>
  <c r="H11" i="124" s="1"/>
  <c r="F11" i="124"/>
  <c r="P10" i="124"/>
  <c r="M10" i="124" s="1"/>
  <c r="N10" i="124"/>
  <c r="I10" i="124"/>
  <c r="G10" i="124"/>
  <c r="H10" i="124" s="1"/>
  <c r="F10" i="124"/>
  <c r="P9" i="124"/>
  <c r="O9" i="124" s="1"/>
  <c r="N9" i="124"/>
  <c r="I9" i="124"/>
  <c r="G9" i="124"/>
  <c r="H9" i="124" s="1"/>
  <c r="F9" i="124"/>
  <c r="P8" i="124"/>
  <c r="M8" i="124" s="1"/>
  <c r="N8" i="124"/>
  <c r="I8" i="124"/>
  <c r="G8" i="124"/>
  <c r="H8" i="124" s="1"/>
  <c r="F8" i="124"/>
  <c r="P7" i="124"/>
  <c r="M7" i="124" s="1"/>
  <c r="N7" i="124"/>
  <c r="I7" i="124"/>
  <c r="G7" i="124"/>
  <c r="H7" i="124" s="1"/>
  <c r="F7" i="124"/>
  <c r="P6" i="124"/>
  <c r="O6" i="124" s="1"/>
  <c r="N6" i="124"/>
  <c r="I6" i="124"/>
  <c r="G6" i="124"/>
  <c r="F6" i="124"/>
  <c r="P17" i="123"/>
  <c r="M17" i="123" s="1"/>
  <c r="N17" i="123"/>
  <c r="I17" i="123"/>
  <c r="G17" i="123"/>
  <c r="H17" i="123" s="1"/>
  <c r="F17" i="123"/>
  <c r="P16" i="123"/>
  <c r="M16" i="123" s="1"/>
  <c r="N16" i="123"/>
  <c r="I16" i="123"/>
  <c r="G16" i="123"/>
  <c r="H16" i="123" s="1"/>
  <c r="F16" i="123"/>
  <c r="P15" i="123"/>
  <c r="M15" i="123" s="1"/>
  <c r="N15" i="123"/>
  <c r="I15" i="123"/>
  <c r="G15" i="123"/>
  <c r="H15" i="123" s="1"/>
  <c r="F15" i="123"/>
  <c r="P14" i="123"/>
  <c r="M14" i="123" s="1"/>
  <c r="N14" i="123"/>
  <c r="I14" i="123"/>
  <c r="G14" i="123"/>
  <c r="F14" i="123"/>
  <c r="P13" i="123"/>
  <c r="O13" i="123" s="1"/>
  <c r="N13" i="123"/>
  <c r="I13" i="123"/>
  <c r="G13" i="123"/>
  <c r="H13" i="123" s="1"/>
  <c r="F13" i="123"/>
  <c r="P12" i="123"/>
  <c r="O12" i="123" s="1"/>
  <c r="N12" i="123"/>
  <c r="I12" i="123"/>
  <c r="G12" i="123"/>
  <c r="H12" i="123" s="1"/>
  <c r="F12" i="123"/>
  <c r="P11" i="123"/>
  <c r="O11" i="123" s="1"/>
  <c r="N11" i="123"/>
  <c r="I11" i="123"/>
  <c r="G11" i="123"/>
  <c r="H11" i="123" s="1"/>
  <c r="F11" i="123"/>
  <c r="P10" i="123"/>
  <c r="N10" i="123"/>
  <c r="I10" i="123"/>
  <c r="G10" i="123"/>
  <c r="H10" i="123" s="1"/>
  <c r="F10" i="123"/>
  <c r="P9" i="123"/>
  <c r="M9" i="123" s="1"/>
  <c r="N9" i="123"/>
  <c r="I9" i="123"/>
  <c r="G9" i="123"/>
  <c r="H9" i="123" s="1"/>
  <c r="F9" i="123"/>
  <c r="P8" i="123"/>
  <c r="M8" i="123" s="1"/>
  <c r="N8" i="123"/>
  <c r="I8" i="123"/>
  <c r="G8" i="123"/>
  <c r="H8" i="123" s="1"/>
  <c r="F8" i="123"/>
  <c r="P7" i="123"/>
  <c r="M7" i="123" s="1"/>
  <c r="N7" i="123"/>
  <c r="I7" i="123"/>
  <c r="G7" i="123"/>
  <c r="H7" i="123" s="1"/>
  <c r="F7" i="123"/>
  <c r="P6" i="123"/>
  <c r="M6" i="123" s="1"/>
  <c r="N6" i="123"/>
  <c r="I6" i="123"/>
  <c r="G6" i="123"/>
  <c r="F6" i="123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K29" i="130"/>
  <c r="M29" i="130" s="1"/>
  <c r="G24" i="130"/>
  <c r="F24" i="130"/>
  <c r="E24" i="130"/>
  <c r="D24" i="130"/>
  <c r="G23" i="130"/>
  <c r="F23" i="130"/>
  <c r="E23" i="130"/>
  <c r="D23" i="130"/>
  <c r="N20" i="130"/>
  <c r="M20" i="130"/>
  <c r="L20" i="130"/>
  <c r="I20" i="130"/>
  <c r="H20" i="130"/>
  <c r="E20" i="130"/>
  <c r="C3" i="130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3" i="129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3" i="128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3" i="127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3" i="126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3" i="125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3" i="124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3" i="123"/>
  <c r="O16" i="124" l="1"/>
  <c r="O8" i="124"/>
  <c r="O14" i="124"/>
  <c r="O15" i="129"/>
  <c r="O15" i="125"/>
  <c r="O17" i="126"/>
  <c r="O13" i="127"/>
  <c r="O17" i="123"/>
  <c r="J9" i="125"/>
  <c r="O17" i="124"/>
  <c r="J11" i="124"/>
  <c r="O16" i="123"/>
  <c r="J10" i="124"/>
  <c r="J7" i="124"/>
  <c r="J15" i="124"/>
  <c r="O8" i="123"/>
  <c r="O15" i="124"/>
  <c r="O10" i="128"/>
  <c r="O10" i="126"/>
  <c r="J17" i="125"/>
  <c r="O12" i="124"/>
  <c r="O13" i="125"/>
  <c r="O11" i="125"/>
  <c r="O9" i="126"/>
  <c r="O16" i="125"/>
  <c r="J14" i="127"/>
  <c r="J16" i="126"/>
  <c r="O9" i="125"/>
  <c r="O17" i="125"/>
  <c r="J13" i="126"/>
  <c r="O13" i="128"/>
  <c r="J11" i="126"/>
  <c r="J12" i="126"/>
  <c r="O14" i="125"/>
  <c r="J7" i="126"/>
  <c r="J8" i="126"/>
  <c r="J9" i="126"/>
  <c r="J13" i="127"/>
  <c r="J17" i="127"/>
  <c r="O7" i="126"/>
  <c r="J12" i="127"/>
  <c r="O16" i="128"/>
  <c r="J9" i="127"/>
  <c r="J16" i="127"/>
  <c r="O14" i="126"/>
  <c r="J8" i="127"/>
  <c r="O11" i="126"/>
  <c r="O15" i="126"/>
  <c r="O15" i="128"/>
  <c r="O8" i="126"/>
  <c r="J15" i="127"/>
  <c r="O13" i="126"/>
  <c r="O8" i="127"/>
  <c r="J6" i="128"/>
  <c r="J17" i="129"/>
  <c r="J17" i="128"/>
  <c r="J16" i="128"/>
  <c r="O17" i="127"/>
  <c r="O16" i="129"/>
  <c r="O11" i="127"/>
  <c r="J14" i="128"/>
  <c r="O16" i="127"/>
  <c r="J13" i="128"/>
  <c r="O8" i="128"/>
  <c r="J15" i="128"/>
  <c r="J12" i="129"/>
  <c r="J12" i="128"/>
  <c r="J10" i="129"/>
  <c r="M7" i="129"/>
  <c r="O14" i="128"/>
  <c r="O17" i="128"/>
  <c r="O11" i="128"/>
  <c r="J7" i="129"/>
  <c r="J14" i="129"/>
  <c r="J6" i="129"/>
  <c r="O7" i="128"/>
  <c r="J11" i="129"/>
  <c r="J9" i="129"/>
  <c r="O17" i="129"/>
  <c r="O8" i="129"/>
  <c r="F20" i="129"/>
  <c r="G20" i="129"/>
  <c r="O10" i="129"/>
  <c r="O13" i="129"/>
  <c r="I20" i="129"/>
  <c r="O14" i="129"/>
  <c r="O11" i="129"/>
  <c r="N20" i="129"/>
  <c r="O6" i="129"/>
  <c r="J16" i="129"/>
  <c r="J13" i="129"/>
  <c r="J8" i="129"/>
  <c r="J15" i="129"/>
  <c r="N20" i="128"/>
  <c r="G20" i="128"/>
  <c r="O9" i="128"/>
  <c r="F20" i="128"/>
  <c r="I20" i="128"/>
  <c r="P20" i="128"/>
  <c r="J8" i="128"/>
  <c r="J10" i="128"/>
  <c r="J11" i="128"/>
  <c r="M15" i="127"/>
  <c r="J7" i="128"/>
  <c r="O10" i="127"/>
  <c r="O7" i="127"/>
  <c r="N20" i="127"/>
  <c r="M9" i="127"/>
  <c r="F20" i="127"/>
  <c r="J9" i="128"/>
  <c r="O14" i="127"/>
  <c r="G20" i="127"/>
  <c r="I20" i="127"/>
  <c r="J6" i="127"/>
  <c r="J7" i="127"/>
  <c r="J10" i="127"/>
  <c r="J11" i="127"/>
  <c r="O12" i="126"/>
  <c r="F20" i="126"/>
  <c r="N20" i="126"/>
  <c r="G20" i="126"/>
  <c r="O16" i="126"/>
  <c r="I20" i="126"/>
  <c r="F20" i="125"/>
  <c r="M10" i="125"/>
  <c r="G23" i="125" s="1"/>
  <c r="J17" i="126"/>
  <c r="J10" i="126"/>
  <c r="J14" i="126"/>
  <c r="J15" i="126"/>
  <c r="J6" i="126"/>
  <c r="G20" i="125"/>
  <c r="O7" i="125"/>
  <c r="O8" i="125"/>
  <c r="I20" i="125"/>
  <c r="N20" i="125"/>
  <c r="O10" i="124"/>
  <c r="M11" i="124"/>
  <c r="F20" i="124"/>
  <c r="J8" i="125"/>
  <c r="J13" i="125"/>
  <c r="J14" i="125"/>
  <c r="J15" i="125"/>
  <c r="J16" i="125"/>
  <c r="J6" i="125"/>
  <c r="J10" i="125"/>
  <c r="J11" i="125"/>
  <c r="J12" i="125"/>
  <c r="G20" i="124"/>
  <c r="I20" i="124"/>
  <c r="N20" i="124"/>
  <c r="M9" i="124"/>
  <c r="J7" i="125"/>
  <c r="J14" i="124"/>
  <c r="O9" i="123"/>
  <c r="P20" i="123"/>
  <c r="M10" i="123"/>
  <c r="J12" i="124"/>
  <c r="O6" i="123"/>
  <c r="O10" i="123"/>
  <c r="O14" i="123"/>
  <c r="M13" i="123"/>
  <c r="J13" i="124"/>
  <c r="J6" i="124"/>
  <c r="H14" i="123"/>
  <c r="F24" i="123" s="1"/>
  <c r="G20" i="123"/>
  <c r="F20" i="123"/>
  <c r="J8" i="124"/>
  <c r="J16" i="124"/>
  <c r="J9" i="124"/>
  <c r="J17" i="124"/>
  <c r="I20" i="123"/>
  <c r="N20" i="123"/>
  <c r="T20" i="130"/>
  <c r="G26" i="130"/>
  <c r="E26" i="130"/>
  <c r="F26" i="130"/>
  <c r="O9" i="129"/>
  <c r="M12" i="129"/>
  <c r="O6" i="128"/>
  <c r="M6" i="128"/>
  <c r="M12" i="128"/>
  <c r="O6" i="127"/>
  <c r="P20" i="127"/>
  <c r="O12" i="127"/>
  <c r="M6" i="126"/>
  <c r="M20" i="126" s="1"/>
  <c r="P20" i="126"/>
  <c r="O6" i="125"/>
  <c r="P20" i="125"/>
  <c r="O12" i="125"/>
  <c r="M6" i="124"/>
  <c r="O7" i="124"/>
  <c r="P20" i="124"/>
  <c r="M11" i="123"/>
  <c r="O7" i="123"/>
  <c r="O15" i="123"/>
  <c r="M12" i="123"/>
  <c r="H24" i="130"/>
  <c r="D26" i="130"/>
  <c r="H23" i="130"/>
  <c r="F24" i="128"/>
  <c r="F23" i="128"/>
  <c r="F23" i="129"/>
  <c r="F24" i="127"/>
  <c r="F23" i="127"/>
  <c r="F24" i="129"/>
  <c r="H6" i="128"/>
  <c r="H20" i="128" s="1"/>
  <c r="H6" i="129"/>
  <c r="H20" i="129" s="1"/>
  <c r="H6" i="127"/>
  <c r="H20" i="127" s="1"/>
  <c r="P20" i="129"/>
  <c r="F24" i="125"/>
  <c r="F23" i="125"/>
  <c r="F24" i="126"/>
  <c r="H6" i="126"/>
  <c r="H20" i="126" s="1"/>
  <c r="F23" i="126"/>
  <c r="H6" i="125"/>
  <c r="H20" i="125" s="1"/>
  <c r="F24" i="124"/>
  <c r="H6" i="124"/>
  <c r="H20" i="124" s="1"/>
  <c r="O13" i="124"/>
  <c r="F23" i="124"/>
  <c r="H6" i="123"/>
  <c r="M20" i="129" l="1"/>
  <c r="G23" i="127"/>
  <c r="M20" i="127"/>
  <c r="F23" i="123"/>
  <c r="F26" i="123" s="1"/>
  <c r="H20" i="123"/>
  <c r="K23" i="128"/>
  <c r="M23" i="126"/>
  <c r="M20" i="128"/>
  <c r="M20" i="125"/>
  <c r="J20" i="127"/>
  <c r="M23" i="127"/>
  <c r="K23" i="127"/>
  <c r="J20" i="128"/>
  <c r="M23" i="128"/>
  <c r="G24" i="128"/>
  <c r="O20" i="128"/>
  <c r="G23" i="128"/>
  <c r="J20" i="129"/>
  <c r="M23" i="129"/>
  <c r="O20" i="129"/>
  <c r="K23" i="129"/>
  <c r="O20" i="127"/>
  <c r="F26" i="127"/>
  <c r="F26" i="126"/>
  <c r="K23" i="126"/>
  <c r="O20" i="126"/>
  <c r="J20" i="126"/>
  <c r="K23" i="125"/>
  <c r="M23" i="125"/>
  <c r="O20" i="125"/>
  <c r="J20" i="125"/>
  <c r="O20" i="124"/>
  <c r="M23" i="124"/>
  <c r="F26" i="124"/>
  <c r="K23" i="124"/>
  <c r="M20" i="123"/>
  <c r="J20" i="124"/>
  <c r="M23" i="123"/>
  <c r="O20" i="123"/>
  <c r="K23" i="123"/>
  <c r="H26" i="130"/>
  <c r="G24" i="127"/>
  <c r="F26" i="128"/>
  <c r="F26" i="129"/>
  <c r="G24" i="129"/>
  <c r="G23" i="129"/>
  <c r="G24" i="125"/>
  <c r="G26" i="125" s="1"/>
  <c r="F26" i="125"/>
  <c r="G24" i="126"/>
  <c r="G23" i="126"/>
  <c r="M20" i="124"/>
  <c r="G23" i="124"/>
  <c r="G24" i="124"/>
  <c r="G24" i="123"/>
  <c r="G23" i="123"/>
  <c r="G26" i="127" l="1"/>
  <c r="G26" i="123"/>
  <c r="G26" i="128"/>
  <c r="G26" i="124"/>
  <c r="G26" i="129"/>
  <c r="G26" i="126"/>
  <c r="P17" i="121" l="1"/>
  <c r="M17" i="121" s="1"/>
  <c r="N17" i="121"/>
  <c r="I17" i="121"/>
  <c r="G17" i="121"/>
  <c r="F17" i="121"/>
  <c r="P16" i="121"/>
  <c r="M16" i="121" s="1"/>
  <c r="N16" i="121"/>
  <c r="I16" i="121"/>
  <c r="G16" i="121"/>
  <c r="F16" i="121"/>
  <c r="P15" i="121"/>
  <c r="M15" i="121" s="1"/>
  <c r="N15" i="121"/>
  <c r="I15" i="121"/>
  <c r="G15" i="121"/>
  <c r="F15" i="121"/>
  <c r="P14" i="121"/>
  <c r="M14" i="121" s="1"/>
  <c r="N14" i="121"/>
  <c r="I14" i="121"/>
  <c r="G14" i="121"/>
  <c r="F14" i="121"/>
  <c r="P13" i="121"/>
  <c r="M13" i="121" s="1"/>
  <c r="N13" i="121"/>
  <c r="I13" i="121"/>
  <c r="G13" i="121"/>
  <c r="F13" i="121"/>
  <c r="P12" i="121"/>
  <c r="M12" i="121" s="1"/>
  <c r="N12" i="121"/>
  <c r="I12" i="121"/>
  <c r="G12" i="121"/>
  <c r="F12" i="121"/>
  <c r="P11" i="121"/>
  <c r="M11" i="121" s="1"/>
  <c r="N11" i="121"/>
  <c r="I11" i="121"/>
  <c r="G11" i="121"/>
  <c r="F11" i="121"/>
  <c r="P10" i="121"/>
  <c r="M10" i="121" s="1"/>
  <c r="N10" i="121"/>
  <c r="I10" i="121"/>
  <c r="G10" i="121"/>
  <c r="F10" i="121"/>
  <c r="P9" i="121"/>
  <c r="M9" i="121" s="1"/>
  <c r="N9" i="121"/>
  <c r="I9" i="121"/>
  <c r="G9" i="121"/>
  <c r="F9" i="121"/>
  <c r="P8" i="121"/>
  <c r="M8" i="121" s="1"/>
  <c r="N8" i="121"/>
  <c r="I8" i="121"/>
  <c r="G8" i="121"/>
  <c r="F8" i="121"/>
  <c r="P7" i="121"/>
  <c r="M7" i="121" s="1"/>
  <c r="N7" i="121"/>
  <c r="I7" i="121"/>
  <c r="G7" i="121"/>
  <c r="F7" i="121"/>
  <c r="P6" i="121"/>
  <c r="M6" i="121" s="1"/>
  <c r="N6" i="121"/>
  <c r="I6" i="121"/>
  <c r="G6" i="121"/>
  <c r="F6" i="121"/>
  <c r="P17" i="122"/>
  <c r="M17" i="122" s="1"/>
  <c r="N17" i="122"/>
  <c r="I17" i="122"/>
  <c r="G17" i="122"/>
  <c r="F17" i="122"/>
  <c r="P16" i="122"/>
  <c r="M16" i="122" s="1"/>
  <c r="N16" i="122"/>
  <c r="I16" i="122"/>
  <c r="G16" i="122"/>
  <c r="F16" i="122"/>
  <c r="P15" i="122"/>
  <c r="M15" i="122" s="1"/>
  <c r="N15" i="122"/>
  <c r="I15" i="122"/>
  <c r="G15" i="122"/>
  <c r="F15" i="122"/>
  <c r="P14" i="122"/>
  <c r="M14" i="122" s="1"/>
  <c r="N14" i="122"/>
  <c r="I14" i="122"/>
  <c r="G14" i="122"/>
  <c r="F14" i="122"/>
  <c r="P13" i="122"/>
  <c r="M13" i="122" s="1"/>
  <c r="N13" i="122"/>
  <c r="I13" i="122"/>
  <c r="G13" i="122"/>
  <c r="F13" i="122"/>
  <c r="P12" i="122"/>
  <c r="M12" i="122" s="1"/>
  <c r="N12" i="122"/>
  <c r="I12" i="122"/>
  <c r="G12" i="122"/>
  <c r="F12" i="122"/>
  <c r="P11" i="122"/>
  <c r="M11" i="122" s="1"/>
  <c r="N11" i="122"/>
  <c r="I11" i="122"/>
  <c r="G11" i="122"/>
  <c r="F11" i="122"/>
  <c r="P10" i="122"/>
  <c r="M10" i="122" s="1"/>
  <c r="N10" i="122"/>
  <c r="I10" i="122"/>
  <c r="G10" i="122"/>
  <c r="F10" i="122"/>
  <c r="P9" i="122"/>
  <c r="M9" i="122" s="1"/>
  <c r="N9" i="122"/>
  <c r="I9" i="122"/>
  <c r="G9" i="122"/>
  <c r="F9" i="122"/>
  <c r="P8" i="122"/>
  <c r="M8" i="122" s="1"/>
  <c r="N8" i="122"/>
  <c r="I8" i="122"/>
  <c r="G8" i="122"/>
  <c r="F8" i="122"/>
  <c r="P7" i="122"/>
  <c r="M7" i="122" s="1"/>
  <c r="N7" i="122"/>
  <c r="I7" i="122"/>
  <c r="G7" i="122"/>
  <c r="F7" i="122"/>
  <c r="P6" i="122"/>
  <c r="M6" i="122" s="1"/>
  <c r="N6" i="122"/>
  <c r="I6" i="122"/>
  <c r="G6" i="122"/>
  <c r="F6" i="122"/>
  <c r="J13" i="123" l="1"/>
  <c r="J14" i="123"/>
  <c r="J6" i="123"/>
  <c r="J8" i="123"/>
  <c r="J7" i="123"/>
  <c r="J12" i="123"/>
  <c r="J11" i="123"/>
  <c r="J16" i="123"/>
  <c r="J10" i="123"/>
  <c r="J15" i="123"/>
  <c r="J9" i="123"/>
  <c r="J17" i="123"/>
  <c r="J9" i="122"/>
  <c r="J17" i="122"/>
  <c r="J12" i="122"/>
  <c r="J13" i="122"/>
  <c r="J10" i="122"/>
  <c r="J7" i="122"/>
  <c r="J15" i="122"/>
  <c r="J6" i="122"/>
  <c r="J14" i="122"/>
  <c r="J11" i="122"/>
  <c r="J8" i="122"/>
  <c r="J16" i="122"/>
  <c r="O17" i="122"/>
  <c r="H17" i="122"/>
  <c r="C17" i="122"/>
  <c r="H16" i="122"/>
  <c r="C16" i="122"/>
  <c r="O15" i="122"/>
  <c r="H15" i="122"/>
  <c r="C15" i="122"/>
  <c r="H14" i="122"/>
  <c r="C14" i="122"/>
  <c r="O13" i="122"/>
  <c r="H13" i="122"/>
  <c r="C13" i="122"/>
  <c r="O12" i="122"/>
  <c r="H12" i="122"/>
  <c r="C12" i="122"/>
  <c r="O11" i="122"/>
  <c r="H11" i="122"/>
  <c r="C11" i="122"/>
  <c r="O10" i="122"/>
  <c r="H10" i="122"/>
  <c r="C10" i="122"/>
  <c r="O9" i="122"/>
  <c r="H9" i="122"/>
  <c r="C9" i="122"/>
  <c r="O8" i="122"/>
  <c r="H8" i="122"/>
  <c r="C8" i="122"/>
  <c r="O7" i="122"/>
  <c r="H7" i="122"/>
  <c r="C7" i="122"/>
  <c r="O6" i="122"/>
  <c r="C6" i="122"/>
  <c r="C3" i="122"/>
  <c r="O14" i="122" s="1"/>
  <c r="O17" i="121"/>
  <c r="H17" i="121"/>
  <c r="C17" i="121"/>
  <c r="H16" i="121"/>
  <c r="C16" i="121"/>
  <c r="O15" i="121"/>
  <c r="H15" i="121"/>
  <c r="C15" i="121"/>
  <c r="O14" i="121"/>
  <c r="H14" i="121"/>
  <c r="C14" i="121"/>
  <c r="H13" i="121"/>
  <c r="C13" i="121"/>
  <c r="O12" i="121"/>
  <c r="H12" i="121"/>
  <c r="C12" i="121"/>
  <c r="O11" i="121"/>
  <c r="H11" i="121"/>
  <c r="C11" i="121"/>
  <c r="H10" i="121"/>
  <c r="C10" i="121"/>
  <c r="H9" i="121"/>
  <c r="C9" i="121"/>
  <c r="H8" i="121"/>
  <c r="C8" i="121"/>
  <c r="O7" i="121"/>
  <c r="H7" i="121"/>
  <c r="C7" i="121"/>
  <c r="C6" i="121"/>
  <c r="C3" i="121"/>
  <c r="O9" i="121" s="1"/>
  <c r="J20" i="123" l="1"/>
  <c r="I20" i="122"/>
  <c r="O6" i="121"/>
  <c r="O10" i="121"/>
  <c r="N20" i="121"/>
  <c r="F24" i="121"/>
  <c r="O16" i="122"/>
  <c r="O20" i="122" s="1"/>
  <c r="O13" i="121"/>
  <c r="G20" i="122"/>
  <c r="M23" i="122"/>
  <c r="F20" i="121"/>
  <c r="O8" i="121"/>
  <c r="O16" i="121"/>
  <c r="G20" i="121"/>
  <c r="I20" i="121"/>
  <c r="N20" i="122"/>
  <c r="F20" i="122"/>
  <c r="P20" i="122"/>
  <c r="F24" i="122"/>
  <c r="H6" i="122"/>
  <c r="H20" i="122" s="1"/>
  <c r="F23" i="122"/>
  <c r="F23" i="121"/>
  <c r="H6" i="121"/>
  <c r="H20" i="121" s="1"/>
  <c r="P20" i="121"/>
  <c r="F26" i="121" l="1"/>
  <c r="K23" i="121"/>
  <c r="M23" i="121"/>
  <c r="K23" i="122"/>
  <c r="O20" i="121"/>
  <c r="F26" i="122"/>
  <c r="M20" i="122"/>
  <c r="G24" i="122"/>
  <c r="G23" i="122"/>
  <c r="G24" i="121"/>
  <c r="G23" i="121"/>
  <c r="M20" i="121"/>
  <c r="G26" i="121" l="1"/>
  <c r="G26" i="122"/>
  <c r="P17" i="120" l="1"/>
  <c r="M17" i="120" s="1"/>
  <c r="N17" i="120"/>
  <c r="I17" i="120"/>
  <c r="G17" i="120"/>
  <c r="H17" i="120" s="1"/>
  <c r="F17" i="120"/>
  <c r="P16" i="120"/>
  <c r="O16" i="120" s="1"/>
  <c r="N16" i="120"/>
  <c r="I16" i="120"/>
  <c r="G16" i="120"/>
  <c r="H16" i="120" s="1"/>
  <c r="F16" i="120"/>
  <c r="P15" i="120"/>
  <c r="M15" i="120" s="1"/>
  <c r="N15" i="120"/>
  <c r="I15" i="120"/>
  <c r="G15" i="120"/>
  <c r="H15" i="120" s="1"/>
  <c r="F15" i="120"/>
  <c r="P14" i="120"/>
  <c r="M14" i="120" s="1"/>
  <c r="N14" i="120"/>
  <c r="I14" i="120"/>
  <c r="G14" i="120"/>
  <c r="H14" i="120" s="1"/>
  <c r="F14" i="120"/>
  <c r="P13" i="120"/>
  <c r="M13" i="120" s="1"/>
  <c r="N13" i="120"/>
  <c r="I13" i="120"/>
  <c r="G13" i="120"/>
  <c r="H13" i="120" s="1"/>
  <c r="F13" i="120"/>
  <c r="P12" i="120"/>
  <c r="M12" i="120" s="1"/>
  <c r="N12" i="120"/>
  <c r="I12" i="120"/>
  <c r="G12" i="120"/>
  <c r="H12" i="120" s="1"/>
  <c r="F12" i="120"/>
  <c r="P11" i="120"/>
  <c r="M11" i="120" s="1"/>
  <c r="N11" i="120"/>
  <c r="I11" i="120"/>
  <c r="G11" i="120"/>
  <c r="H11" i="120" s="1"/>
  <c r="F11" i="120"/>
  <c r="P10" i="120"/>
  <c r="M10" i="120" s="1"/>
  <c r="N10" i="120"/>
  <c r="I10" i="120"/>
  <c r="G10" i="120"/>
  <c r="H10" i="120" s="1"/>
  <c r="F10" i="120"/>
  <c r="P9" i="120"/>
  <c r="M9" i="120" s="1"/>
  <c r="N9" i="120"/>
  <c r="I9" i="120"/>
  <c r="G9" i="120"/>
  <c r="H9" i="120" s="1"/>
  <c r="F9" i="120"/>
  <c r="P8" i="120"/>
  <c r="N8" i="120"/>
  <c r="I8" i="120"/>
  <c r="G8" i="120"/>
  <c r="H8" i="120" s="1"/>
  <c r="F8" i="120"/>
  <c r="P7" i="120"/>
  <c r="M7" i="120" s="1"/>
  <c r="N7" i="120"/>
  <c r="I7" i="120"/>
  <c r="G7" i="120"/>
  <c r="H7" i="120" s="1"/>
  <c r="F7" i="120"/>
  <c r="P6" i="120"/>
  <c r="M6" i="120" s="1"/>
  <c r="N6" i="120"/>
  <c r="I6" i="120"/>
  <c r="G6" i="120"/>
  <c r="H6" i="120" s="1"/>
  <c r="F6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3" i="120"/>
  <c r="P9" i="119"/>
  <c r="O9" i="119" s="1"/>
  <c r="N9" i="119"/>
  <c r="I9" i="119"/>
  <c r="G9" i="119"/>
  <c r="H9" i="119" s="1"/>
  <c r="F9" i="119"/>
  <c r="C9" i="119"/>
  <c r="P9" i="118"/>
  <c r="N9" i="118"/>
  <c r="K9" i="118"/>
  <c r="I9" i="118"/>
  <c r="G9" i="118"/>
  <c r="F9" i="118"/>
  <c r="C9" i="118"/>
  <c r="J12" i="121" l="1"/>
  <c r="F9" i="130"/>
  <c r="O9" i="118"/>
  <c r="P9" i="130"/>
  <c r="H9" i="118"/>
  <c r="G9" i="130"/>
  <c r="L9" i="118"/>
  <c r="J8" i="121"/>
  <c r="J16" i="121"/>
  <c r="J14" i="121"/>
  <c r="J15" i="121"/>
  <c r="J13" i="121"/>
  <c r="J10" i="121"/>
  <c r="J7" i="121"/>
  <c r="J9" i="121"/>
  <c r="J17" i="121"/>
  <c r="J6" i="121"/>
  <c r="J11" i="121"/>
  <c r="O8" i="120"/>
  <c r="O17" i="120"/>
  <c r="J9" i="120"/>
  <c r="J9" i="119"/>
  <c r="O14" i="120"/>
  <c r="O10" i="120"/>
  <c r="O11" i="120"/>
  <c r="P20" i="120"/>
  <c r="F20" i="120"/>
  <c r="G20" i="120"/>
  <c r="I20" i="120"/>
  <c r="N20" i="120"/>
  <c r="O9" i="120"/>
  <c r="O12" i="120"/>
  <c r="O15" i="120"/>
  <c r="M8" i="120"/>
  <c r="M16" i="120"/>
  <c r="O7" i="120"/>
  <c r="F24" i="120"/>
  <c r="F23" i="120"/>
  <c r="H20" i="120"/>
  <c r="O6" i="120"/>
  <c r="O13" i="120"/>
  <c r="M9" i="119"/>
  <c r="M9" i="118"/>
  <c r="J9" i="130" l="1"/>
  <c r="O9" i="130"/>
  <c r="K23" i="120"/>
  <c r="M20" i="120"/>
  <c r="M23" i="120"/>
  <c r="O20" i="120"/>
  <c r="F26" i="120"/>
  <c r="G24" i="120"/>
  <c r="G23" i="120"/>
  <c r="G26" i="120" l="1"/>
  <c r="P17" i="119" l="1"/>
  <c r="M17" i="119" s="1"/>
  <c r="N17" i="119"/>
  <c r="I17" i="119"/>
  <c r="G17" i="119"/>
  <c r="H17" i="119" s="1"/>
  <c r="F17" i="119"/>
  <c r="P16" i="119"/>
  <c r="M16" i="119" s="1"/>
  <c r="N16" i="119"/>
  <c r="I16" i="119"/>
  <c r="G16" i="119"/>
  <c r="H16" i="119" s="1"/>
  <c r="F16" i="119"/>
  <c r="P15" i="119"/>
  <c r="M15" i="119" s="1"/>
  <c r="N15" i="119"/>
  <c r="I15" i="119"/>
  <c r="G15" i="119"/>
  <c r="H15" i="119" s="1"/>
  <c r="F15" i="119"/>
  <c r="P14" i="119"/>
  <c r="O14" i="119" s="1"/>
  <c r="N14" i="119"/>
  <c r="I14" i="119"/>
  <c r="G14" i="119"/>
  <c r="H14" i="119" s="1"/>
  <c r="F14" i="119"/>
  <c r="P13" i="119"/>
  <c r="M13" i="119" s="1"/>
  <c r="N13" i="119"/>
  <c r="I13" i="119"/>
  <c r="G13" i="119"/>
  <c r="H13" i="119" s="1"/>
  <c r="F13" i="119"/>
  <c r="P12" i="119"/>
  <c r="M12" i="119" s="1"/>
  <c r="N12" i="119"/>
  <c r="I12" i="119"/>
  <c r="G12" i="119"/>
  <c r="H12" i="119" s="1"/>
  <c r="F12" i="119"/>
  <c r="P11" i="119"/>
  <c r="N11" i="119"/>
  <c r="I11" i="119"/>
  <c r="G11" i="119"/>
  <c r="H11" i="119" s="1"/>
  <c r="F11" i="119"/>
  <c r="P10" i="119"/>
  <c r="M10" i="119" s="1"/>
  <c r="N10" i="119"/>
  <c r="I10" i="119"/>
  <c r="G10" i="119"/>
  <c r="H10" i="119" s="1"/>
  <c r="F10" i="119"/>
  <c r="P8" i="119"/>
  <c r="M8" i="119" s="1"/>
  <c r="N8" i="119"/>
  <c r="I8" i="119"/>
  <c r="G8" i="119"/>
  <c r="H8" i="119" s="1"/>
  <c r="F8" i="119"/>
  <c r="P7" i="119"/>
  <c r="M7" i="119" s="1"/>
  <c r="N7" i="119"/>
  <c r="I7" i="119"/>
  <c r="G7" i="119"/>
  <c r="H7" i="119" s="1"/>
  <c r="F7" i="119"/>
  <c r="P6" i="119"/>
  <c r="M6" i="119" s="1"/>
  <c r="N6" i="119"/>
  <c r="I6" i="119"/>
  <c r="G6" i="119"/>
  <c r="H6" i="119" s="1"/>
  <c r="F6" i="119"/>
  <c r="C17" i="119"/>
  <c r="C16" i="119"/>
  <c r="C15" i="119"/>
  <c r="C14" i="119"/>
  <c r="C13" i="119"/>
  <c r="C12" i="119"/>
  <c r="C11" i="119"/>
  <c r="C10" i="119"/>
  <c r="C8" i="119"/>
  <c r="C7" i="119"/>
  <c r="C6" i="119"/>
  <c r="C3" i="119"/>
  <c r="J17" i="120" l="1"/>
  <c r="J16" i="120"/>
  <c r="J6" i="120"/>
  <c r="J15" i="120"/>
  <c r="J13" i="120"/>
  <c r="J8" i="120"/>
  <c r="J14" i="120"/>
  <c r="J7" i="120"/>
  <c r="J10" i="120"/>
  <c r="J12" i="120"/>
  <c r="J11" i="120"/>
  <c r="O11" i="119"/>
  <c r="O13" i="119"/>
  <c r="O16" i="119"/>
  <c r="F20" i="119"/>
  <c r="G20" i="119"/>
  <c r="I20" i="119"/>
  <c r="N20" i="119"/>
  <c r="O7" i="119"/>
  <c r="O8" i="119"/>
  <c r="O17" i="119"/>
  <c r="H20" i="119"/>
  <c r="M11" i="119"/>
  <c r="M14" i="119"/>
  <c r="O10" i="119"/>
  <c r="F24" i="119"/>
  <c r="F23" i="119"/>
  <c r="O6" i="119"/>
  <c r="O12" i="119"/>
  <c r="O15" i="119"/>
  <c r="P20" i="119"/>
  <c r="J20" i="122" l="1"/>
  <c r="J20" i="121"/>
  <c r="J20" i="120"/>
  <c r="M23" i="119"/>
  <c r="K23" i="119"/>
  <c r="G24" i="119"/>
  <c r="G23" i="119"/>
  <c r="F26" i="119"/>
  <c r="O20" i="119"/>
  <c r="M20" i="119"/>
  <c r="G26" i="119" l="1"/>
  <c r="F7" i="118" l="1"/>
  <c r="F7" i="130" s="1"/>
  <c r="F8" i="118"/>
  <c r="F8" i="130" s="1"/>
  <c r="F10" i="118"/>
  <c r="F10" i="130" s="1"/>
  <c r="F11" i="118"/>
  <c r="F11" i="130" s="1"/>
  <c r="F12" i="118"/>
  <c r="F12" i="130" s="1"/>
  <c r="F13" i="118"/>
  <c r="F13" i="130" s="1"/>
  <c r="F14" i="118"/>
  <c r="F14" i="130" s="1"/>
  <c r="F15" i="118"/>
  <c r="F15" i="130" s="1"/>
  <c r="F16" i="118"/>
  <c r="F16" i="130" s="1"/>
  <c r="F17" i="118"/>
  <c r="F17" i="130" s="1"/>
  <c r="F6" i="118"/>
  <c r="F6" i="130" s="1"/>
  <c r="C7" i="118"/>
  <c r="C8" i="118"/>
  <c r="C10" i="118"/>
  <c r="C11" i="118"/>
  <c r="C12" i="118"/>
  <c r="C13" i="118"/>
  <c r="C14" i="118"/>
  <c r="C15" i="118"/>
  <c r="C16" i="118"/>
  <c r="C17" i="118"/>
  <c r="C6" i="118"/>
  <c r="P16" i="118"/>
  <c r="N16" i="118"/>
  <c r="K16" i="118"/>
  <c r="I16" i="118"/>
  <c r="G16" i="118"/>
  <c r="P17" i="118"/>
  <c r="N17" i="118"/>
  <c r="P15" i="118"/>
  <c r="N15" i="118"/>
  <c r="P14" i="118"/>
  <c r="N14" i="118"/>
  <c r="P13" i="118"/>
  <c r="N13" i="118"/>
  <c r="P12" i="118"/>
  <c r="N12" i="118"/>
  <c r="P11" i="118"/>
  <c r="N11" i="118"/>
  <c r="P10" i="118"/>
  <c r="N10" i="118"/>
  <c r="P8" i="118"/>
  <c r="N8" i="118"/>
  <c r="P7" i="118"/>
  <c r="N7" i="118"/>
  <c r="P6" i="118"/>
  <c r="N6" i="118"/>
  <c r="K7" i="118"/>
  <c r="K8" i="118"/>
  <c r="K10" i="118"/>
  <c r="K11" i="118"/>
  <c r="K12" i="118"/>
  <c r="K13" i="118"/>
  <c r="K14" i="118"/>
  <c r="K15" i="118"/>
  <c r="K17" i="118"/>
  <c r="K6" i="118"/>
  <c r="I7" i="118"/>
  <c r="I8" i="118"/>
  <c r="I10" i="118"/>
  <c r="I11" i="118"/>
  <c r="I12" i="118"/>
  <c r="I13" i="118"/>
  <c r="I14" i="118"/>
  <c r="I15" i="118"/>
  <c r="I17" i="118"/>
  <c r="I6" i="118"/>
  <c r="G7" i="118"/>
  <c r="G8" i="118"/>
  <c r="G10" i="118"/>
  <c r="G11" i="118"/>
  <c r="G12" i="118"/>
  <c r="G13" i="118"/>
  <c r="G14" i="118"/>
  <c r="G15" i="118"/>
  <c r="G17" i="118"/>
  <c r="G6" i="118"/>
  <c r="J20" i="118"/>
  <c r="C3" i="118"/>
  <c r="M11" i="118" l="1"/>
  <c r="P11" i="130"/>
  <c r="H6" i="118"/>
  <c r="G6" i="130"/>
  <c r="H12" i="118"/>
  <c r="G12" i="130"/>
  <c r="L17" i="118"/>
  <c r="L7" i="118"/>
  <c r="M10" i="118"/>
  <c r="P10" i="130"/>
  <c r="M14" i="118"/>
  <c r="P14" i="130"/>
  <c r="L14" i="118"/>
  <c r="O6" i="118"/>
  <c r="O6" i="130" s="1"/>
  <c r="P6" i="130"/>
  <c r="L13" i="118"/>
  <c r="H11" i="118"/>
  <c r="G11" i="130"/>
  <c r="L15" i="118"/>
  <c r="O16" i="118"/>
  <c r="O16" i="130" s="1"/>
  <c r="P16" i="130"/>
  <c r="M15" i="118"/>
  <c r="P15" i="130"/>
  <c r="H17" i="118"/>
  <c r="G17" i="130"/>
  <c r="H7" i="118"/>
  <c r="G7" i="130"/>
  <c r="L12" i="118"/>
  <c r="M7" i="118"/>
  <c r="P7" i="130"/>
  <c r="M12" i="118"/>
  <c r="P12" i="130"/>
  <c r="M17" i="118"/>
  <c r="P17" i="130"/>
  <c r="H15" i="118"/>
  <c r="G15" i="130"/>
  <c r="L11" i="118"/>
  <c r="H16" i="118"/>
  <c r="G16" i="130"/>
  <c r="F20" i="130"/>
  <c r="H8" i="118"/>
  <c r="G8" i="130"/>
  <c r="H14" i="118"/>
  <c r="G14" i="130"/>
  <c r="L10" i="118"/>
  <c r="M8" i="118"/>
  <c r="P8" i="130"/>
  <c r="M13" i="118"/>
  <c r="P13" i="130"/>
  <c r="H10" i="118"/>
  <c r="G10" i="130"/>
  <c r="H13" i="118"/>
  <c r="G13" i="130"/>
  <c r="L6" i="118"/>
  <c r="L8" i="118"/>
  <c r="L16" i="118"/>
  <c r="J15" i="119"/>
  <c r="J14" i="119"/>
  <c r="J13" i="119"/>
  <c r="J12" i="119"/>
  <c r="J11" i="119"/>
  <c r="J6" i="119"/>
  <c r="J10" i="119"/>
  <c r="J17" i="119"/>
  <c r="J8" i="119"/>
  <c r="J16" i="119"/>
  <c r="J7" i="119"/>
  <c r="O10" i="118"/>
  <c r="O10" i="130" s="1"/>
  <c r="O13" i="118"/>
  <c r="O13" i="130" s="1"/>
  <c r="O17" i="118"/>
  <c r="O17" i="130" s="1"/>
  <c r="M6" i="118"/>
  <c r="O15" i="118"/>
  <c r="O15" i="130" s="1"/>
  <c r="M16" i="118"/>
  <c r="N20" i="118"/>
  <c r="O7" i="118"/>
  <c r="O7" i="130" s="1"/>
  <c r="O8" i="118"/>
  <c r="O8" i="130" s="1"/>
  <c r="O12" i="118"/>
  <c r="O12" i="130" s="1"/>
  <c r="K20" i="118"/>
  <c r="I20" i="118"/>
  <c r="G20" i="118"/>
  <c r="F20" i="118"/>
  <c r="O11" i="118"/>
  <c r="O11" i="130" s="1"/>
  <c r="O14" i="118"/>
  <c r="O14" i="130" s="1"/>
  <c r="P20" i="118"/>
  <c r="T22" i="116"/>
  <c r="G20" i="130" l="1"/>
  <c r="Q22" i="130" s="1"/>
  <c r="E23" i="118"/>
  <c r="J11" i="130"/>
  <c r="J10" i="130"/>
  <c r="J7" i="130"/>
  <c r="J13" i="130"/>
  <c r="J17" i="130"/>
  <c r="J12" i="130"/>
  <c r="J16" i="130"/>
  <c r="J6" i="130"/>
  <c r="J14" i="130"/>
  <c r="J8" i="130"/>
  <c r="J15" i="130"/>
  <c r="E24" i="118"/>
  <c r="L20" i="118"/>
  <c r="H20" i="118"/>
  <c r="M23" i="130"/>
  <c r="K23" i="130"/>
  <c r="F23" i="118"/>
  <c r="F24" i="118"/>
  <c r="P20" i="130"/>
  <c r="O20" i="130"/>
  <c r="J20" i="119"/>
  <c r="O20" i="118"/>
  <c r="M20" i="118"/>
  <c r="K23" i="118"/>
  <c r="G24" i="118"/>
  <c r="G23" i="118"/>
  <c r="M23" i="118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5" i="117"/>
  <c r="B18" i="117"/>
  <c r="B17" i="117"/>
  <c r="B16" i="117"/>
  <c r="B15" i="117"/>
  <c r="B14" i="117"/>
  <c r="B13" i="117"/>
  <c r="B12" i="117"/>
  <c r="B11" i="117"/>
  <c r="B10" i="117"/>
  <c r="B9" i="117"/>
  <c r="B8" i="117"/>
  <c r="B7" i="117"/>
  <c r="B6" i="117"/>
  <c r="B5" i="117"/>
  <c r="E26" i="118" l="1"/>
  <c r="K30" i="118" s="1"/>
  <c r="M30" i="118" s="1"/>
  <c r="J20" i="130"/>
  <c r="K30" i="130" s="1"/>
  <c r="M30" i="130" s="1"/>
  <c r="F26" i="118"/>
  <c r="Q24" i="130"/>
  <c r="G26" i="118"/>
  <c r="J20" i="117"/>
  <c r="Q26" i="130" l="1"/>
  <c r="P19" i="115"/>
  <c r="M19" i="115" s="1"/>
  <c r="N19" i="115"/>
  <c r="I19" i="115"/>
  <c r="G19" i="115"/>
  <c r="H19" i="115" s="1"/>
  <c r="F19" i="115"/>
  <c r="P18" i="115"/>
  <c r="M18" i="115" s="1"/>
  <c r="N18" i="115"/>
  <c r="I18" i="115"/>
  <c r="G18" i="115"/>
  <c r="H18" i="115" s="1"/>
  <c r="F18" i="115"/>
  <c r="P17" i="115"/>
  <c r="M17" i="115" s="1"/>
  <c r="N17" i="115"/>
  <c r="I17" i="115"/>
  <c r="G17" i="115"/>
  <c r="H17" i="115" s="1"/>
  <c r="F17" i="115"/>
  <c r="P16" i="115"/>
  <c r="M16" i="115" s="1"/>
  <c r="N16" i="115"/>
  <c r="I16" i="115"/>
  <c r="G16" i="115"/>
  <c r="H16" i="115" s="1"/>
  <c r="F16" i="115"/>
  <c r="P15" i="115"/>
  <c r="M15" i="115" s="1"/>
  <c r="N15" i="115"/>
  <c r="I15" i="115"/>
  <c r="G15" i="115"/>
  <c r="H15" i="115" s="1"/>
  <c r="F15" i="115"/>
  <c r="P14" i="115"/>
  <c r="M14" i="115" s="1"/>
  <c r="N14" i="115"/>
  <c r="I14" i="115"/>
  <c r="G14" i="115"/>
  <c r="H14" i="115" s="1"/>
  <c r="F14" i="115"/>
  <c r="P13" i="115"/>
  <c r="M13" i="115" s="1"/>
  <c r="N13" i="115"/>
  <c r="I13" i="115"/>
  <c r="G13" i="115"/>
  <c r="H13" i="115" s="1"/>
  <c r="F13" i="115"/>
  <c r="P12" i="115"/>
  <c r="M12" i="115" s="1"/>
  <c r="N12" i="115"/>
  <c r="I12" i="115"/>
  <c r="G12" i="115"/>
  <c r="H12" i="115" s="1"/>
  <c r="F12" i="115"/>
  <c r="P11" i="115"/>
  <c r="M11" i="115" s="1"/>
  <c r="N11" i="115"/>
  <c r="I11" i="115"/>
  <c r="G11" i="115"/>
  <c r="H11" i="115" s="1"/>
  <c r="F11" i="115"/>
  <c r="P10" i="115"/>
  <c r="M10" i="115" s="1"/>
  <c r="N10" i="115"/>
  <c r="I10" i="115"/>
  <c r="G10" i="115"/>
  <c r="H10" i="115" s="1"/>
  <c r="F10" i="115"/>
  <c r="P9" i="115"/>
  <c r="M9" i="115" s="1"/>
  <c r="N9" i="115"/>
  <c r="I9" i="115"/>
  <c r="G9" i="115"/>
  <c r="H9" i="115" s="1"/>
  <c r="F9" i="115"/>
  <c r="P8" i="115"/>
  <c r="M8" i="115" s="1"/>
  <c r="N8" i="115"/>
  <c r="I8" i="115"/>
  <c r="G8" i="115"/>
  <c r="H8" i="115" s="1"/>
  <c r="F8" i="115"/>
  <c r="P7" i="115"/>
  <c r="M7" i="115" s="1"/>
  <c r="N7" i="115"/>
  <c r="I7" i="115"/>
  <c r="G7" i="115"/>
  <c r="H7" i="115" s="1"/>
  <c r="F7" i="115"/>
  <c r="P6" i="115"/>
  <c r="M6" i="115" s="1"/>
  <c r="N6" i="115"/>
  <c r="I6" i="115"/>
  <c r="G6" i="115"/>
  <c r="H6" i="115" s="1"/>
  <c r="F6" i="115"/>
  <c r="P19" i="114"/>
  <c r="M19" i="114" s="1"/>
  <c r="N19" i="114"/>
  <c r="I19" i="114"/>
  <c r="G19" i="114"/>
  <c r="F19" i="114"/>
  <c r="P18" i="114"/>
  <c r="M18" i="114" s="1"/>
  <c r="N18" i="114"/>
  <c r="I18" i="114"/>
  <c r="G18" i="114"/>
  <c r="H18" i="114" s="1"/>
  <c r="F18" i="114"/>
  <c r="P17" i="114"/>
  <c r="M17" i="114" s="1"/>
  <c r="N17" i="114"/>
  <c r="I17" i="114"/>
  <c r="G17" i="114"/>
  <c r="H17" i="114" s="1"/>
  <c r="F17" i="114"/>
  <c r="P16" i="114"/>
  <c r="M16" i="114" s="1"/>
  <c r="N16" i="114"/>
  <c r="I16" i="114"/>
  <c r="G16" i="114"/>
  <c r="F16" i="114"/>
  <c r="P15" i="114"/>
  <c r="M15" i="114" s="1"/>
  <c r="N15" i="114"/>
  <c r="I15" i="114"/>
  <c r="G15" i="114"/>
  <c r="F15" i="114"/>
  <c r="P14" i="114"/>
  <c r="M14" i="114" s="1"/>
  <c r="N14" i="114"/>
  <c r="I14" i="114"/>
  <c r="G14" i="114"/>
  <c r="H14" i="114" s="1"/>
  <c r="F14" i="114"/>
  <c r="P13" i="114"/>
  <c r="M13" i="114" s="1"/>
  <c r="N13" i="114"/>
  <c r="I13" i="114"/>
  <c r="G13" i="114"/>
  <c r="H13" i="114" s="1"/>
  <c r="F13" i="114"/>
  <c r="P12" i="114"/>
  <c r="M12" i="114" s="1"/>
  <c r="N12" i="114"/>
  <c r="I12" i="114"/>
  <c r="G12" i="114"/>
  <c r="F12" i="114"/>
  <c r="P11" i="114"/>
  <c r="M11" i="114" s="1"/>
  <c r="N11" i="114"/>
  <c r="I11" i="114"/>
  <c r="G11" i="114"/>
  <c r="F11" i="114"/>
  <c r="P10" i="114"/>
  <c r="M10" i="114" s="1"/>
  <c r="N10" i="114"/>
  <c r="I10" i="114"/>
  <c r="G10" i="114"/>
  <c r="H10" i="114" s="1"/>
  <c r="F10" i="114"/>
  <c r="P9" i="114"/>
  <c r="M9" i="114" s="1"/>
  <c r="N9" i="114"/>
  <c r="I9" i="114"/>
  <c r="G9" i="114"/>
  <c r="H9" i="114" s="1"/>
  <c r="F9" i="114"/>
  <c r="P8" i="114"/>
  <c r="M8" i="114" s="1"/>
  <c r="N8" i="114"/>
  <c r="I8" i="114"/>
  <c r="G8" i="114"/>
  <c r="F8" i="114"/>
  <c r="P7" i="114"/>
  <c r="M7" i="114" s="1"/>
  <c r="N7" i="114"/>
  <c r="I7" i="114"/>
  <c r="G7" i="114"/>
  <c r="F7" i="114"/>
  <c r="P6" i="114"/>
  <c r="M6" i="114" s="1"/>
  <c r="N6" i="114"/>
  <c r="I6" i="114"/>
  <c r="G6" i="114"/>
  <c r="H6" i="114" s="1"/>
  <c r="F6" i="114"/>
  <c r="P19" i="113"/>
  <c r="M19" i="113" s="1"/>
  <c r="N19" i="113"/>
  <c r="I19" i="113"/>
  <c r="G19" i="113"/>
  <c r="H19" i="113" s="1"/>
  <c r="F19" i="113"/>
  <c r="P18" i="113"/>
  <c r="M18" i="113" s="1"/>
  <c r="N18" i="113"/>
  <c r="I18" i="113"/>
  <c r="G18" i="113"/>
  <c r="F18" i="113"/>
  <c r="P17" i="113"/>
  <c r="M17" i="113" s="1"/>
  <c r="N17" i="113"/>
  <c r="I17" i="113"/>
  <c r="G17" i="113"/>
  <c r="F17" i="113"/>
  <c r="P16" i="113"/>
  <c r="M16" i="113" s="1"/>
  <c r="N16" i="113"/>
  <c r="I16" i="113"/>
  <c r="G16" i="113"/>
  <c r="H16" i="113" s="1"/>
  <c r="F16" i="113"/>
  <c r="P15" i="113"/>
  <c r="M15" i="113" s="1"/>
  <c r="N15" i="113"/>
  <c r="I15" i="113"/>
  <c r="G15" i="113"/>
  <c r="H15" i="113" s="1"/>
  <c r="F15" i="113"/>
  <c r="P14" i="113"/>
  <c r="M14" i="113" s="1"/>
  <c r="N14" i="113"/>
  <c r="I14" i="113"/>
  <c r="G14" i="113"/>
  <c r="H14" i="113" s="1"/>
  <c r="F14" i="113"/>
  <c r="P13" i="113"/>
  <c r="M13" i="113" s="1"/>
  <c r="N13" i="113"/>
  <c r="I13" i="113"/>
  <c r="G13" i="113"/>
  <c r="F13" i="113"/>
  <c r="P12" i="113"/>
  <c r="M12" i="113" s="1"/>
  <c r="N12" i="113"/>
  <c r="I12" i="113"/>
  <c r="G12" i="113"/>
  <c r="H12" i="113" s="1"/>
  <c r="F12" i="113"/>
  <c r="P11" i="113"/>
  <c r="M11" i="113" s="1"/>
  <c r="N11" i="113"/>
  <c r="I11" i="113"/>
  <c r="G11" i="113"/>
  <c r="H11" i="113" s="1"/>
  <c r="F11" i="113"/>
  <c r="P10" i="113"/>
  <c r="M10" i="113" s="1"/>
  <c r="N10" i="113"/>
  <c r="I10" i="113"/>
  <c r="G10" i="113"/>
  <c r="F10" i="113"/>
  <c r="P9" i="113"/>
  <c r="M9" i="113" s="1"/>
  <c r="N9" i="113"/>
  <c r="I9" i="113"/>
  <c r="G9" i="113"/>
  <c r="F9" i="113"/>
  <c r="P8" i="113"/>
  <c r="M8" i="113" s="1"/>
  <c r="N8" i="113"/>
  <c r="I8" i="113"/>
  <c r="G8" i="113"/>
  <c r="H8" i="113" s="1"/>
  <c r="F8" i="113"/>
  <c r="P7" i="113"/>
  <c r="M7" i="113" s="1"/>
  <c r="N7" i="113"/>
  <c r="I7" i="113"/>
  <c r="G7" i="113"/>
  <c r="H7" i="113" s="1"/>
  <c r="F7" i="113"/>
  <c r="P6" i="113"/>
  <c r="M6" i="113" s="1"/>
  <c r="N6" i="113"/>
  <c r="I6" i="113"/>
  <c r="G6" i="113"/>
  <c r="F6" i="113"/>
  <c r="P19" i="112"/>
  <c r="M19" i="112" s="1"/>
  <c r="N19" i="112"/>
  <c r="I19" i="112"/>
  <c r="G19" i="112"/>
  <c r="H19" i="112" s="1"/>
  <c r="F19" i="112"/>
  <c r="P18" i="112"/>
  <c r="M18" i="112" s="1"/>
  <c r="N18" i="112"/>
  <c r="I18" i="112"/>
  <c r="G18" i="112"/>
  <c r="H18" i="112" s="1"/>
  <c r="F18" i="112"/>
  <c r="P17" i="112"/>
  <c r="M17" i="112" s="1"/>
  <c r="N17" i="112"/>
  <c r="I17" i="112"/>
  <c r="G17" i="112"/>
  <c r="H17" i="112" s="1"/>
  <c r="F17" i="112"/>
  <c r="P16" i="112"/>
  <c r="M16" i="112" s="1"/>
  <c r="N16" i="112"/>
  <c r="I16" i="112"/>
  <c r="G16" i="112"/>
  <c r="H16" i="112" s="1"/>
  <c r="F16" i="112"/>
  <c r="P15" i="112"/>
  <c r="M15" i="112" s="1"/>
  <c r="N15" i="112"/>
  <c r="I15" i="112"/>
  <c r="G15" i="112"/>
  <c r="H15" i="112" s="1"/>
  <c r="F15" i="112"/>
  <c r="P14" i="112"/>
  <c r="M14" i="112" s="1"/>
  <c r="N14" i="112"/>
  <c r="I14" i="112"/>
  <c r="G14" i="112"/>
  <c r="H14" i="112" s="1"/>
  <c r="F14" i="112"/>
  <c r="P13" i="112"/>
  <c r="M13" i="112" s="1"/>
  <c r="N13" i="112"/>
  <c r="I13" i="112"/>
  <c r="G13" i="112"/>
  <c r="H13" i="112" s="1"/>
  <c r="F13" i="112"/>
  <c r="P12" i="112"/>
  <c r="M12" i="112" s="1"/>
  <c r="N12" i="112"/>
  <c r="I12" i="112"/>
  <c r="G12" i="112"/>
  <c r="F12" i="112"/>
  <c r="P11" i="112"/>
  <c r="M11" i="112" s="1"/>
  <c r="N11" i="112"/>
  <c r="I11" i="112"/>
  <c r="G11" i="112"/>
  <c r="F11" i="112"/>
  <c r="P10" i="112"/>
  <c r="M10" i="112" s="1"/>
  <c r="N10" i="112"/>
  <c r="I10" i="112"/>
  <c r="G10" i="112"/>
  <c r="H10" i="112" s="1"/>
  <c r="F10" i="112"/>
  <c r="P9" i="112"/>
  <c r="M9" i="112" s="1"/>
  <c r="N9" i="112"/>
  <c r="I9" i="112"/>
  <c r="G9" i="112"/>
  <c r="H9" i="112" s="1"/>
  <c r="F9" i="112"/>
  <c r="P8" i="112"/>
  <c r="M8" i="112" s="1"/>
  <c r="N8" i="112"/>
  <c r="I8" i="112"/>
  <c r="G8" i="112"/>
  <c r="H8" i="112" s="1"/>
  <c r="F8" i="112"/>
  <c r="P7" i="112"/>
  <c r="M7" i="112" s="1"/>
  <c r="N7" i="112"/>
  <c r="I7" i="112"/>
  <c r="G7" i="112"/>
  <c r="F7" i="112"/>
  <c r="P6" i="112"/>
  <c r="M6" i="112" s="1"/>
  <c r="N6" i="112"/>
  <c r="I6" i="112"/>
  <c r="G6" i="112"/>
  <c r="H6" i="112" s="1"/>
  <c r="F6" i="112"/>
  <c r="P19" i="111"/>
  <c r="M19" i="111" s="1"/>
  <c r="N19" i="111"/>
  <c r="I19" i="111"/>
  <c r="G19" i="111"/>
  <c r="H19" i="111" s="1"/>
  <c r="F19" i="111"/>
  <c r="P18" i="111"/>
  <c r="M18" i="111" s="1"/>
  <c r="N18" i="111"/>
  <c r="I18" i="111"/>
  <c r="G18" i="111"/>
  <c r="F18" i="111"/>
  <c r="P17" i="111"/>
  <c r="M17" i="111" s="1"/>
  <c r="N17" i="111"/>
  <c r="I17" i="111"/>
  <c r="G17" i="111"/>
  <c r="F17" i="111"/>
  <c r="P16" i="111"/>
  <c r="M16" i="111" s="1"/>
  <c r="N16" i="111"/>
  <c r="I16" i="111"/>
  <c r="G16" i="111"/>
  <c r="H16" i="111" s="1"/>
  <c r="F16" i="111"/>
  <c r="P15" i="111"/>
  <c r="M15" i="111" s="1"/>
  <c r="N15" i="111"/>
  <c r="I15" i="111"/>
  <c r="G15" i="111"/>
  <c r="H15" i="111" s="1"/>
  <c r="F15" i="111"/>
  <c r="P14" i="111"/>
  <c r="M14" i="111" s="1"/>
  <c r="N14" i="111"/>
  <c r="I14" i="111"/>
  <c r="G14" i="111"/>
  <c r="H14" i="111" s="1"/>
  <c r="F14" i="111"/>
  <c r="P13" i="111"/>
  <c r="M13" i="111" s="1"/>
  <c r="N13" i="111"/>
  <c r="I13" i="111"/>
  <c r="G13" i="111"/>
  <c r="F13" i="111"/>
  <c r="P12" i="111"/>
  <c r="M12" i="111" s="1"/>
  <c r="N12" i="111"/>
  <c r="I12" i="111"/>
  <c r="G12" i="111"/>
  <c r="H12" i="111" s="1"/>
  <c r="F12" i="111"/>
  <c r="P11" i="111"/>
  <c r="M11" i="111" s="1"/>
  <c r="N11" i="111"/>
  <c r="I11" i="111"/>
  <c r="G11" i="111"/>
  <c r="H11" i="111" s="1"/>
  <c r="F11" i="111"/>
  <c r="P10" i="111"/>
  <c r="M10" i="111" s="1"/>
  <c r="N10" i="111"/>
  <c r="I10" i="111"/>
  <c r="G10" i="111"/>
  <c r="F10" i="111"/>
  <c r="P9" i="111"/>
  <c r="M9" i="111" s="1"/>
  <c r="N9" i="111"/>
  <c r="I9" i="111"/>
  <c r="G9" i="111"/>
  <c r="F9" i="111"/>
  <c r="P8" i="111"/>
  <c r="M8" i="111" s="1"/>
  <c r="N8" i="111"/>
  <c r="I8" i="111"/>
  <c r="G8" i="111"/>
  <c r="H8" i="111" s="1"/>
  <c r="F8" i="111"/>
  <c r="P7" i="111"/>
  <c r="M7" i="111" s="1"/>
  <c r="N7" i="111"/>
  <c r="I7" i="111"/>
  <c r="G7" i="111"/>
  <c r="H7" i="111" s="1"/>
  <c r="F7" i="111"/>
  <c r="P6" i="111"/>
  <c r="M6" i="111" s="1"/>
  <c r="N6" i="111"/>
  <c r="I6" i="111"/>
  <c r="G6" i="111"/>
  <c r="H6" i="111" s="1"/>
  <c r="F6" i="111"/>
  <c r="P19" i="110"/>
  <c r="M19" i="110" s="1"/>
  <c r="N19" i="110"/>
  <c r="I19" i="110"/>
  <c r="G19" i="110"/>
  <c r="H19" i="110" s="1"/>
  <c r="F19" i="110"/>
  <c r="P18" i="110"/>
  <c r="M18" i="110" s="1"/>
  <c r="N18" i="110"/>
  <c r="I18" i="110"/>
  <c r="G18" i="110"/>
  <c r="F18" i="110"/>
  <c r="P17" i="110"/>
  <c r="M17" i="110" s="1"/>
  <c r="N17" i="110"/>
  <c r="I17" i="110"/>
  <c r="G17" i="110"/>
  <c r="F17" i="110"/>
  <c r="P16" i="110"/>
  <c r="M16" i="110" s="1"/>
  <c r="N16" i="110"/>
  <c r="I16" i="110"/>
  <c r="G16" i="110"/>
  <c r="F16" i="110"/>
  <c r="P15" i="110"/>
  <c r="M15" i="110" s="1"/>
  <c r="N15" i="110"/>
  <c r="I15" i="110"/>
  <c r="G15" i="110"/>
  <c r="H15" i="110" s="1"/>
  <c r="F15" i="110"/>
  <c r="P14" i="110"/>
  <c r="M14" i="110" s="1"/>
  <c r="N14" i="110"/>
  <c r="I14" i="110"/>
  <c r="G14" i="110"/>
  <c r="H14" i="110" s="1"/>
  <c r="F14" i="110"/>
  <c r="P13" i="110"/>
  <c r="M13" i="110" s="1"/>
  <c r="N13" i="110"/>
  <c r="I13" i="110"/>
  <c r="G13" i="110"/>
  <c r="F13" i="110"/>
  <c r="P12" i="110"/>
  <c r="M12" i="110" s="1"/>
  <c r="N12" i="110"/>
  <c r="I12" i="110"/>
  <c r="G12" i="110"/>
  <c r="F12" i="110"/>
  <c r="P11" i="110"/>
  <c r="M11" i="110" s="1"/>
  <c r="N11" i="110"/>
  <c r="I11" i="110"/>
  <c r="G11" i="110"/>
  <c r="H11" i="110" s="1"/>
  <c r="F11" i="110"/>
  <c r="P10" i="110"/>
  <c r="M10" i="110" s="1"/>
  <c r="N10" i="110"/>
  <c r="I10" i="110"/>
  <c r="G10" i="110"/>
  <c r="H10" i="110" s="1"/>
  <c r="F10" i="110"/>
  <c r="P9" i="110"/>
  <c r="M9" i="110" s="1"/>
  <c r="N9" i="110"/>
  <c r="I9" i="110"/>
  <c r="G9" i="110"/>
  <c r="F9" i="110"/>
  <c r="P8" i="110"/>
  <c r="M8" i="110" s="1"/>
  <c r="N8" i="110"/>
  <c r="I8" i="110"/>
  <c r="G8" i="110"/>
  <c r="F8" i="110"/>
  <c r="P7" i="110"/>
  <c r="M7" i="110" s="1"/>
  <c r="N7" i="110"/>
  <c r="I7" i="110"/>
  <c r="G7" i="110"/>
  <c r="H7" i="110" s="1"/>
  <c r="F7" i="110"/>
  <c r="P6" i="110"/>
  <c r="M6" i="110" s="1"/>
  <c r="N6" i="110"/>
  <c r="I6" i="110"/>
  <c r="G6" i="110"/>
  <c r="H6" i="110" s="1"/>
  <c r="F6" i="110"/>
  <c r="P19" i="109"/>
  <c r="M19" i="109" s="1"/>
  <c r="N19" i="109"/>
  <c r="I19" i="109"/>
  <c r="G19" i="109"/>
  <c r="F19" i="109"/>
  <c r="P18" i="109"/>
  <c r="M18" i="109" s="1"/>
  <c r="N18" i="109"/>
  <c r="I18" i="109"/>
  <c r="G18" i="109"/>
  <c r="F18" i="109"/>
  <c r="P17" i="109"/>
  <c r="M17" i="109" s="1"/>
  <c r="N17" i="109"/>
  <c r="I17" i="109"/>
  <c r="G17" i="109"/>
  <c r="H17" i="109" s="1"/>
  <c r="F17" i="109"/>
  <c r="P16" i="109"/>
  <c r="M16" i="109" s="1"/>
  <c r="N16" i="109"/>
  <c r="I16" i="109"/>
  <c r="G16" i="109"/>
  <c r="H16" i="109" s="1"/>
  <c r="F16" i="109"/>
  <c r="P15" i="109"/>
  <c r="M15" i="109" s="1"/>
  <c r="N15" i="109"/>
  <c r="I15" i="109"/>
  <c r="G15" i="109"/>
  <c r="F15" i="109"/>
  <c r="P14" i="109"/>
  <c r="M14" i="109" s="1"/>
  <c r="N14" i="109"/>
  <c r="I14" i="109"/>
  <c r="G14" i="109"/>
  <c r="F14" i="109"/>
  <c r="P13" i="109"/>
  <c r="M13" i="109" s="1"/>
  <c r="N13" i="109"/>
  <c r="I13" i="109"/>
  <c r="G13" i="109"/>
  <c r="H13" i="109" s="1"/>
  <c r="F13" i="109"/>
  <c r="P12" i="109"/>
  <c r="M12" i="109" s="1"/>
  <c r="N12" i="109"/>
  <c r="I12" i="109"/>
  <c r="G12" i="109"/>
  <c r="F12" i="109"/>
  <c r="P11" i="109"/>
  <c r="M11" i="109" s="1"/>
  <c r="N11" i="109"/>
  <c r="I11" i="109"/>
  <c r="G11" i="109"/>
  <c r="F11" i="109"/>
  <c r="P10" i="109"/>
  <c r="M10" i="109" s="1"/>
  <c r="N10" i="109"/>
  <c r="I10" i="109"/>
  <c r="G10" i="109"/>
  <c r="H10" i="109" s="1"/>
  <c r="F10" i="109"/>
  <c r="P9" i="109"/>
  <c r="M9" i="109" s="1"/>
  <c r="N9" i="109"/>
  <c r="I9" i="109"/>
  <c r="G9" i="109"/>
  <c r="H9" i="109" s="1"/>
  <c r="F9" i="109"/>
  <c r="P8" i="109"/>
  <c r="M8" i="109" s="1"/>
  <c r="N8" i="109"/>
  <c r="I8" i="109"/>
  <c r="G8" i="109"/>
  <c r="H8" i="109" s="1"/>
  <c r="F8" i="109"/>
  <c r="P7" i="109"/>
  <c r="M7" i="109" s="1"/>
  <c r="N7" i="109"/>
  <c r="I7" i="109"/>
  <c r="G7" i="109"/>
  <c r="F7" i="109"/>
  <c r="P6" i="109"/>
  <c r="M6" i="109" s="1"/>
  <c r="N6" i="109"/>
  <c r="K6" i="109"/>
  <c r="L6" i="109" s="1"/>
  <c r="I6" i="109"/>
  <c r="G6" i="109"/>
  <c r="F6" i="109"/>
  <c r="P19" i="108"/>
  <c r="M19" i="108" s="1"/>
  <c r="N19" i="108"/>
  <c r="I19" i="108"/>
  <c r="G19" i="108"/>
  <c r="H19" i="108" s="1"/>
  <c r="F19" i="108"/>
  <c r="P18" i="108"/>
  <c r="M18" i="108" s="1"/>
  <c r="N18" i="108"/>
  <c r="I18" i="108"/>
  <c r="G18" i="108"/>
  <c r="H18" i="108" s="1"/>
  <c r="F18" i="108"/>
  <c r="P17" i="108"/>
  <c r="M17" i="108" s="1"/>
  <c r="N17" i="108"/>
  <c r="I17" i="108"/>
  <c r="G17" i="108"/>
  <c r="H17" i="108" s="1"/>
  <c r="F17" i="108"/>
  <c r="P16" i="108"/>
  <c r="M16" i="108" s="1"/>
  <c r="N16" i="108"/>
  <c r="I16" i="108"/>
  <c r="G16" i="108"/>
  <c r="H16" i="108" s="1"/>
  <c r="F16" i="108"/>
  <c r="P15" i="108"/>
  <c r="M15" i="108" s="1"/>
  <c r="N15" i="108"/>
  <c r="I15" i="108"/>
  <c r="G15" i="108"/>
  <c r="H15" i="108" s="1"/>
  <c r="F15" i="108"/>
  <c r="P14" i="108"/>
  <c r="M14" i="108" s="1"/>
  <c r="N14" i="108"/>
  <c r="I14" i="108"/>
  <c r="G14" i="108"/>
  <c r="H14" i="108" s="1"/>
  <c r="F14" i="108"/>
  <c r="P13" i="108"/>
  <c r="M13" i="108" s="1"/>
  <c r="N13" i="108"/>
  <c r="I13" i="108"/>
  <c r="G13" i="108"/>
  <c r="H13" i="108" s="1"/>
  <c r="F13" i="108"/>
  <c r="P12" i="108"/>
  <c r="M12" i="108" s="1"/>
  <c r="N12" i="108"/>
  <c r="I12" i="108"/>
  <c r="G12" i="108"/>
  <c r="F12" i="108"/>
  <c r="P11" i="108"/>
  <c r="M11" i="108" s="1"/>
  <c r="N11" i="108"/>
  <c r="I11" i="108"/>
  <c r="G11" i="108"/>
  <c r="H11" i="108" s="1"/>
  <c r="F11" i="108"/>
  <c r="P10" i="108"/>
  <c r="M10" i="108" s="1"/>
  <c r="N10" i="108"/>
  <c r="I10" i="108"/>
  <c r="G10" i="108"/>
  <c r="H10" i="108" s="1"/>
  <c r="F10" i="108"/>
  <c r="P9" i="108"/>
  <c r="M9" i="108" s="1"/>
  <c r="N9" i="108"/>
  <c r="I9" i="108"/>
  <c r="G9" i="108"/>
  <c r="H9" i="108" s="1"/>
  <c r="F9" i="108"/>
  <c r="P8" i="108"/>
  <c r="M8" i="108" s="1"/>
  <c r="N8" i="108"/>
  <c r="I8" i="108"/>
  <c r="G8" i="108"/>
  <c r="H8" i="108" s="1"/>
  <c r="F8" i="108"/>
  <c r="P7" i="108"/>
  <c r="M7" i="108" s="1"/>
  <c r="N7" i="108"/>
  <c r="I7" i="108"/>
  <c r="G7" i="108"/>
  <c r="H7" i="108" s="1"/>
  <c r="F7" i="108"/>
  <c r="P6" i="108"/>
  <c r="M6" i="108" s="1"/>
  <c r="N6" i="108"/>
  <c r="K6" i="108"/>
  <c r="L6" i="108" s="1"/>
  <c r="I6" i="108"/>
  <c r="G6" i="108"/>
  <c r="H6" i="108" s="1"/>
  <c r="F6" i="108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D26" i="116"/>
  <c r="C6" i="116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P7" i="107"/>
  <c r="O7" i="107" s="1"/>
  <c r="P8" i="107"/>
  <c r="M8" i="107" s="1"/>
  <c r="P9" i="107"/>
  <c r="M9" i="107" s="1"/>
  <c r="P10" i="107"/>
  <c r="P11" i="107"/>
  <c r="M11" i="107" s="1"/>
  <c r="P12" i="107"/>
  <c r="O12" i="107" s="1"/>
  <c r="P13" i="107"/>
  <c r="M13" i="107" s="1"/>
  <c r="P14" i="107"/>
  <c r="O14" i="107" s="1"/>
  <c r="P15" i="107"/>
  <c r="O15" i="107" s="1"/>
  <c r="P16" i="107"/>
  <c r="P17" i="107"/>
  <c r="O17" i="107" s="1"/>
  <c r="P18" i="107"/>
  <c r="P19" i="107"/>
  <c r="N7" i="107"/>
  <c r="N8" i="107"/>
  <c r="N9" i="107"/>
  <c r="N10" i="107"/>
  <c r="N11" i="107"/>
  <c r="N12" i="107"/>
  <c r="N13" i="107"/>
  <c r="N14" i="107"/>
  <c r="N15" i="107"/>
  <c r="N16" i="107"/>
  <c r="N17" i="107"/>
  <c r="N18" i="107"/>
  <c r="N19" i="107"/>
  <c r="F8" i="107"/>
  <c r="G8" i="107"/>
  <c r="I8" i="107"/>
  <c r="F9" i="107"/>
  <c r="G9" i="107"/>
  <c r="I9" i="107"/>
  <c r="F10" i="107"/>
  <c r="G10" i="107"/>
  <c r="I10" i="107"/>
  <c r="F11" i="107"/>
  <c r="G11" i="107"/>
  <c r="H11" i="107" s="1"/>
  <c r="I11" i="107"/>
  <c r="F12" i="107"/>
  <c r="G12" i="107"/>
  <c r="I12" i="107"/>
  <c r="F13" i="107"/>
  <c r="G13" i="107"/>
  <c r="H13" i="107" s="1"/>
  <c r="I13" i="107"/>
  <c r="F14" i="107"/>
  <c r="G14" i="107"/>
  <c r="I14" i="107"/>
  <c r="F15" i="107"/>
  <c r="G15" i="107"/>
  <c r="I15" i="107"/>
  <c r="F16" i="107"/>
  <c r="G16" i="107"/>
  <c r="I16" i="107"/>
  <c r="F17" i="107"/>
  <c r="G17" i="107"/>
  <c r="I17" i="107"/>
  <c r="F18" i="107"/>
  <c r="G18" i="107"/>
  <c r="I18" i="107"/>
  <c r="F19" i="107"/>
  <c r="G19" i="107"/>
  <c r="H19" i="107" s="1"/>
  <c r="I19" i="107"/>
  <c r="C7" i="107"/>
  <c r="F7" i="107"/>
  <c r="G7" i="107"/>
  <c r="H7" i="107" s="1"/>
  <c r="I7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7" i="106"/>
  <c r="F7" i="106"/>
  <c r="G7" i="106"/>
  <c r="H7" i="106" s="1"/>
  <c r="I7" i="106"/>
  <c r="N7" i="106"/>
  <c r="P7" i="106"/>
  <c r="O7" i="106" s="1"/>
  <c r="C8" i="106"/>
  <c r="F8" i="106"/>
  <c r="G8" i="106"/>
  <c r="H8" i="106" s="1"/>
  <c r="I8" i="106"/>
  <c r="N8" i="106"/>
  <c r="P8" i="106"/>
  <c r="C9" i="106"/>
  <c r="F9" i="106"/>
  <c r="G9" i="106"/>
  <c r="H9" i="106" s="1"/>
  <c r="I9" i="106"/>
  <c r="N9" i="106"/>
  <c r="P9" i="106"/>
  <c r="M9" i="106" s="1"/>
  <c r="C10" i="106"/>
  <c r="F10" i="106"/>
  <c r="G10" i="106"/>
  <c r="H10" i="106" s="1"/>
  <c r="I10" i="106"/>
  <c r="N10" i="106"/>
  <c r="P10" i="106"/>
  <c r="M10" i="106" s="1"/>
  <c r="C11" i="106"/>
  <c r="F11" i="106"/>
  <c r="G11" i="106"/>
  <c r="H11" i="106" s="1"/>
  <c r="I11" i="106"/>
  <c r="N11" i="106"/>
  <c r="P11" i="106"/>
  <c r="O11" i="106" s="1"/>
  <c r="C12" i="106"/>
  <c r="F12" i="106"/>
  <c r="G12" i="106"/>
  <c r="H12" i="106" s="1"/>
  <c r="I12" i="106"/>
  <c r="N12" i="106"/>
  <c r="P12" i="106"/>
  <c r="O12" i="106" s="1"/>
  <c r="C13" i="106"/>
  <c r="F13" i="106"/>
  <c r="G13" i="106"/>
  <c r="H13" i="106" s="1"/>
  <c r="I13" i="106"/>
  <c r="N13" i="106"/>
  <c r="P13" i="106"/>
  <c r="M13" i="106" s="1"/>
  <c r="C14" i="106"/>
  <c r="F14" i="106"/>
  <c r="G14" i="106"/>
  <c r="H14" i="106" s="1"/>
  <c r="I14" i="106"/>
  <c r="N14" i="106"/>
  <c r="P14" i="106"/>
  <c r="M14" i="106" s="1"/>
  <c r="C15" i="106"/>
  <c r="F15" i="106"/>
  <c r="G15" i="106"/>
  <c r="H15" i="106" s="1"/>
  <c r="I15" i="106"/>
  <c r="N15" i="106"/>
  <c r="P15" i="106"/>
  <c r="O15" i="106" s="1"/>
  <c r="C16" i="106"/>
  <c r="F16" i="106"/>
  <c r="G16" i="106"/>
  <c r="H16" i="106" s="1"/>
  <c r="I16" i="106"/>
  <c r="N16" i="106"/>
  <c r="P16" i="106"/>
  <c r="O16" i="106" s="1"/>
  <c r="C17" i="106"/>
  <c r="F17" i="106"/>
  <c r="G17" i="106"/>
  <c r="H17" i="106" s="1"/>
  <c r="I17" i="106"/>
  <c r="N17" i="106"/>
  <c r="P17" i="106"/>
  <c r="M17" i="106" s="1"/>
  <c r="C18" i="106"/>
  <c r="F18" i="106"/>
  <c r="G18" i="106"/>
  <c r="H18" i="106" s="1"/>
  <c r="I18" i="106"/>
  <c r="N18" i="106"/>
  <c r="P18" i="106"/>
  <c r="M18" i="106" s="1"/>
  <c r="C19" i="106"/>
  <c r="F19" i="106"/>
  <c r="G19" i="106"/>
  <c r="H19" i="106" s="1"/>
  <c r="I19" i="106"/>
  <c r="N19" i="106"/>
  <c r="P19" i="106"/>
  <c r="O19" i="106" s="1"/>
  <c r="C3" i="116"/>
  <c r="C3" i="115"/>
  <c r="C3" i="114"/>
  <c r="C3" i="113"/>
  <c r="C3" i="112"/>
  <c r="C3" i="111"/>
  <c r="C3" i="110"/>
  <c r="C3" i="109"/>
  <c r="C3" i="108"/>
  <c r="P6" i="107"/>
  <c r="N6" i="107"/>
  <c r="K6" i="107"/>
  <c r="I6" i="107"/>
  <c r="G6" i="107"/>
  <c r="F6" i="107"/>
  <c r="C6" i="107"/>
  <c r="C3" i="107"/>
  <c r="S15" i="130" l="1"/>
  <c r="S8" i="130"/>
  <c r="S16" i="130"/>
  <c r="S10" i="130"/>
  <c r="S6" i="130"/>
  <c r="S11" i="130"/>
  <c r="S12" i="130"/>
  <c r="S13" i="130"/>
  <c r="S14" i="130"/>
  <c r="S9" i="130"/>
  <c r="S17" i="130"/>
  <c r="S7" i="130"/>
  <c r="O18" i="107"/>
  <c r="J18" i="108"/>
  <c r="J10" i="108"/>
  <c r="J6" i="108"/>
  <c r="J17" i="108"/>
  <c r="J9" i="108"/>
  <c r="J19" i="108"/>
  <c r="J11" i="108"/>
  <c r="J14" i="108"/>
  <c r="J13" i="108"/>
  <c r="J12" i="108"/>
  <c r="J15" i="108"/>
  <c r="J7" i="108"/>
  <c r="J16" i="108"/>
  <c r="J8" i="108"/>
  <c r="O17" i="111"/>
  <c r="O16" i="113"/>
  <c r="O11" i="115"/>
  <c r="O19" i="115"/>
  <c r="O8" i="113"/>
  <c r="O14" i="113"/>
  <c r="O6" i="113"/>
  <c r="O12" i="113"/>
  <c r="O17" i="113"/>
  <c r="O13" i="111"/>
  <c r="O9" i="113"/>
  <c r="J11" i="109"/>
  <c r="J6" i="112"/>
  <c r="J19" i="113"/>
  <c r="O12" i="111"/>
  <c r="O6" i="112"/>
  <c r="J10" i="110"/>
  <c r="J16" i="113"/>
  <c r="J18" i="113"/>
  <c r="O15" i="108"/>
  <c r="J10" i="115"/>
  <c r="J14" i="115"/>
  <c r="J18" i="115"/>
  <c r="J8" i="112"/>
  <c r="J9" i="114"/>
  <c r="O10" i="111"/>
  <c r="O11" i="110"/>
  <c r="O8" i="111"/>
  <c r="O16" i="111"/>
  <c r="O18" i="111"/>
  <c r="J8" i="110"/>
  <c r="J14" i="113"/>
  <c r="J13" i="114"/>
  <c r="O7" i="110"/>
  <c r="J8" i="114"/>
  <c r="J14" i="111"/>
  <c r="O8" i="109"/>
  <c r="O6" i="109"/>
  <c r="O7" i="108"/>
  <c r="J16" i="107"/>
  <c r="J12" i="107"/>
  <c r="J8" i="107"/>
  <c r="O9" i="109"/>
  <c r="O6" i="114"/>
  <c r="J16" i="114"/>
  <c r="J6" i="115"/>
  <c r="J13" i="109"/>
  <c r="J16" i="109"/>
  <c r="J18" i="109"/>
  <c r="O13" i="109"/>
  <c r="O15" i="110"/>
  <c r="J14" i="114"/>
  <c r="J10" i="113"/>
  <c r="J17" i="114"/>
  <c r="O17" i="109"/>
  <c r="J12" i="114"/>
  <c r="J17" i="107"/>
  <c r="J13" i="107"/>
  <c r="J9" i="107"/>
  <c r="J15" i="109"/>
  <c r="J12" i="112"/>
  <c r="J10" i="109"/>
  <c r="J6" i="111"/>
  <c r="J7" i="113"/>
  <c r="J11" i="113"/>
  <c r="J7" i="109"/>
  <c r="J16" i="112"/>
  <c r="J6" i="113"/>
  <c r="J7" i="110"/>
  <c r="J11" i="110"/>
  <c r="J15" i="110"/>
  <c r="J19" i="110"/>
  <c r="J18" i="111"/>
  <c r="J7" i="115"/>
  <c r="J11" i="115"/>
  <c r="J15" i="115"/>
  <c r="J19" i="115"/>
  <c r="J14" i="112"/>
  <c r="J9" i="112"/>
  <c r="J13" i="112"/>
  <c r="J17" i="112"/>
  <c r="H18" i="109"/>
  <c r="J18" i="110"/>
  <c r="J10" i="107"/>
  <c r="O13" i="113"/>
  <c r="J8" i="109"/>
  <c r="J19" i="107"/>
  <c r="J15" i="107"/>
  <c r="J11" i="107"/>
  <c r="J7" i="107"/>
  <c r="J6" i="109"/>
  <c r="H8" i="110"/>
  <c r="J8" i="111"/>
  <c r="J18" i="107"/>
  <c r="J14" i="107"/>
  <c r="H18" i="111"/>
  <c r="J18" i="112"/>
  <c r="H12" i="114"/>
  <c r="J12" i="115"/>
  <c r="J8" i="113"/>
  <c r="J19" i="109"/>
  <c r="H6" i="109"/>
  <c r="J6" i="110"/>
  <c r="H10" i="113"/>
  <c r="J10" i="114"/>
  <c r="H12" i="108"/>
  <c r="F26" i="108" s="1"/>
  <c r="J12" i="109"/>
  <c r="H14" i="109"/>
  <c r="J14" i="110"/>
  <c r="H12" i="110"/>
  <c r="J12" i="111"/>
  <c r="H6" i="113"/>
  <c r="J6" i="114"/>
  <c r="H16" i="114"/>
  <c r="J16" i="115"/>
  <c r="J16" i="110"/>
  <c r="J15" i="113"/>
  <c r="J17" i="109"/>
  <c r="J10" i="111"/>
  <c r="H8" i="114"/>
  <c r="J8" i="115"/>
  <c r="H12" i="109"/>
  <c r="J12" i="110"/>
  <c r="H16" i="110"/>
  <c r="J16" i="111"/>
  <c r="H10" i="111"/>
  <c r="J10" i="112"/>
  <c r="H12" i="112"/>
  <c r="J12" i="113"/>
  <c r="H18" i="113"/>
  <c r="J18" i="114"/>
  <c r="J9" i="109"/>
  <c r="J14" i="109"/>
  <c r="J9" i="110"/>
  <c r="J13" i="110"/>
  <c r="J17" i="110"/>
  <c r="J9" i="111"/>
  <c r="J13" i="111"/>
  <c r="J17" i="111"/>
  <c r="J7" i="112"/>
  <c r="J11" i="112"/>
  <c r="J15" i="112"/>
  <c r="J19" i="112"/>
  <c r="J9" i="113"/>
  <c r="J13" i="113"/>
  <c r="J17" i="113"/>
  <c r="J7" i="114"/>
  <c r="J11" i="114"/>
  <c r="J15" i="114"/>
  <c r="J19" i="114"/>
  <c r="J9" i="115"/>
  <c r="J13" i="115"/>
  <c r="J17" i="115"/>
  <c r="H7" i="114"/>
  <c r="H11" i="114"/>
  <c r="H15" i="114"/>
  <c r="H19" i="114"/>
  <c r="H9" i="113"/>
  <c r="H13" i="113"/>
  <c r="H17" i="113"/>
  <c r="H7" i="112"/>
  <c r="H11" i="112"/>
  <c r="O9" i="111"/>
  <c r="H9" i="111"/>
  <c r="H13" i="111"/>
  <c r="H17" i="111"/>
  <c r="J19" i="111"/>
  <c r="J15" i="111"/>
  <c r="J11" i="111"/>
  <c r="J7" i="111"/>
  <c r="H9" i="110"/>
  <c r="H13" i="110"/>
  <c r="H17" i="110"/>
  <c r="H18" i="110"/>
  <c r="H7" i="109"/>
  <c r="H11" i="109"/>
  <c r="H15" i="109"/>
  <c r="H19" i="109"/>
  <c r="O12" i="109"/>
  <c r="O16" i="110"/>
  <c r="O10" i="114"/>
  <c r="M19" i="106"/>
  <c r="O9" i="106"/>
  <c r="M8" i="106"/>
  <c r="M7" i="106"/>
  <c r="O13" i="106"/>
  <c r="O17" i="106"/>
  <c r="O13" i="107"/>
  <c r="M15" i="106"/>
  <c r="M11" i="106"/>
  <c r="O14" i="114"/>
  <c r="M12" i="106"/>
  <c r="M16" i="106"/>
  <c r="O16" i="109"/>
  <c r="O14" i="111"/>
  <c r="O19" i="108"/>
  <c r="O14" i="109"/>
  <c r="O8" i="110"/>
  <c r="O6" i="111"/>
  <c r="O19" i="114"/>
  <c r="O18" i="109"/>
  <c r="O19" i="110"/>
  <c r="O13" i="115"/>
  <c r="M7" i="107"/>
  <c r="O9" i="108"/>
  <c r="O10" i="109"/>
  <c r="O12" i="110"/>
  <c r="O7" i="115"/>
  <c r="O12" i="108"/>
  <c r="O15" i="112"/>
  <c r="O9" i="114"/>
  <c r="O15" i="114"/>
  <c r="O10" i="113"/>
  <c r="M15" i="107"/>
  <c r="O11" i="107"/>
  <c r="I22" i="108"/>
  <c r="O9" i="112"/>
  <c r="O19" i="112"/>
  <c r="O11" i="108"/>
  <c r="O17" i="108"/>
  <c r="N22" i="112"/>
  <c r="O14" i="112"/>
  <c r="O18" i="112"/>
  <c r="O18" i="113"/>
  <c r="O15" i="115"/>
  <c r="I22" i="111"/>
  <c r="N22" i="111"/>
  <c r="H14" i="107"/>
  <c r="M16" i="107"/>
  <c r="M12" i="107"/>
  <c r="O8" i="108"/>
  <c r="F22" i="110"/>
  <c r="O9" i="110"/>
  <c r="O13" i="110"/>
  <c r="O17" i="110"/>
  <c r="O7" i="112"/>
  <c r="O11" i="112"/>
  <c r="O13" i="114"/>
  <c r="O17" i="115"/>
  <c r="H12" i="107"/>
  <c r="O16" i="107"/>
  <c r="O16" i="108"/>
  <c r="H6" i="107"/>
  <c r="P22" i="109"/>
  <c r="O13" i="112"/>
  <c r="P22" i="113"/>
  <c r="H18" i="107"/>
  <c r="H17" i="107"/>
  <c r="H10" i="107"/>
  <c r="H9" i="107"/>
  <c r="M19" i="107"/>
  <c r="O9" i="107"/>
  <c r="O10" i="107"/>
  <c r="F22" i="109"/>
  <c r="O17" i="112"/>
  <c r="F22" i="113"/>
  <c r="F22" i="114"/>
  <c r="O7" i="114"/>
  <c r="O17" i="114"/>
  <c r="O12" i="115"/>
  <c r="O16" i="115"/>
  <c r="O9" i="115"/>
  <c r="L6" i="107"/>
  <c r="H16" i="107"/>
  <c r="H15" i="107"/>
  <c r="H8" i="107"/>
  <c r="O19" i="107"/>
  <c r="O8" i="107"/>
  <c r="M17" i="107"/>
  <c r="N22" i="108"/>
  <c r="O13" i="108"/>
  <c r="P22" i="112"/>
  <c r="O18" i="114"/>
  <c r="O8" i="115"/>
  <c r="O10" i="112"/>
  <c r="O11" i="114"/>
  <c r="I22" i="112"/>
  <c r="N22" i="115"/>
  <c r="F22" i="108"/>
  <c r="I22" i="109"/>
  <c r="N22" i="109"/>
  <c r="N22" i="110"/>
  <c r="F22" i="111"/>
  <c r="P22" i="111"/>
  <c r="F22" i="112"/>
  <c r="I22" i="113"/>
  <c r="N22" i="113"/>
  <c r="N22" i="114"/>
  <c r="I22" i="114"/>
  <c r="F22" i="115"/>
  <c r="N22" i="116"/>
  <c r="E22" i="116"/>
  <c r="I22" i="116"/>
  <c r="G25" i="116"/>
  <c r="G26" i="116"/>
  <c r="M22" i="116"/>
  <c r="L22" i="116"/>
  <c r="E26" i="116"/>
  <c r="E25" i="116"/>
  <c r="H22" i="116"/>
  <c r="F25" i="116"/>
  <c r="F26" i="116"/>
  <c r="K31" i="116"/>
  <c r="M31" i="116" s="1"/>
  <c r="D25" i="116"/>
  <c r="O6" i="115"/>
  <c r="P22" i="115"/>
  <c r="F26" i="115"/>
  <c r="F25" i="115"/>
  <c r="O14" i="115"/>
  <c r="H22" i="115"/>
  <c r="O10" i="115"/>
  <c r="O18" i="115"/>
  <c r="I22" i="115"/>
  <c r="G22" i="115"/>
  <c r="O8" i="114"/>
  <c r="O12" i="114"/>
  <c r="O16" i="114"/>
  <c r="G22" i="114"/>
  <c r="P22" i="114"/>
  <c r="G22" i="113"/>
  <c r="O7" i="113"/>
  <c r="O11" i="113"/>
  <c r="O15" i="113"/>
  <c r="O19" i="113"/>
  <c r="O8" i="112"/>
  <c r="O12" i="112"/>
  <c r="O16" i="112"/>
  <c r="G22" i="112"/>
  <c r="G22" i="111"/>
  <c r="O7" i="111"/>
  <c r="O11" i="111"/>
  <c r="O15" i="111"/>
  <c r="O19" i="111"/>
  <c r="O6" i="110"/>
  <c r="P22" i="110"/>
  <c r="O14" i="110"/>
  <c r="O10" i="110"/>
  <c r="O18" i="110"/>
  <c r="I22" i="110"/>
  <c r="G22" i="110"/>
  <c r="G22" i="109"/>
  <c r="O7" i="109"/>
  <c r="O11" i="109"/>
  <c r="O15" i="109"/>
  <c r="O19" i="109"/>
  <c r="O10" i="108"/>
  <c r="O18" i="108"/>
  <c r="O6" i="108"/>
  <c r="P22" i="108"/>
  <c r="O14" i="108"/>
  <c r="G22" i="108"/>
  <c r="M18" i="107"/>
  <c r="M14" i="107"/>
  <c r="M10" i="107"/>
  <c r="O18" i="106"/>
  <c r="O14" i="106"/>
  <c r="O10" i="106"/>
  <c r="F22" i="107"/>
  <c r="N22" i="107"/>
  <c r="P22" i="107"/>
  <c r="I22" i="107"/>
  <c r="M6" i="107"/>
  <c r="O6" i="107"/>
  <c r="G22" i="107"/>
  <c r="S20" i="130" l="1"/>
  <c r="V20" i="130" s="1"/>
  <c r="F26" i="112"/>
  <c r="H22" i="112"/>
  <c r="F26" i="114"/>
  <c r="F25" i="110"/>
  <c r="H22" i="109"/>
  <c r="F25" i="112"/>
  <c r="F25" i="111"/>
  <c r="H22" i="114"/>
  <c r="H22" i="108"/>
  <c r="F25" i="114"/>
  <c r="H22" i="110"/>
  <c r="F26" i="111"/>
  <c r="F25" i="108"/>
  <c r="F28" i="108" s="1"/>
  <c r="H22" i="113"/>
  <c r="F26" i="110"/>
  <c r="F25" i="113"/>
  <c r="F26" i="113"/>
  <c r="H22" i="111"/>
  <c r="F26" i="109"/>
  <c r="O22" i="114"/>
  <c r="G26" i="114"/>
  <c r="F25" i="109"/>
  <c r="G25" i="114"/>
  <c r="G25" i="109"/>
  <c r="F26" i="107"/>
  <c r="K25" i="114"/>
  <c r="M22" i="114"/>
  <c r="H22" i="107"/>
  <c r="G26" i="108"/>
  <c r="M25" i="110"/>
  <c r="F25" i="107"/>
  <c r="G25" i="112"/>
  <c r="G25" i="115"/>
  <c r="G26" i="113"/>
  <c r="M25" i="115"/>
  <c r="G25" i="110"/>
  <c r="M22" i="112"/>
  <c r="M25" i="114"/>
  <c r="G26" i="115"/>
  <c r="M22" i="115"/>
  <c r="M22" i="109"/>
  <c r="G26" i="110"/>
  <c r="M22" i="110"/>
  <c r="G26" i="111"/>
  <c r="G26" i="112"/>
  <c r="M22" i="113"/>
  <c r="K25" i="115"/>
  <c r="M25" i="108"/>
  <c r="K25" i="110"/>
  <c r="D3" i="110" s="1"/>
  <c r="O22" i="112"/>
  <c r="F28" i="115"/>
  <c r="E28" i="116"/>
  <c r="H26" i="116"/>
  <c r="H25" i="116"/>
  <c r="D28" i="116"/>
  <c r="F28" i="116"/>
  <c r="G28" i="116"/>
  <c r="O22" i="115"/>
  <c r="M25" i="113"/>
  <c r="K25" i="113"/>
  <c r="O22" i="113"/>
  <c r="G25" i="113"/>
  <c r="K25" i="112"/>
  <c r="D3" i="112" s="1"/>
  <c r="M25" i="112"/>
  <c r="M22" i="111"/>
  <c r="M25" i="111"/>
  <c r="K25" i="111"/>
  <c r="D3" i="111" s="1"/>
  <c r="O22" i="111"/>
  <c r="G25" i="111"/>
  <c r="O22" i="110"/>
  <c r="M25" i="109"/>
  <c r="K25" i="109"/>
  <c r="D3" i="109" s="1"/>
  <c r="O22" i="109"/>
  <c r="G26" i="109"/>
  <c r="K25" i="108"/>
  <c r="G25" i="108"/>
  <c r="M22" i="108"/>
  <c r="O22" i="108"/>
  <c r="M22" i="107"/>
  <c r="K25" i="107"/>
  <c r="M25" i="107"/>
  <c r="O22" i="107"/>
  <c r="G26" i="107"/>
  <c r="G25" i="107"/>
  <c r="F28" i="112" l="1"/>
  <c r="F28" i="111"/>
  <c r="F28" i="114"/>
  <c r="F28" i="110"/>
  <c r="F28" i="113"/>
  <c r="G28" i="109"/>
  <c r="F28" i="109"/>
  <c r="G28" i="111"/>
  <c r="G28" i="108"/>
  <c r="G28" i="114"/>
  <c r="G28" i="115"/>
  <c r="F28" i="107"/>
  <c r="G28" i="110"/>
  <c r="G28" i="112"/>
  <c r="G28" i="113"/>
  <c r="H28" i="116"/>
  <c r="G28" i="107"/>
  <c r="P6" i="106" l="1"/>
  <c r="O6" i="106" s="1"/>
  <c r="N6" i="106"/>
  <c r="K6" i="106"/>
  <c r="L6" i="106" s="1"/>
  <c r="I6" i="106"/>
  <c r="G6" i="106"/>
  <c r="H6" i="106" s="1"/>
  <c r="F6" i="106"/>
  <c r="C6" i="106"/>
  <c r="C3" i="106"/>
  <c r="O8" i="106" s="1"/>
  <c r="J6" i="107" l="1"/>
  <c r="N22" i="106"/>
  <c r="F22" i="106"/>
  <c r="P22" i="106"/>
  <c r="I22" i="106"/>
  <c r="M6" i="106"/>
  <c r="F26" i="106"/>
  <c r="F25" i="106"/>
  <c r="H22" i="106"/>
  <c r="G22" i="106"/>
  <c r="O22" i="106" l="1"/>
  <c r="G26" i="106"/>
  <c r="K25" i="106"/>
  <c r="M25" i="106"/>
  <c r="F28" i="106"/>
  <c r="M22" i="106"/>
  <c r="G25" i="106"/>
  <c r="G28" i="106" l="1"/>
  <c r="P19" i="105" l="1"/>
  <c r="M19" i="105" s="1"/>
  <c r="N19" i="105"/>
  <c r="I19" i="105"/>
  <c r="G19" i="105"/>
  <c r="H19" i="105" s="1"/>
  <c r="F19" i="105"/>
  <c r="P18" i="105"/>
  <c r="M18" i="105" s="1"/>
  <c r="N18" i="105"/>
  <c r="I18" i="105"/>
  <c r="G18" i="105"/>
  <c r="H18" i="105" s="1"/>
  <c r="F18" i="105"/>
  <c r="P17" i="105"/>
  <c r="M17" i="105" s="1"/>
  <c r="N17" i="105"/>
  <c r="I17" i="105"/>
  <c r="G17" i="105"/>
  <c r="H17" i="105" s="1"/>
  <c r="F17" i="105"/>
  <c r="P16" i="105"/>
  <c r="M16" i="105" s="1"/>
  <c r="N16" i="105"/>
  <c r="I16" i="105"/>
  <c r="G16" i="105"/>
  <c r="H16" i="105" s="1"/>
  <c r="F16" i="105"/>
  <c r="P15" i="105"/>
  <c r="M15" i="105" s="1"/>
  <c r="N15" i="105"/>
  <c r="I15" i="105"/>
  <c r="G15" i="105"/>
  <c r="H15" i="105" s="1"/>
  <c r="F15" i="105"/>
  <c r="P14" i="105"/>
  <c r="M14" i="105" s="1"/>
  <c r="N14" i="105"/>
  <c r="I14" i="105"/>
  <c r="G14" i="105"/>
  <c r="H14" i="105" s="1"/>
  <c r="F14" i="105"/>
  <c r="P13" i="105"/>
  <c r="M13" i="105" s="1"/>
  <c r="N13" i="105"/>
  <c r="I13" i="105"/>
  <c r="G13" i="105"/>
  <c r="H13" i="105" s="1"/>
  <c r="F13" i="105"/>
  <c r="P12" i="105"/>
  <c r="M12" i="105" s="1"/>
  <c r="N12" i="105"/>
  <c r="I12" i="105"/>
  <c r="G12" i="105"/>
  <c r="H12" i="105" s="1"/>
  <c r="F12" i="105"/>
  <c r="P11" i="105"/>
  <c r="O11" i="105" s="1"/>
  <c r="N11" i="105"/>
  <c r="I11" i="105"/>
  <c r="G11" i="105"/>
  <c r="H11" i="105" s="1"/>
  <c r="F11" i="105"/>
  <c r="P10" i="105"/>
  <c r="M10" i="105" s="1"/>
  <c r="N10" i="105"/>
  <c r="I10" i="105"/>
  <c r="G10" i="105"/>
  <c r="H10" i="105" s="1"/>
  <c r="F10" i="105"/>
  <c r="P9" i="105"/>
  <c r="M9" i="105" s="1"/>
  <c r="N9" i="105"/>
  <c r="I9" i="105"/>
  <c r="G9" i="105"/>
  <c r="H9" i="105" s="1"/>
  <c r="F9" i="105"/>
  <c r="P8" i="105"/>
  <c r="M8" i="105" s="1"/>
  <c r="N8" i="105"/>
  <c r="I8" i="105"/>
  <c r="G8" i="105"/>
  <c r="H8" i="105" s="1"/>
  <c r="F8" i="105"/>
  <c r="P7" i="105"/>
  <c r="O7" i="105" s="1"/>
  <c r="N7" i="105"/>
  <c r="I7" i="105"/>
  <c r="G7" i="105"/>
  <c r="H7" i="105" s="1"/>
  <c r="F7" i="105"/>
  <c r="P6" i="105"/>
  <c r="M6" i="105" s="1"/>
  <c r="N6" i="105"/>
  <c r="I6" i="105"/>
  <c r="G6" i="105"/>
  <c r="H6" i="105" s="1"/>
  <c r="F6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3" i="105"/>
  <c r="J8" i="106" l="1"/>
  <c r="J12" i="106"/>
  <c r="J13" i="106"/>
  <c r="J17" i="106"/>
  <c r="J10" i="106"/>
  <c r="J14" i="106"/>
  <c r="J18" i="106"/>
  <c r="J16" i="106"/>
  <c r="J9" i="106"/>
  <c r="J7" i="106"/>
  <c r="J11" i="106"/>
  <c r="J15" i="106"/>
  <c r="J19" i="106"/>
  <c r="J6" i="106"/>
  <c r="O13" i="105"/>
  <c r="O17" i="105"/>
  <c r="O14" i="105"/>
  <c r="O6" i="105"/>
  <c r="F22" i="105"/>
  <c r="M7" i="105"/>
  <c r="O10" i="105"/>
  <c r="N22" i="105"/>
  <c r="I22" i="105"/>
  <c r="M11" i="105"/>
  <c r="O9" i="105"/>
  <c r="O18" i="105"/>
  <c r="O8" i="105"/>
  <c r="O12" i="105"/>
  <c r="O15" i="105"/>
  <c r="F26" i="105"/>
  <c r="F25" i="105"/>
  <c r="O16" i="105"/>
  <c r="H22" i="105"/>
  <c r="O19" i="105"/>
  <c r="P22" i="105"/>
  <c r="G22" i="105"/>
  <c r="P8" i="104"/>
  <c r="N8" i="104"/>
  <c r="I8" i="104"/>
  <c r="G8" i="104"/>
  <c r="C8" i="104"/>
  <c r="P8" i="116" l="1"/>
  <c r="F7" i="117" s="1"/>
  <c r="G7" i="117" s="1"/>
  <c r="G8" i="116"/>
  <c r="D7" i="117" s="1"/>
  <c r="J22" i="112"/>
  <c r="J22" i="111"/>
  <c r="J22" i="109"/>
  <c r="J22" i="115"/>
  <c r="J22" i="110"/>
  <c r="J22" i="108"/>
  <c r="J22" i="114"/>
  <c r="J22" i="113"/>
  <c r="H8" i="104"/>
  <c r="M8" i="104"/>
  <c r="J22" i="107"/>
  <c r="K25" i="105"/>
  <c r="F28" i="105"/>
  <c r="O22" i="105"/>
  <c r="G25" i="105"/>
  <c r="M25" i="105"/>
  <c r="M22" i="105"/>
  <c r="G26" i="105"/>
  <c r="O8" i="104"/>
  <c r="O8" i="116" l="1"/>
  <c r="E7" i="117" s="1"/>
  <c r="G28" i="105"/>
  <c r="C7" i="104"/>
  <c r="C9" i="104"/>
  <c r="C10" i="104"/>
  <c r="C11" i="104"/>
  <c r="C12" i="104"/>
  <c r="C13" i="104"/>
  <c r="C14" i="104"/>
  <c r="C15" i="104"/>
  <c r="C16" i="104"/>
  <c r="C17" i="104"/>
  <c r="C18" i="104"/>
  <c r="C19" i="104"/>
  <c r="C6" i="104" l="1"/>
  <c r="F7" i="104" l="1"/>
  <c r="G7" i="104"/>
  <c r="I7" i="104"/>
  <c r="N7" i="104"/>
  <c r="P7" i="104"/>
  <c r="G9" i="104"/>
  <c r="I9" i="104"/>
  <c r="N9" i="104"/>
  <c r="P9" i="104"/>
  <c r="F10" i="104"/>
  <c r="G10" i="104"/>
  <c r="I10" i="104"/>
  <c r="N10" i="104"/>
  <c r="P10" i="104"/>
  <c r="F11" i="104"/>
  <c r="G11" i="104"/>
  <c r="I11" i="104"/>
  <c r="N11" i="104"/>
  <c r="P11" i="104"/>
  <c r="F12" i="104"/>
  <c r="G12" i="104"/>
  <c r="I12" i="104"/>
  <c r="N12" i="104"/>
  <c r="P12" i="104"/>
  <c r="F13" i="104"/>
  <c r="G13" i="104"/>
  <c r="I13" i="104"/>
  <c r="N13" i="104"/>
  <c r="P13" i="104"/>
  <c r="F14" i="104"/>
  <c r="G14" i="104"/>
  <c r="I14" i="104"/>
  <c r="N14" i="104"/>
  <c r="P14" i="104"/>
  <c r="F15" i="104"/>
  <c r="G15" i="104"/>
  <c r="I15" i="104"/>
  <c r="N15" i="104"/>
  <c r="P15" i="104"/>
  <c r="F16" i="104"/>
  <c r="G16" i="104"/>
  <c r="I16" i="104"/>
  <c r="N16" i="104"/>
  <c r="P16" i="104"/>
  <c r="F17" i="104"/>
  <c r="G17" i="104"/>
  <c r="I17" i="104"/>
  <c r="N17" i="104"/>
  <c r="P17" i="104"/>
  <c r="F18" i="104"/>
  <c r="G18" i="104"/>
  <c r="I18" i="104"/>
  <c r="N18" i="104"/>
  <c r="P18" i="104"/>
  <c r="F19" i="104"/>
  <c r="G19" i="104"/>
  <c r="I19" i="104"/>
  <c r="N19" i="104"/>
  <c r="P19" i="104"/>
  <c r="P6" i="104"/>
  <c r="N6" i="104"/>
  <c r="I6" i="104"/>
  <c r="G6" i="104"/>
  <c r="F6" i="104"/>
  <c r="J22" i="104"/>
  <c r="C3" i="104"/>
  <c r="F19" i="116" l="1"/>
  <c r="F16" i="116"/>
  <c r="P12" i="116"/>
  <c r="F11" i="117" s="1"/>
  <c r="G11" i="117" s="1"/>
  <c r="G11" i="116"/>
  <c r="D10" i="117" s="1"/>
  <c r="F11" i="116"/>
  <c r="P10" i="116"/>
  <c r="F9" i="117" s="1"/>
  <c r="G9" i="117" s="1"/>
  <c r="P15" i="116"/>
  <c r="F14" i="117" s="1"/>
  <c r="G14" i="117" s="1"/>
  <c r="G17" i="116"/>
  <c r="D16" i="117" s="1"/>
  <c r="F14" i="116"/>
  <c r="G9" i="116"/>
  <c r="D8" i="117" s="1"/>
  <c r="P6" i="116"/>
  <c r="F5" i="117" s="1"/>
  <c r="F17" i="116"/>
  <c r="P13" i="116"/>
  <c r="F12" i="117" s="1"/>
  <c r="G12" i="117" s="1"/>
  <c r="G12" i="116"/>
  <c r="D11" i="117" s="1"/>
  <c r="P7" i="116"/>
  <c r="F6" i="117" s="1"/>
  <c r="G6" i="117" s="1"/>
  <c r="P16" i="116"/>
  <c r="F15" i="117" s="1"/>
  <c r="G15" i="117" s="1"/>
  <c r="G15" i="116"/>
  <c r="D14" i="117" s="1"/>
  <c r="F12" i="116"/>
  <c r="G14" i="116"/>
  <c r="D13" i="117" s="1"/>
  <c r="G18" i="116"/>
  <c r="D17" i="117" s="1"/>
  <c r="F15" i="116"/>
  <c r="P11" i="116"/>
  <c r="F10" i="117" s="1"/>
  <c r="G10" i="117" s="1"/>
  <c r="G10" i="116"/>
  <c r="D9" i="117" s="1"/>
  <c r="P18" i="116"/>
  <c r="F17" i="117" s="1"/>
  <c r="G17" i="117" s="1"/>
  <c r="P19" i="116"/>
  <c r="F18" i="117" s="1"/>
  <c r="G18" i="117" s="1"/>
  <c r="F6" i="116"/>
  <c r="F18" i="116"/>
  <c r="P14" i="116"/>
  <c r="F13" i="117" s="1"/>
  <c r="G13" i="117" s="1"/>
  <c r="G13" i="116"/>
  <c r="D12" i="117" s="1"/>
  <c r="F10" i="116"/>
  <c r="G7" i="116"/>
  <c r="D6" i="117" s="1"/>
  <c r="G6" i="116"/>
  <c r="D5" i="117" s="1"/>
  <c r="G19" i="116"/>
  <c r="D18" i="117" s="1"/>
  <c r="P17" i="116"/>
  <c r="F16" i="117" s="1"/>
  <c r="G16" i="117" s="1"/>
  <c r="G16" i="116"/>
  <c r="D15" i="117" s="1"/>
  <c r="F13" i="116"/>
  <c r="P9" i="116"/>
  <c r="F8" i="117" s="1"/>
  <c r="G8" i="117" s="1"/>
  <c r="F7" i="116"/>
  <c r="H6" i="104"/>
  <c r="M6" i="104"/>
  <c r="O14" i="104"/>
  <c r="H13" i="104"/>
  <c r="O10" i="104"/>
  <c r="H9" i="104"/>
  <c r="O19" i="104"/>
  <c r="O17" i="104"/>
  <c r="H16" i="104"/>
  <c r="O13" i="104"/>
  <c r="H12" i="104"/>
  <c r="O18" i="104"/>
  <c r="H18" i="104"/>
  <c r="O16" i="104"/>
  <c r="H15" i="104"/>
  <c r="O12" i="104"/>
  <c r="H11" i="104"/>
  <c r="H19" i="104"/>
  <c r="H17" i="104"/>
  <c r="H7" i="104"/>
  <c r="O9" i="104"/>
  <c r="O7" i="104"/>
  <c r="O15" i="104"/>
  <c r="H14" i="104"/>
  <c r="O11" i="104"/>
  <c r="H10" i="104"/>
  <c r="J14" i="105"/>
  <c r="J11" i="105"/>
  <c r="J16" i="105"/>
  <c r="J19" i="105"/>
  <c r="J17" i="105"/>
  <c r="J13" i="105"/>
  <c r="J10" i="105"/>
  <c r="J6" i="105"/>
  <c r="J18" i="105"/>
  <c r="J15" i="105"/>
  <c r="J12" i="105"/>
  <c r="J7" i="105"/>
  <c r="M14" i="104"/>
  <c r="M16" i="104"/>
  <c r="M9" i="104"/>
  <c r="M19" i="104"/>
  <c r="M11" i="104"/>
  <c r="M18" i="104"/>
  <c r="M17" i="104"/>
  <c r="M15" i="104"/>
  <c r="M13" i="104"/>
  <c r="M12" i="104"/>
  <c r="M10" i="104"/>
  <c r="M7" i="104"/>
  <c r="I22" i="104"/>
  <c r="N22" i="104"/>
  <c r="P22" i="104"/>
  <c r="O6" i="104"/>
  <c r="G22" i="104"/>
  <c r="G5" i="117" l="1"/>
  <c r="F20" i="117"/>
  <c r="D20" i="117"/>
  <c r="G22" i="116"/>
  <c r="Q24" i="116" s="1"/>
  <c r="P22" i="116"/>
  <c r="O6" i="116"/>
  <c r="E5" i="117" s="1"/>
  <c r="O10" i="116"/>
  <c r="E9" i="117" s="1"/>
  <c r="O11" i="116"/>
  <c r="E10" i="117" s="1"/>
  <c r="J6" i="116"/>
  <c r="O7" i="116"/>
  <c r="E6" i="117" s="1"/>
  <c r="O16" i="116"/>
  <c r="E15" i="117" s="1"/>
  <c r="O15" i="116"/>
  <c r="E14" i="117" s="1"/>
  <c r="O13" i="116"/>
  <c r="E12" i="117" s="1"/>
  <c r="O9" i="116"/>
  <c r="E8" i="117" s="1"/>
  <c r="O17" i="116"/>
  <c r="E16" i="117" s="1"/>
  <c r="O12" i="116"/>
  <c r="E11" i="117" s="1"/>
  <c r="O14" i="116"/>
  <c r="E13" i="117" s="1"/>
  <c r="O18" i="116"/>
  <c r="E17" i="117" s="1"/>
  <c r="O19" i="116"/>
  <c r="E18" i="117" s="1"/>
  <c r="J12" i="116"/>
  <c r="J10" i="116"/>
  <c r="J16" i="116"/>
  <c r="J7" i="116"/>
  <c r="J19" i="116"/>
  <c r="J15" i="116"/>
  <c r="J13" i="116"/>
  <c r="J11" i="116"/>
  <c r="J18" i="116"/>
  <c r="J17" i="116"/>
  <c r="J14" i="116"/>
  <c r="M25" i="104"/>
  <c r="F26" i="104"/>
  <c r="H22" i="104"/>
  <c r="F25" i="104"/>
  <c r="J22" i="106"/>
  <c r="G26" i="104"/>
  <c r="K25" i="104"/>
  <c r="O22" i="104"/>
  <c r="G25" i="104"/>
  <c r="M22" i="104"/>
  <c r="E20" i="117" l="1"/>
  <c r="K25" i="116"/>
  <c r="Q26" i="116"/>
  <c r="M25" i="116"/>
  <c r="O22" i="116"/>
  <c r="F28" i="104"/>
  <c r="G28" i="104"/>
  <c r="Q28" i="116" l="1"/>
  <c r="F8" i="104"/>
  <c r="S13" i="116" l="1"/>
  <c r="I12" i="117" s="1"/>
  <c r="S14" i="116"/>
  <c r="I13" i="117" s="1"/>
  <c r="S11" i="116"/>
  <c r="I10" i="117" s="1"/>
  <c r="S9" i="116"/>
  <c r="I8" i="117" s="1"/>
  <c r="S17" i="116"/>
  <c r="I16" i="117" s="1"/>
  <c r="S7" i="116"/>
  <c r="I6" i="117" s="1"/>
  <c r="S16" i="116"/>
  <c r="I15" i="117" s="1"/>
  <c r="S12" i="116"/>
  <c r="I11" i="117" s="1"/>
  <c r="S15" i="116"/>
  <c r="I14" i="117" s="1"/>
  <c r="S18" i="116"/>
  <c r="I17" i="117" s="1"/>
  <c r="S19" i="116"/>
  <c r="I18" i="117" s="1"/>
  <c r="S8" i="116"/>
  <c r="I7" i="117" s="1"/>
  <c r="S10" i="116"/>
  <c r="I9" i="117" s="1"/>
  <c r="S6" i="116"/>
  <c r="F8" i="116"/>
  <c r="J8" i="105"/>
  <c r="F9" i="104"/>
  <c r="I5" i="117" l="1"/>
  <c r="S22" i="116"/>
  <c r="V22" i="116" s="1"/>
  <c r="I20" i="117"/>
  <c r="F9" i="116"/>
  <c r="F22" i="116" s="1"/>
  <c r="J8" i="116"/>
  <c r="J9" i="105"/>
  <c r="F22" i="104"/>
  <c r="J9" i="116" l="1"/>
  <c r="J22" i="116" s="1"/>
  <c r="K32" i="116" s="1"/>
  <c r="M32" i="116" s="1"/>
  <c r="J22" i="105"/>
  <c r="L25" i="112" l="1"/>
  <c r="D3" i="113"/>
  <c r="L25" i="113" s="1"/>
  <c r="D3" i="108"/>
  <c r="L25" i="108" s="1"/>
  <c r="L25" i="109"/>
  <c r="D3" i="114"/>
  <c r="L25" i="114" s="1"/>
  <c r="L25" i="111"/>
  <c r="D3" i="115"/>
  <c r="L25" i="115" s="1"/>
  <c r="L25" i="110"/>
  <c r="K6" i="105" l="1"/>
  <c r="K6" i="115"/>
  <c r="K6" i="114"/>
  <c r="K6" i="113"/>
  <c r="K6" i="112"/>
  <c r="K6" i="111"/>
  <c r="K19" i="104"/>
  <c r="K18" i="104"/>
  <c r="K17" i="104"/>
  <c r="K16" i="104"/>
  <c r="K15" i="104"/>
  <c r="K14" i="104"/>
  <c r="K13" i="104"/>
  <c r="K11" i="104"/>
  <c r="K12" i="104"/>
  <c r="K10" i="104"/>
  <c r="K9" i="104"/>
  <c r="K8" i="104"/>
  <c r="K7" i="104"/>
  <c r="K6" i="104"/>
  <c r="K6" i="110"/>
  <c r="L6" i="105" l="1"/>
  <c r="L19" i="104"/>
  <c r="L16" i="104"/>
  <c r="L6" i="104"/>
  <c r="K22" i="104"/>
  <c r="K6" i="116"/>
  <c r="L10" i="104"/>
  <c r="L13" i="104"/>
  <c r="L17" i="104"/>
  <c r="L12" i="104"/>
  <c r="L6" i="111"/>
  <c r="L8" i="104"/>
  <c r="L6" i="112"/>
  <c r="L14" i="104"/>
  <c r="L6" i="113"/>
  <c r="L7" i="104"/>
  <c r="L11" i="104"/>
  <c r="L15" i="104"/>
  <c r="L18" i="104"/>
  <c r="L6" i="114"/>
  <c r="L6" i="110"/>
  <c r="L9" i="104"/>
  <c r="L6" i="115"/>
  <c r="L22" i="104" l="1"/>
  <c r="E26" i="104"/>
  <c r="E25" i="104"/>
  <c r="E28" i="104" l="1"/>
  <c r="K32" i="104" s="1"/>
  <c r="M32" i="104" s="1"/>
  <c r="K18" i="108" l="1"/>
  <c r="K10" i="108"/>
  <c r="L10" i="108" s="1"/>
  <c r="K17" i="108"/>
  <c r="L17" i="108" s="1"/>
  <c r="K9" i="108"/>
  <c r="K19" i="108"/>
  <c r="L19" i="108" s="1"/>
  <c r="K11" i="108"/>
  <c r="L11" i="108" s="1"/>
  <c r="K14" i="108"/>
  <c r="L14" i="108" s="1"/>
  <c r="K13" i="108"/>
  <c r="K12" i="108"/>
  <c r="L12" i="108" s="1"/>
  <c r="K15" i="108"/>
  <c r="L15" i="108" s="1"/>
  <c r="K7" i="108"/>
  <c r="K16" i="108"/>
  <c r="L16" i="108" s="1"/>
  <c r="K8" i="108"/>
  <c r="K11" i="109"/>
  <c r="L11" i="109" s="1"/>
  <c r="K19" i="113"/>
  <c r="L19" i="113" s="1"/>
  <c r="K10" i="110"/>
  <c r="L10" i="110" s="1"/>
  <c r="K16" i="113"/>
  <c r="K18" i="113"/>
  <c r="K10" i="115"/>
  <c r="K14" i="115"/>
  <c r="L14" i="115" s="1"/>
  <c r="K18" i="115"/>
  <c r="K8" i="112"/>
  <c r="K9" i="114"/>
  <c r="K8" i="110"/>
  <c r="L8" i="110" s="1"/>
  <c r="K14" i="113"/>
  <c r="L14" i="113" s="1"/>
  <c r="K13" i="114"/>
  <c r="K8" i="114"/>
  <c r="K14" i="111"/>
  <c r="L14" i="111" s="1"/>
  <c r="K16" i="107"/>
  <c r="L16" i="107" s="1"/>
  <c r="K12" i="107"/>
  <c r="L12" i="107" s="1"/>
  <c r="K8" i="107"/>
  <c r="L8" i="107" s="1"/>
  <c r="K16" i="114"/>
  <c r="L16" i="114" s="1"/>
  <c r="K13" i="109"/>
  <c r="K16" i="109"/>
  <c r="K18" i="109"/>
  <c r="K14" i="114"/>
  <c r="L14" i="114" s="1"/>
  <c r="K10" i="113"/>
  <c r="L10" i="113" s="1"/>
  <c r="K17" i="114"/>
  <c r="L17" i="114" s="1"/>
  <c r="K12" i="114"/>
  <c r="L12" i="114" s="1"/>
  <c r="K17" i="107"/>
  <c r="L17" i="107" s="1"/>
  <c r="K13" i="107"/>
  <c r="K9" i="107"/>
  <c r="K15" i="109"/>
  <c r="L15" i="109" s="1"/>
  <c r="K12" i="112"/>
  <c r="L12" i="112" s="1"/>
  <c r="K10" i="109"/>
  <c r="K7" i="113"/>
  <c r="K11" i="113"/>
  <c r="L11" i="113" s="1"/>
  <c r="K7" i="109"/>
  <c r="K16" i="112"/>
  <c r="K7" i="110"/>
  <c r="K11" i="110"/>
  <c r="L11" i="110" s="1"/>
  <c r="K15" i="110"/>
  <c r="L15" i="110" s="1"/>
  <c r="K19" i="110"/>
  <c r="L19" i="110" s="1"/>
  <c r="K18" i="111"/>
  <c r="K7" i="115"/>
  <c r="K11" i="115"/>
  <c r="K15" i="115"/>
  <c r="L15" i="115" s="1"/>
  <c r="K19" i="115"/>
  <c r="L19" i="115" s="1"/>
  <c r="K14" i="112"/>
  <c r="L14" i="112" s="1"/>
  <c r="K9" i="112"/>
  <c r="K13" i="112"/>
  <c r="K17" i="112"/>
  <c r="L17" i="112" s="1"/>
  <c r="K18" i="110"/>
  <c r="K10" i="107"/>
  <c r="L10" i="107" s="1"/>
  <c r="K8" i="109"/>
  <c r="L8" i="109" s="1"/>
  <c r="K19" i="107"/>
  <c r="L19" i="107" s="1"/>
  <c r="K15" i="107"/>
  <c r="L15" i="107" s="1"/>
  <c r="K11" i="107"/>
  <c r="L11" i="107" s="1"/>
  <c r="K7" i="107"/>
  <c r="K8" i="111"/>
  <c r="L8" i="111" s="1"/>
  <c r="K18" i="107"/>
  <c r="L18" i="107" s="1"/>
  <c r="K14" i="107"/>
  <c r="L14" i="107" s="1"/>
  <c r="K18" i="112"/>
  <c r="K12" i="115"/>
  <c r="L12" i="115" s="1"/>
  <c r="K8" i="113"/>
  <c r="K19" i="109"/>
  <c r="L19" i="109" s="1"/>
  <c r="K10" i="114"/>
  <c r="L10" i="114" s="1"/>
  <c r="K12" i="109"/>
  <c r="L12" i="109" s="1"/>
  <c r="K14" i="110"/>
  <c r="L14" i="110" s="1"/>
  <c r="K12" i="111"/>
  <c r="L12" i="111" s="1"/>
  <c r="K16" i="115"/>
  <c r="L16" i="115" s="1"/>
  <c r="K16" i="110"/>
  <c r="L16" i="110" s="1"/>
  <c r="K15" i="113"/>
  <c r="L15" i="113" s="1"/>
  <c r="K17" i="109"/>
  <c r="L17" i="109" s="1"/>
  <c r="K10" i="111"/>
  <c r="L10" i="111" s="1"/>
  <c r="K8" i="115"/>
  <c r="K12" i="110"/>
  <c r="L12" i="110" s="1"/>
  <c r="K16" i="111"/>
  <c r="K10" i="112"/>
  <c r="L10" i="112" s="1"/>
  <c r="K12" i="113"/>
  <c r="L12" i="113" s="1"/>
  <c r="K18" i="114"/>
  <c r="L18" i="114" s="1"/>
  <c r="K9" i="109"/>
  <c r="K14" i="109"/>
  <c r="L14" i="109" s="1"/>
  <c r="K9" i="110"/>
  <c r="K13" i="110"/>
  <c r="K17" i="110"/>
  <c r="L17" i="110" s="1"/>
  <c r="K9" i="111"/>
  <c r="K13" i="111"/>
  <c r="K17" i="111"/>
  <c r="L17" i="111" s="1"/>
  <c r="K7" i="112"/>
  <c r="K11" i="112"/>
  <c r="K15" i="112"/>
  <c r="L15" i="112" s="1"/>
  <c r="K19" i="112"/>
  <c r="L19" i="112" s="1"/>
  <c r="K9" i="113"/>
  <c r="K13" i="113"/>
  <c r="K17" i="113"/>
  <c r="L17" i="113" s="1"/>
  <c r="K7" i="114"/>
  <c r="K11" i="114"/>
  <c r="L11" i="114" s="1"/>
  <c r="K15" i="114"/>
  <c r="L15" i="114" s="1"/>
  <c r="K19" i="114"/>
  <c r="L19" i="114" s="1"/>
  <c r="K9" i="115"/>
  <c r="K13" i="115"/>
  <c r="K17" i="115"/>
  <c r="L17" i="115" s="1"/>
  <c r="K19" i="111"/>
  <c r="L19" i="111" s="1"/>
  <c r="K15" i="111"/>
  <c r="L15" i="111" s="1"/>
  <c r="K11" i="111"/>
  <c r="L11" i="111" s="1"/>
  <c r="K7" i="111"/>
  <c r="K22" i="109" l="1"/>
  <c r="L7" i="109"/>
  <c r="L7" i="115"/>
  <c r="K22" i="115"/>
  <c r="K22" i="107"/>
  <c r="L7" i="107"/>
  <c r="L7" i="113"/>
  <c r="K22" i="113"/>
  <c r="L7" i="111"/>
  <c r="K22" i="111"/>
  <c r="L7" i="112"/>
  <c r="K22" i="112"/>
  <c r="L7" i="114"/>
  <c r="K22" i="114"/>
  <c r="K22" i="108"/>
  <c r="L7" i="108"/>
  <c r="L7" i="110"/>
  <c r="K22" i="110"/>
  <c r="K8" i="106" l="1"/>
  <c r="L8" i="106" s="1"/>
  <c r="K12" i="106"/>
  <c r="L12" i="106" s="1"/>
  <c r="K13" i="106"/>
  <c r="L13" i="106" s="1"/>
  <c r="K17" i="106"/>
  <c r="L17" i="106" s="1"/>
  <c r="K10" i="106"/>
  <c r="L10" i="106" s="1"/>
  <c r="K14" i="106"/>
  <c r="L14" i="106" s="1"/>
  <c r="K18" i="106"/>
  <c r="L18" i="106" s="1"/>
  <c r="K16" i="106"/>
  <c r="L16" i="106" s="1"/>
  <c r="K9" i="106"/>
  <c r="L9" i="106" s="1"/>
  <c r="K7" i="106"/>
  <c r="K11" i="106"/>
  <c r="L11" i="106" s="1"/>
  <c r="K15" i="106"/>
  <c r="L15" i="106" s="1"/>
  <c r="K19" i="106"/>
  <c r="L19" i="106" s="1"/>
  <c r="K22" i="106" l="1"/>
  <c r="L7" i="106"/>
  <c r="L22" i="106" l="1"/>
  <c r="E25" i="106"/>
  <c r="E26" i="106"/>
  <c r="K14" i="105"/>
  <c r="K11" i="105"/>
  <c r="K16" i="105"/>
  <c r="K19" i="105"/>
  <c r="K17" i="105"/>
  <c r="K13" i="105"/>
  <c r="K10" i="105"/>
  <c r="K18" i="105"/>
  <c r="K15" i="105"/>
  <c r="K12" i="105"/>
  <c r="K7" i="105"/>
  <c r="L19" i="105" l="1"/>
  <c r="K19" i="116"/>
  <c r="L16" i="105"/>
  <c r="K16" i="116"/>
  <c r="L12" i="105"/>
  <c r="K12" i="116"/>
  <c r="L11" i="105"/>
  <c r="K11" i="116"/>
  <c r="L17" i="105"/>
  <c r="K17" i="116"/>
  <c r="L14" i="105"/>
  <c r="K14" i="116"/>
  <c r="L18" i="105"/>
  <c r="K18" i="116"/>
  <c r="L7" i="105"/>
  <c r="K7" i="116"/>
  <c r="L10" i="105"/>
  <c r="K10" i="116"/>
  <c r="E28" i="106"/>
  <c r="K32" i="106" s="1"/>
  <c r="M32" i="106" s="1"/>
  <c r="L15" i="105"/>
  <c r="K15" i="116"/>
  <c r="L13" i="105"/>
  <c r="K13" i="116"/>
  <c r="K8" i="105" l="1"/>
  <c r="K8" i="116" l="1"/>
  <c r="K9" i="105"/>
  <c r="K9" i="116" l="1"/>
  <c r="K22" i="116" s="1"/>
  <c r="K22" i="105"/>
  <c r="E16" i="113" l="1"/>
  <c r="D16" i="113" s="1"/>
  <c r="B16" i="113" s="1"/>
  <c r="L16" i="113"/>
  <c r="E9" i="113"/>
  <c r="D9" i="113" s="1"/>
  <c r="B9" i="113" s="1"/>
  <c r="L9" i="113"/>
  <c r="E13" i="113"/>
  <c r="D13" i="113" s="1"/>
  <c r="B13" i="113" s="1"/>
  <c r="L13" i="113"/>
  <c r="E8" i="113"/>
  <c r="D8" i="113" s="1"/>
  <c r="B8" i="113" s="1"/>
  <c r="L8" i="113"/>
  <c r="E11" i="113"/>
  <c r="D11" i="113" s="1"/>
  <c r="B11" i="113" s="1"/>
  <c r="E18" i="113"/>
  <c r="D18" i="113" s="1"/>
  <c r="B18" i="113" s="1"/>
  <c r="L18" i="113"/>
  <c r="E10" i="113"/>
  <c r="D10" i="113" s="1"/>
  <c r="B10" i="113" s="1"/>
  <c r="E26" i="113" l="1"/>
  <c r="E25" i="113"/>
  <c r="L22" i="113"/>
  <c r="E28" i="113" l="1"/>
  <c r="K34" i="113" s="1"/>
  <c r="M34" i="113" s="1"/>
  <c r="K32" i="113" l="1"/>
  <c r="M32" i="113" s="1"/>
  <c r="E16" i="111"/>
  <c r="D16" i="111" s="1"/>
  <c r="B16" i="111" s="1"/>
  <c r="L16" i="111"/>
  <c r="E11" i="111"/>
  <c r="D11" i="111" s="1"/>
  <c r="B11" i="111" s="1"/>
  <c r="E8" i="110"/>
  <c r="E6" i="110" l="1"/>
  <c r="D6" i="110" s="1"/>
  <c r="E16" i="110"/>
  <c r="D16" i="110" s="1"/>
  <c r="B16" i="110" s="1"/>
  <c r="E17" i="110"/>
  <c r="D17" i="110" s="1"/>
  <c r="B17" i="110" s="1"/>
  <c r="E10" i="110"/>
  <c r="D10" i="110" s="1"/>
  <c r="B10" i="110" s="1"/>
  <c r="E15" i="110"/>
  <c r="D15" i="110" s="1"/>
  <c r="B15" i="110" s="1"/>
  <c r="E14" i="110"/>
  <c r="D14" i="110" s="1"/>
  <c r="B14" i="110" s="1"/>
  <c r="E12" i="110"/>
  <c r="D12" i="110" s="1"/>
  <c r="B12" i="110" s="1"/>
  <c r="E18" i="110"/>
  <c r="D18" i="110" s="1"/>
  <c r="B18" i="110" s="1"/>
  <c r="L18" i="110"/>
  <c r="E7" i="110"/>
  <c r="D8" i="110"/>
  <c r="B8" i="110" s="1"/>
  <c r="E13" i="110"/>
  <c r="D13" i="110" s="1"/>
  <c r="B13" i="110" s="1"/>
  <c r="L13" i="110"/>
  <c r="E19" i="110"/>
  <c r="D19" i="110" s="1"/>
  <c r="B19" i="110" s="1"/>
  <c r="E11" i="110"/>
  <c r="D11" i="110" s="1"/>
  <c r="B11" i="110" s="1"/>
  <c r="E9" i="110"/>
  <c r="D9" i="110" s="1"/>
  <c r="B9" i="110" s="1"/>
  <c r="L9" i="110"/>
  <c r="E25" i="110" l="1"/>
  <c r="E26" i="110"/>
  <c r="L22" i="110"/>
  <c r="D7" i="110"/>
  <c r="K31" i="110"/>
  <c r="M31" i="110" s="1"/>
  <c r="D25" i="110"/>
  <c r="E22" i="110"/>
  <c r="K33" i="110" s="1"/>
  <c r="M33" i="110" s="1"/>
  <c r="B6" i="110"/>
  <c r="H25" i="110" l="1"/>
  <c r="B22" i="110"/>
  <c r="B7" i="110"/>
  <c r="B21" i="110" s="1"/>
  <c r="D22" i="110"/>
  <c r="E28" i="110"/>
  <c r="D26" i="110"/>
  <c r="H26" i="110" s="1"/>
  <c r="H28" i="110" s="1"/>
  <c r="D28" i="110" l="1"/>
  <c r="K34" i="110"/>
  <c r="M34" i="110" s="1"/>
  <c r="K32" i="110"/>
  <c r="M32" i="110" s="1"/>
  <c r="E16" i="109" l="1"/>
  <c r="D16" i="109" s="1"/>
  <c r="B16" i="109" s="1"/>
  <c r="L16" i="109"/>
  <c r="E9" i="109"/>
  <c r="D9" i="109" s="1"/>
  <c r="B9" i="109" s="1"/>
  <c r="L9" i="109"/>
  <c r="E13" i="109" l="1"/>
  <c r="D13" i="109" s="1"/>
  <c r="B13" i="109" s="1"/>
  <c r="L13" i="109"/>
  <c r="E15" i="109"/>
  <c r="D15" i="109" s="1"/>
  <c r="B15" i="109" s="1"/>
  <c r="E18" i="109"/>
  <c r="D18" i="109" s="1"/>
  <c r="B18" i="109" s="1"/>
  <c r="L18" i="109"/>
  <c r="E9" i="108"/>
  <c r="D9" i="108" s="1"/>
  <c r="B9" i="108" s="1"/>
  <c r="L9" i="108"/>
  <c r="E7" i="109"/>
  <c r="E10" i="109"/>
  <c r="D10" i="109" s="1"/>
  <c r="B10" i="109" s="1"/>
  <c r="L10" i="109"/>
  <c r="L22" i="109" l="1"/>
  <c r="E26" i="109"/>
  <c r="E13" i="108"/>
  <c r="D13" i="108" s="1"/>
  <c r="B13" i="108" s="1"/>
  <c r="L13" i="108"/>
  <c r="E25" i="109"/>
  <c r="E18" i="108"/>
  <c r="D18" i="108" s="1"/>
  <c r="B18" i="108" s="1"/>
  <c r="L18" i="108"/>
  <c r="D7" i="109"/>
  <c r="B7" i="109" s="1"/>
  <c r="E15" i="108"/>
  <c r="D15" i="108" s="1"/>
  <c r="B15" i="108" s="1"/>
  <c r="E28" i="109" l="1"/>
  <c r="K32" i="109" s="1"/>
  <c r="M32" i="109" s="1"/>
  <c r="E8" i="108"/>
  <c r="D8" i="108" s="1"/>
  <c r="B8" i="108" s="1"/>
  <c r="L8" i="108"/>
  <c r="E16" i="108"/>
  <c r="D16" i="108" s="1"/>
  <c r="B16" i="108" s="1"/>
  <c r="K34" i="109" l="1"/>
  <c r="M34" i="109" s="1"/>
  <c r="E10" i="108"/>
  <c r="D10" i="108" s="1"/>
  <c r="B10" i="108" s="1"/>
  <c r="E26" i="108"/>
  <c r="L22" i="108"/>
  <c r="E25" i="108"/>
  <c r="E8" i="107"/>
  <c r="E28" i="108" l="1"/>
  <c r="K32" i="108" s="1"/>
  <c r="M32" i="108" s="1"/>
  <c r="D8" i="107"/>
  <c r="B8" i="107" s="1"/>
  <c r="E13" i="107"/>
  <c r="D13" i="107" s="1"/>
  <c r="B13" i="107" s="1"/>
  <c r="L13" i="107"/>
  <c r="K34" i="108" l="1"/>
  <c r="M34" i="108" s="1"/>
  <c r="E18" i="107"/>
  <c r="D18" i="107" s="1"/>
  <c r="B18" i="107" s="1"/>
  <c r="E16" i="107"/>
  <c r="D16" i="107" s="1"/>
  <c r="B16" i="107" s="1"/>
  <c r="E9" i="107"/>
  <c r="D9" i="107" s="1"/>
  <c r="B9" i="107" s="1"/>
  <c r="L9" i="107"/>
  <c r="E6" i="112" l="1"/>
  <c r="D6" i="112" s="1"/>
  <c r="E6" i="111"/>
  <c r="D6" i="111" s="1"/>
  <c r="E6" i="108"/>
  <c r="E6" i="107"/>
  <c r="D6" i="107" s="1"/>
  <c r="E6" i="115"/>
  <c r="D6" i="115" s="1"/>
  <c r="E6" i="114"/>
  <c r="D6" i="114" s="1"/>
  <c r="E6" i="113"/>
  <c r="D6" i="113" s="1"/>
  <c r="E6" i="109"/>
  <c r="D6" i="109" s="1"/>
  <c r="E18" i="115"/>
  <c r="D18" i="115" s="1"/>
  <c r="B18" i="115" s="1"/>
  <c r="L18" i="115"/>
  <c r="E26" i="107"/>
  <c r="L22" i="107"/>
  <c r="E25" i="107"/>
  <c r="E7" i="108"/>
  <c r="E12" i="108"/>
  <c r="D12" i="108" s="1"/>
  <c r="B12" i="108" s="1"/>
  <c r="E18" i="114"/>
  <c r="D18" i="114" s="1"/>
  <c r="B18" i="114" s="1"/>
  <c r="D6" i="108"/>
  <c r="E8" i="114"/>
  <c r="D8" i="114" s="1"/>
  <c r="B8" i="114" s="1"/>
  <c r="L8" i="114"/>
  <c r="E14" i="107"/>
  <c r="D14" i="107" s="1"/>
  <c r="B14" i="107" s="1"/>
  <c r="E7" i="112"/>
  <c r="E15" i="114"/>
  <c r="D15" i="114" s="1"/>
  <c r="B15" i="114" s="1"/>
  <c r="E14" i="114"/>
  <c r="D14" i="114" s="1"/>
  <c r="B14" i="114" s="1"/>
  <c r="E8" i="112"/>
  <c r="D8" i="112" s="1"/>
  <c r="B8" i="112" s="1"/>
  <c r="L8" i="112"/>
  <c r="E7" i="111"/>
  <c r="E13" i="114"/>
  <c r="D13" i="114" s="1"/>
  <c r="B13" i="114" s="1"/>
  <c r="L13" i="114"/>
  <c r="E11" i="114"/>
  <c r="D11" i="114" s="1"/>
  <c r="B11" i="114" s="1"/>
  <c r="E13" i="112"/>
  <c r="D13" i="112" s="1"/>
  <c r="B13" i="112" s="1"/>
  <c r="L13" i="112"/>
  <c r="E8" i="109"/>
  <c r="E12" i="112"/>
  <c r="D12" i="112" s="1"/>
  <c r="B12" i="112" s="1"/>
  <c r="E10" i="114"/>
  <c r="D10" i="114" s="1"/>
  <c r="B10" i="114" s="1"/>
  <c r="E7" i="107"/>
  <c r="E12" i="111"/>
  <c r="D12" i="111" s="1"/>
  <c r="B12" i="111" s="1"/>
  <c r="E10" i="112"/>
  <c r="D10" i="112" s="1"/>
  <c r="B10" i="112" s="1"/>
  <c r="E8" i="111"/>
  <c r="D8" i="111" s="1"/>
  <c r="B8" i="111" s="1"/>
  <c r="E19" i="115"/>
  <c r="D19" i="115" s="1"/>
  <c r="B19" i="115" s="1"/>
  <c r="E12" i="109"/>
  <c r="D12" i="109" s="1"/>
  <c r="B12" i="109" s="1"/>
  <c r="E14" i="109"/>
  <c r="D14" i="109" s="1"/>
  <c r="B14" i="109" s="1"/>
  <c r="E15" i="113"/>
  <c r="D15" i="113" s="1"/>
  <c r="B15" i="113" s="1"/>
  <c r="E17" i="112"/>
  <c r="D17" i="112" s="1"/>
  <c r="B17" i="112" s="1"/>
  <c r="E19" i="113"/>
  <c r="D19" i="113" s="1"/>
  <c r="B19" i="113" s="1"/>
  <c r="E13" i="111"/>
  <c r="D13" i="111" s="1"/>
  <c r="B13" i="111" s="1"/>
  <c r="L13" i="111"/>
  <c r="E14" i="113"/>
  <c r="D14" i="113" s="1"/>
  <c r="B14" i="113" s="1"/>
  <c r="E16" i="112"/>
  <c r="D16" i="112" s="1"/>
  <c r="B16" i="112" s="1"/>
  <c r="L16" i="112"/>
  <c r="E18" i="111"/>
  <c r="D18" i="111" s="1"/>
  <c r="B18" i="111" s="1"/>
  <c r="L18" i="111"/>
  <c r="E19" i="114"/>
  <c r="D19" i="114" s="1"/>
  <c r="B19" i="114" s="1"/>
  <c r="E11" i="109"/>
  <c r="D11" i="109" s="1"/>
  <c r="B11" i="109" s="1"/>
  <c r="E18" i="112"/>
  <c r="D18" i="112" s="1"/>
  <c r="B18" i="112" s="1"/>
  <c r="L18" i="112"/>
  <c r="E16" i="114"/>
  <c r="D16" i="114" s="1"/>
  <c r="B16" i="114" s="1"/>
  <c r="E14" i="111"/>
  <c r="D14" i="111" s="1"/>
  <c r="B14" i="111" s="1"/>
  <c r="E19" i="107"/>
  <c r="D19" i="107" s="1"/>
  <c r="B19" i="107" s="1"/>
  <c r="E9" i="112"/>
  <c r="D9" i="112" s="1"/>
  <c r="B9" i="112" s="1"/>
  <c r="L9" i="112"/>
  <c r="E11" i="107"/>
  <c r="D11" i="107" s="1"/>
  <c r="B11" i="107" s="1"/>
  <c r="E19" i="108"/>
  <c r="D19" i="108" s="1"/>
  <c r="B19" i="108" s="1"/>
  <c r="E15" i="111"/>
  <c r="D15" i="111" s="1"/>
  <c r="B15" i="111" s="1"/>
  <c r="E17" i="111"/>
  <c r="D17" i="111" s="1"/>
  <c r="B17" i="111" s="1"/>
  <c r="E9" i="111"/>
  <c r="D9" i="111" s="1"/>
  <c r="B9" i="111" s="1"/>
  <c r="L9" i="111"/>
  <c r="E19" i="109"/>
  <c r="D19" i="109" s="1"/>
  <c r="B19" i="109" s="1"/>
  <c r="E17" i="109"/>
  <c r="D17" i="109" s="1"/>
  <c r="B17" i="109" s="1"/>
  <c r="E11" i="108"/>
  <c r="D11" i="108" s="1"/>
  <c r="B11" i="108" s="1"/>
  <c r="E12" i="113"/>
  <c r="D12" i="113" s="1"/>
  <c r="B12" i="113" s="1"/>
  <c r="E15" i="112"/>
  <c r="D15" i="112" s="1"/>
  <c r="B15" i="112" s="1"/>
  <c r="E11" i="112"/>
  <c r="D11" i="112" s="1"/>
  <c r="B11" i="112" s="1"/>
  <c r="L11" i="112"/>
  <c r="E17" i="108"/>
  <c r="D17" i="108" s="1"/>
  <c r="B17" i="108" s="1"/>
  <c r="E14" i="115"/>
  <c r="D14" i="115" s="1"/>
  <c r="B14" i="115" s="1"/>
  <c r="E17" i="107"/>
  <c r="D17" i="107" s="1"/>
  <c r="B17" i="107" s="1"/>
  <c r="E17" i="113"/>
  <c r="D17" i="113" s="1"/>
  <c r="B17" i="113" s="1"/>
  <c r="E17" i="114"/>
  <c r="D17" i="114" s="1"/>
  <c r="B17" i="114" s="1"/>
  <c r="E19" i="111"/>
  <c r="D19" i="111" s="1"/>
  <c r="B19" i="111" s="1"/>
  <c r="E9" i="114"/>
  <c r="D9" i="114" s="1"/>
  <c r="B9" i="114" s="1"/>
  <c r="L9" i="114"/>
  <c r="E14" i="108"/>
  <c r="D14" i="108" s="1"/>
  <c r="B14" i="108" s="1"/>
  <c r="E19" i="112"/>
  <c r="D19" i="112" s="1"/>
  <c r="B19" i="112" s="1"/>
  <c r="E14" i="112"/>
  <c r="D14" i="112" s="1"/>
  <c r="B14" i="112" s="1"/>
  <c r="E10" i="111"/>
  <c r="D10" i="111" s="1"/>
  <c r="B10" i="111" s="1"/>
  <c r="E17" i="115"/>
  <c r="D17" i="115" s="1"/>
  <c r="B17" i="115" s="1"/>
  <c r="E12" i="114"/>
  <c r="D12" i="114" s="1"/>
  <c r="B12" i="114" s="1"/>
  <c r="E12" i="107"/>
  <c r="D12" i="107" s="1"/>
  <c r="B12" i="107" s="1"/>
  <c r="E10" i="107"/>
  <c r="D10" i="107" s="1"/>
  <c r="B10" i="107" s="1"/>
  <c r="E16" i="115"/>
  <c r="D16" i="115" s="1"/>
  <c r="B16" i="115" s="1"/>
  <c r="E7" i="114"/>
  <c r="E15" i="107"/>
  <c r="D15" i="107" s="1"/>
  <c r="B15" i="107" s="1"/>
  <c r="E7" i="113"/>
  <c r="E28" i="107" l="1"/>
  <c r="K32" i="107" s="1"/>
  <c r="M32" i="107" s="1"/>
  <c r="E22" i="114"/>
  <c r="K33" i="114" s="1"/>
  <c r="M33" i="114" s="1"/>
  <c r="B6" i="111"/>
  <c r="D25" i="107"/>
  <c r="B6" i="114"/>
  <c r="B6" i="112"/>
  <c r="K31" i="108"/>
  <c r="M31" i="108" s="1"/>
  <c r="D7" i="108"/>
  <c r="B22" i="108" s="1"/>
  <c r="B6" i="107"/>
  <c r="D8" i="109"/>
  <c r="K31" i="109"/>
  <c r="M31" i="109" s="1"/>
  <c r="D25" i="108"/>
  <c r="K31" i="113"/>
  <c r="M31" i="113" s="1"/>
  <c r="D7" i="113"/>
  <c r="B7" i="113" s="1"/>
  <c r="E26" i="111"/>
  <c r="L22" i="111"/>
  <c r="E25" i="111"/>
  <c r="K31" i="107"/>
  <c r="M31" i="107" s="1"/>
  <c r="D7" i="107"/>
  <c r="B7" i="107" s="1"/>
  <c r="D7" i="111"/>
  <c r="B22" i="111" s="1"/>
  <c r="K31" i="111"/>
  <c r="M31" i="111" s="1"/>
  <c r="D7" i="112"/>
  <c r="D22" i="112" s="1"/>
  <c r="K31" i="112"/>
  <c r="M31" i="112" s="1"/>
  <c r="E22" i="108"/>
  <c r="K33" i="108" s="1"/>
  <c r="M33" i="108" s="1"/>
  <c r="E22" i="109"/>
  <c r="K33" i="109" s="1"/>
  <c r="M33" i="109" s="1"/>
  <c r="B6" i="108"/>
  <c r="D26" i="109"/>
  <c r="H26" i="109" s="1"/>
  <c r="E22" i="113"/>
  <c r="K33" i="113" s="1"/>
  <c r="M33" i="113" s="1"/>
  <c r="L22" i="112"/>
  <c r="E26" i="112"/>
  <c r="E25" i="112"/>
  <c r="E22" i="111"/>
  <c r="K33" i="111" s="1"/>
  <c r="M33" i="111" s="1"/>
  <c r="B6" i="109"/>
  <c r="D22" i="109"/>
  <c r="D25" i="113"/>
  <c r="D26" i="112"/>
  <c r="K31" i="114"/>
  <c r="M31" i="114" s="1"/>
  <c r="D7" i="114"/>
  <c r="B7" i="114" s="1"/>
  <c r="D25" i="111"/>
  <c r="E22" i="107"/>
  <c r="B6" i="113"/>
  <c r="D25" i="114"/>
  <c r="E25" i="114"/>
  <c r="E26" i="114"/>
  <c r="L22" i="114"/>
  <c r="E22" i="112"/>
  <c r="K33" i="112" s="1"/>
  <c r="M33" i="112" s="1"/>
  <c r="B6" i="115"/>
  <c r="D25" i="112" l="1"/>
  <c r="H25" i="112" s="1"/>
  <c r="B22" i="113"/>
  <c r="D22" i="113"/>
  <c r="B21" i="113"/>
  <c r="E28" i="114"/>
  <c r="K34" i="114" s="1"/>
  <c r="M34" i="114" s="1"/>
  <c r="H26" i="112"/>
  <c r="H25" i="114"/>
  <c r="D22" i="108"/>
  <c r="E28" i="112"/>
  <c r="K32" i="112" s="1"/>
  <c r="M32" i="112" s="1"/>
  <c r="H25" i="113"/>
  <c r="E28" i="111"/>
  <c r="H25" i="108"/>
  <c r="B7" i="108"/>
  <c r="B21" i="108" s="1"/>
  <c r="D26" i="108"/>
  <c r="H26" i="108" s="1"/>
  <c r="H25" i="107"/>
  <c r="H25" i="111"/>
  <c r="B22" i="109"/>
  <c r="B8" i="109"/>
  <c r="B21" i="109" s="1"/>
  <c r="D25" i="109"/>
  <c r="E7" i="106"/>
  <c r="D26" i="107"/>
  <c r="H26" i="107" s="1"/>
  <c r="B22" i="112"/>
  <c r="B7" i="112"/>
  <c r="B21" i="112" s="1"/>
  <c r="B22" i="107"/>
  <c r="D22" i="107"/>
  <c r="B22" i="114"/>
  <c r="D26" i="114"/>
  <c r="D22" i="111"/>
  <c r="B7" i="111"/>
  <c r="B21" i="111" s="1"/>
  <c r="D26" i="111"/>
  <c r="H26" i="111" s="1"/>
  <c r="B21" i="107"/>
  <c r="D22" i="114"/>
  <c r="B21" i="114"/>
  <c r="D26" i="113"/>
  <c r="H26" i="113" s="1"/>
  <c r="E8" i="106"/>
  <c r="D28" i="112" l="1"/>
  <c r="K32" i="114"/>
  <c r="M32" i="114" s="1"/>
  <c r="K34" i="112"/>
  <c r="M34" i="112" s="1"/>
  <c r="H28" i="112"/>
  <c r="D28" i="111"/>
  <c r="D28" i="107"/>
  <c r="D28" i="114"/>
  <c r="H26" i="114"/>
  <c r="H28" i="114" s="1"/>
  <c r="H28" i="107"/>
  <c r="H28" i="113"/>
  <c r="E13" i="106"/>
  <c r="D13" i="106" s="1"/>
  <c r="B13" i="106" s="1"/>
  <c r="D8" i="106"/>
  <c r="B8" i="106" s="1"/>
  <c r="D28" i="109"/>
  <c r="H25" i="109"/>
  <c r="H28" i="109" s="1"/>
  <c r="K34" i="111"/>
  <c r="M34" i="111" s="1"/>
  <c r="K32" i="111"/>
  <c r="M32" i="111" s="1"/>
  <c r="D7" i="106"/>
  <c r="B7" i="106" s="1"/>
  <c r="D28" i="113"/>
  <c r="E15" i="106"/>
  <c r="D15" i="106" s="1"/>
  <c r="B15" i="106" s="1"/>
  <c r="E16" i="106"/>
  <c r="D16" i="106" s="1"/>
  <c r="B16" i="106" s="1"/>
  <c r="E10" i="106"/>
  <c r="D10" i="106" s="1"/>
  <c r="B10" i="106" s="1"/>
  <c r="D28" i="108"/>
  <c r="H28" i="111"/>
  <c r="H28" i="108"/>
  <c r="E17" i="106" l="1"/>
  <c r="D17" i="106" s="1"/>
  <c r="B17" i="106" s="1"/>
  <c r="E11" i="106"/>
  <c r="D11" i="106" s="1"/>
  <c r="B11" i="106" s="1"/>
  <c r="E12" i="106"/>
  <c r="D12" i="106" s="1"/>
  <c r="B12" i="106" s="1"/>
  <c r="E18" i="106"/>
  <c r="D18" i="106" s="1"/>
  <c r="B18" i="106" s="1"/>
  <c r="E9" i="106"/>
  <c r="E19" i="106"/>
  <c r="D19" i="106" s="1"/>
  <c r="B19" i="106" s="1"/>
  <c r="E14" i="106"/>
  <c r="D14" i="106" s="1"/>
  <c r="B14" i="106" s="1"/>
  <c r="E6" i="106" l="1"/>
  <c r="D6" i="106" s="1"/>
  <c r="D9" i="106"/>
  <c r="B9" i="106" s="1"/>
  <c r="K31" i="106"/>
  <c r="M31" i="106" s="1"/>
  <c r="D25" i="106" l="1"/>
  <c r="H25" i="106" s="1"/>
  <c r="E22" i="106"/>
  <c r="D26" i="106"/>
  <c r="H26" i="106" s="1"/>
  <c r="B22" i="106"/>
  <c r="B6" i="106"/>
  <c r="B21" i="106" s="1"/>
  <c r="D22" i="106"/>
  <c r="E9" i="105" l="1"/>
  <c r="D9" i="105" s="1"/>
  <c r="B9" i="105" s="1"/>
  <c r="L9" i="105"/>
  <c r="D28" i="106"/>
  <c r="E13" i="105"/>
  <c r="D13" i="105" s="1"/>
  <c r="B13" i="105" s="1"/>
  <c r="H28" i="106"/>
  <c r="E15" i="105" l="1"/>
  <c r="D15" i="105" s="1"/>
  <c r="B15" i="105" s="1"/>
  <c r="E16" i="105"/>
  <c r="D16" i="105" s="1"/>
  <c r="B16" i="105" s="1"/>
  <c r="E7" i="105"/>
  <c r="D7" i="105" l="1"/>
  <c r="B7" i="105" s="1"/>
  <c r="E6" i="105" l="1"/>
  <c r="D6" i="105" s="1"/>
  <c r="E18" i="105"/>
  <c r="D18" i="105" s="1"/>
  <c r="B18" i="105" s="1"/>
  <c r="E17" i="105"/>
  <c r="D17" i="105" s="1"/>
  <c r="B17" i="105" s="1"/>
  <c r="E14" i="105"/>
  <c r="D14" i="105" s="1"/>
  <c r="B14" i="105" s="1"/>
  <c r="E10" i="105"/>
  <c r="D10" i="105" s="1"/>
  <c r="B10" i="105" s="1"/>
  <c r="E11" i="105"/>
  <c r="D11" i="105" s="1"/>
  <c r="B11" i="105" s="1"/>
  <c r="E12" i="105"/>
  <c r="D12" i="105" s="1"/>
  <c r="B12" i="105" s="1"/>
  <c r="E8" i="105"/>
  <c r="L8" i="105"/>
  <c r="E19" i="105"/>
  <c r="D19" i="105" s="1"/>
  <c r="B19" i="105" s="1"/>
  <c r="D25" i="105" l="1"/>
  <c r="E22" i="105"/>
  <c r="B6" i="105"/>
  <c r="E25" i="105"/>
  <c r="E26" i="105"/>
  <c r="L22" i="105"/>
  <c r="D8" i="105"/>
  <c r="D22" i="105" s="1"/>
  <c r="K31" i="105"/>
  <c r="M31" i="105" s="1"/>
  <c r="E28" i="105" l="1"/>
  <c r="K32" i="105" s="1"/>
  <c r="M32" i="105" s="1"/>
  <c r="B22" i="105"/>
  <c r="B8" i="105"/>
  <c r="B21" i="105" s="1"/>
  <c r="D26" i="105"/>
  <c r="H25" i="105"/>
  <c r="E6" i="104" l="1"/>
  <c r="D6" i="104" s="1"/>
  <c r="E17" i="104"/>
  <c r="D17" i="104" s="1"/>
  <c r="E19" i="104"/>
  <c r="D19" i="104" s="1"/>
  <c r="E18" i="104"/>
  <c r="D18" i="104" s="1"/>
  <c r="E13" i="104"/>
  <c r="D13" i="104" s="1"/>
  <c r="E15" i="104"/>
  <c r="D15" i="104" s="1"/>
  <c r="H26" i="105"/>
  <c r="H28" i="105" s="1"/>
  <c r="D28" i="105"/>
  <c r="E12" i="104"/>
  <c r="D12" i="104" s="1"/>
  <c r="E10" i="104"/>
  <c r="D10" i="104" s="1"/>
  <c r="E14" i="104"/>
  <c r="D14" i="104" s="1"/>
  <c r="E7" i="104"/>
  <c r="E9" i="104"/>
  <c r="D9" i="104" s="1"/>
  <c r="E11" i="104"/>
  <c r="D11" i="104" s="1"/>
  <c r="E8" i="104"/>
  <c r="D8" i="104" s="1"/>
  <c r="E16" i="104"/>
  <c r="D16" i="104" s="1"/>
  <c r="B16" i="104" l="1"/>
  <c r="B16" i="116" s="1"/>
  <c r="D16" i="116"/>
  <c r="C15" i="117" s="1"/>
  <c r="H15" i="117" s="1"/>
  <c r="B8" i="104"/>
  <c r="B14" i="104"/>
  <c r="B14" i="116" s="1"/>
  <c r="D14" i="116"/>
  <c r="C13" i="117" s="1"/>
  <c r="H13" i="117" s="1"/>
  <c r="B12" i="104"/>
  <c r="B18" i="104"/>
  <c r="B18" i="116" s="1"/>
  <c r="D18" i="116"/>
  <c r="C17" i="117" s="1"/>
  <c r="H17" i="117" s="1"/>
  <c r="K31" i="104"/>
  <c r="M31" i="104" s="1"/>
  <c r="D7" i="104"/>
  <c r="D26" i="104" s="1"/>
  <c r="H26" i="104" s="1"/>
  <c r="D6" i="116"/>
  <c r="B6" i="104"/>
  <c r="B11" i="104"/>
  <c r="B10" i="104"/>
  <c r="D19" i="116"/>
  <c r="C18" i="117" s="1"/>
  <c r="H18" i="117" s="1"/>
  <c r="B19" i="104"/>
  <c r="B19" i="116" s="1"/>
  <c r="B13" i="104"/>
  <c r="E22" i="104"/>
  <c r="B9" i="104"/>
  <c r="B15" i="104"/>
  <c r="B17" i="104"/>
  <c r="B17" i="116" s="1"/>
  <c r="D17" i="116"/>
  <c r="C16" i="117" s="1"/>
  <c r="H16" i="117" s="1"/>
  <c r="D25" i="104"/>
  <c r="D22" i="104" l="1"/>
  <c r="B6" i="116"/>
  <c r="C5" i="117"/>
  <c r="B22" i="104"/>
  <c r="B7" i="104"/>
  <c r="H25" i="104"/>
  <c r="H28" i="104" s="1"/>
  <c r="D28" i="104"/>
  <c r="K24" i="104" s="1"/>
  <c r="K27" i="104" l="1"/>
  <c r="K29" i="104" s="1"/>
  <c r="M29" i="104" s="1"/>
  <c r="K24" i="105" s="1"/>
  <c r="D3" i="104"/>
  <c r="L25" i="104" s="1"/>
  <c r="H5" i="117"/>
  <c r="B21" i="104"/>
  <c r="K27" i="105" l="1"/>
  <c r="K29" i="105" s="1"/>
  <c r="M29" i="105" s="1"/>
  <c r="K24" i="106" s="1"/>
  <c r="D3" i="105"/>
  <c r="L25" i="105" s="1"/>
  <c r="E7" i="115" l="1"/>
  <c r="E13" i="115"/>
  <c r="D13" i="115" s="1"/>
  <c r="L13" i="115"/>
  <c r="E11" i="115"/>
  <c r="D11" i="115" s="1"/>
  <c r="L11" i="115"/>
  <c r="E10" i="115"/>
  <c r="D10" i="115" s="1"/>
  <c r="L10" i="115"/>
  <c r="E15" i="115"/>
  <c r="D15" i="115" s="1"/>
  <c r="K27" i="106"/>
  <c r="K29" i="106" s="1"/>
  <c r="M29" i="106" s="1"/>
  <c r="K24" i="107" s="1"/>
  <c r="D3" i="106"/>
  <c r="L25" i="106" s="1"/>
  <c r="B11" i="115" l="1"/>
  <c r="B11" i="116" s="1"/>
  <c r="D11" i="116"/>
  <c r="C10" i="117" s="1"/>
  <c r="H10" i="117" s="1"/>
  <c r="B10" i="115"/>
  <c r="B10" i="116" s="1"/>
  <c r="D10" i="116"/>
  <c r="C9" i="117" s="1"/>
  <c r="H9" i="117" s="1"/>
  <c r="K27" i="107"/>
  <c r="K29" i="107" s="1"/>
  <c r="M29" i="107" s="1"/>
  <c r="K24" i="108" s="1"/>
  <c r="K27" i="108" s="1"/>
  <c r="K29" i="108" s="1"/>
  <c r="M29" i="108" s="1"/>
  <c r="K24" i="109" s="1"/>
  <c r="K27" i="109" s="1"/>
  <c r="K29" i="109" s="1"/>
  <c r="M29" i="109" s="1"/>
  <c r="K24" i="110" s="1"/>
  <c r="K27" i="110" s="1"/>
  <c r="K29" i="110" s="1"/>
  <c r="M29" i="110" s="1"/>
  <c r="K24" i="111" s="1"/>
  <c r="K27" i="111" s="1"/>
  <c r="K29" i="111" s="1"/>
  <c r="M29" i="111" s="1"/>
  <c r="K24" i="112" s="1"/>
  <c r="K27" i="112" s="1"/>
  <c r="K29" i="112" s="1"/>
  <c r="M29" i="112" s="1"/>
  <c r="K24" i="113" s="1"/>
  <c r="K27" i="113" s="1"/>
  <c r="K29" i="113" s="1"/>
  <c r="M29" i="113" s="1"/>
  <c r="K24" i="114" s="1"/>
  <c r="K27" i="114" s="1"/>
  <c r="K29" i="114" s="1"/>
  <c r="M29" i="114" s="1"/>
  <c r="D3" i="107"/>
  <c r="L25" i="107" s="1"/>
  <c r="B15" i="115"/>
  <c r="B15" i="116" s="1"/>
  <c r="D15" i="116"/>
  <c r="C14" i="117" s="1"/>
  <c r="H14" i="117" s="1"/>
  <c r="B13" i="115"/>
  <c r="B13" i="116" s="1"/>
  <c r="D13" i="116"/>
  <c r="C12" i="117" s="1"/>
  <c r="H12" i="117" s="1"/>
  <c r="D7" i="115"/>
  <c r="B7" i="115" l="1"/>
  <c r="D7" i="116"/>
  <c r="C6" i="117" l="1"/>
  <c r="B7" i="116"/>
  <c r="H6" i="117" l="1"/>
  <c r="E8" i="115" l="1"/>
  <c r="L8" i="115"/>
  <c r="E9" i="115"/>
  <c r="D9" i="115" s="1"/>
  <c r="L9" i="115"/>
  <c r="E12" i="115"/>
  <c r="D12" i="115" s="1"/>
  <c r="B12" i="115" l="1"/>
  <c r="B12" i="116" s="1"/>
  <c r="D12" i="116"/>
  <c r="C11" i="117" s="1"/>
  <c r="H11" i="117" s="1"/>
  <c r="B9" i="115"/>
  <c r="B9" i="116" s="1"/>
  <c r="D9" i="116"/>
  <c r="C8" i="117" s="1"/>
  <c r="H8" i="117" s="1"/>
  <c r="E26" i="115"/>
  <c r="E25" i="115"/>
  <c r="L22" i="115"/>
  <c r="D8" i="115"/>
  <c r="D26" i="115"/>
  <c r="E22" i="115"/>
  <c r="K33" i="115" s="1"/>
  <c r="M33" i="115" s="1"/>
  <c r="K31" i="115"/>
  <c r="M31" i="115" s="1"/>
  <c r="H26" i="115" l="1"/>
  <c r="B8" i="115"/>
  <c r="D8" i="116"/>
  <c r="B22" i="115"/>
  <c r="D22" i="115"/>
  <c r="D25" i="115"/>
  <c r="E28" i="115"/>
  <c r="H25" i="115" l="1"/>
  <c r="H28" i="115" s="1"/>
  <c r="D28" i="115"/>
  <c r="K24" i="115"/>
  <c r="K27" i="115" s="1"/>
  <c r="K29" i="115" s="1"/>
  <c r="M29" i="115" s="1"/>
  <c r="C7" i="117"/>
  <c r="B22" i="116"/>
  <c r="D22" i="116"/>
  <c r="K24" i="116" s="1"/>
  <c r="K32" i="115"/>
  <c r="M32" i="115" s="1"/>
  <c r="K34" i="115"/>
  <c r="M34" i="115" s="1"/>
  <c r="B8" i="116"/>
  <c r="B21" i="116" s="1"/>
  <c r="B21" i="115"/>
  <c r="D3" i="116" l="1"/>
  <c r="L25" i="116" s="1"/>
  <c r="K27" i="116"/>
  <c r="K29" i="116" s="1"/>
  <c r="M29" i="116" s="1"/>
  <c r="H7" i="117"/>
  <c r="C20" i="117"/>
  <c r="E6" i="119" l="1"/>
  <c r="D6" i="119" s="1"/>
  <c r="E16" i="119"/>
  <c r="D16" i="119" s="1"/>
  <c r="B16" i="119" s="1"/>
  <c r="E8" i="119"/>
  <c r="D8" i="119" s="1"/>
  <c r="B8" i="119" s="1"/>
  <c r="E15" i="119"/>
  <c r="D15" i="119" s="1"/>
  <c r="B15" i="119" s="1"/>
  <c r="E9" i="119"/>
  <c r="D9" i="119" s="1"/>
  <c r="B9" i="119" s="1"/>
  <c r="E11" i="119"/>
  <c r="D11" i="119" s="1"/>
  <c r="B11" i="119" s="1"/>
  <c r="E7" i="119"/>
  <c r="E12" i="119"/>
  <c r="D12" i="119" s="1"/>
  <c r="B12" i="119" s="1"/>
  <c r="E13" i="119"/>
  <c r="D13" i="119" s="1"/>
  <c r="B13" i="119" s="1"/>
  <c r="E10" i="119"/>
  <c r="D10" i="119" s="1"/>
  <c r="B10" i="119" s="1"/>
  <c r="E14" i="119"/>
  <c r="D14" i="119" s="1"/>
  <c r="B14" i="119" s="1"/>
  <c r="E17" i="119"/>
  <c r="D17" i="119" s="1"/>
  <c r="B17" i="119" s="1"/>
  <c r="D7" i="119" l="1"/>
  <c r="B7" i="119" s="1"/>
  <c r="K29" i="119"/>
  <c r="D23" i="119"/>
  <c r="E20" i="119"/>
  <c r="B6" i="119"/>
  <c r="D20" i="119" l="1"/>
  <c r="D24" i="119" s="1"/>
  <c r="D26" i="119" s="1"/>
  <c r="B19" i="119"/>
  <c r="B20" i="119"/>
  <c r="E15" i="118" l="1"/>
  <c r="D15" i="118" s="1"/>
  <c r="E16" i="118"/>
  <c r="D16" i="118" s="1"/>
  <c r="E17" i="118"/>
  <c r="D17" i="118" s="1"/>
  <c r="B17" i="118" l="1"/>
  <c r="B16" i="118"/>
  <c r="B15" i="118"/>
  <c r="E12" i="118" l="1"/>
  <c r="E6" i="118" l="1"/>
  <c r="D6" i="118" s="1"/>
  <c r="E8" i="118"/>
  <c r="D8" i="118" s="1"/>
  <c r="E13" i="118"/>
  <c r="D13" i="118" s="1"/>
  <c r="E11" i="118"/>
  <c r="D11" i="118" s="1"/>
  <c r="E10" i="118"/>
  <c r="D10" i="118" s="1"/>
  <c r="E14" i="118"/>
  <c r="D14" i="118" s="1"/>
  <c r="E9" i="118"/>
  <c r="D9" i="118" s="1"/>
  <c r="D12" i="118"/>
  <c r="E7" i="118"/>
  <c r="D23" i="118" l="1"/>
  <c r="H23" i="118" s="1"/>
  <c r="B9" i="118"/>
  <c r="E20" i="118"/>
  <c r="B14" i="118"/>
  <c r="B6" i="118"/>
  <c r="B10" i="118"/>
  <c r="B13" i="118"/>
  <c r="D7" i="118"/>
  <c r="K29" i="118"/>
  <c r="M29" i="118" s="1"/>
  <c r="M29" i="119" s="1"/>
  <c r="B11" i="118"/>
  <c r="B8" i="118"/>
  <c r="B12" i="118"/>
  <c r="D24" i="118" l="1"/>
  <c r="B7" i="118"/>
  <c r="D20" i="118"/>
  <c r="B20" i="118"/>
  <c r="B19" i="118" l="1"/>
  <c r="H24" i="118"/>
  <c r="H26" i="118" s="1"/>
  <c r="D26" i="118"/>
  <c r="K22" i="118" s="1"/>
  <c r="K25" i="118" l="1"/>
  <c r="K27" i="118" s="1"/>
  <c r="M27" i="118" s="1"/>
  <c r="D3" i="118"/>
  <c r="L23" i="118" s="1"/>
  <c r="E6" i="128" l="1"/>
  <c r="E7" i="127"/>
  <c r="E13" i="128"/>
  <c r="E7" i="124"/>
  <c r="E10" i="124"/>
  <c r="D10" i="124" s="1"/>
  <c r="B10" i="124" s="1"/>
  <c r="E14" i="123"/>
  <c r="D14" i="123" s="1"/>
  <c r="B14" i="123" s="1"/>
  <c r="E16" i="125"/>
  <c r="E12" i="127"/>
  <c r="E17" i="129"/>
  <c r="E17" i="126"/>
  <c r="E12" i="124"/>
  <c r="E10" i="125"/>
  <c r="D6" i="128"/>
  <c r="D9" i="129"/>
  <c r="B9" i="129" s="1"/>
  <c r="E6" i="126" l="1"/>
  <c r="E6" i="127"/>
  <c r="D6" i="127" s="1"/>
  <c r="E6" i="125"/>
  <c r="E6" i="123"/>
  <c r="E6" i="129"/>
  <c r="D6" i="129" s="1"/>
  <c r="E6" i="124"/>
  <c r="B6" i="128"/>
  <c r="E16" i="128"/>
  <c r="D16" i="128" s="1"/>
  <c r="B16" i="128" s="1"/>
  <c r="E17" i="127"/>
  <c r="D17" i="127" s="1"/>
  <c r="B17" i="127" s="1"/>
  <c r="E15" i="127"/>
  <c r="D15" i="127" s="1"/>
  <c r="B15" i="127" s="1"/>
  <c r="E11" i="127"/>
  <c r="D11" i="127" s="1"/>
  <c r="B11" i="127" s="1"/>
  <c r="E10" i="128"/>
  <c r="D10" i="128" s="1"/>
  <c r="B10" i="128" s="1"/>
  <c r="E9" i="124"/>
  <c r="D9" i="124" s="1"/>
  <c r="B9" i="124" s="1"/>
  <c r="E7" i="125"/>
  <c r="E15" i="129"/>
  <c r="D15" i="129" s="1"/>
  <c r="B15" i="129" s="1"/>
  <c r="E14" i="124"/>
  <c r="D14" i="124" s="1"/>
  <c r="B14" i="124" s="1"/>
  <c r="E12" i="126"/>
  <c r="D12" i="126" s="1"/>
  <c r="B12" i="126" s="1"/>
  <c r="E8" i="127"/>
  <c r="D8" i="127" s="1"/>
  <c r="B8" i="127" s="1"/>
  <c r="E11" i="123"/>
  <c r="D11" i="123" s="1"/>
  <c r="B11" i="123" s="1"/>
  <c r="D6" i="124"/>
  <c r="E12" i="125"/>
  <c r="D12" i="125" s="1"/>
  <c r="B12" i="125" s="1"/>
  <c r="D12" i="124"/>
  <c r="B12" i="124" s="1"/>
  <c r="D16" i="125"/>
  <c r="B16" i="125" s="1"/>
  <c r="E8" i="129"/>
  <c r="D8" i="129" s="1"/>
  <c r="B8" i="129" s="1"/>
  <c r="E7" i="126"/>
  <c r="E17" i="128"/>
  <c r="D17" i="128" s="1"/>
  <c r="B17" i="128" s="1"/>
  <c r="D7" i="124"/>
  <c r="B7" i="124" s="1"/>
  <c r="E8" i="124"/>
  <c r="D8" i="124" s="1"/>
  <c r="B8" i="124" s="1"/>
  <c r="E11" i="129"/>
  <c r="D11" i="129" s="1"/>
  <c r="B11" i="129" s="1"/>
  <c r="E14" i="128"/>
  <c r="D14" i="128" s="1"/>
  <c r="B14" i="128" s="1"/>
  <c r="E12" i="123"/>
  <c r="D12" i="123" s="1"/>
  <c r="B12" i="123" s="1"/>
  <c r="E15" i="128"/>
  <c r="D15" i="128" s="1"/>
  <c r="B15" i="128" s="1"/>
  <c r="E10" i="129"/>
  <c r="D10" i="129" s="1"/>
  <c r="B10" i="129" s="1"/>
  <c r="E15" i="123"/>
  <c r="D15" i="123" s="1"/>
  <c r="B15" i="123" s="1"/>
  <c r="E8" i="123"/>
  <c r="D8" i="123" s="1"/>
  <c r="B8" i="123" s="1"/>
  <c r="E9" i="125"/>
  <c r="D9" i="125" s="1"/>
  <c r="B9" i="125" s="1"/>
  <c r="E11" i="125"/>
  <c r="D11" i="125" s="1"/>
  <c r="B11" i="125" s="1"/>
  <c r="E9" i="127"/>
  <c r="D9" i="127" s="1"/>
  <c r="B9" i="127" s="1"/>
  <c r="E13" i="127"/>
  <c r="D13" i="127" s="1"/>
  <c r="B13" i="127" s="1"/>
  <c r="E8" i="125"/>
  <c r="D8" i="125" s="1"/>
  <c r="B8" i="125" s="1"/>
  <c r="E10" i="123"/>
  <c r="D10" i="123" s="1"/>
  <c r="B10" i="123" s="1"/>
  <c r="E13" i="125"/>
  <c r="D13" i="125" s="1"/>
  <c r="B13" i="125" s="1"/>
  <c r="E15" i="125"/>
  <c r="D15" i="125" s="1"/>
  <c r="B15" i="125" s="1"/>
  <c r="E14" i="129"/>
  <c r="D14" i="129" s="1"/>
  <c r="B14" i="129" s="1"/>
  <c r="D17" i="126"/>
  <c r="B17" i="126" s="1"/>
  <c r="E13" i="124"/>
  <c r="D13" i="124" s="1"/>
  <c r="B13" i="124" s="1"/>
  <c r="E8" i="128"/>
  <c r="D8" i="128" s="1"/>
  <c r="B8" i="128" s="1"/>
  <c r="E15" i="126"/>
  <c r="D15" i="126" s="1"/>
  <c r="B15" i="126" s="1"/>
  <c r="E14" i="125"/>
  <c r="D14" i="125" s="1"/>
  <c r="B14" i="125" s="1"/>
  <c r="E9" i="128"/>
  <c r="D9" i="128" s="1"/>
  <c r="B9" i="128" s="1"/>
  <c r="E7" i="123"/>
  <c r="E7" i="129"/>
  <c r="E14" i="126"/>
  <c r="D14" i="126" s="1"/>
  <c r="B14" i="126" s="1"/>
  <c r="D13" i="128"/>
  <c r="B13" i="128" s="1"/>
  <c r="E9" i="123"/>
  <c r="D9" i="123" s="1"/>
  <c r="B9" i="123" s="1"/>
  <c r="E13" i="126"/>
  <c r="D13" i="126" s="1"/>
  <c r="B13" i="126" s="1"/>
  <c r="E13" i="129"/>
  <c r="D13" i="129" s="1"/>
  <c r="B13" i="129" s="1"/>
  <c r="E12" i="129"/>
  <c r="D12" i="129" s="1"/>
  <c r="B12" i="129" s="1"/>
  <c r="E7" i="128"/>
  <c r="E11" i="126"/>
  <c r="D11" i="126" s="1"/>
  <c r="B11" i="126" s="1"/>
  <c r="D17" i="129"/>
  <c r="B17" i="129" s="1"/>
  <c r="E15" i="124"/>
  <c r="D15" i="124" s="1"/>
  <c r="B15" i="124" s="1"/>
  <c r="E16" i="124"/>
  <c r="D16" i="124" s="1"/>
  <c r="B16" i="124" s="1"/>
  <c r="D6" i="126"/>
  <c r="E16" i="129"/>
  <c r="D16" i="129" s="1"/>
  <c r="B16" i="129" s="1"/>
  <c r="E11" i="128"/>
  <c r="D11" i="128" s="1"/>
  <c r="B11" i="128" s="1"/>
  <c r="E17" i="123"/>
  <c r="D17" i="123" s="1"/>
  <c r="B17" i="123" s="1"/>
  <c r="E16" i="127"/>
  <c r="D16" i="127" s="1"/>
  <c r="B16" i="127" s="1"/>
  <c r="E11" i="124"/>
  <c r="D11" i="124" s="1"/>
  <c r="B11" i="124" s="1"/>
  <c r="E12" i="128"/>
  <c r="D12" i="128" s="1"/>
  <c r="B12" i="128" s="1"/>
  <c r="E17" i="124"/>
  <c r="D17" i="124" s="1"/>
  <c r="B17" i="124" s="1"/>
  <c r="E17" i="125"/>
  <c r="D17" i="125" s="1"/>
  <c r="B17" i="125" s="1"/>
  <c r="D6" i="125"/>
  <c r="D7" i="127"/>
  <c r="B7" i="127" s="1"/>
  <c r="D6" i="123"/>
  <c r="E13" i="123"/>
  <c r="D13" i="123" s="1"/>
  <c r="B13" i="123" s="1"/>
  <c r="E16" i="123"/>
  <c r="D16" i="123" s="1"/>
  <c r="B16" i="123" s="1"/>
  <c r="E9" i="126"/>
  <c r="D9" i="126" s="1"/>
  <c r="B9" i="126" s="1"/>
  <c r="E10" i="127"/>
  <c r="D10" i="127" s="1"/>
  <c r="B10" i="127" s="1"/>
  <c r="E14" i="127"/>
  <c r="D14" i="127" s="1"/>
  <c r="B14" i="127" s="1"/>
  <c r="E16" i="126"/>
  <c r="D16" i="126" s="1"/>
  <c r="B16" i="126" s="1"/>
  <c r="E10" i="126"/>
  <c r="D10" i="126" s="1"/>
  <c r="B10" i="126" s="1"/>
  <c r="E8" i="126"/>
  <c r="D8" i="126" s="1"/>
  <c r="B8" i="126" s="1"/>
  <c r="D10" i="125"/>
  <c r="B10" i="125" s="1"/>
  <c r="D12" i="127"/>
  <c r="B12" i="127" s="1"/>
  <c r="E20" i="129" l="1"/>
  <c r="E20" i="126"/>
  <c r="B6" i="125"/>
  <c r="B6" i="127"/>
  <c r="B19" i="127" s="1"/>
  <c r="D20" i="127"/>
  <c r="B20" i="127"/>
  <c r="K29" i="124"/>
  <c r="M29" i="124" s="1"/>
  <c r="B6" i="124"/>
  <c r="B19" i="124" s="1"/>
  <c r="B20" i="124"/>
  <c r="D20" i="124"/>
  <c r="D23" i="123"/>
  <c r="D23" i="126"/>
  <c r="K29" i="127"/>
  <c r="M29" i="127" s="1"/>
  <c r="B6" i="126"/>
  <c r="D7" i="126"/>
  <c r="B7" i="126" s="1"/>
  <c r="K29" i="126"/>
  <c r="M29" i="126" s="1"/>
  <c r="B6" i="129"/>
  <c r="D23" i="127"/>
  <c r="K29" i="128"/>
  <c r="M29" i="128" s="1"/>
  <c r="D7" i="128"/>
  <c r="D23" i="128"/>
  <c r="E20" i="128"/>
  <c r="K29" i="129"/>
  <c r="M29" i="129" s="1"/>
  <c r="D7" i="129"/>
  <c r="D24" i="129" s="1"/>
  <c r="E20" i="124"/>
  <c r="B6" i="123"/>
  <c r="D23" i="129"/>
  <c r="D23" i="125"/>
  <c r="E20" i="127"/>
  <c r="D24" i="124"/>
  <c r="E20" i="125"/>
  <c r="D24" i="127"/>
  <c r="E20" i="123"/>
  <c r="K29" i="123"/>
  <c r="M29" i="123" s="1"/>
  <c r="D7" i="123"/>
  <c r="D23" i="124"/>
  <c r="K29" i="125"/>
  <c r="M29" i="125" s="1"/>
  <c r="D7" i="125"/>
  <c r="D26" i="129" l="1"/>
  <c r="B20" i="129"/>
  <c r="B7" i="129"/>
  <c r="B19" i="129" s="1"/>
  <c r="B7" i="125"/>
  <c r="B19" i="125" s="1"/>
  <c r="D24" i="125"/>
  <c r="D26" i="125" s="1"/>
  <c r="D26" i="124"/>
  <c r="D20" i="129"/>
  <c r="B20" i="126"/>
  <c r="B20" i="123"/>
  <c r="B7" i="123"/>
  <c r="B19" i="123" s="1"/>
  <c r="D24" i="128"/>
  <c r="D26" i="128" s="1"/>
  <c r="B7" i="128"/>
  <c r="B19" i="128" s="1"/>
  <c r="D20" i="128"/>
  <c r="B20" i="128"/>
  <c r="D20" i="126"/>
  <c r="D20" i="123"/>
  <c r="B19" i="126"/>
  <c r="B20" i="125"/>
  <c r="D24" i="123"/>
  <c r="D26" i="123" s="1"/>
  <c r="D26" i="127"/>
  <c r="D20" i="125"/>
  <c r="D24" i="126"/>
  <c r="D26" i="126" s="1"/>
  <c r="E6" i="121" l="1"/>
  <c r="D6" i="121" s="1"/>
  <c r="E6" i="122"/>
  <c r="E10" i="122"/>
  <c r="D10" i="122" s="1"/>
  <c r="B10" i="122" s="1"/>
  <c r="E11" i="122"/>
  <c r="D11" i="122" s="1"/>
  <c r="B11" i="122" s="1"/>
  <c r="E8" i="122"/>
  <c r="D8" i="122" s="1"/>
  <c r="B8" i="122" s="1"/>
  <c r="E11" i="121"/>
  <c r="D11" i="121" s="1"/>
  <c r="B11" i="121" s="1"/>
  <c r="E15" i="122"/>
  <c r="D15" i="122" s="1"/>
  <c r="B15" i="122" s="1"/>
  <c r="E7" i="121"/>
  <c r="E10" i="121"/>
  <c r="D10" i="121" s="1"/>
  <c r="B10" i="121" s="1"/>
  <c r="E13" i="121"/>
  <c r="D13" i="121" s="1"/>
  <c r="B13" i="121" s="1"/>
  <c r="E17" i="121"/>
  <c r="D17" i="121" s="1"/>
  <c r="B17" i="121" s="1"/>
  <c r="E14" i="121"/>
  <c r="D14" i="121" s="1"/>
  <c r="B14" i="121" s="1"/>
  <c r="E15" i="121"/>
  <c r="D15" i="121" s="1"/>
  <c r="B15" i="121" s="1"/>
  <c r="E12" i="121"/>
  <c r="D12" i="121" s="1"/>
  <c r="B12" i="121" s="1"/>
  <c r="E16" i="121"/>
  <c r="D16" i="121" s="1"/>
  <c r="B16" i="121" s="1"/>
  <c r="E12" i="122"/>
  <c r="D12" i="122" s="1"/>
  <c r="B12" i="122" s="1"/>
  <c r="E8" i="121"/>
  <c r="D8" i="121" s="1"/>
  <c r="B8" i="121" s="1"/>
  <c r="E17" i="122"/>
  <c r="D17" i="122" s="1"/>
  <c r="B17" i="122" s="1"/>
  <c r="E9" i="122"/>
  <c r="D9" i="122" s="1"/>
  <c r="B9" i="122" s="1"/>
  <c r="D6" i="122"/>
  <c r="E16" i="122"/>
  <c r="D16" i="122" s="1"/>
  <c r="B16" i="122" s="1"/>
  <c r="E13" i="122"/>
  <c r="D13" i="122" s="1"/>
  <c r="B13" i="122" s="1"/>
  <c r="E7" i="122"/>
  <c r="E14" i="122"/>
  <c r="D14" i="122" s="1"/>
  <c r="B14" i="122" s="1"/>
  <c r="E9" i="121"/>
  <c r="D9" i="121" s="1"/>
  <c r="B9" i="121" s="1"/>
  <c r="B6" i="122" l="1"/>
  <c r="D20" i="122"/>
  <c r="D7" i="122"/>
  <c r="B7" i="122" s="1"/>
  <c r="K29" i="122"/>
  <c r="M29" i="122" s="1"/>
  <c r="E20" i="122"/>
  <c r="D7" i="121"/>
  <c r="B7" i="121" s="1"/>
  <c r="K29" i="121"/>
  <c r="M29" i="121" s="1"/>
  <c r="E20" i="121"/>
  <c r="D24" i="122"/>
  <c r="D23" i="121"/>
  <c r="D23" i="122"/>
  <c r="B6" i="121"/>
  <c r="D24" i="121" l="1"/>
  <c r="D26" i="121" s="1"/>
  <c r="B20" i="121"/>
  <c r="D20" i="121"/>
  <c r="B19" i="122"/>
  <c r="B20" i="122"/>
  <c r="D26" i="122"/>
  <c r="B19" i="121"/>
  <c r="E6" i="120" l="1"/>
  <c r="E9" i="120"/>
  <c r="D9" i="120" s="1"/>
  <c r="E17" i="120"/>
  <c r="D17" i="120" s="1"/>
  <c r="E15" i="120"/>
  <c r="D15" i="120" s="1"/>
  <c r="E10" i="120"/>
  <c r="D10" i="120" s="1"/>
  <c r="E13" i="120"/>
  <c r="D13" i="120" s="1"/>
  <c r="E16" i="120"/>
  <c r="D16" i="120" s="1"/>
  <c r="E7" i="120"/>
  <c r="D6" i="120"/>
  <c r="E12" i="120"/>
  <c r="D12" i="120" s="1"/>
  <c r="E11" i="120"/>
  <c r="D11" i="120" s="1"/>
  <c r="E8" i="120"/>
  <c r="D8" i="120" s="1"/>
  <c r="E14" i="120"/>
  <c r="D14" i="120" s="1"/>
  <c r="D23" i="120" l="1"/>
  <c r="B6" i="120"/>
  <c r="D6" i="130"/>
  <c r="B8" i="120"/>
  <c r="B8" i="130" s="1"/>
  <c r="D8" i="130"/>
  <c r="D11" i="130"/>
  <c r="B11" i="120"/>
  <c r="B11" i="130" s="1"/>
  <c r="D7" i="120"/>
  <c r="B20" i="120" s="1"/>
  <c r="K29" i="120"/>
  <c r="M29" i="120" s="1"/>
  <c r="D15" i="130"/>
  <c r="B15" i="120"/>
  <c r="B15" i="130" s="1"/>
  <c r="B10" i="120"/>
  <c r="B10" i="130" s="1"/>
  <c r="D10" i="130"/>
  <c r="B12" i="120"/>
  <c r="B12" i="130" s="1"/>
  <c r="D12" i="130"/>
  <c r="B16" i="120"/>
  <c r="B16" i="130" s="1"/>
  <c r="D16" i="130"/>
  <c r="B17" i="120"/>
  <c r="B17" i="130" s="1"/>
  <c r="D17" i="130"/>
  <c r="B14" i="120"/>
  <c r="B14" i="130" s="1"/>
  <c r="D14" i="130"/>
  <c r="B13" i="120"/>
  <c r="B13" i="130" s="1"/>
  <c r="D13" i="130"/>
  <c r="D9" i="130"/>
  <c r="B9" i="120"/>
  <c r="B9" i="130" s="1"/>
  <c r="E20" i="120"/>
  <c r="B6" i="130" l="1"/>
  <c r="D20" i="120"/>
  <c r="B7" i="120"/>
  <c r="B7" i="130" s="1"/>
  <c r="D7" i="130"/>
  <c r="D20" i="130" s="1"/>
  <c r="K22" i="130" s="1"/>
  <c r="D24" i="120"/>
  <c r="D26" i="120" s="1"/>
  <c r="B19" i="130" l="1"/>
  <c r="B20" i="130"/>
  <c r="K25" i="130"/>
  <c r="K27" i="130" s="1"/>
  <c r="M27" i="130" s="1"/>
  <c r="D3" i="130"/>
  <c r="L23" i="130" s="1"/>
  <c r="B19" i="120"/>
  <c r="K9" i="125" l="1"/>
  <c r="L9" i="125" s="1"/>
  <c r="K11" i="124"/>
  <c r="L11" i="124" s="1"/>
  <c r="K10" i="124"/>
  <c r="L10" i="124" s="1"/>
  <c r="K7" i="124"/>
  <c r="L7" i="124" s="1"/>
  <c r="K15" i="124"/>
  <c r="L15" i="124" s="1"/>
  <c r="K17" i="125"/>
  <c r="L17" i="125" s="1"/>
  <c r="K14" i="127"/>
  <c r="L14" i="127" s="1"/>
  <c r="K16" i="126"/>
  <c r="L16" i="126" s="1"/>
  <c r="K13" i="126"/>
  <c r="L13" i="126" s="1"/>
  <c r="K11" i="126"/>
  <c r="L11" i="126" s="1"/>
  <c r="K12" i="126"/>
  <c r="L12" i="126" s="1"/>
  <c r="K7" i="126"/>
  <c r="L7" i="126" s="1"/>
  <c r="K8" i="126"/>
  <c r="L8" i="126" s="1"/>
  <c r="K9" i="126"/>
  <c r="L9" i="126" s="1"/>
  <c r="K13" i="127"/>
  <c r="L13" i="127" s="1"/>
  <c r="K17" i="127"/>
  <c r="L17" i="127" s="1"/>
  <c r="K12" i="127"/>
  <c r="L12" i="127" s="1"/>
  <c r="K9" i="127"/>
  <c r="L9" i="127" s="1"/>
  <c r="K16" i="127"/>
  <c r="L16" i="127" s="1"/>
  <c r="K8" i="127"/>
  <c r="L8" i="127" s="1"/>
  <c r="K15" i="127"/>
  <c r="L15" i="127" s="1"/>
  <c r="K6" i="128"/>
  <c r="K17" i="129"/>
  <c r="L17" i="129" s="1"/>
  <c r="K17" i="128"/>
  <c r="L17" i="128" s="1"/>
  <c r="K16" i="128"/>
  <c r="L16" i="128" s="1"/>
  <c r="K14" i="128"/>
  <c r="L14" i="128" s="1"/>
  <c r="K13" i="128"/>
  <c r="L13" i="128" s="1"/>
  <c r="K15" i="128"/>
  <c r="L15" i="128" s="1"/>
  <c r="K12" i="129"/>
  <c r="L12" i="129" s="1"/>
  <c r="K12" i="128"/>
  <c r="L12" i="128" s="1"/>
  <c r="K10" i="129"/>
  <c r="L10" i="129" s="1"/>
  <c r="K7" i="129"/>
  <c r="L7" i="129" s="1"/>
  <c r="K14" i="129"/>
  <c r="L14" i="129" s="1"/>
  <c r="K6" i="129"/>
  <c r="K11" i="129"/>
  <c r="L11" i="129" s="1"/>
  <c r="K9" i="129"/>
  <c r="L9" i="129" s="1"/>
  <c r="K16" i="129"/>
  <c r="L16" i="129" s="1"/>
  <c r="K13" i="129"/>
  <c r="L13" i="129" s="1"/>
  <c r="K8" i="129"/>
  <c r="L8" i="129" s="1"/>
  <c r="K15" i="129"/>
  <c r="L15" i="129" s="1"/>
  <c r="K8" i="128"/>
  <c r="L8" i="128" s="1"/>
  <c r="K10" i="128"/>
  <c r="L10" i="128" s="1"/>
  <c r="K11" i="128"/>
  <c r="L11" i="128" s="1"/>
  <c r="K7" i="128"/>
  <c r="L7" i="128" s="1"/>
  <c r="K9" i="128"/>
  <c r="L9" i="128" s="1"/>
  <c r="K6" i="127"/>
  <c r="K7" i="127"/>
  <c r="L7" i="127" s="1"/>
  <c r="K10" i="127"/>
  <c r="L10" i="127" s="1"/>
  <c r="K11" i="127"/>
  <c r="L11" i="127" s="1"/>
  <c r="K17" i="126"/>
  <c r="L17" i="126" s="1"/>
  <c r="K10" i="126"/>
  <c r="L10" i="126" s="1"/>
  <c r="K14" i="126"/>
  <c r="L14" i="126" s="1"/>
  <c r="K15" i="126"/>
  <c r="L15" i="126" s="1"/>
  <c r="K6" i="126"/>
  <c r="K8" i="125"/>
  <c r="L8" i="125" s="1"/>
  <c r="K13" i="125"/>
  <c r="L13" i="125" s="1"/>
  <c r="K14" i="125"/>
  <c r="L14" i="125" s="1"/>
  <c r="K15" i="125"/>
  <c r="L15" i="125" s="1"/>
  <c r="K16" i="125"/>
  <c r="L16" i="125" s="1"/>
  <c r="K6" i="125"/>
  <c r="K10" i="125"/>
  <c r="L10" i="125" s="1"/>
  <c r="K11" i="125"/>
  <c r="L11" i="125" s="1"/>
  <c r="K12" i="125"/>
  <c r="L12" i="125" s="1"/>
  <c r="K7" i="125"/>
  <c r="L7" i="125" s="1"/>
  <c r="K14" i="124"/>
  <c r="L14" i="124" s="1"/>
  <c r="K12" i="124"/>
  <c r="L12" i="124" s="1"/>
  <c r="K13" i="124"/>
  <c r="L13" i="124" s="1"/>
  <c r="K6" i="124"/>
  <c r="K8" i="124"/>
  <c r="L8" i="124" s="1"/>
  <c r="K16" i="124"/>
  <c r="L16" i="124" s="1"/>
  <c r="K9" i="124"/>
  <c r="L9" i="124" s="1"/>
  <c r="K17" i="124"/>
  <c r="L17" i="124" s="1"/>
  <c r="E23" i="127" l="1"/>
  <c r="E24" i="127"/>
  <c r="H24" i="127" s="1"/>
  <c r="K20" i="126"/>
  <c r="L6" i="126"/>
  <c r="L20" i="126" s="1"/>
  <c r="K20" i="127"/>
  <c r="L6" i="127"/>
  <c r="L20" i="127" s="1"/>
  <c r="L6" i="128"/>
  <c r="L20" i="128" s="1"/>
  <c r="K20" i="128"/>
  <c r="E23" i="129"/>
  <c r="E24" i="129"/>
  <c r="H24" i="129" s="1"/>
  <c r="K20" i="124"/>
  <c r="L6" i="124"/>
  <c r="L20" i="124" s="1"/>
  <c r="L6" i="125"/>
  <c r="L20" i="125" s="1"/>
  <c r="K20" i="125"/>
  <c r="E24" i="128"/>
  <c r="H24" i="128" s="1"/>
  <c r="E23" i="128"/>
  <c r="E24" i="126"/>
  <c r="H24" i="126" s="1"/>
  <c r="E23" i="126"/>
  <c r="E24" i="124"/>
  <c r="H24" i="124" s="1"/>
  <c r="E23" i="124"/>
  <c r="E23" i="125"/>
  <c r="E24" i="125"/>
  <c r="H24" i="125" s="1"/>
  <c r="K20" i="129"/>
  <c r="L6" i="129"/>
  <c r="L20" i="129" s="1"/>
  <c r="E26" i="128" l="1"/>
  <c r="H23" i="128"/>
  <c r="H26" i="128" s="1"/>
  <c r="E26" i="125"/>
  <c r="H23" i="125"/>
  <c r="H26" i="125" s="1"/>
  <c r="E26" i="124"/>
  <c r="H23" i="124"/>
  <c r="H26" i="124" s="1"/>
  <c r="E26" i="126"/>
  <c r="H23" i="126"/>
  <c r="H26" i="126" s="1"/>
  <c r="E26" i="129"/>
  <c r="H23" i="129"/>
  <c r="H26" i="129" s="1"/>
  <c r="E26" i="127"/>
  <c r="H23" i="127"/>
  <c r="H26" i="127" s="1"/>
  <c r="K30" i="126" l="1"/>
  <c r="K22" i="126"/>
  <c r="K30" i="124"/>
  <c r="K22" i="124"/>
  <c r="K30" i="127"/>
  <c r="K22" i="127"/>
  <c r="K30" i="125"/>
  <c r="K22" i="125"/>
  <c r="K30" i="129"/>
  <c r="K22" i="129"/>
  <c r="K30" i="128"/>
  <c r="K22" i="128"/>
  <c r="K13" i="123"/>
  <c r="L13" i="123" s="1"/>
  <c r="K14" i="123"/>
  <c r="L14" i="123" s="1"/>
  <c r="K6" i="123"/>
  <c r="K8" i="123"/>
  <c r="L8" i="123" s="1"/>
  <c r="K7" i="123"/>
  <c r="L7" i="123" s="1"/>
  <c r="K12" i="123"/>
  <c r="L12" i="123" s="1"/>
  <c r="K11" i="123"/>
  <c r="L11" i="123" s="1"/>
  <c r="K16" i="123"/>
  <c r="L16" i="123" s="1"/>
  <c r="K10" i="123"/>
  <c r="L10" i="123" s="1"/>
  <c r="K15" i="123"/>
  <c r="L15" i="123" s="1"/>
  <c r="K9" i="123"/>
  <c r="L9" i="123" s="1"/>
  <c r="K17" i="123"/>
  <c r="L17" i="123" s="1"/>
  <c r="K9" i="122"/>
  <c r="L9" i="122" s="1"/>
  <c r="K17" i="122"/>
  <c r="L17" i="122" s="1"/>
  <c r="K12" i="122"/>
  <c r="L12" i="122" s="1"/>
  <c r="K13" i="122"/>
  <c r="L13" i="122" s="1"/>
  <c r="K10" i="122"/>
  <c r="L10" i="122" s="1"/>
  <c r="K7" i="122"/>
  <c r="L7" i="122" s="1"/>
  <c r="K15" i="122"/>
  <c r="L15" i="122" s="1"/>
  <c r="K6" i="122"/>
  <c r="K14" i="122"/>
  <c r="L14" i="122" s="1"/>
  <c r="K11" i="122"/>
  <c r="L11" i="122" s="1"/>
  <c r="K8" i="122"/>
  <c r="L8" i="122" s="1"/>
  <c r="K16" i="122"/>
  <c r="L16" i="122" s="1"/>
  <c r="L6" i="123" l="1"/>
  <c r="L20" i="123" s="1"/>
  <c r="K20" i="123"/>
  <c r="K25" i="127"/>
  <c r="K27" i="127" s="1"/>
  <c r="M27" i="127" s="1"/>
  <c r="D3" i="127"/>
  <c r="L23" i="127" s="1"/>
  <c r="K20" i="122"/>
  <c r="L6" i="122"/>
  <c r="L20" i="122" s="1"/>
  <c r="E24" i="122"/>
  <c r="H24" i="122" s="1"/>
  <c r="E23" i="122"/>
  <c r="D3" i="128"/>
  <c r="L23" i="128" s="1"/>
  <c r="K25" i="128"/>
  <c r="K27" i="128" s="1"/>
  <c r="M27" i="128" s="1"/>
  <c r="K25" i="124"/>
  <c r="K27" i="124" s="1"/>
  <c r="M27" i="124" s="1"/>
  <c r="D3" i="124"/>
  <c r="L23" i="124" s="1"/>
  <c r="K25" i="125"/>
  <c r="K27" i="125" s="1"/>
  <c r="M27" i="125" s="1"/>
  <c r="D3" i="125"/>
  <c r="L23" i="125" s="1"/>
  <c r="K25" i="129"/>
  <c r="K27" i="129" s="1"/>
  <c r="M27" i="129" s="1"/>
  <c r="D3" i="129"/>
  <c r="L23" i="129" s="1"/>
  <c r="K25" i="126"/>
  <c r="K27" i="126" s="1"/>
  <c r="M27" i="126" s="1"/>
  <c r="D3" i="126"/>
  <c r="L23" i="126" s="1"/>
  <c r="E23" i="123"/>
  <c r="E24" i="123"/>
  <c r="H24" i="123" s="1"/>
  <c r="E26" i="123" l="1"/>
  <c r="H23" i="123"/>
  <c r="H26" i="123" s="1"/>
  <c r="E26" i="122"/>
  <c r="H23" i="122"/>
  <c r="H26" i="122" s="1"/>
  <c r="K30" i="122" l="1"/>
  <c r="K22" i="122"/>
  <c r="K30" i="123"/>
  <c r="K22" i="123"/>
  <c r="K12" i="121"/>
  <c r="L12" i="121" s="1"/>
  <c r="K8" i="121"/>
  <c r="L8" i="121" s="1"/>
  <c r="K16" i="121"/>
  <c r="L16" i="121" s="1"/>
  <c r="K14" i="121"/>
  <c r="L14" i="121" s="1"/>
  <c r="K15" i="121"/>
  <c r="L15" i="121" s="1"/>
  <c r="K13" i="121"/>
  <c r="L13" i="121" s="1"/>
  <c r="K10" i="121"/>
  <c r="L10" i="121" s="1"/>
  <c r="K7" i="121"/>
  <c r="L7" i="121" s="1"/>
  <c r="K9" i="121"/>
  <c r="L9" i="121" s="1"/>
  <c r="K17" i="121"/>
  <c r="L17" i="121" s="1"/>
  <c r="K6" i="121"/>
  <c r="K11" i="121"/>
  <c r="L11" i="121" s="1"/>
  <c r="K9" i="120"/>
  <c r="L9" i="120" s="1"/>
  <c r="K9" i="119"/>
  <c r="K20" i="121" l="1"/>
  <c r="L6" i="121"/>
  <c r="L20" i="121" s="1"/>
  <c r="E24" i="121"/>
  <c r="H24" i="121" s="1"/>
  <c r="E23" i="121"/>
  <c r="D3" i="123"/>
  <c r="L23" i="123" s="1"/>
  <c r="K25" i="123"/>
  <c r="K27" i="123" s="1"/>
  <c r="M27" i="123" s="1"/>
  <c r="K9" i="130"/>
  <c r="L9" i="119"/>
  <c r="D3" i="122"/>
  <c r="L23" i="122" s="1"/>
  <c r="K25" i="122"/>
  <c r="K27" i="122" s="1"/>
  <c r="M27" i="122" s="1"/>
  <c r="E26" i="121" l="1"/>
  <c r="H23" i="121"/>
  <c r="H26" i="121" s="1"/>
  <c r="K30" i="121" l="1"/>
  <c r="K22" i="121"/>
  <c r="K17" i="120"/>
  <c r="L17" i="120" s="1"/>
  <c r="K16" i="120"/>
  <c r="L16" i="120" s="1"/>
  <c r="K6" i="120"/>
  <c r="K15" i="120"/>
  <c r="L15" i="120" s="1"/>
  <c r="K13" i="120"/>
  <c r="L13" i="120" s="1"/>
  <c r="K8" i="120"/>
  <c r="L8" i="120" s="1"/>
  <c r="K14" i="120"/>
  <c r="L14" i="120" s="1"/>
  <c r="K7" i="120"/>
  <c r="L7" i="120" s="1"/>
  <c r="K10" i="120"/>
  <c r="L10" i="120" s="1"/>
  <c r="K12" i="120"/>
  <c r="L12" i="120" s="1"/>
  <c r="K11" i="120"/>
  <c r="L11" i="120" s="1"/>
  <c r="K20" i="120" l="1"/>
  <c r="L6" i="120"/>
  <c r="L20" i="120" s="1"/>
  <c r="E23" i="120"/>
  <c r="E24" i="120"/>
  <c r="H24" i="120" s="1"/>
  <c r="D3" i="121"/>
  <c r="L23" i="121" s="1"/>
  <c r="K25" i="121"/>
  <c r="K27" i="121" s="1"/>
  <c r="M27" i="121" s="1"/>
  <c r="E26" i="120" l="1"/>
  <c r="H23" i="120"/>
  <c r="H26" i="120" s="1"/>
  <c r="K30" i="120" l="1"/>
  <c r="K22" i="120"/>
  <c r="K15" i="119"/>
  <c r="K14" i="119"/>
  <c r="K13" i="119"/>
  <c r="K12" i="119"/>
  <c r="K11" i="119"/>
  <c r="K6" i="119"/>
  <c r="K10" i="119"/>
  <c r="K17" i="119"/>
  <c r="K8" i="119"/>
  <c r="K16" i="119"/>
  <c r="K7" i="119"/>
  <c r="L16" i="119" l="1"/>
  <c r="K16" i="130"/>
  <c r="L6" i="119"/>
  <c r="K20" i="119"/>
  <c r="K6" i="130"/>
  <c r="K11" i="130"/>
  <c r="L11" i="119"/>
  <c r="L7" i="119"/>
  <c r="K7" i="130"/>
  <c r="L12" i="119"/>
  <c r="K12" i="130"/>
  <c r="L13" i="119"/>
  <c r="K13" i="130"/>
  <c r="K14" i="130"/>
  <c r="L14" i="119"/>
  <c r="K15" i="130"/>
  <c r="L15" i="119"/>
  <c r="K17" i="130"/>
  <c r="L17" i="119"/>
  <c r="K25" i="120"/>
  <c r="K27" i="120" s="1"/>
  <c r="M27" i="120" s="1"/>
  <c r="D3" i="120"/>
  <c r="L23" i="120" s="1"/>
  <c r="L8" i="119"/>
  <c r="K8" i="130"/>
  <c r="L10" i="119"/>
  <c r="K10" i="130"/>
  <c r="K20" i="130" l="1"/>
  <c r="L20" i="119"/>
  <c r="E23" i="119"/>
  <c r="E24" i="119"/>
  <c r="H24" i="119" s="1"/>
  <c r="E26" i="119" l="1"/>
  <c r="H23" i="119"/>
  <c r="H26" i="119" s="1"/>
  <c r="K30" i="119" l="1"/>
  <c r="M30" i="119" s="1"/>
  <c r="K22" i="119"/>
  <c r="D3" i="119" l="1"/>
  <c r="L23" i="119" s="1"/>
  <c r="K25" i="119"/>
  <c r="K27" i="119" s="1"/>
  <c r="M30" i="128"/>
  <c r="M30" i="129"/>
  <c r="M30" i="127"/>
  <c r="M30" i="124"/>
  <c r="M30" i="126"/>
  <c r="M30" i="125"/>
  <c r="M30" i="122"/>
  <c r="M30" i="123"/>
  <c r="M30" i="121"/>
  <c r="M30" i="1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6" authorId="0" shapeId="0" xr:uid="{39F554BA-6D03-468B-95FC-E4B6DABDB0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JANV 24
MAI 24
SEPT 24</t>
        </r>
      </text>
    </comment>
  </commentList>
</comments>
</file>

<file path=xl/sharedStrings.xml><?xml version="1.0" encoding="utf-8"?>
<sst xmlns="http://schemas.openxmlformats.org/spreadsheetml/2006/main" count="1459" uniqueCount="61">
  <si>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</si>
  <si>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</si>
  <si>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</si>
  <si>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</si>
  <si>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</si>
  <si>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</si>
  <si>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</si>
  <si>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</si>
  <si>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AS201621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</si>
  <si>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</si>
  <si>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</si>
  <si>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</si>
  <si>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</si>
  <si>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</si>
  <si>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</si>
  <si>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</si>
  <si>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</si>
  <si>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</si>
  <si>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AS201613</t>
  </si>
  <si>
    <t>AS201647</t>
  </si>
  <si>
    <t>AS201626</t>
  </si>
  <si>
    <t>AS201649</t>
  </si>
  <si>
    <t>PETIT LOT</t>
  </si>
  <si>
    <t>NUMERO CHEQUE</t>
  </si>
  <si>
    <t>AS201602</t>
  </si>
  <si>
    <t>AS201605</t>
  </si>
  <si>
    <t>AS201611</t>
  </si>
  <si>
    <t>AS201633</t>
  </si>
  <si>
    <t>RELIQUAT</t>
  </si>
  <si>
    <t>CUMUL</t>
  </si>
  <si>
    <t>TONIINE</t>
  </si>
  <si>
    <t xml:space="preserve">TAUX TONTINE </t>
  </si>
  <si>
    <t>LOT PRINCIPAL</t>
  </si>
  <si>
    <t>NBRE PART</t>
  </si>
  <si>
    <t>AS201608</t>
  </si>
  <si>
    <t>AS201624</t>
  </si>
  <si>
    <t>TOTAL PART</t>
  </si>
  <si>
    <t>NBRE ADHERENT</t>
  </si>
  <si>
    <t>NBREPART</t>
  </si>
  <si>
    <t>MODE VERSEMENT</t>
  </si>
  <si>
    <t>MONTANT A REMBOURSER PETIT LOT</t>
  </si>
  <si>
    <t>MODE VERSEMENTLOT PRINCIPAL</t>
  </si>
  <si>
    <t>MONTANT  LOT PRINCIPAL</t>
  </si>
  <si>
    <t>PART VENDUE</t>
  </si>
  <si>
    <t>ECHEC TONTINE MOIS</t>
  </si>
  <si>
    <t>ECHEC REMBOURSEMENT MOIS</t>
  </si>
  <si>
    <t>TONTINE + REMB + INTERET VENTE+RELIQUAT</t>
  </si>
  <si>
    <t>AS201648</t>
  </si>
  <si>
    <t>AS201641</t>
  </si>
  <si>
    <t>AS201654</t>
  </si>
  <si>
    <t>RECAPITULATION</t>
  </si>
  <si>
    <t>MOIS OBTENTION</t>
  </si>
  <si>
    <t>MOIS OBTENTION 2</t>
  </si>
  <si>
    <t>REPARTITION INTERET</t>
  </si>
  <si>
    <t>INTERET A REPARTIR</t>
  </si>
  <si>
    <t>INTERET/ADHERENT</t>
  </si>
  <si>
    <t>INTERET PERCU PAR ADHERENT</t>
  </si>
  <si>
    <t>BILAN MI PARCOURS TONTINE 75 000</t>
  </si>
  <si>
    <t>MONTANT  LOT PRINCIPAL PERCU</t>
  </si>
  <si>
    <t>AS201658</t>
  </si>
  <si>
    <t>AS201619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</si>
</sst>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;@"/>
    <numFmt numFmtId="165" formatCode="[$-40C]mmmm\-yy;@"/>
    <numFmt numFmtId="166" formatCode="[$-40C]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4"/>
      <color rgb="FF0070C0"/>
      <name val="Britannic Bold"/>
      <family val="2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1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7" fillId="0" borderId="0" xfId="0" applyNumberFormat="1" applyFont="1"/>
    <xf numFmtId="3" fontId="6" fillId="0" borderId="0" xfId="0" applyNumberFormat="1" applyFont="1"/>
    <xf numFmtId="166" fontId="8" fillId="0" borderId="1" xfId="0" applyNumberFormat="1" applyFont="1" applyBorder="1"/>
    <xf numFmtId="3" fontId="11" fillId="0" borderId="0" xfId="0" applyNumberFormat="1" applyFont="1"/>
    <xf numFmtId="0" fontId="1" fillId="2" borderId="0" xfId="0" applyFont="1" applyFill="1"/>
    <xf numFmtId="3" fontId="1" fillId="2" borderId="0" xfId="0" applyNumberFormat="1" applyFont="1" applyFill="1" applyAlignment="1">
      <alignment wrapText="1"/>
    </xf>
    <xf numFmtId="166" fontId="8" fillId="0" borderId="0" xfId="0" applyNumberFormat="1" applyFont="1"/>
    <xf numFmtId="0" fontId="1" fillId="0" borderId="2" xfId="0" applyFont="1" applyBorder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</row>
        <row r="46">
          <cell r="BA46">
            <v>275000</v>
          </cell>
          <cell r="BB46" t="str">
            <v>ESPECES EN CAISSE</v>
          </cell>
        </row>
        <row r="47">
          <cell r="C47" t="str">
            <v>BANQUE</v>
          </cell>
          <cell r="G47" t="str">
            <v>ESPECES</v>
          </cell>
          <cell r="BA47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P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M7">
            <v>2000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J8">
            <v>100000</v>
          </cell>
          <cell r="AM8">
            <v>3000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E9">
            <v>80000</v>
          </cell>
          <cell r="AF9" t="str">
            <v>BANQUE</v>
          </cell>
          <cell r="AK9">
            <v>200000</v>
          </cell>
          <cell r="AN9">
            <v>7500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1320000</v>
          </cell>
          <cell r="AZ9">
            <v>1320000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150375</v>
          </cell>
          <cell r="Y11">
            <v>150000</v>
          </cell>
          <cell r="AK11">
            <v>200000</v>
          </cell>
          <cell r="AN11">
            <v>4500</v>
          </cell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910000</v>
          </cell>
          <cell r="Y12">
            <v>250000</v>
          </cell>
          <cell r="AQ12">
            <v>0</v>
          </cell>
          <cell r="AR12">
            <v>0</v>
          </cell>
          <cell r="AS12">
            <v>685000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175000</v>
          </cell>
          <cell r="W15">
            <v>25000</v>
          </cell>
          <cell r="Y15">
            <v>150000</v>
          </cell>
          <cell r="AQ15">
            <v>0</v>
          </cell>
          <cell r="AR15">
            <v>0</v>
          </cell>
          <cell r="AS15">
            <v>50000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260000</v>
          </cell>
          <cell r="Y17">
            <v>225000</v>
          </cell>
          <cell r="AQ17">
            <v>0</v>
          </cell>
          <cell r="AR17">
            <v>0</v>
          </cell>
          <cell r="AS17">
            <v>60000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Z18">
            <v>500000</v>
          </cell>
          <cell r="AA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470000</v>
          </cell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C19">
            <v>26000</v>
          </cell>
          <cell r="AF19" t="str">
            <v>BANQUE</v>
          </cell>
          <cell r="AJ19">
            <v>53000</v>
          </cell>
          <cell r="AM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U22">
            <v>325000</v>
          </cell>
          <cell r="Y22">
            <v>325000</v>
          </cell>
          <cell r="AD22">
            <v>45000</v>
          </cell>
          <cell r="AE22">
            <v>85000</v>
          </cell>
          <cell r="AF22" t="str">
            <v>BANQUE</v>
          </cell>
          <cell r="AJ22">
            <v>50000</v>
          </cell>
          <cell r="AM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1017500</v>
          </cell>
          <cell r="Y24">
            <v>125000</v>
          </cell>
          <cell r="AQ24">
            <v>0</v>
          </cell>
          <cell r="AR24">
            <v>0</v>
          </cell>
          <cell r="AS24">
            <v>917500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U25">
            <v>260000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U27">
            <v>250000</v>
          </cell>
          <cell r="Y27">
            <v>250000</v>
          </cell>
          <cell r="AC27">
            <v>26000</v>
          </cell>
          <cell r="AF27" t="str">
            <v>BANQUE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U28">
            <v>100000</v>
          </cell>
          <cell r="Y28">
            <v>50000</v>
          </cell>
          <cell r="AC28">
            <v>27000</v>
          </cell>
          <cell r="AF28" t="str">
            <v>BANQUE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50000</v>
          </cell>
          <cell r="Y31">
            <v>50000</v>
          </cell>
          <cell r="AI31">
            <v>40000</v>
          </cell>
          <cell r="AL31">
            <v>1000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E34">
            <v>70000</v>
          </cell>
          <cell r="AF34" t="str">
            <v>BANQUE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100000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</row>
        <row r="46">
          <cell r="BA46">
            <v>300000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</row>
        <row r="46">
          <cell r="BA46">
            <v>636000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0</v>
          </cell>
          <cell r="Y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458500</v>
          </cell>
          <cell r="V9">
            <v>5000</v>
          </cell>
          <cell r="Y9">
            <v>250000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U10">
            <v>92000</v>
          </cell>
          <cell r="Y10">
            <v>50000</v>
          </cell>
          <cell r="AI10">
            <v>30000</v>
          </cell>
          <cell r="AL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U15">
            <v>176000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120000</v>
          </cell>
          <cell r="Y16">
            <v>125000</v>
          </cell>
          <cell r="AQ16">
            <v>0</v>
          </cell>
          <cell r="AR16">
            <v>0</v>
          </cell>
          <cell r="AS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150000</v>
          </cell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U17">
            <v>313125</v>
          </cell>
          <cell r="Y17">
            <v>225000</v>
          </cell>
          <cell r="AE17">
            <v>30000</v>
          </cell>
          <cell r="AF17" t="str">
            <v>BANQUE</v>
          </cell>
          <cell r="AJ17">
            <v>50000</v>
          </cell>
          <cell r="AK17">
            <v>100000</v>
          </cell>
          <cell r="AM17">
            <v>1000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C18">
            <v>20000</v>
          </cell>
          <cell r="AQ18">
            <v>0</v>
          </cell>
          <cell r="AR18">
            <v>0</v>
          </cell>
          <cell r="AS18">
            <v>25000</v>
          </cell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U19">
            <v>440500</v>
          </cell>
          <cell r="Y19">
            <v>225000</v>
          </cell>
          <cell r="AD19">
            <v>7500</v>
          </cell>
          <cell r="AF19" t="str">
            <v>BANQUE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</row>
        <row r="20">
          <cell r="A20" t="str">
            <v>AS201620</v>
          </cell>
          <cell r="B20" t="str">
            <v>LOWE JEAN</v>
          </cell>
          <cell r="G20">
            <v>200000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Z21">
            <v>300000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291000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C23">
            <v>10000</v>
          </cell>
          <cell r="AQ23">
            <v>0</v>
          </cell>
          <cell r="AR23">
            <v>0</v>
          </cell>
          <cell r="AS23">
            <v>25000</v>
          </cell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193000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E26">
            <v>40000</v>
          </cell>
          <cell r="AF26" t="str">
            <v>BANQUE</v>
          </cell>
          <cell r="AJ26">
            <v>79625</v>
          </cell>
          <cell r="AK26">
            <v>200000</v>
          </cell>
          <cell r="AM26">
            <v>1000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U27">
            <v>453000</v>
          </cell>
          <cell r="Y27">
            <v>250000</v>
          </cell>
          <cell r="AI27">
            <v>32000</v>
          </cell>
          <cell r="AL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W27">
            <v>32000</v>
          </cell>
          <cell r="AX27">
            <v>0</v>
          </cell>
          <cell r="AY27">
            <v>0</v>
          </cell>
          <cell r="AZ27">
            <v>32000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U31">
            <v>133000</v>
          </cell>
          <cell r="Y31">
            <v>50000</v>
          </cell>
          <cell r="AI31">
            <v>83000</v>
          </cell>
          <cell r="AL31">
            <v>6000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83000</v>
          </cell>
          <cell r="AX31">
            <v>0</v>
          </cell>
          <cell r="AY31">
            <v>0</v>
          </cell>
          <cell r="AZ31">
            <v>83000</v>
          </cell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50000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50000</v>
          </cell>
          <cell r="AY35">
            <v>0</v>
          </cell>
          <cell r="AZ35">
            <v>50000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1000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47000</v>
          </cell>
          <cell r="Y37">
            <v>50000</v>
          </cell>
          <cell r="AQ37">
            <v>0</v>
          </cell>
          <cell r="AR37">
            <v>0</v>
          </cell>
          <cell r="AS37">
            <v>22000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C39">
            <v>40000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53000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</row>
        <row r="46">
          <cell r="BA46">
            <v>1145500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1145500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45000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U9">
            <v>452000</v>
          </cell>
          <cell r="Y9">
            <v>250000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U10">
            <v>82500</v>
          </cell>
          <cell r="Y10">
            <v>50000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100000</v>
          </cell>
          <cell r="AN11">
            <v>1000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I12">
            <v>53000</v>
          </cell>
          <cell r="AL12">
            <v>1000</v>
          </cell>
          <cell r="AQ12">
            <v>0</v>
          </cell>
          <cell r="AR12">
            <v>0</v>
          </cell>
          <cell r="AS12">
            <v>35000</v>
          </cell>
          <cell r="AW12">
            <v>53000</v>
          </cell>
          <cell r="AX12">
            <v>0</v>
          </cell>
          <cell r="AY12">
            <v>0</v>
          </cell>
          <cell r="AZ12">
            <v>53000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C13">
            <v>5500</v>
          </cell>
          <cell r="AQ13">
            <v>0</v>
          </cell>
          <cell r="AR13">
            <v>0</v>
          </cell>
          <cell r="AS13">
            <v>25000</v>
          </cell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U17">
            <v>402000</v>
          </cell>
          <cell r="Y17">
            <v>225000</v>
          </cell>
          <cell r="AC17">
            <v>4500</v>
          </cell>
          <cell r="AJ17">
            <v>50000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K18">
            <v>100000</v>
          </cell>
          <cell r="AN18">
            <v>2000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U19">
            <v>326000</v>
          </cell>
          <cell r="Y19">
            <v>225000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53000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U25">
            <v>455500</v>
          </cell>
          <cell r="Y25">
            <v>250000</v>
          </cell>
          <cell r="AE25">
            <v>10000</v>
          </cell>
          <cell r="AK25">
            <v>200000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U26">
            <v>523625</v>
          </cell>
          <cell r="Y26">
            <v>225000</v>
          </cell>
          <cell r="AJ26">
            <v>119125</v>
          </cell>
          <cell r="AK26">
            <v>130500</v>
          </cell>
          <cell r="AM26">
            <v>2000</v>
          </cell>
          <cell r="AN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U27">
            <v>285000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D30">
            <v>7500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U31">
            <v>139000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C32">
            <v>5500</v>
          </cell>
          <cell r="AE32">
            <v>15000</v>
          </cell>
          <cell r="AQ32">
            <v>0</v>
          </cell>
          <cell r="AR32">
            <v>0</v>
          </cell>
          <cell r="AS32">
            <v>25000</v>
          </cell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53000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U35">
            <v>176000</v>
          </cell>
          <cell r="Y35">
            <v>125000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U36">
            <v>251000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J39">
            <v>100000</v>
          </cell>
          <cell r="AM39">
            <v>2000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</row>
        <row r="46">
          <cell r="BA46">
            <v>1204125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1204125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I9">
            <v>39500</v>
          </cell>
          <cell r="AL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81000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U11">
            <v>357500</v>
          </cell>
          <cell r="Y11">
            <v>150000</v>
          </cell>
          <cell r="AI11">
            <v>30000</v>
          </cell>
          <cell r="AK11">
            <v>200000</v>
          </cell>
          <cell r="AL11">
            <v>1000</v>
          </cell>
          <cell r="AN11">
            <v>7500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U12">
            <v>518000</v>
          </cell>
          <cell r="Y12">
            <v>250000</v>
          </cell>
          <cell r="AI12">
            <v>30000</v>
          </cell>
          <cell r="AK12">
            <v>200000</v>
          </cell>
          <cell r="AL12">
            <v>1000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U17">
            <v>301000</v>
          </cell>
          <cell r="Y17">
            <v>225000</v>
          </cell>
          <cell r="AJ17">
            <v>100000</v>
          </cell>
          <cell r="AM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U18">
            <v>256000</v>
          </cell>
          <cell r="Y18">
            <v>150000</v>
          </cell>
          <cell r="AK18">
            <v>102000</v>
          </cell>
          <cell r="AN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J19">
            <v>138500</v>
          </cell>
          <cell r="AM19">
            <v>2500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</row>
        <row r="20">
          <cell r="A20" t="str">
            <v>AS201620</v>
          </cell>
          <cell r="B20" t="str">
            <v>LOWE JEAN</v>
          </cell>
          <cell r="G20">
            <v>100000</v>
          </cell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Y22">
            <v>325000</v>
          </cell>
          <cell r="Z22">
            <v>1000000</v>
          </cell>
          <cell r="AA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K25">
            <v>200000</v>
          </cell>
          <cell r="AN25">
            <v>6500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U26">
            <v>497625</v>
          </cell>
          <cell r="Y26">
            <v>225000</v>
          </cell>
          <cell r="AJ26">
            <v>121125</v>
          </cell>
          <cell r="AK26">
            <v>132500</v>
          </cell>
          <cell r="AM26">
            <v>4000</v>
          </cell>
          <cell r="AN26">
            <v>4000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351000</v>
          </cell>
          <cell r="Y27">
            <v>250000</v>
          </cell>
          <cell r="AK27">
            <v>100000</v>
          </cell>
          <cell r="AN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Y28">
            <v>50000</v>
          </cell>
          <cell r="Z28">
            <v>1000000</v>
          </cell>
          <cell r="AA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Y32">
            <v>250000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181000</v>
          </cell>
          <cell r="Y34">
            <v>150000</v>
          </cell>
          <cell r="AC34">
            <v>3500</v>
          </cell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C35">
            <v>2500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C41">
            <v>3500</v>
          </cell>
          <cell r="AE41">
            <v>10000</v>
          </cell>
          <cell r="AQ41">
            <v>0</v>
          </cell>
          <cell r="AR41">
            <v>0</v>
          </cell>
          <cell r="AS41">
            <v>25000</v>
          </cell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</row>
        <row r="46">
          <cell r="BA46">
            <v>1161500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U9">
            <v>291500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26000</v>
          </cell>
          <cell r="AL10">
            <v>500</v>
          </cell>
          <cell r="AQ10">
            <v>0</v>
          </cell>
          <cell r="AR10">
            <v>0</v>
          </cell>
          <cell r="AS10">
            <v>25000</v>
          </cell>
          <cell r="AW10">
            <v>26000</v>
          </cell>
          <cell r="AX10">
            <v>0</v>
          </cell>
          <cell r="AY10">
            <v>0</v>
          </cell>
          <cell r="AZ10">
            <v>26000</v>
          </cell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U11">
            <v>388500</v>
          </cell>
          <cell r="Y11">
            <v>150000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U12">
            <v>497500</v>
          </cell>
          <cell r="Y12">
            <v>250000</v>
          </cell>
          <cell r="AI12">
            <v>30000</v>
          </cell>
          <cell r="AK12">
            <v>200000</v>
          </cell>
          <cell r="AL12">
            <v>500</v>
          </cell>
          <cell r="AN12">
            <v>6500</v>
          </cell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100000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C15">
            <v>2500</v>
          </cell>
          <cell r="AK15">
            <v>100000</v>
          </cell>
          <cell r="AN15">
            <v>2000</v>
          </cell>
          <cell r="AQ15">
            <v>0</v>
          </cell>
          <cell r="AR15">
            <v>0</v>
          </cell>
          <cell r="AS15">
            <v>25000</v>
          </cell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U17">
            <v>342000</v>
          </cell>
          <cell r="Y17">
            <v>225000</v>
          </cell>
          <cell r="Z17">
            <v>500000</v>
          </cell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W17">
            <v>0</v>
          </cell>
          <cell r="AX17">
            <v>0</v>
          </cell>
          <cell r="AY17">
            <v>0</v>
          </cell>
          <cell r="AZ17">
            <v>485000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U18">
            <v>756000</v>
          </cell>
          <cell r="Y18">
            <v>150000</v>
          </cell>
          <cell r="Z18">
            <v>500000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U19">
            <v>375000</v>
          </cell>
          <cell r="Y19">
            <v>225000</v>
          </cell>
          <cell r="AJ19">
            <v>50000</v>
          </cell>
          <cell r="AK19">
            <v>79500</v>
          </cell>
          <cell r="AM19">
            <v>1000</v>
          </cell>
          <cell r="AN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U22">
            <v>631500</v>
          </cell>
          <cell r="Y22">
            <v>325000</v>
          </cell>
          <cell r="AE22">
            <v>60000</v>
          </cell>
          <cell r="AJ22">
            <v>100000</v>
          </cell>
          <cell r="AK22">
            <v>100000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C25">
            <v>2500</v>
          </cell>
          <cell r="AK25">
            <v>200000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U26">
            <v>501625</v>
          </cell>
          <cell r="Y26">
            <v>225000</v>
          </cell>
          <cell r="AJ26">
            <v>121500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343000</v>
          </cell>
          <cell r="Y27">
            <v>250000</v>
          </cell>
          <cell r="AK27">
            <v>200000</v>
          </cell>
          <cell r="AN27">
            <v>3500</v>
          </cell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D35">
            <v>7500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C36">
            <v>2500</v>
          </cell>
          <cell r="AE36">
            <v>65000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53000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</row>
        <row r="46">
          <cell r="BA46">
            <v>525500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C7">
            <v>2500</v>
          </cell>
          <cell r="AQ7">
            <v>0</v>
          </cell>
          <cell r="AR7">
            <v>0</v>
          </cell>
          <cell r="AS7">
            <v>25000</v>
          </cell>
          <cell r="AW7">
            <v>297500</v>
          </cell>
          <cell r="AX7">
            <v>0</v>
          </cell>
          <cell r="AY7">
            <v>0</v>
          </cell>
          <cell r="AZ7">
            <v>297500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453500</v>
          </cell>
          <cell r="Y9">
            <v>250000</v>
          </cell>
          <cell r="AE9">
            <v>10000</v>
          </cell>
          <cell r="AI9">
            <v>30000</v>
          </cell>
          <cell r="AK9">
            <v>100000</v>
          </cell>
          <cell r="AL9">
            <v>500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U10">
            <v>77000</v>
          </cell>
          <cell r="Y10">
            <v>50000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400000</v>
          </cell>
          <cell r="Y11">
            <v>150000</v>
          </cell>
          <cell r="AQ11">
            <v>0</v>
          </cell>
          <cell r="AR11">
            <v>0</v>
          </cell>
          <cell r="AS11">
            <v>275000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U12">
            <v>1499500</v>
          </cell>
          <cell r="Y12">
            <v>250000</v>
          </cell>
          <cell r="Z12">
            <v>1000000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U15">
            <v>251000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C16">
            <v>3500</v>
          </cell>
          <cell r="AQ16">
            <v>0</v>
          </cell>
          <cell r="AR16">
            <v>0</v>
          </cell>
          <cell r="AS16">
            <v>25000</v>
          </cell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Y17">
            <v>225000</v>
          </cell>
          <cell r="AK17">
            <v>232000</v>
          </cell>
          <cell r="AN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U19">
            <v>370000</v>
          </cell>
          <cell r="Y19">
            <v>225000</v>
          </cell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U22">
            <v>534500</v>
          </cell>
          <cell r="Y22">
            <v>325000</v>
          </cell>
          <cell r="AJ22">
            <v>200000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U25">
            <v>466000</v>
          </cell>
          <cell r="Y25">
            <v>250000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U26">
            <v>361000</v>
          </cell>
          <cell r="Y26">
            <v>225000</v>
          </cell>
          <cell r="AD26">
            <v>15000</v>
          </cell>
          <cell r="AJ26">
            <v>51500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U27">
            <v>453500</v>
          </cell>
          <cell r="Y27">
            <v>250000</v>
          </cell>
          <cell r="AE27">
            <v>15000</v>
          </cell>
          <cell r="AK27">
            <v>100000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300000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185000</v>
          </cell>
          <cell r="Y34">
            <v>150000</v>
          </cell>
          <cell r="AI34">
            <v>30000</v>
          </cell>
          <cell r="AL34">
            <v>500</v>
          </cell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200000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</row>
        <row r="46">
          <cell r="BA46">
            <v>906500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C8">
            <v>2500</v>
          </cell>
          <cell r="AF8" t="str">
            <v>BANQUE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U9">
            <v>382000</v>
          </cell>
          <cell r="Y9">
            <v>250000</v>
          </cell>
          <cell r="AK9">
            <v>174500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U10">
            <v>111000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200000</v>
          </cell>
          <cell r="AN11">
            <v>3500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361000</v>
          </cell>
          <cell r="Y12">
            <v>250000</v>
          </cell>
          <cell r="AE12">
            <v>15000</v>
          </cell>
          <cell r="AF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950000</v>
          </cell>
          <cell r="Y15">
            <v>150000</v>
          </cell>
          <cell r="AE15">
            <v>15000</v>
          </cell>
          <cell r="AF15" t="str">
            <v>BANQUE</v>
          </cell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D16">
            <v>8500</v>
          </cell>
          <cell r="AF16" t="str">
            <v>BANQUE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U17">
            <v>484000</v>
          </cell>
          <cell r="Y17">
            <v>225000</v>
          </cell>
          <cell r="AJ17">
            <v>100000</v>
          </cell>
          <cell r="AM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U19">
            <v>671500</v>
          </cell>
          <cell r="Y19">
            <v>225000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U22">
            <v>732000</v>
          </cell>
          <cell r="Y22">
            <v>325000</v>
          </cell>
          <cell r="AJ22">
            <v>200000</v>
          </cell>
          <cell r="AK22">
            <v>100000</v>
          </cell>
          <cell r="AM22">
            <v>2000</v>
          </cell>
          <cell r="AN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U25">
            <v>462000</v>
          </cell>
          <cell r="Y25">
            <v>250000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U26">
            <v>292500</v>
          </cell>
          <cell r="Y26">
            <v>225000</v>
          </cell>
          <cell r="AJ26">
            <v>100000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U27">
            <v>350000</v>
          </cell>
          <cell r="Y27">
            <v>250000</v>
          </cell>
          <cell r="AK27">
            <v>200000</v>
          </cell>
          <cell r="AN27">
            <v>5000</v>
          </cell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C30">
            <v>2500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K32">
            <v>200000</v>
          </cell>
          <cell r="AN32">
            <v>3500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Y35">
            <v>125000</v>
          </cell>
          <cell r="AJ35">
            <v>200000</v>
          </cell>
          <cell r="AM35">
            <v>2500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232000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</row>
        <row r="46">
          <cell r="BA46">
            <v>1024500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-52500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Y8">
            <v>125000</v>
          </cell>
          <cell r="Z8">
            <v>500000</v>
          </cell>
          <cell r="AA8" t="str">
            <v>BANQUE</v>
          </cell>
          <cell r="AD8">
            <v>7500</v>
          </cell>
          <cell r="AI8">
            <v>50000</v>
          </cell>
          <cell r="AJ8">
            <v>200000</v>
          </cell>
          <cell r="AL8">
            <v>500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U9">
            <v>426500</v>
          </cell>
          <cell r="Y9">
            <v>250000</v>
          </cell>
          <cell r="AI9">
            <v>50000</v>
          </cell>
          <cell r="AK9">
            <v>200000</v>
          </cell>
          <cell r="AL9">
            <v>500</v>
          </cell>
          <cell r="AN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50000</v>
          </cell>
          <cell r="AL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U11">
            <v>356500</v>
          </cell>
          <cell r="Y11">
            <v>150000</v>
          </cell>
          <cell r="AI11">
            <v>50000</v>
          </cell>
          <cell r="AK11">
            <v>159500</v>
          </cell>
          <cell r="AL11">
            <v>500</v>
          </cell>
          <cell r="AN11">
            <v>6000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Y12">
            <v>250000</v>
          </cell>
          <cell r="Z12">
            <v>150000</v>
          </cell>
          <cell r="AQ12">
            <v>0</v>
          </cell>
          <cell r="AR12">
            <v>0</v>
          </cell>
          <cell r="AS12">
            <v>48500</v>
          </cell>
          <cell r="AW12">
            <v>0</v>
          </cell>
          <cell r="AX12">
            <v>0</v>
          </cell>
          <cell r="AY12">
            <v>0</v>
          </cell>
          <cell r="AZ12">
            <v>148500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22000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Y17">
            <v>225000</v>
          </cell>
          <cell r="Z17">
            <v>400000</v>
          </cell>
          <cell r="AA17" t="str">
            <v>BANQUE</v>
          </cell>
          <cell r="AI17">
            <v>50000</v>
          </cell>
          <cell r="AJ17">
            <v>100000</v>
          </cell>
          <cell r="AL17">
            <v>500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I18">
            <v>50000</v>
          </cell>
          <cell r="AK18">
            <v>100000</v>
          </cell>
          <cell r="AL18">
            <v>1000</v>
          </cell>
          <cell r="AN18">
            <v>2500</v>
          </cell>
          <cell r="AQ18">
            <v>0</v>
          </cell>
          <cell r="AR18">
            <v>0</v>
          </cell>
          <cell r="AS18">
            <v>25000</v>
          </cell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U19">
            <v>437000</v>
          </cell>
          <cell r="Y19">
            <v>225000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I21">
            <v>50000</v>
          </cell>
          <cell r="AL21">
            <v>1000</v>
          </cell>
          <cell r="AQ21">
            <v>0</v>
          </cell>
          <cell r="AR21">
            <v>0</v>
          </cell>
          <cell r="AS21">
            <v>25000</v>
          </cell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Y22">
            <v>325000</v>
          </cell>
          <cell r="Z22">
            <v>1000000</v>
          </cell>
          <cell r="AA22" t="str">
            <v>BANQUE</v>
          </cell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Y25">
            <v>250000</v>
          </cell>
          <cell r="Z25">
            <v>500000</v>
          </cell>
          <cell r="AA25" t="str">
            <v>BANQUE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U26">
            <v>341000</v>
          </cell>
          <cell r="Y26">
            <v>225000</v>
          </cell>
          <cell r="AJ26">
            <v>100000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U27">
            <v>460000</v>
          </cell>
          <cell r="Y27">
            <v>250000</v>
          </cell>
          <cell r="AI27">
            <v>50000</v>
          </cell>
          <cell r="AK27">
            <v>100000</v>
          </cell>
          <cell r="AL27">
            <v>500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Y28">
            <v>50000</v>
          </cell>
          <cell r="Z28">
            <v>1000000</v>
          </cell>
          <cell r="AA28" t="str">
            <v>BANQUE</v>
          </cell>
          <cell r="AI28">
            <v>50000</v>
          </cell>
          <cell r="AL28">
            <v>500</v>
          </cell>
          <cell r="AQ28">
            <v>0</v>
          </cell>
          <cell r="AR28">
            <v>0</v>
          </cell>
          <cell r="AS28">
            <v>25000</v>
          </cell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Y32">
            <v>250000</v>
          </cell>
          <cell r="Z32">
            <v>1000000</v>
          </cell>
          <cell r="AA32" t="str">
            <v>BANQUE</v>
          </cell>
          <cell r="AE32">
            <v>15000</v>
          </cell>
          <cell r="AI32">
            <v>50000</v>
          </cell>
          <cell r="AK32">
            <v>200000</v>
          </cell>
          <cell r="AL32">
            <v>1000</v>
          </cell>
          <cell r="AN32">
            <v>7000</v>
          </cell>
          <cell r="AQ32">
            <v>0</v>
          </cell>
          <cell r="AR32">
            <v>0</v>
          </cell>
          <cell r="AS32">
            <v>25000</v>
          </cell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H34">
            <v>0</v>
          </cell>
          <cell r="I34" t="str">
            <v>ESPECES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U35">
            <v>327500</v>
          </cell>
          <cell r="Y35">
            <v>125000</v>
          </cell>
          <cell r="AI35">
            <v>50000</v>
          </cell>
          <cell r="AJ35">
            <v>100000</v>
          </cell>
          <cell r="AL35">
            <v>1000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I39">
            <v>50000</v>
          </cell>
          <cell r="AJ39">
            <v>100000</v>
          </cell>
          <cell r="AL39">
            <v>1000</v>
          </cell>
          <cell r="AM39">
            <v>1500</v>
          </cell>
          <cell r="AQ39">
            <v>0</v>
          </cell>
          <cell r="AR39">
            <v>0</v>
          </cell>
          <cell r="AS39">
            <v>25000</v>
          </cell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E41">
            <v>15000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</row>
        <row r="46">
          <cell r="BA46">
            <v>2976000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U8">
            <v>377500</v>
          </cell>
          <cell r="Y8">
            <v>125000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U9">
            <v>504500</v>
          </cell>
          <cell r="Y9">
            <v>250000</v>
          </cell>
          <cell r="AK9">
            <v>200000</v>
          </cell>
          <cell r="AN9">
            <v>7000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U10">
            <v>101000</v>
          </cell>
          <cell r="Y10">
            <v>50000</v>
          </cell>
          <cell r="AI10">
            <v>20000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U11">
            <v>366000</v>
          </cell>
          <cell r="Y11">
            <v>150000</v>
          </cell>
          <cell r="AI11">
            <v>50500</v>
          </cell>
          <cell r="AK11">
            <v>165500</v>
          </cell>
          <cell r="AL11">
            <v>1000</v>
          </cell>
          <cell r="AN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Y12">
            <v>250000</v>
          </cell>
          <cell r="AK12">
            <v>100000</v>
          </cell>
          <cell r="AN12">
            <v>1500</v>
          </cell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C14">
            <v>2500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K15">
            <v>200000</v>
          </cell>
          <cell r="AN15">
            <v>3000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Y17">
            <v>225000</v>
          </cell>
          <cell r="Z17">
            <v>400000</v>
          </cell>
          <cell r="AA17" t="str">
            <v>BANQUE</v>
          </cell>
          <cell r="AK17">
            <v>200000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U18">
            <v>303500</v>
          </cell>
          <cell r="Y18">
            <v>150000</v>
          </cell>
          <cell r="AI18">
            <v>51000</v>
          </cell>
          <cell r="AK18">
            <v>207500</v>
          </cell>
          <cell r="AL18">
            <v>2000</v>
          </cell>
          <cell r="AN18">
            <v>3000</v>
          </cell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232000</v>
          </cell>
          <cell r="Y19">
            <v>225000</v>
          </cell>
          <cell r="AK19">
            <v>200000</v>
          </cell>
          <cell r="AN19">
            <v>8000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U21">
            <v>101000</v>
          </cell>
          <cell r="Y21">
            <v>50000</v>
          </cell>
          <cell r="AI21">
            <v>51000</v>
          </cell>
          <cell r="AL21">
            <v>2000</v>
          </cell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51000</v>
          </cell>
          <cell r="AX21">
            <v>0</v>
          </cell>
          <cell r="AY21">
            <v>0</v>
          </cell>
          <cell r="AZ21">
            <v>51000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U22">
            <v>784400</v>
          </cell>
          <cell r="Y22">
            <v>325000</v>
          </cell>
          <cell r="AK22">
            <v>144000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C24">
            <v>2500</v>
          </cell>
          <cell r="AQ24">
            <v>0</v>
          </cell>
          <cell r="AR24">
            <v>0</v>
          </cell>
          <cell r="AS24">
            <v>25000</v>
          </cell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U25">
            <v>362500</v>
          </cell>
          <cell r="Y25">
            <v>250000</v>
          </cell>
          <cell r="AE25">
            <v>10000</v>
          </cell>
          <cell r="AK25">
            <v>200000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U26">
            <v>341500</v>
          </cell>
          <cell r="Y26">
            <v>225000</v>
          </cell>
          <cell r="AJ26">
            <v>101500</v>
          </cell>
          <cell r="AK26">
            <v>200000</v>
          </cell>
          <cell r="AM26">
            <v>3000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U27">
            <v>410500</v>
          </cell>
          <cell r="Y27">
            <v>250000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U28">
            <v>99500</v>
          </cell>
          <cell r="Y28">
            <v>50000</v>
          </cell>
          <cell r="AI28">
            <v>50500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W28">
            <v>50500</v>
          </cell>
          <cell r="AX28">
            <v>0</v>
          </cell>
          <cell r="AY28">
            <v>0</v>
          </cell>
          <cell r="AZ28">
            <v>50500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Y29">
            <v>50000</v>
          </cell>
          <cell r="Z29">
            <v>250000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247500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U32">
            <v>508000</v>
          </cell>
          <cell r="Y32">
            <v>250000</v>
          </cell>
          <cell r="AK32">
            <v>200000</v>
          </cell>
          <cell r="AN32">
            <v>3000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U35">
            <v>277000</v>
          </cell>
          <cell r="Y35">
            <v>125000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U36">
            <v>252500</v>
          </cell>
          <cell r="Y36">
            <v>150000</v>
          </cell>
          <cell r="AK36">
            <v>100000</v>
          </cell>
          <cell r="AN36">
            <v>3500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267500</v>
          </cell>
          <cell r="Y37">
            <v>50000</v>
          </cell>
          <cell r="AC37">
            <v>2500</v>
          </cell>
          <cell r="AQ37">
            <v>0</v>
          </cell>
          <cell r="AR37">
            <v>0</v>
          </cell>
          <cell r="AS37">
            <v>242500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Y39">
            <v>125000</v>
          </cell>
          <cell r="AD39">
            <v>7500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47000</v>
          </cell>
          <cell r="Y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22000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K41">
            <v>200000</v>
          </cell>
          <cell r="AN41">
            <v>3000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</row>
        <row r="46">
          <cell r="BA46">
            <v>1413000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Y9">
            <v>250000</v>
          </cell>
          <cell r="Z9">
            <v>1000000</v>
          </cell>
          <cell r="AA9" t="str">
            <v>BANQUE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Y10">
            <v>50000</v>
          </cell>
          <cell r="Z10">
            <v>1000000</v>
          </cell>
          <cell r="AA10" t="str">
            <v>BANQUE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Y11">
            <v>150000</v>
          </cell>
          <cell r="Z11">
            <v>1000000</v>
          </cell>
          <cell r="AA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U12">
            <v>361500</v>
          </cell>
          <cell r="Y12">
            <v>250000</v>
          </cell>
          <cell r="Z12">
            <v>1000000</v>
          </cell>
          <cell r="AA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U15">
            <v>353000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Y17">
            <v>225000</v>
          </cell>
          <cell r="Z17">
            <v>400000</v>
          </cell>
          <cell r="AA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Y18">
            <v>150000</v>
          </cell>
          <cell r="Z18">
            <v>500000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Y19">
            <v>225000</v>
          </cell>
          <cell r="Z19">
            <v>1000000</v>
          </cell>
          <cell r="AA19" t="str">
            <v>BANQUE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</row>
        <row r="20">
          <cell r="A20" t="str">
            <v>AS201620</v>
          </cell>
          <cell r="B20" t="str">
            <v>LOWE JEAN</v>
          </cell>
          <cell r="E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U21">
            <v>103000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Y22">
            <v>325000</v>
          </cell>
          <cell r="Z22">
            <v>1000000</v>
          </cell>
          <cell r="AA22" t="str">
            <v>BANQUE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Y24">
            <v>125000</v>
          </cell>
          <cell r="Z24">
            <v>900000</v>
          </cell>
          <cell r="AA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652000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Y25">
            <v>250000</v>
          </cell>
          <cell r="Z25">
            <v>500000</v>
          </cell>
          <cell r="AA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Y26">
            <v>225000</v>
          </cell>
          <cell r="Z26">
            <v>1000000</v>
          </cell>
          <cell r="AA26" t="str">
            <v>BANQUE</v>
          </cell>
          <cell r="AC26">
            <v>2500</v>
          </cell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Z27">
            <v>1000000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0</v>
          </cell>
          <cell r="AZ27">
            <v>950000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Y28">
            <v>50000</v>
          </cell>
          <cell r="Z28">
            <v>1000000</v>
          </cell>
          <cell r="AA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Y31">
            <v>50000</v>
          </cell>
          <cell r="Z31">
            <v>900000</v>
          </cell>
          <cell r="AQ31">
            <v>0</v>
          </cell>
          <cell r="AR31">
            <v>0</v>
          </cell>
          <cell r="AS31">
            <v>26000</v>
          </cell>
          <cell r="AW31">
            <v>0</v>
          </cell>
          <cell r="AX31">
            <v>0</v>
          </cell>
          <cell r="AY31">
            <v>0</v>
          </cell>
          <cell r="AZ31">
            <v>855000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Y32">
            <v>250000</v>
          </cell>
          <cell r="Z32">
            <v>1000000</v>
          </cell>
          <cell r="AA32" t="str">
            <v>BANQUE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354500</v>
          </cell>
          <cell r="Y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332500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Y34">
            <v>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Y35">
            <v>125000</v>
          </cell>
          <cell r="Z35">
            <v>1000000</v>
          </cell>
          <cell r="AA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Y36">
            <v>150000</v>
          </cell>
          <cell r="Z36">
            <v>1000000</v>
          </cell>
          <cell r="AA36" t="str">
            <v>BANQUE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347500</v>
          </cell>
          <cell r="Y38">
            <v>50000</v>
          </cell>
          <cell r="AC38">
            <v>2500</v>
          </cell>
          <cell r="AQ38">
            <v>0</v>
          </cell>
          <cell r="AR38">
            <v>0</v>
          </cell>
          <cell r="AS38">
            <v>322500</v>
          </cell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Y39">
            <v>125000</v>
          </cell>
          <cell r="Z39">
            <v>500000</v>
          </cell>
          <cell r="AA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U41">
            <v>453000</v>
          </cell>
          <cell r="Y41">
            <v>250000</v>
          </cell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</row>
        <row r="46">
          <cell r="AZ46">
            <v>12931300</v>
          </cell>
          <cell r="BA46">
            <v>13063300</v>
          </cell>
          <cell r="BB46" t="str">
            <v>ESPECES EN CAISSE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3985800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8899000</v>
          </cell>
          <cell r="BA40">
            <v>790000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EN COMPTE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OPERATIONS DU JOUR</v>
          </cell>
          <cell r="C47">
            <v>7565000</v>
          </cell>
          <cell r="D47">
            <v>5456000</v>
          </cell>
          <cell r="E47">
            <v>2109000</v>
          </cell>
          <cell r="F47">
            <v>200000</v>
          </cell>
          <cell r="G47">
            <v>790000</v>
          </cell>
          <cell r="H47">
            <v>-590000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912000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5469000</v>
          </cell>
          <cell r="D47">
            <v>4518000</v>
          </cell>
          <cell r="F47">
            <v>534700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951000</v>
          </cell>
          <cell r="AT40">
            <v>0</v>
          </cell>
          <cell r="AU40">
            <v>0</v>
          </cell>
          <cell r="AV40">
            <v>0</v>
          </cell>
          <cell r="AW40">
            <v>974000</v>
          </cell>
          <cell r="AX40">
            <v>1061000</v>
          </cell>
          <cell r="AY40">
            <v>2235500</v>
          </cell>
          <cell r="AZ40">
            <v>4861000</v>
          </cell>
          <cell r="BA40">
            <v>606500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4861000</v>
          </cell>
          <cell r="D47">
            <v>5076000</v>
          </cell>
          <cell r="F47">
            <v>318500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  <cell r="AR40">
            <v>0</v>
          </cell>
          <cell r="AS40">
            <v>970500</v>
          </cell>
          <cell r="AT40">
            <v>0</v>
          </cell>
          <cell r="AU40">
            <v>0</v>
          </cell>
          <cell r="AV40">
            <v>0</v>
          </cell>
          <cell r="AW40">
            <v>909500</v>
          </cell>
          <cell r="AX40">
            <v>1394000</v>
          </cell>
          <cell r="AY40">
            <v>2917000</v>
          </cell>
          <cell r="AZ40">
            <v>5400500</v>
          </cell>
          <cell r="BA40">
            <v>400000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5400500</v>
          </cell>
          <cell r="D47">
            <v>5496500</v>
          </cell>
          <cell r="F47">
            <v>403000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917000</v>
          </cell>
          <cell r="AT40">
            <v>0</v>
          </cell>
          <cell r="AU40">
            <v>0</v>
          </cell>
          <cell r="AV40">
            <v>0</v>
          </cell>
          <cell r="AW40">
            <v>693500</v>
          </cell>
          <cell r="AX40">
            <v>1559000</v>
          </cell>
          <cell r="AY40">
            <v>1293000</v>
          </cell>
          <cell r="AZ40">
            <v>4830500</v>
          </cell>
          <cell r="BA40">
            <v>1315500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4830500</v>
          </cell>
          <cell r="D47">
            <v>5720000</v>
          </cell>
          <cell r="F47">
            <v>1315000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916500</v>
          </cell>
          <cell r="AT40">
            <v>0</v>
          </cell>
          <cell r="AU40">
            <v>0</v>
          </cell>
          <cell r="AV40">
            <v>0</v>
          </cell>
          <cell r="AW40">
            <v>1064500</v>
          </cell>
          <cell r="AX40">
            <v>2041500</v>
          </cell>
          <cell r="AY40">
            <v>2995000</v>
          </cell>
          <cell r="AZ40">
            <v>6213000</v>
          </cell>
          <cell r="BA40">
            <v>550000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6213000</v>
          </cell>
          <cell r="D47">
            <v>5663000</v>
          </cell>
          <cell r="F47">
            <v>326000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1890100</v>
          </cell>
          <cell r="AT40">
            <v>0</v>
          </cell>
          <cell r="AU40">
            <v>0</v>
          </cell>
          <cell r="AV40">
            <v>0</v>
          </cell>
          <cell r="AW40">
            <v>976500</v>
          </cell>
          <cell r="AX40">
            <v>1461500</v>
          </cell>
          <cell r="AY40">
            <v>3534000</v>
          </cell>
          <cell r="AZ40">
            <v>6050600</v>
          </cell>
          <cell r="BA40">
            <v>183500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6050600</v>
          </cell>
          <cell r="D47">
            <v>7434000</v>
          </cell>
          <cell r="F47">
            <v>150000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844500</v>
          </cell>
          <cell r="AT40">
            <v>0</v>
          </cell>
          <cell r="AU40">
            <v>0</v>
          </cell>
          <cell r="AV40">
            <v>0</v>
          </cell>
          <cell r="AW40">
            <v>862000</v>
          </cell>
          <cell r="AX40">
            <v>1776000</v>
          </cell>
          <cell r="AY40">
            <v>1302000</v>
          </cell>
          <cell r="AZ40">
            <v>4033750</v>
          </cell>
          <cell r="BA40">
            <v>50000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4033750</v>
          </cell>
          <cell r="D47">
            <v>6123000</v>
          </cell>
          <cell r="F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  <cell r="AR40">
            <v>3750</v>
          </cell>
          <cell r="AS40">
            <v>1783250</v>
          </cell>
          <cell r="AT40">
            <v>120000</v>
          </cell>
          <cell r="AU40">
            <v>0</v>
          </cell>
          <cell r="AV40">
            <v>0</v>
          </cell>
          <cell r="AW40">
            <v>1096500</v>
          </cell>
          <cell r="AX40">
            <v>2092500</v>
          </cell>
          <cell r="AY40">
            <v>5470000</v>
          </cell>
          <cell r="AZ40">
            <v>9745000</v>
          </cell>
          <cell r="BA40">
            <v>910000</v>
          </cell>
          <cell r="BB40">
            <v>380000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9745000</v>
          </cell>
          <cell r="D47">
            <v>5972000</v>
          </cell>
          <cell r="F47">
            <v>1100000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926000</v>
          </cell>
          <cell r="AT40">
            <v>0</v>
          </cell>
          <cell r="AU40">
            <v>0</v>
          </cell>
          <cell r="AV40">
            <v>0</v>
          </cell>
          <cell r="AW40">
            <v>1013000</v>
          </cell>
          <cell r="AX40">
            <v>1142500</v>
          </cell>
          <cell r="AY40">
            <v>3090000</v>
          </cell>
          <cell r="AZ40">
            <v>5351500</v>
          </cell>
          <cell r="BA40">
            <v>633000</v>
          </cell>
          <cell r="BB40">
            <v>20000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5351500</v>
          </cell>
          <cell r="D47">
            <v>6386000</v>
          </cell>
          <cell r="F47">
            <v>633000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870500</v>
          </cell>
          <cell r="AT40">
            <v>0</v>
          </cell>
          <cell r="AU40">
            <v>0</v>
          </cell>
          <cell r="AV40">
            <v>0</v>
          </cell>
          <cell r="AW40">
            <v>905000</v>
          </cell>
          <cell r="AX40">
            <v>1824000</v>
          </cell>
          <cell r="AY40">
            <v>2003500</v>
          </cell>
          <cell r="AZ40">
            <v>3804500</v>
          </cell>
          <cell r="BA40">
            <v>669000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3804500</v>
          </cell>
          <cell r="D47">
            <v>5941500</v>
          </cell>
          <cell r="F47">
            <v>669000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  <cell r="AV40">
            <v>0</v>
          </cell>
          <cell r="AW40">
            <v>892500</v>
          </cell>
          <cell r="AX40">
            <v>892500</v>
          </cell>
          <cell r="AY40">
            <v>1190000</v>
          </cell>
          <cell r="AZ40">
            <v>18890500</v>
          </cell>
          <cell r="BA40">
            <v>7523000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18890500</v>
          </cell>
          <cell r="D47">
            <v>8928000</v>
          </cell>
          <cell r="F47">
            <v>9052000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sqref="A1:A3"/>
    </sheetView>
  </sheetViews>
  <sheetFormatPr baseColWidth="10" defaultColWidth="11" defaultRowHeight="14.5" x14ac:dyDescent="0.35"/>
  <sheetData>
    <row r="1" spans="1:1" x14ac:dyDescent="0.35">
      <c r="A1" t="s">
        <v>7</v>
      </c>
    </row>
    <row r="2" spans="1:1" x14ac:dyDescent="0.35">
      <c r="A2" t="s">
        <v>9</v>
      </c>
    </row>
    <row r="3" spans="1:1" x14ac:dyDescent="0.3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D35E-700B-409A-8587-C3147F6B14B0}">
  <dimension ref="A1:P30"/>
  <sheetViews>
    <sheetView zoomScale="112" zoomScaleNormal="112" workbookViewId="0">
      <pane xSplit="3" ySplit="5" topLeftCell="L18" activePane="bottomRight" state="frozen"/>
      <selection activeCell="G6" sqref="G6:G39"/>
      <selection pane="topRight" activeCell="G6" sqref="G6:G39"/>
      <selection pane="bottomLeft" activeCell="G6" sqref="G6:G39"/>
      <selection pane="bottomRight" activeCell="B6" sqref="B6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45670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IF(D6=0,0,VLOOKUP($A6,[6]HISTOJANV25!$A$6:$BB$47,12,0))</f>
        <v>2</v>
      </c>
      <c r="C6" s="1" t="str">
        <f>VLOOKUP(A6,[7]LISTADHERENT!A$5:H$60,3,0)</f>
        <v>ASELBY</v>
      </c>
      <c r="D6" s="7">
        <f>IF(E6="ECHEC",0,VLOOKUP($A6,[6]HISTOJANV25!$A$6:$AR$47,13,0))</f>
        <v>150000</v>
      </c>
      <c r="E6" s="7" t="str">
        <f>VLOOKUP($A6,[6]HISTOJANV25!$A$6:$AV$47,9,0)</f>
        <v>BANQUE</v>
      </c>
      <c r="F6" s="7">
        <f>VLOOKUP($A6,[6]HISTOJANV25!$A$6:$AV$47,36,0)</f>
        <v>0</v>
      </c>
      <c r="G6" s="7">
        <f>VLOOKUP($A6,[6]HISTOJANV25!$A$6:$AV$47,39,0)</f>
        <v>0</v>
      </c>
      <c r="H6" s="7" t="str">
        <f>IF(G6=0,"",VLOOKUP($A6,[6]HISTOFEV25!$A$6:$AV$47,42,0))</f>
        <v/>
      </c>
      <c r="I6" s="7">
        <f>VLOOKUP($A6,[6]HISTOJANV25!$A$6:$AV$47,41,0)</f>
        <v>0</v>
      </c>
      <c r="J6" s="7"/>
      <c r="K6" s="7">
        <f>VLOOKUP($A6,[6]HISTOJANV25!$A$6:$AV$47,17,0)</f>
        <v>0</v>
      </c>
      <c r="L6" s="7" t="str">
        <f>IF(K6&lt;&gt;0,VLOOKUP($A6,[6]HISTOJANV25!$A$6:$BB$47,9,0),"ECHEC")</f>
        <v>ECHEC</v>
      </c>
      <c r="M6" s="7">
        <f>IF(P6=0,0,VLOOKUP($A6,[6]HISTOJANV25!$A$6:$AV$47,32,0))</f>
        <v>0</v>
      </c>
      <c r="N6" s="7">
        <f>VLOOKUP($A6,[6]HISTOJANV25!$A$6:$AV$47,33,0)</f>
        <v>0</v>
      </c>
      <c r="O6" s="7">
        <f t="shared" ref="O6:O17" si="0">IF(P6=0,0,($C$3-P6))</f>
        <v>0</v>
      </c>
      <c r="P6" s="7">
        <f>VLOOKUP($A6,[6]HISTOJANV25!$A$6:$AV$47,30,0)</f>
        <v>0</v>
      </c>
    </row>
    <row r="7" spans="1:16" x14ac:dyDescent="0.35">
      <c r="A7" s="1" t="s">
        <v>24</v>
      </c>
      <c r="B7" s="7">
        <f>IF(D7=0,0,VLOOKUP($A7,[6]HISTOJANV25!$A$6:$BB$47,12,0))</f>
        <v>1</v>
      </c>
      <c r="C7" s="1" t="str">
        <f>VLOOKUP(A7,[7]LISTADHERENT!A$5:H$60,3,0)</f>
        <v>BOUTCHOUANG WILLIAM</v>
      </c>
      <c r="D7" s="7">
        <f>IF(E7="ECHEC",0,VLOOKUP($A7,[6]HISTOJANV25!$A$6:$AR$47,13,0))</f>
        <v>75000</v>
      </c>
      <c r="E7" s="7" t="str">
        <f>VLOOKUP($A7,[6]HISTOJANV25!$A$6:$AV$47,9,0)</f>
        <v>BANQUE</v>
      </c>
      <c r="F7" s="7">
        <f>VLOOKUP($A7,[6]HISTOJANV25!$A$6:$AV$47,36,0)</f>
        <v>0</v>
      </c>
      <c r="G7" s="7">
        <f>VLOOKUP($A7,[6]HISTOJANV25!$A$6:$AV$47,39,0)</f>
        <v>0</v>
      </c>
      <c r="H7" s="7" t="str">
        <f>IF(G7=0,"",VLOOKUP($A7,[6]HISTOFEV25!$A$6:$AV$47,42,0))</f>
        <v/>
      </c>
      <c r="I7" s="7">
        <f>VLOOKUP($A7,[6]HISTOJANV25!$A$6:$AV$47,41,0)</f>
        <v>0</v>
      </c>
      <c r="J7" s="7"/>
      <c r="K7" s="7">
        <f>VLOOKUP($A7,[6]HISTOJANV25!$A$6:$AV$47,17,0)</f>
        <v>0</v>
      </c>
      <c r="L7" s="7" t="str">
        <f>IF(K7&lt;&gt;0,VLOOKUP($A7,[6]HISTOJANV25!$A$6:$BB$47,9,0),"ECHEC")</f>
        <v>ECHEC</v>
      </c>
      <c r="M7" s="7">
        <f>IF(P7=0,0,VLOOKUP($A7,[6]HISTOJANV25!$A$6:$AV$47,32,0))</f>
        <v>0</v>
      </c>
      <c r="N7" s="7">
        <f>VLOOKUP($A7,[6]HISTOJANV25!$A$6:$AV$47,33,0)</f>
        <v>0</v>
      </c>
      <c r="O7" s="7">
        <f t="shared" si="0"/>
        <v>0</v>
      </c>
      <c r="P7" s="7">
        <f>VLOOKUP($A7,[6]HISTOJANV25!$A$6:$AV$47,30,0)</f>
        <v>0</v>
      </c>
    </row>
    <row r="8" spans="1:16" x14ac:dyDescent="0.35">
      <c r="A8" s="1" t="s">
        <v>18</v>
      </c>
      <c r="B8" s="7">
        <f>IF(D8=0,0,VLOOKUP($A8,[6]HISTOJANV25!$A$6:$BB$47,12,0))</f>
        <v>1</v>
      </c>
      <c r="C8" s="1" t="str">
        <f>VLOOKUP(A8,[7]LISTADHERENT!A$5:H$60,3,0)</f>
        <v>HOTCHO BENJAMIN</v>
      </c>
      <c r="D8" s="7">
        <f>IF(E8="ECHEC",0,VLOOKUP($A8,[6]HISTOJANV25!$A$6:$AR$47,13,0))</f>
        <v>75000</v>
      </c>
      <c r="E8" s="7" t="str">
        <f>VLOOKUP($A8,[6]HISTOJANV25!$A$6:$AV$47,9,0)</f>
        <v>BANQUE</v>
      </c>
      <c r="F8" s="7">
        <f>VLOOKUP($A8,[6]HISTOJANV25!$A$6:$AV$47,36,0)</f>
        <v>0</v>
      </c>
      <c r="G8" s="7">
        <f>VLOOKUP($A8,[6]HISTOJANV25!$A$6:$AV$47,39,0)</f>
        <v>0</v>
      </c>
      <c r="H8" s="7" t="str">
        <f>IF(G8=0,"",VLOOKUP($A8,[6]HISTOFEV25!$A$6:$AV$47,42,0))</f>
        <v/>
      </c>
      <c r="I8" s="7">
        <f>VLOOKUP($A8,[6]HISTOJANV25!$A$6:$AV$47,41,0)</f>
        <v>0</v>
      </c>
      <c r="J8" s="7"/>
      <c r="K8" s="7">
        <f>VLOOKUP($A8,[6]HISTOJANV25!$A$6:$AV$47,17,0)</f>
        <v>0</v>
      </c>
      <c r="L8" s="7" t="str">
        <f>IF(K8&lt;&gt;0,VLOOKUP($A8,[6]HISTOJANV25!$A$6:$BB$47,9,0),"ECHEC")</f>
        <v>ECHEC</v>
      </c>
      <c r="M8" s="7">
        <f>IF(P8=0,0,VLOOKUP($A8,[6]HISTOJANV25!$A$6:$AV$47,32,0))</f>
        <v>0</v>
      </c>
      <c r="N8" s="7">
        <f>VLOOKUP($A8,[6]HISTOJANV25!$A$6:$AV$47,33,0)</f>
        <v>0</v>
      </c>
      <c r="O8" s="7">
        <f t="shared" si="0"/>
        <v>0</v>
      </c>
      <c r="P8" s="7">
        <f>VLOOKUP($A8,[6]HISTOJANV25!$A$6:$AV$47,30,0)</f>
        <v>0</v>
      </c>
    </row>
    <row r="9" spans="1:16" x14ac:dyDescent="0.35">
      <c r="A9" s="1" t="s">
        <v>60</v>
      </c>
      <c r="B9" s="7">
        <f>IF(D9=0,0,VLOOKUP($A9,[6]HISTOJANV25!$A$6:$BB$47,12,0))</f>
        <v>1</v>
      </c>
      <c r="C9" s="1" t="str">
        <f>VLOOKUP(A9,[7]LISTADHERENT!A$5:H$60,3,0)</f>
        <v>KOUATCHO MESSACK</v>
      </c>
      <c r="D9" s="7">
        <f>IF(E9="ECHEC",0,VLOOKUP($A9,[6]HISTOJANV25!$A$6:$AR$47,13,0))</f>
        <v>75000</v>
      </c>
      <c r="E9" s="7" t="str">
        <f>VLOOKUP($A9,[6]HISTOJANV25!$A$6:$AV$47,9,0)</f>
        <v>BANQUE</v>
      </c>
      <c r="F9" s="7">
        <f>VLOOKUP($A9,[6]HISTOJANV25!$A$6:$AV$47,36,0)</f>
        <v>0</v>
      </c>
      <c r="G9" s="7">
        <f>VLOOKUP($A9,[6]HISTOJANV25!$A$6:$AV$47,39,0)</f>
        <v>0</v>
      </c>
      <c r="H9" s="7" t="str">
        <f>IF(G9=0,"",VLOOKUP($A9,[6]HISTOFEV25!$A$6:$AV$47,42,0))</f>
        <v/>
      </c>
      <c r="I9" s="7">
        <f>VLOOKUP($A9,[6]HISTOJANV25!$A$6:$AV$47,41,0)</f>
        <v>0</v>
      </c>
      <c r="J9" s="7"/>
      <c r="K9" s="7">
        <f>VLOOKUP($A9,[6]HISTOJANV25!$A$6:$AV$47,17,0)</f>
        <v>0</v>
      </c>
      <c r="L9" s="7" t="str">
        <f>IF(K9&lt;&gt;0,VLOOKUP($A9,[6]HISTOJANV25!$A$6:$BB$47,9,0),"ECHEC")</f>
        <v>ECHEC</v>
      </c>
      <c r="M9" s="7">
        <f>IF(P9=0,0,VLOOKUP($A9,[6]HISTOJANV25!$A$6:$AV$47,32,0))</f>
        <v>0</v>
      </c>
      <c r="N9" s="7">
        <f>VLOOKUP($A9,[6]HISTOJANV25!$A$6:$AV$47,33,0)</f>
        <v>0</v>
      </c>
      <c r="O9" s="7">
        <f t="shared" ref="O9" si="1">IF(P9=0,0,($C$3-P9))</f>
        <v>0</v>
      </c>
      <c r="P9" s="7">
        <f>VLOOKUP($A9,[6]HISTOJANV25!$A$6:$AV$47,30,0)</f>
        <v>0</v>
      </c>
    </row>
    <row r="10" spans="1:16" x14ac:dyDescent="0.35">
      <c r="A10" s="1" t="s">
        <v>26</v>
      </c>
      <c r="B10" s="7">
        <f>IF(D10=0,0,VLOOKUP($A10,[6]HISTOJANV25!$A$6:$BB$47,12,0))</f>
        <v>1</v>
      </c>
      <c r="C10" s="1" t="str">
        <f>VLOOKUP(A10,[7]LISTADHERENT!A$5:H$60,3,0)</f>
        <v>HENGUE PAUL OMER</v>
      </c>
      <c r="D10" s="7">
        <f>IF(E10="ECHEC",0,VLOOKUP($A10,[6]HISTOJANV25!$A$6:$AR$47,13,0))</f>
        <v>75000</v>
      </c>
      <c r="E10" s="7" t="str">
        <f>VLOOKUP($A10,[6]HISTOJANV25!$A$6:$AV$47,9,0)</f>
        <v>BANQUE</v>
      </c>
      <c r="F10" s="7">
        <f>VLOOKUP($A10,[6]HISTOJANV25!$A$6:$AV$47,36,0)</f>
        <v>0</v>
      </c>
      <c r="G10" s="7">
        <f>VLOOKUP($A10,[6]HISTOJANV25!$A$6:$AV$47,39,0)</f>
        <v>0</v>
      </c>
      <c r="H10" s="7" t="str">
        <f>IF(G10=0,"",VLOOKUP($A10,[6]HISTOFEV25!$A$6:$AV$47,42,0))</f>
        <v/>
      </c>
      <c r="I10" s="7">
        <f>VLOOKUP($A10,[6]HISTOJANV25!$A$6:$AV$47,41,0)</f>
        <v>0</v>
      </c>
      <c r="J10" s="7"/>
      <c r="K10" s="7">
        <f>VLOOKUP($A10,[6]HISTOJANV25!$A$6:$AV$47,17,0)</f>
        <v>0</v>
      </c>
      <c r="L10" s="7" t="str">
        <f>IF(K10&lt;&gt;0,VLOOKUP($A10,[6]HISTOJANV25!$A$6:$BB$47,9,0),"ECHEC")</f>
        <v>ECHEC</v>
      </c>
      <c r="M10" s="7">
        <f>IF(P10=0,0,VLOOKUP($A10,[6]HISTOJANV25!$A$6:$AV$47,32,0))</f>
        <v>0</v>
      </c>
      <c r="N10" s="7">
        <f>VLOOKUP($A10,[6]HISTOJANV25!$A$6:$AV$47,33,0)</f>
        <v>0</v>
      </c>
      <c r="O10" s="7">
        <f t="shared" si="0"/>
        <v>0</v>
      </c>
      <c r="P10" s="7">
        <f>VLOOKUP($A10,[6]HISTOJANV25!$A$6:$AV$47,30,0)</f>
        <v>0</v>
      </c>
    </row>
    <row r="11" spans="1:16" x14ac:dyDescent="0.35">
      <c r="A11" s="1" t="s">
        <v>21</v>
      </c>
      <c r="B11" s="7">
        <f>IF(D11=0,0,VLOOKUP($A11,[6]HISTOJANV25!$A$6:$BB$47,12,0))</f>
        <v>1</v>
      </c>
      <c r="C11" s="1" t="str">
        <f>VLOOKUP(A11,[7]LISTADHERENT!A$5:H$60,3,0)</f>
        <v>MBOGNING TUGMA GUY</v>
      </c>
      <c r="D11" s="7">
        <f>IF(E11="ECHEC",0,VLOOKUP($A11,[6]HISTOJANV25!$A$6:$AR$47,13,0))</f>
        <v>75000</v>
      </c>
      <c r="E11" s="7" t="str">
        <f>VLOOKUP($A11,[6]HISTOJANV25!$A$6:$AV$47,9,0)</f>
        <v>BANQUE</v>
      </c>
      <c r="F11" s="7">
        <f>VLOOKUP($A11,[6]HISTOJANV25!$A$6:$AV$47,36,0)</f>
        <v>0</v>
      </c>
      <c r="G11" s="7">
        <f>VLOOKUP($A11,[6]HISTOJANV25!$A$6:$AV$47,39,0)</f>
        <v>0</v>
      </c>
      <c r="H11" s="7" t="str">
        <f>IF(G11=0,"",VLOOKUP($A11,[6]HISTOFEV25!$A$6:$AV$47,42,0))</f>
        <v/>
      </c>
      <c r="I11" s="7">
        <f>VLOOKUP($A11,[6]HISTOJANV25!$A$6:$AV$47,41,0)</f>
        <v>0</v>
      </c>
      <c r="J11" s="7"/>
      <c r="K11" s="7">
        <f>VLOOKUP($A11,[6]HISTOJANV25!$A$6:$AV$47,17,0)</f>
        <v>0</v>
      </c>
      <c r="L11" s="7" t="str">
        <f>IF(K11&lt;&gt;0,VLOOKUP($A11,[6]HISTOJANV25!$A$6:$BB$47,9,0),"ECHEC")</f>
        <v>ECHEC</v>
      </c>
      <c r="M11" s="7">
        <f>IF(P11=0,0,VLOOKUP($A11,[6]HISTOJANV25!$A$6:$AV$47,32,0))</f>
        <v>0</v>
      </c>
      <c r="N11" s="7">
        <f>VLOOKUP($A11,[6]HISTOJANV25!$A$6:$AV$47,33,0)</f>
        <v>0</v>
      </c>
      <c r="O11" s="7">
        <f t="shared" si="0"/>
        <v>0</v>
      </c>
      <c r="P11" s="7">
        <f>VLOOKUP($A11,[6]HISTOJANV25!$A$6:$AV$47,30,0)</f>
        <v>0</v>
      </c>
    </row>
    <row r="12" spans="1:16" x14ac:dyDescent="0.35">
      <c r="A12" s="1" t="s">
        <v>8</v>
      </c>
      <c r="B12" s="7">
        <f>IF(D12=0,0,VLOOKUP($A12,[6]HISTOJANV25!$A$6:$BB$47,12,0))</f>
        <v>1</v>
      </c>
      <c r="C12" s="1" t="str">
        <f>VLOOKUP(A12,[7]LISTADHERENT!A$5:H$60,3,0)</f>
        <v>NANKAM APPOLINAIRE</v>
      </c>
      <c r="D12" s="7">
        <f>IF(E12="ECHEC",0,VLOOKUP($A12,[6]HISTOJANV25!$A$6:$AR$47,13,0))</f>
        <v>75000</v>
      </c>
      <c r="E12" s="7" t="str">
        <f>VLOOKUP($A12,[6]HISTOJANV25!$A$6:$AV$47,9,0)</f>
        <v>BANQUE</v>
      </c>
      <c r="F12" s="7">
        <f>VLOOKUP($A12,[6]HISTOJANV25!$A$6:$AV$47,36,0)</f>
        <v>0</v>
      </c>
      <c r="G12" s="7">
        <f>VLOOKUP($A12,[6]HISTOJANV25!$A$6:$AV$47,39,0)</f>
        <v>0</v>
      </c>
      <c r="H12" s="7" t="str">
        <f>IF(G12=0,"",VLOOKUP($A12,[6]HISTOFEV25!$A$6:$AV$47,42,0))</f>
        <v/>
      </c>
      <c r="I12" s="7">
        <f>VLOOKUP($A12,[6]HISTOJANV25!$A$6:$AV$47,41,0)</f>
        <v>0</v>
      </c>
      <c r="J12" s="7"/>
      <c r="K12" s="7">
        <f>VLOOKUP($A12,[6]HISTOJANV25!$A$6:$AV$47,17,0)</f>
        <v>0</v>
      </c>
      <c r="L12" s="7" t="str">
        <f>IF(K12&lt;&gt;0,VLOOKUP($A12,[6]HISTOJANV25!$A$6:$BB$47,9,0),"ECHEC")</f>
        <v>ECHEC</v>
      </c>
      <c r="M12" s="7" t="str">
        <f>IF(P12=0,0,VLOOKUP($A12,[6]HISTOJANV25!$A$6:$AV$47,32,0))</f>
        <v>BANQUE</v>
      </c>
      <c r="N12" s="7">
        <f>VLOOKUP($A12,[6]HISTOJANV25!$A$6:$AV$47,33,0)</f>
        <v>0</v>
      </c>
      <c r="O12" s="7">
        <f t="shared" si="0"/>
        <v>892500</v>
      </c>
      <c r="P12" s="7">
        <f>VLOOKUP($A12,[6]HISTOJANV25!$A$6:$AV$47,30,0)</f>
        <v>7500</v>
      </c>
    </row>
    <row r="13" spans="1:16" x14ac:dyDescent="0.35">
      <c r="A13" s="1" t="s">
        <v>35</v>
      </c>
      <c r="B13" s="7">
        <f>IF(D13=0,0,VLOOKUP($A13,[6]HISTOJANV25!$A$6:$BB$47,12,0))</f>
        <v>1</v>
      </c>
      <c r="C13" s="1" t="str">
        <f>VLOOKUP(A13,[7]LISTADHERENT!A$5:H$60,3,0)</f>
        <v>NGONDIEP CLAUDE</v>
      </c>
      <c r="D13" s="7">
        <f>IF(E13="ECHEC",0,VLOOKUP($A13,[6]HISTOJANV25!$A$6:$AR$47,13,0))</f>
        <v>75000</v>
      </c>
      <c r="E13" s="7" t="str">
        <f>VLOOKUP($A13,[6]HISTOJANV25!$A$6:$AV$47,9,0)</f>
        <v>BANQUE</v>
      </c>
      <c r="F13" s="7">
        <f>VLOOKUP($A13,[6]HISTOJANV25!$A$6:$AV$47,36,0)</f>
        <v>0</v>
      </c>
      <c r="G13" s="7">
        <f>VLOOKUP($A13,[6]HISTOJANV25!$A$6:$AV$47,39,0)</f>
        <v>0</v>
      </c>
      <c r="H13" s="7" t="str">
        <f>IF(G13=0,"",VLOOKUP($A13,[6]HISTOFEV25!$A$6:$AV$47,42,0))</f>
        <v/>
      </c>
      <c r="I13" s="7">
        <f>VLOOKUP($A13,[6]HISTOJANV25!$A$6:$AV$47,41,0)</f>
        <v>0</v>
      </c>
      <c r="J13" s="7"/>
      <c r="K13" s="7">
        <f>VLOOKUP($A13,[6]HISTOJANV25!$A$6:$AV$47,17,0)</f>
        <v>0</v>
      </c>
      <c r="L13" s="7" t="str">
        <f>IF(K13&lt;&gt;0,VLOOKUP($A13,[6]HISTOJANV25!$A$6:$BB$47,9,0),"ECHEC")</f>
        <v>ECHEC</v>
      </c>
      <c r="M13" s="7">
        <f>IF(P13=0,0,VLOOKUP($A13,[6]HISTOJANV25!$A$6:$AV$47,32,0))</f>
        <v>0</v>
      </c>
      <c r="N13" s="7">
        <f>VLOOKUP($A13,[6]HISTOJANV25!$A$6:$AV$47,33,0)</f>
        <v>0</v>
      </c>
      <c r="O13" s="7">
        <f t="shared" si="0"/>
        <v>0</v>
      </c>
      <c r="P13" s="7">
        <f>VLOOKUP($A13,[6]HISTOJANV25!$A$6:$AV$47,30,0)</f>
        <v>0</v>
      </c>
    </row>
    <row r="14" spans="1:16" x14ac:dyDescent="0.35">
      <c r="A14" s="1" t="s">
        <v>27</v>
      </c>
      <c r="B14" s="7">
        <f>IF(D14=0,0,VLOOKUP($A14,[6]HISTOJANV25!$A$6:$BB$47,12,0))</f>
        <v>1</v>
      </c>
      <c r="C14" s="1" t="str">
        <f>VLOOKUP(A14,[7]LISTADHERENT!A$5:H$60,3,0)</f>
        <v>PATEGO NJOSSU GUSTAVE</v>
      </c>
      <c r="D14" s="7">
        <f>IF(E14="ECHEC",0,VLOOKUP($A14,[6]HISTOJANV25!$A$6:$AR$47,13,0))</f>
        <v>75000</v>
      </c>
      <c r="E14" s="7" t="str">
        <f>VLOOKUP($A14,[6]HISTOJANV25!$A$6:$AV$47,9,0)</f>
        <v>BANQUE</v>
      </c>
      <c r="F14" s="7">
        <f>VLOOKUP($A14,[6]HISTOJANV25!$A$6:$AV$47,36,0)</f>
        <v>0</v>
      </c>
      <c r="G14" s="7">
        <f>VLOOKUP($A14,[6]HISTOJANV25!$A$6:$AV$47,39,0)</f>
        <v>0</v>
      </c>
      <c r="H14" s="7" t="str">
        <f>IF(G14=0,"",VLOOKUP($A14,[6]HISTOFEV25!$A$6:$AV$47,42,0))</f>
        <v/>
      </c>
      <c r="I14" s="7">
        <f>VLOOKUP($A14,[6]HISTOJANV25!$A$6:$AV$47,41,0)</f>
        <v>0</v>
      </c>
      <c r="J14" s="7"/>
      <c r="K14" s="7">
        <f>VLOOKUP($A14,[6]HISTOJANV25!$A$6:$AV$47,17,0)</f>
        <v>0</v>
      </c>
      <c r="L14" s="7" t="str">
        <f>IF(K14&lt;&gt;0,VLOOKUP($A14,[6]HISTOJANV25!$A$6:$BB$47,9,0),"ECHEC")</f>
        <v>ECHEC</v>
      </c>
      <c r="M14" s="7">
        <f>IF(P14=0,0,VLOOKUP($A14,[6]HISTOJANV25!$A$6:$AV$47,32,0))</f>
        <v>0</v>
      </c>
      <c r="N14" s="7">
        <f>VLOOKUP($A14,[6]HISTOJANV25!$A$6:$AV$47,33,0)</f>
        <v>0</v>
      </c>
      <c r="O14" s="7">
        <f t="shared" si="0"/>
        <v>0</v>
      </c>
      <c r="P14" s="7">
        <f>VLOOKUP($A14,[6]HISTOJANV25!$A$6:$AV$47,30,0)</f>
        <v>0</v>
      </c>
    </row>
    <row r="15" spans="1:16" x14ac:dyDescent="0.35">
      <c r="A15" s="9" t="s">
        <v>48</v>
      </c>
      <c r="B15" s="7">
        <f>IF(D15=0,0,VLOOKUP($A15,[6]HISTOJANV25!$A$6:$BB$47,12,0))</f>
        <v>1</v>
      </c>
      <c r="C15" s="1" t="str">
        <f>VLOOKUP(A15,[7]LISTADHERENT!A$5:H$60,3,0)</f>
        <v>TCHOUAMOU MATHIEU</v>
      </c>
      <c r="D15" s="7">
        <f>IF(E15="ECHEC",0,VLOOKUP($A15,[6]HISTOJANV25!$A$6:$AR$47,13,0))</f>
        <v>75000</v>
      </c>
      <c r="E15" s="7" t="str">
        <f>VLOOKUP($A15,[6]HISTOJANV25!$A$6:$AV$47,9,0)</f>
        <v>BANQUE</v>
      </c>
      <c r="F15" s="7">
        <f>VLOOKUP($A15,[6]HISTOJANV25!$A$6:$AV$47,36,0)</f>
        <v>0</v>
      </c>
      <c r="G15" s="7">
        <f>VLOOKUP($A15,[6]HISTOJANV25!$A$6:$AV$47,39,0)</f>
        <v>0</v>
      </c>
      <c r="H15" s="7" t="str">
        <f>IF(G15=0,"",VLOOKUP($A15,[6]HISTOFEV25!$A$6:$AV$47,42,0))</f>
        <v/>
      </c>
      <c r="I15" s="7">
        <f>VLOOKUP($A15,[6]HISTOJANV25!$A$6:$AV$47,41,0)</f>
        <v>0</v>
      </c>
      <c r="J15" s="7"/>
      <c r="K15" s="7">
        <f>VLOOKUP($A15,[6]HISTOJANV25!$A$6:$AV$47,17,0)</f>
        <v>0</v>
      </c>
      <c r="L15" s="7" t="str">
        <f>IF(K15&lt;&gt;0,VLOOKUP($A15,[6]HISTOJANV25!$A$6:$BB$47,9,0),"ECHEC")</f>
        <v>ECHEC</v>
      </c>
      <c r="M15" s="7">
        <f>IF(P15=0,0,VLOOKUP($A15,[6]HISTOJANV25!$A$6:$AV$47,32,0))</f>
        <v>0</v>
      </c>
      <c r="N15" s="7">
        <f>VLOOKUP($A15,[6]HISTOJANV25!$A$6:$AV$47,33,0)</f>
        <v>0</v>
      </c>
      <c r="O15" s="7">
        <f t="shared" si="0"/>
        <v>0</v>
      </c>
      <c r="P15" s="7">
        <f>VLOOKUP($A15,[6]HISTOJANV25!$A$6:$AV$47,30,0)</f>
        <v>0</v>
      </c>
    </row>
    <row r="16" spans="1:16" x14ac:dyDescent="0.35">
      <c r="A16" s="23" t="s">
        <v>59</v>
      </c>
      <c r="B16" s="7">
        <f>IF(D16=0,0,VLOOKUP($A16,[6]HISTOJANV25!$A$6:$BB$47,12,0))</f>
        <v>1</v>
      </c>
      <c r="C16" s="1" t="str">
        <f>VLOOKUP(A16,[7]LISTADHERENT!A$5:H$60,3,0)</f>
        <v>YANTCHOU GERVAIS</v>
      </c>
      <c r="D16" s="7">
        <f>IF(E16="ECHEC",0,VLOOKUP($A16,[6]HISTOJANV25!$A$6:$AR$47,13,0))</f>
        <v>75000</v>
      </c>
      <c r="E16" s="7" t="str">
        <f>VLOOKUP($A16,[6]HISTOJANV25!$A$6:$AV$47,9,0)</f>
        <v>BANQUE</v>
      </c>
      <c r="F16" s="7">
        <f>VLOOKUP($A16,[6]HISTOJANV25!$A$6:$AV$47,36,0)</f>
        <v>0</v>
      </c>
      <c r="G16" s="7">
        <f>VLOOKUP($A16,[6]HISTOJANV25!$A$6:$AV$47,39,0)</f>
        <v>0</v>
      </c>
      <c r="H16" s="7" t="str">
        <f>IF(G16=0,"",VLOOKUP($A16,[6]HISTOFEV25!$A$6:$AV$47,42,0))</f>
        <v/>
      </c>
      <c r="I16" s="7">
        <f>VLOOKUP($A16,[6]HISTOJANV25!$A$6:$AV$47,41,0)</f>
        <v>0</v>
      </c>
      <c r="J16" s="7"/>
      <c r="K16" s="7">
        <f>VLOOKUP($A16,[6]HISTOJANV25!$A$6:$AV$47,17,0)</f>
        <v>0</v>
      </c>
      <c r="L16" s="7" t="str">
        <f>IF(K16&lt;&gt;0,VLOOKUP($A16,[6]HISTOJANV25!$A$6:$BB$47,9,0),"ECHEC")</f>
        <v>ECHEC</v>
      </c>
      <c r="M16" s="7">
        <f>IF(P16=0,0,VLOOKUP($A16,[6]HISTOJANV25!$A$6:$AV$47,32,0))</f>
        <v>0</v>
      </c>
      <c r="N16" s="7">
        <f>VLOOKUP($A16,[6]HISTOJANV25!$A$6:$AV$47,33,0)</f>
        <v>0</v>
      </c>
      <c r="O16" s="7">
        <f t="shared" ref="O16" si="2">IF(P16=0,0,($C$3-P16))</f>
        <v>0</v>
      </c>
      <c r="P16" s="7">
        <f>VLOOKUP($A16,[6]HISTOJANV25!$A$6:$AV$47,30,0)</f>
        <v>0</v>
      </c>
    </row>
    <row r="17" spans="1:16" x14ac:dyDescent="0.35">
      <c r="A17" s="1" t="s">
        <v>19</v>
      </c>
      <c r="B17" s="7">
        <f>IF(D17=0,0,VLOOKUP($A17,[6]HISTOJANV25!$A$6:$BB$47,12,0))</f>
        <v>1</v>
      </c>
      <c r="C17" s="1" t="str">
        <f>VLOOKUP(A17,[7]LISTADHERENT!A$5:H$60,3,0)</f>
        <v>YOUMBI EMMANUEL</v>
      </c>
      <c r="D17" s="7">
        <f>IF(E17="ECHEC",0,VLOOKUP($A17,[6]HISTOJANV25!$A$6:$AR$47,13,0))</f>
        <v>75000</v>
      </c>
      <c r="E17" s="7" t="str">
        <f>VLOOKUP($A17,[6]HISTOJANV25!$A$6:$AV$47,9,0)</f>
        <v>BANQUE</v>
      </c>
      <c r="F17" s="7">
        <f>VLOOKUP($A17,[6]HISTOJANV25!$A$6:$AV$47,36,0)</f>
        <v>0</v>
      </c>
      <c r="G17" s="7">
        <f>VLOOKUP($A17,[6]HISTOJANV25!$A$6:$AV$47,39,0)</f>
        <v>0</v>
      </c>
      <c r="H17" s="7" t="str">
        <f>IF(G17=0,"",VLOOKUP($A17,[6]HISTOFEV25!$A$6:$AV$47,42,0))</f>
        <v/>
      </c>
      <c r="I17" s="7">
        <f>VLOOKUP($A17,[6]HISTOJANV25!$A$6:$AV$47,41,0)</f>
        <v>0</v>
      </c>
      <c r="J17" s="7"/>
      <c r="K17" s="7">
        <f>VLOOKUP($A17,[6]HISTOJANV25!$A$6:$AV$47,17,0)</f>
        <v>0</v>
      </c>
      <c r="L17" s="7" t="str">
        <f>IF(K17&lt;&gt;0,VLOOKUP($A17,[6]HISTOJANV25!$A$6:$BB$47,9,0),"ECHEC")</f>
        <v>ECHEC</v>
      </c>
      <c r="M17" s="7">
        <f>IF(P17=0,0,VLOOKUP($A17,[6]HISTOJANV25!$A$6:$AV$47,32,0))</f>
        <v>0</v>
      </c>
      <c r="N17" s="7">
        <f>VLOOKUP($A17,[6]HISTOJANV25!$A$6:$AV$47,33,0)</f>
        <v>0</v>
      </c>
      <c r="O17" s="7">
        <f t="shared" si="0"/>
        <v>0</v>
      </c>
      <c r="P17" s="7">
        <f>VLOOKUP($A17,[6]HISTOJANV25!$A$6:$AV$47,30,0)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3">SUM(D6:D19)</f>
        <v>975000</v>
      </c>
      <c r="E20" s="8">
        <f t="shared" si="3"/>
        <v>0</v>
      </c>
      <c r="F20" s="8">
        <f t="shared" si="3"/>
        <v>0</v>
      </c>
      <c r="G20" s="8">
        <f t="shared" si="3"/>
        <v>0</v>
      </c>
      <c r="H20" s="8">
        <f t="shared" si="3"/>
        <v>0</v>
      </c>
      <c r="I20" s="8">
        <f t="shared" si="3"/>
        <v>0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0</v>
      </c>
      <c r="O20" s="8">
        <f t="shared" si="3"/>
        <v>892500</v>
      </c>
      <c r="P20" s="8">
        <f t="shared" si="3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</f>
        <v>982500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0</v>
      </c>
      <c r="F24" s="8">
        <f>SUMIFS(F7:F19,H7:H19,"BANQUE")</f>
        <v>0</v>
      </c>
      <c r="G24" s="8">
        <f>SUMIFS(O7:O19,M7:M19,"BANQUE")</f>
        <v>892500</v>
      </c>
      <c r="H24" s="8">
        <f>D24+E24-F24-G24</f>
        <v>82500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82500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0</v>
      </c>
      <c r="F26" s="8">
        <f>F23+F24</f>
        <v>0</v>
      </c>
      <c r="G26" s="8">
        <f t="shared" ref="G26:H26" si="4">G23+G24</f>
        <v>892500</v>
      </c>
      <c r="H26" s="8">
        <f t="shared" si="4"/>
        <v>82500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82500</v>
      </c>
      <c r="L27"/>
      <c r="M27" s="8">
        <f>K27</f>
        <v>82500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0</v>
      </c>
      <c r="M30" s="8">
        <f>+K30</f>
        <v>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9B63-8C66-4864-8DA5-E7C99E296468}">
  <dimension ref="A1:P30"/>
  <sheetViews>
    <sheetView zoomScale="112" zoomScaleNormal="112" workbookViewId="0">
      <pane xSplit="3" ySplit="5" topLeftCell="E15" activePane="bottomRight" state="frozen"/>
      <selection activeCell="G6" sqref="G6:G39"/>
      <selection pane="topRight" activeCell="G6" sqref="G6:G39"/>
      <selection pane="bottomLeft" activeCell="G6" sqref="G6:G39"/>
      <selection pane="bottomRight" activeCell="F11" sqref="F11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45701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IF(D6=0,0,VLOOKUP($A6,[6]HISTOFEV25!$A$6:$BB$47,12,0))</f>
        <v>2</v>
      </c>
      <c r="C6" s="1" t="str">
        <f>VLOOKUP(A6,[7]LISTADHERENT!A$5:H$60,3,0)</f>
        <v>ASELBY</v>
      </c>
      <c r="D6" s="7">
        <f>IF(E6="ECHEC",0,VLOOKUP($A6,[6]HISTOFEV25!$A$6:$AR$47,13,0))</f>
        <v>150000</v>
      </c>
      <c r="E6" s="7" t="str">
        <f>VLOOKUP($A6,[6]HISTOFEV25!$A$6:$AV$47,9,0)</f>
        <v>BANQUE</v>
      </c>
      <c r="F6" s="7">
        <f>VLOOKUP($A6,[6]HISTOFEV25!$A$6:$AV$47,36,0)</f>
        <v>0</v>
      </c>
      <c r="G6" s="7">
        <f>VLOOKUP($A6,[6]HISTOFEV25!$A$6:$AV$47,39,0)</f>
        <v>0</v>
      </c>
      <c r="H6" s="7" t="str">
        <f>IF(G6=0,"",VLOOKUP($A6,[6]HISTOFEV25!$A$6:$AV$47,42,0))</f>
        <v/>
      </c>
      <c r="I6" s="7">
        <f>VLOOKUP($A6,[6]HISTOFEV25!$A$6:$AV$47,41,0)</f>
        <v>0</v>
      </c>
      <c r="J6" s="7">
        <f>+TONTJANV25!F6+TONTJANV25!G6</f>
        <v>0</v>
      </c>
      <c r="K6" s="7">
        <f>VLOOKUP($A6,[6]HISTOFEV25!$A$6:$AV$47,17,0)</f>
        <v>0</v>
      </c>
      <c r="L6" s="7" t="str">
        <f>IF(K6&lt;&gt;0,VLOOKUP($A6,[6]HISTOFEV25!$A$6:$BB$47,42,0),"ECHEC")</f>
        <v>ECHEC</v>
      </c>
      <c r="M6" s="7">
        <f>IF(P6=0,0,VLOOKUP($A6,[6]HISTOFEV25!$A$6:$AV$47,32,0))</f>
        <v>0</v>
      </c>
      <c r="N6" s="7">
        <f>VLOOKUP($A6,[6]HISTOFEV25!$A$6:$AV$47,33,0)</f>
        <v>0</v>
      </c>
      <c r="O6" s="7">
        <f t="shared" ref="O6:O17" si="0">IF(P6=0,0,($C$3-P6))</f>
        <v>0</v>
      </c>
      <c r="P6" s="7">
        <f>VLOOKUP($A6,[6]HISTOFEV25!$A$6:$AV$47,30,0)</f>
        <v>0</v>
      </c>
    </row>
    <row r="7" spans="1:16" x14ac:dyDescent="0.35">
      <c r="A7" s="1" t="s">
        <v>24</v>
      </c>
      <c r="B7" s="7">
        <f>IF(D7=0,0,VLOOKUP($A7,[6]HISTOFEV25!$A$6:$BB$47,12,0))</f>
        <v>1</v>
      </c>
      <c r="C7" s="1" t="str">
        <f>VLOOKUP(A7,[7]LISTADHERENT!A$5:H$60,3,0)</f>
        <v>BOUTCHOUANG WILLIAM</v>
      </c>
      <c r="D7" s="7">
        <f>IF(E7="ECHEC",0,VLOOKUP($A7,[6]HISTOFEV25!$A$6:$AR$47,13,0))</f>
        <v>75000</v>
      </c>
      <c r="E7" s="7" t="str">
        <f>VLOOKUP($A7,[6]HISTOFEV25!$A$6:$AV$47,9,0)</f>
        <v>BANQUE</v>
      </c>
      <c r="F7" s="7">
        <f>VLOOKUP($A7,[6]HISTOFEV25!$A$6:$AV$47,36,0)</f>
        <v>100000</v>
      </c>
      <c r="G7" s="7">
        <f>VLOOKUP($A7,[6]HISTOFEV25!$A$6:$AV$47,39,0)</f>
        <v>3000</v>
      </c>
      <c r="H7" s="7" t="str">
        <f>IF(G7=0,"",VLOOKUP($A7,[6]HISTOFEV25!$A$6:$AV$47,42,0))</f>
        <v>BANQUE</v>
      </c>
      <c r="I7" s="7">
        <f>VLOOKUP($A7,[6]HISTOFEV25!$A$6:$AV$47,41,0)</f>
        <v>0</v>
      </c>
      <c r="J7" s="7">
        <f>+TONTJANV25!F7+TONTJANV25!G7</f>
        <v>0</v>
      </c>
      <c r="K7" s="7">
        <f>VLOOKUP($A7,[6]HISTOFEV25!$A$6:$AV$47,17,0)</f>
        <v>0</v>
      </c>
      <c r="L7" s="7" t="str">
        <f>IF(K7&lt;&gt;0,VLOOKUP($A7,[6]HISTOFEV25!$A$6:$BB$47,42,0),"ECHEC")</f>
        <v>ECHEC</v>
      </c>
      <c r="M7" s="7">
        <f>IF(P7=0,0,VLOOKUP($A7,[6]HISTOFEV25!$A$6:$AV$47,32,0))</f>
        <v>0</v>
      </c>
      <c r="N7" s="7">
        <f>VLOOKUP($A7,[6]HISTOFEV25!$A$6:$AV$47,33,0)</f>
        <v>0</v>
      </c>
      <c r="O7" s="7">
        <f t="shared" si="0"/>
        <v>0</v>
      </c>
      <c r="P7" s="7">
        <f>VLOOKUP($A7,[6]HISTOFEV25!$A$6:$AV$47,30,0)</f>
        <v>0</v>
      </c>
    </row>
    <row r="8" spans="1:16" x14ac:dyDescent="0.35">
      <c r="A8" s="1" t="s">
        <v>18</v>
      </c>
      <c r="B8" s="7">
        <f>IF(D8=0,0,VLOOKUP($A8,[6]HISTOFEV25!$A$6:$BB$47,12,0))</f>
        <v>1</v>
      </c>
      <c r="C8" s="1" t="str">
        <f>VLOOKUP(A8,[7]LISTADHERENT!A$5:H$60,3,0)</f>
        <v>HOTCHO BENJAMIN</v>
      </c>
      <c r="D8" s="7">
        <f>IF(E8="ECHEC",0,VLOOKUP($A8,[6]HISTOFEV25!$A$6:$AR$47,13,0))</f>
        <v>75000</v>
      </c>
      <c r="E8" s="7" t="str">
        <f>VLOOKUP($A8,[6]HISTOFEV25!$A$6:$AV$47,9,0)</f>
        <v>BANQUE</v>
      </c>
      <c r="F8" s="7">
        <f>VLOOKUP($A8,[6]HISTOFEV25!$A$6:$AV$47,36,0)</f>
        <v>0</v>
      </c>
      <c r="G8" s="7">
        <f>VLOOKUP($A8,[6]HISTOFEV25!$A$6:$AV$47,39,0)</f>
        <v>0</v>
      </c>
      <c r="H8" s="7" t="str">
        <f>IF(G8=0,"",VLOOKUP($A8,[6]HISTOFEV25!$A$6:$AV$47,42,0))</f>
        <v/>
      </c>
      <c r="I8" s="7">
        <f>VLOOKUP($A8,[6]HISTOFEV25!$A$6:$AV$47,41,0)</f>
        <v>0</v>
      </c>
      <c r="J8" s="7">
        <f>+TONTJANV25!F8+TONTJANV25!G8</f>
        <v>0</v>
      </c>
      <c r="K8" s="7">
        <f>VLOOKUP($A8,[6]HISTOFEV25!$A$6:$AV$47,17,0)</f>
        <v>0</v>
      </c>
      <c r="L8" s="7" t="str">
        <f>IF(K8&lt;&gt;0,VLOOKUP($A8,[6]HISTOFEV25!$A$6:$BB$47,42,0),"ECHEC")</f>
        <v>ECHEC</v>
      </c>
      <c r="M8" s="7">
        <f>IF(P8=0,0,VLOOKUP($A8,[6]HISTOFEV25!$A$6:$AV$47,32,0))</f>
        <v>0</v>
      </c>
      <c r="N8" s="7">
        <f>VLOOKUP($A8,[6]HISTOFEV25!$A$6:$AV$47,33,0)</f>
        <v>0</v>
      </c>
      <c r="O8" s="7">
        <f t="shared" si="0"/>
        <v>0</v>
      </c>
      <c r="P8" s="7">
        <f>VLOOKUP($A8,[6]HISTOFEV25!$A$6:$AV$47,30,0)</f>
        <v>0</v>
      </c>
    </row>
    <row r="9" spans="1:16" x14ac:dyDescent="0.35">
      <c r="A9" s="1" t="s">
        <v>60</v>
      </c>
      <c r="B9" s="7">
        <f>IF(D9=0,0,VLOOKUP($A9,[6]HISTOFEV25!$A$6:$BB$47,12,0))</f>
        <v>1</v>
      </c>
      <c r="C9" s="1" t="str">
        <f>VLOOKUP(A9,[7]LISTADHERENT!A$5:H$60,3,0)</f>
        <v>KOUATCHO MESSACK</v>
      </c>
      <c r="D9" s="7">
        <f>IF(E9="ECHEC",0,VLOOKUP($A9,[6]HISTOFEV25!$A$6:$AR$47,13,0))</f>
        <v>75000</v>
      </c>
      <c r="E9" s="7" t="str">
        <f>VLOOKUP($A9,[6]HISTOFEV25!$A$6:$AV$47,9,0)</f>
        <v>BANQUE</v>
      </c>
      <c r="F9" s="7">
        <f>VLOOKUP($A9,[6]HISTOFEV25!$A$6:$AV$47,36,0)</f>
        <v>53000</v>
      </c>
      <c r="G9" s="7">
        <f>VLOOKUP($A9,[6]HISTOFEV25!$A$6:$AV$47,39,0)</f>
        <v>1500</v>
      </c>
      <c r="H9" s="7" t="str">
        <f>IF(G9=0,"",VLOOKUP($A9,[6]HISTOFEV25!$A$6:$AV$47,42,0))</f>
        <v>BANQUE</v>
      </c>
      <c r="I9" s="7">
        <f>VLOOKUP($A9,[6]HISTOFEV25!$A$6:$AV$47,41,0)</f>
        <v>0</v>
      </c>
      <c r="J9" s="7">
        <f>+TONTJANV25!F9+TONTJANV25!G9</f>
        <v>0</v>
      </c>
      <c r="K9" s="7">
        <f>VLOOKUP($A9,[6]HISTOFEV25!$A$6:$AV$47,17,0)</f>
        <v>0</v>
      </c>
      <c r="L9" s="7" t="str">
        <f>IF(K9&lt;&gt;0,VLOOKUP($A9,[6]HISTOFEV25!$A$6:$BB$47,42,0),"ECHEC")</f>
        <v>ECHEC</v>
      </c>
      <c r="M9" s="7">
        <f>IF(P9=0,0,VLOOKUP($A9,[6]HISTOFEV25!$A$6:$AV$47,32,0))</f>
        <v>0</v>
      </c>
      <c r="N9" s="7">
        <f>VLOOKUP($A9,[6]HISTOFEV25!$A$6:$AV$47,33,0)</f>
        <v>0</v>
      </c>
      <c r="O9" s="7">
        <f t="shared" ref="O9" si="1">IF(P9=0,0,($C$3-P9))</f>
        <v>0</v>
      </c>
      <c r="P9" s="7">
        <f>VLOOKUP($A9,[6]HISTOFEV25!$A$6:$AV$47,30,0)</f>
        <v>0</v>
      </c>
    </row>
    <row r="10" spans="1:16" x14ac:dyDescent="0.35">
      <c r="A10" s="1" t="s">
        <v>26</v>
      </c>
      <c r="B10" s="7">
        <f>IF(D10=0,0,VLOOKUP($A10,[6]HISTOFEV25!$A$6:$BB$47,12,0))</f>
        <v>1</v>
      </c>
      <c r="C10" s="1" t="str">
        <f>VLOOKUP(A10,[7]LISTADHERENT!A$5:H$60,3,0)</f>
        <v>HENGUE PAUL OMER</v>
      </c>
      <c r="D10" s="7">
        <f>IF(E10="ECHEC",0,VLOOKUP($A10,[6]HISTOFEV25!$A$6:$AR$47,13,0))</f>
        <v>75000</v>
      </c>
      <c r="E10" s="7" t="str">
        <f>VLOOKUP($A10,[6]HISTOFEV25!$A$6:$AV$47,9,0)</f>
        <v>BANQUE</v>
      </c>
      <c r="F10" s="7">
        <f>VLOOKUP($A10,[6]HISTOFEV25!$A$6:$AV$47,36,0)</f>
        <v>0</v>
      </c>
      <c r="G10" s="7">
        <f>VLOOKUP($A10,[6]HISTOFEV25!$A$6:$AV$47,39,0)</f>
        <v>0</v>
      </c>
      <c r="H10" s="7" t="str">
        <f>IF(G10=0,"",VLOOKUP($A10,[6]HISTOFEV25!$A$6:$AV$47,42,0))</f>
        <v/>
      </c>
      <c r="I10" s="7">
        <f>VLOOKUP($A10,[6]HISTOFEV25!$A$6:$AV$47,41,0)</f>
        <v>0</v>
      </c>
      <c r="J10" s="7">
        <f>+TONTJANV25!F10+TONTJANV25!G10</f>
        <v>0</v>
      </c>
      <c r="K10" s="7">
        <f>VLOOKUP($A10,[6]HISTOFEV25!$A$6:$AV$47,17,0)</f>
        <v>0</v>
      </c>
      <c r="L10" s="7" t="str">
        <f>IF(K10&lt;&gt;0,VLOOKUP($A10,[6]HISTOFEV25!$A$6:$BB$47,42,0),"ECHEC")</f>
        <v>ECHEC</v>
      </c>
      <c r="M10" s="7">
        <f>IF(P10=0,0,VLOOKUP($A10,[6]HISTOFEV25!$A$6:$AV$47,32,0))</f>
        <v>0</v>
      </c>
      <c r="N10" s="7">
        <f>VLOOKUP($A10,[6]HISTOFEV25!$A$6:$AV$47,33,0)</f>
        <v>0</v>
      </c>
      <c r="O10" s="7">
        <f t="shared" si="0"/>
        <v>0</v>
      </c>
      <c r="P10" s="7">
        <f>VLOOKUP($A10,[6]HISTOFEV25!$A$6:$AV$47,30,0)</f>
        <v>0</v>
      </c>
    </row>
    <row r="11" spans="1:16" x14ac:dyDescent="0.35">
      <c r="A11" s="1" t="s">
        <v>21</v>
      </c>
      <c r="B11" s="7">
        <f>IF(D11=0,0,VLOOKUP($A11,[6]HISTOFEV25!$A$6:$BB$47,12,0))</f>
        <v>1</v>
      </c>
      <c r="C11" s="1" t="str">
        <f>VLOOKUP(A11,[7]LISTADHERENT!A$5:H$60,3,0)</f>
        <v>MBOGNING TUGMA GUY</v>
      </c>
      <c r="D11" s="7">
        <f>IF(E11="ECHEC",0,VLOOKUP($A11,[6]HISTOFEV25!$A$6:$AR$47,13,0))</f>
        <v>75000</v>
      </c>
      <c r="E11" s="7" t="str">
        <f>VLOOKUP($A11,[6]HISTOFEV25!$A$6:$AV$47,9,0)</f>
        <v>BANQUE</v>
      </c>
      <c r="F11" s="7">
        <f>VLOOKUP($A11,[6]HISTOFEV25!$A$6:$AV$47,36,0)</f>
        <v>50000</v>
      </c>
      <c r="G11" s="7">
        <f>VLOOKUP($A11,[6]HISTOFEV25!$A$6:$AV$47,39,0)</f>
        <v>1000</v>
      </c>
      <c r="H11" s="7" t="str">
        <f>IF(G11=0,"",VLOOKUP($A11,[6]HISTOFEV25!$A$6:$AV$47,42,0))</f>
        <v>BANQUE</v>
      </c>
      <c r="I11" s="7">
        <f>VLOOKUP($A11,[6]HISTOFEV25!$A$6:$AV$47,41,0)</f>
        <v>0</v>
      </c>
      <c r="J11" s="7">
        <f>+TONTJANV25!F11+TONTJANV25!G11</f>
        <v>0</v>
      </c>
      <c r="K11" s="7">
        <f>VLOOKUP($A11,[6]HISTOFEV25!$A$6:$AV$47,17,0)</f>
        <v>0</v>
      </c>
      <c r="L11" s="7" t="str">
        <f>IF(K11&lt;&gt;0,VLOOKUP($A11,[6]HISTOFEV25!$A$6:$BB$47,42,0),"ECHEC")</f>
        <v>ECHEC</v>
      </c>
      <c r="M11" s="7" t="str">
        <f>IF(P11=0,0,VLOOKUP($A11,[6]HISTOFEV25!$A$6:$AV$47,32,0))</f>
        <v>BANQUE</v>
      </c>
      <c r="N11" s="7">
        <f>VLOOKUP($A11,[6]HISTOFEV25!$A$6:$AV$47,33,0)</f>
        <v>0</v>
      </c>
      <c r="O11" s="7">
        <f t="shared" si="0"/>
        <v>855000</v>
      </c>
      <c r="P11" s="7">
        <f>VLOOKUP($A11,[6]HISTOFEV25!$A$6:$AV$47,30,0)</f>
        <v>45000</v>
      </c>
    </row>
    <row r="12" spans="1:16" x14ac:dyDescent="0.35">
      <c r="A12" s="1" t="s">
        <v>8</v>
      </c>
      <c r="B12" s="7">
        <f>IF(D12=0,0,VLOOKUP($A12,[6]HISTOFEV25!$A$6:$BB$47,12,0))</f>
        <v>1</v>
      </c>
      <c r="C12" s="1" t="str">
        <f>VLOOKUP(A12,[7]LISTADHERENT!A$5:H$60,3,0)</f>
        <v>NANKAM APPOLINAIRE</v>
      </c>
      <c r="D12" s="7">
        <f>IF(E12="ECHEC",0,VLOOKUP($A12,[6]HISTOFEV25!$A$6:$AR$47,13,0))</f>
        <v>75000</v>
      </c>
      <c r="E12" s="7" t="str">
        <f>VLOOKUP($A12,[6]HISTOFEV25!$A$6:$AV$47,9,0)</f>
        <v>BANQUE</v>
      </c>
      <c r="F12" s="7">
        <f>VLOOKUP($A12,[6]HISTOFEV25!$A$6:$AV$47,36,0)</f>
        <v>0</v>
      </c>
      <c r="G12" s="7">
        <f>VLOOKUP($A12,[6]HISTOFEV25!$A$6:$AV$47,39,0)</f>
        <v>0</v>
      </c>
      <c r="H12" s="7" t="str">
        <f>IF(G12=0,"",VLOOKUP($A12,[6]HISTOFEV25!$A$6:$AV$47,42,0))</f>
        <v/>
      </c>
      <c r="I12" s="7">
        <f>VLOOKUP($A12,[6]HISTOFEV25!$A$6:$AV$47,41,0)</f>
        <v>0</v>
      </c>
      <c r="J12" s="7">
        <f>+TONTJANV25!F12+TONTJANV25!G12</f>
        <v>0</v>
      </c>
      <c r="K12" s="7">
        <f>VLOOKUP($A12,[6]HISTOFEV25!$A$6:$AV$47,17,0)</f>
        <v>0</v>
      </c>
      <c r="L12" s="7" t="str">
        <f>IF(K12&lt;&gt;0,VLOOKUP($A12,[6]HISTOFEV25!$A$6:$BB$47,42,0),"ECHEC")</f>
        <v>ECHEC</v>
      </c>
      <c r="M12" s="7">
        <f>IF(P12=0,0,VLOOKUP($A12,[6]HISTOFEV25!$A$6:$AV$47,32,0))</f>
        <v>0</v>
      </c>
      <c r="N12" s="7">
        <f>VLOOKUP($A12,[6]HISTOFEV25!$A$6:$AV$47,33,0)</f>
        <v>0</v>
      </c>
      <c r="O12" s="7">
        <f t="shared" si="0"/>
        <v>0</v>
      </c>
      <c r="P12" s="7">
        <f>VLOOKUP($A12,[6]HISTOFEV25!$A$6:$AV$47,30,0)</f>
        <v>0</v>
      </c>
    </row>
    <row r="13" spans="1:16" x14ac:dyDescent="0.35">
      <c r="A13" s="1" t="s">
        <v>35</v>
      </c>
      <c r="B13" s="7">
        <f>IF(D13=0,0,VLOOKUP($A13,[6]HISTOFEV25!$A$6:$BB$47,12,0))</f>
        <v>1</v>
      </c>
      <c r="C13" s="1" t="str">
        <f>VLOOKUP(A13,[7]LISTADHERENT!A$5:H$60,3,0)</f>
        <v>NGONDIEP CLAUDE</v>
      </c>
      <c r="D13" s="7">
        <f>IF(E13="ECHEC",0,VLOOKUP($A13,[6]HISTOFEV25!$A$6:$AR$47,13,0))</f>
        <v>75000</v>
      </c>
      <c r="E13" s="7" t="str">
        <f>VLOOKUP($A13,[6]HISTOFEV25!$A$6:$AV$47,9,0)</f>
        <v>BANQUE</v>
      </c>
      <c r="F13" s="7">
        <f>VLOOKUP($A13,[6]HISTOFEV25!$A$6:$AV$47,36,0)</f>
        <v>0</v>
      </c>
      <c r="G13" s="7">
        <f>VLOOKUP($A13,[6]HISTOFEV25!$A$6:$AV$47,39,0)</f>
        <v>0</v>
      </c>
      <c r="H13" s="7" t="str">
        <f>IF(G13=0,"",VLOOKUP($A13,[6]HISTOFEV25!$A$6:$AV$47,42,0))</f>
        <v/>
      </c>
      <c r="I13" s="7">
        <f>VLOOKUP($A13,[6]HISTOFEV25!$A$6:$AV$47,41,0)</f>
        <v>0</v>
      </c>
      <c r="J13" s="7">
        <f>+TONTJANV25!F13+TONTJANV25!G13</f>
        <v>0</v>
      </c>
      <c r="K13" s="7">
        <f>VLOOKUP($A13,[6]HISTOFEV25!$A$6:$AV$47,17,0)</f>
        <v>0</v>
      </c>
      <c r="L13" s="7" t="str">
        <f>IF(K13&lt;&gt;0,VLOOKUP($A13,[6]HISTOFEV25!$A$6:$BB$47,42,0),"ECHEC")</f>
        <v>ECHEC</v>
      </c>
      <c r="M13" s="7">
        <f>IF(P13=0,0,VLOOKUP($A13,[6]HISTOFEV25!$A$6:$AV$47,32,0))</f>
        <v>0</v>
      </c>
      <c r="N13" s="7">
        <f>VLOOKUP($A13,[6]HISTOFEV25!$A$6:$AV$47,33,0)</f>
        <v>0</v>
      </c>
      <c r="O13" s="7">
        <f t="shared" si="0"/>
        <v>0</v>
      </c>
      <c r="P13" s="7">
        <f>VLOOKUP($A13,[6]HISTOFEV25!$A$6:$AV$47,30,0)</f>
        <v>0</v>
      </c>
    </row>
    <row r="14" spans="1:16" x14ac:dyDescent="0.35">
      <c r="A14" s="1" t="s">
        <v>27</v>
      </c>
      <c r="B14" s="7">
        <f>IF(D14=0,0,VLOOKUP($A14,[6]HISTOFEV25!$A$6:$BB$47,12,0))</f>
        <v>1</v>
      </c>
      <c r="C14" s="1" t="str">
        <f>VLOOKUP(A14,[7]LISTADHERENT!A$5:H$60,3,0)</f>
        <v>PATEGO NJOSSU GUSTAVE</v>
      </c>
      <c r="D14" s="7">
        <f>IF(E14="ECHEC",0,VLOOKUP($A14,[6]HISTOFEV25!$A$6:$AR$47,13,0))</f>
        <v>75000</v>
      </c>
      <c r="E14" s="7" t="str">
        <f>VLOOKUP($A14,[6]HISTOFEV25!$A$6:$AV$47,9,0)</f>
        <v>BANQUE</v>
      </c>
      <c r="F14" s="7">
        <f>VLOOKUP($A14,[6]HISTOFEV25!$A$6:$AV$47,36,0)</f>
        <v>0</v>
      </c>
      <c r="G14" s="7">
        <f>VLOOKUP($A14,[6]HISTOFEV25!$A$6:$AV$47,39,0)</f>
        <v>0</v>
      </c>
      <c r="H14" s="7" t="str">
        <f>IF(G14=0,"",VLOOKUP($A14,[6]HISTOFEV25!$A$6:$AV$47,42,0))</f>
        <v/>
      </c>
      <c r="I14" s="7">
        <f>VLOOKUP($A14,[6]HISTOFEV25!$A$6:$AV$47,41,0)</f>
        <v>0</v>
      </c>
      <c r="J14" s="7">
        <f>+TONTJANV25!F14+TONTJANV25!G14</f>
        <v>0</v>
      </c>
      <c r="K14" s="7">
        <f>VLOOKUP($A14,[6]HISTOFEV25!$A$6:$AV$47,17,0)</f>
        <v>0</v>
      </c>
      <c r="L14" s="7" t="str">
        <f>IF(K14&lt;&gt;0,VLOOKUP($A14,[6]HISTOFEV25!$A$6:$BB$47,42,0),"ECHEC")</f>
        <v>ECHEC</v>
      </c>
      <c r="M14" s="7">
        <f>IF(P14=0,0,VLOOKUP($A14,[6]HISTOFEV25!$A$6:$AV$47,32,0))</f>
        <v>0</v>
      </c>
      <c r="N14" s="7">
        <f>VLOOKUP($A14,[6]HISTOFEV25!$A$6:$AV$47,33,0)</f>
        <v>0</v>
      </c>
      <c r="O14" s="7">
        <f t="shared" si="0"/>
        <v>0</v>
      </c>
      <c r="P14" s="7">
        <f>VLOOKUP($A14,[6]HISTOFEV25!$A$6:$AV$47,30,0)</f>
        <v>0</v>
      </c>
    </row>
    <row r="15" spans="1:16" x14ac:dyDescent="0.35">
      <c r="A15" s="9" t="s">
        <v>48</v>
      </c>
      <c r="B15" s="7">
        <f>IF(D15=0,0,VLOOKUP($A15,[6]HISTOFEV25!$A$6:$BB$47,12,0))</f>
        <v>1</v>
      </c>
      <c r="C15" s="1" t="str">
        <f>VLOOKUP(A15,[7]LISTADHERENT!A$5:H$60,3,0)</f>
        <v>TCHOUAMOU MATHIEU</v>
      </c>
      <c r="D15" s="7">
        <f>IF(E15="ECHEC",0,VLOOKUP($A15,[6]HISTOFEV25!$A$6:$AR$47,13,0))</f>
        <v>75000</v>
      </c>
      <c r="E15" s="7" t="str">
        <f>VLOOKUP($A15,[6]HISTOFEV25!$A$6:$AV$47,9,0)</f>
        <v>BANQUE</v>
      </c>
      <c r="F15" s="7">
        <f>VLOOKUP($A15,[6]HISTOFEV25!$A$6:$AV$47,36,0)</f>
        <v>0</v>
      </c>
      <c r="G15" s="7">
        <f>VLOOKUP($A15,[6]HISTOFEV25!$A$6:$AV$47,39,0)</f>
        <v>0</v>
      </c>
      <c r="H15" s="7" t="str">
        <f>IF(G15=0,"",VLOOKUP($A15,[6]HISTOFEV25!$A$6:$AV$47,42,0))</f>
        <v/>
      </c>
      <c r="I15" s="7">
        <f>VLOOKUP($A15,[6]HISTOFEV25!$A$6:$AV$47,41,0)</f>
        <v>0</v>
      </c>
      <c r="J15" s="7">
        <f>+TONTJANV25!F15+TONTJANV25!G15</f>
        <v>0</v>
      </c>
      <c r="K15" s="7">
        <f>VLOOKUP($A15,[6]HISTOFEV25!$A$6:$AV$47,17,0)</f>
        <v>0</v>
      </c>
      <c r="L15" s="7" t="str">
        <f>IF(K15&lt;&gt;0,VLOOKUP($A15,[6]HISTOFEV25!$A$6:$BB$47,42,0),"ECHEC")</f>
        <v>ECHEC</v>
      </c>
      <c r="M15" s="7">
        <f>IF(P15=0,0,VLOOKUP($A15,[6]HISTOFEV25!$A$6:$AV$47,32,0))</f>
        <v>0</v>
      </c>
      <c r="N15" s="7">
        <f>VLOOKUP($A15,[6]HISTOFEV25!$A$6:$AV$47,33,0)</f>
        <v>0</v>
      </c>
      <c r="O15" s="7">
        <f t="shared" si="0"/>
        <v>0</v>
      </c>
      <c r="P15" s="7">
        <f>VLOOKUP($A15,[6]HISTOFEV25!$A$6:$AV$47,30,0)</f>
        <v>0</v>
      </c>
    </row>
    <row r="16" spans="1:16" x14ac:dyDescent="0.35">
      <c r="A16" s="23" t="s">
        <v>59</v>
      </c>
      <c r="B16" s="7">
        <f>IF(D16=0,0,VLOOKUP($A16,[6]HISTOFEV25!$A$6:$BB$47,12,0))</f>
        <v>1</v>
      </c>
      <c r="C16" s="1" t="str">
        <f>VLOOKUP(A16,[7]LISTADHERENT!A$5:H$60,3,0)</f>
        <v>YANTCHOU GERVAIS</v>
      </c>
      <c r="D16" s="7">
        <f>IF(E16="ECHEC",0,VLOOKUP($A16,[6]HISTOFEV25!$A$6:$AR$47,13,0))</f>
        <v>75000</v>
      </c>
      <c r="E16" s="7" t="str">
        <f>VLOOKUP($A16,[6]HISTOFEV25!$A$6:$AV$47,9,0)</f>
        <v>BANQUE</v>
      </c>
      <c r="F16" s="7">
        <f>VLOOKUP($A16,[6]HISTOFEV25!$A$6:$AV$47,36,0)</f>
        <v>0</v>
      </c>
      <c r="G16" s="7">
        <f>VLOOKUP($A16,[6]HISTOFEV25!$A$6:$AV$47,39,0)</f>
        <v>0</v>
      </c>
      <c r="H16" s="7" t="str">
        <f>IF(G16=0,"",VLOOKUP($A16,[6]HISTOFEV25!$A$6:$AV$47,42,0))</f>
        <v/>
      </c>
      <c r="I16" s="7">
        <f>VLOOKUP($A16,[6]HISTOFEV25!$A$6:$AV$47,41,0)</f>
        <v>0</v>
      </c>
      <c r="J16" s="7">
        <f>+TONTJANV25!F16+TONTJANV25!G16</f>
        <v>0</v>
      </c>
      <c r="K16" s="7">
        <f>VLOOKUP($A16,[6]HISTOFEV25!$A$6:$AV$47,17,0)</f>
        <v>0</v>
      </c>
      <c r="L16" s="7" t="str">
        <f>IF(K16&lt;&gt;0,VLOOKUP($A16,[6]HISTOFEV25!$A$6:$BB$47,42,0),"ECHEC")</f>
        <v>ECHEC</v>
      </c>
      <c r="M16" s="7">
        <f>IF(P16=0,0,VLOOKUP($A16,[6]HISTOFEV25!$A$6:$AV$47,32,0))</f>
        <v>0</v>
      </c>
      <c r="N16" s="7">
        <f>VLOOKUP($A16,[6]HISTOFEV25!$A$6:$AV$47,33,0)</f>
        <v>0</v>
      </c>
      <c r="O16" s="7">
        <f t="shared" si="0"/>
        <v>0</v>
      </c>
      <c r="P16" s="7">
        <f>VLOOKUP($A16,[6]HISTOFEV25!$A$6:$AV$47,30,0)</f>
        <v>0</v>
      </c>
    </row>
    <row r="17" spans="1:16" x14ac:dyDescent="0.35">
      <c r="A17" s="1" t="s">
        <v>19</v>
      </c>
      <c r="B17" s="7">
        <f>IF(D17=0,0,VLOOKUP($A17,[6]HISTOFEV25!$A$6:$BB$47,12,0))</f>
        <v>1</v>
      </c>
      <c r="C17" s="1" t="str">
        <f>VLOOKUP(A17,[7]LISTADHERENT!A$5:H$60,3,0)</f>
        <v>YOUMBI EMMANUEL</v>
      </c>
      <c r="D17" s="7">
        <f>IF(E17="ECHEC",0,VLOOKUP($A17,[6]HISTOFEV25!$A$6:$AR$47,13,0))</f>
        <v>75000</v>
      </c>
      <c r="E17" s="7" t="str">
        <f>VLOOKUP($A17,[6]HISTOFEV25!$A$6:$AV$47,9,0)</f>
        <v>BANQUE</v>
      </c>
      <c r="F17" s="7">
        <f>VLOOKUP($A17,[6]HISTOFEV25!$A$6:$AV$47,36,0)</f>
        <v>0</v>
      </c>
      <c r="G17" s="7">
        <f>VLOOKUP($A17,[6]HISTOFEV25!$A$6:$AV$47,39,0)</f>
        <v>0</v>
      </c>
      <c r="H17" s="7" t="str">
        <f>IF(G17=0,"",VLOOKUP($A17,[6]HISTOFEV25!$A$6:$AV$47,42,0))</f>
        <v/>
      </c>
      <c r="I17" s="7">
        <f>VLOOKUP($A17,[6]HISTOFEV25!$A$6:$AV$47,41,0)</f>
        <v>0</v>
      </c>
      <c r="J17" s="7">
        <f>+TONTJANV25!F17+TONTJANV25!G17</f>
        <v>0</v>
      </c>
      <c r="K17" s="7">
        <f>VLOOKUP($A17,[6]HISTOFEV25!$A$6:$AV$47,17,0)</f>
        <v>0</v>
      </c>
      <c r="L17" s="7" t="str">
        <f>IF(K17&lt;&gt;0,VLOOKUP($A17,[6]HISTOFEV25!$A$6:$BB$47,42,0),"ECHEC")</f>
        <v>ECHEC</v>
      </c>
      <c r="M17" s="7">
        <f>IF(P17=0,0,VLOOKUP($A17,[6]HISTOFEV25!$A$6:$AV$47,32,0))</f>
        <v>0</v>
      </c>
      <c r="N17" s="7">
        <f>VLOOKUP($A17,[6]HISTOFEV25!$A$6:$AV$47,33,0)</f>
        <v>0</v>
      </c>
      <c r="O17" s="7">
        <f t="shared" si="0"/>
        <v>0</v>
      </c>
      <c r="P17" s="7">
        <f>VLOOKUP($A17,[6]HISTOFEV25!$A$6:$AV$47,30,0)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>SUM(D6:D19)+75000+625</f>
        <v>1050625</v>
      </c>
      <c r="E20" s="8">
        <f t="shared" ref="E20:P20" si="2">SUM(E6:E19)</f>
        <v>0</v>
      </c>
      <c r="F20" s="8">
        <f t="shared" si="2"/>
        <v>203000</v>
      </c>
      <c r="G20" s="8">
        <f t="shared" si="2"/>
        <v>5500</v>
      </c>
      <c r="H20" s="8">
        <f t="shared" si="2"/>
        <v>0</v>
      </c>
      <c r="I20" s="8">
        <f t="shared" si="2"/>
        <v>0</v>
      </c>
      <c r="J20" s="8">
        <f t="shared" si="2"/>
        <v>0</v>
      </c>
      <c r="K20" s="8">
        <f t="shared" si="2"/>
        <v>0</v>
      </c>
      <c r="L20" s="8">
        <f t="shared" si="2"/>
        <v>0</v>
      </c>
      <c r="M20" s="8">
        <f t="shared" si="2"/>
        <v>0</v>
      </c>
      <c r="N20" s="8">
        <f t="shared" si="2"/>
        <v>0</v>
      </c>
      <c r="O20" s="8">
        <f t="shared" si="2"/>
        <v>855000</v>
      </c>
      <c r="P20" s="8">
        <f t="shared" si="2"/>
        <v>45000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D26+E26+P20+TONTJANV25!M27</f>
        <v>1178125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+D20</f>
        <v>1050625</v>
      </c>
      <c r="E24" s="8">
        <f>SUMIFS(K7:K14,L7:L14,"BANQUE")</f>
        <v>0</v>
      </c>
      <c r="F24" s="8">
        <f>SUMIFS(F7:F19,H7:H19,"BANQUE")</f>
        <v>203000</v>
      </c>
      <c r="G24" s="8">
        <f>SUMIFS(O7:O19,M7:M19,"BANQUE")</f>
        <v>855000</v>
      </c>
      <c r="H24" s="8">
        <f>D24+E24-F24-G24</f>
        <v>-7375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278125</v>
      </c>
      <c r="L25" s="8"/>
      <c r="M25" s="8"/>
      <c r="N25" s="8"/>
    </row>
    <row r="26" spans="1:16" s="2" customFormat="1" ht="17.5" x14ac:dyDescent="0.35">
      <c r="D26" s="8">
        <f>D23+D24</f>
        <v>1050625</v>
      </c>
      <c r="E26" s="8">
        <f>E23+E24</f>
        <v>0</v>
      </c>
      <c r="F26" s="8">
        <f>F23+F24</f>
        <v>203000</v>
      </c>
      <c r="G26" s="8">
        <f t="shared" ref="G26:H26" si="3">G23+G24</f>
        <v>855000</v>
      </c>
      <c r="H26" s="8">
        <f t="shared" si="3"/>
        <v>-7375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75125</v>
      </c>
      <c r="L27"/>
      <c r="M27" s="8">
        <v>-97500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+K29+TONTJANV25!M29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0</v>
      </c>
      <c r="M30" s="8">
        <f>+K30+TONTJANV25!M30</f>
        <v>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EE7D-5BAA-4D49-A2A1-1F3D4460E02B}">
  <dimension ref="A1:P30"/>
  <sheetViews>
    <sheetView zoomScale="112" zoomScaleNormal="112" workbookViewId="0">
      <pane xSplit="3" ySplit="5" topLeftCell="E18" activePane="bottomRight" state="frozen"/>
      <selection activeCell="G6" sqref="G6:G39"/>
      <selection pane="topRight" activeCell="G6" sqref="G6:G39"/>
      <selection pane="bottomLeft" activeCell="G6" sqref="G6:G39"/>
      <selection pane="bottomRight" activeCell="K25" sqref="K25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45729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IF(D6=0,0,VLOOKUP($A6,[6]HISTOMARS25!$A$6:$BB$47,12,0))</f>
        <v>2</v>
      </c>
      <c r="C6" s="1" t="str">
        <f>VLOOKUP(A6,[7]LISTADHERENT!A$5:H$60,3,0)</f>
        <v>ASELBY</v>
      </c>
      <c r="D6" s="7">
        <f>IF(E6="ECHEC",0,VLOOKUP($A6,[6]HISTOMARS25!$A$6:$AR$47,13,0))</f>
        <v>150000</v>
      </c>
      <c r="E6" s="7" t="str">
        <f>VLOOKUP($A6,[6]HISTOMARS25!$A$6:$AV$47,9,0)</f>
        <v>BANQUE</v>
      </c>
      <c r="F6" s="7">
        <f>VLOOKUP($A6,[6]HISTOMARS25!$A$6:$AV$47,36,0)</f>
        <v>0</v>
      </c>
      <c r="G6" s="7">
        <f>VLOOKUP($A6,[6]HISTOMARS25!$A$6:$AV$47,39,0)</f>
        <v>0</v>
      </c>
      <c r="H6" s="7" t="str">
        <f>IF(G6=0,"",VLOOKUP($A6,[6]HISTOFEV25!$A$6:$AV$47,42,0))</f>
        <v/>
      </c>
      <c r="I6" s="7">
        <f>VLOOKUP($A6,[6]HISTOMARS25!$A$6:$AV$47,41,0)</f>
        <v>0</v>
      </c>
      <c r="J6" s="7">
        <f>+TONTFEV25!F6+TONTFEV25!G6</f>
        <v>0</v>
      </c>
      <c r="K6" s="7">
        <f>VLOOKUP($A6,[6]HISTOMARS25!$A$6:$AV$47,17,0)</f>
        <v>0</v>
      </c>
      <c r="L6" s="7" t="str">
        <f>IF(K6&lt;&gt;0,VLOOKUP($A6,[6]HISTOMARS25!$A$6:$BB$47,42,0),"ECHEC")</f>
        <v>ECHEC</v>
      </c>
      <c r="M6" s="7">
        <f>IF(P6=0,0,VLOOKUP($A6,[6]HISTOMARS25!$A$6:$AV$47,32,0))</f>
        <v>0</v>
      </c>
      <c r="N6" s="7">
        <f>VLOOKUP($A6,[6]HISTOMARS25!$A$6:$AV$47,33,0)</f>
        <v>0</v>
      </c>
      <c r="O6" s="7">
        <f t="shared" ref="O6:O17" si="0">IF(P6=0,0,($C$3-P6))</f>
        <v>0</v>
      </c>
      <c r="P6" s="7">
        <f>VLOOKUP($A6,[6]HISTOMARS25!$A$6:$AV$47,30,0)</f>
        <v>0</v>
      </c>
    </row>
    <row r="7" spans="1:16" x14ac:dyDescent="0.35">
      <c r="A7" s="1" t="s">
        <v>24</v>
      </c>
      <c r="B7" s="7">
        <f>IF(D7=0,0,VLOOKUP($A7,[6]HISTOMARS25!$A$6:$BB$47,12,0))</f>
        <v>1</v>
      </c>
      <c r="C7" s="1" t="str">
        <f>VLOOKUP(A7,[7]LISTADHERENT!A$5:H$60,3,0)</f>
        <v>BOUTCHOUANG WILLIAM</v>
      </c>
      <c r="D7" s="7">
        <f>IF(E7="ECHEC",0,VLOOKUP($A7,[6]HISTOMARS25!$A$6:$AR$47,13,0))</f>
        <v>75000</v>
      </c>
      <c r="E7" s="7" t="str">
        <f>VLOOKUP($A7,[6]HISTOMARS25!$A$6:$AV$47,9,0)</f>
        <v>BANQUE</v>
      </c>
      <c r="F7" s="7">
        <f>VLOOKUP($A7,[6]HISTOMARS25!$A$6:$AV$47,36,0)</f>
        <v>0</v>
      </c>
      <c r="G7" s="7">
        <f>VLOOKUP($A7,[6]HISTOMARS25!$A$6:$AV$47,39,0)</f>
        <v>0</v>
      </c>
      <c r="H7" s="7" t="str">
        <f>IF(G7=0,"",VLOOKUP($A7,[6]HISTOFEV25!$A$6:$AV$47,42,0))</f>
        <v/>
      </c>
      <c r="I7" s="7">
        <f>VLOOKUP($A7,[6]HISTOMARS25!$A$6:$AV$47,41,0)</f>
        <v>0</v>
      </c>
      <c r="J7" s="7">
        <f>+TONTFEV25!F7+TONTFEV25!G7</f>
        <v>103000</v>
      </c>
      <c r="K7" s="7">
        <f>VLOOKUP($A7,[6]HISTOMARS25!$A$6:$AV$47,17,0)</f>
        <v>103000</v>
      </c>
      <c r="L7" s="7" t="str">
        <f>IF(K7&lt;&gt;0,VLOOKUP($A7,[6]HISTOMARS25!$A$6:$BB$47,42,0),"ECHEC")</f>
        <v>BANQUE</v>
      </c>
      <c r="M7" s="7">
        <f>IF(P7=0,0,VLOOKUP($A7,[6]HISTOMARS25!$A$6:$AV$47,32,0))</f>
        <v>0</v>
      </c>
      <c r="N7" s="7">
        <f>VLOOKUP($A7,[6]HISTOMARS25!$A$6:$AV$47,33,0)</f>
        <v>0</v>
      </c>
      <c r="O7" s="7">
        <f t="shared" si="0"/>
        <v>0</v>
      </c>
      <c r="P7" s="7">
        <f>VLOOKUP($A7,[6]HISTOMARS25!$A$6:$AV$47,30,0)</f>
        <v>0</v>
      </c>
    </row>
    <row r="8" spans="1:16" x14ac:dyDescent="0.35">
      <c r="A8" s="1" t="s">
        <v>18</v>
      </c>
      <c r="B8" s="7">
        <f>IF(D8=0,0,VLOOKUP($A8,[6]HISTOMARS25!$A$6:$BB$47,12,0))</f>
        <v>1</v>
      </c>
      <c r="C8" s="1" t="str">
        <f>VLOOKUP(A8,[7]LISTADHERENT!A$5:H$60,3,0)</f>
        <v>HOTCHO BENJAMIN</v>
      </c>
      <c r="D8" s="7">
        <f>IF(E8="ECHEC",0,VLOOKUP($A8,[6]HISTOMARS25!$A$6:$AR$47,13,0))</f>
        <v>75000</v>
      </c>
      <c r="E8" s="7" t="str">
        <f>VLOOKUP($A8,[6]HISTOMARS25!$A$6:$AV$47,9,0)</f>
        <v>BANQUE</v>
      </c>
      <c r="F8" s="7">
        <f>VLOOKUP($A8,[6]HISTOMARS25!$A$6:$AV$47,36,0)</f>
        <v>91125</v>
      </c>
      <c r="G8" s="7">
        <f>VLOOKUP($A8,[6]HISTOMARS25!$A$6:$AV$47,39,0)</f>
        <v>2000</v>
      </c>
      <c r="H8" s="7">
        <f>IF(G8=0,"",VLOOKUP($A8,[6]HISTOFEV25!$A$6:$AV$47,42,0))</f>
        <v>0</v>
      </c>
      <c r="I8" s="7">
        <f>VLOOKUP($A8,[6]HISTOMARS25!$A$6:$AV$47,41,0)</f>
        <v>0</v>
      </c>
      <c r="J8" s="7">
        <f>+TONTFEV25!F8+TONTFEV25!G8</f>
        <v>0</v>
      </c>
      <c r="K8" s="7">
        <f>VLOOKUP($A8,[6]HISTOMARS25!$A$6:$AV$47,17,0)</f>
        <v>0</v>
      </c>
      <c r="L8" s="7" t="str">
        <f>IF(K8&lt;&gt;0,VLOOKUP($A8,[6]HISTOMARS25!$A$6:$BB$47,42,0),"ECHEC")</f>
        <v>ECHEC</v>
      </c>
      <c r="M8" s="7" t="str">
        <f>IF(P8=0,0,VLOOKUP($A8,[6]HISTOMARS25!$A$6:$AV$47,32,0))</f>
        <v>BANQUE</v>
      </c>
      <c r="N8" s="7">
        <f>VLOOKUP($A8,[6]HISTOMARS25!$A$6:$AV$47,33,0)</f>
        <v>0</v>
      </c>
      <c r="O8" s="7">
        <f t="shared" si="0"/>
        <v>892500</v>
      </c>
      <c r="P8" s="7">
        <f>VLOOKUP($A8,[6]HISTOMARS25!$A$6:$AV$47,30,0)</f>
        <v>7500</v>
      </c>
    </row>
    <row r="9" spans="1:16" x14ac:dyDescent="0.35">
      <c r="A9" s="1" t="s">
        <v>60</v>
      </c>
      <c r="B9" s="7">
        <f>IF(D9=0,0,VLOOKUP($A9,[6]HISTOMARS25!$A$6:$BB$47,12,0))</f>
        <v>1</v>
      </c>
      <c r="C9" s="1" t="str">
        <f>VLOOKUP(A9,[7]LISTADHERENT!A$5:H$60,3,0)</f>
        <v>KOUATCHO MESSACK</v>
      </c>
      <c r="D9" s="7">
        <f>IF(E9="ECHEC",0,VLOOKUP($A9,[6]HISTOMARS25!$A$6:$AR$47,13,0))</f>
        <v>75000</v>
      </c>
      <c r="E9" s="7" t="str">
        <f>VLOOKUP($A9,[6]HISTOMARS25!$A$6:$AV$47,9,0)</f>
        <v>BANQUE</v>
      </c>
      <c r="F9" s="7">
        <f>VLOOKUP($A9,[6]HISTOMARS25!$A$6:$AV$47,36,0)</f>
        <v>0</v>
      </c>
      <c r="G9" s="7">
        <f>VLOOKUP($A9,[6]HISTOMARS25!$A$6:$AV$47,39,0)</f>
        <v>0</v>
      </c>
      <c r="H9" s="7" t="str">
        <f>IF(G9=0,"",VLOOKUP($A9,[6]HISTOFEV25!$A$6:$AV$47,42,0))</f>
        <v/>
      </c>
      <c r="I9" s="7">
        <f>VLOOKUP($A9,[6]HISTOMARS25!$A$6:$AV$47,41,0)</f>
        <v>0</v>
      </c>
      <c r="J9" s="7">
        <f>+TONTFEV25!F9+TONTFEV25!G9</f>
        <v>54500</v>
      </c>
      <c r="K9" s="7">
        <f>VLOOKUP($A9,[6]HISTOMARS25!$A$6:$AV$47,17,0)</f>
        <v>54500</v>
      </c>
      <c r="L9" s="7" t="str">
        <f>IF(K9&lt;&gt;0,VLOOKUP($A9,[6]HISTOMARS25!$A$6:$BB$47,42,0),"ECHEC")</f>
        <v>BANQUE</v>
      </c>
      <c r="M9" s="7">
        <f>IF(P9=0,0,VLOOKUP($A9,[6]HISTOMARS25!$A$6:$AV$47,32,0))</f>
        <v>0</v>
      </c>
      <c r="N9" s="7">
        <f>VLOOKUP($A9,[6]HISTOMARS25!$A$6:$AV$47,33,0)</f>
        <v>0</v>
      </c>
      <c r="O9" s="7">
        <f t="shared" si="0"/>
        <v>0</v>
      </c>
      <c r="P9" s="7">
        <f>VLOOKUP($A9,[6]HISTOMARS25!$A$6:$AV$47,30,0)</f>
        <v>0</v>
      </c>
    </row>
    <row r="10" spans="1:16" x14ac:dyDescent="0.35">
      <c r="A10" s="1" t="s">
        <v>26</v>
      </c>
      <c r="B10" s="7">
        <f>IF(D10=0,0,VLOOKUP($A10,[6]HISTOMARS25!$A$6:$BB$47,12,0))</f>
        <v>1</v>
      </c>
      <c r="C10" s="1" t="str">
        <f>VLOOKUP(A10,[7]LISTADHERENT!A$5:H$60,3,0)</f>
        <v>HENGUE PAUL OMER</v>
      </c>
      <c r="D10" s="7">
        <f>IF(E10="ECHEC",0,VLOOKUP($A10,[6]HISTOMARS25!$A$6:$AR$47,13,0))</f>
        <v>75000</v>
      </c>
      <c r="E10" s="7" t="str">
        <f>VLOOKUP($A10,[6]HISTOMARS25!$A$6:$AV$47,9,0)</f>
        <v>BANQUE</v>
      </c>
      <c r="F10" s="7">
        <f>VLOOKUP($A10,[6]HISTOMARS25!$A$6:$AV$47,36,0)</f>
        <v>0</v>
      </c>
      <c r="G10" s="7">
        <f>VLOOKUP($A10,[6]HISTOMARS25!$A$6:$AV$47,39,0)</f>
        <v>0</v>
      </c>
      <c r="H10" s="7" t="str">
        <f>IF(G10=0,"",VLOOKUP($A10,[6]HISTOFEV25!$A$6:$AV$47,42,0))</f>
        <v/>
      </c>
      <c r="I10" s="7">
        <f>VLOOKUP($A10,[6]HISTOMARS25!$A$6:$AV$47,41,0)</f>
        <v>0</v>
      </c>
      <c r="J10" s="7">
        <f>+TONTFEV25!F10+TONTFEV25!G10</f>
        <v>0</v>
      </c>
      <c r="K10" s="7">
        <f>VLOOKUP($A10,[6]HISTOMARS25!$A$6:$AV$47,17,0)</f>
        <v>0</v>
      </c>
      <c r="L10" s="7" t="str">
        <f>IF(K10&lt;&gt;0,VLOOKUP($A10,[6]HISTOMARS25!$A$6:$BB$47,42,0),"ECHEC")</f>
        <v>ECHEC</v>
      </c>
      <c r="M10" s="7">
        <f>IF(P10=0,0,VLOOKUP($A10,[6]HISTOMARS25!$A$6:$AV$47,32,0))</f>
        <v>0</v>
      </c>
      <c r="N10" s="7">
        <f>VLOOKUP($A10,[6]HISTOMARS25!$A$6:$AV$47,33,0)</f>
        <v>0</v>
      </c>
      <c r="O10" s="7">
        <f t="shared" si="0"/>
        <v>0</v>
      </c>
      <c r="P10" s="7">
        <f>VLOOKUP($A10,[6]HISTOMARS25!$A$6:$AV$47,30,0)</f>
        <v>0</v>
      </c>
    </row>
    <row r="11" spans="1:16" x14ac:dyDescent="0.35">
      <c r="A11" s="1" t="s">
        <v>21</v>
      </c>
      <c r="B11" s="7">
        <f>IF(D11=0,0,VLOOKUP($A11,[6]HISTOMARS25!$A$6:$BB$47,12,0))</f>
        <v>1</v>
      </c>
      <c r="C11" s="1" t="str">
        <f>VLOOKUP(A11,[7]LISTADHERENT!A$5:H$60,3,0)</f>
        <v>MBOGNING TUGMA GUY</v>
      </c>
      <c r="D11" s="7">
        <f>IF(E11="ECHEC",0,VLOOKUP($A11,[6]HISTOMARS25!$A$6:$AR$47,13,0))</f>
        <v>75000</v>
      </c>
      <c r="E11" s="7" t="str">
        <f>VLOOKUP($A11,[6]HISTOMARS25!$A$6:$AV$47,9,0)</f>
        <v>BANQUE</v>
      </c>
      <c r="F11" s="7">
        <f>VLOOKUP($A11,[6]HISTOMARS25!$A$6:$AV$47,36,0)</f>
        <v>100000</v>
      </c>
      <c r="G11" s="7">
        <f>VLOOKUP($A11,[6]HISTOMARS25!$A$6:$AV$47,39,0)</f>
        <v>2000</v>
      </c>
      <c r="H11" s="7" t="str">
        <f>IF(G11=0,"",VLOOKUP($A11,[6]HISTOFEV25!$A$6:$AV$47,42,0))</f>
        <v>BANQUE</v>
      </c>
      <c r="I11" s="7">
        <f>VLOOKUP($A11,[6]HISTOMARS25!$A$6:$AV$47,41,0)</f>
        <v>0</v>
      </c>
      <c r="J11" s="7">
        <f>+TONTFEV25!F11+TONTFEV25!G11</f>
        <v>51000</v>
      </c>
      <c r="K11" s="7">
        <f>VLOOKUP($A11,[6]HISTOMARS25!$A$6:$AV$47,17,0)</f>
        <v>51000</v>
      </c>
      <c r="L11" s="7" t="str">
        <f>IF(K11&lt;&gt;0,VLOOKUP($A11,[6]HISTOMARS25!$A$6:$BB$47,42,0),"ECHEC")</f>
        <v>BANQUE</v>
      </c>
      <c r="M11" s="7">
        <f>IF(P11=0,0,VLOOKUP($A11,[6]HISTOMARS25!$A$6:$AV$47,32,0))</f>
        <v>0</v>
      </c>
      <c r="N11" s="7">
        <f>VLOOKUP($A11,[6]HISTOMARS25!$A$6:$AV$47,33,0)</f>
        <v>0</v>
      </c>
      <c r="O11" s="7">
        <f t="shared" si="0"/>
        <v>0</v>
      </c>
      <c r="P11" s="7">
        <f>VLOOKUP($A11,[6]HISTOMARS25!$A$6:$AV$47,30,0)</f>
        <v>0</v>
      </c>
    </row>
    <row r="12" spans="1:16" x14ac:dyDescent="0.35">
      <c r="A12" s="1" t="s">
        <v>8</v>
      </c>
      <c r="B12" s="7">
        <f>IF(D12=0,0,VLOOKUP($A12,[6]HISTOMARS25!$A$6:$BB$47,12,0))</f>
        <v>1</v>
      </c>
      <c r="C12" s="1" t="str">
        <f>VLOOKUP(A12,[7]LISTADHERENT!A$5:H$60,3,0)</f>
        <v>NANKAM APPOLINAIRE</v>
      </c>
      <c r="D12" s="7">
        <f>IF(E12="ECHEC",0,VLOOKUP($A12,[6]HISTOMARS25!$A$6:$AR$47,13,0))</f>
        <v>75000</v>
      </c>
      <c r="E12" s="7" t="str">
        <f>VLOOKUP($A12,[6]HISTOMARS25!$A$6:$AV$47,9,0)</f>
        <v>BANQUE</v>
      </c>
      <c r="F12" s="7">
        <f>VLOOKUP($A12,[6]HISTOMARS25!$A$6:$AV$47,36,0)</f>
        <v>0</v>
      </c>
      <c r="G12" s="7">
        <f>VLOOKUP($A12,[6]HISTOMARS25!$A$6:$AV$47,39,0)</f>
        <v>0</v>
      </c>
      <c r="H12" s="7" t="str">
        <f>IF(G12=0,"",VLOOKUP($A12,[6]HISTOFEV25!$A$6:$AV$47,42,0))</f>
        <v/>
      </c>
      <c r="I12" s="7">
        <f>VLOOKUP($A12,[6]HISTOMARS25!$A$6:$AV$47,41,0)</f>
        <v>0</v>
      </c>
      <c r="J12" s="7">
        <f>+TONTFEV25!F12+TONTFEV25!G12</f>
        <v>0</v>
      </c>
      <c r="K12" s="7">
        <f>VLOOKUP($A12,[6]HISTOMARS25!$A$6:$AV$47,17,0)</f>
        <v>0</v>
      </c>
      <c r="L12" s="7" t="str">
        <f>IF(K12&lt;&gt;0,VLOOKUP($A12,[6]HISTOMARS25!$A$6:$BB$47,42,0),"ECHEC")</f>
        <v>ECHEC</v>
      </c>
      <c r="M12" s="7">
        <f>IF(P12=0,0,VLOOKUP($A12,[6]HISTOMARS25!$A$6:$AV$47,32,0))</f>
        <v>0</v>
      </c>
      <c r="N12" s="7">
        <f>VLOOKUP($A12,[6]HISTOMARS25!$A$6:$AV$47,33,0)</f>
        <v>0</v>
      </c>
      <c r="O12" s="7">
        <f t="shared" si="0"/>
        <v>0</v>
      </c>
      <c r="P12" s="7">
        <f>VLOOKUP($A12,[6]HISTOMARS25!$A$6:$AV$47,30,0)</f>
        <v>0</v>
      </c>
    </row>
    <row r="13" spans="1:16" x14ac:dyDescent="0.35">
      <c r="A13" s="1" t="s">
        <v>35</v>
      </c>
      <c r="B13" s="7">
        <f>IF(D13=0,0,VLOOKUP($A13,[6]HISTOMARS25!$A$6:$BB$47,12,0))</f>
        <v>1</v>
      </c>
      <c r="C13" s="1" t="str">
        <f>VLOOKUP(A13,[7]LISTADHERENT!A$5:H$60,3,0)</f>
        <v>NGONDIEP CLAUDE</v>
      </c>
      <c r="D13" s="7">
        <f>IF(E13="ECHEC",0,VLOOKUP($A13,[6]HISTOMARS25!$A$6:$AR$47,13,0))</f>
        <v>75000</v>
      </c>
      <c r="E13" s="7" t="str">
        <f>VLOOKUP($A13,[6]HISTOMARS25!$A$6:$AV$47,9,0)</f>
        <v>BANQUE</v>
      </c>
      <c r="F13" s="7">
        <f>VLOOKUP($A13,[6]HISTOMARS25!$A$6:$AV$47,36,0)</f>
        <v>0</v>
      </c>
      <c r="G13" s="7">
        <f>VLOOKUP($A13,[6]HISTOMARS25!$A$6:$AV$47,39,0)</f>
        <v>0</v>
      </c>
      <c r="H13" s="7" t="str">
        <f>IF(G13=0,"",VLOOKUP($A13,[6]HISTOFEV25!$A$6:$AV$47,42,0))</f>
        <v/>
      </c>
      <c r="I13" s="7">
        <f>VLOOKUP($A13,[6]HISTOMARS25!$A$6:$AV$47,41,0)</f>
        <v>0</v>
      </c>
      <c r="J13" s="7">
        <f>+TONTFEV25!F13+TONTFEV25!G13</f>
        <v>0</v>
      </c>
      <c r="K13" s="7">
        <f>VLOOKUP($A13,[6]HISTOMARS25!$A$6:$AV$47,17,0)</f>
        <v>0</v>
      </c>
      <c r="L13" s="7" t="str">
        <f>IF(K13&lt;&gt;0,VLOOKUP($A13,[6]HISTOMARS25!$A$6:$BB$47,42,0),"ECHEC")</f>
        <v>ECHEC</v>
      </c>
      <c r="M13" s="7">
        <f>IF(P13=0,0,VLOOKUP($A13,[6]HISTOMARS25!$A$6:$AV$47,32,0))</f>
        <v>0</v>
      </c>
      <c r="N13" s="7">
        <f>VLOOKUP($A13,[6]HISTOMARS25!$A$6:$AV$47,33,0)</f>
        <v>0</v>
      </c>
      <c r="O13" s="7">
        <f t="shared" si="0"/>
        <v>0</v>
      </c>
      <c r="P13" s="7">
        <f>VLOOKUP($A13,[6]HISTOMARS25!$A$6:$AV$47,30,0)</f>
        <v>0</v>
      </c>
    </row>
    <row r="14" spans="1:16" x14ac:dyDescent="0.35">
      <c r="A14" s="1" t="s">
        <v>27</v>
      </c>
      <c r="B14" s="7">
        <f>IF(D14=0,0,VLOOKUP($A14,[6]HISTOMARS25!$A$6:$BB$47,12,0))</f>
        <v>1</v>
      </c>
      <c r="C14" s="1" t="str">
        <f>VLOOKUP(A14,[7]LISTADHERENT!A$5:H$60,3,0)</f>
        <v>PATEGO NJOSSU GUSTAVE</v>
      </c>
      <c r="D14" s="7">
        <f>IF(E14="ECHEC",0,VLOOKUP($A14,[6]HISTOMARS25!$A$6:$AR$47,13,0))</f>
        <v>75000</v>
      </c>
      <c r="E14" s="7" t="str">
        <f>VLOOKUP($A14,[6]HISTOMARS25!$A$6:$AV$47,9,0)</f>
        <v>BANQUE</v>
      </c>
      <c r="F14" s="7">
        <f>VLOOKUP($A14,[6]HISTOMARS25!$A$6:$AV$47,36,0)</f>
        <v>0</v>
      </c>
      <c r="G14" s="7">
        <f>VLOOKUP($A14,[6]HISTOMARS25!$A$6:$AV$47,39,0)</f>
        <v>0</v>
      </c>
      <c r="H14" s="7" t="str">
        <f>IF(G14=0,"",VLOOKUP($A14,[6]HISTOFEV25!$A$6:$AV$47,42,0))</f>
        <v/>
      </c>
      <c r="I14" s="7">
        <f>VLOOKUP($A14,[6]HISTOMARS25!$A$6:$AV$47,41,0)</f>
        <v>0</v>
      </c>
      <c r="J14" s="7">
        <f>+TONTFEV25!F14+TONTFEV25!G14</f>
        <v>0</v>
      </c>
      <c r="K14" s="7">
        <f>VLOOKUP($A14,[6]HISTOMARS25!$A$6:$AV$47,17,0)</f>
        <v>0</v>
      </c>
      <c r="L14" s="7" t="str">
        <f>IF(K14&lt;&gt;0,VLOOKUP($A14,[6]HISTOMARS25!$A$6:$BB$47,42,0),"ECHEC")</f>
        <v>ECHEC</v>
      </c>
      <c r="M14" s="7">
        <f>IF(P14=0,0,VLOOKUP($A14,[6]HISTOMARS25!$A$6:$AV$47,32,0))</f>
        <v>0</v>
      </c>
      <c r="N14" s="7">
        <f>VLOOKUP($A14,[6]HISTOMARS25!$A$6:$AV$47,33,0)</f>
        <v>0</v>
      </c>
      <c r="O14" s="7">
        <f t="shared" si="0"/>
        <v>0</v>
      </c>
      <c r="P14" s="7">
        <f>VLOOKUP($A14,[6]HISTOMARS25!$A$6:$AV$47,30,0)</f>
        <v>0</v>
      </c>
    </row>
    <row r="15" spans="1:16" x14ac:dyDescent="0.35">
      <c r="A15" s="9" t="s">
        <v>48</v>
      </c>
      <c r="B15" s="7">
        <f>IF(D15=0,0,VLOOKUP($A15,[6]HISTOMARS25!$A$6:$BB$47,12,0))</f>
        <v>1</v>
      </c>
      <c r="C15" s="1" t="str">
        <f>VLOOKUP(A15,[7]LISTADHERENT!A$5:H$60,3,0)</f>
        <v>TCHOUAMOU MATHIEU</v>
      </c>
      <c r="D15" s="7">
        <f>IF(E15="ECHEC",0,VLOOKUP($A15,[6]HISTOMARS25!$A$6:$AR$47,13,0))</f>
        <v>75000</v>
      </c>
      <c r="E15" s="7" t="str">
        <f>VLOOKUP($A15,[6]HISTOMARS25!$A$6:$AV$47,9,0)</f>
        <v>BANQUE</v>
      </c>
      <c r="F15" s="7">
        <f>VLOOKUP($A15,[6]HISTOMARS25!$A$6:$AV$47,36,0)</f>
        <v>100000</v>
      </c>
      <c r="G15" s="7">
        <f>VLOOKUP($A15,[6]HISTOMARS25!$A$6:$AV$47,39,0)</f>
        <v>2000</v>
      </c>
      <c r="H15" s="7">
        <f>IF(G15=0,"",VLOOKUP($A15,[6]HISTOFEV25!$A$6:$AV$47,42,0))</f>
        <v>0</v>
      </c>
      <c r="I15" s="7">
        <f>VLOOKUP($A15,[6]HISTOMARS25!$A$6:$AV$47,41,0)</f>
        <v>0</v>
      </c>
      <c r="J15" s="7">
        <f>+TONTFEV25!F15+TONTFEV25!G15</f>
        <v>0</v>
      </c>
      <c r="K15" s="7">
        <f>VLOOKUP($A15,[6]HISTOMARS25!$A$6:$AV$47,17,0)</f>
        <v>0</v>
      </c>
      <c r="L15" s="7" t="str">
        <f>IF(K15&lt;&gt;0,VLOOKUP($A15,[6]HISTOMARS25!$A$6:$BB$47,42,0),"ECHEC")</f>
        <v>ECHEC</v>
      </c>
      <c r="M15" s="7">
        <f>IF(P15=0,0,VLOOKUP($A15,[6]HISTOMARS25!$A$6:$AV$47,32,0))</f>
        <v>0</v>
      </c>
      <c r="N15" s="7">
        <f>VLOOKUP($A15,[6]HISTOMARS25!$A$6:$AV$47,33,0)</f>
        <v>0</v>
      </c>
      <c r="O15" s="7">
        <f t="shared" si="0"/>
        <v>0</v>
      </c>
      <c r="P15" s="7">
        <f>VLOOKUP($A15,[6]HISTOMARS25!$A$6:$AV$47,30,0)</f>
        <v>0</v>
      </c>
    </row>
    <row r="16" spans="1:16" x14ac:dyDescent="0.35">
      <c r="A16" s="23" t="s">
        <v>59</v>
      </c>
      <c r="B16" s="7">
        <f>IF(D16=0,0,VLOOKUP($A16,[6]HISTOMARS25!$A$6:$BB$47,12,0))</f>
        <v>1</v>
      </c>
      <c r="C16" s="1" t="str">
        <f>VLOOKUP(A16,[7]LISTADHERENT!A$5:H$60,3,0)</f>
        <v>YANTCHOU GERVAIS</v>
      </c>
      <c r="D16" s="7">
        <f>IF(E16="ECHEC",0,VLOOKUP($A16,[6]HISTOMARS25!$A$6:$AR$47,13,0))</f>
        <v>75000</v>
      </c>
      <c r="E16" s="7" t="str">
        <f>VLOOKUP($A16,[6]HISTOMARS25!$A$6:$AV$47,9,0)</f>
        <v>BANQUE</v>
      </c>
      <c r="F16" s="7">
        <f>VLOOKUP($A16,[6]HISTOMARS25!$A$6:$AV$47,36,0)</f>
        <v>0</v>
      </c>
      <c r="G16" s="7">
        <f>VLOOKUP($A16,[6]HISTOMARS25!$A$6:$AV$47,39,0)</f>
        <v>0</v>
      </c>
      <c r="H16" s="7" t="str">
        <f>IF(G16=0,"",VLOOKUP($A16,[6]HISTOFEV25!$A$6:$AV$47,42,0))</f>
        <v/>
      </c>
      <c r="I16" s="7">
        <f>VLOOKUP($A16,[6]HISTOMARS25!$A$6:$AV$47,41,0)</f>
        <v>0</v>
      </c>
      <c r="J16" s="7">
        <f>+TONTFEV25!F16+TONTFEV25!G16</f>
        <v>0</v>
      </c>
      <c r="K16" s="7">
        <f>VLOOKUP($A16,[6]HISTOMARS25!$A$6:$AV$47,17,0)</f>
        <v>0</v>
      </c>
      <c r="L16" s="7" t="str">
        <f>IF(K16&lt;&gt;0,VLOOKUP($A16,[6]HISTOMARS25!$A$6:$BB$47,42,0),"ECHEC")</f>
        <v>ECHEC</v>
      </c>
      <c r="M16" s="7">
        <f>IF(P16=0,0,VLOOKUP($A16,[6]HISTOMARS25!$A$6:$AV$47,32,0))</f>
        <v>0</v>
      </c>
      <c r="N16" s="7">
        <f>VLOOKUP($A16,[6]HISTOMARS25!$A$6:$AV$47,33,0)</f>
        <v>0</v>
      </c>
      <c r="O16" s="7">
        <f t="shared" si="0"/>
        <v>0</v>
      </c>
      <c r="P16" s="7">
        <f>VLOOKUP($A16,[6]HISTOMARS25!$A$6:$AV$47,30,0)</f>
        <v>0</v>
      </c>
    </row>
    <row r="17" spans="1:16" x14ac:dyDescent="0.35">
      <c r="A17" s="1" t="s">
        <v>19</v>
      </c>
      <c r="B17" s="7">
        <f>IF(D17=0,0,VLOOKUP($A17,[6]HISTOMARS25!$A$6:$BB$47,12,0))</f>
        <v>1</v>
      </c>
      <c r="C17" s="1" t="str">
        <f>VLOOKUP(A17,[7]LISTADHERENT!A$5:H$60,3,0)</f>
        <v>YOUMBI EMMANUEL</v>
      </c>
      <c r="D17" s="7">
        <f>IF(E17="ECHEC",0,VLOOKUP($A17,[6]HISTOMARS25!$A$6:$AR$47,13,0))</f>
        <v>75000</v>
      </c>
      <c r="E17" s="7" t="str">
        <f>VLOOKUP($A17,[6]HISTOMARS25!$A$6:$AV$47,9,0)</f>
        <v>BANQUE</v>
      </c>
      <c r="F17" s="7">
        <f>VLOOKUP($A17,[6]HISTOMARS25!$A$6:$AV$47,36,0)</f>
        <v>0</v>
      </c>
      <c r="G17" s="7">
        <f>VLOOKUP($A17,[6]HISTOMARS25!$A$6:$AV$47,39,0)</f>
        <v>0</v>
      </c>
      <c r="H17" s="7" t="str">
        <f>IF(G17=0,"",VLOOKUP($A17,[6]HISTOFEV25!$A$6:$AV$47,42,0))</f>
        <v/>
      </c>
      <c r="I17" s="7">
        <f>VLOOKUP($A17,[6]HISTOMARS25!$A$6:$AV$47,41,0)</f>
        <v>0</v>
      </c>
      <c r="J17" s="7">
        <f>+TONTFEV25!F17+TONTFEV25!G17</f>
        <v>0</v>
      </c>
      <c r="K17" s="7">
        <f>VLOOKUP($A17,[6]HISTOMARS25!$A$6:$AV$47,17,0)</f>
        <v>0</v>
      </c>
      <c r="L17" s="7" t="str">
        <f>IF(K17&lt;&gt;0,VLOOKUP($A17,[6]HISTOMARS25!$A$6:$BB$47,42,0),"ECHEC")</f>
        <v>ECHEC</v>
      </c>
      <c r="M17" s="7">
        <f>IF(P17=0,0,VLOOKUP($A17,[6]HISTOMARS25!$A$6:$AV$47,32,0))</f>
        <v>0</v>
      </c>
      <c r="N17" s="7">
        <f>VLOOKUP($A17,[6]HISTOMARS25!$A$6:$AV$47,33,0)</f>
        <v>0</v>
      </c>
      <c r="O17" s="7">
        <f t="shared" si="0"/>
        <v>0</v>
      </c>
      <c r="P17" s="7">
        <f>VLOOKUP($A17,[6]HISTOMARS25!$A$6:$AV$47,30,0)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291125</v>
      </c>
      <c r="G20" s="8">
        <f t="shared" si="1"/>
        <v>6000</v>
      </c>
      <c r="H20" s="8">
        <f t="shared" si="1"/>
        <v>0</v>
      </c>
      <c r="I20" s="8">
        <f t="shared" si="1"/>
        <v>0</v>
      </c>
      <c r="J20" s="8">
        <f t="shared" si="1"/>
        <v>208500</v>
      </c>
      <c r="K20" s="8">
        <f t="shared" si="1"/>
        <v>208500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1093500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208500</v>
      </c>
      <c r="F24" s="8">
        <f>SUMIFS(F7:F19,H7:H19,"BANQUE")</f>
        <v>100000</v>
      </c>
      <c r="G24" s="8">
        <f>SUMIFS(O7:O19,M7:M19,"BANQUE")</f>
        <v>892500</v>
      </c>
      <c r="H24" s="8">
        <f>D24+E24-F24-G24</f>
        <v>191000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193500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208500</v>
      </c>
      <c r="F26" s="8">
        <f>F23+F24</f>
        <v>100000</v>
      </c>
      <c r="G26" s="8">
        <f t="shared" ref="G26:H26" si="2">G23+G24</f>
        <v>892500</v>
      </c>
      <c r="H26" s="8">
        <f t="shared" si="2"/>
        <v>191000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-97625</v>
      </c>
      <c r="L27"/>
      <c r="M27" s="8">
        <f>K27</f>
        <v>-97625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0</v>
      </c>
      <c r="M30" s="8">
        <f>+K30+TONTFEV25!M30</f>
        <v>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3F1B-B80E-4C45-A89F-ADAE568B1A3B}">
  <dimension ref="A1:P30"/>
  <sheetViews>
    <sheetView zoomScale="112" zoomScaleNormal="112" workbookViewId="0">
      <pane xSplit="3" ySplit="5" topLeftCell="F15" activePane="bottomRight" state="frozen"/>
      <selection activeCell="G6" sqref="G6:G39"/>
      <selection pane="topRight" activeCell="G6" sqref="G6:G39"/>
      <selection pane="bottomLeft" activeCell="G6" sqref="G6:G39"/>
      <selection pane="bottomRight" activeCell="G16" sqref="G16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45760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IF(D6=0,0,VLOOKUP($A6,[6]HISTOAVRIL25!$A$6:$BB$47,12,0))</f>
        <v>2</v>
      </c>
      <c r="C6" s="1" t="str">
        <f>VLOOKUP(A6,[7]LISTADHERENT!A$5:H$60,3,0)</f>
        <v>ASELBY</v>
      </c>
      <c r="D6" s="7">
        <f>IF(E6="ECHEC",0,VLOOKUP($A6,[6]HISTOAVRIL25!$A$6:$AR$47,13,0))</f>
        <v>150000</v>
      </c>
      <c r="E6" s="7" t="str">
        <f>VLOOKUP($A6,[6]HISTOAVRIL25!$A$6:$AV$47,9,0)</f>
        <v>BANQUE</v>
      </c>
      <c r="F6" s="7">
        <f>VLOOKUP($A6,[6]HISTOAVRIL25!$A$6:$AV$47,36,0)</f>
        <v>0</v>
      </c>
      <c r="G6" s="7">
        <f>VLOOKUP($A6,[6]HISTOAVRIL25!$A$6:$AV$47,39,0)</f>
        <v>0</v>
      </c>
      <c r="H6" s="7" t="str">
        <f>IF(G6=0,"",VLOOKUP($A6,[6]HISTOFEV25!$A$6:$AV$47,42,0))</f>
        <v/>
      </c>
      <c r="I6" s="7">
        <f>VLOOKUP($A6,[6]HISTOAVRIL25!$A$6:$AV$47,41,0)</f>
        <v>0</v>
      </c>
      <c r="J6" s="7">
        <f>+TONTMARS25!F6+TONTMARS25!G6</f>
        <v>0</v>
      </c>
      <c r="K6" s="7">
        <f>VLOOKUP($A6,[6]HISTOAVRIL25!$A$6:$AV$47,17,0)</f>
        <v>0</v>
      </c>
      <c r="L6" s="7" t="str">
        <f>IF(K6&lt;&gt;0,VLOOKUP($A6,[6]HISTOAVRIL25!$A$6:$BB$47,42,0),"ECHEC")</f>
        <v>ECHEC</v>
      </c>
      <c r="M6" s="7">
        <f>IF(P6=0,0,VLOOKUP($A6,[6]HISTOAVRIL25!$A$6:$AV$47,32,0))</f>
        <v>0</v>
      </c>
      <c r="N6" s="7">
        <f>VLOOKUP($A6,[6]HISTOAVRIL25!$A$6:$AV$47,33,0)</f>
        <v>0</v>
      </c>
      <c r="O6" s="7">
        <f t="shared" ref="O6:O17" si="0">IF(P6=0,0,($C$3-P6))</f>
        <v>0</v>
      </c>
      <c r="P6" s="7">
        <f>VLOOKUP($A6,[6]HISTOAVRIL25!$A$6:$AV$47,30,0)</f>
        <v>0</v>
      </c>
    </row>
    <row r="7" spans="1:16" x14ac:dyDescent="0.35">
      <c r="A7" s="1" t="s">
        <v>24</v>
      </c>
      <c r="B7" s="7">
        <f>IF(D7=0,0,VLOOKUP($A7,[6]HISTOAVRIL25!$A$6:$BB$47,12,0))</f>
        <v>1</v>
      </c>
      <c r="C7" s="1" t="str">
        <f>VLOOKUP(A7,[7]LISTADHERENT!A$5:H$60,3,0)</f>
        <v>BOUTCHOUANG WILLIAM</v>
      </c>
      <c r="D7" s="7">
        <f>IF(E7="ECHEC",0,VLOOKUP($A7,[6]HISTOAVRIL25!$A$6:$AR$47,13,0))</f>
        <v>75000</v>
      </c>
      <c r="E7" s="7" t="str">
        <f>VLOOKUP($A7,[6]HISTOAVRIL25!$A$6:$AV$47,9,0)</f>
        <v>BANQUE</v>
      </c>
      <c r="F7" s="7">
        <f>VLOOKUP($A7,[6]HISTOAVRIL25!$A$6:$AV$47,36,0)</f>
        <v>0</v>
      </c>
      <c r="G7" s="7">
        <f>VLOOKUP($A7,[6]HISTOAVRIL25!$A$6:$AV$47,39,0)</f>
        <v>0</v>
      </c>
      <c r="H7" s="7" t="str">
        <f>IF(G7=0,"",VLOOKUP($A7,[6]HISTOFEV25!$A$6:$AV$47,42,0))</f>
        <v/>
      </c>
      <c r="I7" s="7">
        <f>VLOOKUP($A7,[6]HISTOAVRIL25!$A$6:$AV$47,41,0)</f>
        <v>0</v>
      </c>
      <c r="J7" s="7">
        <f>+TONTMARS25!F7+TONTMARS25!G7</f>
        <v>0</v>
      </c>
      <c r="K7" s="7">
        <f>VLOOKUP($A7,[6]HISTOAVRIL25!$A$6:$AV$47,17,0)</f>
        <v>0</v>
      </c>
      <c r="L7" s="7" t="str">
        <f>IF(K7&lt;&gt;0,VLOOKUP($A7,[6]HISTOAVRIL25!$A$6:$BB$47,42,0),"ECHEC")</f>
        <v>ECHEC</v>
      </c>
      <c r="M7" s="7">
        <f>IF(P7=0,0,VLOOKUP($A7,[6]HISTOAVRIL25!$A$6:$AV$47,32,0))</f>
        <v>0</v>
      </c>
      <c r="N7" s="7">
        <f>VLOOKUP($A7,[6]HISTOAVRIL25!$A$6:$AV$47,33,0)</f>
        <v>0</v>
      </c>
      <c r="O7" s="7">
        <f t="shared" si="0"/>
        <v>0</v>
      </c>
      <c r="P7" s="7">
        <f>VLOOKUP($A7,[6]HISTOAVRIL25!$A$6:$AV$47,30,0)</f>
        <v>0</v>
      </c>
    </row>
    <row r="8" spans="1:16" x14ac:dyDescent="0.35">
      <c r="A8" s="1" t="s">
        <v>18</v>
      </c>
      <c r="B8" s="7">
        <f>IF(D8=0,0,VLOOKUP($A8,[6]HISTOAVRIL25!$A$6:$BB$47,12,0))</f>
        <v>1</v>
      </c>
      <c r="C8" s="1" t="str">
        <f>VLOOKUP(A8,[7]LISTADHERENT!A$5:H$60,3,0)</f>
        <v>HOTCHO BENJAMIN</v>
      </c>
      <c r="D8" s="7">
        <f>IF(E8="ECHEC",0,VLOOKUP($A8,[6]HISTOAVRIL25!$A$6:$AR$47,13,0))</f>
        <v>75000</v>
      </c>
      <c r="E8" s="7" t="str">
        <f>VLOOKUP($A8,[6]HISTOAVRIL25!$A$6:$AV$47,9,0)</f>
        <v>BANQUE</v>
      </c>
      <c r="F8" s="7">
        <f>VLOOKUP($A8,[6]HISTOAVRIL25!$A$6:$AV$47,36,0)</f>
        <v>50000</v>
      </c>
      <c r="G8" s="7">
        <f>VLOOKUP($A8,[6]HISTOAVRIL25!$A$6:$AV$47,39,0)</f>
        <v>1000</v>
      </c>
      <c r="H8" s="7">
        <f>IF(G8=0,"",VLOOKUP($A8,[6]HISTOFEV25!$A$6:$AV$47,42,0))</f>
        <v>0</v>
      </c>
      <c r="I8" s="7">
        <f>VLOOKUP($A8,[6]HISTOAVRIL25!$A$6:$AV$47,41,0)</f>
        <v>0</v>
      </c>
      <c r="J8" s="7">
        <f>+TONTMARS25!F8+TONTMARS25!G8</f>
        <v>93125</v>
      </c>
      <c r="K8" s="7">
        <f>VLOOKUP($A8,[6]HISTOAVRIL25!$A$6:$AV$47,17,0)</f>
        <v>93125</v>
      </c>
      <c r="L8" s="7" t="str">
        <f>IF(K8&lt;&gt;0,VLOOKUP($A8,[6]HISTOAVRIL25!$A$6:$BB$47,42,0),"ECHEC")</f>
        <v>BANQUE</v>
      </c>
      <c r="M8" s="7">
        <f>IF(P8=0,0,VLOOKUP($A8,[6]HISTOAVRIL25!$A$6:$AV$47,32,0))</f>
        <v>0</v>
      </c>
      <c r="N8" s="7">
        <f>VLOOKUP($A8,[6]HISTOAVRIL25!$A$6:$AV$47,33,0)</f>
        <v>0</v>
      </c>
      <c r="O8" s="7">
        <f t="shared" si="0"/>
        <v>0</v>
      </c>
      <c r="P8" s="7">
        <f>VLOOKUP($A8,[6]HISTOAVRIL25!$A$6:$AV$47,30,0)</f>
        <v>0</v>
      </c>
    </row>
    <row r="9" spans="1:16" x14ac:dyDescent="0.35">
      <c r="A9" s="1" t="s">
        <v>60</v>
      </c>
      <c r="B9" s="7">
        <f>IF(D9=0,0,VLOOKUP($A9,[6]HISTOAVRIL25!$A$6:$BB$47,12,0))</f>
        <v>1</v>
      </c>
      <c r="C9" s="1" t="str">
        <f>VLOOKUP(A9,[7]LISTADHERENT!A$5:H$60,3,0)</f>
        <v>KOUATCHO MESSACK</v>
      </c>
      <c r="D9" s="7">
        <f>IF(E9="ECHEC",0,VLOOKUP($A9,[6]HISTOAVRIL25!$A$6:$AR$47,13,0))</f>
        <v>75000</v>
      </c>
      <c r="E9" s="7" t="str">
        <f>VLOOKUP($A9,[6]HISTOAVRIL25!$A$6:$AV$47,9,0)</f>
        <v>BANQUE</v>
      </c>
      <c r="F9" s="7">
        <f>VLOOKUP($A9,[6]HISTOAVRIL25!$A$6:$AV$47,36,0)</f>
        <v>0</v>
      </c>
      <c r="G9" s="7">
        <f>VLOOKUP($A9,[6]HISTOAVRIL25!$A$6:$AV$47,39,0)</f>
        <v>0</v>
      </c>
      <c r="H9" s="7" t="str">
        <f>IF(G9=0,"",VLOOKUP($A9,[6]HISTOFEV25!$A$6:$AV$47,42,0))</f>
        <v/>
      </c>
      <c r="I9" s="7">
        <f>VLOOKUP($A9,[6]HISTOAVRIL25!$A$6:$AV$47,41,0)</f>
        <v>0</v>
      </c>
      <c r="J9" s="7">
        <f>+TONTMARS25!F9+TONTMARS25!G9</f>
        <v>0</v>
      </c>
      <c r="K9" s="7">
        <f>VLOOKUP($A9,[6]HISTOAVRIL25!$A$6:$AV$47,17,0)</f>
        <v>0</v>
      </c>
      <c r="L9" s="7" t="str">
        <f>IF(K9&lt;&gt;0,VLOOKUP($A9,[6]HISTOAVRIL25!$A$6:$BB$47,42,0),"ECHEC")</f>
        <v>ECHEC</v>
      </c>
      <c r="M9" s="7" t="str">
        <f>IF(P9=0,0,VLOOKUP($A9,[6]HISTOAVRIL25!$A$6:$AV$47,32,0))</f>
        <v>BANQUE</v>
      </c>
      <c r="N9" s="7">
        <f>VLOOKUP($A9,[6]HISTOAVRIL25!$A$6:$AV$47,33,0)</f>
        <v>0</v>
      </c>
      <c r="O9" s="7">
        <f t="shared" si="0"/>
        <v>892500</v>
      </c>
      <c r="P9" s="7">
        <f>VLOOKUP($A9,[6]HISTOAVRIL25!$A$6:$AV$47,30,0)</f>
        <v>7500</v>
      </c>
    </row>
    <row r="10" spans="1:16" x14ac:dyDescent="0.35">
      <c r="A10" s="1" t="s">
        <v>26</v>
      </c>
      <c r="B10" s="7">
        <f>IF(D10=0,0,VLOOKUP($A10,[6]HISTOAVRIL25!$A$6:$BB$47,12,0))</f>
        <v>1</v>
      </c>
      <c r="C10" s="1" t="str">
        <f>VLOOKUP(A10,[7]LISTADHERENT!A$5:H$60,3,0)</f>
        <v>HENGUE PAUL OMER</v>
      </c>
      <c r="D10" s="7">
        <f>IF(E10="ECHEC",0,VLOOKUP($A10,[6]HISTOAVRIL25!$A$6:$AR$47,13,0))</f>
        <v>75000</v>
      </c>
      <c r="E10" s="7" t="str">
        <f>VLOOKUP($A10,[6]HISTOAVRIL25!$A$6:$AV$47,9,0)</f>
        <v>BANQUE</v>
      </c>
      <c r="F10" s="7">
        <f>VLOOKUP($A10,[6]HISTOAVRIL25!$A$6:$AV$47,36,0)</f>
        <v>0</v>
      </c>
      <c r="G10" s="7">
        <f>VLOOKUP($A10,[6]HISTOAVRIL25!$A$6:$AV$47,39,0)</f>
        <v>0</v>
      </c>
      <c r="H10" s="7" t="str">
        <f>IF(G10=0,"",VLOOKUP($A10,[6]HISTOFEV25!$A$6:$AV$47,42,0))</f>
        <v/>
      </c>
      <c r="I10" s="7">
        <f>VLOOKUP($A10,[6]HISTOAVRIL25!$A$6:$AV$47,41,0)</f>
        <v>0</v>
      </c>
      <c r="J10" s="7">
        <f>+TONTMARS25!F10+TONTMARS25!G10</f>
        <v>0</v>
      </c>
      <c r="K10" s="7">
        <f>VLOOKUP($A10,[6]HISTOAVRIL25!$A$6:$AV$47,17,0)</f>
        <v>0</v>
      </c>
      <c r="L10" s="7" t="str">
        <f>IF(K10&lt;&gt;0,VLOOKUP($A10,[6]HISTOAVRIL25!$A$6:$BB$47,42,0),"ECHEC")</f>
        <v>ECHEC</v>
      </c>
      <c r="M10" s="7">
        <f>IF(P10=0,0,VLOOKUP($A10,[6]HISTOAVRIL25!$A$6:$AV$47,32,0))</f>
        <v>0</v>
      </c>
      <c r="N10" s="7">
        <f>VLOOKUP($A10,[6]HISTOAVRIL25!$A$6:$AV$47,33,0)</f>
        <v>0</v>
      </c>
      <c r="O10" s="7">
        <f t="shared" si="0"/>
        <v>0</v>
      </c>
      <c r="P10" s="7">
        <f>VLOOKUP($A10,[6]HISTOAVRIL25!$A$6:$AV$47,30,0)</f>
        <v>0</v>
      </c>
    </row>
    <row r="11" spans="1:16" x14ac:dyDescent="0.35">
      <c r="A11" s="1" t="s">
        <v>21</v>
      </c>
      <c r="B11" s="7">
        <f>IF(D11=0,0,VLOOKUP($A11,[6]HISTOAVRIL25!$A$6:$BB$47,12,0))</f>
        <v>1</v>
      </c>
      <c r="C11" s="1" t="str">
        <f>VLOOKUP(A11,[7]LISTADHERENT!A$5:H$60,3,0)</f>
        <v>MBOGNING TUGMA GUY</v>
      </c>
      <c r="D11" s="7">
        <f>IF(E11="ECHEC",0,VLOOKUP($A11,[6]HISTOAVRIL25!$A$6:$AR$47,13,0))</f>
        <v>75000</v>
      </c>
      <c r="E11" s="7" t="str">
        <f>VLOOKUP($A11,[6]HISTOAVRIL25!$A$6:$AV$47,9,0)</f>
        <v>BANQUE</v>
      </c>
      <c r="F11" s="7">
        <f>VLOOKUP($A11,[6]HISTOAVRIL25!$A$6:$AV$47,36,0)</f>
        <v>100000</v>
      </c>
      <c r="G11" s="7">
        <f>VLOOKUP($A11,[6]HISTOAVRIL25!$A$6:$AV$47,39,0)</f>
        <v>2000</v>
      </c>
      <c r="H11" s="7" t="str">
        <f>IF(G11=0,"",VLOOKUP($A11,[6]HISTOFEV25!$A$6:$AV$47,42,0))</f>
        <v>BANQUE</v>
      </c>
      <c r="I11" s="7">
        <f>VLOOKUP($A11,[6]HISTOAVRIL25!$A$6:$AV$47,41,0)</f>
        <v>0</v>
      </c>
      <c r="J11" s="7">
        <f>+TONTMARS25!F11+TONTMARS25!G11</f>
        <v>102000</v>
      </c>
      <c r="K11" s="7">
        <f>VLOOKUP($A11,[6]HISTOAVRIL25!$A$6:$AV$47,17,0)</f>
        <v>102000</v>
      </c>
      <c r="L11" s="7" t="str">
        <f>IF(K11&lt;&gt;0,VLOOKUP($A11,[6]HISTOAVRIL25!$A$6:$BB$47,42,0),"ECHEC")</f>
        <v>BANQUE</v>
      </c>
      <c r="M11" s="7">
        <f>IF(P11=0,0,VLOOKUP($A11,[6]HISTOAVRIL25!$A$6:$AV$47,32,0))</f>
        <v>0</v>
      </c>
      <c r="N11" s="7">
        <f>VLOOKUP($A11,[6]HISTOAVRIL25!$A$6:$AV$47,33,0)</f>
        <v>0</v>
      </c>
      <c r="O11" s="7">
        <f t="shared" si="0"/>
        <v>0</v>
      </c>
      <c r="P11" s="7">
        <f>VLOOKUP($A11,[6]HISTOAVRIL25!$A$6:$AV$47,30,0)</f>
        <v>0</v>
      </c>
    </row>
    <row r="12" spans="1:16" x14ac:dyDescent="0.35">
      <c r="A12" s="1" t="s">
        <v>8</v>
      </c>
      <c r="B12" s="7">
        <f>IF(D12=0,0,VLOOKUP($A12,[6]HISTOAVRIL25!$A$6:$BB$47,12,0))</f>
        <v>1</v>
      </c>
      <c r="C12" s="1" t="str">
        <f>VLOOKUP(A12,[7]LISTADHERENT!A$5:H$60,3,0)</f>
        <v>NANKAM APPOLINAIRE</v>
      </c>
      <c r="D12" s="7">
        <f>IF(E12="ECHEC",0,VLOOKUP($A12,[6]HISTOAVRIL25!$A$6:$AR$47,13,0))</f>
        <v>75000</v>
      </c>
      <c r="E12" s="7" t="str">
        <f>VLOOKUP($A12,[6]HISTOAVRIL25!$A$6:$AV$47,9,0)</f>
        <v>BANQUE</v>
      </c>
      <c r="F12" s="7">
        <f>VLOOKUP($A12,[6]HISTOAVRIL25!$A$6:$AV$47,36,0)</f>
        <v>0</v>
      </c>
      <c r="G12" s="7">
        <f>VLOOKUP($A12,[6]HISTOAVRIL25!$A$6:$AV$47,39,0)</f>
        <v>0</v>
      </c>
      <c r="H12" s="7" t="str">
        <f>IF(G12=0,"",VLOOKUP($A12,[6]HISTOFEV25!$A$6:$AV$47,42,0))</f>
        <v/>
      </c>
      <c r="I12" s="7">
        <f>VLOOKUP($A12,[6]HISTOAVRIL25!$A$6:$AV$47,41,0)</f>
        <v>0</v>
      </c>
      <c r="J12" s="7">
        <f>+TONTMARS25!F12+TONTMARS25!G12</f>
        <v>0</v>
      </c>
      <c r="K12" s="7">
        <f>VLOOKUP($A12,[6]HISTOAVRIL25!$A$6:$AV$47,17,0)</f>
        <v>0</v>
      </c>
      <c r="L12" s="7" t="str">
        <f>IF(K12&lt;&gt;0,VLOOKUP($A12,[6]HISTOAVRIL25!$A$6:$BB$47,42,0),"ECHEC")</f>
        <v>ECHEC</v>
      </c>
      <c r="M12" s="7">
        <f>IF(P12=0,0,VLOOKUP($A12,[6]HISTOAVRIL25!$A$6:$AV$47,32,0))</f>
        <v>0</v>
      </c>
      <c r="N12" s="7">
        <f>VLOOKUP($A12,[6]HISTOAVRIL25!$A$6:$AV$47,33,0)</f>
        <v>0</v>
      </c>
      <c r="O12" s="7">
        <f t="shared" si="0"/>
        <v>0</v>
      </c>
      <c r="P12" s="7">
        <f>VLOOKUP($A12,[6]HISTOAVRIL25!$A$6:$AV$47,30,0)</f>
        <v>0</v>
      </c>
    </row>
    <row r="13" spans="1:16" x14ac:dyDescent="0.35">
      <c r="A13" s="1" t="s">
        <v>35</v>
      </c>
      <c r="B13" s="7">
        <f>IF(D13=0,0,VLOOKUP($A13,[6]HISTOAVRIL25!$A$6:$BB$47,12,0))</f>
        <v>1</v>
      </c>
      <c r="C13" s="1" t="str">
        <f>VLOOKUP(A13,[7]LISTADHERENT!A$5:H$60,3,0)</f>
        <v>NGONDIEP CLAUDE</v>
      </c>
      <c r="D13" s="7">
        <f>IF(E13="ECHEC",0,VLOOKUP($A13,[6]HISTOAVRIL25!$A$6:$AR$47,13,0))</f>
        <v>75000</v>
      </c>
      <c r="E13" s="7" t="str">
        <f>VLOOKUP($A13,[6]HISTOAVRIL25!$A$6:$AV$47,9,0)</f>
        <v>BANQUE</v>
      </c>
      <c r="F13" s="7">
        <f>VLOOKUP($A13,[6]HISTOAVRIL25!$A$6:$AV$47,36,0)</f>
        <v>79625</v>
      </c>
      <c r="G13" s="7">
        <f>VLOOKUP($A13,[6]HISTOAVRIL25!$A$6:$AV$47,39,0)</f>
        <v>1000</v>
      </c>
      <c r="H13" s="7">
        <f>IF(G13=0,"",VLOOKUP($A13,[6]HISTOFEV25!$A$6:$AV$47,42,0))</f>
        <v>0</v>
      </c>
      <c r="I13" s="7">
        <f>VLOOKUP($A13,[6]HISTOAVRIL25!$A$6:$AV$47,41,0)</f>
        <v>0</v>
      </c>
      <c r="J13" s="7">
        <f>+TONTMARS25!F13+TONTMARS25!G13</f>
        <v>0</v>
      </c>
      <c r="K13" s="7">
        <f>VLOOKUP($A13,[6]HISTOAVRIL25!$A$6:$AV$47,17,0)</f>
        <v>0</v>
      </c>
      <c r="L13" s="7" t="str">
        <f>IF(K13&lt;&gt;0,VLOOKUP($A13,[6]HISTOAVRIL25!$A$6:$BB$47,42,0),"ECHEC")</f>
        <v>ECHEC</v>
      </c>
      <c r="M13" s="7">
        <f>IF(P13=0,0,VLOOKUP($A13,[6]HISTOAVRIL25!$A$6:$AV$47,32,0))</f>
        <v>0</v>
      </c>
      <c r="N13" s="7">
        <f>VLOOKUP($A13,[6]HISTOAVRIL25!$A$6:$AV$47,33,0)</f>
        <v>0</v>
      </c>
      <c r="O13" s="7">
        <f t="shared" si="0"/>
        <v>0</v>
      </c>
      <c r="P13" s="7">
        <f>VLOOKUP($A13,[6]HISTOAVRIL25!$A$6:$AV$47,30,0)</f>
        <v>0</v>
      </c>
    </row>
    <row r="14" spans="1:16" x14ac:dyDescent="0.35">
      <c r="A14" s="1" t="s">
        <v>27</v>
      </c>
      <c r="B14" s="7">
        <f>IF(D14=0,0,VLOOKUP($A14,[6]HISTOAVRIL25!$A$6:$BB$47,12,0))</f>
        <v>1</v>
      </c>
      <c r="C14" s="1" t="str">
        <f>VLOOKUP(A14,[7]LISTADHERENT!A$5:H$60,3,0)</f>
        <v>PATEGO NJOSSU GUSTAVE</v>
      </c>
      <c r="D14" s="7">
        <f>IF(E14="ECHEC",0,VLOOKUP($A14,[6]HISTOAVRIL25!$A$6:$AR$47,13,0))</f>
        <v>75000</v>
      </c>
      <c r="E14" s="7" t="str">
        <f>VLOOKUP($A14,[6]HISTOAVRIL25!$A$6:$AV$47,9,0)</f>
        <v>BANQUE</v>
      </c>
      <c r="F14" s="7">
        <f>VLOOKUP($A14,[6]HISTOAVRIL25!$A$6:$AV$47,36,0)</f>
        <v>0</v>
      </c>
      <c r="G14" s="7">
        <f>VLOOKUP($A14,[6]HISTOAVRIL25!$A$6:$AV$47,39,0)</f>
        <v>0</v>
      </c>
      <c r="H14" s="7" t="str">
        <f>IF(G14=0,"",VLOOKUP($A14,[6]HISTOFEV25!$A$6:$AV$47,42,0))</f>
        <v/>
      </c>
      <c r="I14" s="7">
        <f>VLOOKUP($A14,[6]HISTOAVRIL25!$A$6:$AV$47,41,0)</f>
        <v>0</v>
      </c>
      <c r="J14" s="7">
        <f>+TONTMARS25!F14+TONTMARS25!G14</f>
        <v>0</v>
      </c>
      <c r="K14" s="7">
        <f>VLOOKUP($A14,[6]HISTOAVRIL25!$A$6:$AV$47,17,0)</f>
        <v>0</v>
      </c>
      <c r="L14" s="7" t="str">
        <f>IF(K14&lt;&gt;0,VLOOKUP($A14,[6]HISTOAVRIL25!$A$6:$BB$47,42,0),"ECHEC")</f>
        <v>ECHEC</v>
      </c>
      <c r="M14" s="7">
        <f>IF(P14=0,0,VLOOKUP($A14,[6]HISTOAVRIL25!$A$6:$AV$47,32,0))</f>
        <v>0</v>
      </c>
      <c r="N14" s="7">
        <f>VLOOKUP($A14,[6]HISTOAVRIL25!$A$6:$AV$47,33,0)</f>
        <v>0</v>
      </c>
      <c r="O14" s="7">
        <f t="shared" si="0"/>
        <v>0</v>
      </c>
      <c r="P14" s="7">
        <f>VLOOKUP($A14,[6]HISTOAVRIL25!$A$6:$AV$47,30,0)</f>
        <v>0</v>
      </c>
    </row>
    <row r="15" spans="1:16" x14ac:dyDescent="0.35">
      <c r="A15" s="9" t="s">
        <v>48</v>
      </c>
      <c r="B15" s="7">
        <f>IF(D15=0,0,VLOOKUP($A15,[6]HISTOAVRIL25!$A$6:$BB$47,12,0))</f>
        <v>1</v>
      </c>
      <c r="C15" s="1" t="str">
        <f>VLOOKUP(A15,[7]LISTADHERENT!A$5:H$60,3,0)</f>
        <v>TCHOUAMOU MATHIEU</v>
      </c>
      <c r="D15" s="7">
        <f>IF(E15="ECHEC",0,VLOOKUP($A15,[6]HISTOAVRIL25!$A$6:$AR$47,13,0))</f>
        <v>75000</v>
      </c>
      <c r="E15" s="7" t="str">
        <f>VLOOKUP($A15,[6]HISTOAVRIL25!$A$6:$AV$47,9,0)</f>
        <v>BANQUE</v>
      </c>
      <c r="F15" s="7">
        <f>VLOOKUP($A15,[6]HISTOAVRIL25!$A$6:$AV$47,36,0)</f>
        <v>50000</v>
      </c>
      <c r="G15" s="7">
        <f>VLOOKUP($A15,[6]HISTOAVRIL25!$A$6:$AV$47,39,0)</f>
        <v>1000</v>
      </c>
      <c r="H15" s="7">
        <f>IF(G15=0,"",VLOOKUP($A15,[6]HISTOFEV25!$A$6:$AV$47,42,0))</f>
        <v>0</v>
      </c>
      <c r="I15" s="7">
        <f>VLOOKUP($A15,[6]HISTOAVRIL25!$A$6:$AV$47,41,0)</f>
        <v>0</v>
      </c>
      <c r="J15" s="7">
        <f>+TONTMARS25!F15+TONTMARS25!G15</f>
        <v>102000</v>
      </c>
      <c r="K15" s="7">
        <f>VLOOKUP($A15,[6]HISTOAVRIL25!$A$6:$AV$47,17,0)</f>
        <v>102000</v>
      </c>
      <c r="L15" s="7" t="str">
        <f>IF(K15&lt;&gt;0,VLOOKUP($A15,[6]HISTOAVRIL25!$A$6:$BB$47,42,0),"ECHEC")</f>
        <v>BANQUE</v>
      </c>
      <c r="M15" s="7">
        <f>IF(P15=0,0,VLOOKUP($A15,[6]HISTOAVRIL25!$A$6:$AV$47,32,0))</f>
        <v>0</v>
      </c>
      <c r="N15" s="7">
        <f>VLOOKUP($A15,[6]HISTOAVRIL25!$A$6:$AV$47,33,0)</f>
        <v>0</v>
      </c>
      <c r="O15" s="7">
        <f t="shared" si="0"/>
        <v>0</v>
      </c>
      <c r="P15" s="7">
        <f>VLOOKUP($A15,[6]HISTOAVRIL25!$A$6:$AV$47,30,0)</f>
        <v>0</v>
      </c>
    </row>
    <row r="16" spans="1:16" x14ac:dyDescent="0.35">
      <c r="A16" s="23" t="s">
        <v>59</v>
      </c>
      <c r="B16" s="7">
        <f>IF(D16=0,0,VLOOKUP($A16,[6]HISTOAVRIL25!$A$6:$BB$47,12,0))</f>
        <v>1</v>
      </c>
      <c r="C16" s="1" t="str">
        <f>VLOOKUP(A16,[7]LISTADHERENT!A$5:H$60,3,0)</f>
        <v>YANTCHOU GERVAIS</v>
      </c>
      <c r="D16" s="7">
        <f>IF(E16="ECHEC",0,VLOOKUP($A16,[6]HISTOAVRIL25!$A$6:$AR$47,13,0))</f>
        <v>75000</v>
      </c>
      <c r="E16" s="7" t="str">
        <f>VLOOKUP($A16,[6]HISTOAVRIL25!$A$6:$AV$47,9,0)</f>
        <v>BANQUE</v>
      </c>
      <c r="F16" s="7">
        <f>VLOOKUP($A16,[6]HISTOAVRIL25!$A$6:$AV$47,36,0)</f>
        <v>100000</v>
      </c>
      <c r="G16" s="7">
        <f>VLOOKUP($A16,[6]HISTOAVRIL25!$A$6:$AV$47,39,0)</f>
        <v>2000</v>
      </c>
      <c r="H16" s="7">
        <f>IF(G16=0,"",VLOOKUP($A16,[6]HISTOFEV25!$A$6:$AV$47,42,0))</f>
        <v>0</v>
      </c>
      <c r="I16" s="7">
        <f>VLOOKUP($A16,[6]HISTOAVRIL25!$A$6:$AV$47,41,0)</f>
        <v>0</v>
      </c>
      <c r="J16" s="7">
        <f>+TONTMARS25!F16+TONTMARS25!G16</f>
        <v>0</v>
      </c>
      <c r="K16" s="7">
        <f>VLOOKUP($A16,[6]HISTOAVRIL25!$A$6:$AV$47,17,0)</f>
        <v>0</v>
      </c>
      <c r="L16" s="7" t="str">
        <f>IF(K16&lt;&gt;0,VLOOKUP($A16,[6]HISTOAVRIL25!$A$6:$BB$47,42,0),"ECHEC")</f>
        <v>ECHEC</v>
      </c>
      <c r="M16" s="7">
        <f>IF(P16=0,0,VLOOKUP($A16,[6]HISTOAVRIL25!$A$6:$AV$47,32,0))</f>
        <v>0</v>
      </c>
      <c r="N16" s="7">
        <f>VLOOKUP($A16,[6]HISTOAVRIL25!$A$6:$AV$47,33,0)</f>
        <v>0</v>
      </c>
      <c r="O16" s="7">
        <f t="shared" si="0"/>
        <v>0</v>
      </c>
      <c r="P16" s="7">
        <f>VLOOKUP($A16,[6]HISTOAVRIL25!$A$6:$AV$47,30,0)</f>
        <v>0</v>
      </c>
    </row>
    <row r="17" spans="1:16" x14ac:dyDescent="0.35">
      <c r="A17" s="1" t="s">
        <v>19</v>
      </c>
      <c r="B17" s="7">
        <f>IF(D17=0,0,VLOOKUP($A17,[6]HISTOAVRIL25!$A$6:$BB$47,12,0))</f>
        <v>1</v>
      </c>
      <c r="C17" s="1" t="str">
        <f>VLOOKUP(A17,[7]LISTADHERENT!A$5:H$60,3,0)</f>
        <v>YOUMBI EMMANUEL</v>
      </c>
      <c r="D17" s="7">
        <f>IF(E17="ECHEC",0,VLOOKUP($A17,[6]HISTOAVRIL25!$A$6:$AR$47,13,0))</f>
        <v>75000</v>
      </c>
      <c r="E17" s="7" t="str">
        <f>VLOOKUP($A17,[6]HISTOAVRIL25!$A$6:$AV$47,9,0)</f>
        <v>BANQUE</v>
      </c>
      <c r="F17" s="7">
        <f>VLOOKUP($A17,[6]HISTOAVRIL25!$A$6:$AV$47,36,0)</f>
        <v>0</v>
      </c>
      <c r="G17" s="7">
        <f>VLOOKUP($A17,[6]HISTOAVRIL25!$A$6:$AV$47,39,0)</f>
        <v>0</v>
      </c>
      <c r="H17" s="7" t="str">
        <f>IF(G17=0,"",VLOOKUP($A17,[6]HISTOFEV25!$A$6:$AV$47,42,0))</f>
        <v/>
      </c>
      <c r="I17" s="7">
        <f>VLOOKUP($A17,[6]HISTOAVRIL25!$A$6:$AV$47,41,0)</f>
        <v>0</v>
      </c>
      <c r="J17" s="7">
        <f>+TONTMARS25!F17+TONTMARS25!G17</f>
        <v>0</v>
      </c>
      <c r="K17" s="7">
        <f>VLOOKUP($A17,[6]HISTOAVRIL25!$A$6:$AV$47,17,0)</f>
        <v>0</v>
      </c>
      <c r="L17" s="7" t="str">
        <f>IF(K17&lt;&gt;0,VLOOKUP($A17,[6]HISTOAVRIL25!$A$6:$BB$47,42,0),"ECHEC")</f>
        <v>ECHEC</v>
      </c>
      <c r="M17" s="7">
        <f>IF(P17=0,0,VLOOKUP($A17,[6]HISTOAVRIL25!$A$6:$AV$47,32,0))</f>
        <v>0</v>
      </c>
      <c r="N17" s="7">
        <f>VLOOKUP($A17,[6]HISTOAVRIL25!$A$6:$AV$47,33,0)</f>
        <v>0</v>
      </c>
      <c r="O17" s="7">
        <f t="shared" si="0"/>
        <v>0</v>
      </c>
      <c r="P17" s="7">
        <f>VLOOKUP($A17,[6]HISTOAVRIL25!$A$6:$AV$47,30,0)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379625</v>
      </c>
      <c r="G20" s="8">
        <f t="shared" si="1"/>
        <v>7000</v>
      </c>
      <c r="H20" s="8">
        <f t="shared" si="1"/>
        <v>0</v>
      </c>
      <c r="I20" s="8">
        <f t="shared" si="1"/>
        <v>0</v>
      </c>
      <c r="J20" s="8">
        <f t="shared" si="1"/>
        <v>297125</v>
      </c>
      <c r="K20" s="8">
        <f t="shared" si="1"/>
        <v>297125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1080125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195125</v>
      </c>
      <c r="F24" s="8">
        <f>SUMIFS(F7:F19,H7:H19,"BANQUE")</f>
        <v>100000</v>
      </c>
      <c r="G24" s="8">
        <f>SUMIFS(O7:O19,M7:M19,"BANQUE")</f>
        <v>892500</v>
      </c>
      <c r="H24" s="8">
        <f>D24+E24-F24-G24</f>
        <v>177625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180125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195125</v>
      </c>
      <c r="F26" s="8">
        <f>F23+F24</f>
        <v>100000</v>
      </c>
      <c r="G26" s="8">
        <f t="shared" ref="G26:H26" si="2">G23+G24</f>
        <v>892500</v>
      </c>
      <c r="H26" s="8">
        <f t="shared" si="2"/>
        <v>177625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-199500</v>
      </c>
      <c r="L27"/>
      <c r="M27" s="8">
        <f>K27</f>
        <v>-199500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102000</v>
      </c>
      <c r="M30" s="8">
        <f>+K30+TONTFEV25!M30</f>
        <v>102000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D087-CE8D-4DA5-82EF-2292CD505006}">
  <dimension ref="A1:P30"/>
  <sheetViews>
    <sheetView zoomScale="112" zoomScaleNormal="112"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F13" sqref="F13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45790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IF(D6=0,0,VLOOKUP($A6,[6]HISTOMAI25!$A$6:$BB$47,12,0))</f>
        <v>2</v>
      </c>
      <c r="C6" s="1" t="str">
        <f>VLOOKUP(A6,[7]LISTADHERENT!A$5:H$60,3,0)</f>
        <v>ASELBY</v>
      </c>
      <c r="D6" s="7">
        <f>IF(E6="ECHEC",0,VLOOKUP($A6,[6]HISTOMAI25!$A$6:$AR$47,13,0))</f>
        <v>150000</v>
      </c>
      <c r="E6" s="7" t="str">
        <f>VLOOKUP($A6,[6]HISTOMAI25!$A$6:$AV$47,9,0)</f>
        <v>BANQUE</v>
      </c>
      <c r="F6" s="7">
        <f>VLOOKUP($A6,[6]HISTOMAI25!$A$6:$AV$47,36,0)</f>
        <v>0</v>
      </c>
      <c r="G6" s="7">
        <f>VLOOKUP($A6,[6]HISTOMAI25!$A$6:$AV$47,39,0)</f>
        <v>0</v>
      </c>
      <c r="H6" s="7" t="str">
        <f>IF(G6=0,"",VLOOKUP($A6,[6]HISTOFEV25!$A$6:$AV$47,42,0))</f>
        <v/>
      </c>
      <c r="I6" s="7">
        <f>VLOOKUP($A6,[6]HISTOMAI25!$A$6:$AV$47,41,0)</f>
        <v>0</v>
      </c>
      <c r="J6" s="7">
        <f>+TONTAVRIL25!F6+TONTAVRIL25!G6</f>
        <v>0</v>
      </c>
      <c r="K6" s="7">
        <f>VLOOKUP($A6,[6]HISTOMAI25!$A$6:$AV$47,17,0)</f>
        <v>0</v>
      </c>
      <c r="L6" s="7" t="str">
        <f>IF(K6&lt;&gt;0,VLOOKUP($A6,[6]HISTOMAI25!$A$6:$BB$47,42,0),"ECHEC")</f>
        <v>ECHEC</v>
      </c>
      <c r="M6" s="7">
        <f>IF(P6=0,0,VLOOKUP($A6,[6]HISTOMAI25!$A$6:$AV$47,32,0))</f>
        <v>0</v>
      </c>
      <c r="N6" s="7">
        <f>VLOOKUP($A6,[6]HISTOMAI25!$A$6:$AV$47,33,0)</f>
        <v>0</v>
      </c>
      <c r="O6" s="7">
        <f t="shared" ref="O6:O17" si="0">IF(P6=0,0,($C$3-P6))</f>
        <v>0</v>
      </c>
      <c r="P6" s="7">
        <f>VLOOKUP($A6,[6]HISTOMAI25!$A$6:$AV$47,30,0)</f>
        <v>0</v>
      </c>
    </row>
    <row r="7" spans="1:16" x14ac:dyDescent="0.35">
      <c r="A7" s="1" t="s">
        <v>24</v>
      </c>
      <c r="B7" s="7">
        <f>IF(D7=0,0,VLOOKUP($A7,[6]HISTOMAI25!$A$6:$BB$47,12,0))</f>
        <v>1</v>
      </c>
      <c r="C7" s="1" t="str">
        <f>VLOOKUP(A7,[7]LISTADHERENT!A$5:H$60,3,0)</f>
        <v>BOUTCHOUANG WILLIAM</v>
      </c>
      <c r="D7" s="7">
        <f>IF(E7="ECHEC",0,VLOOKUP($A7,[6]HISTOMAI25!$A$6:$AR$47,13,0))</f>
        <v>75000</v>
      </c>
      <c r="E7" s="7" t="str">
        <f>VLOOKUP($A7,[6]HISTOMAI25!$A$6:$AV$47,9,0)</f>
        <v>BANQUE</v>
      </c>
      <c r="F7" s="7">
        <f>VLOOKUP($A7,[6]HISTOMAI25!$A$6:$AV$47,36,0)</f>
        <v>0</v>
      </c>
      <c r="G7" s="7">
        <f>VLOOKUP($A7,[6]HISTOMAI25!$A$6:$AV$47,39,0)</f>
        <v>0</v>
      </c>
      <c r="H7" s="7" t="str">
        <f>IF(G7=0,"",VLOOKUP($A7,[6]HISTOFEV25!$A$6:$AV$47,42,0))</f>
        <v/>
      </c>
      <c r="I7" s="7">
        <f>VLOOKUP($A7,[6]HISTOMAI25!$A$6:$AV$47,41,0)</f>
        <v>0</v>
      </c>
      <c r="J7" s="7">
        <f>+TONTAVRIL25!F7+TONTAVRIL25!G7</f>
        <v>0</v>
      </c>
      <c r="K7" s="7">
        <f>VLOOKUP($A7,[6]HISTOMAI25!$A$6:$AV$47,17,0)</f>
        <v>0</v>
      </c>
      <c r="L7" s="7" t="str">
        <f>IF(K7&lt;&gt;0,VLOOKUP($A7,[6]HISTOMAI25!$A$6:$BB$47,42,0),"ECHEC")</f>
        <v>ECHEC</v>
      </c>
      <c r="M7" s="7">
        <f>IF(P7=0,0,VLOOKUP($A7,[6]HISTOMAI25!$A$6:$AV$47,32,0))</f>
        <v>0</v>
      </c>
      <c r="N7" s="7">
        <f>VLOOKUP($A7,[6]HISTOMAI25!$A$6:$AV$47,33,0)</f>
        <v>0</v>
      </c>
      <c r="O7" s="7">
        <f t="shared" si="0"/>
        <v>0</v>
      </c>
      <c r="P7" s="7">
        <f>VLOOKUP($A7,[6]HISTOMAI25!$A$6:$AV$47,30,0)</f>
        <v>0</v>
      </c>
    </row>
    <row r="8" spans="1:16" x14ac:dyDescent="0.35">
      <c r="A8" s="1" t="s">
        <v>18</v>
      </c>
      <c r="B8" s="7">
        <f>IF(D8=0,0,VLOOKUP($A8,[6]HISTOMAI25!$A$6:$BB$47,12,0))</f>
        <v>1</v>
      </c>
      <c r="C8" s="1" t="str">
        <f>VLOOKUP(A8,[7]LISTADHERENT!A$5:H$60,3,0)</f>
        <v>HOTCHO BENJAMIN</v>
      </c>
      <c r="D8" s="7">
        <f>IF(E8="ECHEC",0,VLOOKUP($A8,[6]HISTOMAI25!$A$6:$AR$47,13,0))</f>
        <v>75000</v>
      </c>
      <c r="E8" s="7" t="str">
        <f>VLOOKUP($A8,[6]HISTOMAI25!$A$6:$AV$47,9,0)</f>
        <v>BANQUE</v>
      </c>
      <c r="F8" s="7">
        <f>VLOOKUP($A8,[6]HISTOMAI25!$A$6:$AV$47,36,0)</f>
        <v>50000</v>
      </c>
      <c r="G8" s="7">
        <f>VLOOKUP($A8,[6]HISTOMAI25!$A$6:$AV$47,39,0)</f>
        <v>1000</v>
      </c>
      <c r="H8" s="7">
        <f>IF(G8=0,"",VLOOKUP($A8,[6]HISTOFEV25!$A$6:$AV$47,42,0))</f>
        <v>0</v>
      </c>
      <c r="I8" s="7">
        <f>VLOOKUP($A8,[6]HISTOMAI25!$A$6:$AV$47,41,0)</f>
        <v>0</v>
      </c>
      <c r="J8" s="7">
        <f>+TONTAVRIL25!F8+TONTAVRIL25!G8</f>
        <v>51000</v>
      </c>
      <c r="K8" s="7">
        <f>VLOOKUP($A8,[6]HISTOMAI25!$A$6:$AV$47,17,0)</f>
        <v>51000</v>
      </c>
      <c r="L8" s="7" t="str">
        <f>IF(K8&lt;&gt;0,VLOOKUP($A8,[6]HISTOMAI25!$A$6:$BB$47,42,0),"ECHEC")</f>
        <v>BANQUE</v>
      </c>
      <c r="M8" s="7">
        <f>IF(P8=0,0,VLOOKUP($A8,[6]HISTOMAI25!$A$6:$AV$47,32,0))</f>
        <v>0</v>
      </c>
      <c r="N8" s="7">
        <f>VLOOKUP($A8,[6]HISTOMAI25!$A$6:$AV$47,33,0)</f>
        <v>0</v>
      </c>
      <c r="O8" s="7">
        <f t="shared" si="0"/>
        <v>0</v>
      </c>
      <c r="P8" s="7">
        <f>VLOOKUP($A8,[6]HISTOMAI25!$A$6:$AV$47,30,0)</f>
        <v>0</v>
      </c>
    </row>
    <row r="9" spans="1:16" x14ac:dyDescent="0.35">
      <c r="A9" s="1" t="s">
        <v>60</v>
      </c>
      <c r="B9" s="7">
        <f>IF(D9=0,0,VLOOKUP($A9,[6]HISTOMAI25!$A$6:$BB$47,12,0))</f>
        <v>1</v>
      </c>
      <c r="C9" s="1" t="str">
        <f>VLOOKUP(A9,[7]LISTADHERENT!A$5:H$60,3,0)</f>
        <v>KOUATCHO MESSACK</v>
      </c>
      <c r="D9" s="7">
        <f>IF(E9="ECHEC",0,VLOOKUP($A9,[6]HISTOMAI25!$A$6:$AR$47,13,0))</f>
        <v>75000</v>
      </c>
      <c r="E9" s="7" t="str">
        <f>VLOOKUP($A9,[6]HISTOMAI25!$A$6:$AV$47,9,0)</f>
        <v>BANQUE</v>
      </c>
      <c r="F9" s="7">
        <f>VLOOKUP($A9,[6]HISTOMAI25!$A$6:$AV$47,36,0)</f>
        <v>0</v>
      </c>
      <c r="G9" s="7">
        <f>VLOOKUP($A9,[6]HISTOMAI25!$A$6:$AV$47,39,0)</f>
        <v>0</v>
      </c>
      <c r="H9" s="7" t="str">
        <f>IF(G9=0,"",VLOOKUP($A9,[6]HISTOFEV25!$A$6:$AV$47,42,0))</f>
        <v/>
      </c>
      <c r="I9" s="7">
        <f>VLOOKUP($A9,[6]HISTOMAI25!$A$6:$AV$47,41,0)</f>
        <v>0</v>
      </c>
      <c r="J9" s="7">
        <f>+TONTAVRIL25!F9+TONTAVRIL25!G9</f>
        <v>0</v>
      </c>
      <c r="K9" s="7">
        <f>VLOOKUP($A9,[6]HISTOMAI25!$A$6:$AV$47,17,0)</f>
        <v>0</v>
      </c>
      <c r="L9" s="7" t="str">
        <f>IF(K9&lt;&gt;0,VLOOKUP($A9,[6]HISTOMAI25!$A$6:$BB$47,42,0),"ECHEC")</f>
        <v>ECHEC</v>
      </c>
      <c r="M9" s="7">
        <f>IF(P9=0,0,VLOOKUP($A9,[6]HISTOMAI25!$A$6:$AV$47,32,0))</f>
        <v>0</v>
      </c>
      <c r="N9" s="7">
        <f>VLOOKUP($A9,[6]HISTOMAI25!$A$6:$AV$47,33,0)</f>
        <v>0</v>
      </c>
      <c r="O9" s="7">
        <f t="shared" si="0"/>
        <v>0</v>
      </c>
      <c r="P9" s="7">
        <f>VLOOKUP($A9,[6]HISTOMAI25!$A$6:$AV$47,30,0)</f>
        <v>0</v>
      </c>
    </row>
    <row r="10" spans="1:16" x14ac:dyDescent="0.35">
      <c r="A10" s="1" t="s">
        <v>26</v>
      </c>
      <c r="B10" s="7">
        <f>IF(D10=0,0,VLOOKUP($A10,[6]HISTOMAI25!$A$6:$BB$47,12,0))</f>
        <v>1</v>
      </c>
      <c r="C10" s="1" t="str">
        <f>VLOOKUP(A10,[7]LISTADHERENT!A$5:H$60,3,0)</f>
        <v>HENGUE PAUL OMER</v>
      </c>
      <c r="D10" s="7">
        <f>IF(E10="ECHEC",0,VLOOKUP($A10,[6]HISTOMAI25!$A$6:$AR$47,13,0))</f>
        <v>75000</v>
      </c>
      <c r="E10" s="7" t="str">
        <f>VLOOKUP($A10,[6]HISTOMAI25!$A$6:$AV$47,9,0)</f>
        <v>BANQUE</v>
      </c>
      <c r="F10" s="7">
        <f>VLOOKUP($A10,[6]HISTOMAI25!$A$6:$AV$47,36,0)</f>
        <v>0</v>
      </c>
      <c r="G10" s="7">
        <f>VLOOKUP($A10,[6]HISTOMAI25!$A$6:$AV$47,39,0)</f>
        <v>0</v>
      </c>
      <c r="H10" s="7" t="str">
        <f>IF(G10=0,"",VLOOKUP($A10,[6]HISTOFEV25!$A$6:$AV$47,42,0))</f>
        <v/>
      </c>
      <c r="I10" s="7">
        <f>VLOOKUP($A10,[6]HISTOMAI25!$A$6:$AV$47,41,0)</f>
        <v>0</v>
      </c>
      <c r="J10" s="7">
        <f>+TONTAVRIL25!F10+TONTAVRIL25!G10</f>
        <v>0</v>
      </c>
      <c r="K10" s="7">
        <f>VLOOKUP($A10,[6]HISTOMAI25!$A$6:$AV$47,17,0)</f>
        <v>0</v>
      </c>
      <c r="L10" s="7" t="str">
        <f>IF(K10&lt;&gt;0,VLOOKUP($A10,[6]HISTOMAI25!$A$6:$BB$47,42,0),"ECHEC")</f>
        <v>ECHEC</v>
      </c>
      <c r="M10" s="7">
        <f>IF(P10=0,0,VLOOKUP($A10,[6]HISTOMAI25!$A$6:$AV$47,32,0))</f>
        <v>0</v>
      </c>
      <c r="N10" s="7">
        <f>VLOOKUP($A10,[6]HISTOMAI25!$A$6:$AV$47,33,0)</f>
        <v>0</v>
      </c>
      <c r="O10" s="7">
        <f t="shared" si="0"/>
        <v>0</v>
      </c>
      <c r="P10" s="7">
        <f>VLOOKUP($A10,[6]HISTOMAI25!$A$6:$AV$47,30,0)</f>
        <v>0</v>
      </c>
    </row>
    <row r="11" spans="1:16" x14ac:dyDescent="0.35">
      <c r="A11" s="1" t="s">
        <v>21</v>
      </c>
      <c r="B11" s="7">
        <f>IF(D11=0,0,VLOOKUP($A11,[6]HISTOMAI25!$A$6:$BB$47,12,0))</f>
        <v>1</v>
      </c>
      <c r="C11" s="1" t="str">
        <f>VLOOKUP(A11,[7]LISTADHERENT!A$5:H$60,3,0)</f>
        <v>MBOGNING TUGMA GUY</v>
      </c>
      <c r="D11" s="7">
        <f>IF(E11="ECHEC",0,VLOOKUP($A11,[6]HISTOMAI25!$A$6:$AR$47,13,0))</f>
        <v>75000</v>
      </c>
      <c r="E11" s="7" t="str">
        <f>VLOOKUP($A11,[6]HISTOMAI25!$A$6:$AV$47,9,0)</f>
        <v>BANQUE</v>
      </c>
      <c r="F11" s="7">
        <f>VLOOKUP($A11,[6]HISTOMAI25!$A$6:$AV$47,36,0)</f>
        <v>100000</v>
      </c>
      <c r="G11" s="7">
        <f>VLOOKUP($A11,[6]HISTOMAI25!$A$6:$AV$47,39,0)</f>
        <v>2000</v>
      </c>
      <c r="H11" s="7" t="str">
        <f>IF(G11=0,"",VLOOKUP($A11,[6]HISTOFEV25!$A$6:$AV$47,42,0))</f>
        <v>BANQUE</v>
      </c>
      <c r="I11" s="7">
        <f>VLOOKUP($A11,[6]HISTOMAI25!$A$6:$AV$47,41,0)</f>
        <v>0</v>
      </c>
      <c r="J11" s="7">
        <f>+TONTAVRIL25!F11+TONTAVRIL25!G11</f>
        <v>102000</v>
      </c>
      <c r="K11" s="7">
        <f>VLOOKUP($A11,[6]HISTOMAI25!$A$6:$AV$47,17,0)</f>
        <v>102000</v>
      </c>
      <c r="L11" s="7" t="str">
        <f>IF(K11&lt;&gt;0,VLOOKUP($A11,[6]HISTOMAI25!$A$6:$BB$47,42,0),"ECHEC")</f>
        <v>BANQUE</v>
      </c>
      <c r="M11" s="7">
        <f>IF(P11=0,0,VLOOKUP($A11,[6]HISTOMAI25!$A$6:$AV$47,32,0))</f>
        <v>0</v>
      </c>
      <c r="N11" s="7">
        <f>VLOOKUP($A11,[6]HISTOMAI25!$A$6:$AV$47,33,0)</f>
        <v>0</v>
      </c>
      <c r="O11" s="7">
        <f t="shared" si="0"/>
        <v>0</v>
      </c>
      <c r="P11" s="7">
        <f>VLOOKUP($A11,[6]HISTOMAI25!$A$6:$AV$47,30,0)</f>
        <v>0</v>
      </c>
    </row>
    <row r="12" spans="1:16" x14ac:dyDescent="0.35">
      <c r="A12" s="1" t="s">
        <v>8</v>
      </c>
      <c r="B12" s="7">
        <f>IF(D12=0,0,VLOOKUP($A12,[6]HISTOMAI25!$A$6:$BB$47,12,0))</f>
        <v>1</v>
      </c>
      <c r="C12" s="1" t="str">
        <f>VLOOKUP(A12,[7]LISTADHERENT!A$5:H$60,3,0)</f>
        <v>NANKAM APPOLINAIRE</v>
      </c>
      <c r="D12" s="7">
        <f>IF(E12="ECHEC",0,VLOOKUP($A12,[6]HISTOMAI25!$A$6:$AR$47,13,0))</f>
        <v>75000</v>
      </c>
      <c r="E12" s="7" t="str">
        <f>VLOOKUP($A12,[6]HISTOMAI25!$A$6:$AV$47,9,0)</f>
        <v>BANQUE</v>
      </c>
      <c r="F12" s="7">
        <f>VLOOKUP($A12,[6]HISTOMAI25!$A$6:$AV$47,36,0)</f>
        <v>0</v>
      </c>
      <c r="G12" s="7">
        <f>VLOOKUP($A12,[6]HISTOMAI25!$A$6:$AV$47,39,0)</f>
        <v>0</v>
      </c>
      <c r="H12" s="7" t="str">
        <f>IF(G12=0,"",VLOOKUP($A12,[6]HISTOFEV25!$A$6:$AV$47,42,0))</f>
        <v/>
      </c>
      <c r="I12" s="7">
        <f>VLOOKUP($A12,[6]HISTOMAI25!$A$6:$AV$47,41,0)</f>
        <v>0</v>
      </c>
      <c r="J12" s="7">
        <f>+TONTAVRIL25!F12+TONTAVRIL25!G12</f>
        <v>0</v>
      </c>
      <c r="K12" s="7">
        <f>VLOOKUP($A12,[6]HISTOMAI25!$A$6:$AV$47,17,0)</f>
        <v>0</v>
      </c>
      <c r="L12" s="7" t="str">
        <f>IF(K12&lt;&gt;0,VLOOKUP($A12,[6]HISTOMAI25!$A$6:$BB$47,42,0),"ECHEC")</f>
        <v>ECHEC</v>
      </c>
      <c r="M12" s="7">
        <f>IF(P12=0,0,VLOOKUP($A12,[6]HISTOMAI25!$A$6:$AV$47,32,0))</f>
        <v>0</v>
      </c>
      <c r="N12" s="7">
        <f>VLOOKUP($A12,[6]HISTOMAI25!$A$6:$AV$47,33,0)</f>
        <v>0</v>
      </c>
      <c r="O12" s="7">
        <f t="shared" si="0"/>
        <v>0</v>
      </c>
      <c r="P12" s="7">
        <f>VLOOKUP($A12,[6]HISTOMAI25!$A$6:$AV$47,30,0)</f>
        <v>0</v>
      </c>
    </row>
    <row r="13" spans="1:16" x14ac:dyDescent="0.35">
      <c r="A13" s="1" t="s">
        <v>35</v>
      </c>
      <c r="B13" s="7">
        <f>IF(D13=0,0,VLOOKUP($A13,[6]HISTOMAI25!$A$6:$BB$47,12,0))</f>
        <v>1</v>
      </c>
      <c r="C13" s="1" t="str">
        <f>VLOOKUP(A13,[7]LISTADHERENT!A$5:H$60,3,0)</f>
        <v>NGONDIEP CLAUDE</v>
      </c>
      <c r="D13" s="7">
        <f>IF(E13="ECHEC",0,VLOOKUP($A13,[6]HISTOMAI25!$A$6:$AR$47,13,0))</f>
        <v>75000</v>
      </c>
      <c r="E13" s="7" t="str">
        <f>VLOOKUP($A13,[6]HISTOMAI25!$A$6:$AV$47,9,0)</f>
        <v>BANQUE</v>
      </c>
      <c r="F13" s="7">
        <f>VLOOKUP($A13,[6]HISTOMAI25!$A$6:$AV$47,36,0)</f>
        <v>119125</v>
      </c>
      <c r="G13" s="7">
        <f>VLOOKUP($A13,[6]HISTOMAI25!$A$6:$AV$47,39,0)</f>
        <v>2000</v>
      </c>
      <c r="H13" s="7">
        <f>IF(G13=0,"",VLOOKUP($A13,[6]HISTOFEV25!$A$6:$AV$47,42,0))</f>
        <v>0</v>
      </c>
      <c r="I13" s="7">
        <f>VLOOKUP($A13,[6]HISTOMAI25!$A$6:$AV$47,41,0)</f>
        <v>0</v>
      </c>
      <c r="J13" s="7">
        <f>+TONTAVRIL25!F13+TONTAVRIL25!G13</f>
        <v>80625</v>
      </c>
      <c r="K13" s="7">
        <f>VLOOKUP($A13,[6]HISTOMAI25!$A$6:$AV$47,17,0)</f>
        <v>80625</v>
      </c>
      <c r="L13" s="7" t="str">
        <f>IF(K13&lt;&gt;0,VLOOKUP($A13,[6]HISTOMAI25!$A$6:$BB$47,42,0),"ECHEC")</f>
        <v>BANQUE</v>
      </c>
      <c r="M13" s="7">
        <f>IF(P13=0,0,VLOOKUP($A13,[6]HISTOMAI25!$A$6:$AV$47,32,0))</f>
        <v>0</v>
      </c>
      <c r="N13" s="7">
        <f>VLOOKUP($A13,[6]HISTOMAI25!$A$6:$AV$47,33,0)</f>
        <v>0</v>
      </c>
      <c r="O13" s="7">
        <f t="shared" si="0"/>
        <v>0</v>
      </c>
      <c r="P13" s="7">
        <f>VLOOKUP($A13,[6]HISTOMAI25!$A$6:$AV$47,30,0)</f>
        <v>0</v>
      </c>
    </row>
    <row r="14" spans="1:16" x14ac:dyDescent="0.35">
      <c r="A14" s="1" t="s">
        <v>27</v>
      </c>
      <c r="B14" s="7">
        <f>IF(D14=0,0,VLOOKUP($A14,[6]HISTOMAI25!$A$6:$BB$47,12,0))</f>
        <v>1</v>
      </c>
      <c r="C14" s="1" t="str">
        <f>VLOOKUP(A14,[7]LISTADHERENT!A$5:H$60,3,0)</f>
        <v>PATEGO NJOSSU GUSTAVE</v>
      </c>
      <c r="D14" s="7">
        <f>IF(E14="ECHEC",0,VLOOKUP($A14,[6]HISTOMAI25!$A$6:$AR$47,13,0))</f>
        <v>75000</v>
      </c>
      <c r="E14" s="7" t="str">
        <f>VLOOKUP($A14,[6]HISTOMAI25!$A$6:$AV$47,9,0)</f>
        <v>BANQUE</v>
      </c>
      <c r="F14" s="7">
        <f>VLOOKUP($A14,[6]HISTOMAI25!$A$6:$AV$47,36,0)</f>
        <v>0</v>
      </c>
      <c r="G14" s="7">
        <f>VLOOKUP($A14,[6]HISTOMAI25!$A$6:$AV$47,39,0)</f>
        <v>0</v>
      </c>
      <c r="H14" s="7" t="str">
        <f>IF(G14=0,"",VLOOKUP($A14,[6]HISTOFEV25!$A$6:$AV$47,42,0))</f>
        <v/>
      </c>
      <c r="I14" s="7">
        <f>VLOOKUP($A14,[6]HISTOMAI25!$A$6:$AV$47,41,0)</f>
        <v>0</v>
      </c>
      <c r="J14" s="7">
        <f>+TONTAVRIL25!F14+TONTAVRIL25!G14</f>
        <v>0</v>
      </c>
      <c r="K14" s="7">
        <f>VLOOKUP($A14,[6]HISTOMAI25!$A$6:$AV$47,17,0)</f>
        <v>0</v>
      </c>
      <c r="L14" s="7" t="str">
        <f>IF(K14&lt;&gt;0,VLOOKUP($A14,[6]HISTOMAI25!$A$6:$BB$47,42,0),"ECHEC")</f>
        <v>ECHEC</v>
      </c>
      <c r="M14" s="7">
        <f>IF(P14=0,0,VLOOKUP($A14,[6]HISTOMAI25!$A$6:$AV$47,32,0))</f>
        <v>0</v>
      </c>
      <c r="N14" s="7">
        <f>VLOOKUP($A14,[6]HISTOMAI25!$A$6:$AV$47,33,0)</f>
        <v>0</v>
      </c>
      <c r="O14" s="7">
        <f t="shared" si="0"/>
        <v>892500</v>
      </c>
      <c r="P14" s="7">
        <f>VLOOKUP($A14,[6]HISTOMAI25!$A$6:$AV$47,30,0)</f>
        <v>7500</v>
      </c>
    </row>
    <row r="15" spans="1:16" x14ac:dyDescent="0.35">
      <c r="A15" s="9" t="s">
        <v>48</v>
      </c>
      <c r="B15" s="7">
        <f>IF(D15=0,0,VLOOKUP($A15,[6]HISTOMAI25!$A$6:$BB$47,12,0))</f>
        <v>1</v>
      </c>
      <c r="C15" s="1" t="str">
        <f>VLOOKUP(A15,[7]LISTADHERENT!A$5:H$60,3,0)</f>
        <v>TCHOUAMOU MATHIEU</v>
      </c>
      <c r="D15" s="7">
        <f>IF(E15="ECHEC",0,VLOOKUP($A15,[6]HISTOMAI25!$A$6:$AR$47,13,0))</f>
        <v>75000</v>
      </c>
      <c r="E15" s="7" t="str">
        <f>VLOOKUP($A15,[6]HISTOMAI25!$A$6:$AV$47,9,0)</f>
        <v>BANQUE</v>
      </c>
      <c r="F15" s="7">
        <f>VLOOKUP($A15,[6]HISTOMAI25!$A$6:$AV$47,36,0)</f>
        <v>100000</v>
      </c>
      <c r="G15" s="7">
        <f>VLOOKUP($A15,[6]HISTOMAI25!$A$6:$AV$47,39,0)</f>
        <v>2000</v>
      </c>
      <c r="H15" s="7">
        <f>IF(G15=0,"",VLOOKUP($A15,[6]HISTOFEV25!$A$6:$AV$47,42,0))</f>
        <v>0</v>
      </c>
      <c r="I15" s="7">
        <f>VLOOKUP($A15,[6]HISTOMAI25!$A$6:$AV$47,41,0)</f>
        <v>0</v>
      </c>
      <c r="J15" s="7">
        <f>+TONTAVRIL25!F15+TONTAVRIL25!G15</f>
        <v>51000</v>
      </c>
      <c r="K15" s="7">
        <f>VLOOKUP($A15,[6]HISTOMAI25!$A$6:$AV$47,17,0)</f>
        <v>51000</v>
      </c>
      <c r="L15" s="7" t="str">
        <f>IF(K15&lt;&gt;0,VLOOKUP($A15,[6]HISTOMAI25!$A$6:$BB$47,42,0),"ECHEC")</f>
        <v>BANQUE</v>
      </c>
      <c r="M15" s="7">
        <f>IF(P15=0,0,VLOOKUP($A15,[6]HISTOMAI25!$A$6:$AV$47,32,0))</f>
        <v>0</v>
      </c>
      <c r="N15" s="7">
        <f>VLOOKUP($A15,[6]HISTOMAI25!$A$6:$AV$47,33,0)</f>
        <v>0</v>
      </c>
      <c r="O15" s="7">
        <f t="shared" si="0"/>
        <v>0</v>
      </c>
      <c r="P15" s="7">
        <f>VLOOKUP($A15,[6]HISTOMAI25!$A$6:$AV$47,30,0)</f>
        <v>0</v>
      </c>
    </row>
    <row r="16" spans="1:16" x14ac:dyDescent="0.35">
      <c r="A16" s="23" t="s">
        <v>59</v>
      </c>
      <c r="B16" s="7">
        <f>IF(D16=0,0,VLOOKUP($A16,[6]HISTOMAI25!$A$6:$BB$47,12,0))</f>
        <v>1</v>
      </c>
      <c r="C16" s="1" t="str">
        <f>VLOOKUP(A16,[7]LISTADHERENT!A$5:H$60,3,0)</f>
        <v>YANTCHOU GERVAIS</v>
      </c>
      <c r="D16" s="7">
        <f>IF(E16="ECHEC",0,VLOOKUP($A16,[6]HISTOMAI25!$A$6:$AR$47,13,0))</f>
        <v>75000</v>
      </c>
      <c r="E16" s="7" t="str">
        <f>VLOOKUP($A16,[6]HISTOMAI25!$A$6:$AV$47,9,0)</f>
        <v>BANQUE</v>
      </c>
      <c r="F16" s="7">
        <f>VLOOKUP($A16,[6]HISTOMAI25!$A$6:$AV$47,36,0)</f>
        <v>100000</v>
      </c>
      <c r="G16" s="7">
        <f>VLOOKUP($A16,[6]HISTOMAI25!$A$6:$AV$47,39,0)</f>
        <v>2000</v>
      </c>
      <c r="H16" s="7">
        <f>IF(G16=0,"",VLOOKUP($A16,[6]HISTOFEV25!$A$6:$AV$47,42,0))</f>
        <v>0</v>
      </c>
      <c r="I16" s="7">
        <f>VLOOKUP($A16,[6]HISTOMAI25!$A$6:$AV$47,41,0)</f>
        <v>0</v>
      </c>
      <c r="J16" s="7">
        <f>+TONTAVRIL25!F16+TONTAVRIL25!G16</f>
        <v>102000</v>
      </c>
      <c r="K16" s="7">
        <f>VLOOKUP($A16,[6]HISTOMAI25!$A$6:$AV$47,17,0)</f>
        <v>102000</v>
      </c>
      <c r="L16" s="7" t="str">
        <f>IF(K16&lt;&gt;0,VLOOKUP($A16,[6]HISTOMAI25!$A$6:$BB$47,42,0),"ECHEC")</f>
        <v>BANQUE</v>
      </c>
      <c r="M16" s="7">
        <f>IF(P16=0,0,VLOOKUP($A16,[6]HISTOMAI25!$A$6:$AV$47,32,0))</f>
        <v>0</v>
      </c>
      <c r="N16" s="7">
        <f>VLOOKUP($A16,[6]HISTOMAI25!$A$6:$AV$47,33,0)</f>
        <v>0</v>
      </c>
      <c r="O16" s="7">
        <f t="shared" si="0"/>
        <v>0</v>
      </c>
      <c r="P16" s="7">
        <f>VLOOKUP($A16,[6]HISTOMAI25!$A$6:$AV$47,30,0)</f>
        <v>0</v>
      </c>
    </row>
    <row r="17" spans="1:16" x14ac:dyDescent="0.35">
      <c r="A17" s="1" t="s">
        <v>19</v>
      </c>
      <c r="B17" s="7">
        <f>IF(D17=0,0,VLOOKUP($A17,[6]HISTOMAI25!$A$6:$BB$47,12,0))</f>
        <v>1</v>
      </c>
      <c r="C17" s="1" t="str">
        <f>VLOOKUP(A17,[7]LISTADHERENT!A$5:H$60,3,0)</f>
        <v>YOUMBI EMMANUEL</v>
      </c>
      <c r="D17" s="7">
        <f>IF(E17="ECHEC",0,VLOOKUP($A17,[6]HISTOMAI25!$A$6:$AR$47,13,0))</f>
        <v>75000</v>
      </c>
      <c r="E17" s="7" t="str">
        <f>VLOOKUP($A17,[6]HISTOMAI25!$A$6:$AV$47,9,0)</f>
        <v>BANQUE</v>
      </c>
      <c r="F17" s="7">
        <f>VLOOKUP($A17,[6]HISTOMAI25!$A$6:$AV$47,36,0)</f>
        <v>0</v>
      </c>
      <c r="G17" s="7">
        <f>VLOOKUP($A17,[6]HISTOMAI25!$A$6:$AV$47,39,0)</f>
        <v>0</v>
      </c>
      <c r="H17" s="7" t="str">
        <f>IF(G17=0,"",VLOOKUP($A17,[6]HISTOFEV25!$A$6:$AV$47,42,0))</f>
        <v/>
      </c>
      <c r="I17" s="7">
        <f>VLOOKUP($A17,[6]HISTOMAI25!$A$6:$AV$47,41,0)</f>
        <v>0</v>
      </c>
      <c r="J17" s="7">
        <f>+TONTAVRIL25!F17+TONTAVRIL25!G17</f>
        <v>0</v>
      </c>
      <c r="K17" s="7">
        <f>VLOOKUP($A17,[6]HISTOMAI25!$A$6:$AV$47,17,0)</f>
        <v>0</v>
      </c>
      <c r="L17" s="7" t="str">
        <f>IF(K17&lt;&gt;0,VLOOKUP($A17,[6]HISTOMAI25!$A$6:$BB$47,42,0),"ECHEC")</f>
        <v>ECHEC</v>
      </c>
      <c r="M17" s="7">
        <f>IF(P17=0,0,VLOOKUP($A17,[6]HISTOMAI25!$A$6:$AV$47,32,0))</f>
        <v>0</v>
      </c>
      <c r="N17" s="7">
        <f>VLOOKUP($A17,[6]HISTOMAI25!$A$6:$AV$47,33,0)</f>
        <v>0</v>
      </c>
      <c r="O17" s="7">
        <f t="shared" si="0"/>
        <v>0</v>
      </c>
      <c r="P17" s="7">
        <f>VLOOKUP($A17,[6]HISTOMAI25!$A$6:$AV$47,30,0)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469125</v>
      </c>
      <c r="G20" s="8">
        <f t="shared" si="1"/>
        <v>9000</v>
      </c>
      <c r="H20" s="8">
        <f t="shared" si="1"/>
        <v>0</v>
      </c>
      <c r="I20" s="8">
        <f t="shared" si="1"/>
        <v>0</v>
      </c>
      <c r="J20" s="8">
        <f t="shared" si="1"/>
        <v>386625</v>
      </c>
      <c r="K20" s="8">
        <f t="shared" si="1"/>
        <v>386625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1118625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233625</v>
      </c>
      <c r="F24" s="8">
        <f>SUMIFS(F7:F19,H7:H19,"BANQUE")</f>
        <v>100000</v>
      </c>
      <c r="G24" s="8">
        <f>SUMIFS(O7:O19,M7:M19,"BANQUE")</f>
        <v>0</v>
      </c>
      <c r="H24" s="8">
        <f>D24+E24-F24-G24</f>
        <v>1108625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218625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233625</v>
      </c>
      <c r="F26" s="8">
        <f>F23+F24</f>
        <v>100000</v>
      </c>
      <c r="G26" s="8">
        <f t="shared" ref="G26:H26" si="2">G23+G24</f>
        <v>0</v>
      </c>
      <c r="H26" s="8">
        <f t="shared" si="2"/>
        <v>1108625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-250500</v>
      </c>
      <c r="L27"/>
      <c r="M27" s="8">
        <f>K27</f>
        <v>-250500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153000</v>
      </c>
      <c r="M30" s="8">
        <f>+K30+TONTFEV25!M30</f>
        <v>153000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11D9-D9AF-408F-B22D-39F7A8B7B682}">
  <dimension ref="A1:P30"/>
  <sheetViews>
    <sheetView zoomScale="112" zoomScaleNormal="112" workbookViewId="0">
      <pane xSplit="3" ySplit="5" topLeftCell="E12" activePane="bottomRight" state="frozen"/>
      <selection activeCell="J11" sqref="J11"/>
      <selection pane="topRight" activeCell="J11" sqref="J11"/>
      <selection pane="bottomLeft" activeCell="J11" sqref="J11"/>
      <selection pane="bottomRight" activeCell="G20" sqref="G20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45821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IF(D6=0,0,VLOOKUP($A6,[6]HISTOJUIN25!$A$6:$BB$47,12,0))</f>
        <v>2</v>
      </c>
      <c r="C6" s="1" t="str">
        <f>VLOOKUP(A6,[7]LISTADHERENT!A$5:H$60,3,0)</f>
        <v>ASELBY</v>
      </c>
      <c r="D6" s="7">
        <f>IF(E6="ECHEC",0,VLOOKUP($A6,[6]HISTOJUIN25!$A$6:$AR$47,13,0))</f>
        <v>150000</v>
      </c>
      <c r="E6" s="7" t="str">
        <f>VLOOKUP($A6,[6]HISTOJUIN25!$A$6:$AV$47,9,0)</f>
        <v>BANQUE</v>
      </c>
      <c r="F6" s="7">
        <f>VLOOKUP($A6,[6]HISTOJUIN25!$A$6:$AV$47,36,0)</f>
        <v>0</v>
      </c>
      <c r="G6" s="7">
        <f>VLOOKUP($A6,[6]HISTOJUIN25!$A$6:$AV$47,39,0)</f>
        <v>0</v>
      </c>
      <c r="H6" s="7" t="str">
        <f>IF(G6=0,"",VLOOKUP($A6,[6]HISTOFEV25!$A$6:$AV$47,42,0))</f>
        <v/>
      </c>
      <c r="I6" s="7">
        <f>VLOOKUP($A6,[6]HISTOJUIN25!$A$6:$AV$47,41,0)</f>
        <v>0</v>
      </c>
      <c r="J6" s="7">
        <f>+TONTMAI25!F6+TONTMAI25!G6</f>
        <v>0</v>
      </c>
      <c r="K6" s="7">
        <f>VLOOKUP($A6,[6]HISTOJUIN25!$A$6:$AV$47,17,0)</f>
        <v>0</v>
      </c>
      <c r="L6" s="7" t="str">
        <f>IF(K6&lt;&gt;0,VLOOKUP($A6,[6]HISTOJUIN25!$A$6:$BB$47,42,0),"ECHEC")</f>
        <v>ECHEC</v>
      </c>
      <c r="M6" s="7">
        <f>IF(P6=0,0,VLOOKUP($A6,[6]HISTOJUIN25!$A$6:$AV$47,32,0))</f>
        <v>0</v>
      </c>
      <c r="N6" s="7">
        <f>VLOOKUP($A6,[6]HISTOJUIN25!$A$6:$AV$47,33,0)</f>
        <v>0</v>
      </c>
      <c r="O6" s="7">
        <f t="shared" ref="O6:O17" si="0">IF(P6=0,0,($C$3-P6))</f>
        <v>892500</v>
      </c>
      <c r="P6" s="7">
        <f>VLOOKUP($A6,[6]HISTOJUIN25!$A$6:$AV$47,30,0)</f>
        <v>7500</v>
      </c>
    </row>
    <row r="7" spans="1:16" x14ac:dyDescent="0.35">
      <c r="A7" s="1" t="s">
        <v>24</v>
      </c>
      <c r="B7" s="7">
        <f>IF(D7=0,0,VLOOKUP($A7,[6]HISTOJUIN25!$A$6:$BB$47,12,0))</f>
        <v>1</v>
      </c>
      <c r="C7" s="1" t="str">
        <f>VLOOKUP(A7,[7]LISTADHERENT!A$5:H$60,3,0)</f>
        <v>BOUTCHOUANG WILLIAM</v>
      </c>
      <c r="D7" s="7">
        <f>IF(E7="ECHEC",0,VLOOKUP($A7,[6]HISTOJUIN25!$A$6:$AR$47,13,0))</f>
        <v>75000</v>
      </c>
      <c r="E7" s="7" t="str">
        <f>VLOOKUP($A7,[6]HISTOJUIN25!$A$6:$AV$47,9,0)</f>
        <v>BANQUE</v>
      </c>
      <c r="F7" s="7">
        <f>VLOOKUP($A7,[6]HISTOJUIN25!$A$6:$AV$47,36,0)</f>
        <v>0</v>
      </c>
      <c r="G7" s="7">
        <f>VLOOKUP($A7,[6]HISTOJUIN25!$A$6:$AV$47,39,0)</f>
        <v>0</v>
      </c>
      <c r="H7" s="7" t="str">
        <f>IF(G7=0,"",VLOOKUP($A7,[6]HISTOFEV25!$A$6:$AV$47,42,0))</f>
        <v/>
      </c>
      <c r="I7" s="7">
        <f>VLOOKUP($A7,[6]HISTOJUIN25!$A$6:$AV$47,41,0)</f>
        <v>0</v>
      </c>
      <c r="J7" s="7">
        <f>+TONTMAI25!F7+TONTMAI25!G7</f>
        <v>0</v>
      </c>
      <c r="K7" s="7">
        <f>VLOOKUP($A7,[6]HISTOJUIN25!$A$6:$AV$47,17,0)</f>
        <v>0</v>
      </c>
      <c r="L7" s="7" t="str">
        <f>IF(K7&lt;&gt;0,VLOOKUP($A7,[6]HISTOJUIN25!$A$6:$BB$47,42,0),"ECHEC")</f>
        <v>ECHEC</v>
      </c>
      <c r="M7" s="7">
        <f>IF(P7=0,0,VLOOKUP($A7,[6]HISTOJUIN25!$A$6:$AV$47,32,0))</f>
        <v>0</v>
      </c>
      <c r="N7" s="7">
        <f>VLOOKUP($A7,[6]HISTOJUIN25!$A$6:$AV$47,33,0)</f>
        <v>0</v>
      </c>
      <c r="O7" s="7">
        <f t="shared" si="0"/>
        <v>0</v>
      </c>
      <c r="P7" s="7">
        <f>VLOOKUP($A7,[6]HISTOJUIN25!$A$6:$AV$47,30,0)</f>
        <v>0</v>
      </c>
    </row>
    <row r="8" spans="1:16" x14ac:dyDescent="0.35">
      <c r="A8" s="1" t="s">
        <v>18</v>
      </c>
      <c r="B8" s="7">
        <f>IF(D8=0,0,VLOOKUP($A8,[6]HISTOJUIN25!$A$6:$BB$47,12,0))</f>
        <v>1</v>
      </c>
      <c r="C8" s="1" t="str">
        <f>VLOOKUP(A8,[7]LISTADHERENT!A$5:H$60,3,0)</f>
        <v>HOTCHO BENJAMIN</v>
      </c>
      <c r="D8" s="7">
        <f>IF(E8="ECHEC",0,VLOOKUP($A8,[6]HISTOJUIN25!$A$6:$AR$47,13,0))</f>
        <v>75000</v>
      </c>
      <c r="E8" s="7" t="str">
        <f>VLOOKUP($A8,[6]HISTOJUIN25!$A$6:$AV$47,9,0)</f>
        <v>BANQUE</v>
      </c>
      <c r="F8" s="7">
        <f>VLOOKUP($A8,[6]HISTOJUIN25!$A$6:$AV$47,36,0)</f>
        <v>100000</v>
      </c>
      <c r="G8" s="7">
        <f>VLOOKUP($A8,[6]HISTOJUIN25!$A$6:$AV$47,39,0)</f>
        <v>2500</v>
      </c>
      <c r="H8" s="7">
        <f>IF(G8=0,"",VLOOKUP($A8,[6]HISTOFEV25!$A$6:$AV$47,42,0))</f>
        <v>0</v>
      </c>
      <c r="I8" s="7">
        <f>VLOOKUP($A8,[6]HISTOJUIN25!$A$6:$AV$47,41,0)</f>
        <v>0</v>
      </c>
      <c r="J8" s="7">
        <f>+TONTMAI25!F8+TONTMAI25!G8</f>
        <v>51000</v>
      </c>
      <c r="K8" s="7">
        <f>VLOOKUP($A8,[6]HISTOJUIN25!$A$6:$AV$47,17,0)</f>
        <v>51000</v>
      </c>
      <c r="L8" s="7" t="str">
        <f>IF(K8&lt;&gt;0,VLOOKUP($A8,[6]HISTOJUIN25!$A$6:$BB$47,42,0),"ECHEC")</f>
        <v>BANQUE</v>
      </c>
      <c r="M8" s="7">
        <f>IF(P8=0,0,VLOOKUP($A8,[6]HISTOJUIN25!$A$6:$AV$47,32,0))</f>
        <v>0</v>
      </c>
      <c r="N8" s="7">
        <f>VLOOKUP($A8,[6]HISTOJUIN25!$A$6:$AV$47,33,0)</f>
        <v>0</v>
      </c>
      <c r="O8" s="7">
        <f t="shared" si="0"/>
        <v>0</v>
      </c>
      <c r="P8" s="7">
        <f>VLOOKUP($A8,[6]HISTOJUIN25!$A$6:$AV$47,30,0)</f>
        <v>0</v>
      </c>
    </row>
    <row r="9" spans="1:16" x14ac:dyDescent="0.35">
      <c r="A9" s="1" t="s">
        <v>60</v>
      </c>
      <c r="B9" s="7">
        <f>IF(D9=0,0,VLOOKUP($A9,[6]HISTOJUIN25!$A$6:$BB$47,12,0))</f>
        <v>1</v>
      </c>
      <c r="C9" s="1" t="str">
        <f>VLOOKUP(A9,[7]LISTADHERENT!A$5:H$60,3,0)</f>
        <v>KOUATCHO MESSACK</v>
      </c>
      <c r="D9" s="7">
        <f>IF(E9="ECHEC",0,VLOOKUP($A9,[6]HISTOJUIN25!$A$6:$AR$47,13,0))</f>
        <v>75000</v>
      </c>
      <c r="E9" s="7" t="str">
        <f>VLOOKUP($A9,[6]HISTOJUIN25!$A$6:$AV$47,9,0)</f>
        <v>BANQUE</v>
      </c>
      <c r="F9" s="7">
        <f>VLOOKUP($A9,[6]HISTOJUIN25!$A$6:$AV$47,36,0)</f>
        <v>138500</v>
      </c>
      <c r="G9" s="7">
        <f>VLOOKUP($A9,[6]HISTOJUIN25!$A$6:$AV$47,39,0)</f>
        <v>2500</v>
      </c>
      <c r="H9" s="7" t="str">
        <f>IF(G9=0,"",VLOOKUP($A9,[6]HISTOFEV25!$A$6:$AV$47,42,0))</f>
        <v>BANQUE</v>
      </c>
      <c r="I9" s="7">
        <f>VLOOKUP($A9,[6]HISTOJUIN25!$A$6:$AV$47,41,0)</f>
        <v>0</v>
      </c>
      <c r="J9" s="7">
        <f>+TONTMAI25!F9+TONTMAI25!G9</f>
        <v>0</v>
      </c>
      <c r="K9" s="7">
        <f>VLOOKUP($A9,[6]HISTOJUIN25!$A$6:$AV$47,17,0)</f>
        <v>0</v>
      </c>
      <c r="L9" s="7" t="str">
        <f>IF(K9&lt;&gt;0,VLOOKUP($A9,[6]HISTOJUIN25!$A$6:$BB$47,42,0),"ECHEC")</f>
        <v>ECHEC</v>
      </c>
      <c r="M9" s="7">
        <f>IF(P9=0,0,VLOOKUP($A9,[6]HISTOJUIN25!$A$6:$AV$47,32,0))</f>
        <v>0</v>
      </c>
      <c r="N9" s="7">
        <f>VLOOKUP($A9,[6]HISTOJUIN25!$A$6:$AV$47,33,0)</f>
        <v>0</v>
      </c>
      <c r="O9" s="7">
        <f t="shared" si="0"/>
        <v>0</v>
      </c>
      <c r="P9" s="7">
        <f>VLOOKUP($A9,[6]HISTOJUIN25!$A$6:$AV$47,30,0)</f>
        <v>0</v>
      </c>
    </row>
    <row r="10" spans="1:16" x14ac:dyDescent="0.35">
      <c r="A10" s="1" t="s">
        <v>26</v>
      </c>
      <c r="B10" s="7">
        <f>IF(D10=0,0,VLOOKUP($A10,[6]HISTOJUIN25!$A$6:$BB$47,12,0))</f>
        <v>1</v>
      </c>
      <c r="C10" s="1" t="str">
        <f>VLOOKUP(A10,[7]LISTADHERENT!A$5:H$60,3,0)</f>
        <v>HENGUE PAUL OMER</v>
      </c>
      <c r="D10" s="7">
        <f>IF(E10="ECHEC",0,VLOOKUP($A10,[6]HISTOJUIN25!$A$6:$AR$47,13,0))</f>
        <v>75000</v>
      </c>
      <c r="E10" s="7" t="str">
        <f>VLOOKUP($A10,[6]HISTOJUIN25!$A$6:$AV$47,9,0)</f>
        <v>BANQUE</v>
      </c>
      <c r="F10" s="7">
        <f>VLOOKUP($A10,[6]HISTOJUIN25!$A$6:$AV$47,36,0)</f>
        <v>0</v>
      </c>
      <c r="G10" s="7">
        <f>VLOOKUP($A10,[6]HISTOJUIN25!$A$6:$AV$47,39,0)</f>
        <v>0</v>
      </c>
      <c r="H10" s="7" t="str">
        <f>IF(G10=0,"",VLOOKUP($A10,[6]HISTOFEV25!$A$6:$AV$47,42,0))</f>
        <v/>
      </c>
      <c r="I10" s="7">
        <f>VLOOKUP($A10,[6]HISTOJUIN25!$A$6:$AV$47,41,0)</f>
        <v>0</v>
      </c>
      <c r="J10" s="7">
        <f>+TONTMAI25!F10+TONTMAI25!G10</f>
        <v>0</v>
      </c>
      <c r="K10" s="7">
        <f>VLOOKUP($A10,[6]HISTOJUIN25!$A$6:$AV$47,17,0)</f>
        <v>0</v>
      </c>
      <c r="L10" s="7" t="str">
        <f>IF(K10&lt;&gt;0,VLOOKUP($A10,[6]HISTOJUIN25!$A$6:$BB$47,42,0),"ECHEC")</f>
        <v>ECHEC</v>
      </c>
      <c r="M10" s="7">
        <f>IF(P10=0,0,VLOOKUP($A10,[6]HISTOJUIN25!$A$6:$AV$47,32,0))</f>
        <v>0</v>
      </c>
      <c r="N10" s="7">
        <f>VLOOKUP($A10,[6]HISTOJUIN25!$A$6:$AV$47,33,0)</f>
        <v>0</v>
      </c>
      <c r="O10" s="7">
        <f t="shared" si="0"/>
        <v>0</v>
      </c>
      <c r="P10" s="7">
        <f>VLOOKUP($A10,[6]HISTOJUIN25!$A$6:$AV$47,30,0)</f>
        <v>0</v>
      </c>
    </row>
    <row r="11" spans="1:16" x14ac:dyDescent="0.35">
      <c r="A11" s="1" t="s">
        <v>21</v>
      </c>
      <c r="B11" s="7">
        <f>IF(D11=0,0,VLOOKUP($A11,[6]HISTOJUIN25!$A$6:$BB$47,12,0))</f>
        <v>1</v>
      </c>
      <c r="C11" s="1" t="str">
        <f>VLOOKUP(A11,[7]LISTADHERENT!A$5:H$60,3,0)</f>
        <v>MBOGNING TUGMA GUY</v>
      </c>
      <c r="D11" s="7">
        <f>IF(E11="ECHEC",0,VLOOKUP($A11,[6]HISTOJUIN25!$A$6:$AR$47,13,0))</f>
        <v>75000</v>
      </c>
      <c r="E11" s="7" t="str">
        <f>VLOOKUP($A11,[6]HISTOJUIN25!$A$6:$AV$47,9,0)</f>
        <v>BANQUE</v>
      </c>
      <c r="F11" s="7">
        <f>VLOOKUP($A11,[6]HISTOJUIN25!$A$6:$AV$47,36,0)</f>
        <v>100000</v>
      </c>
      <c r="G11" s="7">
        <f>VLOOKUP($A11,[6]HISTOJUIN25!$A$6:$AV$47,39,0)</f>
        <v>2000</v>
      </c>
      <c r="H11" s="7" t="str">
        <f>IF(G11=0,"",VLOOKUP($A11,[6]HISTOFEV25!$A$6:$AV$47,42,0))</f>
        <v>BANQUE</v>
      </c>
      <c r="I11" s="7">
        <f>VLOOKUP($A11,[6]HISTOJUIN25!$A$6:$AV$47,41,0)</f>
        <v>0</v>
      </c>
      <c r="J11" s="7">
        <f>+TONTMAI25!F11+TONTMAI25!G11</f>
        <v>102000</v>
      </c>
      <c r="K11" s="7">
        <f>VLOOKUP($A11,[6]HISTOJUIN25!$A$6:$AV$47,17,0)</f>
        <v>102000</v>
      </c>
      <c r="L11" s="7" t="str">
        <f>IF(K11&lt;&gt;0,VLOOKUP($A11,[6]HISTOJUIN25!$A$6:$BB$47,42,0),"ECHEC")</f>
        <v>BANQUE</v>
      </c>
      <c r="M11" s="7">
        <f>IF(P11=0,0,VLOOKUP($A11,[6]HISTOJUIN25!$A$6:$AV$47,32,0))</f>
        <v>0</v>
      </c>
      <c r="N11" s="7">
        <f>VLOOKUP($A11,[6]HISTOJUIN25!$A$6:$AV$47,33,0)</f>
        <v>0</v>
      </c>
      <c r="O11" s="7">
        <f t="shared" si="0"/>
        <v>0</v>
      </c>
      <c r="P11" s="7">
        <f>VLOOKUP($A11,[6]HISTOJUIN25!$A$6:$AV$47,30,0)</f>
        <v>0</v>
      </c>
    </row>
    <row r="12" spans="1:16" x14ac:dyDescent="0.35">
      <c r="A12" s="1" t="s">
        <v>8</v>
      </c>
      <c r="B12" s="7">
        <f>IF(D12=0,0,VLOOKUP($A12,[6]HISTOJUIN25!$A$6:$BB$47,12,0))</f>
        <v>1</v>
      </c>
      <c r="C12" s="1" t="str">
        <f>VLOOKUP(A12,[7]LISTADHERENT!A$5:H$60,3,0)</f>
        <v>NANKAM APPOLINAIRE</v>
      </c>
      <c r="D12" s="7">
        <f>IF(E12="ECHEC",0,VLOOKUP($A12,[6]HISTOJUIN25!$A$6:$AR$47,13,0))</f>
        <v>75000</v>
      </c>
      <c r="E12" s="7" t="str">
        <f>VLOOKUP($A12,[6]HISTOJUIN25!$A$6:$AV$47,9,0)</f>
        <v>BANQUE</v>
      </c>
      <c r="F12" s="7">
        <f>VLOOKUP($A12,[6]HISTOJUIN25!$A$6:$AV$47,36,0)</f>
        <v>0</v>
      </c>
      <c r="G12" s="7">
        <f>VLOOKUP($A12,[6]HISTOJUIN25!$A$6:$AV$47,39,0)</f>
        <v>0</v>
      </c>
      <c r="H12" s="7" t="str">
        <f>IF(G12=0,"",VLOOKUP($A12,[6]HISTOFEV25!$A$6:$AV$47,42,0))</f>
        <v/>
      </c>
      <c r="I12" s="7">
        <f>VLOOKUP($A12,[6]HISTOJUIN25!$A$6:$AV$47,41,0)</f>
        <v>0</v>
      </c>
      <c r="J12" s="7">
        <f>+TONTMAI25!F12+TONTMAI25!G12</f>
        <v>0</v>
      </c>
      <c r="K12" s="7">
        <f>VLOOKUP($A12,[6]HISTOJUIN25!$A$6:$AV$47,17,0)</f>
        <v>0</v>
      </c>
      <c r="L12" s="7" t="str">
        <f>IF(K12&lt;&gt;0,VLOOKUP($A12,[6]HISTOJUIN25!$A$6:$BB$47,42,0),"ECHEC")</f>
        <v>ECHEC</v>
      </c>
      <c r="M12" s="7">
        <f>IF(P12=0,0,VLOOKUP($A12,[6]HISTOJUIN25!$A$6:$AV$47,32,0))</f>
        <v>0</v>
      </c>
      <c r="N12" s="7">
        <f>VLOOKUP($A12,[6]HISTOJUIN25!$A$6:$AV$47,33,0)</f>
        <v>0</v>
      </c>
      <c r="O12" s="7">
        <f t="shared" si="0"/>
        <v>0</v>
      </c>
      <c r="P12" s="7">
        <f>VLOOKUP($A12,[6]HISTOJUIN25!$A$6:$AV$47,30,0)</f>
        <v>0</v>
      </c>
    </row>
    <row r="13" spans="1:16" x14ac:dyDescent="0.35">
      <c r="A13" s="1" t="s">
        <v>35</v>
      </c>
      <c r="B13" s="7">
        <f>IF(D13=0,0,VLOOKUP($A13,[6]HISTOJUIN25!$A$6:$BB$47,12,0))</f>
        <v>1</v>
      </c>
      <c r="C13" s="1" t="str">
        <f>VLOOKUP(A13,[7]LISTADHERENT!A$5:H$60,3,0)</f>
        <v>NGONDIEP CLAUDE</v>
      </c>
      <c r="D13" s="7">
        <f>IF(E13="ECHEC",0,VLOOKUP($A13,[6]HISTOJUIN25!$A$6:$AR$47,13,0))</f>
        <v>75000</v>
      </c>
      <c r="E13" s="7" t="str">
        <f>VLOOKUP($A13,[6]HISTOJUIN25!$A$6:$AV$47,9,0)</f>
        <v>BANQUE</v>
      </c>
      <c r="F13" s="7">
        <f>VLOOKUP($A13,[6]HISTOJUIN25!$A$6:$AV$47,36,0)</f>
        <v>121125</v>
      </c>
      <c r="G13" s="7">
        <f>VLOOKUP($A13,[6]HISTOJUIN25!$A$6:$AV$47,39,0)</f>
        <v>4000</v>
      </c>
      <c r="H13" s="7">
        <f>IF(G13=0,"",VLOOKUP($A13,[6]HISTOFEV25!$A$6:$AV$47,42,0))</f>
        <v>0</v>
      </c>
      <c r="I13" s="7">
        <f>VLOOKUP($A13,[6]HISTOJUIN25!$A$6:$AV$47,41,0)</f>
        <v>0</v>
      </c>
      <c r="J13" s="7">
        <f>+TONTMAI25!F13+TONTMAI25!G13</f>
        <v>121125</v>
      </c>
      <c r="K13" s="7">
        <f>VLOOKUP($A13,[6]HISTOJUIN25!$A$6:$AV$47,17,0)</f>
        <v>121125</v>
      </c>
      <c r="L13" s="7" t="str">
        <f>IF(K13&lt;&gt;0,VLOOKUP($A13,[6]HISTOJUIN25!$A$6:$BB$47,42,0),"ECHEC")</f>
        <v>BANQUE</v>
      </c>
      <c r="M13" s="7">
        <f>IF(P13=0,0,VLOOKUP($A13,[6]HISTOJUIN25!$A$6:$AV$47,32,0))</f>
        <v>0</v>
      </c>
      <c r="N13" s="7">
        <f>VLOOKUP($A13,[6]HISTOJUIN25!$A$6:$AV$47,33,0)</f>
        <v>0</v>
      </c>
      <c r="O13" s="7">
        <f t="shared" si="0"/>
        <v>0</v>
      </c>
      <c r="P13" s="7">
        <f>VLOOKUP($A13,[6]HISTOJUIN25!$A$6:$AV$47,30,0)</f>
        <v>0</v>
      </c>
    </row>
    <row r="14" spans="1:16" x14ac:dyDescent="0.35">
      <c r="A14" s="1" t="s">
        <v>27</v>
      </c>
      <c r="B14" s="7">
        <f>IF(D14=0,0,VLOOKUP($A14,[6]HISTOJUIN25!$A$6:$BB$47,12,0))</f>
        <v>1</v>
      </c>
      <c r="C14" s="1" t="str">
        <f>VLOOKUP(A14,[7]LISTADHERENT!A$5:H$60,3,0)</f>
        <v>PATEGO NJOSSU GUSTAVE</v>
      </c>
      <c r="D14" s="7">
        <f>IF(E14="ECHEC",0,VLOOKUP($A14,[6]HISTOJUIN25!$A$6:$AR$47,13,0))</f>
        <v>75000</v>
      </c>
      <c r="E14" s="7" t="str">
        <f>VLOOKUP($A14,[6]HISTOJUIN25!$A$6:$AV$47,9,0)</f>
        <v>BANQUE</v>
      </c>
      <c r="F14" s="7">
        <f>VLOOKUP($A14,[6]HISTOJUIN25!$A$6:$AV$47,36,0)</f>
        <v>0</v>
      </c>
      <c r="G14" s="7">
        <f>VLOOKUP($A14,[6]HISTOJUIN25!$A$6:$AV$47,39,0)</f>
        <v>0</v>
      </c>
      <c r="H14" s="7" t="str">
        <f>IF(G14=0,"",VLOOKUP($A14,[6]HISTOFEV25!$A$6:$AV$47,42,0))</f>
        <v/>
      </c>
      <c r="I14" s="7">
        <f>VLOOKUP($A14,[6]HISTOJUIN25!$A$6:$AV$47,41,0)</f>
        <v>0</v>
      </c>
      <c r="J14" s="7">
        <f>+TONTMAI25!F14+TONTMAI25!G14</f>
        <v>0</v>
      </c>
      <c r="K14" s="7">
        <f>VLOOKUP($A14,[6]HISTOJUIN25!$A$6:$AV$47,17,0)</f>
        <v>0</v>
      </c>
      <c r="L14" s="7" t="str">
        <f>IF(K14&lt;&gt;0,VLOOKUP($A14,[6]HISTOJUIN25!$A$6:$BB$47,42,0),"ECHEC")</f>
        <v>ECHEC</v>
      </c>
      <c r="M14" s="7">
        <f>IF(P14=0,0,VLOOKUP($A14,[6]HISTOJUIN25!$A$6:$AV$47,32,0))</f>
        <v>0</v>
      </c>
      <c r="N14" s="7">
        <f>VLOOKUP($A14,[6]HISTOJUIN25!$A$6:$AV$47,33,0)</f>
        <v>0</v>
      </c>
      <c r="O14" s="7">
        <f t="shared" si="0"/>
        <v>0</v>
      </c>
      <c r="P14" s="7">
        <f>VLOOKUP($A14,[6]HISTOJUIN25!$A$6:$AV$47,30,0)</f>
        <v>0</v>
      </c>
    </row>
    <row r="15" spans="1:16" x14ac:dyDescent="0.35">
      <c r="A15" s="9" t="s">
        <v>48</v>
      </c>
      <c r="B15" s="7">
        <f>IF(D15=0,0,VLOOKUP($A15,[6]HISTOJUIN25!$A$6:$BB$47,12,0))</f>
        <v>1</v>
      </c>
      <c r="C15" s="1" t="str">
        <f>VLOOKUP(A15,[7]LISTADHERENT!A$5:H$60,3,0)</f>
        <v>TCHOUAMOU MATHIEU</v>
      </c>
      <c r="D15" s="7">
        <f>IF(E15="ECHEC",0,VLOOKUP($A15,[6]HISTOJUIN25!$A$6:$AR$47,13,0))</f>
        <v>75000</v>
      </c>
      <c r="E15" s="7" t="str">
        <f>VLOOKUP($A15,[6]HISTOJUIN25!$A$6:$AV$47,9,0)</f>
        <v>BANQUE</v>
      </c>
      <c r="F15" s="7">
        <f>VLOOKUP($A15,[6]HISTOJUIN25!$A$6:$AV$47,36,0)</f>
        <v>100000</v>
      </c>
      <c r="G15" s="7">
        <f>VLOOKUP($A15,[6]HISTOJUIN25!$A$6:$AV$47,39,0)</f>
        <v>2000</v>
      </c>
      <c r="H15" s="7">
        <f>IF(G15=0,"",VLOOKUP($A15,[6]HISTOFEV25!$A$6:$AV$47,42,0))</f>
        <v>0</v>
      </c>
      <c r="I15" s="7">
        <f>VLOOKUP($A15,[6]HISTOJUIN25!$A$6:$AV$47,41,0)</f>
        <v>0</v>
      </c>
      <c r="J15" s="7">
        <f>+TONTMAI25!F15+TONTMAI25!G15</f>
        <v>102000</v>
      </c>
      <c r="K15" s="7">
        <f>VLOOKUP($A15,[6]HISTOJUIN25!$A$6:$AV$47,17,0)</f>
        <v>102000</v>
      </c>
      <c r="L15" s="7" t="str">
        <f>IF(K15&lt;&gt;0,VLOOKUP($A15,[6]HISTOJUIN25!$A$6:$BB$47,42,0),"ECHEC")</f>
        <v>BANQUE</v>
      </c>
      <c r="M15" s="7">
        <f>IF(P15=0,0,VLOOKUP($A15,[6]HISTOJUIN25!$A$6:$AV$47,32,0))</f>
        <v>0</v>
      </c>
      <c r="N15" s="7">
        <f>VLOOKUP($A15,[6]HISTOJUIN25!$A$6:$AV$47,33,0)</f>
        <v>0</v>
      </c>
      <c r="O15" s="7">
        <f t="shared" si="0"/>
        <v>0</v>
      </c>
      <c r="P15" s="7">
        <f>VLOOKUP($A15,[6]HISTOJUIN25!$A$6:$AV$47,30,0)</f>
        <v>0</v>
      </c>
    </row>
    <row r="16" spans="1:16" x14ac:dyDescent="0.35">
      <c r="A16" s="23" t="s">
        <v>59</v>
      </c>
      <c r="B16" s="7">
        <f>IF(D16=0,0,VLOOKUP($A16,[6]HISTOJUIN25!$A$6:$BB$47,12,0))</f>
        <v>1</v>
      </c>
      <c r="C16" s="1" t="str">
        <f>VLOOKUP(A16,[7]LISTADHERENT!A$5:H$60,3,0)</f>
        <v>YANTCHOU GERVAIS</v>
      </c>
      <c r="D16" s="7">
        <f>IF(E16="ECHEC",0,VLOOKUP($A16,[6]HISTOJUIN25!$A$6:$AR$47,13,0))</f>
        <v>75000</v>
      </c>
      <c r="E16" s="7" t="str">
        <f>VLOOKUP($A16,[6]HISTOJUIN25!$A$6:$AV$47,9,0)</f>
        <v>BANQUE</v>
      </c>
      <c r="F16" s="7">
        <f>VLOOKUP($A16,[6]HISTOJUIN25!$A$6:$AV$47,36,0)</f>
        <v>0</v>
      </c>
      <c r="G16" s="7">
        <f>VLOOKUP($A16,[6]HISTOJUIN25!$A$6:$AV$47,39,0)</f>
        <v>0</v>
      </c>
      <c r="H16" s="7" t="str">
        <f>IF(G16=0,"",VLOOKUP($A16,[6]HISTOFEV25!$A$6:$AV$47,42,0))</f>
        <v/>
      </c>
      <c r="I16" s="7">
        <f>VLOOKUP($A16,[6]HISTOJUIN25!$A$6:$AV$47,41,0)</f>
        <v>0</v>
      </c>
      <c r="J16" s="7">
        <f>+TONTMAI25!F16+TONTMAI25!G16</f>
        <v>102000</v>
      </c>
      <c r="K16" s="7">
        <f>VLOOKUP($A16,[6]HISTOJUIN25!$A$6:$AV$47,17,0)</f>
        <v>102000</v>
      </c>
      <c r="L16" s="7" t="str">
        <f>IF(K16&lt;&gt;0,VLOOKUP($A16,[6]HISTOJUIN25!$A$6:$BB$47,42,0),"ECHEC")</f>
        <v>BANQUE</v>
      </c>
      <c r="M16" s="7">
        <f>IF(P16=0,0,VLOOKUP($A16,[6]HISTOJUIN25!$A$6:$AV$47,32,0))</f>
        <v>0</v>
      </c>
      <c r="N16" s="7">
        <f>VLOOKUP($A16,[6]HISTOJUIN25!$A$6:$AV$47,33,0)</f>
        <v>0</v>
      </c>
      <c r="O16" s="7">
        <f t="shared" si="0"/>
        <v>0</v>
      </c>
      <c r="P16" s="7">
        <f>VLOOKUP($A16,[6]HISTOJUIN25!$A$6:$AV$47,30,0)</f>
        <v>0</v>
      </c>
    </row>
    <row r="17" spans="1:16" x14ac:dyDescent="0.35">
      <c r="A17" s="1" t="s">
        <v>19</v>
      </c>
      <c r="B17" s="7">
        <f>IF(D17=0,0,VLOOKUP($A17,[6]HISTOJUIN25!$A$6:$BB$47,12,0))</f>
        <v>1</v>
      </c>
      <c r="C17" s="1" t="str">
        <f>VLOOKUP(A17,[7]LISTADHERENT!A$5:H$60,3,0)</f>
        <v>YOUMBI EMMANUEL</v>
      </c>
      <c r="D17" s="7">
        <f>IF(E17="ECHEC",0,VLOOKUP($A17,[6]HISTOJUIN25!$A$6:$AR$47,13,0))</f>
        <v>75000</v>
      </c>
      <c r="E17" s="7" t="str">
        <f>VLOOKUP($A17,[6]HISTOJUIN25!$A$6:$AV$47,9,0)</f>
        <v>BANQUE</v>
      </c>
      <c r="F17" s="7">
        <f>VLOOKUP($A17,[6]HISTOJUIN25!$A$6:$AV$47,36,0)</f>
        <v>0</v>
      </c>
      <c r="G17" s="7">
        <f>VLOOKUP($A17,[6]HISTOJUIN25!$A$6:$AV$47,39,0)</f>
        <v>0</v>
      </c>
      <c r="H17" s="7" t="str">
        <f>IF(G17=0,"",VLOOKUP($A17,[6]HISTOFEV25!$A$6:$AV$47,42,0))</f>
        <v/>
      </c>
      <c r="I17" s="7">
        <f>VLOOKUP($A17,[6]HISTOJUIN25!$A$6:$AV$47,41,0)</f>
        <v>0</v>
      </c>
      <c r="J17" s="7">
        <f>+TONTMAI25!F17+TONTMAI25!G17</f>
        <v>0</v>
      </c>
      <c r="K17" s="7">
        <f>VLOOKUP($A17,[6]HISTOJUIN25!$A$6:$AV$47,17,0)</f>
        <v>0</v>
      </c>
      <c r="L17" s="7" t="str">
        <f>IF(K17&lt;&gt;0,VLOOKUP($A17,[6]HISTOJUIN25!$A$6:$BB$47,42,0),"ECHEC")</f>
        <v>ECHEC</v>
      </c>
      <c r="M17" s="7">
        <f>IF(P17=0,0,VLOOKUP($A17,[6]HISTOJUIN25!$A$6:$AV$47,32,0))</f>
        <v>0</v>
      </c>
      <c r="N17" s="7">
        <f>VLOOKUP($A17,[6]HISTOJUIN25!$A$6:$AV$47,33,0)</f>
        <v>0</v>
      </c>
      <c r="O17" s="7">
        <f t="shared" si="0"/>
        <v>0</v>
      </c>
      <c r="P17" s="7">
        <f>VLOOKUP($A17,[6]HISTOJUIN25!$A$6:$AV$47,30,0)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559625</v>
      </c>
      <c r="G20" s="8">
        <f t="shared" si="1"/>
        <v>13000</v>
      </c>
      <c r="H20" s="8">
        <f t="shared" si="1"/>
        <v>0</v>
      </c>
      <c r="I20" s="8">
        <f t="shared" si="1"/>
        <v>0</v>
      </c>
      <c r="J20" s="8">
        <f t="shared" si="1"/>
        <v>478125</v>
      </c>
      <c r="K20" s="8">
        <f t="shared" si="1"/>
        <v>478125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1159125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0</v>
      </c>
      <c r="L23" s="8">
        <f>D3</f>
        <v>1</v>
      </c>
      <c r="M23" s="8">
        <f>COUNTIF(O7:O14,"&gt;0")</f>
        <v>0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274125</v>
      </c>
      <c r="F24" s="8">
        <f>SUMIFS(F7:F19,H7:H19,"BANQUE")</f>
        <v>238500</v>
      </c>
      <c r="G24" s="8">
        <f>SUMIFS(O7:O19,M7:M19,"BANQUE")</f>
        <v>0</v>
      </c>
      <c r="H24" s="8">
        <f>D24+E24-F24-G24</f>
        <v>1010625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1159125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274125</v>
      </c>
      <c r="F26" s="8">
        <f>F23+F24</f>
        <v>238500</v>
      </c>
      <c r="G26" s="8">
        <f t="shared" ref="G26:H26" si="2">G23+G24</f>
        <v>0</v>
      </c>
      <c r="H26" s="8">
        <f t="shared" si="2"/>
        <v>1010625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599500</v>
      </c>
      <c r="L27"/>
      <c r="M27" s="8">
        <f>K27</f>
        <v>599500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204000</v>
      </c>
      <c r="M30" s="8">
        <f>+K30+TONTFEV25!M30</f>
        <v>204000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4A31-06C4-420B-89FB-CD5C9B755002}">
  <dimension ref="A1:P30"/>
  <sheetViews>
    <sheetView zoomScale="112" zoomScaleNormal="112" workbookViewId="0">
      <pane xSplit="3" ySplit="5" topLeftCell="E18" activePane="bottomRight" state="frozen"/>
      <selection activeCell="J11" sqref="J11"/>
      <selection pane="topRight" activeCell="J11" sqref="J11"/>
      <selection pane="bottomLeft" activeCell="J11" sqref="J11"/>
      <selection pane="bottomRight" activeCell="F13" sqref="F13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45851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IF(D6=0,0,VLOOKUP($A6,[6]HISTOJUIL25!$A$6:$BB$47,12,0))</f>
        <v>2</v>
      </c>
      <c r="C6" s="1" t="str">
        <f>VLOOKUP(A6,[7]LISTADHERENT!A$5:H$60,3,0)</f>
        <v>ASELBY</v>
      </c>
      <c r="D6" s="7">
        <f>IF(E6="ECHEC",0,VLOOKUP($A6,[6]HISTOJUIL25!$A$6:$AR$47,13,0))</f>
        <v>150000</v>
      </c>
      <c r="E6" s="7" t="str">
        <f>VLOOKUP($A6,[6]HISTOJUIL25!$A$6:$AV$47,9,0)</f>
        <v>BANQUE</v>
      </c>
      <c r="F6" s="7">
        <f>VLOOKUP($A6,[6]HISTOJUIL25!$A$6:$AV$47,36,0)</f>
        <v>0</v>
      </c>
      <c r="G6" s="7">
        <f>VLOOKUP($A6,[6]HISTOJUIL25!$A$6:$AV$47,39,0)</f>
        <v>0</v>
      </c>
      <c r="H6" s="7" t="str">
        <f>IF(G6=0,"",VLOOKUP($A6,[6]HISTOFEV25!$A$6:$AV$47,42,0))</f>
        <v/>
      </c>
      <c r="I6" s="7">
        <f>VLOOKUP($A6,[6]HISTOJUIL25!$A$6:$AV$47,41,0)</f>
        <v>0</v>
      </c>
      <c r="J6" s="7">
        <f>+TONTJUIN25!F6+TONTJUIN25!G6</f>
        <v>0</v>
      </c>
      <c r="K6" s="7">
        <f>VLOOKUP($A6,[6]HISTOJUIL25!$A$6:$AV$47,17,0)</f>
        <v>0</v>
      </c>
      <c r="L6" s="7" t="str">
        <f>IF(K6&lt;&gt;0,VLOOKUP($A6,[6]HISTOJUIL25!$A$6:$BB$47,42,0),"ECHEC")</f>
        <v>ECHEC</v>
      </c>
      <c r="M6" s="7">
        <f>IF(P6=0,0,VLOOKUP($A6,[6]HISTOJUIL25!$A$6:$AV$47,32,0))</f>
        <v>0</v>
      </c>
      <c r="N6" s="7">
        <f>VLOOKUP($A6,[6]HISTOJUIL25!$A$6:$AV$47,33,0)</f>
        <v>0</v>
      </c>
      <c r="O6" s="7">
        <f t="shared" ref="O6:O17" si="0">IF(P6=0,0,($C$3-P6))</f>
        <v>0</v>
      </c>
      <c r="P6" s="7">
        <f>VLOOKUP($A6,[6]HISTOJUIL25!$A$6:$AV$47,30,0)</f>
        <v>0</v>
      </c>
    </row>
    <row r="7" spans="1:16" x14ac:dyDescent="0.35">
      <c r="A7" s="1" t="s">
        <v>24</v>
      </c>
      <c r="B7" s="7">
        <f>IF(D7=0,0,VLOOKUP($A7,[6]HISTOJUIL25!$A$6:$BB$47,12,0))</f>
        <v>1</v>
      </c>
      <c r="C7" s="1" t="str">
        <f>VLOOKUP(A7,[7]LISTADHERENT!A$5:H$60,3,0)</f>
        <v>BOUTCHOUANG WILLIAM</v>
      </c>
      <c r="D7" s="7">
        <f>IF(E7="ECHEC",0,VLOOKUP($A7,[6]HISTOJUIL25!$A$6:$AR$47,13,0))</f>
        <v>75000</v>
      </c>
      <c r="E7" s="7" t="str">
        <f>VLOOKUP($A7,[6]HISTOJUIL25!$A$6:$AV$47,9,0)</f>
        <v>BANQUE</v>
      </c>
      <c r="F7" s="7">
        <f>VLOOKUP($A7,[6]HISTOJUIL25!$A$6:$AV$47,36,0)</f>
        <v>0</v>
      </c>
      <c r="G7" s="7">
        <f>VLOOKUP($A7,[6]HISTOJUIL25!$A$6:$AV$47,39,0)</f>
        <v>0</v>
      </c>
      <c r="H7" s="7" t="str">
        <f>IF(G7=0,"",VLOOKUP($A7,[6]HISTOFEV25!$A$6:$AV$47,42,0))</f>
        <v/>
      </c>
      <c r="I7" s="7">
        <f>VLOOKUP($A7,[6]HISTOJUIL25!$A$6:$AV$47,41,0)</f>
        <v>0</v>
      </c>
      <c r="J7" s="7">
        <f>+TONTJUIN25!F7+TONTJUIN25!G7</f>
        <v>0</v>
      </c>
      <c r="K7" s="7">
        <f>VLOOKUP($A7,[6]HISTOJUIL25!$A$6:$AV$47,17,0)</f>
        <v>0</v>
      </c>
      <c r="L7" s="7" t="str">
        <f>IF(K7&lt;&gt;0,VLOOKUP($A7,[6]HISTOJUIL25!$A$6:$BB$47,42,0),"ECHEC")</f>
        <v>ECHEC</v>
      </c>
      <c r="M7" s="7">
        <f>IF(P7=0,0,VLOOKUP($A7,[6]HISTOJUIL25!$A$6:$AV$47,32,0))</f>
        <v>0</v>
      </c>
      <c r="N7" s="7">
        <f>VLOOKUP($A7,[6]HISTOJUIL25!$A$6:$AV$47,33,0)</f>
        <v>0</v>
      </c>
      <c r="O7" s="7">
        <f t="shared" si="0"/>
        <v>0</v>
      </c>
      <c r="P7" s="7">
        <f>VLOOKUP($A7,[6]HISTOJUIL25!$A$6:$AV$47,30,0)</f>
        <v>0</v>
      </c>
    </row>
    <row r="8" spans="1:16" x14ac:dyDescent="0.35">
      <c r="A8" s="1" t="s">
        <v>18</v>
      </c>
      <c r="B8" s="7">
        <f>IF(D8=0,0,VLOOKUP($A8,[6]HISTOJUIL25!$A$6:$BB$47,12,0))</f>
        <v>1</v>
      </c>
      <c r="C8" s="1" t="str">
        <f>VLOOKUP(A8,[7]LISTADHERENT!A$5:H$60,3,0)</f>
        <v>HOTCHO BENJAMIN</v>
      </c>
      <c r="D8" s="7">
        <f>IF(E8="ECHEC",0,VLOOKUP($A8,[6]HISTOJUIL25!$A$6:$AR$47,13,0))</f>
        <v>75000</v>
      </c>
      <c r="E8" s="7" t="str">
        <f>VLOOKUP($A8,[6]HISTOJUIL25!$A$6:$AV$47,9,0)</f>
        <v>BANQUE</v>
      </c>
      <c r="F8" s="7">
        <f>VLOOKUP($A8,[6]HISTOJUIL25!$A$6:$AV$47,36,0)</f>
        <v>0</v>
      </c>
      <c r="G8" s="7">
        <f>VLOOKUP($A8,[6]HISTOJUIL25!$A$6:$AV$47,39,0)</f>
        <v>0</v>
      </c>
      <c r="H8" s="7" t="str">
        <f>IF(G8=0,"",VLOOKUP($A8,[6]HISTOFEV25!$A$6:$AV$47,42,0))</f>
        <v/>
      </c>
      <c r="I8" s="7">
        <f>VLOOKUP($A8,[6]HISTOJUIL25!$A$6:$AV$47,41,0)</f>
        <v>0</v>
      </c>
      <c r="J8" s="7">
        <f>+TONTJUIN25!F8+TONTJUIN25!G8</f>
        <v>102500</v>
      </c>
      <c r="K8" s="7">
        <f>VLOOKUP($A8,[6]HISTOJUIL25!$A$6:$AV$47,17,0)</f>
        <v>102500</v>
      </c>
      <c r="L8" s="7" t="str">
        <f>IF(K8&lt;&gt;0,VLOOKUP($A8,[6]HISTOJUIL25!$A$6:$BB$47,42,0),"ECHEC")</f>
        <v>BANQUE</v>
      </c>
      <c r="M8" s="7">
        <f>IF(P8=0,0,VLOOKUP($A8,[6]HISTOJUIL25!$A$6:$AV$47,32,0))</f>
        <v>0</v>
      </c>
      <c r="N8" s="7">
        <f>VLOOKUP($A8,[6]HISTOJUIL25!$A$6:$AV$47,33,0)</f>
        <v>0</v>
      </c>
      <c r="O8" s="7">
        <f t="shared" si="0"/>
        <v>0</v>
      </c>
      <c r="P8" s="7">
        <f>VLOOKUP($A8,[6]HISTOJUIL25!$A$6:$AV$47,30,0)</f>
        <v>0</v>
      </c>
    </row>
    <row r="9" spans="1:16" x14ac:dyDescent="0.35">
      <c r="A9" s="1" t="s">
        <v>60</v>
      </c>
      <c r="B9" s="7">
        <f>IF(D9=0,0,VLOOKUP($A9,[6]HISTOJUIL25!$A$6:$BB$47,12,0))</f>
        <v>1</v>
      </c>
      <c r="C9" s="1" t="str">
        <f>VLOOKUP(A9,[7]LISTADHERENT!A$5:H$60,3,0)</f>
        <v>KOUATCHO MESSACK</v>
      </c>
      <c r="D9" s="7">
        <f>IF(E9="ECHEC",0,VLOOKUP($A9,[6]HISTOJUIL25!$A$6:$AR$47,13,0))</f>
        <v>75000</v>
      </c>
      <c r="E9" s="7" t="str">
        <f>VLOOKUP($A9,[6]HISTOJUIL25!$A$6:$AV$47,9,0)</f>
        <v>BANQUE</v>
      </c>
      <c r="F9" s="7">
        <f>VLOOKUP($A9,[6]HISTOJUIL25!$A$6:$AV$47,36,0)</f>
        <v>50000</v>
      </c>
      <c r="G9" s="7">
        <f>VLOOKUP($A9,[6]HISTOJUIL25!$A$6:$AV$47,39,0)</f>
        <v>1000</v>
      </c>
      <c r="H9" s="7" t="str">
        <f>IF(G9=0,"",VLOOKUP($A9,[6]HISTOFEV25!$A$6:$AV$47,42,0))</f>
        <v>BANQUE</v>
      </c>
      <c r="I9" s="7">
        <f>VLOOKUP($A9,[6]HISTOJUIL25!$A$6:$AV$47,41,0)</f>
        <v>0</v>
      </c>
      <c r="J9" s="7">
        <f>+TONTJUIN25!F9+TONTJUIN25!G9</f>
        <v>141000</v>
      </c>
      <c r="K9" s="7">
        <f>VLOOKUP($A9,[6]HISTOJUIL25!$A$6:$AV$47,17,0)</f>
        <v>141000</v>
      </c>
      <c r="L9" s="7" t="str">
        <f>IF(K9&lt;&gt;0,VLOOKUP($A9,[6]HISTOJUIL25!$A$6:$BB$47,42,0),"ECHEC")</f>
        <v>BANQUE</v>
      </c>
      <c r="M9" s="7">
        <f>IF(P9=0,0,VLOOKUP($A9,[6]HISTOJUIL25!$A$6:$AV$47,32,0))</f>
        <v>0</v>
      </c>
      <c r="N9" s="7">
        <f>VLOOKUP($A9,[6]HISTOJUIL25!$A$6:$AV$47,33,0)</f>
        <v>0</v>
      </c>
      <c r="O9" s="7">
        <f t="shared" si="0"/>
        <v>0</v>
      </c>
      <c r="P9" s="7">
        <f>VLOOKUP($A9,[6]HISTOJUIL25!$A$6:$AV$47,30,0)</f>
        <v>0</v>
      </c>
    </row>
    <row r="10" spans="1:16" x14ac:dyDescent="0.35">
      <c r="A10" s="1" t="s">
        <v>26</v>
      </c>
      <c r="B10" s="7">
        <f>IF(D10=0,0,VLOOKUP($A10,[6]HISTOJUIL25!$A$6:$BB$47,12,0))</f>
        <v>1</v>
      </c>
      <c r="C10" s="1" t="str">
        <f>VLOOKUP(A10,[7]LISTADHERENT!A$5:H$60,3,0)</f>
        <v>HENGUE PAUL OMER</v>
      </c>
      <c r="D10" s="7">
        <f>IF(E10="ECHEC",0,VLOOKUP($A10,[6]HISTOJUIL25!$A$6:$AR$47,13,0))</f>
        <v>75000</v>
      </c>
      <c r="E10" s="7" t="str">
        <f>VLOOKUP($A10,[6]HISTOJUIL25!$A$6:$AV$47,9,0)</f>
        <v>BANQUE</v>
      </c>
      <c r="F10" s="7">
        <f>VLOOKUP($A10,[6]HISTOJUIL25!$A$6:$AV$47,36,0)</f>
        <v>0</v>
      </c>
      <c r="G10" s="7">
        <f>VLOOKUP($A10,[6]HISTOJUIL25!$A$6:$AV$47,39,0)</f>
        <v>0</v>
      </c>
      <c r="H10" s="7" t="str">
        <f>IF(G10=0,"",VLOOKUP($A10,[6]HISTOFEV25!$A$6:$AV$47,42,0))</f>
        <v/>
      </c>
      <c r="I10" s="7">
        <f>VLOOKUP($A10,[6]HISTOJUIL25!$A$6:$AV$47,41,0)</f>
        <v>0</v>
      </c>
      <c r="J10" s="7">
        <f>+TONTJUIN25!F10+TONTJUIN25!G10</f>
        <v>0</v>
      </c>
      <c r="K10" s="7">
        <f>VLOOKUP($A10,[6]HISTOJUIL25!$A$6:$AV$47,17,0)</f>
        <v>0</v>
      </c>
      <c r="L10" s="7" t="str">
        <f>IF(K10&lt;&gt;0,VLOOKUP($A10,[6]HISTOJUIL25!$A$6:$BB$47,42,0),"ECHEC")</f>
        <v>ECHEC</v>
      </c>
      <c r="M10" s="7">
        <f>IF(P10=0,0,VLOOKUP($A10,[6]HISTOJUIL25!$A$6:$AV$47,32,0))</f>
        <v>0</v>
      </c>
      <c r="N10" s="7">
        <f>VLOOKUP($A10,[6]HISTOJUIL25!$A$6:$AV$47,33,0)</f>
        <v>0</v>
      </c>
      <c r="O10" s="7">
        <f t="shared" si="0"/>
        <v>0</v>
      </c>
      <c r="P10" s="7">
        <f>VLOOKUP($A10,[6]HISTOJUIL25!$A$6:$AV$47,30,0)</f>
        <v>0</v>
      </c>
    </row>
    <row r="11" spans="1:16" x14ac:dyDescent="0.35">
      <c r="A11" s="1" t="s">
        <v>21</v>
      </c>
      <c r="B11" s="7">
        <f>IF(D11=0,0,VLOOKUP($A11,[6]HISTOJUIL25!$A$6:$BB$47,12,0))</f>
        <v>1</v>
      </c>
      <c r="C11" s="1" t="str">
        <f>VLOOKUP(A11,[7]LISTADHERENT!A$5:H$60,3,0)</f>
        <v>MBOGNING TUGMA GUY</v>
      </c>
      <c r="D11" s="7">
        <f>IF(E11="ECHEC",0,VLOOKUP($A11,[6]HISTOJUIL25!$A$6:$AR$47,13,0))</f>
        <v>75000</v>
      </c>
      <c r="E11" s="7" t="str">
        <f>VLOOKUP($A11,[6]HISTOJUIL25!$A$6:$AV$47,9,0)</f>
        <v>BANQUE</v>
      </c>
      <c r="F11" s="7">
        <f>VLOOKUP($A11,[6]HISTOJUIL25!$A$6:$AV$47,36,0)</f>
        <v>100000</v>
      </c>
      <c r="G11" s="7">
        <f>VLOOKUP($A11,[6]HISTOJUIL25!$A$6:$AV$47,39,0)</f>
        <v>2000</v>
      </c>
      <c r="H11" s="7" t="str">
        <f>IF(G11=0,"",VLOOKUP($A11,[6]HISTOFEV25!$A$6:$AV$47,42,0))</f>
        <v>BANQUE</v>
      </c>
      <c r="I11" s="7">
        <f>VLOOKUP($A11,[6]HISTOJUIL25!$A$6:$AV$47,41,0)</f>
        <v>0</v>
      </c>
      <c r="J11" s="7">
        <f>+TONTJUIN25!F11+TONTJUIN25!G11</f>
        <v>102000</v>
      </c>
      <c r="K11" s="7">
        <f>VLOOKUP($A11,[6]HISTOJUIL25!$A$6:$AV$47,17,0)</f>
        <v>102000</v>
      </c>
      <c r="L11" s="7" t="str">
        <f>IF(K11&lt;&gt;0,VLOOKUP($A11,[6]HISTOJUIL25!$A$6:$BB$47,42,0),"ECHEC")</f>
        <v>BANQUE</v>
      </c>
      <c r="M11" s="7">
        <f>IF(P11=0,0,VLOOKUP($A11,[6]HISTOJUIL25!$A$6:$AV$47,32,0))</f>
        <v>0</v>
      </c>
      <c r="N11" s="7">
        <f>VLOOKUP($A11,[6]HISTOJUIL25!$A$6:$AV$47,33,0)</f>
        <v>0</v>
      </c>
      <c r="O11" s="7">
        <f t="shared" si="0"/>
        <v>0</v>
      </c>
      <c r="P11" s="7">
        <f>VLOOKUP($A11,[6]HISTOJUIL25!$A$6:$AV$47,30,0)</f>
        <v>0</v>
      </c>
    </row>
    <row r="12" spans="1:16" x14ac:dyDescent="0.35">
      <c r="A12" s="1" t="s">
        <v>8</v>
      </c>
      <c r="B12" s="7">
        <f>IF(D12=0,0,VLOOKUP($A12,[6]HISTOJUIL25!$A$6:$BB$47,12,0))</f>
        <v>1</v>
      </c>
      <c r="C12" s="1" t="str">
        <f>VLOOKUP(A12,[7]LISTADHERENT!A$5:H$60,3,0)</f>
        <v>NANKAM APPOLINAIRE</v>
      </c>
      <c r="D12" s="7">
        <f>IF(E12="ECHEC",0,VLOOKUP($A12,[6]HISTOJUIL25!$A$6:$AR$47,13,0))</f>
        <v>75000</v>
      </c>
      <c r="E12" s="7" t="str">
        <f>VLOOKUP($A12,[6]HISTOJUIL25!$A$6:$AV$47,9,0)</f>
        <v>BANQUE</v>
      </c>
      <c r="F12" s="7">
        <f>VLOOKUP($A12,[6]HISTOJUIL25!$A$6:$AV$47,36,0)</f>
        <v>0</v>
      </c>
      <c r="G12" s="7">
        <f>VLOOKUP($A12,[6]HISTOJUIL25!$A$6:$AV$47,39,0)</f>
        <v>0</v>
      </c>
      <c r="H12" s="7" t="str">
        <f>IF(G12=0,"",VLOOKUP($A12,[6]HISTOFEV25!$A$6:$AV$47,42,0))</f>
        <v/>
      </c>
      <c r="I12" s="7">
        <f>VLOOKUP($A12,[6]HISTOJUIL25!$A$6:$AV$47,41,0)</f>
        <v>0</v>
      </c>
      <c r="J12" s="7">
        <f>+TONTJUIN25!F12+TONTJUIN25!G12</f>
        <v>0</v>
      </c>
      <c r="K12" s="7">
        <f>VLOOKUP($A12,[6]HISTOJUIL25!$A$6:$AV$47,17,0)</f>
        <v>0</v>
      </c>
      <c r="L12" s="7" t="str">
        <f>IF(K12&lt;&gt;0,VLOOKUP($A12,[6]HISTOJUIL25!$A$6:$BB$47,42,0),"ECHEC")</f>
        <v>ECHEC</v>
      </c>
      <c r="M12" s="7">
        <f>IF(P12=0,0,VLOOKUP($A12,[6]HISTOJUIL25!$A$6:$AV$47,32,0))</f>
        <v>0</v>
      </c>
      <c r="N12" s="7">
        <f>VLOOKUP($A12,[6]HISTOJUIL25!$A$6:$AV$47,33,0)</f>
        <v>0</v>
      </c>
      <c r="O12" s="7">
        <f t="shared" si="0"/>
        <v>0</v>
      </c>
      <c r="P12" s="7">
        <f>VLOOKUP($A12,[6]HISTOJUIL25!$A$6:$AV$47,30,0)</f>
        <v>0</v>
      </c>
    </row>
    <row r="13" spans="1:16" x14ac:dyDescent="0.35">
      <c r="A13" s="1" t="s">
        <v>35</v>
      </c>
      <c r="B13" s="7">
        <f>IF(D13=0,0,VLOOKUP($A13,[6]HISTOJUIL25!$A$6:$BB$47,12,0))</f>
        <v>1</v>
      </c>
      <c r="C13" s="1" t="str">
        <f>VLOOKUP(A13,[7]LISTADHERENT!A$5:H$60,3,0)</f>
        <v>NGONDIEP CLAUDE</v>
      </c>
      <c r="D13" s="7">
        <f>IF(E13="ECHEC",0,VLOOKUP($A13,[6]HISTOJUIL25!$A$6:$AR$47,13,0))</f>
        <v>75000</v>
      </c>
      <c r="E13" s="7" t="str">
        <f>VLOOKUP($A13,[6]HISTOJUIL25!$A$6:$AV$47,9,0)</f>
        <v>BANQUE</v>
      </c>
      <c r="F13" s="7">
        <f>VLOOKUP($A13,[6]HISTOJUIL25!$A$6:$AV$47,36,0)</f>
        <v>121500</v>
      </c>
      <c r="G13" s="7">
        <f>VLOOKUP($A13,[6]HISTOJUIL25!$A$6:$AV$47,39,0)</f>
        <v>0</v>
      </c>
      <c r="H13" s="7" t="str">
        <f>IF(G13=0,"",VLOOKUP($A13,[6]HISTOFEV25!$A$6:$AV$47,42,0))</f>
        <v/>
      </c>
      <c r="I13" s="7">
        <f>VLOOKUP($A13,[6]HISTOJUIL25!$A$6:$AV$47,41,0)</f>
        <v>0</v>
      </c>
      <c r="J13" s="7">
        <f>+TONTJUIN25!F13+TONTJUIN25!G13</f>
        <v>125125</v>
      </c>
      <c r="K13" s="7">
        <f>VLOOKUP($A13,[6]HISTOJUIL25!$A$6:$AV$47,17,0)</f>
        <v>125125</v>
      </c>
      <c r="L13" s="7" t="str">
        <f>IF(K13&lt;&gt;0,VLOOKUP($A13,[6]HISTOJUIL25!$A$6:$BB$47,42,0),"ECHEC")</f>
        <v>BANQUE</v>
      </c>
      <c r="M13" s="7">
        <f>IF(P13=0,0,VLOOKUP($A13,[6]HISTOJUIL25!$A$6:$AV$47,32,0))</f>
        <v>0</v>
      </c>
      <c r="N13" s="7">
        <f>VLOOKUP($A13,[6]HISTOJUIL25!$A$6:$AV$47,33,0)</f>
        <v>0</v>
      </c>
      <c r="O13" s="7">
        <f t="shared" si="0"/>
        <v>0</v>
      </c>
      <c r="P13" s="7">
        <f>VLOOKUP($A13,[6]HISTOJUIL25!$A$6:$AV$47,30,0)</f>
        <v>0</v>
      </c>
    </row>
    <row r="14" spans="1:16" x14ac:dyDescent="0.35">
      <c r="A14" s="1" t="s">
        <v>27</v>
      </c>
      <c r="B14" s="7">
        <f>IF(D14=0,0,VLOOKUP($A14,[6]HISTOJUIL25!$A$6:$BB$47,12,0))</f>
        <v>1</v>
      </c>
      <c r="C14" s="1" t="str">
        <f>VLOOKUP(A14,[7]LISTADHERENT!A$5:H$60,3,0)</f>
        <v>PATEGO NJOSSU GUSTAVE</v>
      </c>
      <c r="D14" s="7">
        <f>IF(E14="ECHEC",0,VLOOKUP($A14,[6]HISTOJUIL25!$A$6:$AR$47,13,0))</f>
        <v>75000</v>
      </c>
      <c r="E14" s="7" t="str">
        <f>VLOOKUP($A14,[6]HISTOJUIL25!$A$6:$AV$47,9,0)</f>
        <v>BANQUE</v>
      </c>
      <c r="F14" s="7">
        <f>VLOOKUP($A14,[6]HISTOJUIL25!$A$6:$AV$47,36,0)</f>
        <v>0</v>
      </c>
      <c r="G14" s="7">
        <f>VLOOKUP($A14,[6]HISTOJUIL25!$A$6:$AV$47,39,0)</f>
        <v>0</v>
      </c>
      <c r="H14" s="7" t="str">
        <f>IF(G14=0,"",VLOOKUP($A14,[6]HISTOFEV25!$A$6:$AV$47,42,0))</f>
        <v/>
      </c>
      <c r="I14" s="7">
        <f>VLOOKUP($A14,[6]HISTOJUIL25!$A$6:$AV$47,41,0)</f>
        <v>0</v>
      </c>
      <c r="J14" s="7">
        <f>+TONTJUIN25!F14+TONTJUIN25!G14</f>
        <v>0</v>
      </c>
      <c r="K14" s="7">
        <f>VLOOKUP($A14,[6]HISTOJUIL25!$A$6:$AV$47,17,0)</f>
        <v>0</v>
      </c>
      <c r="L14" s="7" t="str">
        <f>IF(K14&lt;&gt;0,VLOOKUP($A14,[6]HISTOJUIL25!$A$6:$BB$47,42,0),"ECHEC")</f>
        <v>ECHEC</v>
      </c>
      <c r="M14" s="7">
        <f>IF(P14=0,0,VLOOKUP($A14,[6]HISTOJUIL25!$A$6:$AV$47,32,0))</f>
        <v>0</v>
      </c>
      <c r="N14" s="7">
        <f>VLOOKUP($A14,[6]HISTOJUIL25!$A$6:$AV$47,33,0)</f>
        <v>0</v>
      </c>
      <c r="O14" s="7">
        <f t="shared" si="0"/>
        <v>0</v>
      </c>
      <c r="P14" s="7">
        <f>VLOOKUP($A14,[6]HISTOJUIL25!$A$6:$AV$47,30,0)</f>
        <v>0</v>
      </c>
    </row>
    <row r="15" spans="1:16" x14ac:dyDescent="0.35">
      <c r="A15" s="9" t="s">
        <v>48</v>
      </c>
      <c r="B15" s="7">
        <f>IF(D15=0,0,VLOOKUP($A15,[6]HISTOJUIL25!$A$6:$BB$47,12,0))</f>
        <v>1</v>
      </c>
      <c r="C15" s="1" t="str">
        <f>VLOOKUP(A15,[7]LISTADHERENT!A$5:H$60,3,0)</f>
        <v>TCHOUAMOU MATHIEU</v>
      </c>
      <c r="D15" s="7">
        <f>IF(E15="ECHEC",0,VLOOKUP($A15,[6]HISTOJUIL25!$A$6:$AR$47,13,0))</f>
        <v>75000</v>
      </c>
      <c r="E15" s="7" t="str">
        <f>VLOOKUP($A15,[6]HISTOJUIL25!$A$6:$AV$47,9,0)</f>
        <v>BANQUE</v>
      </c>
      <c r="F15" s="7">
        <f>VLOOKUP($A15,[6]HISTOJUIL25!$A$6:$AV$47,36,0)</f>
        <v>100000</v>
      </c>
      <c r="G15" s="7">
        <f>VLOOKUP($A15,[6]HISTOJUIL25!$A$6:$AV$47,39,0)</f>
        <v>2000</v>
      </c>
      <c r="H15" s="7">
        <f>IF(G15=0,"",VLOOKUP($A15,[6]HISTOFEV25!$A$6:$AV$47,42,0))</f>
        <v>0</v>
      </c>
      <c r="I15" s="7">
        <f>VLOOKUP($A15,[6]HISTOJUIL25!$A$6:$AV$47,41,0)</f>
        <v>0</v>
      </c>
      <c r="J15" s="7">
        <f>+TONTJUIN25!F15+TONTJUIN25!G15</f>
        <v>102000</v>
      </c>
      <c r="K15" s="7">
        <f>VLOOKUP($A15,[6]HISTOJUIL25!$A$6:$AV$47,17,0)</f>
        <v>102000</v>
      </c>
      <c r="L15" s="7" t="str">
        <f>IF(K15&lt;&gt;0,VLOOKUP($A15,[6]HISTOJUIL25!$A$6:$BB$47,42,0),"ECHEC")</f>
        <v>BANQUE</v>
      </c>
      <c r="M15" s="7">
        <f>IF(P15=0,0,VLOOKUP($A15,[6]HISTOJUIL25!$A$6:$AV$47,32,0))</f>
        <v>0</v>
      </c>
      <c r="N15" s="7">
        <f>VLOOKUP($A15,[6]HISTOJUIL25!$A$6:$AV$47,33,0)</f>
        <v>0</v>
      </c>
      <c r="O15" s="7">
        <f t="shared" si="0"/>
        <v>892500</v>
      </c>
      <c r="P15" s="7">
        <f>VLOOKUP($A15,[6]HISTOJUIL25!$A$6:$AV$47,30,0)</f>
        <v>7500</v>
      </c>
    </row>
    <row r="16" spans="1:16" x14ac:dyDescent="0.35">
      <c r="A16" s="23" t="s">
        <v>59</v>
      </c>
      <c r="B16" s="7">
        <f>IF(D16=0,0,VLOOKUP($A16,[6]HISTOJUIL25!$A$6:$BB$47,12,0))</f>
        <v>1</v>
      </c>
      <c r="C16" s="1" t="str">
        <f>VLOOKUP(A16,[7]LISTADHERENT!A$5:H$60,3,0)</f>
        <v>YANTCHOU GERVAIS</v>
      </c>
      <c r="D16" s="7">
        <f>IF(E16="ECHEC",0,VLOOKUP($A16,[6]HISTOJUIL25!$A$6:$AR$47,13,0))</f>
        <v>75000</v>
      </c>
      <c r="E16" s="7" t="str">
        <f>VLOOKUP($A16,[6]HISTOJUIL25!$A$6:$AV$47,9,0)</f>
        <v>BANQUE</v>
      </c>
      <c r="F16" s="7">
        <f>VLOOKUP($A16,[6]HISTOJUIL25!$A$6:$AV$47,36,0)</f>
        <v>0</v>
      </c>
      <c r="G16" s="7">
        <f>VLOOKUP($A16,[6]HISTOJUIL25!$A$6:$AV$47,39,0)</f>
        <v>0</v>
      </c>
      <c r="H16" s="7" t="str">
        <f>IF(G16=0,"",VLOOKUP($A16,[6]HISTOFEV25!$A$6:$AV$47,42,0))</f>
        <v/>
      </c>
      <c r="I16" s="7">
        <f>VLOOKUP($A16,[6]HISTOJUIL25!$A$6:$AV$47,41,0)</f>
        <v>0</v>
      </c>
      <c r="J16" s="7">
        <f>+TONTJUIN25!F16+TONTJUIN25!G16</f>
        <v>0</v>
      </c>
      <c r="K16" s="7">
        <f>VLOOKUP($A16,[6]HISTOJUIL25!$A$6:$AV$47,17,0)</f>
        <v>0</v>
      </c>
      <c r="L16" s="7" t="str">
        <f>IF(K16&lt;&gt;0,VLOOKUP($A16,[6]HISTOJUIL25!$A$6:$BB$47,42,0),"ECHEC")</f>
        <v>ECHEC</v>
      </c>
      <c r="M16" s="7">
        <f>IF(P16=0,0,VLOOKUP($A16,[6]HISTOJUIL25!$A$6:$AV$47,32,0))</f>
        <v>0</v>
      </c>
      <c r="N16" s="7">
        <f>VLOOKUP($A16,[6]HISTOJUIL25!$A$6:$AV$47,33,0)</f>
        <v>0</v>
      </c>
      <c r="O16" s="7">
        <f t="shared" si="0"/>
        <v>0</v>
      </c>
      <c r="P16" s="7">
        <f>VLOOKUP($A16,[6]HISTOJUIL25!$A$6:$AV$47,30,0)</f>
        <v>0</v>
      </c>
    </row>
    <row r="17" spans="1:16" x14ac:dyDescent="0.35">
      <c r="A17" s="1" t="s">
        <v>19</v>
      </c>
      <c r="B17" s="7">
        <f>IF(D17=0,0,VLOOKUP($A17,[6]HISTOJUIL25!$A$6:$BB$47,12,0))</f>
        <v>1</v>
      </c>
      <c r="C17" s="1" t="str">
        <f>VLOOKUP(A17,[7]LISTADHERENT!A$5:H$60,3,0)</f>
        <v>YOUMBI EMMANUEL</v>
      </c>
      <c r="D17" s="7">
        <f>IF(E17="ECHEC",0,VLOOKUP($A17,[6]HISTOJUIL25!$A$6:$AR$47,13,0))</f>
        <v>75000</v>
      </c>
      <c r="E17" s="7" t="str">
        <f>VLOOKUP($A17,[6]HISTOJUIL25!$A$6:$AV$47,9,0)</f>
        <v>BANQUE</v>
      </c>
      <c r="F17" s="7">
        <f>VLOOKUP($A17,[6]HISTOJUIL25!$A$6:$AV$47,36,0)</f>
        <v>0</v>
      </c>
      <c r="G17" s="7">
        <f>VLOOKUP($A17,[6]HISTOJUIL25!$A$6:$AV$47,39,0)</f>
        <v>0</v>
      </c>
      <c r="H17" s="7" t="str">
        <f>IF(G17=0,"",VLOOKUP($A17,[6]HISTOFEV25!$A$6:$AV$47,42,0))</f>
        <v/>
      </c>
      <c r="I17" s="7">
        <f>VLOOKUP($A17,[6]HISTOJUIL25!$A$6:$AV$47,41,0)</f>
        <v>0</v>
      </c>
      <c r="J17" s="7">
        <f>+TONTJUIN25!F17+TONTJUIN25!G17</f>
        <v>0</v>
      </c>
      <c r="K17" s="7">
        <f>VLOOKUP($A17,[6]HISTOJUIL25!$A$6:$AV$47,17,0)</f>
        <v>0</v>
      </c>
      <c r="L17" s="7" t="str">
        <f>IF(K17&lt;&gt;0,VLOOKUP($A17,[6]HISTOJUIL25!$A$6:$BB$47,42,0),"ECHEC")</f>
        <v>ECHEC</v>
      </c>
      <c r="M17" s="7">
        <f>IF(P17=0,0,VLOOKUP($A17,[6]HISTOJUIL25!$A$6:$AV$47,32,0))</f>
        <v>0</v>
      </c>
      <c r="N17" s="7">
        <f>VLOOKUP($A17,[6]HISTOJUIL25!$A$6:$AV$47,33,0)</f>
        <v>0</v>
      </c>
      <c r="O17" s="7">
        <f t="shared" si="0"/>
        <v>0</v>
      </c>
      <c r="P17" s="7">
        <f>VLOOKUP($A17,[6]HISTOJUIL25!$A$6:$AV$47,30,0)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371500</v>
      </c>
      <c r="G20" s="8">
        <f t="shared" si="1"/>
        <v>5000</v>
      </c>
      <c r="H20" s="8">
        <f t="shared" si="1"/>
        <v>0</v>
      </c>
      <c r="I20" s="8">
        <f t="shared" si="1"/>
        <v>0</v>
      </c>
      <c r="J20" s="8">
        <f t="shared" si="1"/>
        <v>572625</v>
      </c>
      <c r="K20" s="8">
        <f t="shared" si="1"/>
        <v>572625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1355625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0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470625</v>
      </c>
      <c r="F24" s="8">
        <f>SUMIFS(F7:F19,H7:H19,"BANQUE")</f>
        <v>150000</v>
      </c>
      <c r="G24" s="8">
        <f>SUMIFS(O7:O19,M7:M19,"BANQUE")</f>
        <v>0</v>
      </c>
      <c r="H24" s="8">
        <f>D24+E24-F24-G24</f>
        <v>1295625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455625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470625</v>
      </c>
      <c r="F26" s="8">
        <f>F23+F24</f>
        <v>150000</v>
      </c>
      <c r="G26" s="8">
        <f t="shared" ref="G26:H26" si="2">G23+G24</f>
        <v>0</v>
      </c>
      <c r="H26" s="8">
        <f t="shared" si="2"/>
        <v>1295625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84125</v>
      </c>
      <c r="L27"/>
      <c r="M27" s="8">
        <f>K27</f>
        <v>84125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102000</v>
      </c>
      <c r="M30" s="8">
        <f>+K30+TONTFEV25!M30</f>
        <v>102000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D319-42E9-4A63-9614-D5DAD454BE29}">
  <dimension ref="A1:P30"/>
  <sheetViews>
    <sheetView zoomScale="112" zoomScaleNormal="112" workbookViewId="0">
      <pane xSplit="3" ySplit="5" topLeftCell="E15" activePane="bottomRight" state="frozen"/>
      <selection activeCell="J11" sqref="J11"/>
      <selection pane="topRight" activeCell="J11" sqref="J11"/>
      <selection pane="bottomLeft" activeCell="J11" sqref="J11"/>
      <selection pane="bottomRight" activeCell="J7" sqref="J7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45882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IF(D6=0,0,VLOOKUP($A6,[6]HISTOAOUT25!$A$6:$BB$47,12,0))</f>
        <v>2</v>
      </c>
      <c r="C6" s="1" t="str">
        <f>VLOOKUP(A6,[7]LISTADHERENT!A$5:H$60,3,0)</f>
        <v>ASELBY</v>
      </c>
      <c r="D6" s="7">
        <f>IF(E6="ECHEC",0,VLOOKUP($A6,[6]HISTOAOUT25!$A$6:$AR$47,13,0))</f>
        <v>150000</v>
      </c>
      <c r="E6" s="7" t="str">
        <f>VLOOKUP($A6,[6]HISTOAOUT25!$A$6:$AV$47,9,0)</f>
        <v>BANQUE</v>
      </c>
      <c r="F6" s="7">
        <f>VLOOKUP($A6,[6]HISTOAOUT25!$A$6:$AV$47,36,0)</f>
        <v>0</v>
      </c>
      <c r="G6" s="7">
        <f>VLOOKUP($A6,[6]HISTOAOUT25!$A$6:$AV$47,39,0)</f>
        <v>0</v>
      </c>
      <c r="H6" s="7" t="str">
        <f>IF(G6=0,"",VLOOKUP($A6,[6]HISTOFEV25!$A$6:$AV$47,42,0))</f>
        <v/>
      </c>
      <c r="I6" s="7">
        <f>VLOOKUP($A6,[6]HISTOAOUT25!$A$6:$AV$47,41,0)</f>
        <v>0</v>
      </c>
      <c r="J6" s="7">
        <f>+TONTJUIL25!F6+TONTJUIL25!G6</f>
        <v>0</v>
      </c>
      <c r="K6" s="7">
        <f>VLOOKUP($A6,[6]HISTOAOUT25!$A$6:$AV$47,17,0)</f>
        <v>0</v>
      </c>
      <c r="L6" s="7" t="str">
        <f>IF(K6&lt;&gt;0,VLOOKUP($A6,[6]HISTOAOUT25!$A$6:$BB$47,42,0),"ECHEC")</f>
        <v>ECHEC</v>
      </c>
      <c r="M6" s="7">
        <f>IF(P6=0,0,VLOOKUP($A6,[6]HISTOAOUT25!$A$6:$AV$47,32,0))</f>
        <v>0</v>
      </c>
      <c r="N6" s="7">
        <f>VLOOKUP($A6,[6]HISTOAOUT25!$A$6:$AV$47,33,0)</f>
        <v>0</v>
      </c>
      <c r="O6" s="7">
        <f t="shared" ref="O6:O17" si="0">IF(P6=0,0,($C$3-P6))</f>
        <v>0</v>
      </c>
      <c r="P6" s="7">
        <f>VLOOKUP($A6,[6]HISTOAOUT25!$A$6:$AV$47,30,0)</f>
        <v>0</v>
      </c>
    </row>
    <row r="7" spans="1:16" x14ac:dyDescent="0.35">
      <c r="A7" s="1" t="s">
        <v>24</v>
      </c>
      <c r="B7" s="7">
        <f>IF(D7=0,0,VLOOKUP($A7,[6]HISTOAOUT25!$A$6:$BB$47,12,0))</f>
        <v>1</v>
      </c>
      <c r="C7" s="1" t="str">
        <f>VLOOKUP(A7,[7]LISTADHERENT!A$5:H$60,3,0)</f>
        <v>BOUTCHOUANG WILLIAM</v>
      </c>
      <c r="D7" s="7">
        <f>IF(E7="ECHEC",0,VLOOKUP($A7,[6]HISTOAOUT25!$A$6:$AR$47,13,0))</f>
        <v>75000</v>
      </c>
      <c r="E7" s="7" t="str">
        <f>VLOOKUP($A7,[6]HISTOAOUT25!$A$6:$AV$47,9,0)</f>
        <v>BANQUE</v>
      </c>
      <c r="F7" s="7">
        <f>VLOOKUP($A7,[6]HISTOAOUT25!$A$6:$AV$47,36,0)</f>
        <v>0</v>
      </c>
      <c r="G7" s="7">
        <f>VLOOKUP($A7,[6]HISTOAOUT25!$A$6:$AV$47,39,0)</f>
        <v>0</v>
      </c>
      <c r="H7" s="7" t="str">
        <f>IF(G7=0,"",VLOOKUP($A7,[6]HISTOFEV25!$A$6:$AV$47,42,0))</f>
        <v/>
      </c>
      <c r="I7" s="7">
        <f>VLOOKUP($A7,[6]HISTOAOUT25!$A$6:$AV$47,41,0)</f>
        <v>0</v>
      </c>
      <c r="J7" s="7">
        <f>+TONTJUIL25!F7+TONTJUIL25!G7</f>
        <v>0</v>
      </c>
      <c r="K7" s="7">
        <f>VLOOKUP($A7,[6]HISTOAOUT25!$A$6:$AV$47,17,0)</f>
        <v>0</v>
      </c>
      <c r="L7" s="7" t="str">
        <f>IF(K7&lt;&gt;0,VLOOKUP($A7,[6]HISTOAOUT25!$A$6:$BB$47,42,0),"ECHEC")</f>
        <v>ECHEC</v>
      </c>
      <c r="M7" s="7">
        <f>IF(P7=0,0,VLOOKUP($A7,[6]HISTOAOUT25!$A$6:$AV$47,32,0))</f>
        <v>0</v>
      </c>
      <c r="N7" s="7">
        <f>VLOOKUP($A7,[6]HISTOAOUT25!$A$6:$AV$47,33,0)</f>
        <v>0</v>
      </c>
      <c r="O7" s="7">
        <f t="shared" si="0"/>
        <v>0</v>
      </c>
      <c r="P7" s="7">
        <f>VLOOKUP($A7,[6]HISTOAOUT25!$A$6:$AV$47,30,0)</f>
        <v>0</v>
      </c>
    </row>
    <row r="8" spans="1:16" x14ac:dyDescent="0.35">
      <c r="A8" s="1" t="s">
        <v>18</v>
      </c>
      <c r="B8" s="7">
        <f>IF(D8=0,0,VLOOKUP($A8,[6]HISTOAOUT25!$A$6:$BB$47,12,0))</f>
        <v>1</v>
      </c>
      <c r="C8" s="1" t="str">
        <f>VLOOKUP(A8,[7]LISTADHERENT!A$5:H$60,3,0)</f>
        <v>HOTCHO BENJAMIN</v>
      </c>
      <c r="D8" s="7">
        <f>IF(E8="ECHEC",0,VLOOKUP($A8,[6]HISTOAOUT25!$A$6:$AR$47,13,0))</f>
        <v>75000</v>
      </c>
      <c r="E8" s="7" t="str">
        <f>VLOOKUP($A8,[6]HISTOAOUT25!$A$6:$AV$47,9,0)</f>
        <v>BANQUE</v>
      </c>
      <c r="F8" s="7">
        <f>VLOOKUP($A8,[6]HISTOAOUT25!$A$6:$AV$47,36,0)</f>
        <v>0</v>
      </c>
      <c r="G8" s="7">
        <f>VLOOKUP($A8,[6]HISTOAOUT25!$A$6:$AV$47,39,0)</f>
        <v>0</v>
      </c>
      <c r="H8" s="7" t="str">
        <f>IF(G8=0,"",VLOOKUP($A8,[6]HISTOFEV25!$A$6:$AV$47,42,0))</f>
        <v/>
      </c>
      <c r="I8" s="7">
        <f>VLOOKUP($A8,[6]HISTOAOUT25!$A$6:$AV$47,41,0)</f>
        <v>0</v>
      </c>
      <c r="J8" s="7">
        <f>+TONTJUIL25!F8+TONTJUIL25!G8</f>
        <v>0</v>
      </c>
      <c r="K8" s="7">
        <f>VLOOKUP($A8,[6]HISTOAOUT25!$A$6:$AV$47,17,0)</f>
        <v>0</v>
      </c>
      <c r="L8" s="7" t="str">
        <f>IF(K8&lt;&gt;0,VLOOKUP($A8,[6]HISTOAOUT25!$A$6:$BB$47,42,0),"ECHEC")</f>
        <v>ECHEC</v>
      </c>
      <c r="M8" s="7">
        <f>IF(P8=0,0,VLOOKUP($A8,[6]HISTOAOUT25!$A$6:$AV$47,32,0))</f>
        <v>0</v>
      </c>
      <c r="N8" s="7">
        <f>VLOOKUP($A8,[6]HISTOAOUT25!$A$6:$AV$47,33,0)</f>
        <v>0</v>
      </c>
      <c r="O8" s="7">
        <f t="shared" si="0"/>
        <v>0</v>
      </c>
      <c r="P8" s="7">
        <f>VLOOKUP($A8,[6]HISTOAOUT25!$A$6:$AV$47,30,0)</f>
        <v>0</v>
      </c>
    </row>
    <row r="9" spans="1:16" x14ac:dyDescent="0.35">
      <c r="A9" s="1" t="s">
        <v>60</v>
      </c>
      <c r="B9" s="7">
        <f>IF(D9=0,0,VLOOKUP($A9,[6]HISTOAOUT25!$A$6:$BB$47,12,0))</f>
        <v>1</v>
      </c>
      <c r="C9" s="1" t="str">
        <f>VLOOKUP(A9,[7]LISTADHERENT!A$5:H$60,3,0)</f>
        <v>KOUATCHO MESSACK</v>
      </c>
      <c r="D9" s="7">
        <f>IF(E9="ECHEC",0,VLOOKUP($A9,[6]HISTOAOUT25!$A$6:$AR$47,13,0))</f>
        <v>75000</v>
      </c>
      <c r="E9" s="7" t="str">
        <f>VLOOKUP($A9,[6]HISTOAOUT25!$A$6:$AV$47,9,0)</f>
        <v>BANQUE</v>
      </c>
      <c r="F9" s="7">
        <f>VLOOKUP($A9,[6]HISTOAOUT25!$A$6:$AV$47,36,0)</f>
        <v>200000</v>
      </c>
      <c r="G9" s="7">
        <f>VLOOKUP($A9,[6]HISTOAOUT25!$A$6:$AV$47,39,0)</f>
        <v>3000</v>
      </c>
      <c r="H9" s="7" t="str">
        <f>IF(G9=0,"",VLOOKUP($A9,[6]HISTOFEV25!$A$6:$AV$47,42,0))</f>
        <v>BANQUE</v>
      </c>
      <c r="I9" s="7">
        <f>VLOOKUP($A9,[6]HISTOAOUT25!$A$6:$AV$47,41,0)</f>
        <v>0</v>
      </c>
      <c r="J9" s="7">
        <f>+TONTJUIL25!F9+TONTJUIL25!G9</f>
        <v>51000</v>
      </c>
      <c r="K9" s="7">
        <f>VLOOKUP($A9,[6]HISTOAOUT25!$A$6:$AV$47,17,0)</f>
        <v>51000</v>
      </c>
      <c r="L9" s="7" t="str">
        <f>IF(K9&lt;&gt;0,VLOOKUP($A9,[6]HISTOAOUT25!$A$6:$BB$47,42,0),"ECHEC")</f>
        <v>BANQUE</v>
      </c>
      <c r="M9" s="7">
        <f>IF(P9=0,0,VLOOKUP($A9,[6]HISTOAOUT25!$A$6:$AV$47,32,0))</f>
        <v>0</v>
      </c>
      <c r="N9" s="7">
        <f>VLOOKUP($A9,[6]HISTOAOUT25!$A$6:$AV$47,33,0)</f>
        <v>0</v>
      </c>
      <c r="O9" s="7">
        <f t="shared" si="0"/>
        <v>0</v>
      </c>
      <c r="P9" s="7">
        <f>VLOOKUP($A9,[6]HISTOAOUT25!$A$6:$AV$47,30,0)</f>
        <v>0</v>
      </c>
    </row>
    <row r="10" spans="1:16" x14ac:dyDescent="0.35">
      <c r="A10" s="1" t="s">
        <v>26</v>
      </c>
      <c r="B10" s="7">
        <f>IF(D10=0,0,VLOOKUP($A10,[6]HISTOAOUT25!$A$6:$BB$47,12,0))</f>
        <v>1</v>
      </c>
      <c r="C10" s="1" t="str">
        <f>VLOOKUP(A10,[7]LISTADHERENT!A$5:H$60,3,0)</f>
        <v>HENGUE PAUL OMER</v>
      </c>
      <c r="D10" s="7">
        <f>IF(E10="ECHEC",0,VLOOKUP($A10,[6]HISTOAOUT25!$A$6:$AR$47,13,0))</f>
        <v>75000</v>
      </c>
      <c r="E10" s="7" t="str">
        <f>VLOOKUP($A10,[6]HISTOAOUT25!$A$6:$AV$47,9,0)</f>
        <v>BANQUE</v>
      </c>
      <c r="F10" s="7">
        <f>VLOOKUP($A10,[6]HISTOAOUT25!$A$6:$AV$47,36,0)</f>
        <v>0</v>
      </c>
      <c r="G10" s="7">
        <f>VLOOKUP($A10,[6]HISTOAOUT25!$A$6:$AV$47,39,0)</f>
        <v>0</v>
      </c>
      <c r="H10" s="7" t="str">
        <f>IF(G10=0,"",VLOOKUP($A10,[6]HISTOFEV25!$A$6:$AV$47,42,0))</f>
        <v/>
      </c>
      <c r="I10" s="7">
        <f>VLOOKUP($A10,[6]HISTOAOUT25!$A$6:$AV$47,41,0)</f>
        <v>0</v>
      </c>
      <c r="J10" s="7">
        <f>+TONTJUIL25!F10+TONTJUIL25!G10</f>
        <v>0</v>
      </c>
      <c r="K10" s="7">
        <f>VLOOKUP($A10,[6]HISTOAOUT25!$A$6:$AV$47,17,0)</f>
        <v>0</v>
      </c>
      <c r="L10" s="7" t="str">
        <f>IF(K10&lt;&gt;0,VLOOKUP($A10,[6]HISTOAOUT25!$A$6:$BB$47,42,0),"ECHEC")</f>
        <v>ECHEC</v>
      </c>
      <c r="M10" s="7">
        <f>IF(P10=0,0,VLOOKUP($A10,[6]HISTOAOUT25!$A$6:$AV$47,32,0))</f>
        <v>0</v>
      </c>
      <c r="N10" s="7">
        <f>VLOOKUP($A10,[6]HISTOAOUT25!$A$6:$AV$47,33,0)</f>
        <v>0</v>
      </c>
      <c r="O10" s="7">
        <f t="shared" si="0"/>
        <v>0</v>
      </c>
      <c r="P10" s="7">
        <f>VLOOKUP($A10,[6]HISTOAOUT25!$A$6:$AV$47,30,0)</f>
        <v>0</v>
      </c>
    </row>
    <row r="11" spans="1:16" x14ac:dyDescent="0.35">
      <c r="A11" s="1" t="s">
        <v>21</v>
      </c>
      <c r="B11" s="7">
        <f>IF(D11=0,0,VLOOKUP($A11,[6]HISTOAOUT25!$A$6:$BB$47,12,0))</f>
        <v>1</v>
      </c>
      <c r="C11" s="1" t="str">
        <f>VLOOKUP(A11,[7]LISTADHERENT!A$5:H$60,3,0)</f>
        <v>MBOGNING TUGMA GUY</v>
      </c>
      <c r="D11" s="7">
        <f>IF(E11="ECHEC",0,VLOOKUP($A11,[6]HISTOAOUT25!$A$6:$AR$47,13,0))</f>
        <v>75000</v>
      </c>
      <c r="E11" s="7" t="str">
        <f>VLOOKUP($A11,[6]HISTOAOUT25!$A$6:$AV$47,9,0)</f>
        <v>BANQUE</v>
      </c>
      <c r="F11" s="7">
        <f>VLOOKUP($A11,[6]HISTOAOUT25!$A$6:$AV$47,36,0)</f>
        <v>200000</v>
      </c>
      <c r="G11" s="7">
        <f>VLOOKUP($A11,[6]HISTOAOUT25!$A$6:$AV$47,39,0)</f>
        <v>2000</v>
      </c>
      <c r="H11" s="7" t="str">
        <f>IF(G11=0,"",VLOOKUP($A11,[6]HISTOFEV25!$A$6:$AV$47,42,0))</f>
        <v>BANQUE</v>
      </c>
      <c r="I11" s="7">
        <f>VLOOKUP($A11,[6]HISTOAOUT25!$A$6:$AV$47,41,0)</f>
        <v>0</v>
      </c>
      <c r="J11" s="7">
        <f>+TONTJUIL25!F11+TONTJUIL25!G11</f>
        <v>102000</v>
      </c>
      <c r="K11" s="7">
        <f>VLOOKUP($A11,[6]HISTOAOUT25!$A$6:$AV$47,17,0)</f>
        <v>102000</v>
      </c>
      <c r="L11" s="7" t="str">
        <f>IF(K11&lt;&gt;0,VLOOKUP($A11,[6]HISTOAOUT25!$A$6:$BB$47,42,0),"ECHEC")</f>
        <v>BANQUE</v>
      </c>
      <c r="M11" s="7">
        <f>IF(P11=0,0,VLOOKUP($A11,[6]HISTOAOUT25!$A$6:$AV$47,32,0))</f>
        <v>0</v>
      </c>
      <c r="N11" s="7">
        <f>VLOOKUP($A11,[6]HISTOAOUT25!$A$6:$AV$47,33,0)</f>
        <v>0</v>
      </c>
      <c r="O11" s="7">
        <f t="shared" si="0"/>
        <v>0</v>
      </c>
      <c r="P11" s="7">
        <f>VLOOKUP($A11,[6]HISTOAOUT25!$A$6:$AV$47,30,0)</f>
        <v>0</v>
      </c>
    </row>
    <row r="12" spans="1:16" x14ac:dyDescent="0.35">
      <c r="A12" s="1" t="s">
        <v>8</v>
      </c>
      <c r="B12" s="7">
        <f>IF(D12=0,0,VLOOKUP($A12,[6]HISTOAOUT25!$A$6:$BB$47,12,0))</f>
        <v>1</v>
      </c>
      <c r="C12" s="1" t="str">
        <f>VLOOKUP(A12,[7]LISTADHERENT!A$5:H$60,3,0)</f>
        <v>NANKAM APPOLINAIRE</v>
      </c>
      <c r="D12" s="7">
        <f>IF(E12="ECHEC",0,VLOOKUP($A12,[6]HISTOAOUT25!$A$6:$AR$47,13,0))</f>
        <v>75000</v>
      </c>
      <c r="E12" s="7" t="str">
        <f>VLOOKUP($A12,[6]HISTOAOUT25!$A$6:$AV$47,9,0)</f>
        <v>BANQUE</v>
      </c>
      <c r="F12" s="7">
        <f>VLOOKUP($A12,[6]HISTOAOUT25!$A$6:$AV$47,36,0)</f>
        <v>0</v>
      </c>
      <c r="G12" s="7">
        <f>VLOOKUP($A12,[6]HISTOAOUT25!$A$6:$AV$47,39,0)</f>
        <v>0</v>
      </c>
      <c r="H12" s="7" t="str">
        <f>IF(G12=0,"",VLOOKUP($A12,[6]HISTOFEV25!$A$6:$AV$47,42,0))</f>
        <v/>
      </c>
      <c r="I12" s="7">
        <f>VLOOKUP($A12,[6]HISTOAOUT25!$A$6:$AV$47,41,0)</f>
        <v>0</v>
      </c>
      <c r="J12" s="7">
        <f>+TONTJUIL25!F12+TONTJUIL25!G12</f>
        <v>0</v>
      </c>
      <c r="K12" s="7">
        <f>VLOOKUP($A12,[6]HISTOAOUT25!$A$6:$AV$47,17,0)</f>
        <v>0</v>
      </c>
      <c r="L12" s="7" t="str">
        <f>IF(K12&lt;&gt;0,VLOOKUP($A12,[6]HISTOAOUT25!$A$6:$BB$47,42,0),"ECHEC")</f>
        <v>ECHEC</v>
      </c>
      <c r="M12" s="7">
        <f>IF(P12=0,0,VLOOKUP($A12,[6]HISTOAOUT25!$A$6:$AV$47,32,0))</f>
        <v>0</v>
      </c>
      <c r="N12" s="7">
        <f>VLOOKUP($A12,[6]HISTOAOUT25!$A$6:$AV$47,33,0)</f>
        <v>0</v>
      </c>
      <c r="O12" s="7">
        <f t="shared" si="0"/>
        <v>0</v>
      </c>
      <c r="P12" s="7">
        <f>VLOOKUP($A12,[6]HISTOAOUT25!$A$6:$AV$47,30,0)</f>
        <v>0</v>
      </c>
    </row>
    <row r="13" spans="1:16" x14ac:dyDescent="0.35">
      <c r="A13" s="1" t="s">
        <v>35</v>
      </c>
      <c r="B13" s="7">
        <f>IF(D13=0,0,VLOOKUP($A13,[6]HISTOAOUT25!$A$6:$BB$47,12,0))</f>
        <v>1</v>
      </c>
      <c r="C13" s="1" t="str">
        <f>VLOOKUP(A13,[7]LISTADHERENT!A$5:H$60,3,0)</f>
        <v>NGONDIEP CLAUDE</v>
      </c>
      <c r="D13" s="7">
        <f>IF(E13="ECHEC",0,VLOOKUP($A13,[6]HISTOAOUT25!$A$6:$AR$47,13,0))</f>
        <v>75000</v>
      </c>
      <c r="E13" s="7" t="str">
        <f>VLOOKUP($A13,[6]HISTOAOUT25!$A$6:$AV$47,9,0)</f>
        <v>BANQUE</v>
      </c>
      <c r="F13" s="7">
        <f>VLOOKUP($A13,[6]HISTOAOUT25!$A$6:$AV$47,36,0)</f>
        <v>51500</v>
      </c>
      <c r="G13" s="7">
        <f>VLOOKUP($A13,[6]HISTOAOUT25!$A$6:$AV$47,39,0)</f>
        <v>1000</v>
      </c>
      <c r="H13" s="7">
        <f>IF(G13=0,"",VLOOKUP($A13,[6]HISTOFEV25!$A$6:$AV$47,42,0))</f>
        <v>0</v>
      </c>
      <c r="I13" s="7">
        <f>VLOOKUP($A13,[6]HISTOAOUT25!$A$6:$AV$47,41,0)</f>
        <v>0</v>
      </c>
      <c r="J13" s="7">
        <f>+TONTJUIL25!F13+TONTJUIL25!G13</f>
        <v>121500</v>
      </c>
      <c r="K13" s="7">
        <f>VLOOKUP($A13,[6]HISTOAOUT25!$A$6:$AV$47,17,0)</f>
        <v>121500</v>
      </c>
      <c r="L13" s="7" t="str">
        <f>IF(K13&lt;&gt;0,VLOOKUP($A13,[6]HISTOAOUT25!$A$6:$BB$47,42,0),"ECHEC")</f>
        <v>BANQUE</v>
      </c>
      <c r="M13" s="7">
        <f>IF(P13=0,0,VLOOKUP($A13,[6]HISTOAOUT25!$A$6:$AV$47,32,0))</f>
        <v>0</v>
      </c>
      <c r="N13" s="7">
        <f>VLOOKUP($A13,[6]HISTOAOUT25!$A$6:$AV$47,33,0)</f>
        <v>0</v>
      </c>
      <c r="O13" s="7">
        <f t="shared" si="0"/>
        <v>885000</v>
      </c>
      <c r="P13" s="7">
        <f>VLOOKUP($A13,[6]HISTOAOUT25!$A$6:$AV$47,30,0)</f>
        <v>15000</v>
      </c>
    </row>
    <row r="14" spans="1:16" x14ac:dyDescent="0.35">
      <c r="A14" s="1" t="s">
        <v>27</v>
      </c>
      <c r="B14" s="7">
        <f>IF(D14=0,0,VLOOKUP($A14,[6]HISTOAOUT25!$A$6:$BB$47,12,0))</f>
        <v>1</v>
      </c>
      <c r="C14" s="1" t="str">
        <f>VLOOKUP(A14,[7]LISTADHERENT!A$5:H$60,3,0)</f>
        <v>PATEGO NJOSSU GUSTAVE</v>
      </c>
      <c r="D14" s="7">
        <f>IF(E14="ECHEC",0,VLOOKUP($A14,[6]HISTOAOUT25!$A$6:$AR$47,13,0))</f>
        <v>75000</v>
      </c>
      <c r="E14" s="7" t="str">
        <f>VLOOKUP($A14,[6]HISTOAOUT25!$A$6:$AV$47,9,0)</f>
        <v>BANQUE</v>
      </c>
      <c r="F14" s="7">
        <f>VLOOKUP($A14,[6]HISTOAOUT25!$A$6:$AV$47,36,0)</f>
        <v>0</v>
      </c>
      <c r="G14" s="7">
        <f>VLOOKUP($A14,[6]HISTOAOUT25!$A$6:$AV$47,39,0)</f>
        <v>0</v>
      </c>
      <c r="H14" s="7" t="str">
        <f>IF(G14=0,"",VLOOKUP($A14,[6]HISTOFEV25!$A$6:$AV$47,42,0))</f>
        <v/>
      </c>
      <c r="I14" s="7">
        <f>VLOOKUP($A14,[6]HISTOAOUT25!$A$6:$AV$47,41,0)</f>
        <v>0</v>
      </c>
      <c r="J14" s="7">
        <f>+TONTJUIL25!F14+TONTJUIL25!G14</f>
        <v>0</v>
      </c>
      <c r="K14" s="7">
        <f>VLOOKUP($A14,[6]HISTOAOUT25!$A$6:$AV$47,17,0)</f>
        <v>0</v>
      </c>
      <c r="L14" s="7" t="str">
        <f>IF(K14&lt;&gt;0,VLOOKUP($A14,[6]HISTOAOUT25!$A$6:$BB$47,42,0),"ECHEC")</f>
        <v>ECHEC</v>
      </c>
      <c r="M14" s="7">
        <f>IF(P14=0,0,VLOOKUP($A14,[6]HISTOAOUT25!$A$6:$AV$47,32,0))</f>
        <v>0</v>
      </c>
      <c r="N14" s="7">
        <f>VLOOKUP($A14,[6]HISTOAOUT25!$A$6:$AV$47,33,0)</f>
        <v>0</v>
      </c>
      <c r="O14" s="7">
        <f t="shared" si="0"/>
        <v>0</v>
      </c>
      <c r="P14" s="7">
        <f>VLOOKUP($A14,[6]HISTOAOUT25!$A$6:$AV$47,30,0)</f>
        <v>0</v>
      </c>
    </row>
    <row r="15" spans="1:16" x14ac:dyDescent="0.35">
      <c r="A15" s="9" t="s">
        <v>48</v>
      </c>
      <c r="B15" s="7">
        <f>IF(D15=0,0,VLOOKUP($A15,[6]HISTOAOUT25!$A$6:$BB$47,12,0))</f>
        <v>1</v>
      </c>
      <c r="C15" s="1" t="str">
        <f>VLOOKUP(A15,[7]LISTADHERENT!A$5:H$60,3,0)</f>
        <v>TCHOUAMOU MATHIEU</v>
      </c>
      <c r="D15" s="7">
        <f>IF(E15="ECHEC",0,VLOOKUP($A15,[6]HISTOAOUT25!$A$6:$AR$47,13,0))</f>
        <v>75000</v>
      </c>
      <c r="E15" s="7" t="str">
        <f>VLOOKUP($A15,[6]HISTOAOUT25!$A$6:$AV$47,9,0)</f>
        <v>BANQUE</v>
      </c>
      <c r="F15" s="7">
        <f>VLOOKUP($A15,[6]HISTOAOUT25!$A$6:$AV$47,36,0)</f>
        <v>200000</v>
      </c>
      <c r="G15" s="7">
        <f>VLOOKUP($A15,[6]HISTOAOUT25!$A$6:$AV$47,39,0)</f>
        <v>2000</v>
      </c>
      <c r="H15" s="7">
        <f>IF(G15=0,"",VLOOKUP($A15,[6]HISTOFEV25!$A$6:$AV$47,42,0))</f>
        <v>0</v>
      </c>
      <c r="I15" s="7">
        <f>VLOOKUP($A15,[6]HISTOAOUT25!$A$6:$AV$47,41,0)</f>
        <v>0</v>
      </c>
      <c r="J15" s="7">
        <f>+TONTJUIL25!F15+TONTJUIL25!G15</f>
        <v>102000</v>
      </c>
      <c r="K15" s="7">
        <f>VLOOKUP($A15,[6]HISTOAOUT25!$A$6:$AV$47,17,0)</f>
        <v>102000</v>
      </c>
      <c r="L15" s="7" t="str">
        <f>IF(K15&lt;&gt;0,VLOOKUP($A15,[6]HISTOAOUT25!$A$6:$BB$47,42,0),"ECHEC")</f>
        <v>BANQUE</v>
      </c>
      <c r="M15" s="7">
        <f>IF(P15=0,0,VLOOKUP($A15,[6]HISTOAOUT25!$A$6:$AV$47,32,0))</f>
        <v>0</v>
      </c>
      <c r="N15" s="7">
        <f>VLOOKUP($A15,[6]HISTOAOUT25!$A$6:$AV$47,33,0)</f>
        <v>0</v>
      </c>
      <c r="O15" s="7">
        <f t="shared" si="0"/>
        <v>0</v>
      </c>
      <c r="P15" s="7">
        <f>VLOOKUP($A15,[6]HISTOAOUT25!$A$6:$AV$47,30,0)</f>
        <v>0</v>
      </c>
    </row>
    <row r="16" spans="1:16" x14ac:dyDescent="0.35">
      <c r="A16" s="23" t="s">
        <v>59</v>
      </c>
      <c r="B16" s="7">
        <f>IF(D16=0,0,VLOOKUP($A16,[6]HISTOAOUT25!$A$6:$BB$47,12,0))</f>
        <v>1</v>
      </c>
      <c r="C16" s="1" t="str">
        <f>VLOOKUP(A16,[7]LISTADHERENT!A$5:H$60,3,0)</f>
        <v>YANTCHOU GERVAIS</v>
      </c>
      <c r="D16" s="7">
        <f>IF(E16="ECHEC",0,VLOOKUP($A16,[6]HISTOAOUT25!$A$6:$AR$47,13,0))</f>
        <v>75000</v>
      </c>
      <c r="E16" s="7" t="str">
        <f>VLOOKUP($A16,[6]HISTOAOUT25!$A$6:$AV$47,9,0)</f>
        <v>BANQUE</v>
      </c>
      <c r="F16" s="7">
        <f>VLOOKUP($A16,[6]HISTOAOUT25!$A$6:$AV$47,36,0)</f>
        <v>100000</v>
      </c>
      <c r="G16" s="7">
        <f>VLOOKUP($A16,[6]HISTOAOUT25!$A$6:$AV$47,39,0)</f>
        <v>2000</v>
      </c>
      <c r="H16" s="7">
        <f>IF(G16=0,"",VLOOKUP($A16,[6]HISTOFEV25!$A$6:$AV$47,42,0))</f>
        <v>0</v>
      </c>
      <c r="I16" s="7">
        <f>VLOOKUP($A16,[6]HISTOAOUT25!$A$6:$AV$47,41,0)</f>
        <v>0</v>
      </c>
      <c r="J16" s="7">
        <f>+TONTJUIL25!F16+TONTJUIL25!G16</f>
        <v>0</v>
      </c>
      <c r="K16" s="7">
        <f>VLOOKUP($A16,[6]HISTOAOUT25!$A$6:$AV$47,17,0)</f>
        <v>0</v>
      </c>
      <c r="L16" s="7" t="str">
        <f>IF(K16&lt;&gt;0,VLOOKUP($A16,[6]HISTOAOUT25!$A$6:$BB$47,42,0),"ECHEC")</f>
        <v>ECHEC</v>
      </c>
      <c r="M16" s="7">
        <f>IF(P16=0,0,VLOOKUP($A16,[6]HISTOAOUT25!$A$6:$AV$47,32,0))</f>
        <v>0</v>
      </c>
      <c r="N16" s="7">
        <f>VLOOKUP($A16,[6]HISTOAOUT25!$A$6:$AV$47,33,0)</f>
        <v>0</v>
      </c>
      <c r="O16" s="7">
        <f t="shared" si="0"/>
        <v>0</v>
      </c>
      <c r="P16" s="7">
        <f>VLOOKUP($A16,[6]HISTOAOUT25!$A$6:$AV$47,30,0)</f>
        <v>0</v>
      </c>
    </row>
    <row r="17" spans="1:16" x14ac:dyDescent="0.35">
      <c r="A17" s="1" t="s">
        <v>19</v>
      </c>
      <c r="B17" s="7">
        <f>IF(D17=0,0,VLOOKUP($A17,[6]HISTOAOUT25!$A$6:$BB$47,12,0))</f>
        <v>1</v>
      </c>
      <c r="C17" s="1" t="str">
        <f>VLOOKUP(A17,[7]LISTADHERENT!A$5:H$60,3,0)</f>
        <v>YOUMBI EMMANUEL</v>
      </c>
      <c r="D17" s="7">
        <f>IF(E17="ECHEC",0,VLOOKUP($A17,[6]HISTOAOUT25!$A$6:$AR$47,13,0))</f>
        <v>75000</v>
      </c>
      <c r="E17" s="7" t="str">
        <f>VLOOKUP($A17,[6]HISTOAOUT25!$A$6:$AV$47,9,0)</f>
        <v>BANQUE</v>
      </c>
      <c r="F17" s="7">
        <f>VLOOKUP($A17,[6]HISTOAOUT25!$A$6:$AV$47,36,0)</f>
        <v>0</v>
      </c>
      <c r="G17" s="7">
        <f>VLOOKUP($A17,[6]HISTOAOUT25!$A$6:$AV$47,39,0)</f>
        <v>0</v>
      </c>
      <c r="H17" s="7" t="str">
        <f>IF(G17=0,"",VLOOKUP($A17,[6]HISTOFEV25!$A$6:$AV$47,42,0))</f>
        <v/>
      </c>
      <c r="I17" s="7">
        <f>VLOOKUP($A17,[6]HISTOAOUT25!$A$6:$AV$47,41,0)</f>
        <v>0</v>
      </c>
      <c r="J17" s="7">
        <f>+TONTJUIL25!F17+TONTJUIL25!G17</f>
        <v>0</v>
      </c>
      <c r="K17" s="7">
        <f>VLOOKUP($A17,[6]HISTOAOUT25!$A$6:$AV$47,17,0)</f>
        <v>0</v>
      </c>
      <c r="L17" s="7" t="str">
        <f>IF(K17&lt;&gt;0,VLOOKUP($A17,[6]HISTOAOUT25!$A$6:$BB$47,42,0),"ECHEC")</f>
        <v>ECHEC</v>
      </c>
      <c r="M17" s="7">
        <f>IF(P17=0,0,VLOOKUP($A17,[6]HISTOAOUT25!$A$6:$AV$47,32,0))</f>
        <v>0</v>
      </c>
      <c r="N17" s="7">
        <f>VLOOKUP($A17,[6]HISTOAOUT25!$A$6:$AV$47,33,0)</f>
        <v>0</v>
      </c>
      <c r="O17" s="7">
        <f t="shared" si="0"/>
        <v>0</v>
      </c>
      <c r="P17" s="7">
        <f>VLOOKUP($A17,[6]HISTOAOUT25!$A$6:$AV$47,30,0)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751500</v>
      </c>
      <c r="G20" s="8">
        <f t="shared" si="1"/>
        <v>10000</v>
      </c>
      <c r="H20" s="8">
        <f t="shared" si="1"/>
        <v>0</v>
      </c>
      <c r="I20" s="8">
        <f t="shared" si="1"/>
        <v>0</v>
      </c>
      <c r="J20" s="8">
        <f t="shared" si="1"/>
        <v>376500</v>
      </c>
      <c r="K20" s="8">
        <f t="shared" si="1"/>
        <v>376500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885000</v>
      </c>
      <c r="P20" s="8">
        <f t="shared" si="1"/>
        <v>15000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1167000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274500</v>
      </c>
      <c r="F24" s="8">
        <f>SUMIFS(F7:F19,H7:H19,"BANQUE")</f>
        <v>400000</v>
      </c>
      <c r="G24" s="8">
        <f>SUMIFS(O7:O19,M7:M19,"BANQUE")</f>
        <v>0</v>
      </c>
      <c r="H24" s="8">
        <f>D24+E24-F24-G24</f>
        <v>849500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267000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274500</v>
      </c>
      <c r="F26" s="8">
        <f>F23+F24</f>
        <v>400000</v>
      </c>
      <c r="G26" s="8">
        <f t="shared" ref="G26:H26" si="2">G23+G24</f>
        <v>0</v>
      </c>
      <c r="H26" s="8">
        <f t="shared" si="2"/>
        <v>849500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-484500</v>
      </c>
      <c r="L27"/>
      <c r="M27" s="8">
        <f>K27</f>
        <v>-484500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102000</v>
      </c>
      <c r="M30" s="8">
        <f>+K30+TONTFEV25!M30</f>
        <v>102000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6F3-1765-4500-9D45-3AF3B943CB04}">
  <dimension ref="A1:P30"/>
  <sheetViews>
    <sheetView zoomScale="112" zoomScaleNormal="112" workbookViewId="0">
      <pane xSplit="3" ySplit="5" topLeftCell="D15" activePane="bottomRight" state="frozen"/>
      <selection activeCell="J11" sqref="J11"/>
      <selection pane="topRight" activeCell="J11" sqref="J11"/>
      <selection pane="bottomLeft" activeCell="J11" sqref="J11"/>
      <selection pane="bottomRight" activeCell="J9" sqref="J9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45913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IF(D6=0,0,VLOOKUP($A6,[6]HISTOSEPT25!$A$6:$BB$47,12,0))</f>
        <v>2</v>
      </c>
      <c r="C6" s="1" t="str">
        <f>VLOOKUP(A6,[7]LISTADHERENT!A$5:H$60,3,0)</f>
        <v>ASELBY</v>
      </c>
      <c r="D6" s="7">
        <f>IF(E6="ECHEC",0,VLOOKUP($A6,[6]HISTOSEPT25!$A$6:$AR$47,13,0))</f>
        <v>150000</v>
      </c>
      <c r="E6" s="7" t="str">
        <f>VLOOKUP($A6,[6]HISTOSEPT25!$A$6:$AV$47,9,0)</f>
        <v>BANQUE</v>
      </c>
      <c r="F6" s="7">
        <f>VLOOKUP($A6,[6]HISTOSEPT25!$A$6:$AV$47,36,0)</f>
        <v>0</v>
      </c>
      <c r="G6" s="7">
        <f>VLOOKUP($A6,[6]HISTOSEPT25!$A$6:$AV$47,39,0)</f>
        <v>0</v>
      </c>
      <c r="H6" s="7" t="str">
        <f>IF(G6=0,"",VLOOKUP($A6,[6]HISTOFEV25!$A$6:$AV$47,42,0))</f>
        <v/>
      </c>
      <c r="I6" s="7">
        <f>VLOOKUP($A6,[6]HISTOSEPT25!$A$6:$AV$47,41,0)</f>
        <v>0</v>
      </c>
      <c r="J6" s="7">
        <f>+TONTAOUT25!F6+TONTAOUT25!G6</f>
        <v>0</v>
      </c>
      <c r="K6" s="7">
        <f>VLOOKUP($A6,[6]HISTOSEPT25!$A$6:$AV$47,17,0)</f>
        <v>0</v>
      </c>
      <c r="L6" s="7" t="str">
        <f>IF(K6&lt;&gt;0,VLOOKUP($A6,[6]HISTOSEPT25!$A$6:$BB$47,42,0),"ECHEC")</f>
        <v>ECHEC</v>
      </c>
      <c r="M6" s="7">
        <f>IF(P6=0,0,VLOOKUP($A6,[6]HISTOSEPT25!$A$6:$AV$47,32,0))</f>
        <v>0</v>
      </c>
      <c r="N6" s="7">
        <f>VLOOKUP($A6,[6]HISTOSEPT25!$A$6:$AV$47,33,0)</f>
        <v>0</v>
      </c>
      <c r="O6" s="7">
        <f t="shared" ref="O6:O17" si="0">IF(P6=0,0,($C$3-P6))</f>
        <v>0</v>
      </c>
      <c r="P6" s="7">
        <f>VLOOKUP($A6,[6]HISTOSEPT25!$A$6:$AV$47,30,0)</f>
        <v>0</v>
      </c>
    </row>
    <row r="7" spans="1:16" x14ac:dyDescent="0.35">
      <c r="A7" s="1" t="s">
        <v>24</v>
      </c>
      <c r="B7" s="7">
        <f>IF(D7=0,0,VLOOKUP($A7,[6]HISTOSEPT25!$A$6:$BB$47,12,0))</f>
        <v>1</v>
      </c>
      <c r="C7" s="1" t="str">
        <f>VLOOKUP(A7,[7]LISTADHERENT!A$5:H$60,3,0)</f>
        <v>BOUTCHOUANG WILLIAM</v>
      </c>
      <c r="D7" s="7">
        <f>IF(E7="ECHEC",0,VLOOKUP($A7,[6]HISTOSEPT25!$A$6:$AR$47,13,0))</f>
        <v>75000</v>
      </c>
      <c r="E7" s="7" t="str">
        <f>VLOOKUP($A7,[6]HISTOSEPT25!$A$6:$AV$47,9,0)</f>
        <v>BANQUE</v>
      </c>
      <c r="F7" s="7">
        <f>VLOOKUP($A7,[6]HISTOSEPT25!$A$6:$AV$47,36,0)</f>
        <v>100000</v>
      </c>
      <c r="G7" s="7">
        <f>VLOOKUP($A7,[6]HISTOSEPT25!$A$6:$AV$47,39,0)</f>
        <v>1000</v>
      </c>
      <c r="H7" s="7" t="str">
        <f>IF(G7=0,"",VLOOKUP($A7,[6]HISTOFEV25!$A$6:$AV$47,42,0))</f>
        <v>BANQUE</v>
      </c>
      <c r="I7" s="7">
        <f>VLOOKUP($A7,[6]HISTOSEPT25!$A$6:$AV$47,41,0)</f>
        <v>0</v>
      </c>
      <c r="J7" s="7">
        <f>+TONTAOUT25!F7+TONTAOUT25!G7</f>
        <v>0</v>
      </c>
      <c r="K7" s="7">
        <f>VLOOKUP($A7,[6]HISTOSEPT25!$A$6:$AV$47,17,0)</f>
        <v>0</v>
      </c>
      <c r="L7" s="7" t="str">
        <f>IF(K7&lt;&gt;0,VLOOKUP($A7,[6]HISTOSEPT25!$A$6:$BB$47,42,0),"ECHEC")</f>
        <v>ECHEC</v>
      </c>
      <c r="M7" s="7">
        <f>IF(P7=0,0,VLOOKUP($A7,[6]HISTOSEPT25!$A$6:$AV$47,32,0))</f>
        <v>0</v>
      </c>
      <c r="N7" s="7">
        <f>VLOOKUP($A7,[6]HISTOSEPT25!$A$6:$AV$47,33,0)</f>
        <v>0</v>
      </c>
      <c r="O7" s="7">
        <f t="shared" si="0"/>
        <v>0</v>
      </c>
      <c r="P7" s="7">
        <f>VLOOKUP($A7,[6]HISTOSEPT25!$A$6:$AV$47,30,0)</f>
        <v>0</v>
      </c>
    </row>
    <row r="8" spans="1:16" x14ac:dyDescent="0.35">
      <c r="A8" s="1" t="s">
        <v>18</v>
      </c>
      <c r="B8" s="7">
        <f>IF(D8=0,0,VLOOKUP($A8,[6]HISTOSEPT25!$A$6:$BB$47,12,0))</f>
        <v>1</v>
      </c>
      <c r="C8" s="1" t="str">
        <f>VLOOKUP(A8,[7]LISTADHERENT!A$5:H$60,3,0)</f>
        <v>HOTCHO BENJAMIN</v>
      </c>
      <c r="D8" s="7">
        <f>IF(E8="ECHEC",0,VLOOKUP($A8,[6]HISTOSEPT25!$A$6:$AR$47,13,0))</f>
        <v>75000</v>
      </c>
      <c r="E8" s="7" t="str">
        <f>VLOOKUP($A8,[6]HISTOSEPT25!$A$6:$AV$47,9,0)</f>
        <v>BANQUE</v>
      </c>
      <c r="F8" s="7">
        <f>VLOOKUP($A8,[6]HISTOSEPT25!$A$6:$AV$47,36,0)</f>
        <v>100000</v>
      </c>
      <c r="G8" s="7">
        <f>VLOOKUP($A8,[6]HISTOSEPT25!$A$6:$AV$47,39,0)</f>
        <v>1500</v>
      </c>
      <c r="H8" s="7">
        <f>IF(G8=0,"",VLOOKUP($A8,[6]HISTOFEV25!$A$6:$AV$47,42,0))</f>
        <v>0</v>
      </c>
      <c r="I8" s="7">
        <f>VLOOKUP($A8,[6]HISTOSEPT25!$A$6:$AV$47,41,0)</f>
        <v>0</v>
      </c>
      <c r="J8" s="7">
        <f>+TONTAOUT25!F8+TONTAOUT25!G8</f>
        <v>0</v>
      </c>
      <c r="K8" s="7">
        <f>VLOOKUP($A8,[6]HISTOSEPT25!$A$6:$AV$47,17,0)</f>
        <v>0</v>
      </c>
      <c r="L8" s="7" t="str">
        <f>IF(K8&lt;&gt;0,VLOOKUP($A8,[6]HISTOSEPT25!$A$6:$BB$47,42,0),"ECHEC")</f>
        <v>ECHEC</v>
      </c>
      <c r="M8" s="7">
        <f>IF(P8=0,0,VLOOKUP($A8,[6]HISTOSEPT25!$A$6:$AV$47,32,0))</f>
        <v>0</v>
      </c>
      <c r="N8" s="7">
        <f>VLOOKUP($A8,[6]HISTOSEPT25!$A$6:$AV$47,33,0)</f>
        <v>0</v>
      </c>
      <c r="O8" s="7">
        <f t="shared" si="0"/>
        <v>0</v>
      </c>
      <c r="P8" s="7">
        <f>VLOOKUP($A8,[6]HISTOSEPT25!$A$6:$AV$47,30,0)</f>
        <v>0</v>
      </c>
    </row>
    <row r="9" spans="1:16" x14ac:dyDescent="0.35">
      <c r="A9" s="1" t="s">
        <v>60</v>
      </c>
      <c r="B9" s="7">
        <f>IF(D9=0,0,VLOOKUP($A9,[6]HISTOSEPT25!$A$6:$BB$47,12,0))</f>
        <v>1</v>
      </c>
      <c r="C9" s="1" t="str">
        <f>VLOOKUP(A9,[7]LISTADHERENT!A$5:H$60,3,0)</f>
        <v>KOUATCHO MESSACK</v>
      </c>
      <c r="D9" s="7">
        <f>IF(E9="ECHEC",0,VLOOKUP($A9,[6]HISTOSEPT25!$A$6:$AR$47,13,0))</f>
        <v>75000</v>
      </c>
      <c r="E9" s="7" t="str">
        <f>VLOOKUP($A9,[6]HISTOSEPT25!$A$6:$AV$47,9,0)</f>
        <v>BANQUE</v>
      </c>
      <c r="F9" s="7">
        <f>VLOOKUP($A9,[6]HISTOSEPT25!$A$6:$AV$47,36,0)</f>
        <v>100000</v>
      </c>
      <c r="G9" s="7">
        <f>VLOOKUP($A9,[6]HISTOSEPT25!$A$6:$AV$47,39,0)</f>
        <v>1000</v>
      </c>
      <c r="H9" s="7" t="str">
        <f>IF(G9=0,"",VLOOKUP($A9,[6]HISTOFEV25!$A$6:$AV$47,42,0))</f>
        <v>BANQUE</v>
      </c>
      <c r="I9" s="7">
        <f>VLOOKUP($A9,[6]HISTOSEPT25!$A$6:$AV$47,41,0)</f>
        <v>0</v>
      </c>
      <c r="J9" s="7">
        <f>+TONTAOUT25!F9+TONTAOUT25!G9</f>
        <v>203000</v>
      </c>
      <c r="K9" s="7">
        <f>VLOOKUP($A9,[6]HISTOSEPT25!$A$6:$AV$47,17,0)</f>
        <v>203000</v>
      </c>
      <c r="L9" s="7" t="str">
        <f>IF(K9&lt;&gt;0,VLOOKUP($A9,[6]HISTOSEPT25!$A$6:$BB$47,42,0),"ECHEC")</f>
        <v>BANQUE</v>
      </c>
      <c r="M9" s="7">
        <f>IF(P9=0,0,VLOOKUP($A9,[6]HISTOSEPT25!$A$6:$AV$47,32,0))</f>
        <v>0</v>
      </c>
      <c r="N9" s="7">
        <f>VLOOKUP($A9,[6]HISTOSEPT25!$A$6:$AV$47,33,0)</f>
        <v>0</v>
      </c>
      <c r="O9" s="7">
        <f t="shared" si="0"/>
        <v>0</v>
      </c>
      <c r="P9" s="7">
        <f>VLOOKUP($A9,[6]HISTOSEPT25!$A$6:$AV$47,30,0)</f>
        <v>0</v>
      </c>
    </row>
    <row r="10" spans="1:16" x14ac:dyDescent="0.35">
      <c r="A10" s="1" t="s">
        <v>26</v>
      </c>
      <c r="B10" s="7">
        <f>IF(D10=0,0,VLOOKUP($A10,[6]HISTOSEPT25!$A$6:$BB$47,12,0))</f>
        <v>1</v>
      </c>
      <c r="C10" s="1" t="str">
        <f>VLOOKUP(A10,[7]LISTADHERENT!A$5:H$60,3,0)</f>
        <v>HENGUE PAUL OMER</v>
      </c>
      <c r="D10" s="7">
        <f>IF(E10="ECHEC",0,VLOOKUP($A10,[6]HISTOSEPT25!$A$6:$AR$47,13,0))</f>
        <v>75000</v>
      </c>
      <c r="E10" s="7" t="str">
        <f>VLOOKUP($A10,[6]HISTOSEPT25!$A$6:$AV$47,9,0)</f>
        <v>BANQUE</v>
      </c>
      <c r="F10" s="7">
        <f>VLOOKUP($A10,[6]HISTOSEPT25!$A$6:$AV$47,36,0)</f>
        <v>0</v>
      </c>
      <c r="G10" s="7">
        <f>VLOOKUP($A10,[6]HISTOSEPT25!$A$6:$AV$47,39,0)</f>
        <v>0</v>
      </c>
      <c r="H10" s="7" t="str">
        <f>IF(G10=0,"",VLOOKUP($A10,[6]HISTOFEV25!$A$6:$AV$47,42,0))</f>
        <v/>
      </c>
      <c r="I10" s="7">
        <f>VLOOKUP($A10,[6]HISTOSEPT25!$A$6:$AV$47,41,0)</f>
        <v>0</v>
      </c>
      <c r="J10" s="7">
        <f>+TONTAOUT25!F10+TONTAOUT25!G10</f>
        <v>0</v>
      </c>
      <c r="K10" s="7">
        <f>VLOOKUP($A10,[6]HISTOSEPT25!$A$6:$AV$47,17,0)</f>
        <v>0</v>
      </c>
      <c r="L10" s="7" t="str">
        <f>IF(K10&lt;&gt;0,VLOOKUP($A10,[6]HISTOSEPT25!$A$6:$BB$47,42,0),"ECHEC")</f>
        <v>ECHEC</v>
      </c>
      <c r="M10" s="7" t="str">
        <f>IF(P10=0,0,VLOOKUP($A10,[6]HISTOSEPT25!$A$6:$AV$47,32,0))</f>
        <v>BANQUE</v>
      </c>
      <c r="N10" s="7">
        <f>VLOOKUP($A10,[6]HISTOSEPT25!$A$6:$AV$47,33,0)</f>
        <v>0</v>
      </c>
      <c r="O10" s="7">
        <f t="shared" si="0"/>
        <v>891500</v>
      </c>
      <c r="P10" s="7">
        <f>VLOOKUP($A10,[6]HISTOSEPT25!$A$6:$AV$47,30,0)</f>
        <v>8500</v>
      </c>
    </row>
    <row r="11" spans="1:16" x14ac:dyDescent="0.35">
      <c r="A11" s="1" t="s">
        <v>21</v>
      </c>
      <c r="B11" s="7">
        <f>IF(D11=0,0,VLOOKUP($A11,[6]HISTOSEPT25!$A$6:$BB$47,12,0))</f>
        <v>1</v>
      </c>
      <c r="C11" s="1" t="str">
        <f>VLOOKUP(A11,[7]LISTADHERENT!A$5:H$60,3,0)</f>
        <v>MBOGNING TUGMA GUY</v>
      </c>
      <c r="D11" s="7">
        <f>IF(E11="ECHEC",0,VLOOKUP($A11,[6]HISTOSEPT25!$A$6:$AR$47,13,0))</f>
        <v>75000</v>
      </c>
      <c r="E11" s="7" t="str">
        <f>VLOOKUP($A11,[6]HISTOSEPT25!$A$6:$AV$47,9,0)</f>
        <v>BANQUE</v>
      </c>
      <c r="F11" s="7">
        <f>VLOOKUP($A11,[6]HISTOSEPT25!$A$6:$AV$47,36,0)</f>
        <v>200000</v>
      </c>
      <c r="G11" s="7">
        <f>VLOOKUP($A11,[6]HISTOSEPT25!$A$6:$AV$47,39,0)</f>
        <v>2000</v>
      </c>
      <c r="H11" s="7" t="str">
        <f>IF(G11=0,"",VLOOKUP($A11,[6]HISTOFEV25!$A$6:$AV$47,42,0))</f>
        <v>BANQUE</v>
      </c>
      <c r="I11" s="7">
        <f>VLOOKUP($A11,[6]HISTOSEPT25!$A$6:$AV$47,41,0)</f>
        <v>0</v>
      </c>
      <c r="J11" s="7">
        <f>+TONTAOUT25!F11+TONTAOUT25!G11</f>
        <v>202000</v>
      </c>
      <c r="K11" s="7">
        <f>VLOOKUP($A11,[6]HISTOSEPT25!$A$6:$AV$47,17,0)</f>
        <v>202000</v>
      </c>
      <c r="L11" s="7" t="str">
        <f>IF(K11&lt;&gt;0,VLOOKUP($A11,[6]HISTOSEPT25!$A$6:$BB$47,42,0),"ECHEC")</f>
        <v>BANQUE</v>
      </c>
      <c r="M11" s="7">
        <f>IF(P11=0,0,VLOOKUP($A11,[6]HISTOSEPT25!$A$6:$AV$47,32,0))</f>
        <v>0</v>
      </c>
      <c r="N11" s="7">
        <f>VLOOKUP($A11,[6]HISTOSEPT25!$A$6:$AV$47,33,0)</f>
        <v>0</v>
      </c>
      <c r="O11" s="7">
        <f t="shared" si="0"/>
        <v>0</v>
      </c>
      <c r="P11" s="7">
        <f>VLOOKUP($A11,[6]HISTOSEPT25!$A$6:$AV$47,30,0)</f>
        <v>0</v>
      </c>
    </row>
    <row r="12" spans="1:16" x14ac:dyDescent="0.35">
      <c r="A12" s="1" t="s">
        <v>8</v>
      </c>
      <c r="B12" s="7">
        <f>IF(D12=0,0,VLOOKUP($A12,[6]HISTOSEPT25!$A$6:$BB$47,12,0))</f>
        <v>1</v>
      </c>
      <c r="C12" s="1" t="str">
        <f>VLOOKUP(A12,[7]LISTADHERENT!A$5:H$60,3,0)</f>
        <v>NANKAM APPOLINAIRE</v>
      </c>
      <c r="D12" s="7">
        <f>IF(E12="ECHEC",0,VLOOKUP($A12,[6]HISTOSEPT25!$A$6:$AR$47,13,0))</f>
        <v>75000</v>
      </c>
      <c r="E12" s="7" t="str">
        <f>VLOOKUP($A12,[6]HISTOSEPT25!$A$6:$AV$47,9,0)</f>
        <v>BANQUE</v>
      </c>
      <c r="F12" s="7">
        <f>VLOOKUP($A12,[6]HISTOSEPT25!$A$6:$AV$47,36,0)</f>
        <v>0</v>
      </c>
      <c r="G12" s="7">
        <f>VLOOKUP($A12,[6]HISTOSEPT25!$A$6:$AV$47,39,0)</f>
        <v>0</v>
      </c>
      <c r="H12" s="7" t="str">
        <f>IF(G12=0,"",VLOOKUP($A12,[6]HISTOFEV25!$A$6:$AV$47,42,0))</f>
        <v/>
      </c>
      <c r="I12" s="7">
        <f>VLOOKUP($A12,[6]HISTOSEPT25!$A$6:$AV$47,41,0)</f>
        <v>0</v>
      </c>
      <c r="J12" s="7">
        <f>+TONTAOUT25!F12+TONTAOUT25!G12</f>
        <v>0</v>
      </c>
      <c r="K12" s="7">
        <f>VLOOKUP($A12,[6]HISTOSEPT25!$A$6:$AV$47,17,0)</f>
        <v>0</v>
      </c>
      <c r="L12" s="7" t="str">
        <f>IF(K12&lt;&gt;0,VLOOKUP($A12,[6]HISTOSEPT25!$A$6:$BB$47,42,0),"ECHEC")</f>
        <v>ECHEC</v>
      </c>
      <c r="M12" s="7">
        <f>IF(P12=0,0,VLOOKUP($A12,[6]HISTOSEPT25!$A$6:$AV$47,32,0))</f>
        <v>0</v>
      </c>
      <c r="N12" s="7">
        <f>VLOOKUP($A12,[6]HISTOSEPT25!$A$6:$AV$47,33,0)</f>
        <v>0</v>
      </c>
      <c r="O12" s="7">
        <f t="shared" si="0"/>
        <v>0</v>
      </c>
      <c r="P12" s="7">
        <f>VLOOKUP($A12,[6]HISTOSEPT25!$A$6:$AV$47,30,0)</f>
        <v>0</v>
      </c>
    </row>
    <row r="13" spans="1:16" x14ac:dyDescent="0.35">
      <c r="A13" s="1" t="s">
        <v>35</v>
      </c>
      <c r="B13" s="7">
        <f>IF(D13=0,0,VLOOKUP($A13,[6]HISTOSEPT25!$A$6:$BB$47,12,0))</f>
        <v>1</v>
      </c>
      <c r="C13" s="1" t="str">
        <f>VLOOKUP(A13,[7]LISTADHERENT!A$5:H$60,3,0)</f>
        <v>NGONDIEP CLAUDE</v>
      </c>
      <c r="D13" s="7">
        <f>IF(E13="ECHEC",0,VLOOKUP($A13,[6]HISTOSEPT25!$A$6:$AR$47,13,0))</f>
        <v>75000</v>
      </c>
      <c r="E13" s="7" t="str">
        <f>VLOOKUP($A13,[6]HISTOSEPT25!$A$6:$AV$47,9,0)</f>
        <v>BANQUE</v>
      </c>
      <c r="F13" s="7">
        <f>VLOOKUP($A13,[6]HISTOSEPT25!$A$6:$AV$47,36,0)</f>
        <v>100000</v>
      </c>
      <c r="G13" s="7">
        <f>VLOOKUP($A13,[6]HISTOSEPT25!$A$6:$AV$47,39,0)</f>
        <v>1000</v>
      </c>
      <c r="H13" s="7">
        <f>IF(G13=0,"",VLOOKUP($A13,[6]HISTOFEV25!$A$6:$AV$47,42,0))</f>
        <v>0</v>
      </c>
      <c r="I13" s="7">
        <f>VLOOKUP($A13,[6]HISTOSEPT25!$A$6:$AV$47,41,0)</f>
        <v>0</v>
      </c>
      <c r="J13" s="7">
        <f>+TONTAOUT25!F13+TONTAOUT25!G13</f>
        <v>52500</v>
      </c>
      <c r="K13" s="7">
        <f>VLOOKUP($A13,[6]HISTOSEPT25!$A$6:$AV$47,17,0)</f>
        <v>52500</v>
      </c>
      <c r="L13" s="7" t="str">
        <f>IF(K13&lt;&gt;0,VLOOKUP($A13,[6]HISTOSEPT25!$A$6:$BB$47,42,0),"ECHEC")</f>
        <v>BANQUE</v>
      </c>
      <c r="M13" s="7">
        <f>IF(P13=0,0,VLOOKUP($A13,[6]HISTOSEPT25!$A$6:$AV$47,32,0))</f>
        <v>0</v>
      </c>
      <c r="N13" s="7">
        <f>VLOOKUP($A13,[6]HISTOSEPT25!$A$6:$AV$47,33,0)</f>
        <v>0</v>
      </c>
      <c r="O13" s="7">
        <f t="shared" si="0"/>
        <v>0</v>
      </c>
      <c r="P13" s="7">
        <f>VLOOKUP($A13,[6]HISTOSEPT25!$A$6:$AV$47,30,0)</f>
        <v>0</v>
      </c>
    </row>
    <row r="14" spans="1:16" x14ac:dyDescent="0.35">
      <c r="A14" s="1" t="s">
        <v>27</v>
      </c>
      <c r="B14" s="7">
        <f>IF(D14=0,0,VLOOKUP($A14,[6]HISTOSEPT25!$A$6:$BB$47,12,0))</f>
        <v>1</v>
      </c>
      <c r="C14" s="1" t="str">
        <f>VLOOKUP(A14,[7]LISTADHERENT!A$5:H$60,3,0)</f>
        <v>PATEGO NJOSSU GUSTAVE</v>
      </c>
      <c r="D14" s="7">
        <f>IF(E14="ECHEC",0,VLOOKUP($A14,[6]HISTOSEPT25!$A$6:$AR$47,13,0))</f>
        <v>75000</v>
      </c>
      <c r="E14" s="7" t="str">
        <f>VLOOKUP($A14,[6]HISTOSEPT25!$A$6:$AV$47,9,0)</f>
        <v>BANQUE</v>
      </c>
      <c r="F14" s="7">
        <f>VLOOKUP($A14,[6]HISTOSEPT25!$A$6:$AV$47,36,0)</f>
        <v>0</v>
      </c>
      <c r="G14" s="7">
        <f>VLOOKUP($A14,[6]HISTOSEPT25!$A$6:$AV$47,39,0)</f>
        <v>0</v>
      </c>
      <c r="H14" s="7" t="str">
        <f>IF(G14=0,"",VLOOKUP($A14,[6]HISTOFEV25!$A$6:$AV$47,42,0))</f>
        <v/>
      </c>
      <c r="I14" s="7">
        <f>VLOOKUP($A14,[6]HISTOSEPT25!$A$6:$AV$47,41,0)</f>
        <v>0</v>
      </c>
      <c r="J14" s="7">
        <f>+TONTAOUT25!F14+TONTAOUT25!G14</f>
        <v>0</v>
      </c>
      <c r="K14" s="7">
        <f>VLOOKUP($A14,[6]HISTOSEPT25!$A$6:$AV$47,17,0)</f>
        <v>0</v>
      </c>
      <c r="L14" s="7" t="str">
        <f>IF(K14&lt;&gt;0,VLOOKUP($A14,[6]HISTOSEPT25!$A$6:$BB$47,42,0),"ECHEC")</f>
        <v>ECHEC</v>
      </c>
      <c r="M14" s="7">
        <f>IF(P14=0,0,VLOOKUP($A14,[6]HISTOSEPT25!$A$6:$AV$47,32,0))</f>
        <v>0</v>
      </c>
      <c r="N14" s="7">
        <f>VLOOKUP($A14,[6]HISTOSEPT25!$A$6:$AV$47,33,0)</f>
        <v>0</v>
      </c>
      <c r="O14" s="7">
        <f t="shared" si="0"/>
        <v>0</v>
      </c>
      <c r="P14" s="7">
        <f>VLOOKUP($A14,[6]HISTOSEPT25!$A$6:$AV$47,30,0)</f>
        <v>0</v>
      </c>
    </row>
    <row r="15" spans="1:16" x14ac:dyDescent="0.35">
      <c r="A15" s="9" t="s">
        <v>48</v>
      </c>
      <c r="B15" s="7">
        <f>IF(D15=0,0,VLOOKUP($A15,[6]HISTOSEPT25!$A$6:$BB$47,12,0))</f>
        <v>1</v>
      </c>
      <c r="C15" s="1" t="str">
        <f>VLOOKUP(A15,[7]LISTADHERENT!A$5:H$60,3,0)</f>
        <v>TCHOUAMOU MATHIEU</v>
      </c>
      <c r="D15" s="7">
        <f>IF(E15="ECHEC",0,VLOOKUP($A15,[6]HISTOSEPT25!$A$6:$AR$47,13,0))</f>
        <v>75000</v>
      </c>
      <c r="E15" s="7" t="str">
        <f>VLOOKUP($A15,[6]HISTOSEPT25!$A$6:$AV$47,9,0)</f>
        <v>BANQUE</v>
      </c>
      <c r="F15" s="7">
        <f>VLOOKUP($A15,[6]HISTOSEPT25!$A$6:$AV$47,36,0)</f>
        <v>200000</v>
      </c>
      <c r="G15" s="7">
        <f>VLOOKUP($A15,[6]HISTOSEPT25!$A$6:$AV$47,39,0)</f>
        <v>2500</v>
      </c>
      <c r="H15" s="7">
        <f>IF(G15=0,"",VLOOKUP($A15,[6]HISTOFEV25!$A$6:$AV$47,42,0))</f>
        <v>0</v>
      </c>
      <c r="I15" s="7">
        <f>VLOOKUP($A15,[6]HISTOSEPT25!$A$6:$AV$47,41,0)</f>
        <v>0</v>
      </c>
      <c r="J15" s="7">
        <f>+TONTAOUT25!F15+TONTAOUT25!G15</f>
        <v>202000</v>
      </c>
      <c r="K15" s="7">
        <f>VLOOKUP($A15,[6]HISTOSEPT25!$A$6:$AV$47,17,0)</f>
        <v>202000</v>
      </c>
      <c r="L15" s="7" t="str">
        <f>IF(K15&lt;&gt;0,VLOOKUP($A15,[6]HISTOSEPT25!$A$6:$BB$47,42,0),"ECHEC")</f>
        <v>BANQUE</v>
      </c>
      <c r="M15" s="7">
        <f>IF(P15=0,0,VLOOKUP($A15,[6]HISTOSEPT25!$A$6:$AV$47,32,0))</f>
        <v>0</v>
      </c>
      <c r="N15" s="7">
        <f>VLOOKUP($A15,[6]HISTOSEPT25!$A$6:$AV$47,33,0)</f>
        <v>0</v>
      </c>
      <c r="O15" s="7">
        <f t="shared" si="0"/>
        <v>0</v>
      </c>
      <c r="P15" s="7">
        <f>VLOOKUP($A15,[6]HISTOSEPT25!$A$6:$AV$47,30,0)</f>
        <v>0</v>
      </c>
    </row>
    <row r="16" spans="1:16" x14ac:dyDescent="0.35">
      <c r="A16" s="23" t="s">
        <v>59</v>
      </c>
      <c r="B16" s="7">
        <f>IF(D16=0,0,VLOOKUP($A16,[6]HISTOSEPT25!$A$6:$BB$47,12,0))</f>
        <v>1</v>
      </c>
      <c r="C16" s="1" t="str">
        <f>VLOOKUP(A16,[7]LISTADHERENT!A$5:H$60,3,0)</f>
        <v>YANTCHOU GERVAIS</v>
      </c>
      <c r="D16" s="7">
        <f>IF(E16="ECHEC",0,VLOOKUP($A16,[6]HISTOSEPT25!$A$6:$AR$47,13,0))</f>
        <v>75000</v>
      </c>
      <c r="E16" s="7" t="str">
        <f>VLOOKUP($A16,[6]HISTOSEPT25!$A$6:$AV$47,9,0)</f>
        <v>BANQUE</v>
      </c>
      <c r="F16" s="7">
        <f>VLOOKUP($A16,[6]HISTOSEPT25!$A$6:$AV$47,36,0)</f>
        <v>0</v>
      </c>
      <c r="G16" s="7">
        <f>VLOOKUP($A16,[6]HISTOSEPT25!$A$6:$AV$47,39,0)</f>
        <v>0</v>
      </c>
      <c r="H16" s="7" t="str">
        <f>IF(G16=0,"",VLOOKUP($A16,[6]HISTOFEV25!$A$6:$AV$47,42,0))</f>
        <v/>
      </c>
      <c r="I16" s="7">
        <f>VLOOKUP($A16,[6]HISTOSEPT25!$A$6:$AV$47,41,0)</f>
        <v>0</v>
      </c>
      <c r="J16" s="7">
        <f>+TONTAOUT25!F16+TONTAOUT25!G16</f>
        <v>102000</v>
      </c>
      <c r="K16" s="7">
        <f>VLOOKUP($A16,[6]HISTOSEPT25!$A$6:$AV$47,17,0)</f>
        <v>102000</v>
      </c>
      <c r="L16" s="7" t="str">
        <f>IF(K16&lt;&gt;0,VLOOKUP($A16,[6]HISTOSEPT25!$A$6:$BB$47,42,0),"ECHEC")</f>
        <v>BANQUE</v>
      </c>
      <c r="M16" s="7">
        <f>IF(P16=0,0,VLOOKUP($A16,[6]HISTOSEPT25!$A$6:$AV$47,32,0))</f>
        <v>0</v>
      </c>
      <c r="N16" s="7">
        <f>VLOOKUP($A16,[6]HISTOSEPT25!$A$6:$AV$47,33,0)</f>
        <v>0</v>
      </c>
      <c r="O16" s="7">
        <f t="shared" si="0"/>
        <v>0</v>
      </c>
      <c r="P16" s="7">
        <f>VLOOKUP($A16,[6]HISTOSEPT25!$A$6:$AV$47,30,0)</f>
        <v>0</v>
      </c>
    </row>
    <row r="17" spans="1:16" x14ac:dyDescent="0.35">
      <c r="A17" s="1" t="s">
        <v>19</v>
      </c>
      <c r="B17" s="7">
        <f>IF(D17=0,0,VLOOKUP($A17,[6]HISTOSEPT25!$A$6:$BB$47,12,0))</f>
        <v>1</v>
      </c>
      <c r="C17" s="1" t="str">
        <f>VLOOKUP(A17,[7]LISTADHERENT!A$5:H$60,3,0)</f>
        <v>YOUMBI EMMANUEL</v>
      </c>
      <c r="D17" s="7">
        <f>IF(E17="ECHEC",0,VLOOKUP($A17,[6]HISTOSEPT25!$A$6:$AR$47,13,0))</f>
        <v>75000</v>
      </c>
      <c r="E17" s="7" t="str">
        <f>VLOOKUP($A17,[6]HISTOSEPT25!$A$6:$AV$47,9,0)</f>
        <v>BANQUE</v>
      </c>
      <c r="F17" s="7">
        <f>VLOOKUP($A17,[6]HISTOSEPT25!$A$6:$AV$47,36,0)</f>
        <v>0</v>
      </c>
      <c r="G17" s="7">
        <f>VLOOKUP($A17,[6]HISTOSEPT25!$A$6:$AV$47,39,0)</f>
        <v>0</v>
      </c>
      <c r="H17" s="7" t="str">
        <f>IF(G17=0,"",VLOOKUP($A17,[6]HISTOFEV25!$A$6:$AV$47,42,0))</f>
        <v/>
      </c>
      <c r="I17" s="7">
        <f>VLOOKUP($A17,[6]HISTOSEPT25!$A$6:$AV$47,41,0)</f>
        <v>0</v>
      </c>
      <c r="J17" s="7">
        <f>+TONTAOUT25!F17+TONTAOUT25!G17</f>
        <v>0</v>
      </c>
      <c r="K17" s="7">
        <f>VLOOKUP($A17,[6]HISTOSEPT25!$A$6:$AV$47,17,0)</f>
        <v>0</v>
      </c>
      <c r="L17" s="7" t="str">
        <f>IF(K17&lt;&gt;0,VLOOKUP($A17,[6]HISTOSEPT25!$A$6:$BB$47,42,0),"ECHEC")</f>
        <v>ECHEC</v>
      </c>
      <c r="M17" s="7">
        <f>IF(P17=0,0,VLOOKUP($A17,[6]HISTOSEPT25!$A$6:$AV$47,32,0))</f>
        <v>0</v>
      </c>
      <c r="N17" s="7">
        <f>VLOOKUP($A17,[6]HISTOSEPT25!$A$6:$AV$47,33,0)</f>
        <v>0</v>
      </c>
      <c r="O17" s="7">
        <f t="shared" si="0"/>
        <v>0</v>
      </c>
      <c r="P17" s="7">
        <f>VLOOKUP($A17,[6]HISTOSEPT25!$A$6:$AV$47,30,0)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800000</v>
      </c>
      <c r="G20" s="8">
        <f t="shared" si="1"/>
        <v>9000</v>
      </c>
      <c r="H20" s="8">
        <f t="shared" si="1"/>
        <v>0</v>
      </c>
      <c r="I20" s="8">
        <f t="shared" si="1"/>
        <v>0</v>
      </c>
      <c r="J20" s="8">
        <f t="shared" si="1"/>
        <v>761500</v>
      </c>
      <c r="K20" s="8">
        <f t="shared" si="1"/>
        <v>761500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891500</v>
      </c>
      <c r="P20" s="8">
        <f t="shared" si="1"/>
        <v>8500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1343500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457500</v>
      </c>
      <c r="F24" s="8">
        <f>SUMIFS(F7:F19,H7:H19,"BANQUE")</f>
        <v>400000</v>
      </c>
      <c r="G24" s="8">
        <f>SUMIFS(O7:O19,M7:M19,"BANQUE")</f>
        <v>891500</v>
      </c>
      <c r="H24" s="8">
        <f>D24+E24-F24-G24</f>
        <v>141000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443500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457500</v>
      </c>
      <c r="F26" s="8">
        <f>F23+F24</f>
        <v>400000</v>
      </c>
      <c r="G26" s="8">
        <f t="shared" ref="G26:H26" si="2">G23+G24</f>
        <v>891500</v>
      </c>
      <c r="H26" s="8">
        <f t="shared" si="2"/>
        <v>141000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-356500</v>
      </c>
      <c r="L27"/>
      <c r="M27" s="8">
        <f>K27</f>
        <v>-356500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304000</v>
      </c>
      <c r="M30" s="8">
        <f>+K30+TONTFEV25!M30</f>
        <v>304000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F425-83B1-469F-B90D-4079894B7BB5}">
  <dimension ref="A1:P30"/>
  <sheetViews>
    <sheetView zoomScale="112" zoomScaleNormal="112" workbookViewId="0">
      <pane xSplit="3" ySplit="5" topLeftCell="E9" activePane="bottomRight" state="frozen"/>
      <selection activeCell="J11" sqref="J11"/>
      <selection pane="topRight" activeCell="J11" sqref="J11"/>
      <selection pane="bottomLeft" activeCell="J11" sqref="J11"/>
      <selection pane="bottomRight" activeCell="A13" sqref="A13:XFD13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45943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IF(D6=0,0,VLOOKUP($A6,[6]HISTOOCT25!$A$6:$BB$47,12,0))</f>
        <v>2</v>
      </c>
      <c r="C6" s="1" t="str">
        <f>VLOOKUP(A6,[7]LISTADHERENT!A$5:H$60,3,0)</f>
        <v>ASELBY</v>
      </c>
      <c r="D6" s="7">
        <f>IF(E6="ECHEC",0,VLOOKUP($A6,[6]HISTOOCT25!$A$6:$AR$47,13,0))</f>
        <v>150000</v>
      </c>
      <c r="E6" s="7" t="str">
        <f>VLOOKUP($A6,[6]HISTOOCT25!$A$6:$AV$47,9,0)</f>
        <v>BANQUE</v>
      </c>
      <c r="F6" s="7">
        <f>VLOOKUP($A6,[6]HISTOOCT25!$A$6:$AV$47,36,0)</f>
        <v>0</v>
      </c>
      <c r="G6" s="7">
        <f>VLOOKUP($A6,[6]HISTOOCT25!$A$6:$AV$47,39,0)</f>
        <v>0</v>
      </c>
      <c r="H6" s="7" t="str">
        <f>IF(G6=0,"",VLOOKUP($A6,[6]HISTOFEV25!$A$6:$AV$47,42,0))</f>
        <v/>
      </c>
      <c r="I6" s="7">
        <f>VLOOKUP($A6,[6]HISTOOCT25!$A$6:$AV$47,41,0)</f>
        <v>0</v>
      </c>
      <c r="J6" s="7">
        <f>+TONTSEPT25!F6+TONTSEPT25!G6</f>
        <v>0</v>
      </c>
      <c r="K6" s="7">
        <f>VLOOKUP($A6,[6]HISTOOCT25!$A$6:$AV$47,17,0)</f>
        <v>0</v>
      </c>
      <c r="L6" s="7" t="str">
        <f>IF(K6&lt;&gt;0,VLOOKUP($A6,[6]HISTOOCT25!$A$6:$BB$47,42,0),"ECHEC")</f>
        <v>ECHEC</v>
      </c>
      <c r="M6" s="7">
        <f>IF(P6=0,0,VLOOKUP($A6,[6]HISTOOCT25!$A$6:$AV$47,32,0))</f>
        <v>0</v>
      </c>
      <c r="N6" s="7">
        <f>VLOOKUP($A6,[6]HISTOOCT25!$A$6:$AV$47,33,0)</f>
        <v>0</v>
      </c>
      <c r="O6" s="7">
        <f t="shared" ref="O6:O17" si="0">IF(P6=0,0,($C$3-P6))</f>
        <v>0</v>
      </c>
      <c r="P6" s="7">
        <f>VLOOKUP($A6,[6]HISTOOCT25!$A$6:$AV$47,30,0)</f>
        <v>0</v>
      </c>
    </row>
    <row r="7" spans="1:16" x14ac:dyDescent="0.35">
      <c r="A7" s="1" t="s">
        <v>24</v>
      </c>
      <c r="B7" s="7">
        <f>IF(D7=0,0,VLOOKUP($A7,[6]HISTOOCT25!$A$6:$BB$47,12,0))</f>
        <v>1</v>
      </c>
      <c r="C7" s="1" t="str">
        <f>VLOOKUP(A7,[7]LISTADHERENT!A$5:H$60,3,0)</f>
        <v>BOUTCHOUANG WILLIAM</v>
      </c>
      <c r="D7" s="7">
        <f>IF(E7="ECHEC",0,VLOOKUP($A7,[6]HISTOOCT25!$A$6:$AR$47,13,0))</f>
        <v>75000</v>
      </c>
      <c r="E7" s="7" t="str">
        <f>VLOOKUP($A7,[6]HISTOOCT25!$A$6:$AV$47,9,0)</f>
        <v>BANQUE</v>
      </c>
      <c r="F7" s="7">
        <f>VLOOKUP($A7,[6]HISTOOCT25!$A$6:$AV$47,36,0)</f>
        <v>200000</v>
      </c>
      <c r="G7" s="7">
        <f>VLOOKUP($A7,[6]HISTOOCT25!$A$6:$AV$47,39,0)</f>
        <v>2000</v>
      </c>
      <c r="H7" s="7" t="str">
        <f>IF(G7=0,"",VLOOKUP($A7,[6]HISTOFEV25!$A$6:$AV$47,42,0))</f>
        <v>BANQUE</v>
      </c>
      <c r="I7" s="7">
        <f>VLOOKUP($A7,[6]HISTOOCT25!$A$6:$AV$47,41,0)</f>
        <v>0</v>
      </c>
      <c r="J7" s="7">
        <f>+TONTSEPT25!F7+TONTSEPT25!G7</f>
        <v>101000</v>
      </c>
      <c r="K7" s="7">
        <f>VLOOKUP($A7,[6]HISTOOCT25!$A$6:$AV$47,17,0)</f>
        <v>101000</v>
      </c>
      <c r="L7" s="7" t="str">
        <f>IF(K7&lt;&gt;0,VLOOKUP($A7,[6]HISTOOCT25!$A$6:$BB$47,42,0),"ECHEC")</f>
        <v>BANQUE</v>
      </c>
      <c r="M7" s="7">
        <f>IF(P7=0,0,VLOOKUP($A7,[6]HISTOOCT25!$A$6:$AV$47,32,0))</f>
        <v>0</v>
      </c>
      <c r="N7" s="7">
        <f>VLOOKUP($A7,[6]HISTOOCT25!$A$6:$AV$47,33,0)</f>
        <v>0</v>
      </c>
      <c r="O7" s="7">
        <f t="shared" si="0"/>
        <v>892500</v>
      </c>
      <c r="P7" s="7">
        <f>VLOOKUP($A7,[6]HISTOOCT25!$A$6:$AV$47,30,0)</f>
        <v>7500</v>
      </c>
    </row>
    <row r="8" spans="1:16" x14ac:dyDescent="0.35">
      <c r="A8" s="1" t="s">
        <v>18</v>
      </c>
      <c r="B8" s="7">
        <f>IF(D8=0,0,VLOOKUP($A8,[6]HISTOOCT25!$A$6:$BB$47,12,0))</f>
        <v>1</v>
      </c>
      <c r="C8" s="1" t="str">
        <f>VLOOKUP(A8,[7]LISTADHERENT!A$5:H$60,3,0)</f>
        <v>HOTCHO BENJAMIN</v>
      </c>
      <c r="D8" s="7">
        <f>IF(E8="ECHEC",0,VLOOKUP($A8,[6]HISTOOCT25!$A$6:$AR$47,13,0))</f>
        <v>75000</v>
      </c>
      <c r="E8" s="7" t="str">
        <f>VLOOKUP($A8,[6]HISTOOCT25!$A$6:$AV$47,9,0)</f>
        <v>BANQUE</v>
      </c>
      <c r="F8" s="7">
        <f>VLOOKUP($A8,[6]HISTOOCT25!$A$6:$AV$47,36,0)</f>
        <v>100000</v>
      </c>
      <c r="G8" s="7">
        <f>VLOOKUP($A8,[6]HISTOOCT25!$A$6:$AV$47,39,0)</f>
        <v>1000</v>
      </c>
      <c r="H8" s="7">
        <f>IF(G8=0,"",VLOOKUP($A8,[6]HISTOFEV25!$A$6:$AV$47,42,0))</f>
        <v>0</v>
      </c>
      <c r="I8" s="7">
        <f>VLOOKUP($A8,[6]HISTOOCT25!$A$6:$AV$47,41,0)</f>
        <v>0</v>
      </c>
      <c r="J8" s="7">
        <f>+TONTSEPT25!F8+TONTSEPT25!G8</f>
        <v>101500</v>
      </c>
      <c r="K8" s="7">
        <f>VLOOKUP($A8,[6]HISTOOCT25!$A$6:$AV$47,17,0)</f>
        <v>101500</v>
      </c>
      <c r="L8" s="7" t="str">
        <f>IF(K8&lt;&gt;0,VLOOKUP($A8,[6]HISTOOCT25!$A$6:$BB$47,42,0),"ECHEC")</f>
        <v>BANQUE</v>
      </c>
      <c r="M8" s="7">
        <f>IF(P8=0,0,VLOOKUP($A8,[6]HISTOOCT25!$A$6:$AV$47,32,0))</f>
        <v>0</v>
      </c>
      <c r="N8" s="7">
        <f>VLOOKUP($A8,[6]HISTOOCT25!$A$6:$AV$47,33,0)</f>
        <v>0</v>
      </c>
      <c r="O8" s="7">
        <f t="shared" si="0"/>
        <v>0</v>
      </c>
      <c r="P8" s="7">
        <f>VLOOKUP($A8,[6]HISTOOCT25!$A$6:$AV$47,30,0)</f>
        <v>0</v>
      </c>
    </row>
    <row r="9" spans="1:16" x14ac:dyDescent="0.35">
      <c r="A9" s="1" t="s">
        <v>60</v>
      </c>
      <c r="B9" s="7">
        <f>IF(D9=0,0,VLOOKUP($A9,[6]HISTOOCT25!$A$6:$BB$47,12,0))</f>
        <v>1</v>
      </c>
      <c r="C9" s="1" t="str">
        <f>VLOOKUP(A9,[7]LISTADHERENT!A$5:H$60,3,0)</f>
        <v>KOUATCHO MESSACK</v>
      </c>
      <c r="D9" s="7">
        <f>IF(E9="ECHEC",0,VLOOKUP($A9,[6]HISTOOCT25!$A$6:$AR$47,13,0))</f>
        <v>75000</v>
      </c>
      <c r="E9" s="7" t="str">
        <f>VLOOKUP($A9,[6]HISTOOCT25!$A$6:$AV$47,9,0)</f>
        <v>ESPECES</v>
      </c>
      <c r="F9" s="7">
        <f>VLOOKUP($A9,[6]HISTOOCT25!$A$6:$AV$47,36,0)</f>
        <v>0</v>
      </c>
      <c r="G9" s="7">
        <f>VLOOKUP($A9,[6]HISTOOCT25!$A$6:$AV$47,39,0)</f>
        <v>0</v>
      </c>
      <c r="H9" s="7" t="str">
        <f>IF(G9=0,"",VLOOKUP($A9,[6]HISTOFEV25!$A$6:$AV$47,42,0))</f>
        <v/>
      </c>
      <c r="I9" s="7">
        <f>VLOOKUP($A9,[6]HISTOOCT25!$A$6:$AV$47,41,0)</f>
        <v>0</v>
      </c>
      <c r="J9" s="7">
        <f>+TONTSEPT25!F9+TONTSEPT25!G9</f>
        <v>101000</v>
      </c>
      <c r="K9" s="7">
        <f>VLOOKUP($A9,[6]HISTOOCT25!$A$6:$AV$47,17,0)</f>
        <v>101000</v>
      </c>
      <c r="L9" s="7" t="str">
        <f>IF(K9&lt;&gt;0,VLOOKUP($A9,[6]HISTOOCT25!$A$6:$BB$47,42,0),"ECHEC")</f>
        <v>BANQUE</v>
      </c>
      <c r="M9" s="7">
        <f>IF(P9=0,0,VLOOKUP($A9,[6]HISTOOCT25!$A$6:$AV$47,32,0))</f>
        <v>0</v>
      </c>
      <c r="N9" s="7">
        <f>VLOOKUP($A9,[6]HISTOOCT25!$A$6:$AV$47,33,0)</f>
        <v>0</v>
      </c>
      <c r="O9" s="7">
        <f t="shared" si="0"/>
        <v>0</v>
      </c>
      <c r="P9" s="7">
        <f>VLOOKUP($A9,[6]HISTOOCT25!$A$6:$AV$47,30,0)</f>
        <v>0</v>
      </c>
    </row>
    <row r="10" spans="1:16" x14ac:dyDescent="0.35">
      <c r="A10" s="1" t="s">
        <v>26</v>
      </c>
      <c r="B10" s="7">
        <f>IF(D10=0,0,VLOOKUP($A10,[6]HISTOOCT25!$A$6:$BB$47,12,0))</f>
        <v>1</v>
      </c>
      <c r="C10" s="1" t="str">
        <f>VLOOKUP(A10,[7]LISTADHERENT!A$5:H$60,3,0)</f>
        <v>HENGUE PAUL OMER</v>
      </c>
      <c r="D10" s="7">
        <f>IF(E10="ECHEC",0,VLOOKUP($A10,[6]HISTOOCT25!$A$6:$AR$47,13,0))</f>
        <v>75000</v>
      </c>
      <c r="E10" s="7" t="str">
        <f>VLOOKUP($A10,[6]HISTOOCT25!$A$6:$AV$47,9,0)</f>
        <v>BANQUE</v>
      </c>
      <c r="F10" s="7">
        <f>VLOOKUP($A10,[6]HISTOOCT25!$A$6:$AV$47,36,0)</f>
        <v>0</v>
      </c>
      <c r="G10" s="7">
        <f>VLOOKUP($A10,[6]HISTOOCT25!$A$6:$AV$47,39,0)</f>
        <v>0</v>
      </c>
      <c r="H10" s="7" t="str">
        <f>IF(G10=0,"",VLOOKUP($A10,[6]HISTOFEV25!$A$6:$AV$47,42,0))</f>
        <v/>
      </c>
      <c r="I10" s="7">
        <f>VLOOKUP($A10,[6]HISTOOCT25!$A$6:$AV$47,41,0)</f>
        <v>0</v>
      </c>
      <c r="J10" s="7">
        <f>+TONTSEPT25!F10+TONTSEPT25!G10</f>
        <v>0</v>
      </c>
      <c r="K10" s="7">
        <f>VLOOKUP($A10,[6]HISTOOCT25!$A$6:$AV$47,17,0)</f>
        <v>0</v>
      </c>
      <c r="L10" s="7" t="str">
        <f>IF(K10&lt;&gt;0,VLOOKUP($A10,[6]HISTOOCT25!$A$6:$BB$47,42,0),"ECHEC")</f>
        <v>ECHEC</v>
      </c>
      <c r="M10" s="7">
        <f>IF(P10=0,0,VLOOKUP($A10,[6]HISTOOCT25!$A$6:$AV$47,32,0))</f>
        <v>0</v>
      </c>
      <c r="N10" s="7">
        <f>VLOOKUP($A10,[6]HISTOOCT25!$A$6:$AV$47,33,0)</f>
        <v>0</v>
      </c>
      <c r="O10" s="7">
        <f t="shared" si="0"/>
        <v>0</v>
      </c>
      <c r="P10" s="7">
        <f>VLOOKUP($A10,[6]HISTOOCT25!$A$6:$AV$47,30,0)</f>
        <v>0</v>
      </c>
    </row>
    <row r="11" spans="1:16" x14ac:dyDescent="0.35">
      <c r="A11" s="1" t="s">
        <v>21</v>
      </c>
      <c r="B11" s="7">
        <f>IF(D11=0,0,VLOOKUP($A11,[6]HISTOOCT25!$A$6:$BB$47,12,0))</f>
        <v>1</v>
      </c>
      <c r="C11" s="1" t="str">
        <f>VLOOKUP(A11,[7]LISTADHERENT!A$5:H$60,3,0)</f>
        <v>MBOGNING TUGMA GUY</v>
      </c>
      <c r="D11" s="7">
        <f>IF(E11="ECHEC",0,VLOOKUP($A11,[6]HISTOOCT25!$A$6:$AR$47,13,0))</f>
        <v>75000</v>
      </c>
      <c r="E11" s="7" t="str">
        <f>VLOOKUP($A11,[6]HISTOOCT25!$A$6:$AV$47,9,0)</f>
        <v>BANQUE</v>
      </c>
      <c r="F11" s="7">
        <f>VLOOKUP($A11,[6]HISTOOCT25!$A$6:$AV$47,36,0)</f>
        <v>200000</v>
      </c>
      <c r="G11" s="7">
        <f>VLOOKUP($A11,[6]HISTOOCT25!$A$6:$AV$47,39,0)</f>
        <v>2500</v>
      </c>
      <c r="H11" s="7" t="str">
        <f>IF(G11=0,"",VLOOKUP($A11,[6]HISTOFEV25!$A$6:$AV$47,42,0))</f>
        <v>BANQUE</v>
      </c>
      <c r="I11" s="7">
        <f>VLOOKUP($A11,[6]HISTOOCT25!$A$6:$AV$47,41,0)</f>
        <v>0</v>
      </c>
      <c r="J11" s="7">
        <f>+TONTSEPT25!F11+TONTSEPT25!G11</f>
        <v>202000</v>
      </c>
      <c r="K11" s="7">
        <f>VLOOKUP($A11,[6]HISTOOCT25!$A$6:$AV$47,17,0)</f>
        <v>202000</v>
      </c>
      <c r="L11" s="7" t="str">
        <f>IF(K11&lt;&gt;0,VLOOKUP($A11,[6]HISTOOCT25!$A$6:$BB$47,42,0),"ECHEC")</f>
        <v>BANQUE</v>
      </c>
      <c r="M11" s="7">
        <f>IF(P11=0,0,VLOOKUP($A11,[6]HISTOOCT25!$A$6:$AV$47,32,0))</f>
        <v>0</v>
      </c>
      <c r="N11" s="7">
        <f>VLOOKUP($A11,[6]HISTOOCT25!$A$6:$AV$47,33,0)</f>
        <v>0</v>
      </c>
      <c r="O11" s="7">
        <f t="shared" si="0"/>
        <v>0</v>
      </c>
      <c r="P11" s="7">
        <f>VLOOKUP($A11,[6]HISTOOCT25!$A$6:$AV$47,30,0)</f>
        <v>0</v>
      </c>
    </row>
    <row r="12" spans="1:16" x14ac:dyDescent="0.35">
      <c r="A12" s="1" t="s">
        <v>8</v>
      </c>
      <c r="B12" s="7">
        <f>IF(D12=0,0,VLOOKUP($A12,[6]HISTOOCT25!$A$6:$BB$47,12,0))</f>
        <v>1</v>
      </c>
      <c r="C12" s="1" t="str">
        <f>VLOOKUP(A12,[7]LISTADHERENT!A$5:H$60,3,0)</f>
        <v>NANKAM APPOLINAIRE</v>
      </c>
      <c r="D12" s="7">
        <f>IF(E12="ECHEC",0,VLOOKUP($A12,[6]HISTOOCT25!$A$6:$AR$47,13,0))</f>
        <v>75000</v>
      </c>
      <c r="E12" s="7" t="str">
        <f>VLOOKUP($A12,[6]HISTOOCT25!$A$6:$AV$47,9,0)</f>
        <v>BANQUE</v>
      </c>
      <c r="F12" s="7">
        <f>VLOOKUP($A12,[6]HISTOOCT25!$A$6:$AV$47,36,0)</f>
        <v>0</v>
      </c>
      <c r="G12" s="7">
        <f>VLOOKUP($A12,[6]HISTOOCT25!$A$6:$AV$47,39,0)</f>
        <v>0</v>
      </c>
      <c r="H12" s="7" t="str">
        <f>IF(G12=0,"",VLOOKUP($A12,[6]HISTOFEV25!$A$6:$AV$47,42,0))</f>
        <v/>
      </c>
      <c r="I12" s="7">
        <f>VLOOKUP($A12,[6]HISTOOCT25!$A$6:$AV$47,41,0)</f>
        <v>0</v>
      </c>
      <c r="J12" s="7">
        <f>+TONTSEPT25!F12+TONTSEPT25!G12</f>
        <v>0</v>
      </c>
      <c r="K12" s="7">
        <f>VLOOKUP($A12,[6]HISTOOCT25!$A$6:$AV$47,17,0)</f>
        <v>0</v>
      </c>
      <c r="L12" s="7" t="str">
        <f>IF(K12&lt;&gt;0,VLOOKUP($A12,[6]HISTOOCT25!$A$6:$BB$47,42,0),"ECHEC")</f>
        <v>ECHEC</v>
      </c>
      <c r="M12" s="7">
        <f>IF(P12=0,0,VLOOKUP($A12,[6]HISTOOCT25!$A$6:$AV$47,32,0))</f>
        <v>0</v>
      </c>
      <c r="N12" s="7">
        <f>VLOOKUP($A12,[6]HISTOOCT25!$A$6:$AV$47,33,0)</f>
        <v>0</v>
      </c>
      <c r="O12" s="7">
        <f t="shared" si="0"/>
        <v>0</v>
      </c>
      <c r="P12" s="7">
        <f>VLOOKUP($A12,[6]HISTOOCT25!$A$6:$AV$47,30,0)</f>
        <v>0</v>
      </c>
    </row>
    <row r="13" spans="1:16" x14ac:dyDescent="0.35">
      <c r="A13" s="1" t="s">
        <v>35</v>
      </c>
      <c r="B13" s="7">
        <f>IF(D13=0,0,VLOOKUP($A13,[6]HISTOOCT25!$A$6:$BB$47,12,0))</f>
        <v>1</v>
      </c>
      <c r="C13" s="1" t="str">
        <f>VLOOKUP(A13,[7]LISTADHERENT!A$5:H$60,3,0)</f>
        <v>NGONDIEP CLAUDE</v>
      </c>
      <c r="D13" s="7">
        <f>IF(E13="ECHEC",0,VLOOKUP($A13,[6]HISTOOCT25!$A$6:$AR$47,13,0))</f>
        <v>75000</v>
      </c>
      <c r="E13" s="7" t="str">
        <f>VLOOKUP($A13,[6]HISTOOCT25!$A$6:$AV$47,9,0)</f>
        <v>BANQUE</v>
      </c>
      <c r="F13" s="7">
        <f>VLOOKUP($A13,[6]HISTOOCT25!$A$6:$AV$47,36,0)</f>
        <v>100000</v>
      </c>
      <c r="G13" s="7">
        <f>VLOOKUP($A13,[6]HISTOOCT25!$A$6:$AV$47,39,0)</f>
        <v>1500</v>
      </c>
      <c r="H13" s="7">
        <f>IF(G13=0,"",VLOOKUP($A13,[6]HISTOFEV25!$A$6:$AV$47,42,0))</f>
        <v>0</v>
      </c>
      <c r="I13" s="7">
        <f>VLOOKUP($A13,[6]HISTOOCT25!$A$6:$AV$47,41,0)</f>
        <v>0</v>
      </c>
      <c r="J13" s="7">
        <f>+TONTSEPT25!F13+TONTSEPT25!G13</f>
        <v>101000</v>
      </c>
      <c r="K13" s="7">
        <f>VLOOKUP($A13,[6]HISTOOCT25!$A$6:$AV$47,17,0)</f>
        <v>101000</v>
      </c>
      <c r="L13" s="7" t="str">
        <f>IF(K13&lt;&gt;0,VLOOKUP($A13,[6]HISTOOCT25!$A$6:$BB$47,42,0),"ECHEC")</f>
        <v>BANQUE</v>
      </c>
      <c r="M13" s="7">
        <f>IF(P13=0,0,VLOOKUP($A13,[6]HISTOOCT25!$A$6:$AV$47,32,0))</f>
        <v>0</v>
      </c>
      <c r="N13" s="7">
        <f>VLOOKUP($A13,[6]HISTOOCT25!$A$6:$AV$47,33,0)</f>
        <v>0</v>
      </c>
      <c r="O13" s="7">
        <f t="shared" si="0"/>
        <v>0</v>
      </c>
      <c r="P13" s="7">
        <f>VLOOKUP($A13,[6]HISTOOCT25!$A$6:$AV$47,30,0)</f>
        <v>0</v>
      </c>
    </row>
    <row r="14" spans="1:16" x14ac:dyDescent="0.35">
      <c r="A14" s="1" t="s">
        <v>27</v>
      </c>
      <c r="B14" s="7">
        <f>IF(D14=0,0,VLOOKUP($A14,[6]HISTOOCT25!$A$6:$BB$47,12,0))</f>
        <v>1</v>
      </c>
      <c r="C14" s="1" t="str">
        <f>VLOOKUP(A14,[7]LISTADHERENT!A$5:H$60,3,0)</f>
        <v>PATEGO NJOSSU GUSTAVE</v>
      </c>
      <c r="D14" s="7">
        <f>IF(E14="ECHEC",0,VLOOKUP($A14,[6]HISTOOCT25!$A$6:$AR$47,13,0))</f>
        <v>75000</v>
      </c>
      <c r="E14" s="7" t="str">
        <f>VLOOKUP($A14,[6]HISTOOCT25!$A$6:$AV$47,9,0)</f>
        <v>BANQUE</v>
      </c>
      <c r="F14" s="7">
        <f>VLOOKUP($A14,[6]HISTOOCT25!$A$6:$AV$47,36,0)</f>
        <v>0</v>
      </c>
      <c r="G14" s="7">
        <f>VLOOKUP($A14,[6]HISTOOCT25!$A$6:$AV$47,39,0)</f>
        <v>0</v>
      </c>
      <c r="H14" s="7" t="str">
        <f>IF(G14=0,"",VLOOKUP($A14,[6]HISTOFEV25!$A$6:$AV$47,42,0))</f>
        <v/>
      </c>
      <c r="I14" s="7">
        <f>VLOOKUP($A14,[6]HISTOOCT25!$A$6:$AV$47,41,0)</f>
        <v>0</v>
      </c>
      <c r="J14" s="7">
        <f>+TONTSEPT25!F14+TONTSEPT25!G14</f>
        <v>0</v>
      </c>
      <c r="K14" s="7">
        <f>VLOOKUP($A14,[6]HISTOOCT25!$A$6:$AV$47,17,0)</f>
        <v>0</v>
      </c>
      <c r="L14" s="7" t="str">
        <f>IF(K14&lt;&gt;0,VLOOKUP($A14,[6]HISTOOCT25!$A$6:$BB$47,42,0),"ECHEC")</f>
        <v>ECHEC</v>
      </c>
      <c r="M14" s="7">
        <f>IF(P14=0,0,VLOOKUP($A14,[6]HISTOOCT25!$A$6:$AV$47,32,0))</f>
        <v>0</v>
      </c>
      <c r="N14" s="7">
        <f>VLOOKUP($A14,[6]HISTOOCT25!$A$6:$AV$47,33,0)</f>
        <v>0</v>
      </c>
      <c r="O14" s="7">
        <f t="shared" si="0"/>
        <v>0</v>
      </c>
      <c r="P14" s="7">
        <f>VLOOKUP($A14,[6]HISTOOCT25!$A$6:$AV$47,30,0)</f>
        <v>0</v>
      </c>
    </row>
    <row r="15" spans="1:16" x14ac:dyDescent="0.35">
      <c r="A15" s="9" t="s">
        <v>48</v>
      </c>
      <c r="B15" s="7">
        <f>IF(D15=0,0,VLOOKUP($A15,[6]HISTOOCT25!$A$6:$BB$47,12,0))</f>
        <v>1</v>
      </c>
      <c r="C15" s="1" t="str">
        <f>VLOOKUP(A15,[7]LISTADHERENT!A$5:H$60,3,0)</f>
        <v>TCHOUAMOU MATHIEU</v>
      </c>
      <c r="D15" s="7">
        <f>IF(E15="ECHEC",0,VLOOKUP($A15,[6]HISTOOCT25!$A$6:$AR$47,13,0))</f>
        <v>75000</v>
      </c>
      <c r="E15" s="7" t="str">
        <f>VLOOKUP($A15,[6]HISTOOCT25!$A$6:$AV$47,9,0)</f>
        <v>BANQUE</v>
      </c>
      <c r="F15" s="7">
        <f>VLOOKUP($A15,[6]HISTOOCT25!$A$6:$AV$47,36,0)</f>
        <v>100000</v>
      </c>
      <c r="G15" s="7">
        <f>VLOOKUP($A15,[6]HISTOOCT25!$A$6:$AV$47,39,0)</f>
        <v>1000</v>
      </c>
      <c r="H15" s="7">
        <f>IF(G15=0,"",VLOOKUP($A15,[6]HISTOFEV25!$A$6:$AV$47,42,0))</f>
        <v>0</v>
      </c>
      <c r="I15" s="7">
        <f>VLOOKUP($A15,[6]HISTOOCT25!$A$6:$AV$47,41,0)</f>
        <v>0</v>
      </c>
      <c r="J15" s="7">
        <f>+TONTSEPT25!F15+TONTSEPT25!G15</f>
        <v>202500</v>
      </c>
      <c r="K15" s="7">
        <f>VLOOKUP($A15,[6]HISTOOCT25!$A$6:$AV$47,17,0)</f>
        <v>202500</v>
      </c>
      <c r="L15" s="7" t="str">
        <f>IF(K15&lt;&gt;0,VLOOKUP($A15,[6]HISTOOCT25!$A$6:$BB$47,42,0),"ECHEC")</f>
        <v>BANQUE</v>
      </c>
      <c r="M15" s="7">
        <f>IF(P15=0,0,VLOOKUP($A15,[6]HISTOOCT25!$A$6:$AV$47,32,0))</f>
        <v>0</v>
      </c>
      <c r="N15" s="7">
        <f>VLOOKUP($A15,[6]HISTOOCT25!$A$6:$AV$47,33,0)</f>
        <v>0</v>
      </c>
      <c r="O15" s="7">
        <f t="shared" si="0"/>
        <v>0</v>
      </c>
      <c r="P15" s="7">
        <f>VLOOKUP($A15,[6]HISTOOCT25!$A$6:$AV$47,30,0)</f>
        <v>0</v>
      </c>
    </row>
    <row r="16" spans="1:16" x14ac:dyDescent="0.35">
      <c r="A16" s="23" t="s">
        <v>59</v>
      </c>
      <c r="B16" s="7">
        <f>IF(D16=0,0,VLOOKUP($A16,[6]HISTOOCT25!$A$6:$BB$47,12,0))</f>
        <v>1</v>
      </c>
      <c r="C16" s="1" t="str">
        <f>VLOOKUP(A16,[7]LISTADHERENT!A$5:H$60,3,0)</f>
        <v>YANTCHOU GERVAIS</v>
      </c>
      <c r="D16" s="7">
        <f>IF(E16="ECHEC",0,VLOOKUP($A16,[6]HISTOOCT25!$A$6:$AR$47,13,0))</f>
        <v>75000</v>
      </c>
      <c r="E16" s="7" t="str">
        <f>VLOOKUP($A16,[6]HISTOOCT25!$A$6:$AV$47,9,0)</f>
        <v>BANQUE</v>
      </c>
      <c r="F16" s="7">
        <f>VLOOKUP($A16,[6]HISTOOCT25!$A$6:$AV$47,36,0)</f>
        <v>100000</v>
      </c>
      <c r="G16" s="7">
        <f>VLOOKUP($A16,[6]HISTOOCT25!$A$6:$AV$47,39,0)</f>
        <v>1500</v>
      </c>
      <c r="H16" s="7">
        <f>IF(G16=0,"",VLOOKUP($A16,[6]HISTOFEV25!$A$6:$AV$47,42,0))</f>
        <v>0</v>
      </c>
      <c r="I16" s="7">
        <f>VLOOKUP($A16,[6]HISTOOCT25!$A$6:$AV$47,41,0)</f>
        <v>0</v>
      </c>
      <c r="J16" s="7">
        <f>+TONTSEPT25!F16+TONTSEPT25!G16</f>
        <v>0</v>
      </c>
      <c r="K16" s="7">
        <f>VLOOKUP($A16,[6]HISTOOCT25!$A$6:$AV$47,17,0)</f>
        <v>0</v>
      </c>
      <c r="L16" s="7" t="str">
        <f>IF(K16&lt;&gt;0,VLOOKUP($A16,[6]HISTOOCT25!$A$6:$BB$47,42,0),"ECHEC")</f>
        <v>ECHEC</v>
      </c>
      <c r="M16" s="7">
        <f>IF(P16=0,0,VLOOKUP($A16,[6]HISTOOCT25!$A$6:$AV$47,32,0))</f>
        <v>0</v>
      </c>
      <c r="N16" s="7">
        <f>VLOOKUP($A16,[6]HISTOOCT25!$A$6:$AV$47,33,0)</f>
        <v>0</v>
      </c>
      <c r="O16" s="7">
        <f t="shared" si="0"/>
        <v>0</v>
      </c>
      <c r="P16" s="7">
        <f>VLOOKUP($A16,[6]HISTOOCT25!$A$6:$AV$47,30,0)</f>
        <v>0</v>
      </c>
    </row>
    <row r="17" spans="1:16" x14ac:dyDescent="0.35">
      <c r="A17" s="1" t="s">
        <v>19</v>
      </c>
      <c r="B17" s="7">
        <f>IF(D17=0,0,VLOOKUP($A17,[6]HISTOOCT25!$A$6:$BB$47,12,0))</f>
        <v>1</v>
      </c>
      <c r="C17" s="1" t="str">
        <f>VLOOKUP(A17,[7]LISTADHERENT!A$5:H$60,3,0)</f>
        <v>YOUMBI EMMANUEL</v>
      </c>
      <c r="D17" s="7">
        <f>IF(E17="ECHEC",0,VLOOKUP($A17,[6]HISTOOCT25!$A$6:$AR$47,13,0))</f>
        <v>75000</v>
      </c>
      <c r="E17" s="7" t="str">
        <f>VLOOKUP($A17,[6]HISTOOCT25!$A$6:$AV$47,9,0)</f>
        <v>BANQUE</v>
      </c>
      <c r="F17" s="7">
        <f>VLOOKUP($A17,[6]HISTOOCT25!$A$6:$AV$47,36,0)</f>
        <v>0</v>
      </c>
      <c r="G17" s="7">
        <f>VLOOKUP($A17,[6]HISTOOCT25!$A$6:$AV$47,39,0)</f>
        <v>0</v>
      </c>
      <c r="H17" s="7" t="str">
        <f>IF(G17=0,"",VLOOKUP($A17,[6]HISTOFEV25!$A$6:$AV$47,42,0))</f>
        <v/>
      </c>
      <c r="I17" s="7">
        <f>VLOOKUP($A17,[6]HISTOOCT25!$A$6:$AV$47,41,0)</f>
        <v>0</v>
      </c>
      <c r="J17" s="7">
        <f>+TONTSEPT25!F17+TONTSEPT25!G17</f>
        <v>0</v>
      </c>
      <c r="K17" s="7">
        <f>VLOOKUP($A17,[6]HISTOOCT25!$A$6:$AV$47,17,0)</f>
        <v>0</v>
      </c>
      <c r="L17" s="7" t="str">
        <f>IF(K17&lt;&gt;0,VLOOKUP($A17,[6]HISTOOCT25!$A$6:$BB$47,42,0),"ECHEC")</f>
        <v>ECHEC</v>
      </c>
      <c r="M17" s="7">
        <f>IF(P17=0,0,VLOOKUP($A17,[6]HISTOOCT25!$A$6:$AV$47,32,0))</f>
        <v>0</v>
      </c>
      <c r="N17" s="7">
        <f>VLOOKUP($A17,[6]HISTOOCT25!$A$6:$AV$47,33,0)</f>
        <v>0</v>
      </c>
      <c r="O17" s="7">
        <f t="shared" si="0"/>
        <v>0</v>
      </c>
      <c r="P17" s="7">
        <f>VLOOKUP($A17,[6]HISTOOCT25!$A$6:$AV$47,30,0)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800000</v>
      </c>
      <c r="G20" s="8">
        <f t="shared" si="1"/>
        <v>9500</v>
      </c>
      <c r="H20" s="8">
        <f t="shared" si="1"/>
        <v>0</v>
      </c>
      <c r="I20" s="8">
        <f t="shared" si="1"/>
        <v>0</v>
      </c>
      <c r="J20" s="8">
        <f t="shared" si="1"/>
        <v>809000</v>
      </c>
      <c r="K20" s="8">
        <f t="shared" si="1"/>
        <v>809000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1491500</v>
      </c>
      <c r="L22" s="5"/>
      <c r="M22"/>
      <c r="N22" s="5"/>
    </row>
    <row r="23" spans="1:16" s="2" customFormat="1" ht="17.5" x14ac:dyDescent="0.35">
      <c r="D23" s="8">
        <f>SUMIFS(D6:D19,E6:E19,"ESPECES")</f>
        <v>75000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75000</v>
      </c>
      <c r="I23" s="8"/>
      <c r="J23" s="8" t="s">
        <v>32</v>
      </c>
      <c r="K23" s="8">
        <f>C3*COUNTIF(O7:O19,"&gt;0")</f>
        <v>900000</v>
      </c>
      <c r="L23" s="8">
        <f>D3</f>
        <v>1</v>
      </c>
      <c r="M23" s="8">
        <f>COUNTIF(O7:O14,"&gt;0")</f>
        <v>1</v>
      </c>
      <c r="N23" s="8"/>
    </row>
    <row r="24" spans="1:16" s="2" customFormat="1" ht="17.5" x14ac:dyDescent="0.35">
      <c r="D24" s="8">
        <f>SUMIFS(D6:D19,E6:E19,"BANQUE")</f>
        <v>900000</v>
      </c>
      <c r="E24" s="8">
        <f>SUMIFS(K7:K14,L7:L14,"BANQUE")</f>
        <v>606500</v>
      </c>
      <c r="F24" s="8">
        <f>SUMIFS(F7:F19,H7:H19,"BANQUE")</f>
        <v>400000</v>
      </c>
      <c r="G24" s="8">
        <f>SUMIFS(O7:O19,M7:M19,"BANQUE")</f>
        <v>0</v>
      </c>
      <c r="H24" s="8">
        <f>D24+E24-F24-G24</f>
        <v>1106500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591500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606500</v>
      </c>
      <c r="F26" s="8">
        <f>F23+F24</f>
        <v>400000</v>
      </c>
      <c r="G26" s="8">
        <f t="shared" ref="G26:H26" si="2">G23+G24</f>
        <v>0</v>
      </c>
      <c r="H26" s="8">
        <f t="shared" si="2"/>
        <v>1181500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-208500</v>
      </c>
      <c r="L27"/>
      <c r="M27" s="8">
        <f>K27</f>
        <v>-208500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202500</v>
      </c>
      <c r="M30" s="8">
        <f>+K30+TONTFEV25!M30</f>
        <v>202500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C376-17D7-4CB6-90A2-DEE26CEFF291}">
  <dimension ref="A1:P30"/>
  <sheetViews>
    <sheetView zoomScale="112" zoomScaleNormal="112" workbookViewId="0">
      <pane xSplit="3" ySplit="5" topLeftCell="I9" activePane="bottomRight" state="frozen"/>
      <selection activeCell="J11" sqref="J11"/>
      <selection pane="topRight" activeCell="J11" sqref="J11"/>
      <selection pane="bottomLeft" activeCell="J11" sqref="J11"/>
      <selection pane="bottomRight" activeCell="A13" sqref="A13:XFD13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45974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IF(D6=0,0,VLOOKUP($A6,[6]HISTONOV25!$A$6:$BB$47,12,0))</f>
        <v>2</v>
      </c>
      <c r="C6" s="1" t="str">
        <f>VLOOKUP(A6,[7]LISTADHERENT!A$5:H$60,3,0)</f>
        <v>ASELBY</v>
      </c>
      <c r="D6" s="7">
        <f>IF(E6="ECHEC",0,VLOOKUP($A6,[6]HISTONOV25!$A$6:$AR$47,13,0))</f>
        <v>150000</v>
      </c>
      <c r="E6" s="7" t="str">
        <f>VLOOKUP($A6,[6]HISTONOV25!$A$6:$AV$47,9,0)</f>
        <v>BANQUE</v>
      </c>
      <c r="F6" s="7">
        <f>VLOOKUP($A6,[6]HISTONOV25!$A$6:$AV$47,36,0)</f>
        <v>0</v>
      </c>
      <c r="G6" s="7">
        <f>VLOOKUP($A6,[6]HISTONOV25!$A$6:$AV$47,39,0)</f>
        <v>0</v>
      </c>
      <c r="H6" s="7" t="str">
        <f>IF(G6=0,"",VLOOKUP($A6,[6]HISTOFEV25!$A$6:$AV$47,42,0))</f>
        <v/>
      </c>
      <c r="I6" s="7">
        <f>VLOOKUP($A6,[6]HISTONOV25!$A$6:$AV$47,41,0)</f>
        <v>0</v>
      </c>
      <c r="J6" s="7">
        <f>+TONTOCT25!F6+TONTOCT25!G6</f>
        <v>0</v>
      </c>
      <c r="K6" s="7">
        <f>VLOOKUP($A6,[6]HISTONOV25!$A$6:$AV$47,17,0)</f>
        <v>0</v>
      </c>
      <c r="L6" s="7" t="str">
        <f>IF(K6&lt;&gt;0,VLOOKUP($A6,[6]HISTONOV25!$A$6:$BB$47,42,0),"ECHEC")</f>
        <v>ECHEC</v>
      </c>
      <c r="M6" s="7">
        <f>IF(P6=0,0,VLOOKUP($A6,[6]HISTONOV25!$A$6:$AV$47,32,0))</f>
        <v>0</v>
      </c>
      <c r="N6" s="7">
        <f>VLOOKUP($A6,[6]HISTONOV25!$A$6:$AV$47,33,0)</f>
        <v>0</v>
      </c>
      <c r="O6" s="7">
        <f t="shared" ref="O6:O17" si="0">IF(P6=0,0,($C$3-P6))</f>
        <v>0</v>
      </c>
      <c r="P6" s="7">
        <f>VLOOKUP($A6,[6]HISTONOV25!$A$6:$AV$47,30,0)</f>
        <v>0</v>
      </c>
    </row>
    <row r="7" spans="1:16" x14ac:dyDescent="0.35">
      <c r="A7" s="1" t="s">
        <v>24</v>
      </c>
      <c r="B7" s="7">
        <f>IF(D7=0,0,VLOOKUP($A7,[6]HISTONOV25!$A$6:$BB$47,12,0))</f>
        <v>1</v>
      </c>
      <c r="C7" s="1" t="str">
        <f>VLOOKUP(A7,[7]LISTADHERENT!A$5:H$60,3,0)</f>
        <v>BOUTCHOUANG WILLIAM</v>
      </c>
      <c r="D7" s="7">
        <f>IF(E7="ECHEC",0,VLOOKUP($A7,[6]HISTONOV25!$A$6:$AR$47,13,0))</f>
        <v>75000</v>
      </c>
      <c r="E7" s="7" t="str">
        <f>VLOOKUP($A7,[6]HISTONOV25!$A$6:$AV$47,9,0)</f>
        <v>BANQUE</v>
      </c>
      <c r="F7" s="7">
        <f>VLOOKUP($A7,[6]HISTONOV25!$A$6:$AV$47,36,0)</f>
        <v>0</v>
      </c>
      <c r="G7" s="7">
        <f>VLOOKUP($A7,[6]HISTONOV25!$A$6:$AV$47,39,0)</f>
        <v>0</v>
      </c>
      <c r="H7" s="7" t="str">
        <f>IF(G7=0,"",VLOOKUP($A7,[6]HISTOFEV25!$A$6:$AV$47,42,0))</f>
        <v/>
      </c>
      <c r="I7" s="7">
        <f>VLOOKUP($A7,[6]HISTONOV25!$A$6:$AV$47,41,0)</f>
        <v>0</v>
      </c>
      <c r="J7" s="7">
        <f>+TONTOCT25!F7+TONTOCT25!G7</f>
        <v>202000</v>
      </c>
      <c r="K7" s="7">
        <f>VLOOKUP($A7,[6]HISTONOV25!$A$6:$AV$47,17,0)</f>
        <v>202000</v>
      </c>
      <c r="L7" s="7" t="str">
        <f>IF(K7&lt;&gt;0,VLOOKUP($A7,[6]HISTONOV25!$A$6:$BB$47,42,0),"ECHEC")</f>
        <v>BANQUE</v>
      </c>
      <c r="M7" s="7">
        <f>IF(P7=0,0,VLOOKUP($A7,[6]HISTONOV25!$A$6:$AV$47,32,0))</f>
        <v>0</v>
      </c>
      <c r="N7" s="7">
        <f>VLOOKUP($A7,[6]HISTONOV25!$A$6:$AV$47,33,0)</f>
        <v>0</v>
      </c>
      <c r="O7" s="7">
        <f t="shared" si="0"/>
        <v>0</v>
      </c>
      <c r="P7" s="7">
        <f>VLOOKUP($A7,[6]HISTONOV25!$A$6:$AV$47,30,0)</f>
        <v>0</v>
      </c>
    </row>
    <row r="8" spans="1:16" x14ac:dyDescent="0.35">
      <c r="A8" s="1" t="s">
        <v>18</v>
      </c>
      <c r="B8" s="7">
        <f>IF(D8=0,0,VLOOKUP($A8,[6]HISTONOV25!$A$6:$BB$47,12,0))</f>
        <v>1</v>
      </c>
      <c r="C8" s="1" t="str">
        <f>VLOOKUP(A8,[7]LISTADHERENT!A$5:H$60,3,0)</f>
        <v>HOTCHO BENJAMIN</v>
      </c>
      <c r="D8" s="7">
        <f>IF(E8="ECHEC",0,VLOOKUP($A8,[6]HISTONOV25!$A$6:$AR$47,13,0))</f>
        <v>75000</v>
      </c>
      <c r="E8" s="7" t="str">
        <f>VLOOKUP($A8,[6]HISTONOV25!$A$6:$AV$47,9,0)</f>
        <v>BANQUE</v>
      </c>
      <c r="F8" s="7">
        <f>VLOOKUP($A8,[6]HISTONOV25!$A$6:$AV$47,36,0)</f>
        <v>0</v>
      </c>
      <c r="G8" s="7">
        <f>VLOOKUP($A8,[6]HISTONOV25!$A$6:$AV$47,39,0)</f>
        <v>0</v>
      </c>
      <c r="H8" s="7" t="str">
        <f>IF(G8=0,"",VLOOKUP($A8,[6]HISTOFEV25!$A$6:$AV$47,42,0))</f>
        <v/>
      </c>
      <c r="I8" s="7">
        <f>VLOOKUP($A8,[6]HISTONOV25!$A$6:$AV$47,41,0)</f>
        <v>0</v>
      </c>
      <c r="J8" s="7">
        <f>+TONTOCT25!F8+TONTOCT25!G8</f>
        <v>101000</v>
      </c>
      <c r="K8" s="7">
        <f>VLOOKUP($A8,[6]HISTONOV25!$A$6:$AV$47,17,0)</f>
        <v>101000</v>
      </c>
      <c r="L8" s="7" t="str">
        <f>IF(K8&lt;&gt;0,VLOOKUP($A8,[6]HISTONOV25!$A$6:$BB$47,42,0),"ECHEC")</f>
        <v>BANQUE</v>
      </c>
      <c r="M8" s="7">
        <f>IF(P8=0,0,VLOOKUP($A8,[6]HISTONOV25!$A$6:$AV$47,32,0))</f>
        <v>0</v>
      </c>
      <c r="N8" s="7">
        <f>VLOOKUP($A8,[6]HISTONOV25!$A$6:$AV$47,33,0)</f>
        <v>0</v>
      </c>
      <c r="O8" s="7">
        <f t="shared" si="0"/>
        <v>0</v>
      </c>
      <c r="P8" s="7">
        <f>VLOOKUP($A8,[6]HISTONOV25!$A$6:$AV$47,30,0)</f>
        <v>0</v>
      </c>
    </row>
    <row r="9" spans="1:16" x14ac:dyDescent="0.35">
      <c r="A9" s="1" t="s">
        <v>60</v>
      </c>
      <c r="B9" s="7">
        <f>IF(D9=0,0,VLOOKUP($A9,[6]HISTONOV25!$A$6:$BB$47,12,0))</f>
        <v>1</v>
      </c>
      <c r="C9" s="1" t="str">
        <f>VLOOKUP(A9,[7]LISTADHERENT!A$5:H$60,3,0)</f>
        <v>KOUATCHO MESSACK</v>
      </c>
      <c r="D9" s="7">
        <f>IF(E9="ECHEC",0,VLOOKUP($A9,[6]HISTONOV25!$A$6:$AR$47,13,0))</f>
        <v>75000</v>
      </c>
      <c r="E9" s="7" t="str">
        <f>VLOOKUP($A9,[6]HISTONOV25!$A$6:$AV$47,9,0)</f>
        <v>BANQUE</v>
      </c>
      <c r="F9" s="7">
        <f>VLOOKUP($A9,[6]HISTONOV25!$A$6:$AV$47,36,0)</f>
        <v>0</v>
      </c>
      <c r="G9" s="7">
        <f>VLOOKUP($A9,[6]HISTONOV25!$A$6:$AV$47,39,0)</f>
        <v>0</v>
      </c>
      <c r="H9" s="7" t="str">
        <f>IF(G9=0,"",VLOOKUP($A9,[6]HISTOFEV25!$A$6:$AV$47,42,0))</f>
        <v/>
      </c>
      <c r="I9" s="7">
        <f>VLOOKUP($A9,[6]HISTONOV25!$A$6:$AV$47,41,0)</f>
        <v>0</v>
      </c>
      <c r="J9" s="7">
        <f>+TONTOCT25!F9+TONTOCT25!G9</f>
        <v>0</v>
      </c>
      <c r="K9" s="7">
        <f>VLOOKUP($A9,[6]HISTONOV25!$A$6:$AV$47,17,0)</f>
        <v>0</v>
      </c>
      <c r="L9" s="7" t="str">
        <f>IF(K9&lt;&gt;0,VLOOKUP($A9,[6]HISTONOV25!$A$6:$BB$47,42,0),"ECHEC")</f>
        <v>ECHEC</v>
      </c>
      <c r="M9" s="7">
        <f>IF(P9=0,0,VLOOKUP($A9,[6]HISTONOV25!$A$6:$AV$47,32,0))</f>
        <v>0</v>
      </c>
      <c r="N9" s="7">
        <f>VLOOKUP($A9,[6]HISTONOV25!$A$6:$AV$47,33,0)</f>
        <v>0</v>
      </c>
      <c r="O9" s="7">
        <f t="shared" si="0"/>
        <v>0</v>
      </c>
      <c r="P9" s="7">
        <f>VLOOKUP($A9,[6]HISTONOV25!$A$6:$AV$47,30,0)</f>
        <v>0</v>
      </c>
    </row>
    <row r="10" spans="1:16" x14ac:dyDescent="0.35">
      <c r="A10" s="1" t="s">
        <v>26</v>
      </c>
      <c r="B10" s="7">
        <f>IF(D10=0,0,VLOOKUP($A10,[6]HISTONOV25!$A$6:$BB$47,12,0))</f>
        <v>1</v>
      </c>
      <c r="C10" s="1" t="str">
        <f>VLOOKUP(A10,[7]LISTADHERENT!A$5:H$60,3,0)</f>
        <v>HENGUE PAUL OMER</v>
      </c>
      <c r="D10" s="7">
        <f>IF(E10="ECHEC",0,VLOOKUP($A10,[6]HISTONOV25!$A$6:$AR$47,13,0))</f>
        <v>75000</v>
      </c>
      <c r="E10" s="7" t="str">
        <f>VLOOKUP($A10,[6]HISTONOV25!$A$6:$AV$47,9,0)</f>
        <v>BANQUE</v>
      </c>
      <c r="F10" s="7">
        <f>VLOOKUP($A10,[6]HISTONOV25!$A$6:$AV$47,36,0)</f>
        <v>0</v>
      </c>
      <c r="G10" s="7">
        <f>VLOOKUP($A10,[6]HISTONOV25!$A$6:$AV$47,39,0)</f>
        <v>0</v>
      </c>
      <c r="H10" s="7" t="str">
        <f>IF(G10=0,"",VLOOKUP($A10,[6]HISTOFEV25!$A$6:$AV$47,42,0))</f>
        <v/>
      </c>
      <c r="I10" s="7">
        <f>VLOOKUP($A10,[6]HISTONOV25!$A$6:$AV$47,41,0)</f>
        <v>0</v>
      </c>
      <c r="J10" s="7">
        <f>+TONTOCT25!F10+TONTOCT25!G10</f>
        <v>0</v>
      </c>
      <c r="K10" s="7">
        <f>VLOOKUP($A10,[6]HISTONOV25!$A$6:$AV$47,17,0)</f>
        <v>0</v>
      </c>
      <c r="L10" s="7" t="str">
        <f>IF(K10&lt;&gt;0,VLOOKUP($A10,[6]HISTONOV25!$A$6:$BB$47,42,0),"ECHEC")</f>
        <v>ECHEC</v>
      </c>
      <c r="M10" s="7">
        <f>IF(P10=0,0,VLOOKUP($A10,[6]HISTONOV25!$A$6:$AV$47,32,0))</f>
        <v>0</v>
      </c>
      <c r="N10" s="7">
        <f>VLOOKUP($A10,[6]HISTONOV25!$A$6:$AV$47,33,0)</f>
        <v>0</v>
      </c>
      <c r="O10" s="7">
        <f t="shared" si="0"/>
        <v>0</v>
      </c>
      <c r="P10" s="7">
        <f>VLOOKUP($A10,[6]HISTONOV25!$A$6:$AV$47,30,0)</f>
        <v>0</v>
      </c>
    </row>
    <row r="11" spans="1:16" x14ac:dyDescent="0.35">
      <c r="A11" s="1" t="s">
        <v>21</v>
      </c>
      <c r="B11" s="7">
        <f>IF(D11=0,0,VLOOKUP($A11,[6]HISTONOV25!$A$6:$BB$47,12,0))</f>
        <v>1</v>
      </c>
      <c r="C11" s="1" t="str">
        <f>VLOOKUP(A11,[7]LISTADHERENT!A$5:H$60,3,0)</f>
        <v>MBOGNING TUGMA GUY</v>
      </c>
      <c r="D11" s="7">
        <f>IF(E11="ECHEC",0,VLOOKUP($A11,[6]HISTONOV25!$A$6:$AR$47,13,0))</f>
        <v>75000</v>
      </c>
      <c r="E11" s="7" t="str">
        <f>VLOOKUP($A11,[6]HISTONOV25!$A$6:$AV$47,9,0)</f>
        <v>BANQUE</v>
      </c>
      <c r="F11" s="7">
        <f>VLOOKUP($A11,[6]HISTONOV25!$A$6:$AV$47,36,0)</f>
        <v>0</v>
      </c>
      <c r="G11" s="7">
        <f>VLOOKUP($A11,[6]HISTONOV25!$A$6:$AV$47,39,0)</f>
        <v>0</v>
      </c>
      <c r="H11" s="7" t="str">
        <f>IF(G11=0,"",VLOOKUP($A11,[6]HISTOFEV25!$A$6:$AV$47,42,0))</f>
        <v/>
      </c>
      <c r="I11" s="7">
        <f>VLOOKUP($A11,[6]HISTONOV25!$A$6:$AV$47,41,0)</f>
        <v>0</v>
      </c>
      <c r="J11" s="7">
        <f>+TONTOCT25!F11+TONTOCT25!G11</f>
        <v>202500</v>
      </c>
      <c r="K11" s="7">
        <f>VLOOKUP($A11,[6]HISTONOV25!$A$6:$AV$47,17,0)</f>
        <v>202500</v>
      </c>
      <c r="L11" s="7" t="str">
        <f>IF(K11&lt;&gt;0,VLOOKUP($A11,[6]HISTONOV25!$A$6:$BB$47,42,0),"ECHEC")</f>
        <v>BANQUE</v>
      </c>
      <c r="M11" s="7">
        <f>IF(P11=0,0,VLOOKUP($A11,[6]HISTONOV25!$A$6:$AV$47,32,0))</f>
        <v>0</v>
      </c>
      <c r="N11" s="7">
        <f>VLOOKUP($A11,[6]HISTONOV25!$A$6:$AV$47,33,0)</f>
        <v>0</v>
      </c>
      <c r="O11" s="7">
        <f t="shared" si="0"/>
        <v>0</v>
      </c>
      <c r="P11" s="7">
        <f>VLOOKUP($A11,[6]HISTONOV25!$A$6:$AV$47,30,0)</f>
        <v>0</v>
      </c>
    </row>
    <row r="12" spans="1:16" x14ac:dyDescent="0.35">
      <c r="A12" s="1" t="s">
        <v>8</v>
      </c>
      <c r="B12" s="7">
        <f>IF(D12=0,0,VLOOKUP($A12,[6]HISTONOV25!$A$6:$BB$47,12,0))</f>
        <v>1</v>
      </c>
      <c r="C12" s="1" t="str">
        <f>VLOOKUP(A12,[7]LISTADHERENT!A$5:H$60,3,0)</f>
        <v>NANKAM APPOLINAIRE</v>
      </c>
      <c r="D12" s="7">
        <f>IF(E12="ECHEC",0,VLOOKUP($A12,[6]HISTONOV25!$A$6:$AR$47,13,0))</f>
        <v>75000</v>
      </c>
      <c r="E12" s="7" t="str">
        <f>VLOOKUP($A12,[6]HISTONOV25!$A$6:$AV$47,9,0)</f>
        <v>BANQUE</v>
      </c>
      <c r="F12" s="7">
        <f>VLOOKUP($A12,[6]HISTONOV25!$A$6:$AV$47,36,0)</f>
        <v>0</v>
      </c>
      <c r="G12" s="7">
        <f>VLOOKUP($A12,[6]HISTONOV25!$A$6:$AV$47,39,0)</f>
        <v>0</v>
      </c>
      <c r="H12" s="7" t="str">
        <f>IF(G12=0,"",VLOOKUP($A12,[6]HISTOFEV25!$A$6:$AV$47,42,0))</f>
        <v/>
      </c>
      <c r="I12" s="7">
        <f>VLOOKUP($A12,[6]HISTONOV25!$A$6:$AV$47,41,0)</f>
        <v>0</v>
      </c>
      <c r="J12" s="7">
        <f>+TONTOCT25!F12+TONTOCT25!G12</f>
        <v>0</v>
      </c>
      <c r="K12" s="7">
        <f>VLOOKUP($A12,[6]HISTONOV25!$A$6:$AV$47,17,0)</f>
        <v>0</v>
      </c>
      <c r="L12" s="7" t="str">
        <f>IF(K12&lt;&gt;0,VLOOKUP($A12,[6]HISTONOV25!$A$6:$BB$47,42,0),"ECHEC")</f>
        <v>ECHEC</v>
      </c>
      <c r="M12" s="7">
        <f>IF(P12=0,0,VLOOKUP($A12,[6]HISTONOV25!$A$6:$AV$47,32,0))</f>
        <v>0</v>
      </c>
      <c r="N12" s="7">
        <f>VLOOKUP($A12,[6]HISTONOV25!$A$6:$AV$47,33,0)</f>
        <v>0</v>
      </c>
      <c r="O12" s="7">
        <f t="shared" si="0"/>
        <v>0</v>
      </c>
      <c r="P12" s="7">
        <f>VLOOKUP($A12,[6]HISTONOV25!$A$6:$AV$47,30,0)</f>
        <v>0</v>
      </c>
    </row>
    <row r="13" spans="1:16" x14ac:dyDescent="0.35">
      <c r="A13" s="1" t="s">
        <v>35</v>
      </c>
      <c r="B13" s="7">
        <f>IF(D13=0,0,VLOOKUP($A13,[6]HISTONOV25!$A$6:$BB$47,12,0))</f>
        <v>1</v>
      </c>
      <c r="C13" s="1" t="str">
        <f>VLOOKUP(A13,[7]LISTADHERENT!A$5:H$60,3,0)</f>
        <v>NGONDIEP CLAUDE</v>
      </c>
      <c r="D13" s="7">
        <f>IF(E13="ECHEC",0,VLOOKUP($A13,[6]HISTONOV25!$A$6:$AR$47,13,0))</f>
        <v>75000</v>
      </c>
      <c r="E13" s="7" t="str">
        <f>VLOOKUP($A13,[6]HISTONOV25!$A$6:$AV$47,9,0)</f>
        <v>BANQUE</v>
      </c>
      <c r="F13" s="7">
        <f>VLOOKUP($A13,[6]HISTONOV25!$A$6:$AV$47,36,0)</f>
        <v>101500</v>
      </c>
      <c r="G13" s="7">
        <f>VLOOKUP($A13,[6]HISTONOV25!$A$6:$AV$47,39,0)</f>
        <v>3000</v>
      </c>
      <c r="H13" s="7">
        <f>IF(G13=0,"",VLOOKUP($A13,[6]HISTOFEV25!$A$6:$AV$47,42,0))</f>
        <v>0</v>
      </c>
      <c r="I13" s="7">
        <f>VLOOKUP($A13,[6]HISTONOV25!$A$6:$AV$47,41,0)</f>
        <v>0</v>
      </c>
      <c r="J13" s="7">
        <f>+TONTOCT25!F13+TONTOCT25!G13</f>
        <v>101500</v>
      </c>
      <c r="K13" s="7">
        <f>VLOOKUP($A13,[6]HISTONOV25!$A$6:$AV$47,17,0)</f>
        <v>101500</v>
      </c>
      <c r="L13" s="7" t="str">
        <f>IF(K13&lt;&gt;0,VLOOKUP($A13,[6]HISTONOV25!$A$6:$BB$47,42,0),"ECHEC")</f>
        <v>BANQUE</v>
      </c>
      <c r="M13" s="7">
        <f>IF(P13=0,0,VLOOKUP($A13,[6]HISTONOV25!$A$6:$AV$47,32,0))</f>
        <v>0</v>
      </c>
      <c r="N13" s="7">
        <f>VLOOKUP($A13,[6]HISTONOV25!$A$6:$AV$47,33,0)</f>
        <v>0</v>
      </c>
      <c r="O13" s="7">
        <f t="shared" si="0"/>
        <v>0</v>
      </c>
      <c r="P13" s="7">
        <f>VLOOKUP($A13,[6]HISTONOV25!$A$6:$AV$47,30,0)</f>
        <v>0</v>
      </c>
    </row>
    <row r="14" spans="1:16" x14ac:dyDescent="0.35">
      <c r="A14" s="1" t="s">
        <v>27</v>
      </c>
      <c r="B14" s="7">
        <f>IF(D14=0,0,VLOOKUP($A14,[6]HISTONOV25!$A$6:$BB$47,12,0))</f>
        <v>1</v>
      </c>
      <c r="C14" s="1" t="str">
        <f>VLOOKUP(A14,[7]LISTADHERENT!A$5:H$60,3,0)</f>
        <v>PATEGO NJOSSU GUSTAVE</v>
      </c>
      <c r="D14" s="7">
        <f>IF(E14="ECHEC",0,VLOOKUP($A14,[6]HISTONOV25!$A$6:$AR$47,13,0))</f>
        <v>75000</v>
      </c>
      <c r="E14" s="7" t="str">
        <f>VLOOKUP($A14,[6]HISTONOV25!$A$6:$AV$47,9,0)</f>
        <v>BANQUE</v>
      </c>
      <c r="F14" s="7">
        <f>VLOOKUP($A14,[6]HISTONOV25!$A$6:$AV$47,36,0)</f>
        <v>0</v>
      </c>
      <c r="G14" s="7">
        <f>VLOOKUP($A14,[6]HISTONOV25!$A$6:$AV$47,39,0)</f>
        <v>0</v>
      </c>
      <c r="H14" s="7" t="str">
        <f>IF(G14=0,"",VLOOKUP($A14,[6]HISTOFEV25!$A$6:$AV$47,42,0))</f>
        <v/>
      </c>
      <c r="I14" s="7">
        <f>VLOOKUP($A14,[6]HISTONOV25!$A$6:$AV$47,41,0)</f>
        <v>0</v>
      </c>
      <c r="J14" s="7">
        <f>+TONTOCT25!F14+TONTOCT25!G14</f>
        <v>0</v>
      </c>
      <c r="K14" s="7">
        <f>VLOOKUP($A14,[6]HISTONOV25!$A$6:$AV$47,17,0)</f>
        <v>0</v>
      </c>
      <c r="L14" s="7" t="str">
        <f>IF(K14&lt;&gt;0,VLOOKUP($A14,[6]HISTONOV25!$A$6:$BB$47,42,0),"ECHEC")</f>
        <v>ECHEC</v>
      </c>
      <c r="M14" s="7">
        <f>IF(P14=0,0,VLOOKUP($A14,[6]HISTONOV25!$A$6:$AV$47,32,0))</f>
        <v>0</v>
      </c>
      <c r="N14" s="7">
        <f>VLOOKUP($A14,[6]HISTONOV25!$A$6:$AV$47,33,0)</f>
        <v>0</v>
      </c>
      <c r="O14" s="7">
        <f t="shared" si="0"/>
        <v>0</v>
      </c>
      <c r="P14" s="7">
        <f>VLOOKUP($A14,[6]HISTONOV25!$A$6:$AV$47,30,0)</f>
        <v>0</v>
      </c>
    </row>
    <row r="15" spans="1:16" x14ac:dyDescent="0.35">
      <c r="A15" s="9" t="s">
        <v>48</v>
      </c>
      <c r="B15" s="7">
        <f>IF(D15=0,0,VLOOKUP($A15,[6]HISTONOV25!$A$6:$BB$47,12,0))</f>
        <v>1</v>
      </c>
      <c r="C15" s="1" t="str">
        <f>VLOOKUP(A15,[7]LISTADHERENT!A$5:H$60,3,0)</f>
        <v>TCHOUAMOU MATHIEU</v>
      </c>
      <c r="D15" s="7">
        <f>IF(E15="ECHEC",0,VLOOKUP($A15,[6]HISTONOV25!$A$6:$AR$47,13,0))</f>
        <v>75000</v>
      </c>
      <c r="E15" s="7" t="str">
        <f>VLOOKUP($A15,[6]HISTONOV25!$A$6:$AV$47,9,0)</f>
        <v>BANQUE</v>
      </c>
      <c r="F15" s="7">
        <f>VLOOKUP($A15,[6]HISTONOV25!$A$6:$AV$47,36,0)</f>
        <v>0</v>
      </c>
      <c r="G15" s="7">
        <f>VLOOKUP($A15,[6]HISTONOV25!$A$6:$AV$47,39,0)</f>
        <v>0</v>
      </c>
      <c r="H15" s="7" t="str">
        <f>IF(G15=0,"",VLOOKUP($A15,[6]HISTOFEV25!$A$6:$AV$47,42,0))</f>
        <v/>
      </c>
      <c r="I15" s="7">
        <f>VLOOKUP($A15,[6]HISTONOV25!$A$6:$AV$47,41,0)</f>
        <v>0</v>
      </c>
      <c r="J15" s="7">
        <f>+TONTOCT25!F15+TONTOCT25!G15</f>
        <v>101000</v>
      </c>
      <c r="K15" s="7">
        <f>VLOOKUP($A15,[6]HISTONOV25!$A$6:$AV$47,17,0)</f>
        <v>101000</v>
      </c>
      <c r="L15" s="7" t="str">
        <f>IF(K15&lt;&gt;0,VLOOKUP($A15,[6]HISTONOV25!$A$6:$BB$47,42,0),"ECHEC")</f>
        <v>BANQUE</v>
      </c>
      <c r="M15" s="7">
        <f>IF(P15=0,0,VLOOKUP($A15,[6]HISTONOV25!$A$6:$AV$47,32,0))</f>
        <v>0</v>
      </c>
      <c r="N15" s="7">
        <f>VLOOKUP($A15,[6]HISTONOV25!$A$6:$AV$47,33,0)</f>
        <v>0</v>
      </c>
      <c r="O15" s="7">
        <f t="shared" si="0"/>
        <v>0</v>
      </c>
      <c r="P15" s="7">
        <f>VLOOKUP($A15,[6]HISTONOV25!$A$6:$AV$47,30,0)</f>
        <v>0</v>
      </c>
    </row>
    <row r="16" spans="1:16" x14ac:dyDescent="0.35">
      <c r="A16" s="23" t="s">
        <v>59</v>
      </c>
      <c r="B16" s="7">
        <f>IF(D16=0,0,VLOOKUP($A16,[6]HISTONOV25!$A$6:$BB$47,12,0))</f>
        <v>1</v>
      </c>
      <c r="C16" s="1" t="str">
        <f>VLOOKUP(A16,[7]LISTADHERENT!A$5:H$60,3,0)</f>
        <v>YANTCHOU GERVAIS</v>
      </c>
      <c r="D16" s="7">
        <f>IF(E16="ECHEC",0,VLOOKUP($A16,[6]HISTONOV25!$A$6:$AR$47,13,0))</f>
        <v>75000</v>
      </c>
      <c r="E16" s="7" t="str">
        <f>VLOOKUP($A16,[6]HISTONOV25!$A$6:$AV$47,9,0)</f>
        <v>BANQUE</v>
      </c>
      <c r="F16" s="7">
        <f>VLOOKUP($A16,[6]HISTONOV25!$A$6:$AV$47,36,0)</f>
        <v>0</v>
      </c>
      <c r="G16" s="7">
        <f>VLOOKUP($A16,[6]HISTONOV25!$A$6:$AV$47,39,0)</f>
        <v>0</v>
      </c>
      <c r="H16" s="7" t="str">
        <f>IF(G16=0,"",VLOOKUP($A16,[6]HISTOFEV25!$A$6:$AV$47,42,0))</f>
        <v/>
      </c>
      <c r="I16" s="7">
        <f>VLOOKUP($A16,[6]HISTONOV25!$A$6:$AV$47,41,0)</f>
        <v>0</v>
      </c>
      <c r="J16" s="7">
        <f>+TONTOCT25!F16+TONTOCT25!G16</f>
        <v>101500</v>
      </c>
      <c r="K16" s="7">
        <f>VLOOKUP($A16,[6]HISTONOV25!$A$6:$AV$47,17,0)</f>
        <v>101500</v>
      </c>
      <c r="L16" s="7" t="str">
        <f>IF(K16&lt;&gt;0,VLOOKUP($A16,[6]HISTONOV25!$A$6:$BB$47,42,0),"ECHEC")</f>
        <v>BANQUE</v>
      </c>
      <c r="M16" s="7">
        <f>IF(P16=0,0,VLOOKUP($A16,[6]HISTONOV25!$A$6:$AV$47,32,0))</f>
        <v>0</v>
      </c>
      <c r="N16" s="7">
        <f>VLOOKUP($A16,[6]HISTONOV25!$A$6:$AV$47,33,0)</f>
        <v>0</v>
      </c>
      <c r="O16" s="7">
        <f t="shared" si="0"/>
        <v>892500</v>
      </c>
      <c r="P16" s="7">
        <f>VLOOKUP($A16,[6]HISTONOV25!$A$6:$AV$47,30,0)</f>
        <v>7500</v>
      </c>
    </row>
    <row r="17" spans="1:16" x14ac:dyDescent="0.35">
      <c r="A17" s="1" t="s">
        <v>19</v>
      </c>
      <c r="B17" s="7">
        <f>IF(D17=0,0,VLOOKUP($A17,[6]HISTONOV25!$A$6:$BB$47,12,0))</f>
        <v>1</v>
      </c>
      <c r="C17" s="1" t="str">
        <f>VLOOKUP(A17,[7]LISTADHERENT!A$5:H$60,3,0)</f>
        <v>YOUMBI EMMANUEL</v>
      </c>
      <c r="D17" s="7">
        <f>IF(E17="ECHEC",0,VLOOKUP($A17,[6]HISTONOV25!$A$6:$AR$47,13,0))</f>
        <v>75000</v>
      </c>
      <c r="E17" s="7" t="str">
        <f>VLOOKUP($A17,[6]HISTONOV25!$A$6:$AV$47,9,0)</f>
        <v>BANQUE</v>
      </c>
      <c r="F17" s="7">
        <f>VLOOKUP($A17,[6]HISTONOV25!$A$6:$AV$47,36,0)</f>
        <v>0</v>
      </c>
      <c r="G17" s="7">
        <f>VLOOKUP($A17,[6]HISTONOV25!$A$6:$AV$47,39,0)</f>
        <v>0</v>
      </c>
      <c r="H17" s="7" t="str">
        <f>IF(G17=0,"",VLOOKUP($A17,[6]HISTOFEV25!$A$6:$AV$47,42,0))</f>
        <v/>
      </c>
      <c r="I17" s="7">
        <f>VLOOKUP($A17,[6]HISTONOV25!$A$6:$AV$47,41,0)</f>
        <v>0</v>
      </c>
      <c r="J17" s="7">
        <f>+TONTOCT25!F17+TONTOCT25!G17</f>
        <v>0</v>
      </c>
      <c r="K17" s="7">
        <f>VLOOKUP($A17,[6]HISTONOV25!$A$6:$AV$47,17,0)</f>
        <v>0</v>
      </c>
      <c r="L17" s="7" t="str">
        <f>IF(K17&lt;&gt;0,VLOOKUP($A17,[6]HISTONOV25!$A$6:$BB$47,42,0),"ECHEC")</f>
        <v>ECHEC</v>
      </c>
      <c r="M17" s="7">
        <f>IF(P17=0,0,VLOOKUP($A17,[6]HISTONOV25!$A$6:$AV$47,32,0))</f>
        <v>0</v>
      </c>
      <c r="N17" s="7">
        <f>VLOOKUP($A17,[6]HISTONOV25!$A$6:$AV$47,33,0)</f>
        <v>0</v>
      </c>
      <c r="O17" s="7">
        <f t="shared" si="0"/>
        <v>892500</v>
      </c>
      <c r="P17" s="7">
        <f>VLOOKUP($A17,[6]HISTONOV25!$A$6:$AV$47,30,0)</f>
        <v>7500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101500</v>
      </c>
      <c r="G20" s="8">
        <f t="shared" si="1"/>
        <v>3000</v>
      </c>
      <c r="H20" s="8">
        <f t="shared" si="1"/>
        <v>0</v>
      </c>
      <c r="I20" s="8">
        <f t="shared" si="1"/>
        <v>0</v>
      </c>
      <c r="J20" s="8">
        <f t="shared" si="1"/>
        <v>809500</v>
      </c>
      <c r="K20" s="8">
        <f t="shared" si="1"/>
        <v>809500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1785000</v>
      </c>
      <c r="P20" s="8">
        <f t="shared" si="1"/>
        <v>15000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1499500</v>
      </c>
      <c r="L22" s="5"/>
      <c r="M22"/>
      <c r="N22" s="5"/>
    </row>
    <row r="23" spans="1:16" s="2" customFormat="1" ht="17.5" x14ac:dyDescent="0.35">
      <c r="D23" s="8">
        <f>SUMIFS(D6:D19,E6:E19,"ESPECES")</f>
        <v>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1800000</v>
      </c>
      <c r="L23" s="8">
        <f>D3</f>
        <v>1</v>
      </c>
      <c r="M23" s="8">
        <f>COUNTIF(O7:O14,"&gt;0")</f>
        <v>0</v>
      </c>
      <c r="N23" s="8"/>
    </row>
    <row r="24" spans="1:16" s="2" customFormat="1" ht="17.5" x14ac:dyDescent="0.35">
      <c r="D24" s="8">
        <f>SUMIFS(D6:D19,E6:E19,"BANQUE")</f>
        <v>975000</v>
      </c>
      <c r="E24" s="8">
        <f>SUMIFS(K7:K14,L7:L14,"BANQUE")</f>
        <v>607000</v>
      </c>
      <c r="F24" s="8">
        <f>SUMIFS(F7:F19,H7:H19,"BANQUE")</f>
        <v>0</v>
      </c>
      <c r="G24" s="8">
        <f>SUMIFS(O7:O19,M7:M19,"BANQUE")</f>
        <v>0</v>
      </c>
      <c r="H24" s="8">
        <f>D24+E24-F24-G24</f>
        <v>1582000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-300500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607000</v>
      </c>
      <c r="F26" s="8">
        <f>F23+F24</f>
        <v>0</v>
      </c>
      <c r="G26" s="8">
        <f t="shared" ref="G26:H26" si="2">G23+G24</f>
        <v>0</v>
      </c>
      <c r="H26" s="8">
        <f t="shared" si="2"/>
        <v>1582000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-402000</v>
      </c>
      <c r="L27"/>
      <c r="M27" s="8">
        <f>K27</f>
        <v>-402000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202500</v>
      </c>
      <c r="M30" s="8">
        <f>+K30+TONTFEV25!M30</f>
        <v>202500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B524-CDB8-4B8A-9D9B-0196F7F4C151}">
  <dimension ref="A1:P30"/>
  <sheetViews>
    <sheetView tabSelected="1" zoomScale="112" zoomScaleNormal="112" workbookViewId="0">
      <pane xSplit="3" ySplit="5" topLeftCell="D12" activePane="bottomRight" state="frozen"/>
      <selection activeCell="J11" sqref="J11"/>
      <selection pane="topRight" activeCell="J11" sqref="J11"/>
      <selection pane="bottomLeft" activeCell="J11" sqref="J11"/>
      <selection pane="bottomRight" activeCell="E17" sqref="E17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</v>
      </c>
      <c r="E3" s="1"/>
      <c r="L3" s="1"/>
      <c r="M3" s="1"/>
    </row>
    <row r="4" spans="1:16" s="12" customFormat="1" ht="17.5" x14ac:dyDescent="0.35">
      <c r="B4" s="13"/>
      <c r="C4" s="24">
        <v>46004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IF(D6=0,0,VLOOKUP($A6,[6]HISTODEC25!$A$6:$BB$47,12,0))</f>
        <v>2</v>
      </c>
      <c r="C6" s="1" t="str">
        <f>VLOOKUP(A6,[7]LISTADHERENT!A$5:H$60,3,0)</f>
        <v>ASELBY</v>
      </c>
      <c r="D6" s="7">
        <f>IF(E6="ECHEC",0,VLOOKUP($A6,[6]HISTODEC25!$A$6:$AR$47,13,0))</f>
        <v>150000</v>
      </c>
      <c r="E6" s="7" t="str">
        <f>VLOOKUP($A6,[6]HISTODEC25!$A$6:$AV$47,9,0)</f>
        <v>BANQUE</v>
      </c>
      <c r="F6" s="7">
        <f>VLOOKUP($A6,[6]HISTODEC25!$A$6:$AV$47,36,0)</f>
        <v>0</v>
      </c>
      <c r="G6" s="7">
        <f>VLOOKUP($A6,[6]HISTODEC25!$A$6:$AV$47,39,0)</f>
        <v>0</v>
      </c>
      <c r="H6" s="7" t="str">
        <f>IF(G6=0,"",VLOOKUP($A6,[6]HISTOFEV25!$A$6:$AV$47,42,0))</f>
        <v/>
      </c>
      <c r="I6" s="7">
        <f>VLOOKUP($A6,[6]HISTODEC25!$A$6:$AV$47,41,0)</f>
        <v>0</v>
      </c>
      <c r="J6" s="7">
        <f>+TONTNOV25!F6+TONTNOV25!G6</f>
        <v>0</v>
      </c>
      <c r="K6" s="7">
        <f>VLOOKUP($A6,[6]HISTODEC25!$A$6:$AV$47,17,0)</f>
        <v>0</v>
      </c>
      <c r="L6" s="7" t="str">
        <f>IF(K6&lt;&gt;0,VLOOKUP($A6,[6]HISTODEC25!$A$6:$BB$47,42,0),"ECHEC")</f>
        <v>ECHEC</v>
      </c>
      <c r="M6" s="7">
        <f>IF(P6=0,0,VLOOKUP($A6,[6]HISTODEC25!$A$6:$AV$47,32,0))</f>
        <v>0</v>
      </c>
      <c r="N6" s="7">
        <f>VLOOKUP($A6,[6]HISTODEC25!$A$6:$AV$47,33,0)</f>
        <v>0</v>
      </c>
      <c r="O6" s="7">
        <f t="shared" ref="O6:O17" si="0">IF(P6=0,0,($C$3-P6))</f>
        <v>892500</v>
      </c>
      <c r="P6" s="7">
        <f>VLOOKUP($A6,[6]HISTODEC25!$A$6:$AV$47,30,0)</f>
        <v>7500</v>
      </c>
    </row>
    <row r="7" spans="1:16" x14ac:dyDescent="0.35">
      <c r="A7" s="1" t="s">
        <v>24</v>
      </c>
      <c r="B7" s="7">
        <f>IF(D7=0,0,VLOOKUP($A7,[6]HISTODEC25!$A$6:$BB$47,12,0))</f>
        <v>1</v>
      </c>
      <c r="C7" s="1" t="str">
        <f>VLOOKUP(A7,[7]LISTADHERENT!A$5:H$60,3,0)</f>
        <v>BOUTCHOUANG WILLIAM</v>
      </c>
      <c r="D7" s="7">
        <f>IF(E7="ECHEC",0,VLOOKUP($A7,[6]HISTODEC25!$A$6:$AR$47,13,0))</f>
        <v>75000</v>
      </c>
      <c r="E7" s="7" t="str">
        <f>VLOOKUP($A7,[6]HISTODEC25!$A$6:$AV$47,9,0)</f>
        <v>BANQUE</v>
      </c>
      <c r="F7" s="7">
        <f>VLOOKUP($A7,[6]HISTODEC25!$A$6:$AV$47,36,0)</f>
        <v>0</v>
      </c>
      <c r="G7" s="7">
        <f>VLOOKUP($A7,[6]HISTODEC25!$A$6:$AV$47,39,0)</f>
        <v>0</v>
      </c>
      <c r="H7" s="7" t="str">
        <f>IF(G7=0,"",VLOOKUP($A7,[6]HISTOFEV25!$A$6:$AV$47,42,0))</f>
        <v/>
      </c>
      <c r="I7" s="7">
        <f>VLOOKUP($A7,[6]HISTODEC25!$A$6:$AV$47,41,0)</f>
        <v>0</v>
      </c>
      <c r="J7" s="7">
        <f>+TONTNOV25!F7+TONTNOV25!G7</f>
        <v>0</v>
      </c>
      <c r="K7" s="7">
        <f>VLOOKUP($A7,[6]HISTODEC25!$A$6:$AV$47,17,0)</f>
        <v>0</v>
      </c>
      <c r="L7" s="7" t="str">
        <f>IF(K7&lt;&gt;0,VLOOKUP($A7,[6]HISTODEC25!$A$6:$BB$47,42,0),"ECHEC")</f>
        <v>ECHEC</v>
      </c>
      <c r="M7" s="7">
        <f>IF(P7=0,0,VLOOKUP($A7,[6]HISTODEC25!$A$6:$AV$47,32,0))</f>
        <v>0</v>
      </c>
      <c r="N7" s="7">
        <f>VLOOKUP($A7,[6]HISTODEC25!$A$6:$AV$47,33,0)</f>
        <v>0</v>
      </c>
      <c r="O7" s="7">
        <f t="shared" si="0"/>
        <v>0</v>
      </c>
      <c r="P7" s="7">
        <f>VLOOKUP($A7,[6]HISTODEC25!$A$6:$AV$47,30,0)</f>
        <v>0</v>
      </c>
    </row>
    <row r="8" spans="1:16" x14ac:dyDescent="0.35">
      <c r="A8" s="1" t="s">
        <v>18</v>
      </c>
      <c r="B8" s="7">
        <f>IF(D8=0,0,VLOOKUP($A8,[6]HISTODEC25!$A$6:$BB$47,12,0))</f>
        <v>1</v>
      </c>
      <c r="C8" s="1" t="str">
        <f>VLOOKUP(A8,[7]LISTADHERENT!A$5:H$60,3,0)</f>
        <v>HOTCHO BENJAMIN</v>
      </c>
      <c r="D8" s="7">
        <f>IF(E8="ECHEC",0,VLOOKUP($A8,[6]HISTODEC25!$A$6:$AR$47,13,0))</f>
        <v>75000</v>
      </c>
      <c r="E8" s="7" t="str">
        <f>VLOOKUP($A8,[6]HISTODEC25!$A$6:$AV$47,9,0)</f>
        <v>BANQUE</v>
      </c>
      <c r="F8" s="7">
        <f>VLOOKUP($A8,[6]HISTODEC25!$A$6:$AV$47,36,0)</f>
        <v>0</v>
      </c>
      <c r="G8" s="7">
        <f>VLOOKUP($A8,[6]HISTODEC25!$A$6:$AV$47,39,0)</f>
        <v>0</v>
      </c>
      <c r="H8" s="7" t="str">
        <f>IF(G8=0,"",VLOOKUP($A8,[6]HISTOFEV25!$A$6:$AV$47,42,0))</f>
        <v/>
      </c>
      <c r="I8" s="7">
        <f>VLOOKUP($A8,[6]HISTODEC25!$A$6:$AV$47,41,0)</f>
        <v>0</v>
      </c>
      <c r="J8" s="7">
        <f>+TONTNOV25!F8+TONTNOV25!G8</f>
        <v>0</v>
      </c>
      <c r="K8" s="7">
        <f>VLOOKUP($A8,[6]HISTODEC25!$A$6:$AV$47,17,0)</f>
        <v>0</v>
      </c>
      <c r="L8" s="7" t="str">
        <f>IF(K8&lt;&gt;0,VLOOKUP($A8,[6]HISTODEC25!$A$6:$BB$47,42,0),"ECHEC")</f>
        <v>ECHEC</v>
      </c>
      <c r="M8" s="7">
        <f>IF(P8=0,0,VLOOKUP($A8,[6]HISTODEC25!$A$6:$AV$47,32,0))</f>
        <v>0</v>
      </c>
      <c r="N8" s="7">
        <f>VLOOKUP($A8,[6]HISTODEC25!$A$6:$AV$47,33,0)</f>
        <v>0</v>
      </c>
      <c r="O8" s="7">
        <f t="shared" si="0"/>
        <v>0</v>
      </c>
      <c r="P8" s="7">
        <f>VLOOKUP($A8,[6]HISTODEC25!$A$6:$AV$47,30,0)</f>
        <v>0</v>
      </c>
    </row>
    <row r="9" spans="1:16" x14ac:dyDescent="0.35">
      <c r="A9" s="1" t="s">
        <v>60</v>
      </c>
      <c r="B9" s="7">
        <f>IF(D9=0,0,VLOOKUP($A9,[6]HISTODEC25!$A$6:$BB$47,12,0))</f>
        <v>1</v>
      </c>
      <c r="C9" s="1" t="str">
        <f>VLOOKUP(A9,[7]LISTADHERENT!A$5:H$60,3,0)</f>
        <v>KOUATCHO MESSACK</v>
      </c>
      <c r="D9" s="7">
        <f>IF(E9="ECHEC",0,VLOOKUP($A9,[6]HISTODEC25!$A$6:$AR$47,13,0))</f>
        <v>75000</v>
      </c>
      <c r="E9" s="7" t="s">
        <v>9</v>
      </c>
      <c r="F9" s="7">
        <f>VLOOKUP($A9,[6]HISTODEC25!$A$6:$AV$47,36,0)</f>
        <v>0</v>
      </c>
      <c r="G9" s="7">
        <f>VLOOKUP($A9,[6]HISTODEC25!$A$6:$AV$47,39,0)</f>
        <v>0</v>
      </c>
      <c r="H9" s="7" t="str">
        <f>IF(G9=0,"",VLOOKUP($A9,[6]HISTOFEV25!$A$6:$AV$47,42,0))</f>
        <v/>
      </c>
      <c r="I9" s="7">
        <f>VLOOKUP($A9,[6]HISTODEC25!$A$6:$AV$47,41,0)</f>
        <v>0</v>
      </c>
      <c r="J9" s="7">
        <f>+TONTNOV25!F9+TONTNOV25!G9</f>
        <v>0</v>
      </c>
      <c r="K9" s="7">
        <f>VLOOKUP($A9,[6]HISTODEC25!$A$6:$AV$47,17,0)</f>
        <v>0</v>
      </c>
      <c r="L9" s="7" t="str">
        <f>IF(K9&lt;&gt;0,VLOOKUP($A9,[6]HISTODEC25!$A$6:$BB$47,42,0),"ECHEC")</f>
        <v>ECHEC</v>
      </c>
      <c r="M9" s="7">
        <f>IF(P9=0,0,VLOOKUP($A9,[6]HISTODEC25!$A$6:$AV$47,32,0))</f>
        <v>0</v>
      </c>
      <c r="N9" s="7">
        <f>VLOOKUP($A9,[6]HISTODEC25!$A$6:$AV$47,33,0)</f>
        <v>0</v>
      </c>
      <c r="O9" s="7">
        <f t="shared" si="0"/>
        <v>0</v>
      </c>
      <c r="P9" s="7">
        <f>VLOOKUP($A9,[6]HISTODEC25!$A$6:$AV$47,30,0)</f>
        <v>0</v>
      </c>
    </row>
    <row r="10" spans="1:16" x14ac:dyDescent="0.35">
      <c r="A10" s="1" t="s">
        <v>26</v>
      </c>
      <c r="B10" s="7">
        <f>IF(D10=0,0,VLOOKUP($A10,[6]HISTODEC25!$A$6:$BB$47,12,0))</f>
        <v>1</v>
      </c>
      <c r="C10" s="1" t="str">
        <f>VLOOKUP(A10,[7]LISTADHERENT!A$5:H$60,3,0)</f>
        <v>HENGUE PAUL OMER</v>
      </c>
      <c r="D10" s="7">
        <f>IF(E10="ECHEC",0,VLOOKUP($A10,[6]HISTODEC25!$A$6:$AR$47,13,0))</f>
        <v>75000</v>
      </c>
      <c r="E10" s="7" t="str">
        <f>VLOOKUP($A10,[6]HISTODEC25!$A$6:$AV$47,9,0)</f>
        <v>BANQUE</v>
      </c>
      <c r="F10" s="7">
        <f>VLOOKUP($A10,[6]HISTODEC25!$A$6:$AV$47,36,0)</f>
        <v>0</v>
      </c>
      <c r="G10" s="7">
        <f>VLOOKUP($A10,[6]HISTODEC25!$A$6:$AV$47,39,0)</f>
        <v>0</v>
      </c>
      <c r="H10" s="7" t="str">
        <f>IF(G10=0,"",VLOOKUP($A10,[6]HISTOFEV25!$A$6:$AV$47,42,0))</f>
        <v/>
      </c>
      <c r="I10" s="7">
        <f>VLOOKUP($A10,[6]HISTODEC25!$A$6:$AV$47,41,0)</f>
        <v>0</v>
      </c>
      <c r="J10" s="7">
        <f>+TONTNOV25!F10+TONTNOV25!G10</f>
        <v>0</v>
      </c>
      <c r="K10" s="7">
        <f>VLOOKUP($A10,[6]HISTODEC25!$A$6:$AV$47,17,0)</f>
        <v>0</v>
      </c>
      <c r="L10" s="7" t="str">
        <f>IF(K10&lt;&gt;0,VLOOKUP($A10,[6]HISTODEC25!$A$6:$BB$47,42,0),"ECHEC")</f>
        <v>ECHEC</v>
      </c>
      <c r="M10" s="7">
        <f>IF(P10=0,0,VLOOKUP($A10,[6]HISTODEC25!$A$6:$AV$47,32,0))</f>
        <v>0</v>
      </c>
      <c r="N10" s="7">
        <f>VLOOKUP($A10,[6]HISTODEC25!$A$6:$AV$47,33,0)</f>
        <v>0</v>
      </c>
      <c r="O10" s="7">
        <f t="shared" si="0"/>
        <v>0</v>
      </c>
      <c r="P10" s="7">
        <f>VLOOKUP($A10,[6]HISTODEC25!$A$6:$AV$47,30,0)</f>
        <v>0</v>
      </c>
    </row>
    <row r="11" spans="1:16" x14ac:dyDescent="0.35">
      <c r="A11" s="1" t="s">
        <v>21</v>
      </c>
      <c r="B11" s="7">
        <f>IF(D11=0,0,VLOOKUP($A11,[6]HISTODEC25!$A$6:$BB$47,12,0))</f>
        <v>1</v>
      </c>
      <c r="C11" s="1" t="str">
        <f>VLOOKUP(A11,[7]LISTADHERENT!A$5:H$60,3,0)</f>
        <v>MBOGNING TUGMA GUY</v>
      </c>
      <c r="D11" s="7">
        <f>IF(E11="ECHEC",0,VLOOKUP($A11,[6]HISTODEC25!$A$6:$AR$47,13,0))</f>
        <v>75000</v>
      </c>
      <c r="E11" s="7" t="str">
        <f>VLOOKUP($A11,[6]HISTODEC25!$A$6:$AV$47,9,0)</f>
        <v>ESPECES</v>
      </c>
      <c r="F11" s="7">
        <f>VLOOKUP($A11,[6]HISTODEC25!$A$6:$AV$47,36,0)</f>
        <v>0</v>
      </c>
      <c r="G11" s="7">
        <f>VLOOKUP($A11,[6]HISTODEC25!$A$6:$AV$47,39,0)</f>
        <v>0</v>
      </c>
      <c r="H11" s="7" t="str">
        <f>IF(G11=0,"",VLOOKUP($A11,[6]HISTOFEV25!$A$6:$AV$47,42,0))</f>
        <v/>
      </c>
      <c r="I11" s="7">
        <f>VLOOKUP($A11,[6]HISTODEC25!$A$6:$AV$47,41,0)</f>
        <v>0</v>
      </c>
      <c r="J11" s="7">
        <f>+TONTNOV25!F11+TONTNOV25!G11</f>
        <v>0</v>
      </c>
      <c r="K11" s="7">
        <f>VLOOKUP($A11,[6]HISTODEC25!$A$6:$AV$47,17,0)</f>
        <v>0</v>
      </c>
      <c r="L11" s="7" t="str">
        <f>IF(K11&lt;&gt;0,VLOOKUP($A11,[6]HISTODEC25!$A$6:$BB$47,42,0),"ECHEC")</f>
        <v>ECHEC</v>
      </c>
      <c r="M11" s="7">
        <f>IF(P11=0,0,VLOOKUP($A11,[6]HISTODEC25!$A$6:$AV$47,32,0))</f>
        <v>0</v>
      </c>
      <c r="N11" s="7">
        <f>VLOOKUP($A11,[6]HISTODEC25!$A$6:$AV$47,33,0)</f>
        <v>0</v>
      </c>
      <c r="O11" s="7">
        <f t="shared" si="0"/>
        <v>0</v>
      </c>
      <c r="P11" s="7">
        <f>VLOOKUP($A11,[6]HISTODEC25!$A$6:$AV$47,30,0)</f>
        <v>0</v>
      </c>
    </row>
    <row r="12" spans="1:16" x14ac:dyDescent="0.35">
      <c r="A12" s="1" t="s">
        <v>8</v>
      </c>
      <c r="B12" s="7">
        <f>IF(D12=0,0,VLOOKUP($A12,[6]HISTODEC25!$A$6:$BB$47,12,0))</f>
        <v>1</v>
      </c>
      <c r="C12" s="1" t="str">
        <f>VLOOKUP(A12,[7]LISTADHERENT!A$5:H$60,3,0)</f>
        <v>NANKAM APPOLINAIRE</v>
      </c>
      <c r="D12" s="7">
        <f>IF(E12="ECHEC",0,VLOOKUP($A12,[6]HISTODEC25!$A$6:$AR$47,13,0))</f>
        <v>75000</v>
      </c>
      <c r="E12" s="7" t="str">
        <f>VLOOKUP($A12,[6]HISTODEC25!$A$6:$AV$47,9,0)</f>
        <v>BANQUE</v>
      </c>
      <c r="F12" s="7">
        <f>VLOOKUP($A12,[6]HISTODEC25!$A$6:$AV$47,36,0)</f>
        <v>0</v>
      </c>
      <c r="G12" s="7">
        <f>VLOOKUP($A12,[6]HISTODEC25!$A$6:$AV$47,39,0)</f>
        <v>0</v>
      </c>
      <c r="H12" s="7" t="str">
        <f>IF(G12=0,"",VLOOKUP($A12,[6]HISTOFEV25!$A$6:$AV$47,42,0))</f>
        <v/>
      </c>
      <c r="I12" s="7">
        <f>VLOOKUP($A12,[6]HISTODEC25!$A$6:$AV$47,41,0)</f>
        <v>0</v>
      </c>
      <c r="J12" s="7">
        <f>+TONTNOV25!F12+TONTNOV25!G12</f>
        <v>0</v>
      </c>
      <c r="K12" s="7">
        <f>VLOOKUP($A12,[6]HISTODEC25!$A$6:$AV$47,17,0)</f>
        <v>0</v>
      </c>
      <c r="L12" s="7" t="str">
        <f>IF(K12&lt;&gt;0,VLOOKUP($A12,[6]HISTODEC25!$A$6:$BB$47,42,0),"ECHEC")</f>
        <v>ECHEC</v>
      </c>
      <c r="M12" s="7">
        <f>IF(P12=0,0,VLOOKUP($A12,[6]HISTODEC25!$A$6:$AV$47,32,0))</f>
        <v>0</v>
      </c>
      <c r="N12" s="7">
        <f>VLOOKUP($A12,[6]HISTODEC25!$A$6:$AV$47,33,0)</f>
        <v>0</v>
      </c>
      <c r="O12" s="7">
        <f t="shared" si="0"/>
        <v>0</v>
      </c>
      <c r="P12" s="7">
        <f>VLOOKUP($A12,[6]HISTODEC25!$A$6:$AV$47,30,0)</f>
        <v>0</v>
      </c>
    </row>
    <row r="13" spans="1:16" x14ac:dyDescent="0.35">
      <c r="A13" s="1" t="s">
        <v>35</v>
      </c>
      <c r="B13" s="7">
        <f>IF(D13=0,0,VLOOKUP($A13,[6]HISTODEC25!$A$6:$BB$47,12,0))</f>
        <v>1</v>
      </c>
      <c r="C13" s="1" t="str">
        <f>VLOOKUP(A13,[7]LISTADHERENT!A$5:H$60,3,0)</f>
        <v>NGONDIEP CLAUDE</v>
      </c>
      <c r="D13" s="7">
        <f>IF(E13="ECHEC",0,VLOOKUP($A13,[6]HISTODEC25!$A$6:$AR$47,13,0))</f>
        <v>75000</v>
      </c>
      <c r="E13" s="7" t="str">
        <f>VLOOKUP($A13,[6]HISTODEC25!$A$6:$AV$47,9,0)</f>
        <v>BANQUE</v>
      </c>
      <c r="F13" s="7">
        <f>VLOOKUP($A13,[6]HISTODEC25!$A$6:$AV$47,36,0)</f>
        <v>0</v>
      </c>
      <c r="G13" s="7">
        <f>VLOOKUP($A13,[6]HISTODEC25!$A$6:$AV$47,39,0)</f>
        <v>0</v>
      </c>
      <c r="H13" s="7" t="str">
        <f>IF(G13=0,"",VLOOKUP($A13,[6]HISTOFEV25!$A$6:$AV$47,42,0))</f>
        <v/>
      </c>
      <c r="I13" s="7">
        <f>VLOOKUP($A13,[6]HISTODEC25!$A$6:$AV$47,41,0)</f>
        <v>0</v>
      </c>
      <c r="J13" s="7">
        <f>+TONTNOV25!F13+TONTNOV25!G13</f>
        <v>104500</v>
      </c>
      <c r="K13" s="7">
        <f>VLOOKUP($A13,[6]HISTODEC25!$A$6:$AV$47,17,0)</f>
        <v>104500</v>
      </c>
      <c r="L13" s="7" t="str">
        <f>IF(K13&lt;&gt;0,VLOOKUP($A13,[6]HISTODEC25!$A$6:$BB$47,42,0),"ECHEC")</f>
        <v>BANQUE</v>
      </c>
      <c r="M13" s="7">
        <f>IF(P13=0,0,VLOOKUP($A13,[6]HISTODEC25!$A$6:$AV$47,32,0))</f>
        <v>0</v>
      </c>
      <c r="N13" s="7">
        <f>VLOOKUP($A13,[6]HISTODEC25!$A$6:$AV$47,33,0)</f>
        <v>0</v>
      </c>
      <c r="O13" s="7">
        <f t="shared" si="0"/>
        <v>0</v>
      </c>
      <c r="P13" s="7">
        <f>VLOOKUP($A13,[6]HISTODEC25!$A$6:$AV$47,30,0)</f>
        <v>0</v>
      </c>
    </row>
    <row r="14" spans="1:16" x14ac:dyDescent="0.35">
      <c r="A14" s="1" t="s">
        <v>27</v>
      </c>
      <c r="B14" s="7">
        <f>IF(D14=0,0,VLOOKUP($A14,[6]HISTODEC25!$A$6:$BB$47,12,0))</f>
        <v>1</v>
      </c>
      <c r="C14" s="1" t="str">
        <f>VLOOKUP(A14,[7]LISTADHERENT!A$5:H$60,3,0)</f>
        <v>PATEGO NJOSSU GUSTAVE</v>
      </c>
      <c r="D14" s="7">
        <f>IF(E14="ECHEC",0,VLOOKUP($A14,[6]HISTODEC25!$A$6:$AR$47,13,0))</f>
        <v>75000</v>
      </c>
      <c r="E14" s="7" t="str">
        <f>VLOOKUP($A14,[6]HISTODEC25!$A$6:$AV$47,9,0)</f>
        <v>BANQUE</v>
      </c>
      <c r="F14" s="7">
        <f>VLOOKUP($A14,[6]HISTODEC25!$A$6:$AV$47,36,0)</f>
        <v>0</v>
      </c>
      <c r="G14" s="7">
        <f>VLOOKUP($A14,[6]HISTODEC25!$A$6:$AV$47,39,0)</f>
        <v>0</v>
      </c>
      <c r="H14" s="7" t="str">
        <f>IF(G14=0,"",VLOOKUP($A14,[6]HISTOFEV25!$A$6:$AV$47,42,0))</f>
        <v/>
      </c>
      <c r="I14" s="7">
        <f>VLOOKUP($A14,[6]HISTODEC25!$A$6:$AV$47,41,0)</f>
        <v>0</v>
      </c>
      <c r="J14" s="7">
        <f>+TONTNOV25!F14+TONTNOV25!G14</f>
        <v>0</v>
      </c>
      <c r="K14" s="7">
        <f>VLOOKUP($A14,[6]HISTODEC25!$A$6:$AV$47,17,0)</f>
        <v>0</v>
      </c>
      <c r="L14" s="7" t="str">
        <f>IF(K14&lt;&gt;0,VLOOKUP($A14,[6]HISTODEC25!$A$6:$BB$47,42,0),"ECHEC")</f>
        <v>ECHEC</v>
      </c>
      <c r="M14" s="7">
        <f>IF(P14=0,0,VLOOKUP($A14,[6]HISTODEC25!$A$6:$AV$47,32,0))</f>
        <v>0</v>
      </c>
      <c r="N14" s="7">
        <f>VLOOKUP($A14,[6]HISTODEC25!$A$6:$AV$47,33,0)</f>
        <v>0</v>
      </c>
      <c r="O14" s="7">
        <f t="shared" si="0"/>
        <v>0</v>
      </c>
      <c r="P14" s="7">
        <f>VLOOKUP($A14,[6]HISTODEC25!$A$6:$AV$47,30,0)</f>
        <v>0</v>
      </c>
    </row>
    <row r="15" spans="1:16" x14ac:dyDescent="0.35">
      <c r="A15" s="9" t="s">
        <v>48</v>
      </c>
      <c r="B15" s="7">
        <f>IF(D15=0,0,VLOOKUP($A15,[6]HISTODEC25!$A$6:$BB$47,12,0))</f>
        <v>1</v>
      </c>
      <c r="C15" s="1" t="str">
        <f>VLOOKUP(A15,[7]LISTADHERENT!A$5:H$60,3,0)</f>
        <v>TCHOUAMOU MATHIEU</v>
      </c>
      <c r="D15" s="7">
        <f>IF(E15="ECHEC",0,VLOOKUP($A15,[6]HISTODEC25!$A$6:$AR$47,13,0))</f>
        <v>75000</v>
      </c>
      <c r="E15" s="7" t="str">
        <f>VLOOKUP($A15,[6]HISTODEC25!$A$6:$AV$47,9,0)</f>
        <v>BANQUE</v>
      </c>
      <c r="F15" s="7">
        <f>VLOOKUP($A15,[6]HISTODEC25!$A$6:$AV$47,36,0)</f>
        <v>0</v>
      </c>
      <c r="G15" s="7">
        <f>VLOOKUP($A15,[6]HISTODEC25!$A$6:$AV$47,39,0)</f>
        <v>0</v>
      </c>
      <c r="H15" s="7" t="str">
        <f>IF(G15=0,"",VLOOKUP($A15,[6]HISTOFEV25!$A$6:$AV$47,42,0))</f>
        <v/>
      </c>
      <c r="I15" s="7">
        <f>VLOOKUP($A15,[6]HISTODEC25!$A$6:$AV$47,41,0)</f>
        <v>0</v>
      </c>
      <c r="J15" s="7">
        <f>+TONTNOV25!F15+TONTNOV25!G15</f>
        <v>0</v>
      </c>
      <c r="K15" s="7">
        <f>VLOOKUP($A15,[6]HISTODEC25!$A$6:$AV$47,17,0)</f>
        <v>0</v>
      </c>
      <c r="L15" s="7" t="str">
        <f>IF(K15&lt;&gt;0,VLOOKUP($A15,[6]HISTODEC25!$A$6:$BB$47,42,0),"ECHEC")</f>
        <v>ECHEC</v>
      </c>
      <c r="M15" s="7">
        <f>IF(P15=0,0,VLOOKUP($A15,[6]HISTODEC25!$A$6:$AV$47,32,0))</f>
        <v>0</v>
      </c>
      <c r="N15" s="7">
        <f>VLOOKUP($A15,[6]HISTODEC25!$A$6:$AV$47,33,0)</f>
        <v>0</v>
      </c>
      <c r="O15" s="7">
        <f t="shared" si="0"/>
        <v>0</v>
      </c>
      <c r="P15" s="7">
        <f>VLOOKUP($A15,[6]HISTODEC25!$A$6:$AV$47,30,0)</f>
        <v>0</v>
      </c>
    </row>
    <row r="16" spans="1:16" x14ac:dyDescent="0.35">
      <c r="A16" s="23" t="s">
        <v>59</v>
      </c>
      <c r="B16" s="7">
        <f>IF(D16=0,0,VLOOKUP($A16,[6]HISTODEC25!$A$6:$BB$47,12,0))</f>
        <v>1</v>
      </c>
      <c r="C16" s="1" t="str">
        <f>VLOOKUP(A16,[7]LISTADHERENT!A$5:H$60,3,0)</f>
        <v>YANTCHOU GERVAIS</v>
      </c>
      <c r="D16" s="7">
        <f>IF(E16="ECHEC",0,VLOOKUP($A16,[6]HISTODEC25!$A$6:$AR$47,13,0))</f>
        <v>75000</v>
      </c>
      <c r="E16" s="7" t="str">
        <f>VLOOKUP($A16,[6]HISTODEC25!$A$6:$AV$47,9,0)</f>
        <v>BANQUE</v>
      </c>
      <c r="F16" s="7">
        <f>VLOOKUP($A16,[6]HISTODEC25!$A$6:$AV$47,36,0)</f>
        <v>0</v>
      </c>
      <c r="G16" s="7">
        <f>VLOOKUP($A16,[6]HISTODEC25!$A$6:$AV$47,39,0)</f>
        <v>0</v>
      </c>
      <c r="H16" s="7" t="str">
        <f>IF(G16=0,"",VLOOKUP($A16,[6]HISTOFEV25!$A$6:$AV$47,42,0))</f>
        <v/>
      </c>
      <c r="I16" s="7">
        <f>VLOOKUP($A16,[6]HISTODEC25!$A$6:$AV$47,41,0)</f>
        <v>0</v>
      </c>
      <c r="J16" s="7">
        <f>+TONTNOV25!F16+TONTNOV25!G16</f>
        <v>0</v>
      </c>
      <c r="K16" s="7">
        <f>VLOOKUP($A16,[6]HISTODEC25!$A$6:$AV$47,17,0)</f>
        <v>0</v>
      </c>
      <c r="L16" s="7" t="str">
        <f>IF(K16&lt;&gt;0,VLOOKUP($A16,[6]HISTODEC25!$A$6:$BB$47,42,0),"ECHEC")</f>
        <v>ECHEC</v>
      </c>
      <c r="M16" s="7">
        <f>IF(P16=0,0,VLOOKUP($A16,[6]HISTODEC25!$A$6:$AV$47,32,0))</f>
        <v>0</v>
      </c>
      <c r="N16" s="7">
        <f>VLOOKUP($A16,[6]HISTODEC25!$A$6:$AV$47,33,0)</f>
        <v>0</v>
      </c>
      <c r="O16" s="7">
        <f t="shared" si="0"/>
        <v>0</v>
      </c>
      <c r="P16" s="7">
        <f>VLOOKUP($A16,[6]HISTODEC25!$A$6:$AV$47,30,0)</f>
        <v>0</v>
      </c>
    </row>
    <row r="17" spans="1:16" x14ac:dyDescent="0.35">
      <c r="A17" s="1" t="s">
        <v>19</v>
      </c>
      <c r="B17" s="7">
        <f>IF(D17=0,0,VLOOKUP($A17,[6]HISTODEC25!$A$6:$BB$47,12,0))</f>
        <v>1</v>
      </c>
      <c r="C17" s="1" t="str">
        <f>VLOOKUP(A17,[7]LISTADHERENT!A$5:H$60,3,0)</f>
        <v>YOUMBI EMMANUEL</v>
      </c>
      <c r="D17" s="7">
        <f>IF(E17="ECHEC",0,VLOOKUP($A17,[6]HISTODEC25!$A$6:$AR$47,13,0))</f>
        <v>75000</v>
      </c>
      <c r="E17" s="7" t="str">
        <f>VLOOKUP($A17,[6]HISTODEC25!$A$6:$AV$47,9,0)</f>
        <v>BANQUE</v>
      </c>
      <c r="F17" s="7">
        <f>VLOOKUP($A17,[6]HISTODEC25!$A$6:$AV$47,36,0)</f>
        <v>0</v>
      </c>
      <c r="G17" s="7">
        <f>VLOOKUP($A17,[6]HISTODEC25!$A$6:$AV$47,39,0)</f>
        <v>0</v>
      </c>
      <c r="H17" s="7" t="str">
        <f>IF(G17=0,"",VLOOKUP($A17,[6]HISTOFEV25!$A$6:$AV$47,42,0))</f>
        <v/>
      </c>
      <c r="I17" s="7">
        <f>VLOOKUP($A17,[6]HISTODEC25!$A$6:$AV$47,41,0)</f>
        <v>0</v>
      </c>
      <c r="J17" s="7">
        <f>+TONTNOV25!F17+TONTNOV25!G17</f>
        <v>0</v>
      </c>
      <c r="K17" s="7">
        <f>VLOOKUP($A17,[6]HISTODEC25!$A$6:$AV$47,17,0)</f>
        <v>0</v>
      </c>
      <c r="L17" s="7" t="str">
        <f>IF(K17&lt;&gt;0,VLOOKUP($A17,[6]HISTODEC25!$A$6:$BB$47,42,0),"ECHEC")</f>
        <v>ECHEC</v>
      </c>
      <c r="M17" s="7">
        <f>IF(P17=0,0,VLOOKUP($A17,[6]HISTODEC25!$A$6:$AV$47,32,0))</f>
        <v>0</v>
      </c>
      <c r="N17" s="7">
        <f>VLOOKUP($A17,[6]HISTODEC25!$A$6:$AV$47,33,0)</f>
        <v>0</v>
      </c>
      <c r="O17" s="7">
        <f t="shared" si="0"/>
        <v>0</v>
      </c>
      <c r="P17" s="7">
        <f>VLOOKUP($A17,[6]HISTODEC25!$A$6:$AV$47,30,0)</f>
        <v>0</v>
      </c>
    </row>
    <row r="18" spans="1:16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7.5" x14ac:dyDescent="0.35">
      <c r="A19" s="1" t="s">
        <v>36</v>
      </c>
      <c r="B19" s="8">
        <f>SUM(B6:B18)</f>
        <v>13</v>
      </c>
      <c r="G19" s="11"/>
    </row>
    <row r="20" spans="1:16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975000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104500</v>
      </c>
      <c r="K20" s="8">
        <f t="shared" si="1"/>
        <v>104500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892500</v>
      </c>
      <c r="P20" s="8">
        <f t="shared" si="1"/>
        <v>7500</v>
      </c>
    </row>
    <row r="21" spans="1:16" s="2" customFormat="1" ht="28.5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16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D26+E26+P20+TONTFEV25!M27</f>
        <v>989500</v>
      </c>
      <c r="L22" s="5"/>
      <c r="M22"/>
      <c r="N22" s="5"/>
    </row>
    <row r="23" spans="1:16" s="2" customFormat="1" ht="17.5" x14ac:dyDescent="0.35">
      <c r="D23" s="8">
        <f>SUMIFS(D6:D19,E6:E19,"ESPECES")</f>
        <v>150000</v>
      </c>
      <c r="E23" s="8">
        <f>SUMIFS(K7:K14,L7:L14,"ESPECES")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150000</v>
      </c>
      <c r="I23" s="8"/>
      <c r="J23" s="8" t="s">
        <v>32</v>
      </c>
      <c r="K23" s="8">
        <f>C3*COUNTIF(O7:O19,"&gt;0")</f>
        <v>0</v>
      </c>
      <c r="L23" s="8">
        <f>D3</f>
        <v>1</v>
      </c>
      <c r="M23" s="8">
        <f>COUNTIF(O7:O14,"&gt;0")</f>
        <v>0</v>
      </c>
      <c r="N23" s="8"/>
    </row>
    <row r="24" spans="1:16" s="2" customFormat="1" ht="17.5" x14ac:dyDescent="0.35">
      <c r="D24" s="8">
        <f>SUMIFS(D6:D19,E6:E19,"BANQUE")</f>
        <v>825000</v>
      </c>
      <c r="E24" s="8">
        <f>SUMIFS(K7:K14,L7:L14,"BANQUE")</f>
        <v>104500</v>
      </c>
      <c r="F24" s="8">
        <f>SUMIFS(F7:F19,H7:H19,"BANQUE")</f>
        <v>0</v>
      </c>
      <c r="G24" s="8">
        <f>SUMIFS(O7:O19,M7:M19,"BANQUE")</f>
        <v>0</v>
      </c>
      <c r="H24" s="8">
        <f>D24+E24-F24-G24</f>
        <v>929500</v>
      </c>
      <c r="I24" s="8"/>
      <c r="K24" s="8"/>
      <c r="L24" s="8"/>
      <c r="M24" s="8"/>
      <c r="N24" s="8"/>
    </row>
    <row r="25" spans="1:16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989500</v>
      </c>
      <c r="L25" s="8"/>
      <c r="M25" s="8"/>
      <c r="N25" s="8"/>
    </row>
    <row r="26" spans="1:16" s="2" customFormat="1" ht="17.5" x14ac:dyDescent="0.35">
      <c r="D26" s="8">
        <f>D23+D24</f>
        <v>975000</v>
      </c>
      <c r="E26" s="8">
        <f>E23+E24</f>
        <v>104500</v>
      </c>
      <c r="F26" s="8">
        <f>F23+F24</f>
        <v>0</v>
      </c>
      <c r="G26" s="8">
        <f t="shared" ref="G26:H26" si="2">G23+G24</f>
        <v>0</v>
      </c>
      <c r="H26" s="8">
        <f t="shared" si="2"/>
        <v>1079500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989500</v>
      </c>
      <c r="L27"/>
      <c r="M27" s="8">
        <f>K27</f>
        <v>989500</v>
      </c>
      <c r="N27" s="8" t="s">
        <v>29</v>
      </c>
    </row>
    <row r="28" spans="1:16" s="2" customFormat="1" x14ac:dyDescent="0.35">
      <c r="D28" s="5"/>
      <c r="E28"/>
      <c r="F28"/>
      <c r="G28" s="3"/>
      <c r="H28" s="3"/>
      <c r="I28" s="3"/>
      <c r="L28"/>
      <c r="M28" s="3"/>
      <c r="N28" s="3"/>
    </row>
    <row r="29" spans="1:16" ht="17.5" x14ac:dyDescent="0.35">
      <c r="J29" s="8" t="s">
        <v>44</v>
      </c>
      <c r="K29" s="8">
        <f>COUNTIFS(E7:E18,"ECHEC")*75000</f>
        <v>0</v>
      </c>
      <c r="M29" s="8">
        <f>+K29+TONTFEV25!M29</f>
        <v>0</v>
      </c>
      <c r="N29" s="8" t="s">
        <v>29</v>
      </c>
    </row>
    <row r="30" spans="1:16" ht="17.5" x14ac:dyDescent="0.35">
      <c r="J30" s="8" t="s">
        <v>45</v>
      </c>
      <c r="K30" s="8">
        <f>J20-E26</f>
        <v>0</v>
      </c>
      <c r="M30" s="8">
        <f>+K30+TONTFEV25!M30</f>
        <v>0</v>
      </c>
      <c r="N30" s="8" t="s">
        <v>29</v>
      </c>
    </row>
  </sheetData>
  <autoFilter ref="A5:P13" xr:uid="{00000000-0009-0000-0000-000001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8695-0B5B-4263-9FD4-723DB48BCF0F}">
  <dimension ref="A1:V30"/>
  <sheetViews>
    <sheetView workbookViewId="0">
      <pane xSplit="3" ySplit="5" topLeftCell="D6" activePane="bottomRight" state="frozen"/>
      <selection activeCell="G6" sqref="G6:G39"/>
      <selection pane="topRight" activeCell="G6" sqref="G6:G39"/>
      <selection pane="bottomLeft" activeCell="G6" sqref="G6:G39"/>
      <selection pane="bottomRight" activeCell="E6" sqref="E6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7.81640625" style="2" bestFit="1" customWidth="1"/>
    <col min="12" max="12" width="13" customWidth="1"/>
    <col min="13" max="13" width="17.1796875" bestFit="1" customWidth="1"/>
    <col min="14" max="14" width="15.54296875" style="3" customWidth="1"/>
    <col min="15" max="15" width="18.1796875" style="2" customWidth="1"/>
    <col min="16" max="16" width="22.54296875" style="2" customWidth="1"/>
    <col min="17" max="17" width="12.453125" bestFit="1" customWidth="1"/>
    <col min="19" max="19" width="16.26953125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D1" s="1"/>
      <c r="E1" s="1"/>
      <c r="L1" s="1"/>
      <c r="M1" s="1"/>
    </row>
    <row r="2" spans="1:20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20" x14ac:dyDescent="0.35">
      <c r="A3" s="1" t="s">
        <v>31</v>
      </c>
      <c r="B3" s="4">
        <v>75000</v>
      </c>
      <c r="C3" s="4">
        <f>B3*12</f>
        <v>900000</v>
      </c>
      <c r="D3" s="1">
        <f>ROUNDDOWN(K22/C3,0)</f>
        <v>13</v>
      </c>
      <c r="E3" s="1"/>
      <c r="L3" s="1"/>
      <c r="M3" s="1"/>
    </row>
    <row r="4" spans="1:20" s="12" customFormat="1" ht="17.5" x14ac:dyDescent="0.35">
      <c r="B4" s="13"/>
      <c r="C4" s="24" t="s">
        <v>50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20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  <c r="Q5" s="5" t="s">
        <v>51</v>
      </c>
      <c r="R5" s="5" t="s">
        <v>52</v>
      </c>
      <c r="S5" s="5" t="s">
        <v>53</v>
      </c>
      <c r="T5" s="5" t="s">
        <v>56</v>
      </c>
    </row>
    <row r="6" spans="1:20" ht="18.5" x14ac:dyDescent="0.45">
      <c r="A6" s="1" t="s">
        <v>47</v>
      </c>
      <c r="B6" s="7">
        <f>TONTJANV25!B6+TONTFEV25!B6+TONTMARS25!B6+TONTAVRIL25!B6+TONTMAI25!B6+TONTJUIN25!B6+TONTJUIL25!B6+TONTAOUT25!B6+TONTSEPT25!B6+TONTOCT25!B6+TONTNOV25!B6+TONTDEC25!B6</f>
        <v>24</v>
      </c>
      <c r="C6" s="1" t="str">
        <f>VLOOKUP(A6,[7]LISTADHERENT!A$5:H$60,3,0)</f>
        <v>ASELBY</v>
      </c>
      <c r="D6" s="7">
        <f>TONTJANV25!D6+TONTFEV25!D6+TONTMARS25!D6+TONTAVRIL25!D6+TONTMAI25!D6+TONTJUIN25!D6+TONTJUIL25!D6+TONTAOUT25!D6+TONTSEPT25!D6+TONTOCT25!D6+TONTNOV25!D6+TONTDEC25!D6</f>
        <v>1800000</v>
      </c>
      <c r="E6" s="7"/>
      <c r="F6" s="7">
        <f>TONTJANV25!F6+TONTFEV25!F6+TONTMARS25!F6+TONTAVRIL25!F6+TONTMAI25!F6+TONTJUIN25!F6+TONTJUIL25!F6+TONTAOUT25!F6+TONTSEPT25!F6+TONTOCT25!F6+TONTNOV25!F6+TONTDEC25!F6</f>
        <v>0</v>
      </c>
      <c r="G6" s="7">
        <f>TONTJANV25!G6+TONTFEV25!G6+TONTMARS25!G6+TONTAVRIL25!G6+TONTMAI25!G6+TONTJUIN25!G6+TONTJUIL25!G6+TONTAOUT25!G6+TONTSEPT25!G6+TONTOCT25!G6+TONTNOV25!G6+TONTDEC25!G6</f>
        <v>0</v>
      </c>
      <c r="H6" s="7"/>
      <c r="I6" s="7"/>
      <c r="J6" s="7">
        <f>TONTJANV25!J6+TONTFEV25!J6+TONTMARS25!J6+TONTAVRIL25!J6+TONTMAI25!J6+TONTJUIN25!J6+TONTJUIL25!J6+TONTAOUT25!J6+TONTSEPT25!J6+TONTOCT25!J6+TONTNOV25!J6+TONTDEC25!J6</f>
        <v>0</v>
      </c>
      <c r="K6" s="7">
        <f>TONTJANV25!K6+TONTFEV25!K6+TONTMARS25!K6+TONTAVRIL25!K6+TONTMAI25!K6+TONTJUIN25!K6+TONTJUIL25!K6+TONTAOUT25!K6+TONTSEPT25!K6+TONTOCT25!K6+TONTNOV25!K6+TONTDEC25!K6</f>
        <v>0</v>
      </c>
      <c r="L6" s="7"/>
      <c r="M6" s="7"/>
      <c r="N6" s="7"/>
      <c r="O6" s="7">
        <f>TONTJANV25!O6+TONTFEV25!O6+TONTMARS25!O6+TONTAVRIL25!O6+TONTMAI25!O6+TONTJUIN25!O6+TONTJUIL25!O6+TONTAOUT25!O6+TONTSEPT25!O6+TONTOCT25!O6+TONTNOV25!O6+TONTDEC25!O6</f>
        <v>1785000</v>
      </c>
      <c r="P6" s="7">
        <f>TONTJANV25!P6+TONTFEV25!P6+TONTMARS25!P6+TONTAVRIL25!P6+TONTMAI25!P6+TONTJUIN25!P6+TONTJUIL25!P6+TONTAOUT25!P6+TONTSEPT25!P6+TONTOCT25!P6+TONTNOV25!P6+TONTDEC25!P6</f>
        <v>15000</v>
      </c>
      <c r="Q6" s="16">
        <v>45825</v>
      </c>
      <c r="S6" s="8">
        <f>$Q$26*2</f>
        <v>34384.615384615383</v>
      </c>
      <c r="T6" s="8">
        <v>32000</v>
      </c>
    </row>
    <row r="7" spans="1:20" ht="18.5" x14ac:dyDescent="0.45">
      <c r="A7" s="1" t="s">
        <v>24</v>
      </c>
      <c r="B7" s="7">
        <f>TONTJANV25!B7+TONTFEV25!B7+TONTMARS25!B7+TONTAVRIL25!B7+TONTMAI25!B7+TONTJUIN25!B7+TONTJUIL25!B7+TONTAOUT25!B7+TONTSEPT25!B7+TONTOCT25!B7+TONTNOV25!B7+TONTDEC25!B7</f>
        <v>12</v>
      </c>
      <c r="C7" s="1" t="str">
        <f>VLOOKUP(A7,[7]LISTADHERENT!A$5:H$60,3,0)</f>
        <v>BOUTCHOUANG WILLIAM</v>
      </c>
      <c r="D7" s="7">
        <f>TONTJANV25!D7+TONTFEV25!D7+TONTMARS25!D7+TONTAVRIL25!D7+TONTMAI25!D7+TONTJUIN25!D7+TONTJUIL25!D7+TONTAOUT25!D7+TONTSEPT25!D7+TONTOCT25!D7+TONTNOV25!D7+TONTDEC25!D7</f>
        <v>900000</v>
      </c>
      <c r="E7" s="7"/>
      <c r="F7" s="7">
        <f>TONTJANV25!F7+TONTFEV25!F7+TONTMARS25!F7+TONTAVRIL25!F7+TONTMAI25!F7+TONTJUIN25!F7+TONTJUIL25!F7+TONTAOUT25!F7+TONTSEPT25!F7+TONTOCT25!F7+TONTNOV25!F7+TONTDEC25!F7</f>
        <v>400000</v>
      </c>
      <c r="G7" s="7">
        <f>TONTJANV25!G7+TONTFEV25!G7+TONTMARS25!G7+TONTAVRIL25!G7+TONTMAI25!G7+TONTJUIN25!G7+TONTJUIL25!G7+TONTAOUT25!G7+TONTSEPT25!G7+TONTOCT25!G7+TONTNOV25!G7+TONTDEC25!G7</f>
        <v>6000</v>
      </c>
      <c r="H7" s="7"/>
      <c r="I7" s="7"/>
      <c r="J7" s="7">
        <f>TONTJANV25!J7+TONTFEV25!J7+TONTMARS25!J7+TONTAVRIL25!J7+TONTMAI25!J7+TONTJUIN25!J7+TONTJUIL25!J7+TONTAOUT25!J7+TONTSEPT25!J7+TONTOCT25!J7+TONTNOV25!J7+TONTDEC25!J7</f>
        <v>406000</v>
      </c>
      <c r="K7" s="7">
        <f>TONTJANV25!K7+TONTFEV25!K7+TONTMARS25!K7+TONTAVRIL25!K7+TONTMAI25!K7+TONTJUIN25!K7+TONTJUIL25!K7+TONTAOUT25!K7+TONTSEPT25!K7+TONTOCT25!K7+TONTNOV25!K7+TONTDEC25!K7</f>
        <v>406000</v>
      </c>
      <c r="L7" s="7"/>
      <c r="M7" s="7"/>
      <c r="N7" s="7"/>
      <c r="O7" s="7">
        <f>TONTJANV25!O7+TONTFEV25!O7+TONTMARS25!O7+TONTAVRIL25!O7+TONTMAI25!O7+TONTJUIN25!O7+TONTJUIL25!O7+TONTAOUT25!O7+TONTSEPT25!O7+TONTOCT25!O7+TONTNOV25!O7+TONTDEC25!O7</f>
        <v>892500</v>
      </c>
      <c r="P7" s="7">
        <f>TONTJANV25!P7+TONTFEV25!P7+TONTMARS25!P7+TONTAVRIL25!P7+TONTMAI25!P7+TONTJUIN25!P7+TONTJUIL25!P7+TONTAOUT25!P7+TONTSEPT25!P7+TONTOCT25!P7+TONTNOV25!P7+TONTDEC25!P7</f>
        <v>7500</v>
      </c>
      <c r="Q7" s="16">
        <v>45947</v>
      </c>
      <c r="S7" s="8">
        <f>$Q$26*1</f>
        <v>17192.307692307691</v>
      </c>
      <c r="T7" s="8">
        <v>16000</v>
      </c>
    </row>
    <row r="8" spans="1:20" ht="18.5" x14ac:dyDescent="0.45">
      <c r="A8" s="1" t="s">
        <v>18</v>
      </c>
      <c r="B8" s="7">
        <f>TONTJANV25!B8+TONTFEV25!B8+TONTMARS25!B8+TONTAVRIL25!B8+TONTMAI25!B8+TONTJUIN25!B8+TONTJUIL25!B8+TONTAOUT25!B8+TONTSEPT25!B8+TONTOCT25!B8+TONTNOV25!B8+TONTDEC25!B8</f>
        <v>12</v>
      </c>
      <c r="C8" s="1" t="str">
        <f>VLOOKUP(A8,[7]LISTADHERENT!A$5:H$60,3,0)</f>
        <v>HOTCHO BENJAMIN</v>
      </c>
      <c r="D8" s="7">
        <f>TONTJANV25!D8+TONTFEV25!D8+TONTMARS25!D8+TONTAVRIL25!D8+TONTMAI25!D8+TONTJUIN25!D8+TONTJUIL25!D8+TONTAOUT25!D8+TONTSEPT25!D8+TONTOCT25!D8+TONTNOV25!D8+TONTDEC25!D8</f>
        <v>900000</v>
      </c>
      <c r="E8" s="7"/>
      <c r="F8" s="7">
        <f>TONTJANV25!F8+TONTFEV25!F8+TONTMARS25!F8+TONTAVRIL25!F8+TONTMAI25!F8+TONTJUIN25!F8+TONTJUIL25!F8+TONTAOUT25!F8+TONTSEPT25!F8+TONTOCT25!F8+TONTNOV25!F8+TONTDEC25!F8</f>
        <v>491125</v>
      </c>
      <c r="G8" s="7">
        <f>TONTJANV25!G8+TONTFEV25!G8+TONTMARS25!G8+TONTAVRIL25!G8+TONTMAI25!G8+TONTJUIN25!G8+TONTJUIL25!G8+TONTAOUT25!G8+TONTSEPT25!G8+TONTOCT25!G8+TONTNOV25!G8+TONTDEC25!G8</f>
        <v>9000</v>
      </c>
      <c r="H8" s="7"/>
      <c r="I8" s="7"/>
      <c r="J8" s="7">
        <f>TONTJANV25!J8+TONTFEV25!J8+TONTMARS25!J8+TONTAVRIL25!J8+TONTMAI25!J8+TONTJUIN25!J8+TONTJUIL25!J8+TONTAOUT25!J8+TONTSEPT25!J8+TONTOCT25!J8+TONTNOV25!J8+TONTDEC25!J8</f>
        <v>500125</v>
      </c>
      <c r="K8" s="7">
        <f>TONTJANV25!K8+TONTFEV25!K8+TONTMARS25!K8+TONTAVRIL25!K8+TONTMAI25!K8+TONTJUIN25!K8+TONTJUIL25!K8+TONTAOUT25!K8+TONTSEPT25!K8+TONTOCT25!K8+TONTNOV25!K8+TONTDEC25!K8</f>
        <v>500125</v>
      </c>
      <c r="L8" s="7"/>
      <c r="M8" s="7"/>
      <c r="N8" s="7"/>
      <c r="O8" s="7">
        <f>TONTJANV25!O8+TONTFEV25!O8+TONTMARS25!O8+TONTAVRIL25!O8+TONTMAI25!O8+TONTJUIN25!O8+TONTJUIL25!O8+TONTAOUT25!O8+TONTSEPT25!O8+TONTOCT25!O8+TONTNOV25!O8+TONTDEC25!O8</f>
        <v>892500</v>
      </c>
      <c r="P8" s="7">
        <f>TONTJANV25!P8+TONTFEV25!P8+TONTMARS25!P8+TONTAVRIL25!P8+TONTMAI25!P8+TONTJUIN25!P8+TONTJUIL25!P8+TONTAOUT25!P8+TONTSEPT25!P8+TONTOCT25!P8+TONTNOV25!P8+TONTDEC25!P8</f>
        <v>7500</v>
      </c>
      <c r="Q8" s="16">
        <v>45739</v>
      </c>
      <c r="R8" s="16"/>
      <c r="S8" s="8">
        <f t="shared" ref="S8:S17" si="0">$Q$26*1</f>
        <v>17192.307692307691</v>
      </c>
      <c r="T8" s="8">
        <v>16000</v>
      </c>
    </row>
    <row r="9" spans="1:20" ht="18.5" x14ac:dyDescent="0.45">
      <c r="A9" s="1" t="s">
        <v>60</v>
      </c>
      <c r="B9" s="7">
        <f>TONTJANV25!B9+TONTFEV25!B9+TONTMARS25!B9+TONTAVRIL25!B9+TONTMAI25!B9+TONTJUIN25!B9+TONTJUIL25!B9+TONTAOUT25!B9+TONTSEPT25!B9+TONTOCT25!B9+TONTNOV25!B9+TONTDEC25!B9</f>
        <v>12</v>
      </c>
      <c r="C9" s="1" t="str">
        <f>VLOOKUP(A9,[7]LISTADHERENT!A$5:H$60,3,0)</f>
        <v>KOUATCHO MESSACK</v>
      </c>
      <c r="D9" s="7">
        <f>TONTJANV25!D9+TONTFEV25!D9+TONTMARS25!D9+TONTAVRIL25!D9+TONTMAI25!D9+TONTJUIN25!D9+TONTJUIL25!D9+TONTAOUT25!D9+TONTSEPT25!D9+TONTOCT25!D9+TONTNOV25!D9+TONTDEC25!D9</f>
        <v>900000</v>
      </c>
      <c r="E9" s="7"/>
      <c r="F9" s="7">
        <f>TONTJANV25!F9+TONTFEV25!F9+TONTMARS25!F9+TONTAVRIL25!F9+TONTMAI25!F9+TONTJUIN25!F9+TONTJUIL25!F9+TONTAOUT25!F9+TONTSEPT25!F9+TONTOCT25!F9+TONTNOV25!F9+TONTDEC25!F9</f>
        <v>541500</v>
      </c>
      <c r="G9" s="7">
        <f>TONTJANV25!G9+TONTFEV25!G9+TONTMARS25!G9+TONTAVRIL25!G9+TONTMAI25!G9+TONTJUIN25!G9+TONTJUIL25!G9+TONTAOUT25!G9+TONTSEPT25!G9+TONTOCT25!G9+TONTNOV25!G9+TONTDEC25!G9</f>
        <v>9000</v>
      </c>
      <c r="H9" s="7"/>
      <c r="I9" s="7"/>
      <c r="J9" s="7">
        <f>TONTJANV25!J9+TONTFEV25!J9+TONTMARS25!J9+TONTAVRIL25!J9+TONTMAI25!J9+TONTJUIN25!J9+TONTJUIL25!J9+TONTAOUT25!J9+TONTSEPT25!J9+TONTOCT25!J9+TONTNOV25!J9+TONTDEC25!J9</f>
        <v>550500</v>
      </c>
      <c r="K9" s="7">
        <f>TONTJANV25!K9+TONTFEV25!K9+TONTMARS25!K9+TONTAVRIL25!K9+TONTMAI25!K9+TONTJUIN25!K9+TONTJUIL25!K9+TONTAOUT25!K9+TONTSEPT25!K9+TONTOCT25!K9+TONTNOV25!K9+TONTDEC25!K9</f>
        <v>550500</v>
      </c>
      <c r="L9" s="7"/>
      <c r="M9" s="7"/>
      <c r="N9" s="7"/>
      <c r="O9" s="7">
        <f>TONTJANV25!O9+TONTFEV25!O9+TONTMARS25!O9+TONTAVRIL25!O9+TONTMAI25!O9+TONTJUIN25!O9+TONTJUIL25!O9+TONTAOUT25!O9+TONTSEPT25!O9+TONTOCT25!O9+TONTNOV25!O9+TONTDEC25!O9</f>
        <v>892500</v>
      </c>
      <c r="P9" s="7">
        <f>TONTJANV25!P9+TONTFEV25!P9+TONTMARS25!P9+TONTAVRIL25!P9+TONTMAI25!P9+TONTJUIN25!P9+TONTJUIL25!P9+TONTAOUT25!P9+TONTSEPT25!P9+TONTOCT25!P9+TONTNOV25!P9+TONTDEC25!P9</f>
        <v>7500</v>
      </c>
      <c r="Q9" s="16">
        <v>45767</v>
      </c>
      <c r="S9" s="8">
        <f t="shared" si="0"/>
        <v>17192.307692307691</v>
      </c>
      <c r="T9" s="8">
        <v>16000</v>
      </c>
    </row>
    <row r="10" spans="1:20" ht="18.5" x14ac:dyDescent="0.45">
      <c r="A10" s="1" t="s">
        <v>26</v>
      </c>
      <c r="B10" s="7">
        <f>TONTJANV25!B10+TONTFEV25!B10+TONTMARS25!B10+TONTAVRIL25!B10+TONTMAI25!B10+TONTJUIN25!B10+TONTJUIL25!B10+TONTAOUT25!B10+TONTSEPT25!B10+TONTOCT25!B10+TONTNOV25!B10+TONTDEC25!B10</f>
        <v>12</v>
      </c>
      <c r="C10" s="1" t="str">
        <f>VLOOKUP(A10,[7]LISTADHERENT!A$5:H$60,3,0)</f>
        <v>HENGUE PAUL OMER</v>
      </c>
      <c r="D10" s="7">
        <f>TONTJANV25!D10+TONTFEV25!D10+TONTMARS25!D10+TONTAVRIL25!D10+TONTMAI25!D10+TONTJUIN25!D10+TONTJUIL25!D10+TONTAOUT25!D10+TONTSEPT25!D10+TONTOCT25!D10+TONTNOV25!D10+TONTDEC25!D10</f>
        <v>900000</v>
      </c>
      <c r="E10" s="7"/>
      <c r="F10" s="7">
        <f>TONTJANV25!F10+TONTFEV25!F10+TONTMARS25!F10+TONTAVRIL25!F10+TONTMAI25!F10+TONTJUIN25!F10+TONTJUIL25!F10+TONTAOUT25!F10+TONTSEPT25!F10+TONTOCT25!F10+TONTNOV25!F10+TONTDEC25!F10</f>
        <v>0</v>
      </c>
      <c r="G10" s="7">
        <f>TONTJANV25!G10+TONTFEV25!G10+TONTMARS25!G10+TONTAVRIL25!G10+TONTMAI25!G10+TONTJUIN25!G10+TONTJUIL25!G10+TONTAOUT25!G10+TONTSEPT25!G10+TONTOCT25!G10+TONTNOV25!G10+TONTDEC25!G10</f>
        <v>0</v>
      </c>
      <c r="H10" s="7"/>
      <c r="I10" s="7"/>
      <c r="J10" s="7">
        <f>TONTJANV25!J10+TONTFEV25!J10+TONTMARS25!J10+TONTAVRIL25!J10+TONTMAI25!J10+TONTJUIN25!J10+TONTJUIL25!J10+TONTAOUT25!J10+TONTSEPT25!J10+TONTOCT25!J10+TONTNOV25!J10+TONTDEC25!J10</f>
        <v>0</v>
      </c>
      <c r="K10" s="7">
        <f>TONTJANV25!K10+TONTFEV25!K10+TONTMARS25!K10+TONTAVRIL25!K10+TONTMAI25!K10+TONTJUIN25!K10+TONTJUIL25!K10+TONTAOUT25!K10+TONTSEPT25!K10+TONTOCT25!K10+TONTNOV25!K10+TONTDEC25!K10</f>
        <v>0</v>
      </c>
      <c r="L10" s="7"/>
      <c r="M10" s="7"/>
      <c r="N10" s="7"/>
      <c r="O10" s="7">
        <f>TONTJANV25!O10+TONTFEV25!O10+TONTMARS25!O10+TONTAVRIL25!O10+TONTMAI25!O10+TONTJUIN25!O10+TONTJUIL25!O10+TONTAOUT25!O10+TONTSEPT25!O10+TONTOCT25!O10+TONTNOV25!O10+TONTDEC25!O10</f>
        <v>891500</v>
      </c>
      <c r="P10" s="7">
        <f>TONTJANV25!P10+TONTFEV25!P10+TONTMARS25!P10+TONTAVRIL25!P10+TONTMAI25!P10+TONTJUIN25!P10+TONTJUIL25!P10+TONTAOUT25!P10+TONTSEPT25!P10+TONTOCT25!P10+TONTNOV25!P10+TONTDEC25!P10</f>
        <v>8500</v>
      </c>
      <c r="Q10" s="16">
        <v>45920</v>
      </c>
      <c r="S10" s="8">
        <f t="shared" si="0"/>
        <v>17192.307692307691</v>
      </c>
      <c r="T10" s="8">
        <v>16000</v>
      </c>
    </row>
    <row r="11" spans="1:20" ht="18.5" x14ac:dyDescent="0.45">
      <c r="A11" s="1" t="s">
        <v>21</v>
      </c>
      <c r="B11" s="7">
        <f>TONTJANV25!B11+TONTFEV25!B11+TONTMARS25!B11+TONTAVRIL25!B11+TONTMAI25!B11+TONTJUIN25!B11+TONTJUIL25!B11+TONTAOUT25!B11+TONTSEPT25!B11+TONTOCT25!B11+TONTNOV25!B11+TONTDEC25!B11</f>
        <v>12</v>
      </c>
      <c r="C11" s="1" t="str">
        <f>VLOOKUP(A11,[7]LISTADHERENT!A$5:H$60,3,0)</f>
        <v>MBOGNING TUGMA GUY</v>
      </c>
      <c r="D11" s="7">
        <f>TONTJANV25!D11+TONTFEV25!D11+TONTMARS25!D11+TONTAVRIL25!D11+TONTMAI25!D11+TONTJUIN25!D11+TONTJUIL25!D11+TONTAOUT25!D11+TONTSEPT25!D11+TONTOCT25!D11+TONTNOV25!D11+TONTDEC25!D11</f>
        <v>900000</v>
      </c>
      <c r="E11" s="7"/>
      <c r="F11" s="7">
        <f>TONTJANV25!F11+TONTFEV25!F11+TONTMARS25!F11+TONTAVRIL25!F11+TONTMAI25!F11+TONTJUIN25!F11+TONTJUIL25!F11+TONTAOUT25!F11+TONTSEPT25!F11+TONTOCT25!F11+TONTNOV25!F11+TONTDEC25!F11</f>
        <v>1150000</v>
      </c>
      <c r="G11" s="7">
        <f>TONTJANV25!G11+TONTFEV25!G11+TONTMARS25!G11+TONTAVRIL25!G11+TONTMAI25!G11+TONTJUIN25!G11+TONTJUIL25!G11+TONTAOUT25!G11+TONTSEPT25!G11+TONTOCT25!G11+TONTNOV25!G11+TONTDEC25!G11</f>
        <v>17500</v>
      </c>
      <c r="H11" s="7"/>
      <c r="I11" s="7"/>
      <c r="J11" s="7">
        <f>TONTJANV25!J11+TONTFEV25!J11+TONTMARS25!J11+TONTAVRIL25!J11+TONTMAI25!J11+TONTJUIN25!J11+TONTJUIL25!J11+TONTAOUT25!J11+TONTSEPT25!J11+TONTOCT25!J11+TONTNOV25!J11+TONTDEC25!J11</f>
        <v>1167500</v>
      </c>
      <c r="K11" s="7">
        <f>TONTJANV25!K11+TONTFEV25!K11+TONTMARS25!K11+TONTAVRIL25!K11+TONTMAI25!K11+TONTJUIN25!K11+TONTJUIL25!K11+TONTAOUT25!K11+TONTSEPT25!K11+TONTOCT25!K11+TONTNOV25!K11+TONTDEC25!K11</f>
        <v>1167500</v>
      </c>
      <c r="L11" s="7"/>
      <c r="M11" s="7"/>
      <c r="N11" s="7"/>
      <c r="O11" s="7">
        <f>TONTJANV25!O11+TONTFEV25!O11+TONTMARS25!O11+TONTAVRIL25!O11+TONTMAI25!O11+TONTJUIN25!O11+TONTJUIL25!O11+TONTAOUT25!O11+TONTSEPT25!O11+TONTOCT25!O11+TONTNOV25!O11+TONTDEC25!O11</f>
        <v>855000</v>
      </c>
      <c r="P11" s="7">
        <f>TONTJANV25!P11+TONTFEV25!P11+TONTMARS25!P11+TONTAVRIL25!P11+TONTMAI25!P11+TONTJUIN25!P11+TONTJUIL25!P11+TONTAOUT25!P11+TONTSEPT25!P11+TONTOCT25!P11+TONTNOV25!P11+TONTDEC25!P11</f>
        <v>45000</v>
      </c>
      <c r="Q11" s="16">
        <v>45711</v>
      </c>
      <c r="S11" s="8">
        <f t="shared" si="0"/>
        <v>17192.307692307691</v>
      </c>
      <c r="T11" s="8">
        <v>16000</v>
      </c>
    </row>
    <row r="12" spans="1:20" ht="18.5" x14ac:dyDescent="0.45">
      <c r="A12" s="1" t="s">
        <v>8</v>
      </c>
      <c r="B12" s="7">
        <f>TONTJANV25!B12+TONTFEV25!B12+TONTMARS25!B12+TONTAVRIL25!B12+TONTMAI25!B12+TONTJUIN25!B12+TONTJUIL25!B12+TONTAOUT25!B12+TONTSEPT25!B12+TONTOCT25!B12+TONTNOV25!B12+TONTDEC25!B12</f>
        <v>12</v>
      </c>
      <c r="C12" s="1" t="str">
        <f>VLOOKUP(A12,[7]LISTADHERENT!A$5:H$60,3,0)</f>
        <v>NANKAM APPOLINAIRE</v>
      </c>
      <c r="D12" s="7">
        <f>TONTJANV25!D12+TONTFEV25!D12+TONTMARS25!D12+TONTAVRIL25!D12+TONTMAI25!D12+TONTJUIN25!D12+TONTJUIL25!D12+TONTAOUT25!D12+TONTSEPT25!D12+TONTOCT25!D12+TONTNOV25!D12+TONTDEC25!D12</f>
        <v>900000</v>
      </c>
      <c r="E12" s="7"/>
      <c r="F12" s="7">
        <f>TONTJANV25!F12+TONTFEV25!F12+TONTMARS25!F12+TONTAVRIL25!F12+TONTMAI25!F12+TONTJUIN25!F12+TONTJUIL25!F12+TONTAOUT25!F12+TONTSEPT25!F12+TONTOCT25!F12+TONTNOV25!F12+TONTDEC25!F12</f>
        <v>0</v>
      </c>
      <c r="G12" s="7">
        <f>TONTJANV25!G12+TONTFEV25!G12+TONTMARS25!G12+TONTAVRIL25!G12+TONTMAI25!G12+TONTJUIN25!G12+TONTJUIL25!G12+TONTAOUT25!G12+TONTSEPT25!G12+TONTOCT25!G12+TONTNOV25!G12+TONTDEC25!G12</f>
        <v>0</v>
      </c>
      <c r="H12" s="7"/>
      <c r="I12" s="7"/>
      <c r="J12" s="7">
        <f>TONTJANV25!J12+TONTFEV25!J12+TONTMARS25!J12+TONTAVRIL25!J12+TONTMAI25!J12+TONTJUIN25!J12+TONTJUIL25!J12+TONTAOUT25!J12+TONTSEPT25!J12+TONTOCT25!J12+TONTNOV25!J12+TONTDEC25!J12</f>
        <v>0</v>
      </c>
      <c r="K12" s="7">
        <f>TONTJANV25!K12+TONTFEV25!K12+TONTMARS25!K12+TONTAVRIL25!K12+TONTMAI25!K12+TONTJUIN25!K12+TONTJUIL25!K12+TONTAOUT25!K12+TONTSEPT25!K12+TONTOCT25!K12+TONTNOV25!K12+TONTDEC25!K12</f>
        <v>0</v>
      </c>
      <c r="L12" s="7"/>
      <c r="M12" s="7"/>
      <c r="N12" s="7"/>
      <c r="O12" s="7">
        <f>TONTJANV25!O12+TONTFEV25!O12+TONTMARS25!O12+TONTAVRIL25!O12+TONTMAI25!O12+TONTJUIN25!O12+TONTJUIL25!O12+TONTAOUT25!O12+TONTSEPT25!O12+TONTOCT25!O12+TONTNOV25!O12+TONTDEC25!O12</f>
        <v>892500</v>
      </c>
      <c r="P12" s="7">
        <f>TONTJANV25!P12+TONTFEV25!P12+TONTMARS25!P12+TONTAVRIL25!P12+TONTMAI25!P12+TONTJUIN25!P12+TONTJUIL25!P12+TONTAOUT25!P12+TONTSEPT25!P12+TONTOCT25!P12+TONTNOV25!P12+TONTDEC25!P12</f>
        <v>7500</v>
      </c>
      <c r="Q12" s="16">
        <v>45676</v>
      </c>
      <c r="S12" s="8">
        <f t="shared" si="0"/>
        <v>17192.307692307691</v>
      </c>
      <c r="T12" s="8">
        <v>16000</v>
      </c>
    </row>
    <row r="13" spans="1:20" ht="18.5" x14ac:dyDescent="0.45">
      <c r="A13" s="1" t="s">
        <v>35</v>
      </c>
      <c r="B13" s="7">
        <f>TONTJANV25!B13+TONTFEV25!B13+TONTMARS25!B13+TONTAVRIL25!B13+TONTMAI25!B13+TONTJUIN25!B13+TONTJUIL25!B13+TONTAOUT25!B13+TONTSEPT25!B13+TONTOCT25!B13+TONTNOV25!B13+TONTDEC25!B13</f>
        <v>12</v>
      </c>
      <c r="C13" s="1" t="str">
        <f>VLOOKUP(A13,[7]LISTADHERENT!A$5:H$60,3,0)</f>
        <v>NGONDIEP CLAUDE</v>
      </c>
      <c r="D13" s="7">
        <f>TONTJANV25!D13+TONTFEV25!D13+TONTMARS25!D13+TONTAVRIL25!D13+TONTMAI25!D13+TONTJUIN25!D13+TONTJUIL25!D13+TONTAOUT25!D13+TONTSEPT25!D13+TONTOCT25!D13+TONTNOV25!D13+TONTDEC25!D13</f>
        <v>900000</v>
      </c>
      <c r="E13" s="7"/>
      <c r="F13" s="7">
        <f>TONTJANV25!F13+TONTFEV25!F13+TONTMARS25!F13+TONTAVRIL25!F13+TONTMAI25!F13+TONTJUIN25!F13+TONTJUIL25!F13+TONTAOUT25!F13+TONTSEPT25!F13+TONTOCT25!F13+TONTNOV25!F13+TONTDEC25!F13</f>
        <v>794375</v>
      </c>
      <c r="G13" s="7">
        <f>TONTJANV25!G13+TONTFEV25!G13+TONTMARS25!G13+TONTAVRIL25!G13+TONTMAI25!G13+TONTJUIN25!G13+TONTJUIL25!G13+TONTAOUT25!G13+TONTSEPT25!G13+TONTOCT25!G13+TONTNOV25!G13+TONTDEC25!G13</f>
        <v>13500</v>
      </c>
      <c r="H13" s="7"/>
      <c r="I13" s="7"/>
      <c r="J13" s="7">
        <f>TONTJANV25!J13+TONTFEV25!J13+TONTMARS25!J13+TONTAVRIL25!J13+TONTMAI25!J13+TONTJUIN25!J13+TONTJUIL25!J13+TONTAOUT25!J13+TONTSEPT25!J13+TONTOCT25!J13+TONTNOV25!J13+TONTDEC25!J13</f>
        <v>807875</v>
      </c>
      <c r="K13" s="7">
        <f>TONTJANV25!K13+TONTFEV25!K13+TONTMARS25!K13+TONTAVRIL25!K13+TONTMAI25!K13+TONTJUIN25!K13+TONTJUIL25!K13+TONTAOUT25!K13+TONTSEPT25!K13+TONTOCT25!K13+TONTNOV25!K13+TONTDEC25!K13</f>
        <v>807875</v>
      </c>
      <c r="L13" s="7"/>
      <c r="M13" s="7"/>
      <c r="N13" s="7"/>
      <c r="O13" s="7">
        <f>TONTJANV25!O13+TONTFEV25!O13+TONTMARS25!O13+TONTAVRIL25!O13+TONTMAI25!O13+TONTJUIN25!O13+TONTJUIL25!O13+TONTAOUT25!O13+TONTSEPT25!O13+TONTOCT25!O13+TONTNOV25!O13+TONTDEC25!O13</f>
        <v>885000</v>
      </c>
      <c r="P13" s="7">
        <f>TONTJANV25!P13+TONTFEV25!P13+TONTMARS25!P13+TONTAVRIL25!P13+TONTMAI25!P13+TONTJUIN25!P13+TONTJUIL25!P13+TONTAOUT25!P13+TONTSEPT25!P13+TONTOCT25!P13+TONTNOV25!P13+TONTDEC25!P13</f>
        <v>15000</v>
      </c>
      <c r="Q13" s="16">
        <v>45886</v>
      </c>
      <c r="S13" s="8">
        <f t="shared" si="0"/>
        <v>17192.307692307691</v>
      </c>
      <c r="T13" s="8">
        <v>16000</v>
      </c>
    </row>
    <row r="14" spans="1:20" ht="18.5" x14ac:dyDescent="0.45">
      <c r="A14" s="1" t="s">
        <v>27</v>
      </c>
      <c r="B14" s="7">
        <f>TONTJANV25!B14+TONTFEV25!B14+TONTMARS25!B14+TONTAVRIL25!B14+TONTMAI25!B14+TONTJUIN25!B14+TONTJUIL25!B14+TONTAOUT25!B14+TONTSEPT25!B14+TONTOCT25!B14+TONTNOV25!B14+TONTDEC25!B14</f>
        <v>12</v>
      </c>
      <c r="C14" s="1" t="str">
        <f>VLOOKUP(A14,[7]LISTADHERENT!A$5:H$60,3,0)</f>
        <v>PATEGO NJOSSU GUSTAVE</v>
      </c>
      <c r="D14" s="7">
        <f>TONTJANV25!D14+TONTFEV25!D14+TONTMARS25!D14+TONTAVRIL25!D14+TONTMAI25!D14+TONTJUIN25!D14+TONTJUIL25!D14+TONTAOUT25!D14+TONTSEPT25!D14+TONTOCT25!D14+TONTNOV25!D14+TONTDEC25!D14</f>
        <v>900000</v>
      </c>
      <c r="E14" s="7"/>
      <c r="F14" s="7">
        <f>TONTJANV25!F14+TONTFEV25!F14+TONTMARS25!F14+TONTAVRIL25!F14+TONTMAI25!F14+TONTJUIN25!F14+TONTJUIL25!F14+TONTAOUT25!F14+TONTSEPT25!F14+TONTOCT25!F14+TONTNOV25!F14+TONTDEC25!F14</f>
        <v>0</v>
      </c>
      <c r="G14" s="7">
        <f>TONTJANV25!G14+TONTFEV25!G14+TONTMARS25!G14+TONTAVRIL25!G14+TONTMAI25!G14+TONTJUIN25!G14+TONTJUIL25!G14+TONTAOUT25!G14+TONTSEPT25!G14+TONTOCT25!G14+TONTNOV25!G14+TONTDEC25!G14</f>
        <v>0</v>
      </c>
      <c r="H14" s="7"/>
      <c r="I14" s="7"/>
      <c r="J14" s="7">
        <f>TONTJANV25!J14+TONTFEV25!J14+TONTMARS25!J14+TONTAVRIL25!J14+TONTMAI25!J14+TONTJUIN25!J14+TONTJUIL25!J14+TONTAOUT25!J14+TONTSEPT25!J14+TONTOCT25!J14+TONTNOV25!J14+TONTDEC25!J14</f>
        <v>0</v>
      </c>
      <c r="K14" s="7">
        <f>TONTJANV25!K14+TONTFEV25!K14+TONTMARS25!K14+TONTAVRIL25!K14+TONTMAI25!K14+TONTJUIN25!K14+TONTJUIL25!K14+TONTAOUT25!K14+TONTSEPT25!K14+TONTOCT25!K14+TONTNOV25!K14+TONTDEC25!K14</f>
        <v>0</v>
      </c>
      <c r="L14" s="7"/>
      <c r="M14" s="7"/>
      <c r="N14" s="7"/>
      <c r="O14" s="7">
        <f>TONTJANV25!O14+TONTFEV25!O14+TONTMARS25!O14+TONTAVRIL25!O14+TONTMAI25!O14+TONTJUIN25!O14+TONTJUIL25!O14+TONTAOUT25!O14+TONTSEPT25!O14+TONTOCT25!O14+TONTNOV25!O14+TONTDEC25!O14</f>
        <v>892500</v>
      </c>
      <c r="P14" s="7">
        <f>TONTJANV25!P14+TONTFEV25!P14+TONTMARS25!P14+TONTAVRIL25!P14+TONTMAI25!P14+TONTJUIN25!P14+TONTJUIL25!P14+TONTAOUT25!P14+TONTSEPT25!P14+TONTOCT25!P14+TONTNOV25!P14+TONTDEC25!P14</f>
        <v>7500</v>
      </c>
      <c r="Q14" s="16">
        <v>45795</v>
      </c>
      <c r="S14" s="8">
        <f t="shared" si="0"/>
        <v>17192.307692307691</v>
      </c>
      <c r="T14" s="8">
        <v>16000</v>
      </c>
    </row>
    <row r="15" spans="1:20" ht="18.5" x14ac:dyDescent="0.45">
      <c r="A15" s="9" t="s">
        <v>48</v>
      </c>
      <c r="B15" s="7">
        <f>TONTJANV25!B15+TONTFEV25!B15+TONTMARS25!B15+TONTAVRIL25!B15+TONTMAI25!B15+TONTJUIN25!B15+TONTJUIL25!B15+TONTAOUT25!B15+TONTSEPT25!B15+TONTOCT25!B15+TONTNOV25!B15+TONTDEC25!B15</f>
        <v>12</v>
      </c>
      <c r="C15" s="1" t="str">
        <f>VLOOKUP(A15,[7]LISTADHERENT!A$5:H$60,3,0)</f>
        <v>TCHOUAMOU MATHIEU</v>
      </c>
      <c r="D15" s="7">
        <f>TONTJANV25!D15+TONTFEV25!D15+TONTMARS25!D15+TONTAVRIL25!D15+TONTMAI25!D15+TONTJUIN25!D15+TONTJUIL25!D15+TONTAOUT25!D15+TONTSEPT25!D15+TONTOCT25!D15+TONTNOV25!D15+TONTDEC25!D15</f>
        <v>900000</v>
      </c>
      <c r="E15" s="7"/>
      <c r="F15" s="7">
        <f>TONTJANV25!F15+TONTFEV25!F15+TONTMARS25!F15+TONTAVRIL25!F15+TONTMAI25!F15+TONTJUIN25!F15+TONTJUIL25!F15+TONTAOUT25!F15+TONTSEPT25!F15+TONTOCT25!F15+TONTNOV25!F15+TONTDEC25!F15</f>
        <v>950000</v>
      </c>
      <c r="G15" s="7">
        <f>TONTJANV25!G15+TONTFEV25!G15+TONTMARS25!G15+TONTAVRIL25!G15+TONTMAI25!G15+TONTJUIN25!G15+TONTJUIL25!G15+TONTAOUT25!G15+TONTSEPT25!G15+TONTOCT25!G15+TONTNOV25!G15+TONTDEC25!G15</f>
        <v>14500</v>
      </c>
      <c r="H15" s="7"/>
      <c r="I15" s="7"/>
      <c r="J15" s="7">
        <f>TONTJANV25!J15+TONTFEV25!J15+TONTMARS25!J15+TONTAVRIL25!J15+TONTMAI25!J15+TONTJUIN25!J15+TONTJUIL25!J15+TONTAOUT25!J15+TONTSEPT25!J15+TONTOCT25!J15+TONTNOV25!J15+TONTDEC25!J15</f>
        <v>964500</v>
      </c>
      <c r="K15" s="7">
        <f>TONTJANV25!K15+TONTFEV25!K15+TONTMARS25!K15+TONTAVRIL25!K15+TONTMAI25!K15+TONTJUIN25!K15+TONTJUIL25!K15+TONTAOUT25!K15+TONTSEPT25!K15+TONTOCT25!K15+TONTNOV25!K15+TONTDEC25!K15</f>
        <v>964500</v>
      </c>
      <c r="L15" s="7"/>
      <c r="M15" s="7"/>
      <c r="N15" s="7"/>
      <c r="O15" s="7">
        <f>TONTJANV25!O15+TONTFEV25!O15+TONTMARS25!O15+TONTAVRIL25!O15+TONTMAI25!O15+TONTJUIN25!O15+TONTJUIL25!O15+TONTAOUT25!O15+TONTSEPT25!O15+TONTOCT25!O15+TONTNOV25!O15+TONTDEC25!O15</f>
        <v>892500</v>
      </c>
      <c r="P15" s="7">
        <f>TONTJANV25!P15+TONTFEV25!P15+TONTMARS25!P15+TONTAVRIL25!P15+TONTMAI25!P15+TONTJUIN25!P15+TONTJUIL25!P15+TONTAOUT25!P15+TONTSEPT25!P15+TONTOCT25!P15+TONTNOV25!P15+TONTDEC25!P15</f>
        <v>7500</v>
      </c>
      <c r="Q15" s="16">
        <v>45855</v>
      </c>
      <c r="S15" s="8">
        <f t="shared" si="0"/>
        <v>17192.307692307691</v>
      </c>
      <c r="T15" s="8">
        <v>16000</v>
      </c>
    </row>
    <row r="16" spans="1:20" ht="18.5" x14ac:dyDescent="0.45">
      <c r="A16" s="23" t="s">
        <v>59</v>
      </c>
      <c r="B16" s="7">
        <f>TONTJANV25!B16+TONTFEV25!B16+TONTMARS25!B16+TONTAVRIL25!B16+TONTMAI25!B16+TONTJUIN25!B16+TONTJUIL25!B16+TONTAOUT25!B16+TONTSEPT25!B16+TONTOCT25!B16+TONTNOV25!B16+TONTDEC25!B16</f>
        <v>12</v>
      </c>
      <c r="C16" s="1" t="str">
        <f>VLOOKUP(A16,[7]LISTADHERENT!A$5:H$60,3,0)</f>
        <v>YANTCHOU GERVAIS</v>
      </c>
      <c r="D16" s="7">
        <f>TONTJANV25!D16+TONTFEV25!D16+TONTMARS25!D16+TONTAVRIL25!D16+TONTMAI25!D16+TONTJUIN25!D16+TONTJUIL25!D16+TONTAOUT25!D16+TONTSEPT25!D16+TONTOCT25!D16+TONTNOV25!D16+TONTDEC25!D16</f>
        <v>900000</v>
      </c>
      <c r="E16" s="7"/>
      <c r="F16" s="7">
        <f>TONTJANV25!F16+TONTFEV25!F16+TONTMARS25!F16+TONTAVRIL25!F16+TONTMAI25!F16+TONTJUIN25!F16+TONTJUIL25!F16+TONTAOUT25!F16+TONTSEPT25!F16+TONTOCT25!F16+TONTNOV25!F16+TONTDEC25!F16</f>
        <v>400000</v>
      </c>
      <c r="G16" s="7">
        <f>TONTJANV25!G16+TONTFEV25!G16+TONTMARS25!G16+TONTAVRIL25!G16+TONTMAI25!G16+TONTJUIN25!G16+TONTJUIL25!G16+TONTAOUT25!G16+TONTSEPT25!G16+TONTOCT25!G16+TONTNOV25!G16+TONTDEC25!G16</f>
        <v>7500</v>
      </c>
      <c r="H16" s="7"/>
      <c r="I16" s="7"/>
      <c r="J16" s="7">
        <f>TONTJANV25!J16+TONTFEV25!J16+TONTMARS25!J16+TONTAVRIL25!J16+TONTMAI25!J16+TONTJUIN25!J16+TONTJUIL25!J16+TONTAOUT25!J16+TONTSEPT25!J16+TONTOCT25!J16+TONTNOV25!J16+TONTDEC25!J16</f>
        <v>407500</v>
      </c>
      <c r="K16" s="7">
        <f>TONTJANV25!K16+TONTFEV25!K16+TONTMARS25!K16+TONTAVRIL25!K16+TONTMAI25!K16+TONTJUIN25!K16+TONTJUIL25!K16+TONTAOUT25!K16+TONTSEPT25!K16+TONTOCT25!K16+TONTNOV25!K16+TONTDEC25!K16</f>
        <v>407500</v>
      </c>
      <c r="L16" s="7"/>
      <c r="M16" s="7"/>
      <c r="N16" s="7"/>
      <c r="O16" s="7">
        <f>TONTJANV25!O16+TONTFEV25!O16+TONTMARS25!O16+TONTAVRIL25!O16+TONTMAI25!O16+TONTJUIN25!O16+TONTJUIL25!O16+TONTAOUT25!O16+TONTSEPT25!O16+TONTOCT25!O16+TONTNOV25!O16+TONTDEC25!O16</f>
        <v>892500</v>
      </c>
      <c r="P16" s="7">
        <f>TONTJANV25!P16+TONTFEV25!P16+TONTMARS25!P16+TONTAVRIL25!P16+TONTMAI25!P16+TONTJUIN25!P16+TONTJUIL25!P16+TONTAOUT25!P16+TONTSEPT25!P16+TONTOCT25!P16+TONTNOV25!P16+TONTDEC25!P16</f>
        <v>7500</v>
      </c>
      <c r="Q16" s="16">
        <v>45978</v>
      </c>
      <c r="R16" s="16"/>
      <c r="S16" s="8">
        <f t="shared" si="0"/>
        <v>17192.307692307691</v>
      </c>
      <c r="T16" s="8">
        <v>16000</v>
      </c>
    </row>
    <row r="17" spans="1:22" ht="18.5" x14ac:dyDescent="0.45">
      <c r="A17" s="1" t="s">
        <v>19</v>
      </c>
      <c r="B17" s="7">
        <f>TONTJANV25!B17+TONTFEV25!B17+TONTMARS25!B17+TONTAVRIL25!B17+TONTMAI25!B17+TONTJUIN25!B17+TONTJUIL25!B17+TONTAOUT25!B17+TONTSEPT25!B17+TONTOCT25!B17+TONTNOV25!B17+TONTDEC25!B17</f>
        <v>12</v>
      </c>
      <c r="C17" s="1" t="str">
        <f>VLOOKUP(A17,[7]LISTADHERENT!A$5:H$60,3,0)</f>
        <v>YOUMBI EMMANUEL</v>
      </c>
      <c r="D17" s="7">
        <f>TONTJANV25!D17+TONTFEV25!D17+TONTMARS25!D17+TONTAVRIL25!D17+TONTMAI25!D17+TONTJUIN25!D17+TONTJUIL25!D17+TONTAOUT25!D17+TONTSEPT25!D17+TONTOCT25!D17+TONTNOV25!D17+TONTDEC25!D17</f>
        <v>900000</v>
      </c>
      <c r="E17" s="7"/>
      <c r="F17" s="7">
        <f>TONTJANV25!F17+TONTFEV25!F17+TONTMARS25!F17+TONTAVRIL25!F17+TONTMAI25!F17+TONTJUIN25!F17+TONTJUIL25!F17+TONTAOUT25!F17+TONTSEPT25!F17+TONTOCT25!F17+TONTNOV25!F17+TONTDEC25!F17</f>
        <v>0</v>
      </c>
      <c r="G17" s="7">
        <f>TONTJANV25!G17+TONTFEV25!G17+TONTMARS25!G17+TONTAVRIL25!G17+TONTMAI25!G17+TONTJUIN25!G17+TONTJUIL25!G17+TONTAOUT25!G17+TONTSEPT25!G17+TONTOCT25!G17+TONTNOV25!G17+TONTDEC25!G17</f>
        <v>0</v>
      </c>
      <c r="H17" s="7"/>
      <c r="I17" s="7"/>
      <c r="J17" s="7">
        <f>TONTJANV25!J17+TONTFEV25!J17+TONTMARS25!J17+TONTAVRIL25!J17+TONTMAI25!J17+TONTJUIN25!J17+TONTJUIL25!J17+TONTAOUT25!J17+TONTSEPT25!J17+TONTOCT25!J17+TONTNOV25!J17+TONTDEC25!J17</f>
        <v>0</v>
      </c>
      <c r="K17" s="7">
        <f>TONTJANV25!K17+TONTFEV25!K17+TONTMARS25!K17+TONTAVRIL25!K17+TONTMAI25!K17+TONTJUIN25!K17+TONTJUIL25!K17+TONTAOUT25!K17+TONTSEPT25!K17+TONTOCT25!K17+TONTNOV25!K17+TONTDEC25!K17</f>
        <v>0</v>
      </c>
      <c r="L17" s="7"/>
      <c r="M17" s="7"/>
      <c r="N17" s="7"/>
      <c r="O17" s="7">
        <f>TONTJANV25!O17+TONTFEV25!O17+TONTMARS25!O17+TONTAVRIL25!O17+TONTMAI25!O17+TONTJUIN25!O17+TONTJUIL25!O17+TONTAOUT25!O17+TONTSEPT25!O17+TONTOCT25!O17+TONTNOV25!O17+TONTDEC25!O17</f>
        <v>892500</v>
      </c>
      <c r="P17" s="7">
        <f>TONTJANV25!P17+TONTFEV25!P17+TONTMARS25!P17+TONTAVRIL25!P17+TONTMAI25!P17+TONTJUIN25!P17+TONTJUIL25!P17+TONTAOUT25!P17+TONTSEPT25!P17+TONTOCT25!P17+TONTNOV25!P17+TONTDEC25!P17</f>
        <v>7500</v>
      </c>
      <c r="Q17" s="16">
        <v>45978</v>
      </c>
      <c r="S17" s="8">
        <f t="shared" si="0"/>
        <v>17192.307692307691</v>
      </c>
      <c r="T17" s="8">
        <v>16000</v>
      </c>
    </row>
    <row r="18" spans="1:22" ht="17.5" x14ac:dyDescent="0.3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  <c r="S18" s="8"/>
      <c r="T18" s="8"/>
    </row>
    <row r="19" spans="1:22" ht="17.5" x14ac:dyDescent="0.35">
      <c r="A19" s="1" t="s">
        <v>36</v>
      </c>
      <c r="B19" s="8">
        <f>SUM(B6:B18)</f>
        <v>156</v>
      </c>
      <c r="G19" s="11"/>
      <c r="Q19" s="2"/>
      <c r="R19" s="2"/>
      <c r="S19" s="2"/>
      <c r="T19" s="2"/>
    </row>
    <row r="20" spans="1:22" ht="17.5" x14ac:dyDescent="0.35">
      <c r="A20" s="1" t="s">
        <v>37</v>
      </c>
      <c r="B20" s="15">
        <f>COUNT(D6:D18)</f>
        <v>12</v>
      </c>
      <c r="C20" s="8"/>
      <c r="D20" s="8">
        <f t="shared" ref="D20:P20" si="1">SUM(D6:D19)</f>
        <v>11700000</v>
      </c>
      <c r="E20" s="8">
        <f t="shared" si="1"/>
        <v>0</v>
      </c>
      <c r="F20" s="8">
        <f t="shared" si="1"/>
        <v>4727000</v>
      </c>
      <c r="G20" s="8">
        <f>SUM(G6:G19)+3000</f>
        <v>80000</v>
      </c>
      <c r="H20" s="8">
        <f t="shared" si="1"/>
        <v>0</v>
      </c>
      <c r="I20" s="8">
        <f t="shared" si="1"/>
        <v>0</v>
      </c>
      <c r="J20" s="8">
        <f t="shared" si="1"/>
        <v>4804000</v>
      </c>
      <c r="K20" s="8">
        <f t="shared" si="1"/>
        <v>4804000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11556500</v>
      </c>
      <c r="P20" s="8">
        <f t="shared" si="1"/>
        <v>143500</v>
      </c>
      <c r="Q20" s="2"/>
      <c r="R20" s="2"/>
      <c r="S20" s="8">
        <f>SUM(S6:S18)</f>
        <v>223499.99999999997</v>
      </c>
      <c r="T20" s="8">
        <f>SUM(T6:T18)</f>
        <v>208000</v>
      </c>
      <c r="V20" s="2">
        <f>S20-T20</f>
        <v>15499.999999999971</v>
      </c>
    </row>
    <row r="21" spans="1:22" s="2" customFormat="1" x14ac:dyDescent="0.35">
      <c r="B21"/>
      <c r="C21"/>
      <c r="D21"/>
      <c r="E21"/>
      <c r="F21"/>
      <c r="G21" s="11"/>
      <c r="H21" s="3"/>
      <c r="I21" s="3"/>
      <c r="J21" s="3"/>
      <c r="L21" s="5" t="s">
        <v>33</v>
      </c>
      <c r="M21" s="5" t="s">
        <v>43</v>
      </c>
      <c r="N21" s="3"/>
    </row>
    <row r="22" spans="1:22" s="2" customFormat="1" ht="28.5" x14ac:dyDescent="0.35">
      <c r="D22" s="5" t="s">
        <v>5</v>
      </c>
      <c r="E22" s="5" t="s">
        <v>12</v>
      </c>
      <c r="F22" s="5" t="s">
        <v>14</v>
      </c>
      <c r="G22" s="5" t="s">
        <v>16</v>
      </c>
      <c r="H22" s="5" t="s">
        <v>17</v>
      </c>
      <c r="I22" s="5"/>
      <c r="J22" s="8" t="s">
        <v>46</v>
      </c>
      <c r="K22" s="8">
        <f>D20+E26+P20+TONTMARS24!M29</f>
        <v>11843500</v>
      </c>
      <c r="L22" s="5"/>
      <c r="M22"/>
      <c r="N22" s="5"/>
      <c r="P22" s="17" t="s">
        <v>10</v>
      </c>
      <c r="Q22" s="8">
        <f>G20</f>
        <v>80000</v>
      </c>
      <c r="S22" s="8"/>
    </row>
    <row r="23" spans="1:22" s="2" customFormat="1" ht="17.5" x14ac:dyDescent="0.35">
      <c r="D23" s="8">
        <f>SUMIFS(D6:D19,E6:E19,"ESPECES")</f>
        <v>0</v>
      </c>
      <c r="E23" s="8">
        <f>SUMIFS(K7:K17,L7:L17,"ESPECES")</f>
        <v>0</v>
      </c>
      <c r="F23" s="8">
        <f>SUMIFS(F7:F19,H7:H19,"ESPECES")</f>
        <v>0</v>
      </c>
      <c r="G23" s="8">
        <f>SUMIFS(O7:O19,M7:M19,"ESPECES")</f>
        <v>0</v>
      </c>
      <c r="H23" s="8">
        <f>D23+E23-F23-G23</f>
        <v>0</v>
      </c>
      <c r="I23" s="8"/>
      <c r="J23" s="8" t="s">
        <v>32</v>
      </c>
      <c r="K23" s="8">
        <f>C3*COUNTIF(O7:O19,"&gt;0")</f>
        <v>9900000</v>
      </c>
      <c r="L23" s="8">
        <f>D3</f>
        <v>13</v>
      </c>
      <c r="M23" s="8">
        <f>COUNTIF(O7:O17,"&gt;0")</f>
        <v>11</v>
      </c>
      <c r="N23" s="8"/>
      <c r="Q23" s="8"/>
      <c r="T23" s="8"/>
    </row>
    <row r="24" spans="1:22" s="2" customFormat="1" ht="17.5" x14ac:dyDescent="0.35">
      <c r="D24" s="8">
        <f>SUMIFS(D6:D19,E6:E19,"BANQUE")</f>
        <v>0</v>
      </c>
      <c r="E24" s="8">
        <f>SUMIFS(K7:K17,L7:L17,"BANQUE")</f>
        <v>0</v>
      </c>
      <c r="F24" s="8">
        <f>SUMIFS(F7:F19,H7:H19,"BANQUE")</f>
        <v>0</v>
      </c>
      <c r="G24" s="8">
        <f>SUMIFS(O7:O19,M7:M19,"BANQUE")</f>
        <v>0</v>
      </c>
      <c r="H24" s="8">
        <f>D24+E24-F24-G24</f>
        <v>0</v>
      </c>
      <c r="I24" s="8"/>
      <c r="K24" s="8"/>
      <c r="L24" s="8"/>
      <c r="M24" s="8"/>
      <c r="N24" s="8"/>
      <c r="P24" s="17" t="s">
        <v>54</v>
      </c>
      <c r="Q24" s="8">
        <f>G20+P20</f>
        <v>223500</v>
      </c>
    </row>
    <row r="25" spans="1:22" s="2" customFormat="1" ht="17.5" x14ac:dyDescent="0.35">
      <c r="D25" s="8"/>
      <c r="E25" s="8"/>
      <c r="F25" s="8"/>
      <c r="G25" s="8"/>
      <c r="I25" s="8"/>
      <c r="J25" s="8" t="s">
        <v>22</v>
      </c>
      <c r="K25" s="8">
        <f>K22-K23</f>
        <v>1943500</v>
      </c>
      <c r="L25" s="8"/>
      <c r="M25" s="8"/>
      <c r="N25" s="8"/>
      <c r="Q25" s="8"/>
    </row>
    <row r="26" spans="1:22" s="2" customFormat="1" ht="17.5" x14ac:dyDescent="0.35">
      <c r="D26" s="8">
        <f>D23+D24</f>
        <v>0</v>
      </c>
      <c r="E26" s="8">
        <f>E23+E24</f>
        <v>0</v>
      </c>
      <c r="F26" s="8">
        <f>F23+F24</f>
        <v>0</v>
      </c>
      <c r="G26" s="8">
        <f t="shared" ref="G26:H26" si="2">G23+G24</f>
        <v>0</v>
      </c>
      <c r="H26" s="8">
        <f t="shared" si="2"/>
        <v>0</v>
      </c>
      <c r="I26" s="8"/>
      <c r="K26" s="8"/>
      <c r="L26" s="8"/>
      <c r="M26" s="8"/>
      <c r="N26" s="8"/>
      <c r="P26" s="17" t="s">
        <v>55</v>
      </c>
      <c r="Q26" s="8">
        <f>Q24/13</f>
        <v>17192.307692307691</v>
      </c>
    </row>
    <row r="27" spans="1:22" s="2" customFormat="1" ht="17.5" x14ac:dyDescent="0.35">
      <c r="D27" s="8"/>
      <c r="E27"/>
      <c r="F27"/>
      <c r="G27" s="3"/>
      <c r="H27" s="3"/>
      <c r="I27" s="3"/>
      <c r="J27" s="8" t="s">
        <v>28</v>
      </c>
      <c r="K27" s="8">
        <f>K25-F20</f>
        <v>-2783500</v>
      </c>
      <c r="L27"/>
      <c r="M27" s="8">
        <f>K27</f>
        <v>-2783500</v>
      </c>
      <c r="N27" s="8" t="s">
        <v>29</v>
      </c>
      <c r="Q27"/>
      <c r="R27"/>
      <c r="S27"/>
      <c r="T27"/>
    </row>
    <row r="28" spans="1:22" s="2" customFormat="1" x14ac:dyDescent="0.35">
      <c r="D28" s="5"/>
      <c r="E28"/>
      <c r="F28"/>
      <c r="G28" s="3"/>
      <c r="H28" s="3"/>
      <c r="I28" s="3"/>
      <c r="L28"/>
      <c r="M28" s="3"/>
      <c r="N28" s="3"/>
      <c r="Q28"/>
      <c r="R28"/>
      <c r="S28"/>
      <c r="T28"/>
    </row>
    <row r="29" spans="1:22" s="2" customFormat="1" ht="17.5" x14ac:dyDescent="0.35">
      <c r="A29"/>
      <c r="B29"/>
      <c r="C29"/>
      <c r="D29"/>
      <c r="E29"/>
      <c r="F29"/>
      <c r="G29" s="3"/>
      <c r="H29" s="3"/>
      <c r="I29" s="3"/>
      <c r="J29" s="8" t="s">
        <v>44</v>
      </c>
      <c r="K29" s="8">
        <f>COUNTIFS(E7:E18,"ECHEC")*75000</f>
        <v>0</v>
      </c>
      <c r="L29"/>
      <c r="M29" s="8">
        <f>+K29</f>
        <v>0</v>
      </c>
      <c r="N29" s="8" t="s">
        <v>29</v>
      </c>
      <c r="Q29"/>
      <c r="R29"/>
      <c r="S29"/>
      <c r="T29"/>
    </row>
    <row r="30" spans="1:22" s="2" customFormat="1" ht="17.5" x14ac:dyDescent="0.35">
      <c r="A30"/>
      <c r="B30"/>
      <c r="C30"/>
      <c r="D30"/>
      <c r="E30"/>
      <c r="F30"/>
      <c r="G30" s="3"/>
      <c r="H30" s="3"/>
      <c r="I30" s="3"/>
      <c r="J30" s="8" t="s">
        <v>45</v>
      </c>
      <c r="K30" s="8">
        <f>J20-E26</f>
        <v>4804000</v>
      </c>
      <c r="L30"/>
      <c r="M30" s="8">
        <f>+K30</f>
        <v>4804000</v>
      </c>
      <c r="N30" s="8" t="s">
        <v>29</v>
      </c>
      <c r="Q30"/>
      <c r="R30"/>
      <c r="S30"/>
      <c r="T30"/>
    </row>
  </sheetData>
  <autoFilter ref="A5:P17" xr:uid="{00000000-0009-0000-0000-00000D000000}">
    <sortState ref="A5:N46">
      <sortCondition ref="C5:C46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>
      <pane xSplit="3" ySplit="5" topLeftCell="F21" activePane="bottomRight" state="frozen"/>
      <selection activeCell="G6" sqref="G6:G39"/>
      <selection pane="topRight" activeCell="G6" sqref="G6:G39"/>
      <selection pane="bottomLeft" activeCell="G6" sqref="G6:G39"/>
      <selection pane="bottomRight" activeCell="K32" sqref="K32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3" width="13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ROUNDDOWN(K24/C3,0)</f>
        <v>2</v>
      </c>
      <c r="E3" s="1"/>
      <c r="L3" s="1"/>
      <c r="M3" s="1"/>
    </row>
    <row r="4" spans="1:16" s="12" customFormat="1" ht="17.5" x14ac:dyDescent="0.35">
      <c r="B4" s="13"/>
      <c r="C4" s="24">
        <v>45304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IF(D6=0,0,VLOOKUP($A6,[8]HISTOJANV24!$A$6:$BB$47,12,0))</f>
        <v>1</v>
      </c>
      <c r="C6" s="1" t="str">
        <f>VLOOKUP(A6,[9]LISTADHERENT!A$5:H$60,3,0)</f>
        <v>ASELBY</v>
      </c>
      <c r="D6" s="7">
        <f>IF(E6="ECHEC",0,VLOOKUP($A6,[8]HISTOJANV24!$A$6:$AR$47,13,0))</f>
        <v>75000</v>
      </c>
      <c r="E6" s="7" t="str">
        <f>VLOOKUP($A6,[8]HISTOJANV24!$A$6:$AV$47,8,0)</f>
        <v>BANQUE</v>
      </c>
      <c r="F6" s="7">
        <f>VLOOKUP($A6,[8]HISTOJANV24!$A$6:$AV$47,36,0)</f>
        <v>0</v>
      </c>
      <c r="G6" s="7">
        <f>VLOOKUP($A6,[8]HISTOJANV24!$A$6:$AV$47,39,0)</f>
        <v>0</v>
      </c>
      <c r="H6" s="7">
        <f>IF(G6=0,0,VLOOKUP($A6,[8]HISTOJANV24!$A$6:$AV$47,42,0))</f>
        <v>0</v>
      </c>
      <c r="I6" s="7">
        <f>VLOOKUP($A6,[8]HISTOJANV24!$A$6:$AV$47,41,0)</f>
        <v>0</v>
      </c>
      <c r="J6" s="7"/>
      <c r="K6" s="7">
        <f>VLOOKUP($A6,[8]HISTOJANV24!$A$6:$AV$47,17,0)</f>
        <v>0</v>
      </c>
      <c r="L6" s="7" t="str">
        <f>IF(K6&lt;&gt;0,VLOOKUP($A6,[8]HISTOJANV24!$A$6:$BB$47,8,0),"ECHEC")</f>
        <v>ECHEC</v>
      </c>
      <c r="M6" s="7">
        <f>IF(P6=0,0,VLOOKUP($A6,[8]HISTOJANV24!$A$6:$AV$47,32,0))</f>
        <v>0</v>
      </c>
      <c r="N6" s="7">
        <f>VLOOKUP($A6,[8]HISTOJANV24!$A$6:$AV$47,33,0)</f>
        <v>0</v>
      </c>
      <c r="O6" s="7">
        <f t="shared" ref="O6" si="0">IF(P6=0,0,($C$3-P6))</f>
        <v>0</v>
      </c>
      <c r="P6" s="7">
        <f>VLOOKUP($A6,[8]HISTOJANV24!$A$6:$AV$47,30,0)</f>
        <v>0</v>
      </c>
    </row>
    <row r="7" spans="1:16" x14ac:dyDescent="0.35">
      <c r="A7" s="1" t="s">
        <v>24</v>
      </c>
      <c r="B7" s="7">
        <f>IF(D7=0,0,VLOOKUP($A7,[8]HISTOJANV24!$A$6:$BB$47,12,0))</f>
        <v>1</v>
      </c>
      <c r="C7" s="1" t="str">
        <f>VLOOKUP(A7,[9]LISTADHERENT!A$5:H$60,3,0)</f>
        <v>BOUTCHOUANG WILLIAM</v>
      </c>
      <c r="D7" s="7">
        <f>IF(E7="ECHEC",0,VLOOKUP($A7,[8]HISTOJANV24!$A$6:$AR$47,13,0))</f>
        <v>75000</v>
      </c>
      <c r="E7" s="7" t="str">
        <f>VLOOKUP($A7,[8]HISTOJANV24!$A$6:$AV$47,8,0)</f>
        <v>BANQUE</v>
      </c>
      <c r="F7" s="7">
        <f>VLOOKUP($A7,[8]HISTOJANV24!$A$6:$AV$47,36,0)</f>
        <v>0</v>
      </c>
      <c r="G7" s="7">
        <f>VLOOKUP($A7,[8]HISTOJANV24!$A$6:$AV$47,39,0)</f>
        <v>0</v>
      </c>
      <c r="H7" s="7">
        <f>IF(G7=0,0,VLOOKUP($A7,[8]HISTOJANV24!$A$6:$AV$47,42,0))</f>
        <v>0</v>
      </c>
      <c r="I7" s="7">
        <f>VLOOKUP($A7,[8]HISTOJANV24!$A$6:$AV$47,41,0)</f>
        <v>0</v>
      </c>
      <c r="J7" s="7"/>
      <c r="K7" s="7">
        <f>VLOOKUP($A7,[8]HISTOJANV24!$A$6:$AV$47,17,0)</f>
        <v>0</v>
      </c>
      <c r="L7" s="7" t="str">
        <f>IF(K7&lt;&gt;0,VLOOKUP($A7,[8]HISTOJANV24!$A$6:$BB$47,8,0),"ECHEC")</f>
        <v>ECHEC</v>
      </c>
      <c r="M7" s="7">
        <f>IF(P7=0,0,VLOOKUP($A7,[8]HISTOJANV24!$A$6:$AV$47,32,0))</f>
        <v>0</v>
      </c>
      <c r="N7" s="7">
        <f>VLOOKUP($A7,[8]HISTOJANV24!$A$6:$AV$47,33,0)</f>
        <v>0</v>
      </c>
      <c r="O7" s="7">
        <f t="shared" ref="O7:O19" si="1">IF(P7=0,0,($C$3-P7))</f>
        <v>0</v>
      </c>
      <c r="P7" s="7">
        <f>VLOOKUP($A7,[8]HISTOJANV24!$A$6:$AV$47,30,0)</f>
        <v>0</v>
      </c>
    </row>
    <row r="8" spans="1:16" x14ac:dyDescent="0.35">
      <c r="A8" s="1" t="s">
        <v>49</v>
      </c>
      <c r="B8" s="7">
        <f>IF(D8=0,0,VLOOKUP($A8,[8]HISTOJANV24!$A$6:$BB$47,12,0))</f>
        <v>1</v>
      </c>
      <c r="C8" s="1" t="str">
        <f>VLOOKUP(A8,[9]LISTADHERENT!A$5:H$60,3,0)</f>
        <v>DJOMOU TCHAPDA</v>
      </c>
      <c r="D8" s="7">
        <f>IF(E8="ECHEC",0,VLOOKUP($A8,[8]HISTOJANV24!$A$6:$AR$47,13,0))</f>
        <v>75000</v>
      </c>
      <c r="E8" s="7" t="str">
        <f>VLOOKUP($A8,[8]HISTOJANV24!$A$6:$AV$47,8,0)</f>
        <v>BANQUE</v>
      </c>
      <c r="F8" s="7">
        <f>VLOOKUP($A8,[8]HISTOJANV24!$A$6:$AV$47,36,0)</f>
        <v>100000</v>
      </c>
      <c r="G8" s="7">
        <f>VLOOKUP($A8,[8]HISTOJANV24!$A$6:$AV$47,39,0)</f>
        <v>2000</v>
      </c>
      <c r="H8" s="7">
        <f>IF(G8=0,0,VLOOKUP($A8,[8]HISTOJANV24!$A$6:$AV$47,42,0))</f>
        <v>0</v>
      </c>
      <c r="I8" s="7">
        <f>VLOOKUP($A8,[8]HISTOJANV24!$A$6:$AV$47,41,0)</f>
        <v>0</v>
      </c>
      <c r="J8" s="7"/>
      <c r="K8" s="7">
        <f>VLOOKUP($A8,[8]HISTOJANV24!$A$6:$AV$47,17,0)</f>
        <v>0</v>
      </c>
      <c r="L8" s="7" t="str">
        <f>IF(K8&lt;&gt;0,VLOOKUP($A8,[8]HISTOJANV24!$A$6:$BB$47,8,0),"ECHEC")</f>
        <v>ECHEC</v>
      </c>
      <c r="M8" s="7">
        <f>IF(P8=0,0,VLOOKUP($A8,[8]HISTOJANV24!$A$6:$AV$47,32,0))</f>
        <v>0</v>
      </c>
      <c r="N8" s="7">
        <f>VLOOKUP($A8,[8]HISTOJANV24!$A$6:$AV$47,33,0)</f>
        <v>0</v>
      </c>
      <c r="O8" s="7">
        <f t="shared" ref="O8" si="2">IF(P8=0,0,($C$3-P8))</f>
        <v>0</v>
      </c>
      <c r="P8" s="7">
        <f>VLOOKUP($A8,[8]HISTOJANV24!$A$6:$AV$47,30,0)</f>
        <v>0</v>
      </c>
    </row>
    <row r="9" spans="1:16" x14ac:dyDescent="0.35">
      <c r="A9" s="1" t="s">
        <v>25</v>
      </c>
      <c r="B9" s="7">
        <f>IF(D9=0,0,VLOOKUP($A9,[8]HISTOJANV24!$A$6:$BB$47,12,0))</f>
        <v>1</v>
      </c>
      <c r="C9" s="1" t="str">
        <f>VLOOKUP(A9,[9]LISTADHERENT!A$5:H$60,3,0)</f>
        <v>DJOUKWE NANGUEN GUY BLAISE</v>
      </c>
      <c r="D9" s="7">
        <f>IF(E9="ECHEC",0,VLOOKUP($A9,[8]HISTOJANV24!$A$6:$AR$47,13,0))</f>
        <v>75000</v>
      </c>
      <c r="E9" s="7" t="str">
        <f>VLOOKUP($A9,[8]HISTOJANV24!$A$6:$AV$47,8,0)</f>
        <v>BANQUE</v>
      </c>
      <c r="F9" s="7">
        <f>VLOOKUP($A9,[8]HISTOJANV24!$A$6:$AV$47,36,0)</f>
        <v>100000</v>
      </c>
      <c r="G9" s="7">
        <f>VLOOKUP($A9,[8]HISTOJANV24!$A$6:$AV$47,39,0)</f>
        <v>2000</v>
      </c>
      <c r="H9" s="7">
        <f>IF(G9=0,0,VLOOKUP($A9,[8]HISTOJANV24!$A$6:$AV$47,42,0))</f>
        <v>0</v>
      </c>
      <c r="I9" s="7">
        <f>VLOOKUP($A9,[8]HISTOJANV24!$A$6:$AV$47,41,0)</f>
        <v>0</v>
      </c>
      <c r="J9" s="7"/>
      <c r="K9" s="7">
        <f>VLOOKUP($A9,[8]HISTOJANV24!$A$6:$AV$47,17,0)</f>
        <v>0</v>
      </c>
      <c r="L9" s="7" t="str">
        <f>IF(K9&lt;&gt;0,VLOOKUP($A9,[8]HISTOJANV24!$A$6:$BB$47,8,0),"ECHEC")</f>
        <v>ECHEC</v>
      </c>
      <c r="M9" s="7">
        <f>IF(P9=0,0,VLOOKUP($A9,[8]HISTOJANV24!$A$6:$AV$47,32,0))</f>
        <v>0</v>
      </c>
      <c r="N9" s="7">
        <f>VLOOKUP($A9,[8]HISTOJANV24!$A$6:$AV$47,33,0)</f>
        <v>0</v>
      </c>
      <c r="O9" s="7">
        <f t="shared" si="1"/>
        <v>0</v>
      </c>
      <c r="P9" s="7">
        <f>VLOOKUP($A9,[8]HISTOJANV24!$A$6:$AV$47,30,0)</f>
        <v>0</v>
      </c>
    </row>
    <row r="10" spans="1:16" x14ac:dyDescent="0.35">
      <c r="A10" s="1" t="s">
        <v>34</v>
      </c>
      <c r="B10" s="7">
        <f>IF(D10=0,0,VLOOKUP($A10,[8]HISTOJANV24!$A$6:$BB$47,12,0))</f>
        <v>1</v>
      </c>
      <c r="C10" s="1" t="str">
        <f>VLOOKUP(A10,[9]LISTADHERENT!A$5:H$60,3,0)</f>
        <v>DJUOMBESSY ANTOINE</v>
      </c>
      <c r="D10" s="7">
        <f>IF(E10="ECHEC",0,VLOOKUP($A10,[8]HISTOJANV24!$A$6:$AR$47,13,0))</f>
        <v>75000</v>
      </c>
      <c r="E10" s="7" t="str">
        <f>VLOOKUP($A10,[8]HISTOJANV24!$A$6:$AV$47,8,0)</f>
        <v>BANQUE</v>
      </c>
      <c r="F10" s="7">
        <f>VLOOKUP($A10,[8]HISTOJANV24!$A$6:$AV$47,36,0)</f>
        <v>0</v>
      </c>
      <c r="G10" s="7">
        <f>VLOOKUP($A10,[8]HISTOJANV24!$A$6:$AV$47,39,0)</f>
        <v>0</v>
      </c>
      <c r="H10" s="7">
        <f>IF(G10=0,0,VLOOKUP($A10,[8]HISTOJANV24!$A$6:$AV$47,42,0))</f>
        <v>0</v>
      </c>
      <c r="I10" s="7">
        <f>VLOOKUP($A10,[8]HISTOJANV24!$A$6:$AV$47,41,0)</f>
        <v>0</v>
      </c>
      <c r="J10" s="7"/>
      <c r="K10" s="7">
        <f>VLOOKUP($A10,[8]HISTOJANV24!$A$6:$AV$47,17,0)</f>
        <v>0</v>
      </c>
      <c r="L10" s="7" t="str">
        <f>IF(K10&lt;&gt;0,VLOOKUP($A10,[8]HISTOJANV24!$A$6:$BB$47,8,0),"ECHEC")</f>
        <v>ECHEC</v>
      </c>
      <c r="M10" s="7" t="str">
        <f>IF(P10=0,0,VLOOKUP($A10,[8]HISTOJANV24!$A$6:$AV$47,32,0))</f>
        <v>BANQUE</v>
      </c>
      <c r="N10" s="7">
        <f>VLOOKUP($A10,[8]HISTOJANV24!$A$6:$AV$47,33,0)</f>
        <v>0</v>
      </c>
      <c r="O10" s="7">
        <f t="shared" si="1"/>
        <v>840000</v>
      </c>
      <c r="P10" s="7">
        <f>VLOOKUP($A10,[8]HISTOJANV24!$A$6:$AV$47,30,0)</f>
        <v>60000</v>
      </c>
    </row>
    <row r="11" spans="1:16" x14ac:dyDescent="0.35">
      <c r="A11" s="1" t="s">
        <v>18</v>
      </c>
      <c r="B11" s="7">
        <f>IF(D11=0,0,VLOOKUP($A11,[8]HISTOJANV24!$A$6:$BB$47,12,0))</f>
        <v>1</v>
      </c>
      <c r="C11" s="1" t="str">
        <f>VLOOKUP(A11,[9]LISTADHERENT!A$5:H$60,3,0)</f>
        <v>HOTCHO BENJAMIN</v>
      </c>
      <c r="D11" s="7">
        <f>IF(E11="ECHEC",0,VLOOKUP($A11,[8]HISTOJANV24!$A$6:$AR$47,13,0))</f>
        <v>75000</v>
      </c>
      <c r="E11" s="7" t="str">
        <f>VLOOKUP($A11,[8]HISTOJANV24!$A$6:$AV$47,8,0)</f>
        <v>BANQUE</v>
      </c>
      <c r="F11" s="7">
        <f>VLOOKUP($A11,[8]HISTOJANV24!$A$6:$AV$47,36,0)</f>
        <v>0</v>
      </c>
      <c r="G11" s="7">
        <f>VLOOKUP($A11,[8]HISTOJANV24!$A$6:$AV$47,39,0)</f>
        <v>0</v>
      </c>
      <c r="H11" s="7">
        <f>IF(G11=0,0,VLOOKUP($A11,[8]HISTOJANV24!$A$6:$AV$47,42,0))</f>
        <v>0</v>
      </c>
      <c r="I11" s="7">
        <f>VLOOKUP($A11,[8]HISTOJANV24!$A$6:$AV$47,41,0)</f>
        <v>0</v>
      </c>
      <c r="J11" s="7"/>
      <c r="K11" s="7">
        <f>VLOOKUP($A11,[8]HISTOJANV24!$A$6:$AV$47,17,0)</f>
        <v>0</v>
      </c>
      <c r="L11" s="7" t="str">
        <f>IF(K11&lt;&gt;0,VLOOKUP($A11,[8]HISTOJANV24!$A$6:$BB$47,8,0),"ECHEC")</f>
        <v>ECHEC</v>
      </c>
      <c r="M11" s="7">
        <f>IF(P11=0,0,VLOOKUP($A11,[8]HISTOJANV24!$A$6:$AV$47,32,0))</f>
        <v>0</v>
      </c>
      <c r="N11" s="7">
        <f>VLOOKUP($A11,[8]HISTOJANV24!$A$6:$AV$47,33,0)</f>
        <v>0</v>
      </c>
      <c r="O11" s="7">
        <f t="shared" si="1"/>
        <v>0</v>
      </c>
      <c r="P11" s="7">
        <f>VLOOKUP($A11,[8]HISTOJANV24!$A$6:$AV$47,30,0)</f>
        <v>0</v>
      </c>
    </row>
    <row r="12" spans="1:16" x14ac:dyDescent="0.35">
      <c r="A12" s="1" t="s">
        <v>26</v>
      </c>
      <c r="B12" s="7">
        <f>IF(D12=0,0,VLOOKUP($A12,[8]HISTOJANV24!$A$6:$BB$47,12,0))</f>
        <v>1</v>
      </c>
      <c r="C12" s="1" t="str">
        <f>VLOOKUP(A12,[9]LISTADHERENT!A$5:H$60,3,0)</f>
        <v>HENGUE PAUL OMER</v>
      </c>
      <c r="D12" s="7">
        <f>IF(E12="ECHEC",0,VLOOKUP($A12,[8]HISTOJANV24!$A$6:$AR$47,13,0))</f>
        <v>75000</v>
      </c>
      <c r="E12" s="7" t="str">
        <f>VLOOKUP($A12,[8]HISTOJANV24!$A$6:$AV$47,8,0)</f>
        <v>BANQUE</v>
      </c>
      <c r="F12" s="7">
        <f>VLOOKUP($A12,[8]HISTOJANV24!$A$6:$AV$47,36,0)</f>
        <v>0</v>
      </c>
      <c r="G12" s="7">
        <f>VLOOKUP($A12,[8]HISTOJANV24!$A$6:$AV$47,39,0)</f>
        <v>0</v>
      </c>
      <c r="H12" s="7">
        <f>IF(G12=0,0,VLOOKUP($A12,[8]HISTOJANV24!$A$6:$AV$47,42,0))</f>
        <v>0</v>
      </c>
      <c r="I12" s="7">
        <f>VLOOKUP($A12,[8]HISTOJANV24!$A$6:$AV$47,41,0)</f>
        <v>0</v>
      </c>
      <c r="J12" s="7"/>
      <c r="K12" s="7">
        <f>VLOOKUP($A12,[8]HISTOJANV24!$A$6:$AV$47,17,0)</f>
        <v>0</v>
      </c>
      <c r="L12" s="7" t="str">
        <f>IF(K12&lt;&gt;0,VLOOKUP($A12,[8]HISTOJANV24!$A$6:$BB$47,8,0),"ECHEC")</f>
        <v>ECHEC</v>
      </c>
      <c r="M12" s="7">
        <f>IF(P12=0,0,VLOOKUP($A12,[8]HISTOJANV24!$A$6:$AV$47,32,0))</f>
        <v>0</v>
      </c>
      <c r="N12" s="7">
        <f>VLOOKUP($A12,[8]HISTOJANV24!$A$6:$AV$47,33,0)</f>
        <v>0</v>
      </c>
      <c r="O12" s="7">
        <f t="shared" si="1"/>
        <v>0</v>
      </c>
      <c r="P12" s="7">
        <f>VLOOKUP($A12,[8]HISTOJANV24!$A$6:$AV$47,30,0)</f>
        <v>0</v>
      </c>
    </row>
    <row r="13" spans="1:16" x14ac:dyDescent="0.35">
      <c r="A13" s="1" t="s">
        <v>21</v>
      </c>
      <c r="B13" s="7">
        <f>IF(D13=0,0,VLOOKUP($A13,[8]HISTOJANV24!$A$6:$BB$47,12,0))</f>
        <v>1</v>
      </c>
      <c r="C13" s="1" t="str">
        <f>VLOOKUP(A13,[9]LISTADHERENT!A$5:H$60,3,0)</f>
        <v>MBOGNING TUGMA GUY</v>
      </c>
      <c r="D13" s="7">
        <f>IF(E13="ECHEC",0,VLOOKUP($A13,[8]HISTOJANV24!$A$6:$AR$47,13,0))</f>
        <v>75000</v>
      </c>
      <c r="E13" s="7" t="str">
        <f>VLOOKUP($A13,[8]HISTOJANV24!$A$6:$AV$47,8,0)</f>
        <v>BANQUE</v>
      </c>
      <c r="F13" s="7">
        <f>VLOOKUP($A13,[8]HISTOJANV24!$A$6:$AV$47,36,0)</f>
        <v>0</v>
      </c>
      <c r="G13" s="7">
        <f>VLOOKUP($A13,[8]HISTOJANV24!$A$6:$AV$47,39,0)</f>
        <v>0</v>
      </c>
      <c r="H13" s="7">
        <f>IF(G13=0,0,VLOOKUP($A13,[8]HISTOJANV24!$A$6:$AV$47,42,0))</f>
        <v>0</v>
      </c>
      <c r="I13" s="7">
        <f>VLOOKUP($A13,[8]HISTOJANV24!$A$6:$AV$47,41,0)</f>
        <v>0</v>
      </c>
      <c r="J13" s="7"/>
      <c r="K13" s="7">
        <f>VLOOKUP($A13,[8]HISTOJANV24!$A$6:$AV$47,17,0)</f>
        <v>0</v>
      </c>
      <c r="L13" s="7" t="str">
        <f>IF(K13&lt;&gt;0,VLOOKUP($A13,[8]HISTOJANV24!$A$6:$BB$47,8,0),"ECHEC")</f>
        <v>ECHEC</v>
      </c>
      <c r="M13" s="7">
        <f>IF(P13=0,0,VLOOKUP($A13,[8]HISTOJANV24!$A$6:$AV$47,32,0))</f>
        <v>0</v>
      </c>
      <c r="N13" s="7">
        <f>VLOOKUP($A13,[8]HISTOJANV24!$A$6:$AV$47,33,0)</f>
        <v>0</v>
      </c>
      <c r="O13" s="7">
        <f t="shared" si="1"/>
        <v>0</v>
      </c>
      <c r="P13" s="7">
        <f>VLOOKUP($A13,[8]HISTOJANV24!$A$6:$AV$47,30,0)</f>
        <v>0</v>
      </c>
    </row>
    <row r="14" spans="1:16" x14ac:dyDescent="0.35">
      <c r="A14" s="1" t="s">
        <v>8</v>
      </c>
      <c r="B14" s="7">
        <f>IF(D14=0,0,VLOOKUP($A14,[8]HISTOJANV24!$A$6:$BB$47,12,0))</f>
        <v>1</v>
      </c>
      <c r="C14" s="1" t="str">
        <f>VLOOKUP(A14,[9]LISTADHERENT!A$5:H$60,3,0)</f>
        <v>NANKAM APPOLINAIRE</v>
      </c>
      <c r="D14" s="7">
        <f>IF(E14="ECHEC",0,VLOOKUP($A14,[8]HISTOJANV24!$A$6:$AR$47,13,0))</f>
        <v>75000</v>
      </c>
      <c r="E14" s="7" t="str">
        <f>VLOOKUP($A14,[8]HISTOJANV24!$A$6:$AV$47,8,0)</f>
        <v>BANQUE</v>
      </c>
      <c r="F14" s="7">
        <f>VLOOKUP($A14,[8]HISTOJANV24!$A$6:$AV$47,36,0)</f>
        <v>0</v>
      </c>
      <c r="G14" s="7">
        <f>VLOOKUP($A14,[8]HISTOJANV24!$A$6:$AV$47,39,0)</f>
        <v>0</v>
      </c>
      <c r="H14" s="7">
        <f>IF(G14=0,0,VLOOKUP($A14,[8]HISTOJANV24!$A$6:$AV$47,42,0))</f>
        <v>0</v>
      </c>
      <c r="I14" s="7">
        <f>VLOOKUP($A14,[8]HISTOJANV24!$A$6:$AV$47,41,0)</f>
        <v>0</v>
      </c>
      <c r="J14" s="7"/>
      <c r="K14" s="7">
        <f>VLOOKUP($A14,[8]HISTOJANV24!$A$6:$AV$47,17,0)</f>
        <v>0</v>
      </c>
      <c r="L14" s="7" t="str">
        <f>IF(K14&lt;&gt;0,VLOOKUP($A14,[8]HISTOJANV24!$A$6:$BB$47,8,0),"ECHEC")</f>
        <v>ECHEC</v>
      </c>
      <c r="M14" s="7">
        <f>IF(P14=0,0,VLOOKUP($A14,[8]HISTOJANV24!$A$6:$AV$47,32,0))</f>
        <v>0</v>
      </c>
      <c r="N14" s="7">
        <f>VLOOKUP($A14,[8]HISTOJANV24!$A$6:$AV$47,33,0)</f>
        <v>0</v>
      </c>
      <c r="O14" s="7">
        <f t="shared" si="1"/>
        <v>0</v>
      </c>
      <c r="P14" s="7">
        <f>VLOOKUP($A14,[8]HISTOJANV24!$A$6:$AV$47,30,0)</f>
        <v>0</v>
      </c>
    </row>
    <row r="15" spans="1:16" x14ac:dyDescent="0.35">
      <c r="A15" s="1" t="s">
        <v>35</v>
      </c>
      <c r="B15" s="7">
        <f>IF(D15=0,0,VLOOKUP($A15,[8]HISTOJANV24!$A$6:$BB$47,12,0))</f>
        <v>1</v>
      </c>
      <c r="C15" s="1" t="str">
        <f>VLOOKUP(A15,[9]LISTADHERENT!A$5:H$60,3,0)</f>
        <v>NGONDIEP CLAUDE</v>
      </c>
      <c r="D15" s="7">
        <f>IF(E15="ECHEC",0,VLOOKUP($A15,[8]HISTOJANV24!$A$6:$AR$47,13,0))</f>
        <v>75000</v>
      </c>
      <c r="E15" s="7" t="str">
        <f>VLOOKUP($A15,[8]HISTOJANV24!$A$6:$AV$47,8,0)</f>
        <v>BANQUE</v>
      </c>
      <c r="F15" s="7">
        <f>VLOOKUP($A15,[8]HISTOJANV24!$A$6:$AV$47,36,0)</f>
        <v>0</v>
      </c>
      <c r="G15" s="7">
        <f>VLOOKUP($A15,[8]HISTOJANV24!$A$6:$AV$47,39,0)</f>
        <v>0</v>
      </c>
      <c r="H15" s="7">
        <f>IF(G15=0,0,VLOOKUP($A15,[8]HISTOJANV24!$A$6:$AV$47,42,0))</f>
        <v>0</v>
      </c>
      <c r="I15" s="7">
        <f>VLOOKUP($A15,[8]HISTOJANV24!$A$6:$AV$47,41,0)</f>
        <v>0</v>
      </c>
      <c r="J15" s="7"/>
      <c r="K15" s="7">
        <f>VLOOKUP($A15,[8]HISTOJANV24!$A$6:$AV$47,17,0)</f>
        <v>0</v>
      </c>
      <c r="L15" s="7" t="str">
        <f>IF(K15&lt;&gt;0,VLOOKUP($A15,[8]HISTOJANV24!$A$6:$BB$47,8,0),"ECHEC")</f>
        <v>ECHEC</v>
      </c>
      <c r="M15" s="7">
        <f>IF(P15=0,0,VLOOKUP($A15,[8]HISTOJANV24!$A$6:$AV$47,32,0))</f>
        <v>0</v>
      </c>
      <c r="N15" s="7">
        <f>VLOOKUP($A15,[8]HISTOJANV24!$A$6:$AV$47,33,0)</f>
        <v>0</v>
      </c>
      <c r="O15" s="7">
        <f t="shared" si="1"/>
        <v>0</v>
      </c>
      <c r="P15" s="7">
        <f>VLOOKUP($A15,[8]HISTOJANV24!$A$6:$AV$47,30,0)</f>
        <v>0</v>
      </c>
    </row>
    <row r="16" spans="1:16" x14ac:dyDescent="0.35">
      <c r="A16" s="1" t="s">
        <v>20</v>
      </c>
      <c r="B16" s="7">
        <f>IF(D16=0,0,VLOOKUP($A16,[8]HISTOJANV24!$A$6:$BB$47,12,0))</f>
        <v>3</v>
      </c>
      <c r="C16" s="1" t="str">
        <f>VLOOKUP(A16,[9]LISTADHERENT!A$5:H$60,3,0)</f>
        <v>NGUIEMEGNI MATHIEU BLAISE</v>
      </c>
      <c r="D16" s="7">
        <f>IF(E16="ECHEC",0,VLOOKUP($A16,[8]HISTOJANV24!$A$6:$AR$47,13,0))</f>
        <v>225000</v>
      </c>
      <c r="E16" s="7" t="str">
        <f>VLOOKUP($A16,[8]HISTOJANV24!$A$6:$AV$47,8,0)</f>
        <v>BANQUE</v>
      </c>
      <c r="F16" s="7">
        <f>VLOOKUP($A16,[8]HISTOJANV24!$A$6:$AV$47,36,0)</f>
        <v>0</v>
      </c>
      <c r="G16" s="7">
        <f>VLOOKUP($A16,[8]HISTOJANV24!$A$6:$AV$47,39,0)</f>
        <v>0</v>
      </c>
      <c r="H16" s="7">
        <f>IF(G16=0,0,VLOOKUP($A16,[8]HISTOJANV24!$A$6:$AV$47,42,0))</f>
        <v>0</v>
      </c>
      <c r="I16" s="7">
        <f>VLOOKUP($A16,[8]HISTOJANV24!$A$6:$AV$47,41,0)</f>
        <v>0</v>
      </c>
      <c r="J16" s="7"/>
      <c r="K16" s="7">
        <f>VLOOKUP($A16,[8]HISTOJANV24!$A$6:$AV$47,17,0)</f>
        <v>0</v>
      </c>
      <c r="L16" s="7" t="str">
        <f>IF(K16&lt;&gt;0,VLOOKUP($A16,[8]HISTOJANV24!$A$6:$BB$47,8,0),"ECHEC")</f>
        <v>ECHEC</v>
      </c>
      <c r="M16" s="7" t="str">
        <f>IF(P16=0,0,VLOOKUP($A16,[8]HISTOJANV24!$A$6:$AV$47,32,0))</f>
        <v>BANQUE</v>
      </c>
      <c r="N16" s="7">
        <f>VLOOKUP($A16,[8]HISTOJANV24!$A$6:$AV$47,33,0)</f>
        <v>0</v>
      </c>
      <c r="O16" s="7">
        <f t="shared" si="1"/>
        <v>835000</v>
      </c>
      <c r="P16" s="7">
        <f>VLOOKUP($A16,[8]HISTOJANV24!$A$6:$AV$47,30,0)</f>
        <v>65000</v>
      </c>
    </row>
    <row r="17" spans="1:16" x14ac:dyDescent="0.35">
      <c r="A17" s="1" t="s">
        <v>27</v>
      </c>
      <c r="B17" s="7">
        <f>IF(D17=0,0,VLOOKUP($A17,[8]HISTOJANV24!$A$6:$BB$47,12,0))</f>
        <v>1</v>
      </c>
      <c r="C17" s="1" t="str">
        <f>VLOOKUP(A17,[9]LISTADHERENT!A$5:H$60,3,0)</f>
        <v>PATEGO NJOSSU GUSTAVE</v>
      </c>
      <c r="D17" s="7">
        <f>IF(E17="ECHEC",0,VLOOKUP($A17,[8]HISTOJANV24!$A$6:$AR$47,13,0))</f>
        <v>75000</v>
      </c>
      <c r="E17" s="7" t="str">
        <f>VLOOKUP($A17,[8]HISTOJANV24!$A$6:$AV$47,8,0)</f>
        <v>BANQUE</v>
      </c>
      <c r="F17" s="7">
        <f>VLOOKUP($A17,[8]HISTOJANV24!$A$6:$AV$47,36,0)</f>
        <v>0</v>
      </c>
      <c r="G17" s="7">
        <f>VLOOKUP($A17,[8]HISTOJANV24!$A$6:$AV$47,39,0)</f>
        <v>0</v>
      </c>
      <c r="H17" s="7">
        <f>IF(G17=0,0,VLOOKUP($A17,[8]HISTOJANV24!$A$6:$AV$47,42,0))</f>
        <v>0</v>
      </c>
      <c r="I17" s="7">
        <f>VLOOKUP($A17,[8]HISTOJANV24!$A$6:$AV$47,41,0)</f>
        <v>0</v>
      </c>
      <c r="J17" s="7"/>
      <c r="K17" s="7">
        <f>VLOOKUP($A17,[8]HISTOJANV24!$A$6:$AV$47,17,0)</f>
        <v>0</v>
      </c>
      <c r="L17" s="7" t="str">
        <f>IF(K17&lt;&gt;0,VLOOKUP($A17,[8]HISTOJANV24!$A$6:$BB$47,8,0),"ECHEC")</f>
        <v>ECHEC</v>
      </c>
      <c r="M17" s="7">
        <f>IF(P17=0,0,VLOOKUP($A17,[8]HISTOJANV24!$A$6:$AV$47,32,0))</f>
        <v>0</v>
      </c>
      <c r="N17" s="7">
        <f>VLOOKUP($A17,[8]HISTOJANV24!$A$6:$AV$47,33,0)</f>
        <v>0</v>
      </c>
      <c r="O17" s="7">
        <f t="shared" si="1"/>
        <v>0</v>
      </c>
      <c r="P17" s="7">
        <f>VLOOKUP($A17,[8]HISTOJANV24!$A$6:$AV$47,30,0)</f>
        <v>0</v>
      </c>
    </row>
    <row r="18" spans="1:16" x14ac:dyDescent="0.35">
      <c r="A18" s="9" t="s">
        <v>48</v>
      </c>
      <c r="B18" s="7">
        <f>IF(D18=0,0,VLOOKUP($A18,[8]HISTOJANV24!$A$6:$BB$47,12,0))</f>
        <v>1</v>
      </c>
      <c r="C18" s="1" t="str">
        <f>VLOOKUP(A18,[9]LISTADHERENT!A$5:H$60,3,0)</f>
        <v>TCHOUAMOU MATHIEU</v>
      </c>
      <c r="D18" s="7">
        <f>IF(E18="ECHEC",0,VLOOKUP($A18,[8]HISTOJANV24!$A$6:$AR$47,13,0))</f>
        <v>75000</v>
      </c>
      <c r="E18" s="7" t="str">
        <f>VLOOKUP($A18,[8]HISTOJANV24!$A$6:$AV$47,8,0)</f>
        <v>BANQUE</v>
      </c>
      <c r="F18" s="7">
        <f>VLOOKUP($A18,[8]HISTOJANV24!$A$6:$AV$47,36,0)</f>
        <v>0</v>
      </c>
      <c r="G18" s="7">
        <f>VLOOKUP($A18,[8]HISTOJANV24!$A$6:$AV$47,39,0)</f>
        <v>0</v>
      </c>
      <c r="H18" s="7">
        <f>IF(G18=0,0,VLOOKUP($A18,[8]HISTOJANV24!$A$6:$AV$47,42,0))</f>
        <v>0</v>
      </c>
      <c r="I18" s="7">
        <f>VLOOKUP($A18,[8]HISTOJANV24!$A$6:$AV$47,41,0)</f>
        <v>0</v>
      </c>
      <c r="J18" s="7"/>
      <c r="K18" s="7">
        <f>VLOOKUP($A18,[8]HISTOJANV24!$A$6:$AV$47,17,0)</f>
        <v>0</v>
      </c>
      <c r="L18" s="7" t="str">
        <f>IF(K18&lt;&gt;0,VLOOKUP($A18,[8]HISTOJANV24!$A$6:$BB$47,8,0),"ECHEC")</f>
        <v>ECHEC</v>
      </c>
      <c r="M18" s="7">
        <f>IF(P18=0,0,VLOOKUP($A18,[8]HISTOJANV24!$A$6:$AV$47,32,0))</f>
        <v>0</v>
      </c>
      <c r="N18" s="7">
        <f>VLOOKUP($A18,[8]HISTOJANV24!$A$6:$AV$47,33,0)</f>
        <v>0</v>
      </c>
      <c r="O18" s="7">
        <f t="shared" si="1"/>
        <v>0</v>
      </c>
      <c r="P18" s="7">
        <f>VLOOKUP($A18,[8]HISTOJANV24!$A$6:$AV$47,30,0)</f>
        <v>0</v>
      </c>
    </row>
    <row r="19" spans="1:16" x14ac:dyDescent="0.35">
      <c r="A19" s="1" t="s">
        <v>19</v>
      </c>
      <c r="B19" s="7">
        <f>IF(D19=0,0,VLOOKUP($A19,[8]HISTOJANV24!$A$6:$BB$47,12,0))</f>
        <v>1</v>
      </c>
      <c r="C19" s="1" t="str">
        <f>VLOOKUP(A19,[9]LISTADHERENT!A$5:H$60,3,0)</f>
        <v>YOUMBI EMMANUEL</v>
      </c>
      <c r="D19" s="7">
        <f>IF(E19="ECHEC",0,VLOOKUP($A19,[8]HISTOJANV24!$A$6:$AR$47,13,0))</f>
        <v>75000</v>
      </c>
      <c r="E19" s="7" t="str">
        <f>VLOOKUP($A19,[8]HISTOJANV24!$A$6:$AV$47,8,0)</f>
        <v>BANQUE</v>
      </c>
      <c r="F19" s="7">
        <f>VLOOKUP($A19,[8]HISTOJANV24!$A$6:$AV$47,36,0)</f>
        <v>0</v>
      </c>
      <c r="G19" s="7">
        <f>VLOOKUP($A19,[8]HISTOJANV24!$A$6:$AV$47,39,0)</f>
        <v>0</v>
      </c>
      <c r="H19" s="7">
        <f>IF(G19=0,0,VLOOKUP($A19,[8]HISTOJANV24!$A$6:$AV$47,42,0))</f>
        <v>0</v>
      </c>
      <c r="I19" s="7">
        <f>VLOOKUP($A19,[8]HISTOJANV24!$A$6:$AV$47,41,0)</f>
        <v>0</v>
      </c>
      <c r="J19" s="7"/>
      <c r="K19" s="7">
        <f>VLOOKUP($A19,[8]HISTOJANV24!$A$6:$AV$47,17,0)</f>
        <v>0</v>
      </c>
      <c r="L19" s="7" t="str">
        <f>IF(K19&lt;&gt;0,VLOOKUP($A19,[8]HISTOJANV24!$A$6:$BB$47,8,0),"ECHEC")</f>
        <v>ECHEC</v>
      </c>
      <c r="M19" s="7">
        <f>IF(P19=0,0,VLOOKUP($A19,[8]HISTOJANV24!$A$6:$AV$47,32,0))</f>
        <v>0</v>
      </c>
      <c r="N19" s="7">
        <f>VLOOKUP($A19,[8]HISTOJANV24!$A$6:$AV$47,33,0)</f>
        <v>0</v>
      </c>
      <c r="O19" s="7">
        <f t="shared" si="1"/>
        <v>0</v>
      </c>
      <c r="P19" s="7">
        <f>VLOOKUP($A19,[8]HISTOJANV24!$A$6:$AV$47,30,0)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3">SUM(D6:D21)</f>
        <v>1200000</v>
      </c>
      <c r="E22" s="8">
        <f t="shared" si="3"/>
        <v>0</v>
      </c>
      <c r="F22" s="8">
        <f t="shared" si="3"/>
        <v>200000</v>
      </c>
      <c r="G22" s="8">
        <f t="shared" si="3"/>
        <v>4000</v>
      </c>
      <c r="H22" s="8">
        <f t="shared" si="3"/>
        <v>0</v>
      </c>
      <c r="I22" s="8">
        <f t="shared" si="3"/>
        <v>0</v>
      </c>
      <c r="J22" s="8">
        <f t="shared" si="3"/>
        <v>0</v>
      </c>
      <c r="K22" s="8">
        <f t="shared" si="3"/>
        <v>0</v>
      </c>
      <c r="L22" s="8">
        <f t="shared" si="3"/>
        <v>0</v>
      </c>
      <c r="M22" s="8">
        <f t="shared" si="3"/>
        <v>0</v>
      </c>
      <c r="N22" s="8">
        <f t="shared" si="3"/>
        <v>0</v>
      </c>
      <c r="O22" s="8">
        <f t="shared" si="3"/>
        <v>1675000</v>
      </c>
      <c r="P22" s="8">
        <f t="shared" si="3"/>
        <v>125000</v>
      </c>
    </row>
    <row r="23" spans="1:16" s="2" customFormat="1" ht="28.5" x14ac:dyDescent="0.3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16" s="2" customFormat="1" ht="28.5" x14ac:dyDescent="0.3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D28+E28+P22</f>
        <v>2225000</v>
      </c>
      <c r="L24" s="5"/>
      <c r="M24"/>
      <c r="N24" s="5"/>
    </row>
    <row r="25" spans="1:16" s="2" customFormat="1" ht="17.5" x14ac:dyDescent="0.35">
      <c r="D25" s="8">
        <f>SUMIFS(D6:D21,E6:E21,"ESPECES")</f>
        <v>0</v>
      </c>
      <c r="E25" s="8">
        <f>SUMIFS(K7:K17,L7:L17,"ESPECES")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1800000</v>
      </c>
      <c r="L25" s="8">
        <f>D3</f>
        <v>2</v>
      </c>
      <c r="M25" s="8">
        <f>COUNTIF(O7:O17,"&gt;0")</f>
        <v>2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SUMIFS(K7:K17,L7:L17,"BANQUE")</f>
        <v>0</v>
      </c>
      <c r="F26" s="8">
        <f>SUMIFS(F7:F21,H7:H21,"BANQUE")</f>
        <v>0</v>
      </c>
      <c r="G26" s="8">
        <f>SUMIFS(O7:O21,M7:M21,"BANQUE")</f>
        <v>1675000</v>
      </c>
      <c r="H26" s="8">
        <f>D26+E26-F26-G26</f>
        <v>-475000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425000</v>
      </c>
      <c r="L27" s="8"/>
      <c r="M27" s="8"/>
      <c r="N27" s="8"/>
    </row>
    <row r="28" spans="1:16" s="2" customFormat="1" ht="17.5" x14ac:dyDescent="0.35">
      <c r="D28" s="8">
        <f>D25+D26+900000</f>
        <v>2100000</v>
      </c>
      <c r="E28" s="8">
        <f>E25+E26</f>
        <v>0</v>
      </c>
      <c r="F28" s="8">
        <f>F25+F26</f>
        <v>0</v>
      </c>
      <c r="G28" s="8">
        <f t="shared" ref="G28:H28" si="4">G25+G26</f>
        <v>1675000</v>
      </c>
      <c r="H28" s="8">
        <f t="shared" si="4"/>
        <v>-475000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225000</v>
      </c>
      <c r="L29"/>
      <c r="M29" s="8">
        <f>K29</f>
        <v>225000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ht="17.5" x14ac:dyDescent="0.35">
      <c r="J31" s="8" t="s">
        <v>44</v>
      </c>
      <c r="K31" s="8">
        <f>COUNTIFS(E7:E20,"ECHEC")*75000</f>
        <v>0</v>
      </c>
      <c r="M31" s="8">
        <f>+K31</f>
        <v>0</v>
      </c>
      <c r="N31" s="8" t="s">
        <v>29</v>
      </c>
    </row>
    <row r="32" spans="1:16" ht="17.5" x14ac:dyDescent="0.35">
      <c r="J32" s="8" t="s">
        <v>45</v>
      </c>
      <c r="K32" s="8">
        <f>J22-E28</f>
        <v>0</v>
      </c>
      <c r="M32" s="8">
        <f>+K32</f>
        <v>0</v>
      </c>
      <c r="N32" s="8" t="s">
        <v>29</v>
      </c>
    </row>
  </sheetData>
  <autoFilter ref="A5:P16" xr:uid="{00000000-0009-0000-0000-000001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workbookViewId="0">
      <pane xSplit="3" ySplit="5" topLeftCell="D6" activePane="bottomRight" state="frozen"/>
      <selection activeCell="G6" sqref="G6:G39"/>
      <selection pane="topRight" activeCell="G6" sqref="G6:G39"/>
      <selection pane="bottomLeft" activeCell="G6" sqref="G6:G39"/>
      <selection pane="bottomRight" activeCell="K32" sqref="K32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31.81640625" bestFit="1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ROUNDDOWN(K24/C3,0)</f>
        <v>1</v>
      </c>
      <c r="E3" s="1"/>
      <c r="L3" s="1"/>
      <c r="M3" s="1"/>
    </row>
    <row r="4" spans="1:16" s="12" customFormat="1" ht="17.5" x14ac:dyDescent="0.35">
      <c r="B4" s="13"/>
      <c r="C4" s="24">
        <v>45335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IF(D6=0,0,VLOOKUP($A6,[8]HISTOFEV24!$A$6:$BB$47,12,0))</f>
        <v>1</v>
      </c>
      <c r="C6" s="1" t="str">
        <f>VLOOKUP(A6,[9]LISTADHERENT!A$5:H$60,3,0)</f>
        <v>ASELBY</v>
      </c>
      <c r="D6" s="7">
        <f>IF(E6="ECHEC",0,VLOOKUP($A6,[8]HISTOFEV24!$A$6:$AR$47,13,0))</f>
        <v>75000</v>
      </c>
      <c r="E6" s="7" t="str">
        <f>VLOOKUP($A6,[8]HISTOFEV24!$A$6:$AV$47,8,0)</f>
        <v>BANQUE</v>
      </c>
      <c r="F6" s="7">
        <f>VLOOKUP($A6,[8]HISTOFEV24!$A$6:$AV$47,36,0)</f>
        <v>0</v>
      </c>
      <c r="G6" s="7">
        <f>VLOOKUP($A6,[8]HISTOFEV24!$A$6:$AV$47,39,0)</f>
        <v>0</v>
      </c>
      <c r="H6" s="7">
        <f>IF(G6=0,0,VLOOKUP($A6,[8]HISTOFEV24!$A$6:$AV$47,42,0))</f>
        <v>0</v>
      </c>
      <c r="I6" s="7">
        <f>VLOOKUP($A6,[8]HISTOFEV24!$A$6:$AV$47,41,0)</f>
        <v>0</v>
      </c>
      <c r="J6" s="7">
        <f>TONTJANV24!F6+TONTJANV24!G6</f>
        <v>0</v>
      </c>
      <c r="K6" s="7">
        <f>VLOOKUP($A6,[8]HISTOFEV24!$A$6:$AV$47,17,0)</f>
        <v>0</v>
      </c>
      <c r="L6" s="7" t="str">
        <f>IF(K6&lt;&gt;0,VLOOKUP($A6,[8]HISTOFEV24!$A$6:$BB$47,8,0),"ECHEC")</f>
        <v>ECHEC</v>
      </c>
      <c r="M6" s="7">
        <f>IF(P6=0,0,VLOOKUP($A6,[8]HISTOFEV24!$A$6:$AV$47,32,0))</f>
        <v>0</v>
      </c>
      <c r="N6" s="7">
        <f>VLOOKUP($A6,[8]HISTOFEV24!$A$6:$AV$47,33,0)</f>
        <v>0</v>
      </c>
      <c r="O6" s="7">
        <f t="shared" ref="O6:O19" si="0">IF(P6=0,0,($C$3-P6))</f>
        <v>0</v>
      </c>
      <c r="P6" s="7">
        <f>VLOOKUP($A6,[8]HISTOFEV24!$A$6:$AV$47,30,0)</f>
        <v>0</v>
      </c>
    </row>
    <row r="7" spans="1:16" x14ac:dyDescent="0.35">
      <c r="A7" s="1" t="s">
        <v>24</v>
      </c>
      <c r="B7" s="7">
        <f>IF(D7=0,0,VLOOKUP($A7,[8]HISTOFEV24!$A$6:$BB$47,12,0))</f>
        <v>1</v>
      </c>
      <c r="C7" s="1" t="str">
        <f>VLOOKUP(A7,[9]LISTADHERENT!A$5:H$60,3,0)</f>
        <v>BOUTCHOUANG WILLIAM</v>
      </c>
      <c r="D7" s="7">
        <f>IF(E7="ECHEC",0,VLOOKUP($A7,[8]HISTOFEV24!$A$6:$AR$47,13,0))</f>
        <v>75000</v>
      </c>
      <c r="E7" s="7" t="str">
        <f>VLOOKUP($A7,[8]HISTOFEV24!$A$6:$AV$47,8,0)</f>
        <v>BANQUE</v>
      </c>
      <c r="F7" s="7">
        <f>VLOOKUP($A7,[8]HISTOFEV24!$A$6:$AV$47,36,0)</f>
        <v>0</v>
      </c>
      <c r="G7" s="7">
        <f>VLOOKUP($A7,[8]HISTOFEV24!$A$6:$AV$47,39,0)</f>
        <v>0</v>
      </c>
      <c r="H7" s="7">
        <f>IF(G7=0,0,VLOOKUP($A7,[8]HISTOFEV24!$A$6:$AV$47,42,0))</f>
        <v>0</v>
      </c>
      <c r="I7" s="7">
        <f>VLOOKUP($A7,[8]HISTOFEV24!$A$6:$AV$47,41,0)</f>
        <v>0</v>
      </c>
      <c r="J7" s="7">
        <f>TONTJANV24!F7+TONTJANV24!G7</f>
        <v>0</v>
      </c>
      <c r="K7" s="7">
        <f>VLOOKUP($A7,[8]HISTOFEV24!$A$6:$AV$47,17,0)</f>
        <v>0</v>
      </c>
      <c r="L7" s="7" t="str">
        <f>IF(K7&lt;&gt;0,VLOOKUP($A7,[8]HISTOFEV24!$A$6:$BB$47,8,0),"ECHEC")</f>
        <v>ECHEC</v>
      </c>
      <c r="M7" s="7">
        <f>IF(P7=0,0,VLOOKUP($A7,[8]HISTOFEV24!$A$6:$AV$47,32,0))</f>
        <v>0</v>
      </c>
      <c r="N7" s="7">
        <f>VLOOKUP($A7,[8]HISTOFEV24!$A$6:$AV$47,33,0)</f>
        <v>0</v>
      </c>
      <c r="O7" s="7">
        <f t="shared" si="0"/>
        <v>0</v>
      </c>
      <c r="P7" s="7">
        <f>VLOOKUP($A7,[8]HISTOFEV24!$A$6:$AV$47,30,0)</f>
        <v>0</v>
      </c>
    </row>
    <row r="8" spans="1:16" x14ac:dyDescent="0.35">
      <c r="A8" s="1" t="s">
        <v>49</v>
      </c>
      <c r="B8" s="7">
        <f>IF(D8=0,0,VLOOKUP($A8,[8]HISTOFEV24!$A$6:$BB$47,12,0))</f>
        <v>1</v>
      </c>
      <c r="C8" s="1" t="str">
        <f>VLOOKUP(A8,[9]LISTADHERENT!A$5:H$60,3,0)</f>
        <v>DJOMOU TCHAPDA</v>
      </c>
      <c r="D8" s="7">
        <f>IF(E8="ECHEC",0,VLOOKUP($A8,[8]HISTOFEV24!$A$6:$AR$47,13,0))</f>
        <v>75000</v>
      </c>
      <c r="E8" s="7" t="str">
        <f>VLOOKUP($A8,[8]HISTOFEV24!$A$6:$AV$47,8,0)</f>
        <v>BANQUE</v>
      </c>
      <c r="F8" s="7">
        <f>VLOOKUP($A8,[8]HISTOFEV24!$A$6:$AV$47,36,0)</f>
        <v>0</v>
      </c>
      <c r="G8" s="7">
        <f>VLOOKUP($A8,[8]HISTOFEV24!$A$6:$AV$47,39,0)</f>
        <v>0</v>
      </c>
      <c r="H8" s="7">
        <f>IF(G8=0,0,VLOOKUP($A8,[8]HISTOFEV24!$A$6:$AV$47,42,0))</f>
        <v>0</v>
      </c>
      <c r="I8" s="7">
        <f>VLOOKUP($A8,[8]HISTOFEV24!$A$6:$AV$47,41,0)</f>
        <v>0</v>
      </c>
      <c r="J8" s="7">
        <f>TONTJANV24!F8+TONTJANV24!G8</f>
        <v>102000</v>
      </c>
      <c r="K8" s="7">
        <f>VLOOKUP($A8,[8]HISTOFEV24!$A$6:$AV$47,17,0)</f>
        <v>102000</v>
      </c>
      <c r="L8" s="7" t="str">
        <f>IF(K8&lt;&gt;0,VLOOKUP($A8,[8]HISTOFEV24!$A$6:$BB$47,8,0),"ECHEC")</f>
        <v>BANQUE</v>
      </c>
      <c r="M8" s="7">
        <f>IF(P8=0,0,VLOOKUP($A8,[8]HISTOFEV24!$A$6:$AV$47,32,0))</f>
        <v>0</v>
      </c>
      <c r="N8" s="7">
        <f>VLOOKUP($A8,[8]HISTOFEV24!$A$6:$AV$47,33,0)</f>
        <v>0</v>
      </c>
      <c r="O8" s="7">
        <f t="shared" si="0"/>
        <v>0</v>
      </c>
      <c r="P8" s="7">
        <f>VLOOKUP($A8,[8]HISTOFEV24!$A$6:$AV$47,30,0)</f>
        <v>0</v>
      </c>
    </row>
    <row r="9" spans="1:16" x14ac:dyDescent="0.35">
      <c r="A9" s="1" t="s">
        <v>25</v>
      </c>
      <c r="B9" s="7">
        <f>IF(D9=0,0,VLOOKUP($A9,[8]HISTOFEV24!$A$6:$BB$47,12,0))</f>
        <v>1</v>
      </c>
      <c r="C9" s="1" t="str">
        <f>VLOOKUP(A9,[9]LISTADHERENT!A$5:H$60,3,0)</f>
        <v>DJOUKWE NANGUEN GUY BLAISE</v>
      </c>
      <c r="D9" s="7">
        <f>IF(E9="ECHEC",0,VLOOKUP($A9,[8]HISTOFEV24!$A$6:$AR$47,13,0))</f>
        <v>75000</v>
      </c>
      <c r="E9" s="7" t="str">
        <f>VLOOKUP($A9,[8]HISTOFEV24!$A$6:$AV$47,8,0)</f>
        <v>BANQUE</v>
      </c>
      <c r="F9" s="7">
        <f>VLOOKUP($A9,[8]HISTOFEV24!$A$6:$AV$47,36,0)</f>
        <v>0</v>
      </c>
      <c r="G9" s="7">
        <f>VLOOKUP($A9,[8]HISTOFEV24!$A$6:$AV$47,39,0)</f>
        <v>0</v>
      </c>
      <c r="H9" s="7">
        <f>IF(G9=0,0,VLOOKUP($A9,[8]HISTOFEV24!$A$6:$AV$47,42,0))</f>
        <v>0</v>
      </c>
      <c r="I9" s="7">
        <f>VLOOKUP($A9,[8]HISTOFEV24!$A$6:$AV$47,41,0)</f>
        <v>0</v>
      </c>
      <c r="J9" s="7">
        <f>TONTJANV24!F9+TONTJANV24!G9</f>
        <v>102000</v>
      </c>
      <c r="K9" s="7">
        <f>VLOOKUP($A9,[8]HISTOFEV24!$A$6:$AV$47,17,0)</f>
        <v>102000</v>
      </c>
      <c r="L9" s="7" t="str">
        <f>IF(K9&lt;&gt;0,VLOOKUP($A9,[8]HISTOFEV24!$A$6:$BB$47,8,0),"ECHEC")</f>
        <v>BANQUE</v>
      </c>
      <c r="M9" s="7" t="str">
        <f>IF(P9=0,0,VLOOKUP($A9,[8]HISTOFEV24!$A$6:$AV$47,32,0))</f>
        <v>BANQUE</v>
      </c>
      <c r="N9" s="7">
        <f>VLOOKUP($A9,[8]HISTOFEV24!$A$6:$AV$47,33,0)</f>
        <v>0</v>
      </c>
      <c r="O9" s="7">
        <f t="shared" si="0"/>
        <v>884000</v>
      </c>
      <c r="P9" s="7">
        <f>VLOOKUP($A9,[8]HISTOFEV24!$A$6:$AV$47,30,0)</f>
        <v>16000</v>
      </c>
    </row>
    <row r="10" spans="1:16" x14ac:dyDescent="0.35">
      <c r="A10" s="1" t="s">
        <v>34</v>
      </c>
      <c r="B10" s="7">
        <f>IF(D10=0,0,VLOOKUP($A10,[8]HISTOFEV24!$A$6:$BB$47,12,0))</f>
        <v>1</v>
      </c>
      <c r="C10" s="1" t="str">
        <f>VLOOKUP(A10,[9]LISTADHERENT!A$5:H$60,3,0)</f>
        <v>DJUOMBESSY ANTOINE</v>
      </c>
      <c r="D10" s="7">
        <f>IF(E10="ECHEC",0,VLOOKUP($A10,[8]HISTOFEV24!$A$6:$AR$47,13,0))</f>
        <v>75000</v>
      </c>
      <c r="E10" s="7" t="str">
        <f>VLOOKUP($A10,[8]HISTOFEV24!$A$6:$AV$47,8,0)</f>
        <v>BANQUE</v>
      </c>
      <c r="F10" s="7">
        <f>VLOOKUP($A10,[8]HISTOFEV24!$A$6:$AV$47,36,0)</f>
        <v>0</v>
      </c>
      <c r="G10" s="7">
        <f>VLOOKUP($A10,[8]HISTOFEV24!$A$6:$AV$47,39,0)</f>
        <v>0</v>
      </c>
      <c r="H10" s="7">
        <f>IF(G10=0,0,VLOOKUP($A10,[8]HISTOFEV24!$A$6:$AV$47,42,0))</f>
        <v>0</v>
      </c>
      <c r="I10" s="7">
        <f>VLOOKUP($A10,[8]HISTOFEV24!$A$6:$AV$47,41,0)</f>
        <v>0</v>
      </c>
      <c r="J10" s="7">
        <f>TONTJANV24!F10+TONTJANV24!G10</f>
        <v>0</v>
      </c>
      <c r="K10" s="7">
        <f>VLOOKUP($A10,[8]HISTOFEV24!$A$6:$AV$47,17,0)</f>
        <v>0</v>
      </c>
      <c r="L10" s="7" t="str">
        <f>IF(K10&lt;&gt;0,VLOOKUP($A10,[8]HISTOFEV24!$A$6:$BB$47,8,0),"ECHEC")</f>
        <v>ECHEC</v>
      </c>
      <c r="M10" s="7">
        <f>IF(P10=0,0,VLOOKUP($A10,[8]HISTOFEV24!$A$6:$AV$47,32,0))</f>
        <v>0</v>
      </c>
      <c r="N10" s="7">
        <f>VLOOKUP($A10,[8]HISTOFEV24!$A$6:$AV$47,33,0)</f>
        <v>0</v>
      </c>
      <c r="O10" s="7">
        <f t="shared" si="0"/>
        <v>0</v>
      </c>
      <c r="P10" s="7">
        <f>VLOOKUP($A10,[8]HISTOFEV24!$A$6:$AV$47,30,0)</f>
        <v>0</v>
      </c>
    </row>
    <row r="11" spans="1:16" x14ac:dyDescent="0.35">
      <c r="A11" s="1" t="s">
        <v>18</v>
      </c>
      <c r="B11" s="7">
        <f>IF(D11=0,0,VLOOKUP($A11,[8]HISTOFEV24!$A$6:$BB$47,12,0))</f>
        <v>1</v>
      </c>
      <c r="C11" s="1" t="str">
        <f>VLOOKUP(A11,[9]LISTADHERENT!A$5:H$60,3,0)</f>
        <v>HOTCHO BENJAMIN</v>
      </c>
      <c r="D11" s="7">
        <f>IF(E11="ECHEC",0,VLOOKUP($A11,[8]HISTOFEV24!$A$6:$AR$47,13,0))</f>
        <v>75000</v>
      </c>
      <c r="E11" s="7" t="str">
        <f>VLOOKUP($A11,[8]HISTOFEV24!$A$6:$AV$47,8,0)</f>
        <v>BANQUE</v>
      </c>
      <c r="F11" s="7">
        <f>VLOOKUP($A11,[8]HISTOFEV24!$A$6:$AV$47,36,0)</f>
        <v>0</v>
      </c>
      <c r="G11" s="7">
        <f>VLOOKUP($A11,[8]HISTOFEV24!$A$6:$AV$47,39,0)</f>
        <v>0</v>
      </c>
      <c r="H11" s="7">
        <f>IF(G11=0,0,VLOOKUP($A11,[8]HISTOFEV24!$A$6:$AV$47,42,0))</f>
        <v>0</v>
      </c>
      <c r="I11" s="7">
        <f>VLOOKUP($A11,[8]HISTOFEV24!$A$6:$AV$47,41,0)</f>
        <v>0</v>
      </c>
      <c r="J11" s="7">
        <f>TONTJANV24!F11+TONTJANV24!G11</f>
        <v>0</v>
      </c>
      <c r="K11" s="7">
        <f>VLOOKUP($A11,[8]HISTOFEV24!$A$6:$AV$47,17,0)</f>
        <v>0</v>
      </c>
      <c r="L11" s="7" t="str">
        <f>IF(K11&lt;&gt;0,VLOOKUP($A11,[8]HISTOFEV24!$A$6:$BB$47,8,0),"ECHEC")</f>
        <v>ECHEC</v>
      </c>
      <c r="M11" s="7">
        <f>IF(P11=0,0,VLOOKUP($A11,[8]HISTOFEV24!$A$6:$AV$47,32,0))</f>
        <v>0</v>
      </c>
      <c r="N11" s="7">
        <f>VLOOKUP($A11,[8]HISTOFEV24!$A$6:$AV$47,33,0)</f>
        <v>0</v>
      </c>
      <c r="O11" s="7">
        <f t="shared" si="0"/>
        <v>0</v>
      </c>
      <c r="P11" s="7">
        <f>VLOOKUP($A11,[8]HISTOFEV24!$A$6:$AV$47,30,0)</f>
        <v>0</v>
      </c>
    </row>
    <row r="12" spans="1:16" x14ac:dyDescent="0.35">
      <c r="A12" s="1" t="s">
        <v>26</v>
      </c>
      <c r="B12" s="7">
        <f>IF(D12=0,0,VLOOKUP($A12,[8]HISTOFEV24!$A$6:$BB$47,12,0))</f>
        <v>1</v>
      </c>
      <c r="C12" s="1" t="str">
        <f>VLOOKUP(A12,[9]LISTADHERENT!A$5:H$60,3,0)</f>
        <v>HENGUE PAUL OMER</v>
      </c>
      <c r="D12" s="7">
        <f>IF(E12="ECHEC",0,VLOOKUP($A12,[8]HISTOFEV24!$A$6:$AR$47,13,0))</f>
        <v>75000</v>
      </c>
      <c r="E12" s="7" t="str">
        <f>VLOOKUP($A12,[8]HISTOFEV24!$A$6:$AV$47,8,0)</f>
        <v>BANQUE</v>
      </c>
      <c r="F12" s="7">
        <f>VLOOKUP($A12,[8]HISTOFEV24!$A$6:$AV$47,36,0)</f>
        <v>0</v>
      </c>
      <c r="G12" s="7">
        <f>VLOOKUP($A12,[8]HISTOFEV24!$A$6:$AV$47,39,0)</f>
        <v>0</v>
      </c>
      <c r="H12" s="7">
        <f>IF(G12=0,0,VLOOKUP($A12,[8]HISTOFEV24!$A$6:$AV$47,42,0))</f>
        <v>0</v>
      </c>
      <c r="I12" s="7">
        <f>VLOOKUP($A12,[8]HISTOFEV24!$A$6:$AV$47,41,0)</f>
        <v>0</v>
      </c>
      <c r="J12" s="7">
        <f>TONTJANV24!F12+TONTJANV24!G12</f>
        <v>0</v>
      </c>
      <c r="K12" s="7">
        <f>VLOOKUP($A12,[8]HISTOFEV24!$A$6:$AV$47,17,0)</f>
        <v>0</v>
      </c>
      <c r="L12" s="7" t="str">
        <f>IF(K12&lt;&gt;0,VLOOKUP($A12,[8]HISTOFEV24!$A$6:$BB$47,8,0),"ECHEC")</f>
        <v>ECHEC</v>
      </c>
      <c r="M12" s="7">
        <f>IF(P12=0,0,VLOOKUP($A12,[8]HISTOFEV24!$A$6:$AV$47,32,0))</f>
        <v>0</v>
      </c>
      <c r="N12" s="7">
        <f>VLOOKUP($A12,[8]HISTOFEV24!$A$6:$AV$47,33,0)</f>
        <v>0</v>
      </c>
      <c r="O12" s="7">
        <f t="shared" si="0"/>
        <v>0</v>
      </c>
      <c r="P12" s="7">
        <f>VLOOKUP($A12,[8]HISTOFEV24!$A$6:$AV$47,30,0)</f>
        <v>0</v>
      </c>
    </row>
    <row r="13" spans="1:16" x14ac:dyDescent="0.35">
      <c r="A13" s="1" t="s">
        <v>21</v>
      </c>
      <c r="B13" s="7">
        <f>IF(D13=0,0,VLOOKUP($A13,[8]HISTOFEV24!$A$6:$BB$47,12,0))</f>
        <v>1</v>
      </c>
      <c r="C13" s="1" t="str">
        <f>VLOOKUP(A13,[9]LISTADHERENT!A$5:H$60,3,0)</f>
        <v>MBOGNING TUGMA GUY</v>
      </c>
      <c r="D13" s="7">
        <f>IF(E13="ECHEC",0,VLOOKUP($A13,[8]HISTOFEV24!$A$6:$AR$47,13,0))</f>
        <v>75000</v>
      </c>
      <c r="E13" s="7" t="str">
        <f>VLOOKUP($A13,[8]HISTOFEV24!$A$6:$AV$47,8,0)</f>
        <v>BANQUE</v>
      </c>
      <c r="F13" s="7">
        <f>VLOOKUP($A13,[8]HISTOFEV24!$A$6:$AV$47,36,0)</f>
        <v>0</v>
      </c>
      <c r="G13" s="7">
        <f>VLOOKUP($A13,[8]HISTOFEV24!$A$6:$AV$47,39,0)</f>
        <v>0</v>
      </c>
      <c r="H13" s="7">
        <f>IF(G13=0,0,VLOOKUP($A13,[8]HISTOFEV24!$A$6:$AV$47,42,0))</f>
        <v>0</v>
      </c>
      <c r="I13" s="7">
        <f>VLOOKUP($A13,[8]HISTOFEV24!$A$6:$AV$47,41,0)</f>
        <v>0</v>
      </c>
      <c r="J13" s="7">
        <f>TONTJANV24!F13+TONTJANV24!G13</f>
        <v>0</v>
      </c>
      <c r="K13" s="7">
        <f>VLOOKUP($A13,[8]HISTOFEV24!$A$6:$AV$47,17,0)</f>
        <v>0</v>
      </c>
      <c r="L13" s="7" t="str">
        <f>IF(K13&lt;&gt;0,VLOOKUP($A13,[8]HISTOFEV24!$A$6:$BB$47,8,0),"ECHEC")</f>
        <v>ECHEC</v>
      </c>
      <c r="M13" s="7" t="str">
        <f>IF(P13=0,0,VLOOKUP($A13,[8]HISTOFEV24!$A$6:$AV$47,32,0))</f>
        <v>BANQUE</v>
      </c>
      <c r="N13" s="7">
        <f>VLOOKUP($A13,[8]HISTOFEV24!$A$6:$AV$47,33,0)</f>
        <v>0</v>
      </c>
      <c r="O13" s="7">
        <f t="shared" si="0"/>
        <v>884000</v>
      </c>
      <c r="P13" s="7">
        <f>VLOOKUP($A13,[8]HISTOFEV24!$A$6:$AV$47,30,0)</f>
        <v>16000</v>
      </c>
    </row>
    <row r="14" spans="1:16" x14ac:dyDescent="0.35">
      <c r="A14" s="1" t="s">
        <v>8</v>
      </c>
      <c r="B14" s="7">
        <f>IF(D14=0,0,VLOOKUP($A14,[8]HISTOFEV24!$A$6:$BB$47,12,0))</f>
        <v>1</v>
      </c>
      <c r="C14" s="1" t="str">
        <f>VLOOKUP(A14,[9]LISTADHERENT!A$5:H$60,3,0)</f>
        <v>NANKAM APPOLINAIRE</v>
      </c>
      <c r="D14" s="7">
        <f>IF(E14="ECHEC",0,VLOOKUP($A14,[8]HISTOFEV24!$A$6:$AR$47,13,0))</f>
        <v>75000</v>
      </c>
      <c r="E14" s="7" t="str">
        <f>VLOOKUP($A14,[8]HISTOFEV24!$A$6:$AV$47,8,0)</f>
        <v>BANQUE</v>
      </c>
      <c r="F14" s="7">
        <f>VLOOKUP($A14,[8]HISTOFEV24!$A$6:$AV$47,36,0)</f>
        <v>0</v>
      </c>
      <c r="G14" s="7">
        <f>VLOOKUP($A14,[8]HISTOFEV24!$A$6:$AV$47,39,0)</f>
        <v>0</v>
      </c>
      <c r="H14" s="7">
        <f>IF(G14=0,0,VLOOKUP($A14,[8]HISTOFEV24!$A$6:$AV$47,42,0))</f>
        <v>0</v>
      </c>
      <c r="I14" s="7">
        <f>VLOOKUP($A14,[8]HISTOFEV24!$A$6:$AV$47,41,0)</f>
        <v>0</v>
      </c>
      <c r="J14" s="7">
        <f>TONTJANV24!F14+TONTJANV24!G14</f>
        <v>0</v>
      </c>
      <c r="K14" s="7">
        <f>VLOOKUP($A14,[8]HISTOFEV24!$A$6:$AV$47,17,0)</f>
        <v>0</v>
      </c>
      <c r="L14" s="7" t="str">
        <f>IF(K14&lt;&gt;0,VLOOKUP($A14,[8]HISTOFEV24!$A$6:$BB$47,8,0),"ECHEC")</f>
        <v>ECHEC</v>
      </c>
      <c r="M14" s="7">
        <f>IF(P14=0,0,VLOOKUP($A14,[8]HISTOFEV24!$A$6:$AV$47,32,0))</f>
        <v>0</v>
      </c>
      <c r="N14" s="7">
        <f>VLOOKUP($A14,[8]HISTOFEV24!$A$6:$AV$47,33,0)</f>
        <v>0</v>
      </c>
      <c r="O14" s="7">
        <f t="shared" si="0"/>
        <v>0</v>
      </c>
      <c r="P14" s="7">
        <f>VLOOKUP($A14,[8]HISTOFEV24!$A$6:$AV$47,30,0)</f>
        <v>0</v>
      </c>
    </row>
    <row r="15" spans="1:16" x14ac:dyDescent="0.35">
      <c r="A15" s="1" t="s">
        <v>35</v>
      </c>
      <c r="B15" s="7">
        <f>IF(D15=0,0,VLOOKUP($A15,[8]HISTOFEV24!$A$6:$BB$47,12,0))</f>
        <v>1</v>
      </c>
      <c r="C15" s="1" t="str">
        <f>VLOOKUP(A15,[9]LISTADHERENT!A$5:H$60,3,0)</f>
        <v>NGONDIEP CLAUDE</v>
      </c>
      <c r="D15" s="7">
        <f>IF(E15="ECHEC",0,VLOOKUP($A15,[8]HISTOFEV24!$A$6:$AR$47,13,0))</f>
        <v>75000</v>
      </c>
      <c r="E15" s="7" t="str">
        <f>VLOOKUP($A15,[8]HISTOFEV24!$A$6:$AV$47,8,0)</f>
        <v>BANQUE</v>
      </c>
      <c r="F15" s="7">
        <f>VLOOKUP($A15,[8]HISTOFEV24!$A$6:$AV$47,36,0)</f>
        <v>0</v>
      </c>
      <c r="G15" s="7">
        <f>VLOOKUP($A15,[8]HISTOFEV24!$A$6:$AV$47,39,0)</f>
        <v>0</v>
      </c>
      <c r="H15" s="7">
        <f>IF(G15=0,0,VLOOKUP($A15,[8]HISTOFEV24!$A$6:$AV$47,42,0))</f>
        <v>0</v>
      </c>
      <c r="I15" s="7">
        <f>VLOOKUP($A15,[8]HISTOFEV24!$A$6:$AV$47,41,0)</f>
        <v>0</v>
      </c>
      <c r="J15" s="7">
        <f>TONTJANV24!F15+TONTJANV24!G15</f>
        <v>0</v>
      </c>
      <c r="K15" s="7">
        <f>VLOOKUP($A15,[8]HISTOFEV24!$A$6:$AV$47,17,0)</f>
        <v>0</v>
      </c>
      <c r="L15" s="7" t="str">
        <f>IF(K15&lt;&gt;0,VLOOKUP($A15,[8]HISTOFEV24!$A$6:$BB$47,8,0),"ECHEC")</f>
        <v>ECHEC</v>
      </c>
      <c r="M15" s="7">
        <f>IF(P15=0,0,VLOOKUP($A15,[8]HISTOFEV24!$A$6:$AV$47,32,0))</f>
        <v>0</v>
      </c>
      <c r="N15" s="7">
        <f>VLOOKUP($A15,[8]HISTOFEV24!$A$6:$AV$47,33,0)</f>
        <v>0</v>
      </c>
      <c r="O15" s="7">
        <f t="shared" si="0"/>
        <v>0</v>
      </c>
      <c r="P15" s="7">
        <f>VLOOKUP($A15,[8]HISTOFEV24!$A$6:$AV$47,30,0)</f>
        <v>0</v>
      </c>
    </row>
    <row r="16" spans="1:16" x14ac:dyDescent="0.35">
      <c r="A16" s="1" t="s">
        <v>20</v>
      </c>
      <c r="B16" s="7">
        <f>IF(D16=0,0,VLOOKUP($A16,[8]HISTOFEV24!$A$6:$BB$47,12,0))</f>
        <v>3</v>
      </c>
      <c r="C16" s="1" t="str">
        <f>VLOOKUP(A16,[9]LISTADHERENT!A$5:H$60,3,0)</f>
        <v>NGUIEMEGNI MATHIEU BLAISE</v>
      </c>
      <c r="D16" s="7">
        <f>IF(E16="ECHEC",0,VLOOKUP($A16,[8]HISTOFEV24!$A$6:$AR$47,13,0))</f>
        <v>225000</v>
      </c>
      <c r="E16" s="7" t="str">
        <f>VLOOKUP($A16,[8]HISTOFEV24!$A$6:$AV$47,8,0)</f>
        <v>BANQUE</v>
      </c>
      <c r="F16" s="7">
        <f>VLOOKUP($A16,[8]HISTOFEV24!$A$6:$AV$47,36,0)</f>
        <v>0</v>
      </c>
      <c r="G16" s="7">
        <f>VLOOKUP($A16,[8]HISTOFEV24!$A$6:$AV$47,39,0)</f>
        <v>0</v>
      </c>
      <c r="H16" s="7">
        <f>IF(G16=0,0,VLOOKUP($A16,[8]HISTOFEV24!$A$6:$AV$47,42,0))</f>
        <v>0</v>
      </c>
      <c r="I16" s="7">
        <f>VLOOKUP($A16,[8]HISTOFEV24!$A$6:$AV$47,41,0)</f>
        <v>0</v>
      </c>
      <c r="J16" s="7">
        <f>TONTJANV24!F16+TONTJANV24!G16</f>
        <v>0</v>
      </c>
      <c r="K16" s="7">
        <f>VLOOKUP($A16,[8]HISTOFEV24!$A$6:$AV$47,17,0)</f>
        <v>0</v>
      </c>
      <c r="L16" s="7" t="str">
        <f>IF(K16&lt;&gt;0,VLOOKUP($A16,[8]HISTOFEV24!$A$6:$BB$47,8,0),"ECHEC")</f>
        <v>ECHEC</v>
      </c>
      <c r="M16" s="7">
        <f>IF(P16=0,0,VLOOKUP($A16,[8]HISTOFEV24!$A$6:$AV$47,32,0))</f>
        <v>0</v>
      </c>
      <c r="N16" s="7">
        <f>VLOOKUP($A16,[8]HISTOFEV24!$A$6:$AV$47,33,0)</f>
        <v>0</v>
      </c>
      <c r="O16" s="7">
        <f t="shared" si="0"/>
        <v>0</v>
      </c>
      <c r="P16" s="7">
        <f>VLOOKUP($A16,[8]HISTOFEV24!$A$6:$AV$47,30,0)</f>
        <v>0</v>
      </c>
    </row>
    <row r="17" spans="1:16" x14ac:dyDescent="0.35">
      <c r="A17" s="1" t="s">
        <v>27</v>
      </c>
      <c r="B17" s="7">
        <f>IF(D17=0,0,VLOOKUP($A17,[8]HISTOFEV24!$A$6:$BB$47,12,0))</f>
        <v>1</v>
      </c>
      <c r="C17" s="1" t="str">
        <f>VLOOKUP(A17,[9]LISTADHERENT!A$5:H$60,3,0)</f>
        <v>PATEGO NJOSSU GUSTAVE</v>
      </c>
      <c r="D17" s="7">
        <f>IF(E17="ECHEC",0,VLOOKUP($A17,[8]HISTOFEV24!$A$6:$AR$47,13,0))</f>
        <v>75000</v>
      </c>
      <c r="E17" s="7" t="str">
        <f>VLOOKUP($A17,[8]HISTOFEV24!$A$6:$AV$47,8,0)</f>
        <v>BANQUE</v>
      </c>
      <c r="F17" s="7">
        <f>VLOOKUP($A17,[8]HISTOFEV24!$A$6:$AV$47,36,0)</f>
        <v>0</v>
      </c>
      <c r="G17" s="7">
        <f>VLOOKUP($A17,[8]HISTOFEV24!$A$6:$AV$47,39,0)</f>
        <v>0</v>
      </c>
      <c r="H17" s="7">
        <f>IF(G17=0,0,VLOOKUP($A17,[8]HISTOFEV24!$A$6:$AV$47,42,0))</f>
        <v>0</v>
      </c>
      <c r="I17" s="7">
        <f>VLOOKUP($A17,[8]HISTOFEV24!$A$6:$AV$47,41,0)</f>
        <v>0</v>
      </c>
      <c r="J17" s="7">
        <f>TONTJANV24!F17+TONTJANV24!G17</f>
        <v>0</v>
      </c>
      <c r="K17" s="7">
        <f>VLOOKUP($A17,[8]HISTOFEV24!$A$6:$AV$47,17,0)</f>
        <v>0</v>
      </c>
      <c r="L17" s="7" t="str">
        <f>IF(K17&lt;&gt;0,VLOOKUP($A17,[8]HISTOFEV24!$A$6:$BB$47,8,0),"ECHEC")</f>
        <v>ECHEC</v>
      </c>
      <c r="M17" s="7">
        <f>IF(P17=0,0,VLOOKUP($A17,[8]HISTOFEV24!$A$6:$AV$47,32,0))</f>
        <v>0</v>
      </c>
      <c r="N17" s="7">
        <f>VLOOKUP($A17,[8]HISTOFEV24!$A$6:$AV$47,33,0)</f>
        <v>0</v>
      </c>
      <c r="O17" s="7">
        <f t="shared" si="0"/>
        <v>0</v>
      </c>
      <c r="P17" s="7">
        <f>VLOOKUP($A17,[8]HISTOFEV24!$A$6:$AV$47,30,0)</f>
        <v>0</v>
      </c>
    </row>
    <row r="18" spans="1:16" x14ac:dyDescent="0.35">
      <c r="A18" s="9" t="s">
        <v>48</v>
      </c>
      <c r="B18" s="7">
        <f>IF(D18=0,0,VLOOKUP($A18,[8]HISTOFEV24!$A$6:$BB$47,12,0))</f>
        <v>1</v>
      </c>
      <c r="C18" s="1" t="str">
        <f>VLOOKUP(A18,[9]LISTADHERENT!A$5:H$60,3,0)</f>
        <v>TCHOUAMOU MATHIEU</v>
      </c>
      <c r="D18" s="7">
        <f>IF(E18="ECHEC",0,VLOOKUP($A18,[8]HISTOFEV24!$A$6:$AR$47,13,0))</f>
        <v>75000</v>
      </c>
      <c r="E18" s="7" t="str">
        <f>VLOOKUP($A18,[8]HISTOFEV24!$A$6:$AV$47,8,0)</f>
        <v>BANQUE</v>
      </c>
      <c r="F18" s="7">
        <f>VLOOKUP($A18,[8]HISTOFEV24!$A$6:$AV$47,36,0)</f>
        <v>0</v>
      </c>
      <c r="G18" s="7">
        <f>VLOOKUP($A18,[8]HISTOFEV24!$A$6:$AV$47,39,0)</f>
        <v>0</v>
      </c>
      <c r="H18" s="7">
        <f>IF(G18=0,0,VLOOKUP($A18,[8]HISTOFEV24!$A$6:$AV$47,42,0))</f>
        <v>0</v>
      </c>
      <c r="I18" s="7">
        <f>VLOOKUP($A18,[8]HISTOFEV24!$A$6:$AV$47,41,0)</f>
        <v>0</v>
      </c>
      <c r="J18" s="7">
        <f>TONTJANV24!F18+TONTJANV24!G18</f>
        <v>0</v>
      </c>
      <c r="K18" s="7">
        <f>VLOOKUP($A18,[8]HISTOFEV24!$A$6:$AV$47,17,0)</f>
        <v>0</v>
      </c>
      <c r="L18" s="7" t="str">
        <f>IF(K18&lt;&gt;0,VLOOKUP($A18,[8]HISTOFEV24!$A$6:$BB$47,8,0),"ECHEC")</f>
        <v>ECHEC</v>
      </c>
      <c r="M18" s="7">
        <f>IF(P18=0,0,VLOOKUP($A18,[8]HISTOFEV24!$A$6:$AV$47,32,0))</f>
        <v>0</v>
      </c>
      <c r="N18" s="7">
        <f>VLOOKUP($A18,[8]HISTOFEV24!$A$6:$AV$47,33,0)</f>
        <v>0</v>
      </c>
      <c r="O18" s="7">
        <f t="shared" si="0"/>
        <v>0</v>
      </c>
      <c r="P18" s="7">
        <f>VLOOKUP($A18,[8]HISTOFEV24!$A$6:$AV$47,30,0)</f>
        <v>0</v>
      </c>
    </row>
    <row r="19" spans="1:16" x14ac:dyDescent="0.35">
      <c r="A19" s="1" t="s">
        <v>19</v>
      </c>
      <c r="B19" s="7">
        <f>IF(D19=0,0,VLOOKUP($A19,[8]HISTOFEV24!$A$6:$BB$47,12,0))</f>
        <v>1</v>
      </c>
      <c r="C19" s="1" t="str">
        <f>VLOOKUP(A19,[9]LISTADHERENT!A$5:H$60,3,0)</f>
        <v>YOUMBI EMMANUEL</v>
      </c>
      <c r="D19" s="7">
        <f>IF(E19="ECHEC",0,VLOOKUP($A19,[8]HISTOFEV24!$A$6:$AR$47,13,0))</f>
        <v>75000</v>
      </c>
      <c r="E19" s="7" t="str">
        <f>VLOOKUP($A19,[8]HISTOFEV24!$A$6:$AV$47,8,0)</f>
        <v>BANQUE</v>
      </c>
      <c r="F19" s="7">
        <f>VLOOKUP($A19,[8]HISTOFEV24!$A$6:$AV$47,36,0)</f>
        <v>0</v>
      </c>
      <c r="G19" s="7">
        <f>VLOOKUP($A19,[8]HISTOFEV24!$A$6:$AV$47,39,0)</f>
        <v>0</v>
      </c>
      <c r="H19" s="7">
        <f>IF(G19=0,0,VLOOKUP($A19,[8]HISTOFEV24!$A$6:$AV$47,42,0))</f>
        <v>0</v>
      </c>
      <c r="I19" s="7">
        <f>VLOOKUP($A19,[8]HISTOFEV24!$A$6:$AV$47,41,0)</f>
        <v>0</v>
      </c>
      <c r="J19" s="7">
        <f>TONTJANV24!F19+TONTJANV24!G19</f>
        <v>0</v>
      </c>
      <c r="K19" s="7">
        <f>VLOOKUP($A19,[8]HISTOFEV24!$A$6:$AV$47,17,0)</f>
        <v>0</v>
      </c>
      <c r="L19" s="7" t="str">
        <f>IF(K19&lt;&gt;0,VLOOKUP($A19,[8]HISTOFEV24!$A$6:$BB$47,8,0),"ECHEC")</f>
        <v>ECHEC</v>
      </c>
      <c r="M19" s="7">
        <f>IF(P19=0,0,VLOOKUP($A19,[8]HISTOFEV24!$A$6:$AV$47,32,0))</f>
        <v>0</v>
      </c>
      <c r="N19" s="7">
        <f>VLOOKUP($A19,[8]HISTOFEV24!$A$6:$AV$47,33,0)</f>
        <v>0</v>
      </c>
      <c r="O19" s="7">
        <f t="shared" si="0"/>
        <v>0</v>
      </c>
      <c r="P19" s="7">
        <f>VLOOKUP($A19,[8]HISTOFEV24!$A$6:$AV$47,30,0)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204000</v>
      </c>
      <c r="K22" s="8">
        <f t="shared" si="1"/>
        <v>204000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1768000</v>
      </c>
      <c r="P22" s="8">
        <f t="shared" si="1"/>
        <v>32000</v>
      </c>
    </row>
    <row r="23" spans="1:16" s="2" customFormat="1" x14ac:dyDescent="0.3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16" s="2" customFormat="1" ht="28.5" x14ac:dyDescent="0.3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D22+E28+P22+TONTJANV24!M29</f>
        <v>1661000</v>
      </c>
      <c r="L24" s="5"/>
      <c r="M24"/>
      <c r="N24" s="5"/>
    </row>
    <row r="25" spans="1:16" s="2" customFormat="1" ht="17.5" x14ac:dyDescent="0.35">
      <c r="D25" s="8">
        <f>SUMIFS(D6:D21,E6:E21,"ESPECES")</f>
        <v>0</v>
      </c>
      <c r="E25" s="8">
        <f>SUMIFS(K7:K17,L7:L17,"ESPECES")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1800000</v>
      </c>
      <c r="L25" s="8">
        <f>D3+1</f>
        <v>2</v>
      </c>
      <c r="M25" s="8">
        <f>COUNTIF(O7:O17,"&gt;0")</f>
        <v>2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SUMIFS(K7:K17,L7:L17,"BANQUE")</f>
        <v>204000</v>
      </c>
      <c r="F26" s="8">
        <f>SUMIFS(F7:F21,H7:H21,"BANQUE")</f>
        <v>0</v>
      </c>
      <c r="G26" s="8">
        <f>SUMIFS(O7:O21,M7:M21,"BANQUE")</f>
        <v>1768000</v>
      </c>
      <c r="H26" s="8">
        <f>D26+E26-F26-G26</f>
        <v>-364000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-139000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204000</v>
      </c>
      <c r="F28" s="8">
        <f>F25+F26</f>
        <v>0</v>
      </c>
      <c r="G28" s="8">
        <f t="shared" ref="G28:H28" si="2">G25+G26</f>
        <v>1768000</v>
      </c>
      <c r="H28" s="8">
        <f t="shared" si="2"/>
        <v>-364000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-139000</v>
      </c>
      <c r="L29"/>
      <c r="M29" s="8">
        <f>K29</f>
        <v>-139000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ht="17.5" x14ac:dyDescent="0.35">
      <c r="J31" s="8" t="s">
        <v>44</v>
      </c>
      <c r="K31" s="8">
        <f>COUNTIFS(E7:E20,"ECHEC")*75000</f>
        <v>0</v>
      </c>
      <c r="M31" s="8">
        <f>+K31</f>
        <v>0</v>
      </c>
      <c r="N31" s="8" t="s">
        <v>29</v>
      </c>
    </row>
    <row r="32" spans="1:16" ht="17.5" x14ac:dyDescent="0.35">
      <c r="J32" s="8" t="s">
        <v>45</v>
      </c>
      <c r="K32" s="8">
        <f>J22-E28</f>
        <v>0</v>
      </c>
      <c r="M32" s="8">
        <f>+K32</f>
        <v>0</v>
      </c>
      <c r="N32" s="8" t="s">
        <v>29</v>
      </c>
    </row>
  </sheetData>
  <autoFilter ref="A5:P16" xr:uid="{00000000-0009-0000-0000-000002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K32" sqref="K32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ROUNDDOWN(K24/C3,0)</f>
        <v>1</v>
      </c>
      <c r="E3" s="1"/>
      <c r="L3" s="1"/>
      <c r="M3" s="1"/>
    </row>
    <row r="4" spans="1:16" s="12" customFormat="1" ht="17.5" x14ac:dyDescent="0.35">
      <c r="B4" s="13"/>
      <c r="C4" s="24">
        <v>45364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IF(D6=0,0,VLOOKUP($A6,[8]HISTOMARS24!$A$6:$BB$47,12,0))</f>
        <v>1</v>
      </c>
      <c r="C6" s="1" t="str">
        <f>VLOOKUP(A6,[9]LISTADHERENT!A$5:H$60,3,0)</f>
        <v>ASELBY</v>
      </c>
      <c r="D6" s="7">
        <f>IF(E6="ECHEC",0,VLOOKUP($A6,[8]HISTOMARS24!$A$6:$AR$47,13,0))</f>
        <v>75000</v>
      </c>
      <c r="E6" s="7" t="str">
        <f>VLOOKUP($A6,[8]HISTOMARS24!$A$6:$AV$47,8,0)</f>
        <v>BANQUE</v>
      </c>
      <c r="F6" s="7">
        <f>VLOOKUP($A6,[8]HISTOMARS24!$A$6:$AV$47,36,0)</f>
        <v>0</v>
      </c>
      <c r="G6" s="7">
        <f>VLOOKUP($A6,[8]HISTOMARS24!$A$6:$AV$47,39,0)</f>
        <v>0</v>
      </c>
      <c r="H6" s="7">
        <f>IF(G6=0,0,VLOOKUP($A6,[8]HISTOMARS24!$A$6:$AV$47,42,0))</f>
        <v>0</v>
      </c>
      <c r="I6" s="7">
        <f>VLOOKUP($A6,[8]HISTOMARS24!$A$6:$AV$47,41,0)</f>
        <v>0</v>
      </c>
      <c r="J6" s="7">
        <f>TONTFEV24!F6+TONTFEV24!G6</f>
        <v>0</v>
      </c>
      <c r="K6" s="7">
        <f>VLOOKUP($A6,[8]HISTOMARS24!$A$6:$AV$47,17,0)</f>
        <v>0</v>
      </c>
      <c r="L6" s="7" t="str">
        <f>IF(K6&lt;&gt;0,VLOOKUP($A6,[8]HISTOMARS24!$A$6:$BB$47,8,0),"ECHEC")</f>
        <v>ECHEC</v>
      </c>
      <c r="M6" s="7">
        <f>IF(P6=0,0,VLOOKUP($A6,[8]HISTOMARS24!$A$6:$AV$47,32,0))</f>
        <v>0</v>
      </c>
      <c r="N6" s="7">
        <f>VLOOKUP($A6,[8]HISTOMARS24!$A$6:$AV$47,33,0)</f>
        <v>0</v>
      </c>
      <c r="O6" s="7">
        <f t="shared" ref="O6" si="0">IF(P6=0,0,($C$3-P6))</f>
        <v>0</v>
      </c>
      <c r="P6" s="7">
        <f>VLOOKUP($A6,[8]HISTOMARS24!$A$6:$AV$47,30,0)</f>
        <v>0</v>
      </c>
    </row>
    <row r="7" spans="1:16" x14ac:dyDescent="0.35">
      <c r="A7" s="1" t="s">
        <v>24</v>
      </c>
      <c r="B7" s="7">
        <f>IF(D7=0,0,VLOOKUP($A7,[8]HISTOMARS24!$A$6:$BB$47,12,0))</f>
        <v>1</v>
      </c>
      <c r="C7" s="1" t="str">
        <f>VLOOKUP(A7,[9]LISTADHERENT!A$5:H$60,3,0)</f>
        <v>BOUTCHOUANG WILLIAM</v>
      </c>
      <c r="D7" s="7">
        <f>IF(E7="ECHEC",0,VLOOKUP($A7,[8]HISTOMARS24!$A$6:$AR$47,13,0))</f>
        <v>75000</v>
      </c>
      <c r="E7" s="7" t="str">
        <f>VLOOKUP($A7,[8]HISTOMARS24!$A$6:$AV$47,8,0)</f>
        <v>BANQUE</v>
      </c>
      <c r="F7" s="7">
        <f>VLOOKUP($A7,[8]HISTOMARS24!$A$6:$AV$47,36,0)</f>
        <v>0</v>
      </c>
      <c r="G7" s="7">
        <f>VLOOKUP($A7,[8]HISTOMARS24!$A$6:$AV$47,39,0)</f>
        <v>0</v>
      </c>
      <c r="H7" s="7">
        <f>IF(G7=0,0,VLOOKUP($A7,[8]HISTOMARS24!$A$6:$AV$47,42,0))</f>
        <v>0</v>
      </c>
      <c r="I7" s="7">
        <f>VLOOKUP($A7,[8]HISTOMARS24!$A$6:$AV$47,41,0)</f>
        <v>0</v>
      </c>
      <c r="J7" s="7">
        <f>TONTFEV24!F7+TONTFEV24!G7</f>
        <v>0</v>
      </c>
      <c r="K7" s="7">
        <f>VLOOKUP($A7,[8]HISTOMARS24!$A$6:$AV$47,17,0)</f>
        <v>0</v>
      </c>
      <c r="L7" s="7" t="str">
        <f>IF(K7&lt;&gt;0,VLOOKUP($A7,[8]HISTOMARS24!$A$6:$BB$47,8,0),"ECHEC")</f>
        <v>ECHEC</v>
      </c>
      <c r="M7" s="7">
        <f>IF(P7=0,0,VLOOKUP($A7,[8]HISTOMARS24!$A$6:$AV$47,32,0))</f>
        <v>0</v>
      </c>
      <c r="N7" s="7">
        <f>VLOOKUP($A7,[8]HISTOMARS24!$A$6:$AV$47,33,0)</f>
        <v>0</v>
      </c>
      <c r="O7" s="7">
        <f t="shared" ref="O7:O19" si="1">IF(P7=0,0,($C$3-P7))</f>
        <v>0</v>
      </c>
      <c r="P7" s="7">
        <f>VLOOKUP($A7,[8]HISTOMARS24!$A$6:$AV$47,30,0)</f>
        <v>0</v>
      </c>
    </row>
    <row r="8" spans="1:16" x14ac:dyDescent="0.35">
      <c r="A8" s="1" t="s">
        <v>49</v>
      </c>
      <c r="B8" s="7">
        <f>IF(D8=0,0,VLOOKUP($A8,[8]HISTOMARS24!$A$6:$BB$47,12,0))</f>
        <v>1</v>
      </c>
      <c r="C8" s="1" t="str">
        <f>VLOOKUP(A8,[9]LISTADHERENT!A$5:H$60,3,0)</f>
        <v>DJOMOU TCHAPDA</v>
      </c>
      <c r="D8" s="7">
        <f>IF(E8="ECHEC",0,VLOOKUP($A8,[8]HISTOMARS24!$A$6:$AR$47,13,0))</f>
        <v>75000</v>
      </c>
      <c r="E8" s="7" t="str">
        <f>VLOOKUP($A8,[8]HISTOMARS24!$A$6:$AV$47,8,0)</f>
        <v>BANQUE</v>
      </c>
      <c r="F8" s="7">
        <f>VLOOKUP($A8,[8]HISTOMARS24!$A$6:$AV$47,36,0)</f>
        <v>0</v>
      </c>
      <c r="G8" s="7">
        <f>VLOOKUP($A8,[8]HISTOMARS24!$A$6:$AV$47,39,0)</f>
        <v>0</v>
      </c>
      <c r="H8" s="7">
        <f>IF(G8=0,0,VLOOKUP($A8,[8]HISTOMARS24!$A$6:$AV$47,42,0))</f>
        <v>0</v>
      </c>
      <c r="I8" s="7">
        <f>VLOOKUP($A8,[8]HISTOMARS24!$A$6:$AV$47,41,0)</f>
        <v>0</v>
      </c>
      <c r="J8" s="7">
        <f>TONTFEV24!F8+TONTFEV24!G8</f>
        <v>0</v>
      </c>
      <c r="K8" s="7">
        <f>VLOOKUP($A8,[8]HISTOMARS24!$A$6:$AV$47,17,0)</f>
        <v>0</v>
      </c>
      <c r="L8" s="7" t="str">
        <f>IF(K8&lt;&gt;0,VLOOKUP($A8,[8]HISTOMARS24!$A$6:$BB$47,8,0),"ECHEC")</f>
        <v>ECHEC</v>
      </c>
      <c r="M8" s="7" t="str">
        <f>IF(P8=0,0,VLOOKUP($A8,[8]HISTOMARS24!$A$6:$AV$47,32,0))</f>
        <v>BANQUE</v>
      </c>
      <c r="N8" s="7">
        <f>VLOOKUP($A8,[8]HISTOMARS24!$A$6:$AV$47,33,0)</f>
        <v>0</v>
      </c>
      <c r="O8" s="7">
        <f t="shared" si="1"/>
        <v>872000</v>
      </c>
      <c r="P8" s="7">
        <f>VLOOKUP($A8,[8]HISTOMARS24!$A$6:$AV$47,30,0)</f>
        <v>28000</v>
      </c>
    </row>
    <row r="9" spans="1:16" x14ac:dyDescent="0.35">
      <c r="A9" s="1" t="s">
        <v>25</v>
      </c>
      <c r="B9" s="7">
        <f>IF(D9=0,0,VLOOKUP($A9,[8]HISTOMARS24!$A$6:$BB$47,12,0))</f>
        <v>1</v>
      </c>
      <c r="C9" s="1" t="str">
        <f>VLOOKUP(A9,[9]LISTADHERENT!A$5:H$60,3,0)</f>
        <v>DJOUKWE NANGUEN GUY BLAISE</v>
      </c>
      <c r="D9" s="7">
        <f>IF(E9="ECHEC",0,VLOOKUP($A9,[8]HISTOMARS24!$A$6:$AR$47,13,0))</f>
        <v>75000</v>
      </c>
      <c r="E9" s="7" t="str">
        <f>VLOOKUP($A9,[8]HISTOMARS24!$A$6:$AV$47,8,0)</f>
        <v>BANQUE</v>
      </c>
      <c r="F9" s="7">
        <f>VLOOKUP($A9,[8]HISTOMARS24!$A$6:$AV$47,36,0)</f>
        <v>100000</v>
      </c>
      <c r="G9" s="7">
        <f>VLOOKUP($A9,[8]HISTOMARS24!$A$6:$AV$47,39,0)</f>
        <v>3000</v>
      </c>
      <c r="H9" s="7" t="str">
        <f>IF(G9=0,0,VLOOKUP($A9,[8]HISTOMARS24!$A$6:$AV$47,42,0))</f>
        <v>BANQUE</v>
      </c>
      <c r="I9" s="7">
        <f>VLOOKUP($A9,[8]HISTOMARS24!$A$6:$AV$47,41,0)</f>
        <v>0</v>
      </c>
      <c r="J9" s="7">
        <f>TONTFEV24!F9+TONTFEV24!G9</f>
        <v>0</v>
      </c>
      <c r="K9" s="7">
        <f>VLOOKUP($A9,[8]HISTOMARS24!$A$6:$AV$47,17,0)</f>
        <v>0</v>
      </c>
      <c r="L9" s="7" t="str">
        <f>IF(K9&lt;&gt;0,VLOOKUP($A9,[8]HISTOMARS24!$A$6:$BB$47,8,0),"ECHEC")</f>
        <v>ECHEC</v>
      </c>
      <c r="M9" s="7">
        <f>IF(P9=0,0,VLOOKUP($A9,[8]HISTOMARS24!$A$6:$AV$47,32,0))</f>
        <v>0</v>
      </c>
      <c r="N9" s="7">
        <f>VLOOKUP($A9,[8]HISTOMARS24!$A$6:$AV$47,33,0)</f>
        <v>0</v>
      </c>
      <c r="O9" s="7">
        <f t="shared" si="1"/>
        <v>0</v>
      </c>
      <c r="P9" s="7">
        <f>VLOOKUP($A9,[8]HISTOMARS24!$A$6:$AV$47,30,0)</f>
        <v>0</v>
      </c>
    </row>
    <row r="10" spans="1:16" x14ac:dyDescent="0.35">
      <c r="A10" s="1" t="s">
        <v>34</v>
      </c>
      <c r="B10" s="7">
        <f>IF(D10=0,0,VLOOKUP($A10,[8]HISTOMARS24!$A$6:$BB$47,12,0))</f>
        <v>1</v>
      </c>
      <c r="C10" s="1" t="str">
        <f>VLOOKUP(A10,[9]LISTADHERENT!A$5:H$60,3,0)</f>
        <v>DJUOMBESSY ANTOINE</v>
      </c>
      <c r="D10" s="7">
        <f>IF(E10="ECHEC",0,VLOOKUP($A10,[8]HISTOMARS24!$A$6:$AR$47,13,0))</f>
        <v>75000</v>
      </c>
      <c r="E10" s="7" t="str">
        <f>VLOOKUP($A10,[8]HISTOMARS24!$A$6:$AV$47,8,0)</f>
        <v>BANQUE</v>
      </c>
      <c r="F10" s="7">
        <f>VLOOKUP($A10,[8]HISTOMARS24!$A$6:$AV$47,36,0)</f>
        <v>0</v>
      </c>
      <c r="G10" s="7">
        <f>VLOOKUP($A10,[8]HISTOMARS24!$A$6:$AV$47,39,0)</f>
        <v>0</v>
      </c>
      <c r="H10" s="7">
        <f>IF(G10=0,0,VLOOKUP($A10,[8]HISTOMARS24!$A$6:$AV$47,42,0))</f>
        <v>0</v>
      </c>
      <c r="I10" s="7">
        <f>VLOOKUP($A10,[8]HISTOMARS24!$A$6:$AV$47,41,0)</f>
        <v>0</v>
      </c>
      <c r="J10" s="7">
        <f>TONTFEV24!F10+TONTFEV24!G10</f>
        <v>0</v>
      </c>
      <c r="K10" s="7">
        <f>VLOOKUP($A10,[8]HISTOMARS24!$A$6:$AV$47,17,0)</f>
        <v>0</v>
      </c>
      <c r="L10" s="7" t="str">
        <f>IF(K10&lt;&gt;0,VLOOKUP($A10,[8]HISTOMARS24!$A$6:$BB$47,8,0),"ECHEC")</f>
        <v>ECHEC</v>
      </c>
      <c r="M10" s="7">
        <f>IF(P10=0,0,VLOOKUP($A10,[8]HISTOMARS24!$A$6:$AV$47,32,0))</f>
        <v>0</v>
      </c>
      <c r="N10" s="7">
        <f>VLOOKUP($A10,[8]HISTOMARS24!$A$6:$AV$47,33,0)</f>
        <v>0</v>
      </c>
      <c r="O10" s="7">
        <f t="shared" si="1"/>
        <v>0</v>
      </c>
      <c r="P10" s="7">
        <f>VLOOKUP($A10,[8]HISTOMARS24!$A$6:$AV$47,30,0)</f>
        <v>0</v>
      </c>
    </row>
    <row r="11" spans="1:16" x14ac:dyDescent="0.35">
      <c r="A11" s="1" t="s">
        <v>18</v>
      </c>
      <c r="B11" s="7">
        <f>IF(D11=0,0,VLOOKUP($A11,[8]HISTOMARS24!$A$6:$BB$47,12,0))</f>
        <v>1</v>
      </c>
      <c r="C11" s="1" t="str">
        <f>VLOOKUP(A11,[9]LISTADHERENT!A$5:H$60,3,0)</f>
        <v>HOTCHO BENJAMIN</v>
      </c>
      <c r="D11" s="7">
        <f>IF(E11="ECHEC",0,VLOOKUP($A11,[8]HISTOMARS24!$A$6:$AR$47,13,0))</f>
        <v>75000</v>
      </c>
      <c r="E11" s="7" t="str">
        <f>VLOOKUP($A11,[8]HISTOMARS24!$A$6:$AV$47,8,0)</f>
        <v>BANQUE</v>
      </c>
      <c r="F11" s="7">
        <f>VLOOKUP($A11,[8]HISTOMARS24!$A$6:$AV$47,36,0)</f>
        <v>0</v>
      </c>
      <c r="G11" s="7">
        <f>VLOOKUP($A11,[8]HISTOMARS24!$A$6:$AV$47,39,0)</f>
        <v>0</v>
      </c>
      <c r="H11" s="7">
        <f>IF(G11=0,0,VLOOKUP($A11,[8]HISTOMARS24!$A$6:$AV$47,42,0))</f>
        <v>0</v>
      </c>
      <c r="I11" s="7">
        <f>VLOOKUP($A11,[8]HISTOMARS24!$A$6:$AV$47,41,0)</f>
        <v>0</v>
      </c>
      <c r="J11" s="7">
        <f>TONTFEV24!F11+TONTFEV24!G11</f>
        <v>0</v>
      </c>
      <c r="K11" s="7">
        <f>VLOOKUP($A11,[8]HISTOMARS24!$A$6:$AV$47,17,0)</f>
        <v>0</v>
      </c>
      <c r="L11" s="7" t="str">
        <f>IF(K11&lt;&gt;0,VLOOKUP($A11,[8]HISTOMARS24!$A$6:$BB$47,8,0),"ECHEC")</f>
        <v>ECHEC</v>
      </c>
      <c r="M11" s="7">
        <f>IF(P11=0,0,VLOOKUP($A11,[8]HISTOMARS24!$A$6:$AV$47,32,0))</f>
        <v>0</v>
      </c>
      <c r="N11" s="7">
        <f>VLOOKUP($A11,[8]HISTOMARS24!$A$6:$AV$47,33,0)</f>
        <v>0</v>
      </c>
      <c r="O11" s="7">
        <f t="shared" si="1"/>
        <v>0</v>
      </c>
      <c r="P11" s="7">
        <f>VLOOKUP($A11,[8]HISTOMARS24!$A$6:$AV$47,30,0)</f>
        <v>0</v>
      </c>
    </row>
    <row r="12" spans="1:16" x14ac:dyDescent="0.35">
      <c r="A12" s="1" t="s">
        <v>26</v>
      </c>
      <c r="B12" s="7">
        <f>IF(D12=0,0,VLOOKUP($A12,[8]HISTOMARS24!$A$6:$BB$47,12,0))</f>
        <v>1</v>
      </c>
      <c r="C12" s="1" t="str">
        <f>VLOOKUP(A12,[9]LISTADHERENT!A$5:H$60,3,0)</f>
        <v>HENGUE PAUL OMER</v>
      </c>
      <c r="D12" s="7">
        <f>IF(E12="ECHEC",0,VLOOKUP($A12,[8]HISTOMARS24!$A$6:$AR$47,13,0))</f>
        <v>75000</v>
      </c>
      <c r="E12" s="7" t="str">
        <f>VLOOKUP($A12,[8]HISTOMARS24!$A$6:$AV$47,8,0)</f>
        <v>BANQUE</v>
      </c>
      <c r="F12" s="7">
        <f>VLOOKUP($A12,[8]HISTOMARS24!$A$6:$AV$47,36,0)</f>
        <v>0</v>
      </c>
      <c r="G12" s="7">
        <f>VLOOKUP($A12,[8]HISTOMARS24!$A$6:$AV$47,39,0)</f>
        <v>0</v>
      </c>
      <c r="H12" s="7">
        <f>IF(G12=0,0,VLOOKUP($A12,[8]HISTOMARS24!$A$6:$AV$47,42,0))</f>
        <v>0</v>
      </c>
      <c r="I12" s="7">
        <f>VLOOKUP($A12,[8]HISTOMARS24!$A$6:$AV$47,41,0)</f>
        <v>0</v>
      </c>
      <c r="J12" s="7">
        <f>TONTFEV24!F12+TONTFEV24!G12</f>
        <v>0</v>
      </c>
      <c r="K12" s="7">
        <f>VLOOKUP($A12,[8]HISTOMARS24!$A$6:$AV$47,17,0)</f>
        <v>0</v>
      </c>
      <c r="L12" s="7" t="str">
        <f>IF(K12&lt;&gt;0,VLOOKUP($A12,[8]HISTOMARS24!$A$6:$BB$47,8,0),"ECHEC")</f>
        <v>ECHEC</v>
      </c>
      <c r="M12" s="7">
        <f>IF(P12=0,0,VLOOKUP($A12,[8]HISTOMARS24!$A$6:$AV$47,32,0))</f>
        <v>0</v>
      </c>
      <c r="N12" s="7">
        <f>VLOOKUP($A12,[8]HISTOMARS24!$A$6:$AV$47,33,0)</f>
        <v>0</v>
      </c>
      <c r="O12" s="7">
        <f t="shared" si="1"/>
        <v>0</v>
      </c>
      <c r="P12" s="7">
        <f>VLOOKUP($A12,[8]HISTOMARS24!$A$6:$AV$47,30,0)</f>
        <v>0</v>
      </c>
    </row>
    <row r="13" spans="1:16" x14ac:dyDescent="0.35">
      <c r="A13" s="1" t="s">
        <v>21</v>
      </c>
      <c r="B13" s="7">
        <f>IF(D13=0,0,VLOOKUP($A13,[8]HISTOMARS24!$A$6:$BB$47,12,0))</f>
        <v>1</v>
      </c>
      <c r="C13" s="1" t="str">
        <f>VLOOKUP(A13,[9]LISTADHERENT!A$5:H$60,3,0)</f>
        <v>MBOGNING TUGMA GUY</v>
      </c>
      <c r="D13" s="7">
        <f>IF(E13="ECHEC",0,VLOOKUP($A13,[8]HISTOMARS24!$A$6:$AR$47,13,0))</f>
        <v>75000</v>
      </c>
      <c r="E13" s="7" t="str">
        <f>VLOOKUP($A13,[8]HISTOMARS24!$A$6:$AV$47,8,0)</f>
        <v>BANQUE</v>
      </c>
      <c r="F13" s="7">
        <f>VLOOKUP($A13,[8]HISTOMARS24!$A$6:$AV$47,36,0)</f>
        <v>89000</v>
      </c>
      <c r="G13" s="7">
        <f>VLOOKUP($A13,[8]HISTOMARS24!$A$6:$AV$47,39,0)</f>
        <v>2000</v>
      </c>
      <c r="H13" s="7" t="str">
        <f>IF(G13=0,0,VLOOKUP($A13,[8]HISTOMARS24!$A$6:$AV$47,42,0))</f>
        <v>BANQUE</v>
      </c>
      <c r="I13" s="7">
        <f>VLOOKUP($A13,[8]HISTOMARS24!$A$6:$AV$47,41,0)</f>
        <v>0</v>
      </c>
      <c r="J13" s="7">
        <f>TONTFEV24!F13+TONTFEV24!G13</f>
        <v>0</v>
      </c>
      <c r="K13" s="7">
        <f>VLOOKUP($A13,[8]HISTOMARS24!$A$6:$AV$47,17,0)</f>
        <v>0</v>
      </c>
      <c r="L13" s="7" t="str">
        <f>IF(K13&lt;&gt;0,VLOOKUP($A13,[8]HISTOMARS24!$A$6:$BB$47,8,0),"ECHEC")</f>
        <v>ECHEC</v>
      </c>
      <c r="M13" s="7">
        <f>IF(P13=0,0,VLOOKUP($A13,[8]HISTOMARS24!$A$6:$AV$47,32,0))</f>
        <v>0</v>
      </c>
      <c r="N13" s="7">
        <f>VLOOKUP($A13,[8]HISTOMARS24!$A$6:$AV$47,33,0)</f>
        <v>0</v>
      </c>
      <c r="O13" s="7">
        <f t="shared" si="1"/>
        <v>0</v>
      </c>
      <c r="P13" s="7">
        <f>VLOOKUP($A13,[8]HISTOMARS24!$A$6:$AV$47,30,0)</f>
        <v>0</v>
      </c>
    </row>
    <row r="14" spans="1:16" x14ac:dyDescent="0.35">
      <c r="A14" s="1" t="s">
        <v>8</v>
      </c>
      <c r="B14" s="7">
        <f>IF(D14=0,0,VLOOKUP($A14,[8]HISTOMARS24!$A$6:$BB$47,12,0))</f>
        <v>1</v>
      </c>
      <c r="C14" s="1" t="str">
        <f>VLOOKUP(A14,[9]LISTADHERENT!A$5:H$60,3,0)</f>
        <v>NANKAM APPOLINAIRE</v>
      </c>
      <c r="D14" s="7">
        <f>IF(E14="ECHEC",0,VLOOKUP($A14,[8]HISTOMARS24!$A$6:$AR$47,13,0))</f>
        <v>75000</v>
      </c>
      <c r="E14" s="7" t="str">
        <f>VLOOKUP($A14,[8]HISTOMARS24!$A$6:$AV$47,8,0)</f>
        <v>BANQUE</v>
      </c>
      <c r="F14" s="7">
        <f>VLOOKUP($A14,[8]HISTOMARS24!$A$6:$AV$47,36,0)</f>
        <v>0</v>
      </c>
      <c r="G14" s="7">
        <f>VLOOKUP($A14,[8]HISTOMARS24!$A$6:$AV$47,39,0)</f>
        <v>0</v>
      </c>
      <c r="H14" s="7">
        <f>IF(G14=0,0,VLOOKUP($A14,[8]HISTOMARS24!$A$6:$AV$47,42,0))</f>
        <v>0</v>
      </c>
      <c r="I14" s="7">
        <f>VLOOKUP($A14,[8]HISTOMARS24!$A$6:$AV$47,41,0)</f>
        <v>0</v>
      </c>
      <c r="J14" s="7">
        <f>TONTFEV24!F14+TONTFEV24!G14</f>
        <v>0</v>
      </c>
      <c r="K14" s="7">
        <f>VLOOKUP($A14,[8]HISTOMARS24!$A$6:$AV$47,17,0)</f>
        <v>0</v>
      </c>
      <c r="L14" s="7" t="str">
        <f>IF(K14&lt;&gt;0,VLOOKUP($A14,[8]HISTOMARS24!$A$6:$BB$47,8,0),"ECHEC")</f>
        <v>ECHEC</v>
      </c>
      <c r="M14" s="7">
        <f>IF(P14=0,0,VLOOKUP($A14,[8]HISTOMARS24!$A$6:$AV$47,32,0))</f>
        <v>0</v>
      </c>
      <c r="N14" s="7">
        <f>VLOOKUP($A14,[8]HISTOMARS24!$A$6:$AV$47,33,0)</f>
        <v>0</v>
      </c>
      <c r="O14" s="7">
        <f t="shared" si="1"/>
        <v>0</v>
      </c>
      <c r="P14" s="7">
        <f>VLOOKUP($A14,[8]HISTOMARS24!$A$6:$AV$47,30,0)</f>
        <v>0</v>
      </c>
    </row>
    <row r="15" spans="1:16" x14ac:dyDescent="0.35">
      <c r="A15" s="1" t="s">
        <v>35</v>
      </c>
      <c r="B15" s="7">
        <f>IF(D15=0,0,VLOOKUP($A15,[8]HISTOMARS24!$A$6:$BB$47,12,0))</f>
        <v>1</v>
      </c>
      <c r="C15" s="1" t="str">
        <f>VLOOKUP(A15,[9]LISTADHERENT!A$5:H$60,3,0)</f>
        <v>NGONDIEP CLAUDE</v>
      </c>
      <c r="D15" s="7">
        <f>IF(E15="ECHEC",0,VLOOKUP($A15,[8]HISTOMARS24!$A$6:$AR$47,13,0))</f>
        <v>75000</v>
      </c>
      <c r="E15" s="7" t="str">
        <f>VLOOKUP($A15,[8]HISTOMARS24!$A$6:$AV$47,8,0)</f>
        <v>BANQUE</v>
      </c>
      <c r="F15" s="7">
        <f>VLOOKUP($A15,[8]HISTOMARS24!$A$6:$AV$47,36,0)</f>
        <v>0</v>
      </c>
      <c r="G15" s="7">
        <f>VLOOKUP($A15,[8]HISTOMARS24!$A$6:$AV$47,39,0)</f>
        <v>0</v>
      </c>
      <c r="H15" s="7">
        <f>IF(G15=0,0,VLOOKUP($A15,[8]HISTOMARS24!$A$6:$AV$47,42,0))</f>
        <v>0</v>
      </c>
      <c r="I15" s="7">
        <f>VLOOKUP($A15,[8]HISTOMARS24!$A$6:$AV$47,41,0)</f>
        <v>0</v>
      </c>
      <c r="J15" s="7">
        <f>TONTFEV24!F15+TONTFEV24!G15</f>
        <v>0</v>
      </c>
      <c r="K15" s="7">
        <f>VLOOKUP($A15,[8]HISTOMARS24!$A$6:$AV$47,17,0)</f>
        <v>0</v>
      </c>
      <c r="L15" s="7" t="str">
        <f>IF(K15&lt;&gt;0,VLOOKUP($A15,[8]HISTOMARS24!$A$6:$BB$47,8,0),"ECHEC")</f>
        <v>ECHEC</v>
      </c>
      <c r="M15" s="7">
        <f>IF(P15=0,0,VLOOKUP($A15,[8]HISTOMARS24!$A$6:$AV$47,32,0))</f>
        <v>0</v>
      </c>
      <c r="N15" s="7">
        <f>VLOOKUP($A15,[8]HISTOMARS24!$A$6:$AV$47,33,0)</f>
        <v>0</v>
      </c>
      <c r="O15" s="7">
        <f t="shared" si="1"/>
        <v>0</v>
      </c>
      <c r="P15" s="7">
        <f>VLOOKUP($A15,[8]HISTOMARS24!$A$6:$AV$47,30,0)</f>
        <v>0</v>
      </c>
    </row>
    <row r="16" spans="1:16" x14ac:dyDescent="0.35">
      <c r="A16" s="1" t="s">
        <v>20</v>
      </c>
      <c r="B16" s="7">
        <f>IF(D16=0,0,VLOOKUP($A16,[8]HISTOMARS24!$A$6:$BB$47,12,0))</f>
        <v>3</v>
      </c>
      <c r="C16" s="1" t="str">
        <f>VLOOKUP(A16,[9]LISTADHERENT!A$5:H$60,3,0)</f>
        <v>NGUIEMEGNI MATHIEU BLAISE</v>
      </c>
      <c r="D16" s="7">
        <f>IF(E16="ECHEC",0,VLOOKUP($A16,[8]HISTOMARS24!$A$6:$AR$47,13,0))</f>
        <v>225000</v>
      </c>
      <c r="E16" s="7" t="str">
        <f>VLOOKUP($A16,[8]HISTOMARS24!$A$6:$AV$47,8,0)</f>
        <v>BANQUE</v>
      </c>
      <c r="F16" s="7">
        <f>VLOOKUP($A16,[8]HISTOMARS24!$A$6:$AV$47,36,0)</f>
        <v>0</v>
      </c>
      <c r="G16" s="7">
        <f>VLOOKUP($A16,[8]HISTOMARS24!$A$6:$AV$47,39,0)</f>
        <v>0</v>
      </c>
      <c r="H16" s="7">
        <f>IF(G16=0,0,VLOOKUP($A16,[8]HISTOMARS24!$A$6:$AV$47,42,0))</f>
        <v>0</v>
      </c>
      <c r="I16" s="7">
        <f>VLOOKUP($A16,[8]HISTOMARS24!$A$6:$AV$47,41,0)</f>
        <v>0</v>
      </c>
      <c r="J16" s="7">
        <f>TONTFEV24!F16+TONTFEV24!G16</f>
        <v>0</v>
      </c>
      <c r="K16" s="7">
        <f>VLOOKUP($A16,[8]HISTOMARS24!$A$6:$AV$47,17,0)</f>
        <v>0</v>
      </c>
      <c r="L16" s="7" t="str">
        <f>IF(K16&lt;&gt;0,VLOOKUP($A16,[8]HISTOMARS24!$A$6:$BB$47,8,0),"ECHEC")</f>
        <v>ECHEC</v>
      </c>
      <c r="M16" s="7">
        <f>IF(P16=0,0,VLOOKUP($A16,[8]HISTOMARS24!$A$6:$AV$47,32,0))</f>
        <v>0</v>
      </c>
      <c r="N16" s="7">
        <f>VLOOKUP($A16,[8]HISTOMARS24!$A$6:$AV$47,33,0)</f>
        <v>0</v>
      </c>
      <c r="O16" s="7">
        <f t="shared" si="1"/>
        <v>0</v>
      </c>
      <c r="P16" s="7">
        <f>VLOOKUP($A16,[8]HISTOMARS24!$A$6:$AV$47,30,0)</f>
        <v>0</v>
      </c>
    </row>
    <row r="17" spans="1:16" x14ac:dyDescent="0.35">
      <c r="A17" s="1" t="s">
        <v>27</v>
      </c>
      <c r="B17" s="7">
        <f>IF(D17=0,0,VLOOKUP($A17,[8]HISTOMARS24!$A$6:$BB$47,12,0))</f>
        <v>1</v>
      </c>
      <c r="C17" s="1" t="str">
        <f>VLOOKUP(A17,[9]LISTADHERENT!A$5:H$60,3,0)</f>
        <v>PATEGO NJOSSU GUSTAVE</v>
      </c>
      <c r="D17" s="7">
        <f>IF(E17="ECHEC",0,VLOOKUP($A17,[8]HISTOMARS24!$A$6:$AR$47,13,0))</f>
        <v>75000</v>
      </c>
      <c r="E17" s="7" t="str">
        <f>VLOOKUP($A17,[8]HISTOMARS24!$A$6:$AV$47,8,0)</f>
        <v>BANQUE</v>
      </c>
      <c r="F17" s="7">
        <f>VLOOKUP($A17,[8]HISTOMARS24!$A$6:$AV$47,36,0)</f>
        <v>0</v>
      </c>
      <c r="G17" s="7">
        <f>VLOOKUP($A17,[8]HISTOMARS24!$A$6:$AV$47,39,0)</f>
        <v>0</v>
      </c>
      <c r="H17" s="7">
        <f>IF(G17=0,0,VLOOKUP($A17,[8]HISTOMARS24!$A$6:$AV$47,42,0))</f>
        <v>0</v>
      </c>
      <c r="I17" s="7">
        <f>VLOOKUP($A17,[8]HISTOMARS24!$A$6:$AV$47,41,0)</f>
        <v>0</v>
      </c>
      <c r="J17" s="7">
        <f>TONTFEV24!F17+TONTFEV24!G17</f>
        <v>0</v>
      </c>
      <c r="K17" s="7">
        <f>VLOOKUP($A17,[8]HISTOMARS24!$A$6:$AV$47,17,0)</f>
        <v>0</v>
      </c>
      <c r="L17" s="7" t="str">
        <f>IF(K17&lt;&gt;0,VLOOKUP($A17,[8]HISTOMARS24!$A$6:$BB$47,8,0),"ECHEC")</f>
        <v>ECHEC</v>
      </c>
      <c r="M17" s="7">
        <f>IF(P17=0,0,VLOOKUP($A17,[8]HISTOMARS24!$A$6:$AV$47,32,0))</f>
        <v>0</v>
      </c>
      <c r="N17" s="7">
        <f>VLOOKUP($A17,[8]HISTOMARS24!$A$6:$AV$47,33,0)</f>
        <v>0</v>
      </c>
      <c r="O17" s="7">
        <f t="shared" si="1"/>
        <v>0</v>
      </c>
      <c r="P17" s="7">
        <f>VLOOKUP($A17,[8]HISTOMARS24!$A$6:$AV$47,30,0)</f>
        <v>0</v>
      </c>
    </row>
    <row r="18" spans="1:16" x14ac:dyDescent="0.35">
      <c r="A18" s="9" t="s">
        <v>48</v>
      </c>
      <c r="B18" s="7">
        <f>IF(D18=0,0,VLOOKUP($A18,[8]HISTOMARS24!$A$6:$BB$47,12,0))</f>
        <v>1</v>
      </c>
      <c r="C18" s="1" t="str">
        <f>VLOOKUP(A18,[9]LISTADHERENT!A$5:H$60,3,0)</f>
        <v>TCHOUAMOU MATHIEU</v>
      </c>
      <c r="D18" s="7">
        <f>IF(E18="ECHEC",0,VLOOKUP($A18,[8]HISTOMARS24!$A$6:$AR$47,13,0))</f>
        <v>75000</v>
      </c>
      <c r="E18" s="7" t="str">
        <f>VLOOKUP($A18,[8]HISTOMARS24!$A$6:$AV$47,8,0)</f>
        <v>BANQUE</v>
      </c>
      <c r="F18" s="7">
        <f>VLOOKUP($A18,[8]HISTOMARS24!$A$6:$AV$47,36,0)</f>
        <v>0</v>
      </c>
      <c r="G18" s="7">
        <f>VLOOKUP($A18,[8]HISTOMARS24!$A$6:$AV$47,39,0)</f>
        <v>0</v>
      </c>
      <c r="H18" s="7">
        <f>IF(G18=0,0,VLOOKUP($A18,[8]HISTOMARS24!$A$6:$AV$47,42,0))</f>
        <v>0</v>
      </c>
      <c r="I18" s="7">
        <f>VLOOKUP($A18,[8]HISTOMARS24!$A$6:$AV$47,41,0)</f>
        <v>0</v>
      </c>
      <c r="J18" s="7">
        <f>TONTFEV24!F18+TONTFEV24!G18</f>
        <v>0</v>
      </c>
      <c r="K18" s="7">
        <f>VLOOKUP($A18,[8]HISTOMARS24!$A$6:$AV$47,17,0)</f>
        <v>0</v>
      </c>
      <c r="L18" s="7" t="str">
        <f>IF(K18&lt;&gt;0,VLOOKUP($A18,[8]HISTOMARS24!$A$6:$BB$47,8,0),"ECHEC")</f>
        <v>ECHEC</v>
      </c>
      <c r="M18" s="7">
        <f>IF(P18=0,0,VLOOKUP($A18,[8]HISTOMARS24!$A$6:$AV$47,32,0))</f>
        <v>0</v>
      </c>
      <c r="N18" s="7">
        <f>VLOOKUP($A18,[8]HISTOMARS24!$A$6:$AV$47,33,0)</f>
        <v>0</v>
      </c>
      <c r="O18" s="7">
        <f t="shared" si="1"/>
        <v>0</v>
      </c>
      <c r="P18" s="7">
        <f>VLOOKUP($A18,[8]HISTOMARS24!$A$6:$AV$47,30,0)</f>
        <v>0</v>
      </c>
    </row>
    <row r="19" spans="1:16" x14ac:dyDescent="0.35">
      <c r="A19" s="1" t="s">
        <v>19</v>
      </c>
      <c r="B19" s="7">
        <f>IF(D19=0,0,VLOOKUP($A19,[8]HISTOMARS24!$A$6:$BB$47,12,0))</f>
        <v>1</v>
      </c>
      <c r="C19" s="1" t="str">
        <f>VLOOKUP(A19,[9]LISTADHERENT!A$5:H$60,3,0)</f>
        <v>YOUMBI EMMANUEL</v>
      </c>
      <c r="D19" s="7">
        <f>IF(E19="ECHEC",0,VLOOKUP($A19,[8]HISTOMARS24!$A$6:$AR$47,13,0))</f>
        <v>75000</v>
      </c>
      <c r="E19" s="7" t="str">
        <f>VLOOKUP($A19,[8]HISTOMARS24!$A$6:$AV$47,8,0)</f>
        <v>BANQUE</v>
      </c>
      <c r="F19" s="7">
        <f>VLOOKUP($A19,[8]HISTOMARS24!$A$6:$AV$47,36,0)</f>
        <v>0</v>
      </c>
      <c r="G19" s="7">
        <f>VLOOKUP($A19,[8]HISTOMARS24!$A$6:$AV$47,39,0)</f>
        <v>0</v>
      </c>
      <c r="H19" s="7">
        <f>IF(G19=0,0,VLOOKUP($A19,[8]HISTOMARS24!$A$6:$AV$47,42,0))</f>
        <v>0</v>
      </c>
      <c r="I19" s="7">
        <f>VLOOKUP($A19,[8]HISTOMARS24!$A$6:$AV$47,41,0)</f>
        <v>0</v>
      </c>
      <c r="J19" s="7">
        <f>TONTFEV24!F19+TONTFEV24!G19</f>
        <v>0</v>
      </c>
      <c r="K19" s="7">
        <f>VLOOKUP($A19,[8]HISTOMARS24!$A$6:$AV$47,17,0)</f>
        <v>0</v>
      </c>
      <c r="L19" s="7" t="str">
        <f>IF(K19&lt;&gt;0,VLOOKUP($A19,[8]HISTOMARS24!$A$6:$BB$47,8,0),"ECHEC")</f>
        <v>ECHEC</v>
      </c>
      <c r="M19" s="7">
        <f>IF(P19=0,0,VLOOKUP($A19,[8]HISTOMARS24!$A$6:$AV$47,32,0))</f>
        <v>0</v>
      </c>
      <c r="N19" s="7">
        <f>VLOOKUP($A19,[8]HISTOMARS24!$A$6:$AV$47,33,0)</f>
        <v>0</v>
      </c>
      <c r="O19" s="7">
        <f t="shared" si="1"/>
        <v>0</v>
      </c>
      <c r="P19" s="7">
        <f>VLOOKUP($A19,[8]HISTOMARS24!$A$6:$AV$47,30,0)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2">SUM(D6:D21)</f>
        <v>1200000</v>
      </c>
      <c r="E22" s="8">
        <f t="shared" si="2"/>
        <v>0</v>
      </c>
      <c r="F22" s="8">
        <f t="shared" si="2"/>
        <v>189000</v>
      </c>
      <c r="G22" s="8">
        <f t="shared" si="2"/>
        <v>5000</v>
      </c>
      <c r="H22" s="8">
        <f t="shared" si="2"/>
        <v>0</v>
      </c>
      <c r="I22" s="8">
        <f t="shared" si="2"/>
        <v>0</v>
      </c>
      <c r="J22" s="8">
        <f t="shared" si="2"/>
        <v>0</v>
      </c>
      <c r="K22" s="8">
        <f t="shared" si="2"/>
        <v>0</v>
      </c>
      <c r="L22" s="8">
        <f t="shared" si="2"/>
        <v>0</v>
      </c>
      <c r="M22" s="8">
        <f t="shared" si="2"/>
        <v>0</v>
      </c>
      <c r="N22" s="8">
        <f t="shared" si="2"/>
        <v>0</v>
      </c>
      <c r="O22" s="8">
        <f t="shared" si="2"/>
        <v>872000</v>
      </c>
      <c r="P22" s="8">
        <f t="shared" si="2"/>
        <v>28000</v>
      </c>
    </row>
    <row r="23" spans="1:16" s="2" customFormat="1" x14ac:dyDescent="0.3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16" s="2" customFormat="1" ht="28.5" x14ac:dyDescent="0.3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D22+E28+P22+TONTFEV24!M29</f>
        <v>1089000</v>
      </c>
      <c r="L24" s="5"/>
      <c r="M24"/>
      <c r="N24" s="5"/>
    </row>
    <row r="25" spans="1:16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900000</v>
      </c>
      <c r="L25" s="8">
        <f>D3</f>
        <v>1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SUMIFS(K7:K18,L7:L18,"BANQUE")</f>
        <v>0</v>
      </c>
      <c r="F26" s="8">
        <f>SUMIFS(F7:F21,H7:H21,"BANQUE")</f>
        <v>189000</v>
      </c>
      <c r="G26" s="8">
        <f>SUMIFS(O7:O21,M7:M21,"BANQUE")</f>
        <v>872000</v>
      </c>
      <c r="H26" s="8">
        <f>D26+E26-F26-G26</f>
        <v>139000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189000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0</v>
      </c>
      <c r="F28" s="8">
        <f>F25+F26</f>
        <v>189000</v>
      </c>
      <c r="G28" s="8">
        <f t="shared" ref="G28:H28" si="3">G25+G26</f>
        <v>872000</v>
      </c>
      <c r="H28" s="8">
        <f t="shared" si="3"/>
        <v>139000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ht="17.5" x14ac:dyDescent="0.35">
      <c r="J31" s="8" t="s">
        <v>44</v>
      </c>
      <c r="K31" s="8">
        <f>COUNTIFS(E7:E20,"ECHEC")*75000</f>
        <v>0</v>
      </c>
      <c r="M31" s="8">
        <f>+K31</f>
        <v>0</v>
      </c>
      <c r="N31" s="8" t="s">
        <v>29</v>
      </c>
    </row>
    <row r="32" spans="1:16" ht="17.5" x14ac:dyDescent="0.35">
      <c r="J32" s="8" t="s">
        <v>45</v>
      </c>
      <c r="K32" s="8">
        <f>J22-E28</f>
        <v>0</v>
      </c>
      <c r="M32" s="8">
        <f>+K32</f>
        <v>0</v>
      </c>
      <c r="N32" s="8" t="s">
        <v>29</v>
      </c>
    </row>
  </sheetData>
  <autoFilter ref="A5:P17" xr:uid="{00000000-0009-0000-0000-000003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K32" sqref="K32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ROUNDDOWN(K24/C3,0)</f>
        <v>1</v>
      </c>
      <c r="E3" s="1"/>
      <c r="L3" s="1"/>
      <c r="M3" s="1"/>
    </row>
    <row r="4" spans="1:16" s="12" customFormat="1" ht="17.5" x14ac:dyDescent="0.35">
      <c r="B4" s="13"/>
      <c r="C4" s="24">
        <v>45395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IF(D6=0,0,VLOOKUP($A6,[8]HISTOAVRIL24!$A$6:$BB$47,12,0))</f>
        <v>1</v>
      </c>
      <c r="C6" s="1" t="str">
        <f>VLOOKUP(A6,[9]LISTADHERENT!A$5:H$60,3,0)</f>
        <v>ASELBY</v>
      </c>
      <c r="D6" s="7">
        <f>IF(E6="ECHEC",0,VLOOKUP($A6,[8]HISTOAVRIL24!$A$6:$AR$47,13,0))</f>
        <v>75000</v>
      </c>
      <c r="E6" s="7" t="str">
        <f>VLOOKUP($A6,[8]HISTOAVRIL24!$A$6:$AV$47,8,0)</f>
        <v>BANQUE</v>
      </c>
      <c r="F6" s="7">
        <f>VLOOKUP($A6,[8]HISTOAVRIL24!$A$6:$AV$47,36,0)</f>
        <v>0</v>
      </c>
      <c r="G6" s="7">
        <f>VLOOKUP($A6,[8]HISTOAVRIL24!$A$6:$AV$47,39,0)</f>
        <v>0</v>
      </c>
      <c r="H6" s="7">
        <f>IF(G6=0,0,VLOOKUP($A6,[8]HISTOAVRIL24!$A$6:$AV$47,42,0))</f>
        <v>0</v>
      </c>
      <c r="I6" s="7">
        <f>VLOOKUP($A6,[8]HISTOAVRIL24!$A$6:$AV$47,41,0)</f>
        <v>0</v>
      </c>
      <c r="J6" s="7">
        <f>TONTMARS24!F6+TONTMARS24!G6</f>
        <v>0</v>
      </c>
      <c r="K6" s="7">
        <f>VLOOKUP($A6,[8]HISTOAVRIL24!$A$6:$AV$47,17,0)</f>
        <v>0</v>
      </c>
      <c r="L6" s="7" t="str">
        <f>IF(K6&lt;&gt;0,VLOOKUP($A6,[8]HISTOAVRIL24!$A$6:$BB$47,8,0),"ECHEC")</f>
        <v>ECHEC</v>
      </c>
      <c r="M6" s="7">
        <f>IF(P6=0,0,VLOOKUP($A6,[8]HISTOAVRIL24!$A$6:$AV$47,32,0))</f>
        <v>0</v>
      </c>
      <c r="N6" s="7">
        <f>VLOOKUP($A6,[8]HISTOAVRIL24!$A$6:$AV$47,33,0)</f>
        <v>0</v>
      </c>
      <c r="O6" s="7">
        <f t="shared" ref="O6:O19" si="0">IF(P6=0,0,($C$3-P6))</f>
        <v>0</v>
      </c>
      <c r="P6" s="7">
        <f>VLOOKUP($A6,[8]HISTOAVRIL24!$A$6:$AV$47,30,0)</f>
        <v>0</v>
      </c>
    </row>
    <row r="7" spans="1:16" x14ac:dyDescent="0.35">
      <c r="A7" s="1" t="s">
        <v>24</v>
      </c>
      <c r="B7" s="7">
        <f>IF(D7=0,0,VLOOKUP($A7,[8]HISTOAVRIL24!$A$6:$BB$47,12,0))</f>
        <v>1</v>
      </c>
      <c r="C7" s="1" t="str">
        <f>VLOOKUP(A7,[9]LISTADHERENT!A$5:H$60,3,0)</f>
        <v>BOUTCHOUANG WILLIAM</v>
      </c>
      <c r="D7" s="7">
        <f>IF(E7="ECHEC",0,VLOOKUP($A7,[8]HISTOAVRIL24!$A$6:$AR$47,13,0))</f>
        <v>75000</v>
      </c>
      <c r="E7" s="7" t="str">
        <f>VLOOKUP($A7,[8]HISTOAVRIL24!$A$6:$AV$47,8,0)</f>
        <v>BANQUE</v>
      </c>
      <c r="F7" s="7">
        <f>VLOOKUP($A7,[8]HISTOAVRIL24!$A$6:$AV$47,36,0)</f>
        <v>0</v>
      </c>
      <c r="G7" s="7">
        <f>VLOOKUP($A7,[8]HISTOAVRIL24!$A$6:$AV$47,39,0)</f>
        <v>0</v>
      </c>
      <c r="H7" s="7">
        <f>IF(G7=0,0,VLOOKUP($A7,[8]HISTOAVRIL24!$A$6:$AV$47,42,0))</f>
        <v>0</v>
      </c>
      <c r="I7" s="7">
        <f>VLOOKUP($A7,[8]HISTOAVRIL24!$A$6:$AV$47,41,0)</f>
        <v>0</v>
      </c>
      <c r="J7" s="7">
        <f>TONTMARS24!F7+TONTMARS24!G7</f>
        <v>0</v>
      </c>
      <c r="K7" s="7">
        <f>VLOOKUP($A7,[8]HISTOAVRIL24!$A$6:$AV$47,17,0)</f>
        <v>0</v>
      </c>
      <c r="L7" s="7" t="str">
        <f>IF(K7&lt;&gt;0,VLOOKUP($A7,[8]HISTOAVRIL24!$A$6:$BB$47,8,0),"ECHEC")</f>
        <v>ECHEC</v>
      </c>
      <c r="M7" s="7">
        <f>IF(P7=0,0,VLOOKUP($A7,[8]HISTOAVRIL24!$A$6:$AV$47,32,0))</f>
        <v>0</v>
      </c>
      <c r="N7" s="7">
        <f>VLOOKUP($A7,[8]HISTOAVRIL24!$A$6:$AV$47,33,0)</f>
        <v>0</v>
      </c>
      <c r="O7" s="7">
        <f t="shared" si="0"/>
        <v>0</v>
      </c>
      <c r="P7" s="7">
        <f>VLOOKUP($A7,[8]HISTOAVRIL24!$A$6:$AV$47,30,0)</f>
        <v>0</v>
      </c>
    </row>
    <row r="8" spans="1:16" x14ac:dyDescent="0.35">
      <c r="A8" s="1" t="s">
        <v>49</v>
      </c>
      <c r="B8" s="7">
        <f>IF(D8=0,0,VLOOKUP($A8,[8]HISTOAVRIL24!$A$6:$BB$47,12,0))</f>
        <v>1</v>
      </c>
      <c r="C8" s="1" t="str">
        <f>VLOOKUP(A8,[9]LISTADHERENT!A$5:H$60,3,0)</f>
        <v>DJOMOU TCHAPDA</v>
      </c>
      <c r="D8" s="7">
        <f>IF(E8="ECHEC",0,VLOOKUP($A8,[8]HISTOAVRIL24!$A$6:$AR$47,13,0))</f>
        <v>75000</v>
      </c>
      <c r="E8" s="7" t="str">
        <f>VLOOKUP($A8,[8]HISTOAVRIL24!$A$6:$AV$47,8,0)</f>
        <v>BANQUE</v>
      </c>
      <c r="F8" s="7">
        <f>VLOOKUP($A8,[8]HISTOAVRIL24!$A$6:$AV$47,36,0)</f>
        <v>101500</v>
      </c>
      <c r="G8" s="7">
        <f>VLOOKUP($A8,[8]HISTOAVRIL24!$A$6:$AV$47,39,0)</f>
        <v>2500</v>
      </c>
      <c r="H8" s="7" t="str">
        <f>IF(G8=0,0,VLOOKUP($A8,[8]HISTOAVRIL24!$A$6:$AV$47,42,0))</f>
        <v>BANQUE</v>
      </c>
      <c r="I8" s="7">
        <f>VLOOKUP($A8,[8]HISTOAVRIL24!$A$6:$AV$47,41,0)</f>
        <v>0</v>
      </c>
      <c r="J8" s="7">
        <f>TONTMARS24!F8+TONTMARS24!G8</f>
        <v>0</v>
      </c>
      <c r="K8" s="7">
        <f>VLOOKUP($A8,[8]HISTOAVRIL24!$A$6:$AV$47,17,0)</f>
        <v>0</v>
      </c>
      <c r="L8" s="7" t="str">
        <f>IF(K8&lt;&gt;0,VLOOKUP($A8,[8]HISTOAVRIL24!$A$6:$BB$47,8,0),"ECHEC")</f>
        <v>ECHEC</v>
      </c>
      <c r="M8" s="7">
        <f>IF(P8=0,0,VLOOKUP($A8,[8]HISTOAVRIL24!$A$6:$AV$47,32,0))</f>
        <v>0</v>
      </c>
      <c r="N8" s="7">
        <f>VLOOKUP($A8,[8]HISTOAVRIL24!$A$6:$AV$47,33,0)</f>
        <v>0</v>
      </c>
      <c r="O8" s="7">
        <f t="shared" si="0"/>
        <v>0</v>
      </c>
      <c r="P8" s="7">
        <f>VLOOKUP($A8,[8]HISTOAVRIL24!$A$6:$AV$47,30,0)</f>
        <v>0</v>
      </c>
    </row>
    <row r="9" spans="1:16" x14ac:dyDescent="0.35">
      <c r="A9" s="1" t="s">
        <v>25</v>
      </c>
      <c r="B9" s="7">
        <f>IF(D9=0,0,VLOOKUP($A9,[8]HISTOAVRIL24!$A$6:$BB$47,12,0))</f>
        <v>1</v>
      </c>
      <c r="C9" s="1" t="str">
        <f>VLOOKUP(A9,[9]LISTADHERENT!A$5:H$60,3,0)</f>
        <v>DJOUKWE NANGUEN GUY BLAISE</v>
      </c>
      <c r="D9" s="7">
        <f>IF(E9="ECHEC",0,VLOOKUP($A9,[8]HISTOAVRIL24!$A$6:$AR$47,13,0))</f>
        <v>75000</v>
      </c>
      <c r="E9" s="7" t="str">
        <f>VLOOKUP($A9,[8]HISTOAVRIL24!$A$6:$AV$47,8,0)</f>
        <v>BANQUE</v>
      </c>
      <c r="F9" s="7">
        <f>VLOOKUP($A9,[8]HISTOAVRIL24!$A$6:$AV$47,36,0)</f>
        <v>200000</v>
      </c>
      <c r="G9" s="7">
        <f>VLOOKUP($A9,[8]HISTOAVRIL24!$A$6:$AV$47,39,0)</f>
        <v>3000</v>
      </c>
      <c r="H9" s="7" t="str">
        <f>IF(G9=0,0,VLOOKUP($A9,[8]HISTOAVRIL24!$A$6:$AV$47,42,0))</f>
        <v>BANQUE</v>
      </c>
      <c r="I9" s="7">
        <f>VLOOKUP($A9,[8]HISTOAVRIL24!$A$6:$AV$47,41,0)</f>
        <v>0</v>
      </c>
      <c r="J9" s="7">
        <f>TONTMARS24!F9+TONTMARS24!G9</f>
        <v>103000</v>
      </c>
      <c r="K9" s="7">
        <f>VLOOKUP($A9,[8]HISTOAVRIL24!$A$6:$AV$47,17,0)</f>
        <v>103000</v>
      </c>
      <c r="L9" s="7" t="str">
        <f>IF(K9&lt;&gt;0,VLOOKUP($A9,[8]HISTOAVRIL24!$A$6:$BB$47,8,0),"ECHEC")</f>
        <v>BANQUE</v>
      </c>
      <c r="M9" s="7">
        <f>IF(P9=0,0,VLOOKUP($A9,[8]HISTOAVRIL24!$A$6:$AV$47,32,0))</f>
        <v>0</v>
      </c>
      <c r="N9" s="7">
        <f>VLOOKUP($A9,[8]HISTOAVRIL24!$A$6:$AV$47,33,0)</f>
        <v>0</v>
      </c>
      <c r="O9" s="7">
        <f t="shared" si="0"/>
        <v>0</v>
      </c>
      <c r="P9" s="7">
        <f>VLOOKUP($A9,[8]HISTOAVRIL24!$A$6:$AV$47,30,0)</f>
        <v>0</v>
      </c>
    </row>
    <row r="10" spans="1:16" x14ac:dyDescent="0.35">
      <c r="A10" s="1" t="s">
        <v>34</v>
      </c>
      <c r="B10" s="7">
        <f>IF(D10=0,0,VLOOKUP($A10,[8]HISTOAVRIL24!$A$6:$BB$47,12,0))</f>
        <v>1</v>
      </c>
      <c r="C10" s="1" t="str">
        <f>VLOOKUP(A10,[9]LISTADHERENT!A$5:H$60,3,0)</f>
        <v>DJUOMBESSY ANTOINE</v>
      </c>
      <c r="D10" s="7">
        <f>IF(E10="ECHEC",0,VLOOKUP($A10,[8]HISTOAVRIL24!$A$6:$AR$47,13,0))</f>
        <v>75000</v>
      </c>
      <c r="E10" s="7" t="str">
        <f>VLOOKUP($A10,[8]HISTOAVRIL24!$A$6:$AV$47,8,0)</f>
        <v>BANQUE</v>
      </c>
      <c r="F10" s="7">
        <f>VLOOKUP($A10,[8]HISTOAVRIL24!$A$6:$AV$47,36,0)</f>
        <v>0</v>
      </c>
      <c r="G10" s="7">
        <f>VLOOKUP($A10,[8]HISTOAVRIL24!$A$6:$AV$47,39,0)</f>
        <v>0</v>
      </c>
      <c r="H10" s="7">
        <f>IF(G10=0,0,VLOOKUP($A10,[8]HISTOAVRIL24!$A$6:$AV$47,42,0))</f>
        <v>0</v>
      </c>
      <c r="I10" s="7">
        <f>VLOOKUP($A10,[8]HISTOAVRIL24!$A$6:$AV$47,41,0)</f>
        <v>0</v>
      </c>
      <c r="J10" s="7">
        <f>TONTMARS24!F10+TONTMARS24!G10</f>
        <v>0</v>
      </c>
      <c r="K10" s="7">
        <f>VLOOKUP($A10,[8]HISTOAVRIL24!$A$6:$AV$47,17,0)</f>
        <v>0</v>
      </c>
      <c r="L10" s="7" t="str">
        <f>IF(K10&lt;&gt;0,VLOOKUP($A10,[8]HISTOAVRIL24!$A$6:$BB$47,8,0),"ECHEC")</f>
        <v>ECHEC</v>
      </c>
      <c r="M10" s="7">
        <f>IF(P10=0,0,VLOOKUP($A10,[8]HISTOAVRIL24!$A$6:$AV$47,32,0))</f>
        <v>0</v>
      </c>
      <c r="N10" s="7">
        <f>VLOOKUP($A10,[8]HISTOAVRIL24!$A$6:$AV$47,33,0)</f>
        <v>0</v>
      </c>
      <c r="O10" s="7">
        <f t="shared" si="0"/>
        <v>0</v>
      </c>
      <c r="P10" s="7">
        <f>VLOOKUP($A10,[8]HISTOAVRIL24!$A$6:$AV$47,30,0)</f>
        <v>0</v>
      </c>
    </row>
    <row r="11" spans="1:16" x14ac:dyDescent="0.35">
      <c r="A11" s="1" t="s">
        <v>18</v>
      </c>
      <c r="B11" s="7">
        <f>IF(D11=0,0,VLOOKUP($A11,[8]HISTOAVRIL24!$A$6:$BB$47,12,0))</f>
        <v>1</v>
      </c>
      <c r="C11" s="1" t="str">
        <f>VLOOKUP(A11,[9]LISTADHERENT!A$5:H$60,3,0)</f>
        <v>HOTCHO BENJAMIN</v>
      </c>
      <c r="D11" s="7">
        <f>IF(E11="ECHEC",0,VLOOKUP($A11,[8]HISTOAVRIL24!$A$6:$AR$47,13,0))</f>
        <v>75000</v>
      </c>
      <c r="E11" s="7" t="str">
        <f>VLOOKUP($A11,[8]HISTOAVRIL24!$A$6:$AV$47,8,0)</f>
        <v>BANQUE</v>
      </c>
      <c r="F11" s="7">
        <f>VLOOKUP($A11,[8]HISTOAVRIL24!$A$6:$AV$47,36,0)</f>
        <v>0</v>
      </c>
      <c r="G11" s="7">
        <f>VLOOKUP($A11,[8]HISTOAVRIL24!$A$6:$AV$47,39,0)</f>
        <v>0</v>
      </c>
      <c r="H11" s="7">
        <f>IF(G11=0,0,VLOOKUP($A11,[8]HISTOAVRIL24!$A$6:$AV$47,42,0))</f>
        <v>0</v>
      </c>
      <c r="I11" s="7">
        <f>VLOOKUP($A11,[8]HISTOAVRIL24!$A$6:$AV$47,41,0)</f>
        <v>0</v>
      </c>
      <c r="J11" s="7">
        <f>TONTMARS24!F11+TONTMARS24!G11</f>
        <v>0</v>
      </c>
      <c r="K11" s="7">
        <f>VLOOKUP($A11,[8]HISTOAVRIL24!$A$6:$AV$47,17,0)</f>
        <v>0</v>
      </c>
      <c r="L11" s="7" t="str">
        <f>IF(K11&lt;&gt;0,VLOOKUP($A11,[8]HISTOAVRIL24!$A$6:$BB$47,8,0),"ECHEC")</f>
        <v>ECHEC</v>
      </c>
      <c r="M11" s="7">
        <f>IF(P11=0,0,VLOOKUP($A11,[8]HISTOAVRIL24!$A$6:$AV$47,32,0))</f>
        <v>0</v>
      </c>
      <c r="N11" s="7">
        <f>VLOOKUP($A11,[8]HISTOAVRIL24!$A$6:$AV$47,33,0)</f>
        <v>0</v>
      </c>
      <c r="O11" s="7">
        <f t="shared" si="0"/>
        <v>0</v>
      </c>
      <c r="P11" s="7">
        <f>VLOOKUP($A11,[8]HISTOAVRIL24!$A$6:$AV$47,30,0)</f>
        <v>0</v>
      </c>
    </row>
    <row r="12" spans="1:16" x14ac:dyDescent="0.35">
      <c r="A12" s="1" t="s">
        <v>26</v>
      </c>
      <c r="B12" s="7">
        <f>IF(D12=0,0,VLOOKUP($A12,[8]HISTOAVRIL24!$A$6:$BB$47,12,0))</f>
        <v>1</v>
      </c>
      <c r="C12" s="1" t="str">
        <f>VLOOKUP(A12,[9]LISTADHERENT!A$5:H$60,3,0)</f>
        <v>HENGUE PAUL OMER</v>
      </c>
      <c r="D12" s="7">
        <f>IF(E12="ECHEC",0,VLOOKUP($A12,[8]HISTOAVRIL24!$A$6:$AR$47,13,0))</f>
        <v>75000</v>
      </c>
      <c r="E12" s="7" t="str">
        <f>VLOOKUP($A12,[8]HISTOAVRIL24!$A$6:$AV$47,8,0)</f>
        <v>BANQUE</v>
      </c>
      <c r="F12" s="7">
        <f>VLOOKUP($A12,[8]HISTOAVRIL24!$A$6:$AV$47,36,0)</f>
        <v>0</v>
      </c>
      <c r="G12" s="7">
        <f>VLOOKUP($A12,[8]HISTOAVRIL24!$A$6:$AV$47,39,0)</f>
        <v>0</v>
      </c>
      <c r="H12" s="7">
        <f>IF(G12=0,0,VLOOKUP($A12,[8]HISTOAVRIL24!$A$6:$AV$47,42,0))</f>
        <v>0</v>
      </c>
      <c r="I12" s="7">
        <f>VLOOKUP($A12,[8]HISTOAVRIL24!$A$6:$AV$47,41,0)</f>
        <v>0</v>
      </c>
      <c r="J12" s="7">
        <f>TONTMARS24!F12+TONTMARS24!G12</f>
        <v>0</v>
      </c>
      <c r="K12" s="7">
        <f>VLOOKUP($A12,[8]HISTOAVRIL24!$A$6:$AV$47,17,0)</f>
        <v>0</v>
      </c>
      <c r="L12" s="7" t="str">
        <f>IF(K12&lt;&gt;0,VLOOKUP($A12,[8]HISTOAVRIL24!$A$6:$BB$47,8,0),"ECHEC")</f>
        <v>ECHEC</v>
      </c>
      <c r="M12" s="7">
        <f>IF(P12=0,0,VLOOKUP($A12,[8]HISTOAVRIL24!$A$6:$AV$47,32,0))</f>
        <v>0</v>
      </c>
      <c r="N12" s="7">
        <f>VLOOKUP($A12,[8]HISTOAVRIL24!$A$6:$AV$47,33,0)</f>
        <v>0</v>
      </c>
      <c r="O12" s="7">
        <f t="shared" si="0"/>
        <v>0</v>
      </c>
      <c r="P12" s="7">
        <f>VLOOKUP($A12,[8]HISTOAVRIL24!$A$6:$AV$47,30,0)</f>
        <v>0</v>
      </c>
    </row>
    <row r="13" spans="1:16" x14ac:dyDescent="0.35">
      <c r="A13" s="1" t="s">
        <v>21</v>
      </c>
      <c r="B13" s="7">
        <f>IF(D13=0,0,VLOOKUP($A13,[8]HISTOAVRIL24!$A$6:$BB$47,12,0))</f>
        <v>1</v>
      </c>
      <c r="C13" s="1" t="str">
        <f>VLOOKUP(A13,[9]LISTADHERENT!A$5:H$60,3,0)</f>
        <v>MBOGNING TUGMA GUY</v>
      </c>
      <c r="D13" s="7">
        <f>IF(E13="ECHEC",0,VLOOKUP($A13,[8]HISTOAVRIL24!$A$6:$AR$47,13,0))</f>
        <v>75000</v>
      </c>
      <c r="E13" s="7" t="str">
        <f>VLOOKUP($A13,[8]HISTOAVRIL24!$A$6:$AV$47,8,0)</f>
        <v>BANQUE</v>
      </c>
      <c r="F13" s="7">
        <f>VLOOKUP($A13,[8]HISTOAVRIL24!$A$6:$AV$47,36,0)</f>
        <v>100000</v>
      </c>
      <c r="G13" s="7">
        <f>VLOOKUP($A13,[8]HISTOAVRIL24!$A$6:$AV$47,39,0)</f>
        <v>1500</v>
      </c>
      <c r="H13" s="7" t="str">
        <f>IF(G13=0,0,VLOOKUP($A13,[8]HISTOAVRIL24!$A$6:$AV$47,42,0))</f>
        <v>BANQUE</v>
      </c>
      <c r="I13" s="7">
        <f>VLOOKUP($A13,[8]HISTOAVRIL24!$A$6:$AV$47,41,0)</f>
        <v>0</v>
      </c>
      <c r="J13" s="7">
        <f>TONTMARS24!F13+TONTMARS24!G13</f>
        <v>91000</v>
      </c>
      <c r="K13" s="7">
        <f>VLOOKUP($A13,[8]HISTOAVRIL24!$A$6:$AV$47,17,0)</f>
        <v>91000</v>
      </c>
      <c r="L13" s="7" t="str">
        <f>IF(K13&lt;&gt;0,VLOOKUP($A13,[8]HISTOAVRIL24!$A$6:$BB$47,8,0),"ECHEC")</f>
        <v>BANQUE</v>
      </c>
      <c r="M13" s="7">
        <f>IF(P13=0,0,VLOOKUP($A13,[8]HISTOAVRIL24!$A$6:$AV$47,32,0))</f>
        <v>0</v>
      </c>
      <c r="N13" s="7">
        <f>VLOOKUP($A13,[8]HISTOAVRIL24!$A$6:$AV$47,33,0)</f>
        <v>0</v>
      </c>
      <c r="O13" s="7">
        <f t="shared" si="0"/>
        <v>0</v>
      </c>
      <c r="P13" s="7">
        <f>VLOOKUP($A13,[8]HISTOAVRIL24!$A$6:$AV$47,30,0)</f>
        <v>0</v>
      </c>
    </row>
    <row r="14" spans="1:16" x14ac:dyDescent="0.35">
      <c r="A14" s="1" t="s">
        <v>8</v>
      </c>
      <c r="B14" s="7">
        <f>IF(D14=0,0,VLOOKUP($A14,[8]HISTOAVRIL24!$A$6:$BB$47,12,0))</f>
        <v>1</v>
      </c>
      <c r="C14" s="1" t="str">
        <f>VLOOKUP(A14,[9]LISTADHERENT!A$5:H$60,3,0)</f>
        <v>NANKAM APPOLINAIRE</v>
      </c>
      <c r="D14" s="7">
        <f>IF(E14="ECHEC",0,VLOOKUP($A14,[8]HISTOAVRIL24!$A$6:$AR$47,13,0))</f>
        <v>75000</v>
      </c>
      <c r="E14" s="7" t="str">
        <f>VLOOKUP($A14,[8]HISTOAVRIL24!$A$6:$AV$47,8,0)</f>
        <v>BANQUE</v>
      </c>
      <c r="F14" s="7">
        <f>VLOOKUP($A14,[8]HISTOAVRIL24!$A$6:$AV$47,36,0)</f>
        <v>0</v>
      </c>
      <c r="G14" s="7">
        <f>VLOOKUP($A14,[8]HISTOAVRIL24!$A$6:$AV$47,39,0)</f>
        <v>0</v>
      </c>
      <c r="H14" s="7">
        <f>IF(G14=0,0,VLOOKUP($A14,[8]HISTOAVRIL24!$A$6:$AV$47,42,0))</f>
        <v>0</v>
      </c>
      <c r="I14" s="7">
        <f>VLOOKUP($A14,[8]HISTOAVRIL24!$A$6:$AV$47,41,0)</f>
        <v>0</v>
      </c>
      <c r="J14" s="7">
        <f>TONTMARS24!F14+TONTMARS24!G14</f>
        <v>0</v>
      </c>
      <c r="K14" s="7">
        <f>VLOOKUP($A14,[8]HISTOAVRIL24!$A$6:$AV$47,17,0)</f>
        <v>0</v>
      </c>
      <c r="L14" s="7" t="str">
        <f>IF(K14&lt;&gt;0,VLOOKUP($A14,[8]HISTOAVRIL24!$A$6:$BB$47,8,0),"ECHEC")</f>
        <v>ECHEC</v>
      </c>
      <c r="M14" s="7">
        <f>IF(P14=0,0,VLOOKUP($A14,[8]HISTOAVRIL24!$A$6:$AV$47,32,0))</f>
        <v>0</v>
      </c>
      <c r="N14" s="7">
        <f>VLOOKUP($A14,[8]HISTOAVRIL24!$A$6:$AV$47,33,0)</f>
        <v>0</v>
      </c>
      <c r="O14" s="7">
        <f t="shared" si="0"/>
        <v>0</v>
      </c>
      <c r="P14" s="7">
        <f>VLOOKUP($A14,[8]HISTOAVRIL24!$A$6:$AV$47,30,0)</f>
        <v>0</v>
      </c>
    </row>
    <row r="15" spans="1:16" x14ac:dyDescent="0.35">
      <c r="A15" s="1" t="s">
        <v>35</v>
      </c>
      <c r="B15" s="7">
        <f>IF(D15=0,0,VLOOKUP($A15,[8]HISTOAVRIL24!$A$6:$BB$47,12,0))</f>
        <v>1</v>
      </c>
      <c r="C15" s="1" t="str">
        <f>VLOOKUP(A15,[9]LISTADHERENT!A$5:H$60,3,0)</f>
        <v>NGONDIEP CLAUDE</v>
      </c>
      <c r="D15" s="7">
        <f>IF(E15="ECHEC",0,VLOOKUP($A15,[8]HISTOAVRIL24!$A$6:$AR$47,13,0))</f>
        <v>75000</v>
      </c>
      <c r="E15" s="7" t="str">
        <f>VLOOKUP($A15,[8]HISTOAVRIL24!$A$6:$AV$47,8,0)</f>
        <v>ESPECES</v>
      </c>
      <c r="F15" s="7">
        <f>VLOOKUP($A15,[8]HISTOAVRIL24!$A$6:$AV$47,36,0)</f>
        <v>0</v>
      </c>
      <c r="G15" s="7">
        <f>VLOOKUP($A15,[8]HISTOAVRIL24!$A$6:$AV$47,39,0)</f>
        <v>0</v>
      </c>
      <c r="H15" s="7">
        <f>IF(G15=0,0,VLOOKUP($A15,[8]HISTOAVRIL24!$A$6:$AV$47,42,0))</f>
        <v>0</v>
      </c>
      <c r="I15" s="7">
        <f>VLOOKUP($A15,[8]HISTOAVRIL24!$A$6:$AV$47,41,0)</f>
        <v>0</v>
      </c>
      <c r="J15" s="7">
        <f>TONTMARS24!F15+TONTMARS24!G15</f>
        <v>0</v>
      </c>
      <c r="K15" s="7">
        <f>VLOOKUP($A15,[8]HISTOAVRIL24!$A$6:$AV$47,17,0)</f>
        <v>0</v>
      </c>
      <c r="L15" s="7" t="str">
        <f>IF(K15&lt;&gt;0,VLOOKUP($A15,[8]HISTOAVRIL24!$A$6:$BB$47,8,0),"ECHEC")</f>
        <v>ECHEC</v>
      </c>
      <c r="M15" s="7">
        <f>IF(P15=0,0,VLOOKUP($A15,[8]HISTOAVRIL24!$A$6:$AV$47,32,0))</f>
        <v>0</v>
      </c>
      <c r="N15" s="7">
        <f>VLOOKUP($A15,[8]HISTOAVRIL24!$A$6:$AV$47,33,0)</f>
        <v>0</v>
      </c>
      <c r="O15" s="7">
        <f t="shared" si="0"/>
        <v>0</v>
      </c>
      <c r="P15" s="7">
        <f>VLOOKUP($A15,[8]HISTOAVRIL24!$A$6:$AV$47,30,0)</f>
        <v>0</v>
      </c>
    </row>
    <row r="16" spans="1:16" x14ac:dyDescent="0.35">
      <c r="A16" s="1" t="s">
        <v>20</v>
      </c>
      <c r="B16" s="7">
        <f>IF(D16=0,0,VLOOKUP($A16,[8]HISTOAVRIL24!$A$6:$BB$47,12,0))</f>
        <v>3</v>
      </c>
      <c r="C16" s="1" t="str">
        <f>VLOOKUP(A16,[9]LISTADHERENT!A$5:H$60,3,0)</f>
        <v>NGUIEMEGNI MATHIEU BLAISE</v>
      </c>
      <c r="D16" s="7">
        <f>IF(E16="ECHEC",0,VLOOKUP($A16,[8]HISTOAVRIL24!$A$6:$AR$47,13,0))</f>
        <v>225000</v>
      </c>
      <c r="E16" s="7" t="str">
        <f>VLOOKUP($A16,[8]HISTOAVRIL24!$A$6:$AV$47,8,0)</f>
        <v>BANQUE</v>
      </c>
      <c r="F16" s="7">
        <f>VLOOKUP($A16,[8]HISTOAVRIL24!$A$6:$AV$47,36,0)</f>
        <v>0</v>
      </c>
      <c r="G16" s="7">
        <f>VLOOKUP($A16,[8]HISTOAVRIL24!$A$6:$AV$47,39,0)</f>
        <v>0</v>
      </c>
      <c r="H16" s="7">
        <f>IF(G16=0,0,VLOOKUP($A16,[8]HISTOAVRIL24!$A$6:$AV$47,42,0))</f>
        <v>0</v>
      </c>
      <c r="I16" s="7">
        <f>VLOOKUP($A16,[8]HISTOAVRIL24!$A$6:$AV$47,41,0)</f>
        <v>0</v>
      </c>
      <c r="J16" s="7">
        <f>TONTMARS24!F16+TONTMARS24!G16</f>
        <v>0</v>
      </c>
      <c r="K16" s="7">
        <f>VLOOKUP($A16,[8]HISTOAVRIL24!$A$6:$AV$47,17,0)</f>
        <v>0</v>
      </c>
      <c r="L16" s="7" t="str">
        <f>IF(K16&lt;&gt;0,VLOOKUP($A16,[8]HISTOAVRIL24!$A$6:$BB$47,8,0),"ECHEC")</f>
        <v>ECHEC</v>
      </c>
      <c r="M16" s="7">
        <f>IF(P16=0,0,VLOOKUP($A16,[8]HISTOAVRIL24!$A$6:$AV$47,32,0))</f>
        <v>0</v>
      </c>
      <c r="N16" s="7">
        <f>VLOOKUP($A16,[8]HISTOAVRIL24!$A$6:$AV$47,33,0)</f>
        <v>0</v>
      </c>
      <c r="O16" s="7">
        <f t="shared" si="0"/>
        <v>0</v>
      </c>
      <c r="P16" s="7">
        <f>VLOOKUP($A16,[8]HISTOAVRIL24!$A$6:$AV$47,30,0)</f>
        <v>0</v>
      </c>
    </row>
    <row r="17" spans="1:16" x14ac:dyDescent="0.35">
      <c r="A17" s="1" t="s">
        <v>27</v>
      </c>
      <c r="B17" s="7">
        <f>IF(D17=0,0,VLOOKUP($A17,[8]HISTOAVRIL24!$A$6:$BB$47,12,0))</f>
        <v>1</v>
      </c>
      <c r="C17" s="1" t="str">
        <f>VLOOKUP(A17,[9]LISTADHERENT!A$5:H$60,3,0)</f>
        <v>PATEGO NJOSSU GUSTAVE</v>
      </c>
      <c r="D17" s="7">
        <f>IF(E17="ECHEC",0,VLOOKUP($A17,[8]HISTOAVRIL24!$A$6:$AR$47,13,0))</f>
        <v>75000</v>
      </c>
      <c r="E17" s="7" t="str">
        <f>VLOOKUP($A17,[8]HISTOAVRIL24!$A$6:$AV$47,8,0)</f>
        <v>BANQUE</v>
      </c>
      <c r="F17" s="7">
        <f>VLOOKUP($A17,[8]HISTOAVRIL24!$A$6:$AV$47,36,0)</f>
        <v>0</v>
      </c>
      <c r="G17" s="7">
        <f>VLOOKUP($A17,[8]HISTOAVRIL24!$A$6:$AV$47,39,0)</f>
        <v>0</v>
      </c>
      <c r="H17" s="7">
        <f>IF(G17=0,0,VLOOKUP($A17,[8]HISTOAVRIL24!$A$6:$AV$47,42,0))</f>
        <v>0</v>
      </c>
      <c r="I17" s="7">
        <f>VLOOKUP($A17,[8]HISTOAVRIL24!$A$6:$AV$47,41,0)</f>
        <v>0</v>
      </c>
      <c r="J17" s="7">
        <f>TONTMARS24!F17+TONTMARS24!G17</f>
        <v>0</v>
      </c>
      <c r="K17" s="7">
        <f>VLOOKUP($A17,[8]HISTOAVRIL24!$A$6:$AV$47,17,0)</f>
        <v>0</v>
      </c>
      <c r="L17" s="7" t="str">
        <f>IF(K17&lt;&gt;0,VLOOKUP($A17,[8]HISTOAVRIL24!$A$6:$BB$47,8,0),"ECHEC")</f>
        <v>ECHEC</v>
      </c>
      <c r="M17" s="7">
        <f>IF(P17=0,0,VLOOKUP($A17,[8]HISTOAVRIL24!$A$6:$AV$47,32,0))</f>
        <v>0</v>
      </c>
      <c r="N17" s="7">
        <f>VLOOKUP($A17,[8]HISTOAVRIL24!$A$6:$AV$47,33,0)</f>
        <v>0</v>
      </c>
      <c r="O17" s="7">
        <f t="shared" si="0"/>
        <v>0</v>
      </c>
      <c r="P17" s="7">
        <f>VLOOKUP($A17,[8]HISTOAVRIL24!$A$6:$AV$47,30,0)</f>
        <v>0</v>
      </c>
    </row>
    <row r="18" spans="1:16" x14ac:dyDescent="0.35">
      <c r="A18" s="9" t="s">
        <v>48</v>
      </c>
      <c r="B18" s="7">
        <f>IF(D18=0,0,VLOOKUP($A18,[8]HISTOAVRIL24!$A$6:$BB$47,12,0))</f>
        <v>1</v>
      </c>
      <c r="C18" s="1" t="str">
        <f>VLOOKUP(A18,[9]LISTADHERENT!A$5:H$60,3,0)</f>
        <v>TCHOUAMOU MATHIEU</v>
      </c>
      <c r="D18" s="7">
        <f>IF(E18="ECHEC",0,VLOOKUP($A18,[8]HISTOAVRIL24!$A$6:$AR$47,13,0))</f>
        <v>75000</v>
      </c>
      <c r="E18" s="7" t="str">
        <f>VLOOKUP($A18,[8]HISTOAVRIL24!$A$6:$AV$47,8,0)</f>
        <v>BANQUE</v>
      </c>
      <c r="F18" s="7">
        <f>VLOOKUP($A18,[8]HISTOAVRIL24!$A$6:$AV$47,36,0)</f>
        <v>100000</v>
      </c>
      <c r="G18" s="7">
        <f>VLOOKUP($A18,[8]HISTOAVRIL24!$A$6:$AV$47,39,0)</f>
        <v>1000</v>
      </c>
      <c r="H18" s="7" t="str">
        <f>IF(G18=0,0,VLOOKUP($A18,[8]HISTOAVRIL24!$A$6:$AV$47,42,0))</f>
        <v>BANQUE</v>
      </c>
      <c r="I18" s="7">
        <f>VLOOKUP($A18,[8]HISTOAVRIL24!$A$6:$AV$47,41,0)</f>
        <v>0</v>
      </c>
      <c r="J18" s="7">
        <f>TONTMARS24!F18+TONTMARS24!G18</f>
        <v>0</v>
      </c>
      <c r="K18" s="7">
        <f>VLOOKUP($A18,[8]HISTOAVRIL24!$A$6:$AV$47,17,0)</f>
        <v>0</v>
      </c>
      <c r="L18" s="7" t="str">
        <f>IF(K18&lt;&gt;0,VLOOKUP($A18,[8]HISTOAVRIL24!$A$6:$BB$47,8,0),"ECHEC")</f>
        <v>ECHEC</v>
      </c>
      <c r="M18" s="7" t="str">
        <f>IF(P18=0,0,VLOOKUP($A18,[8]HISTOAVRIL24!$A$6:$AV$47,32,0))</f>
        <v>BANQUE</v>
      </c>
      <c r="N18" s="7">
        <f>VLOOKUP($A18,[8]HISTOAVRIL24!$A$6:$AV$47,33,0)</f>
        <v>0</v>
      </c>
      <c r="O18" s="7">
        <f t="shared" si="0"/>
        <v>892500</v>
      </c>
      <c r="P18" s="7">
        <f>VLOOKUP($A18,[8]HISTOAVRIL24!$A$6:$AV$47,30,0)</f>
        <v>7500</v>
      </c>
    </row>
    <row r="19" spans="1:16" x14ac:dyDescent="0.35">
      <c r="A19" s="1" t="s">
        <v>19</v>
      </c>
      <c r="B19" s="7">
        <f>IF(D19=0,0,VLOOKUP($A19,[8]HISTOAVRIL24!$A$6:$BB$47,12,0))</f>
        <v>1</v>
      </c>
      <c r="C19" s="1" t="str">
        <f>VLOOKUP(A19,[9]LISTADHERENT!A$5:H$60,3,0)</f>
        <v>YOUMBI EMMANUEL</v>
      </c>
      <c r="D19" s="7">
        <f>IF(E19="ECHEC",0,VLOOKUP($A19,[8]HISTOAVRIL24!$A$6:$AR$47,13,0))</f>
        <v>75000</v>
      </c>
      <c r="E19" s="7" t="str">
        <f>VLOOKUP($A19,[8]HISTOAVRIL24!$A$6:$AV$47,8,0)</f>
        <v>BANQUE</v>
      </c>
      <c r="F19" s="7">
        <f>VLOOKUP($A19,[8]HISTOAVRIL24!$A$6:$AV$47,36,0)</f>
        <v>0</v>
      </c>
      <c r="G19" s="7">
        <f>VLOOKUP($A19,[8]HISTOAVRIL24!$A$6:$AV$47,39,0)</f>
        <v>0</v>
      </c>
      <c r="H19" s="7">
        <f>IF(G19=0,0,VLOOKUP($A19,[8]HISTOAVRIL24!$A$6:$AV$47,42,0))</f>
        <v>0</v>
      </c>
      <c r="I19" s="7">
        <f>VLOOKUP($A19,[8]HISTOAVRIL24!$A$6:$AV$47,41,0)</f>
        <v>0</v>
      </c>
      <c r="J19" s="7">
        <f>TONTMARS24!F19+TONTMARS24!G19</f>
        <v>0</v>
      </c>
      <c r="K19" s="7">
        <f>VLOOKUP($A19,[8]HISTOAVRIL24!$A$6:$AV$47,17,0)</f>
        <v>0</v>
      </c>
      <c r="L19" s="7" t="str">
        <f>IF(K19&lt;&gt;0,VLOOKUP($A19,[8]HISTOAVRIL24!$A$6:$BB$47,8,0),"ECHEC")</f>
        <v>ECHEC</v>
      </c>
      <c r="M19" s="7">
        <f>IF(P19=0,0,VLOOKUP($A19,[8]HISTOAVRIL24!$A$6:$AV$47,32,0))</f>
        <v>0</v>
      </c>
      <c r="N19" s="7">
        <f>VLOOKUP($A19,[8]HISTOAVRIL24!$A$6:$AV$47,33,0)</f>
        <v>0</v>
      </c>
      <c r="O19" s="7">
        <f t="shared" si="0"/>
        <v>0</v>
      </c>
      <c r="P19" s="7">
        <f>VLOOKUP($A19,[8]HISTOAVRIL24!$A$6:$AV$47,30,0)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501500</v>
      </c>
      <c r="G22" s="8">
        <f t="shared" si="1"/>
        <v>8000</v>
      </c>
      <c r="H22" s="8">
        <f t="shared" si="1"/>
        <v>0</v>
      </c>
      <c r="I22" s="8">
        <f t="shared" si="1"/>
        <v>0</v>
      </c>
      <c r="J22" s="8">
        <f t="shared" si="1"/>
        <v>194000</v>
      </c>
      <c r="K22" s="8">
        <f t="shared" si="1"/>
        <v>194000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s="2" customFormat="1" x14ac:dyDescent="0.3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16" s="2" customFormat="1" ht="28.5" x14ac:dyDescent="0.3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D22+E28+P22+TONTMARS24!M29</f>
        <v>1401500</v>
      </c>
      <c r="L24" s="5"/>
      <c r="M24"/>
      <c r="N24" s="5"/>
    </row>
    <row r="25" spans="1:16" s="2" customFormat="1" ht="17.5" x14ac:dyDescent="0.35">
      <c r="D25" s="8">
        <f>SUMIFS(D6:D21,E6:E21,"ESPECES")</f>
        <v>75000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75000</v>
      </c>
      <c r="I25" s="8"/>
      <c r="J25" s="8" t="s">
        <v>32</v>
      </c>
      <c r="K25" s="8">
        <f>C3*COUNTIF(O7:O21,"&gt;0")</f>
        <v>900000</v>
      </c>
      <c r="L25" s="8">
        <f>D3</f>
        <v>1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1125000</v>
      </c>
      <c r="E26" s="8">
        <f>SUMIFS(K7:K18,L7:L18,"BANQUE")</f>
        <v>194000</v>
      </c>
      <c r="F26" s="8">
        <f>SUMIFS(F7:F21,H7:H21,"BANQUE")</f>
        <v>501500</v>
      </c>
      <c r="G26" s="8">
        <f>SUMIFS(O7:O21,M7:M21,"BANQUE")</f>
        <v>892500</v>
      </c>
      <c r="H26" s="8">
        <f>D26+E26-F26-G26</f>
        <v>-75000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501500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194000</v>
      </c>
      <c r="F28" s="8">
        <f>F25+F26</f>
        <v>501500</v>
      </c>
      <c r="G28" s="8">
        <f t="shared" ref="G28:H28" si="2">G25+G26</f>
        <v>892500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</sheetData>
  <autoFilter ref="A5:P17" xr:uid="{00000000-0009-0000-0000-000004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K34" sqref="K34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7.5" x14ac:dyDescent="0.35">
      <c r="B4" s="13"/>
      <c r="C4" s="24">
        <v>45425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IF(D6=0,0,VLOOKUP($A6,[8]HISTOMAI24!$A$6:$BB$47,12,0))</f>
        <v>1</v>
      </c>
      <c r="C6" s="1" t="str">
        <f>VLOOKUP(A6,[9]LISTADHERENT!A$5:H$60,3,0)</f>
        <v>ASELBY</v>
      </c>
      <c r="D6" s="7">
        <f>IF(E6="ECHEC",0,VLOOKUP($A6,[8]HISTOMAI24!$A$6:$AR$47,13,0))</f>
        <v>75000</v>
      </c>
      <c r="E6" s="7" t="str">
        <f>VLOOKUP($A6,[8]HISTOMAI24!$A$6:$AV$47,8,0)</f>
        <v>BANQUE</v>
      </c>
      <c r="F6" s="7">
        <f>VLOOKUP($A6,[8]HISTOMAI24!$A$6:$AV$47,36,0)</f>
        <v>0</v>
      </c>
      <c r="G6" s="7">
        <f>VLOOKUP($A6,[8]HISTOMAI24!$A$6:$AV$47,39,0)</f>
        <v>0</v>
      </c>
      <c r="H6" s="7">
        <f>IF(G6=0,0,VLOOKUP($A6,[8]HISTOMAI24!$A$6:$AV$47,42,0))</f>
        <v>0</v>
      </c>
      <c r="I6" s="7">
        <f>VLOOKUP($A6,[8]HISTOMAI24!$A$6:$AV$47,41,0)</f>
        <v>0</v>
      </c>
      <c r="J6" s="7">
        <f>TONTAVRIL24!F6+TONTAVRIL24!G6</f>
        <v>0</v>
      </c>
      <c r="K6" s="7">
        <f>VLOOKUP($A6,[8]HISTOMAI24!$A$6:$AV$47,17,0)</f>
        <v>0</v>
      </c>
      <c r="L6" s="7" t="str">
        <f>IF(K6&lt;&gt;0,VLOOKUP($A6,[8]HISTOMAI24!$A$6:$BB$47,8,0),"ECHEC")</f>
        <v>ECHEC</v>
      </c>
      <c r="M6" s="7">
        <f>IF(P6=0,0,VLOOKUP($A6,[8]HISTOMAI24!$A$6:$AV$47,32,0))</f>
        <v>0</v>
      </c>
      <c r="N6" s="7">
        <f>VLOOKUP($A6,[8]HISTOMAI24!$A$6:$AV$47,33,0)</f>
        <v>0</v>
      </c>
      <c r="O6" s="7">
        <f t="shared" ref="O6:O19" si="0">IF(P6=0,0,($C$3-P6))</f>
        <v>0</v>
      </c>
      <c r="P6" s="7">
        <f>VLOOKUP($A6,[8]HISTOMAI24!$A$6:$AV$47,30,0)</f>
        <v>0</v>
      </c>
    </row>
    <row r="7" spans="1:16" x14ac:dyDescent="0.35">
      <c r="A7" s="1" t="s">
        <v>24</v>
      </c>
      <c r="B7" s="7">
        <f>IF(D7=0,0,VLOOKUP($A7,[8]HISTOMAI24!$A$6:$BB$47,12,0))</f>
        <v>1</v>
      </c>
      <c r="C7" s="1" t="str">
        <f>VLOOKUP(A7,[9]LISTADHERENT!A$5:H$60,3,0)</f>
        <v>BOUTCHOUANG WILLIAM</v>
      </c>
      <c r="D7" s="7">
        <f>IF(E7="ECHEC",0,VLOOKUP($A7,[8]HISTOMAI24!$A$6:$AR$47,13,0))</f>
        <v>75000</v>
      </c>
      <c r="E7" s="7" t="str">
        <f>VLOOKUP($A7,[8]HISTOMAI24!$A$6:$AV$47,8,0)</f>
        <v>BANQUE</v>
      </c>
      <c r="F7" s="7">
        <f>VLOOKUP($A7,[8]HISTOMAI24!$A$6:$AV$47,36,0)</f>
        <v>0</v>
      </c>
      <c r="G7" s="7">
        <f>VLOOKUP($A7,[8]HISTOMAI24!$A$6:$AV$47,39,0)</f>
        <v>0</v>
      </c>
      <c r="H7" s="7">
        <f>IF(G7=0,0,VLOOKUP($A7,[8]HISTOMAI24!$A$6:$AV$47,42,0))</f>
        <v>0</v>
      </c>
      <c r="I7" s="7">
        <f>VLOOKUP($A7,[8]HISTOMAI24!$A$6:$AV$47,41,0)</f>
        <v>0</v>
      </c>
      <c r="J7" s="7">
        <f>TONTAVRIL24!F7+TONTAVRIL24!G7</f>
        <v>0</v>
      </c>
      <c r="K7" s="7">
        <f>VLOOKUP($A7,[8]HISTOMAI24!$A$6:$AV$47,17,0)</f>
        <v>0</v>
      </c>
      <c r="L7" s="7" t="str">
        <f>IF(K7&lt;&gt;0,VLOOKUP($A7,[8]HISTOMAI24!$A$6:$BB$47,8,0),"ECHEC")</f>
        <v>ECHEC</v>
      </c>
      <c r="M7" s="7">
        <f>IF(P7=0,0,VLOOKUP($A7,[8]HISTOMAI24!$A$6:$AV$47,32,0))</f>
        <v>0</v>
      </c>
      <c r="N7" s="7">
        <f>VLOOKUP($A7,[8]HISTOMAI24!$A$6:$AV$47,33,0)</f>
        <v>0</v>
      </c>
      <c r="O7" s="7">
        <f t="shared" si="0"/>
        <v>0</v>
      </c>
      <c r="P7" s="7">
        <f>VLOOKUP($A7,[8]HISTOMAI24!$A$6:$AV$47,30,0)</f>
        <v>0</v>
      </c>
    </row>
    <row r="8" spans="1:16" x14ac:dyDescent="0.35">
      <c r="A8" s="1" t="s">
        <v>49</v>
      </c>
      <c r="B8" s="7">
        <f>IF(D8=0,0,VLOOKUP($A8,[8]HISTOMAI24!$A$6:$BB$47,12,0))</f>
        <v>1</v>
      </c>
      <c r="C8" s="1" t="str">
        <f>VLOOKUP(A8,[9]LISTADHERENT!A$5:H$60,3,0)</f>
        <v>DJOMOU TCHAPDA</v>
      </c>
      <c r="D8" s="7">
        <f>IF(E8="ECHEC",0,VLOOKUP($A8,[8]HISTOMAI24!$A$6:$AR$47,13,0))</f>
        <v>75000</v>
      </c>
      <c r="E8" s="7" t="str">
        <f>VLOOKUP($A8,[8]HISTOMAI24!$A$6:$AV$47,8,0)</f>
        <v>BANQUE</v>
      </c>
      <c r="F8" s="7">
        <f>VLOOKUP($A8,[8]HISTOMAI24!$A$6:$AV$47,36,0)</f>
        <v>0</v>
      </c>
      <c r="G8" s="7">
        <f>VLOOKUP($A8,[8]HISTOMAI24!$A$6:$AV$47,39,0)</f>
        <v>0</v>
      </c>
      <c r="H8" s="7">
        <f>IF(G8=0,0,VLOOKUP($A8,[8]HISTOMAI24!$A$6:$AV$47,42,0))</f>
        <v>0</v>
      </c>
      <c r="I8" s="7">
        <f>VLOOKUP($A8,[8]HISTOMAI24!$A$6:$AV$47,41,0)</f>
        <v>0</v>
      </c>
      <c r="J8" s="7">
        <f>TONTAVRIL24!F8+TONTAVRIL24!G8</f>
        <v>104000</v>
      </c>
      <c r="K8" s="7">
        <f>VLOOKUP($A8,[8]HISTOMAI24!$A$6:$AV$47,17,0)</f>
        <v>104000</v>
      </c>
      <c r="L8" s="7" t="str">
        <f>IF(K8&lt;&gt;0,VLOOKUP($A8,[8]HISTOMAI24!$A$6:$BB$47,8,0),"ECHEC")</f>
        <v>BANQUE</v>
      </c>
      <c r="M8" s="7">
        <f>IF(P8=0,0,VLOOKUP($A8,[8]HISTOMAI24!$A$6:$AV$47,32,0))</f>
        <v>0</v>
      </c>
      <c r="N8" s="7">
        <f>VLOOKUP($A8,[8]HISTOMAI24!$A$6:$AV$47,33,0)</f>
        <v>0</v>
      </c>
      <c r="O8" s="7">
        <f t="shared" si="0"/>
        <v>0</v>
      </c>
      <c r="P8" s="7">
        <f>VLOOKUP($A8,[8]HISTOMAI24!$A$6:$AV$47,30,0)</f>
        <v>0</v>
      </c>
    </row>
    <row r="9" spans="1:16" x14ac:dyDescent="0.35">
      <c r="A9" s="1" t="s">
        <v>25</v>
      </c>
      <c r="B9" s="7">
        <f>IF(D9=0,0,VLOOKUP($A9,[8]HISTOMAI24!$A$6:$BB$47,12,0))</f>
        <v>1</v>
      </c>
      <c r="C9" s="1" t="str">
        <f>VLOOKUP(A9,[9]LISTADHERENT!A$5:H$60,3,0)</f>
        <v>DJOUKWE NANGUEN GUY BLAISE</v>
      </c>
      <c r="D9" s="7">
        <f>IF(E9="ECHEC",0,VLOOKUP($A9,[8]HISTOMAI24!$A$6:$AR$47,13,0))</f>
        <v>75000</v>
      </c>
      <c r="E9" s="7" t="str">
        <f>VLOOKUP($A9,[8]HISTOMAI24!$A$6:$AV$47,8,0)</f>
        <v>BANQUE</v>
      </c>
      <c r="F9" s="7">
        <f>VLOOKUP($A9,[8]HISTOMAI24!$A$6:$AV$47,36,0)</f>
        <v>150000</v>
      </c>
      <c r="G9" s="7">
        <f>VLOOKUP($A9,[8]HISTOMAI24!$A$6:$AV$47,39,0)</f>
        <v>2000</v>
      </c>
      <c r="H9" s="7" t="str">
        <f>IF(G9=0,0,VLOOKUP($A9,[8]HISTOMAI24!$A$6:$AV$47,42,0))</f>
        <v>BANQUE</v>
      </c>
      <c r="I9" s="7">
        <f>VLOOKUP($A9,[8]HISTOMAI24!$A$6:$AV$47,41,0)</f>
        <v>0</v>
      </c>
      <c r="J9" s="7">
        <f>TONTAVRIL24!F9+TONTAVRIL24!G9</f>
        <v>203000</v>
      </c>
      <c r="K9" s="7">
        <f>VLOOKUP($A9,[8]HISTOMAI24!$A$6:$AV$47,17,0)</f>
        <v>203000</v>
      </c>
      <c r="L9" s="7" t="str">
        <f>IF(K9&lt;&gt;0,VLOOKUP($A9,[8]HISTOMAI24!$A$6:$BB$47,8,0),"ECHEC")</f>
        <v>BANQUE</v>
      </c>
      <c r="M9" s="7">
        <f>IF(P9=0,0,VLOOKUP($A9,[8]HISTOMAI24!$A$6:$AV$47,32,0))</f>
        <v>0</v>
      </c>
      <c r="N9" s="7">
        <f>VLOOKUP($A9,[8]HISTOMAI24!$A$6:$AV$47,33,0)</f>
        <v>0</v>
      </c>
      <c r="O9" s="7">
        <f t="shared" si="0"/>
        <v>0</v>
      </c>
      <c r="P9" s="7">
        <f>VLOOKUP($A9,[8]HISTOMAI24!$A$6:$AV$47,30,0)</f>
        <v>0</v>
      </c>
    </row>
    <row r="10" spans="1:16" x14ac:dyDescent="0.35">
      <c r="A10" s="1" t="s">
        <v>34</v>
      </c>
      <c r="B10" s="7">
        <f>IF(D10=0,0,VLOOKUP($A10,[8]HISTOMAI24!$A$6:$BB$47,12,0))</f>
        <v>1</v>
      </c>
      <c r="C10" s="1" t="str">
        <f>VLOOKUP(A10,[9]LISTADHERENT!A$5:H$60,3,0)</f>
        <v>DJUOMBESSY ANTOINE</v>
      </c>
      <c r="D10" s="7">
        <f>IF(E10="ECHEC",0,VLOOKUP($A10,[8]HISTOMAI24!$A$6:$AR$47,13,0))</f>
        <v>75000</v>
      </c>
      <c r="E10" s="7" t="str">
        <f>VLOOKUP($A10,[8]HISTOMAI24!$A$6:$AV$47,8,0)</f>
        <v>BANQUE</v>
      </c>
      <c r="F10" s="7">
        <f>VLOOKUP($A10,[8]HISTOMAI24!$A$6:$AV$47,36,0)</f>
        <v>100000</v>
      </c>
      <c r="G10" s="7">
        <f>VLOOKUP($A10,[8]HISTOMAI24!$A$6:$AV$47,39,0)</f>
        <v>1000</v>
      </c>
      <c r="H10" s="7">
        <f>IF(G10=0,0,VLOOKUP($A10,[8]HISTOMAI24!$A$6:$AV$47,42,0))</f>
        <v>0</v>
      </c>
      <c r="I10" s="7">
        <f>VLOOKUP($A10,[8]HISTOMAI24!$A$6:$AV$47,41,0)</f>
        <v>0</v>
      </c>
      <c r="J10" s="7">
        <f>TONTAVRIL24!F10+TONTAVRIL24!G10</f>
        <v>0</v>
      </c>
      <c r="K10" s="7">
        <f>VLOOKUP($A10,[8]HISTOMAI24!$A$6:$AV$47,17,0)</f>
        <v>0</v>
      </c>
      <c r="L10" s="7" t="str">
        <f>IF(K10&lt;&gt;0,VLOOKUP($A10,[8]HISTOMAI24!$A$6:$BB$47,8,0),"ECHEC")</f>
        <v>ECHEC</v>
      </c>
      <c r="M10" s="7">
        <f>IF(P10=0,0,VLOOKUP($A10,[8]HISTOMAI24!$A$6:$AV$47,32,0))</f>
        <v>0</v>
      </c>
      <c r="N10" s="7">
        <f>VLOOKUP($A10,[8]HISTOMAI24!$A$6:$AV$47,33,0)</f>
        <v>0</v>
      </c>
      <c r="O10" s="7">
        <f t="shared" si="0"/>
        <v>0</v>
      </c>
      <c r="P10" s="7">
        <f>VLOOKUP($A10,[8]HISTOMAI24!$A$6:$AV$47,30,0)</f>
        <v>0</v>
      </c>
    </row>
    <row r="11" spans="1:16" x14ac:dyDescent="0.35">
      <c r="A11" s="1" t="s">
        <v>18</v>
      </c>
      <c r="B11" s="7">
        <f>IF(D11=0,0,VLOOKUP($A11,[8]HISTOMAI24!$A$6:$BB$47,12,0))</f>
        <v>1</v>
      </c>
      <c r="C11" s="1" t="str">
        <f>VLOOKUP(A11,[9]LISTADHERENT!A$5:H$60,3,0)</f>
        <v>HOTCHO BENJAMIN</v>
      </c>
      <c r="D11" s="7">
        <f>IF(E11="ECHEC",0,VLOOKUP($A11,[8]HISTOMAI24!$A$6:$AR$47,13,0))</f>
        <v>75000</v>
      </c>
      <c r="E11" s="7" t="str">
        <f>VLOOKUP($A11,[8]HISTOMAI24!$A$6:$AV$47,8,0)</f>
        <v>BANQUE</v>
      </c>
      <c r="F11" s="7">
        <f>VLOOKUP($A11,[8]HISTOMAI24!$A$6:$AV$47,36,0)</f>
        <v>0</v>
      </c>
      <c r="G11" s="7">
        <f>VLOOKUP($A11,[8]HISTOMAI24!$A$6:$AV$47,39,0)</f>
        <v>0</v>
      </c>
      <c r="H11" s="7">
        <f>IF(G11=0,0,VLOOKUP($A11,[8]HISTOMAI24!$A$6:$AV$47,42,0))</f>
        <v>0</v>
      </c>
      <c r="I11" s="7">
        <f>VLOOKUP($A11,[8]HISTOMAI24!$A$6:$AV$47,41,0)</f>
        <v>0</v>
      </c>
      <c r="J11" s="7">
        <f>TONTAVRIL24!F11+TONTAVRIL24!G11</f>
        <v>0</v>
      </c>
      <c r="K11" s="7">
        <f>VLOOKUP($A11,[8]HISTOMAI24!$A$6:$AV$47,17,0)</f>
        <v>0</v>
      </c>
      <c r="L11" s="7" t="str">
        <f>IF(K11&lt;&gt;0,VLOOKUP($A11,[8]HISTOMAI24!$A$6:$BB$47,8,0),"ECHEC")</f>
        <v>ECHEC</v>
      </c>
      <c r="M11" s="7">
        <f>IF(P11=0,0,VLOOKUP($A11,[8]HISTOMAI24!$A$6:$AV$47,32,0))</f>
        <v>0</v>
      </c>
      <c r="N11" s="7">
        <f>VLOOKUP($A11,[8]HISTOMAI24!$A$6:$AV$47,33,0)</f>
        <v>0</v>
      </c>
      <c r="O11" s="7">
        <f t="shared" si="0"/>
        <v>0</v>
      </c>
      <c r="P11" s="7">
        <f>VLOOKUP($A11,[8]HISTOMAI24!$A$6:$AV$47,30,0)</f>
        <v>0</v>
      </c>
    </row>
    <row r="12" spans="1:16" x14ac:dyDescent="0.35">
      <c r="A12" s="1" t="s">
        <v>26</v>
      </c>
      <c r="B12" s="7">
        <f>IF(D12=0,0,VLOOKUP($A12,[8]HISTOMAI24!$A$6:$BB$47,12,0))</f>
        <v>1</v>
      </c>
      <c r="C12" s="1" t="str">
        <f>VLOOKUP(A12,[9]LISTADHERENT!A$5:H$60,3,0)</f>
        <v>HENGUE PAUL OMER</v>
      </c>
      <c r="D12" s="7">
        <f>IF(E12="ECHEC",0,VLOOKUP($A12,[8]HISTOMAI24!$A$6:$AR$47,13,0))</f>
        <v>75000</v>
      </c>
      <c r="E12" s="7" t="str">
        <f>VLOOKUP($A12,[8]HISTOMAI24!$A$6:$AV$47,8,0)</f>
        <v>BANQUE</v>
      </c>
      <c r="F12" s="7">
        <f>VLOOKUP($A12,[8]HISTOMAI24!$A$6:$AV$47,36,0)</f>
        <v>0</v>
      </c>
      <c r="G12" s="7">
        <f>VLOOKUP($A12,[8]HISTOMAI24!$A$6:$AV$47,39,0)</f>
        <v>0</v>
      </c>
      <c r="H12" s="7">
        <f>IF(G12=0,0,VLOOKUP($A12,[8]HISTOMAI24!$A$6:$AV$47,42,0))</f>
        <v>0</v>
      </c>
      <c r="I12" s="7">
        <f>VLOOKUP($A12,[8]HISTOMAI24!$A$6:$AV$47,41,0)</f>
        <v>0</v>
      </c>
      <c r="J12" s="7">
        <f>TONTAVRIL24!F12+TONTAVRIL24!G12</f>
        <v>0</v>
      </c>
      <c r="K12" s="7">
        <f>VLOOKUP($A12,[8]HISTOMAI24!$A$6:$AV$47,17,0)</f>
        <v>0</v>
      </c>
      <c r="L12" s="7" t="str">
        <f>IF(K12&lt;&gt;0,VLOOKUP($A12,[8]HISTOMAI24!$A$6:$BB$47,8,0),"ECHEC")</f>
        <v>ECHEC</v>
      </c>
      <c r="M12" s="7">
        <f>IF(P12=0,0,VLOOKUP($A12,[8]HISTOMAI24!$A$6:$AV$47,32,0))</f>
        <v>0</v>
      </c>
      <c r="N12" s="7">
        <f>VLOOKUP($A12,[8]HISTOMAI24!$A$6:$AV$47,33,0)</f>
        <v>0</v>
      </c>
      <c r="O12" s="7">
        <f t="shared" si="0"/>
        <v>0</v>
      </c>
      <c r="P12" s="7">
        <f>VLOOKUP($A12,[8]HISTOMAI24!$A$6:$AV$47,30,0)</f>
        <v>0</v>
      </c>
    </row>
    <row r="13" spans="1:16" x14ac:dyDescent="0.35">
      <c r="A13" s="1" t="s">
        <v>21</v>
      </c>
      <c r="B13" s="7">
        <f>IF(D13=0,0,VLOOKUP($A13,[8]HISTOMAI24!$A$6:$BB$47,12,0))</f>
        <v>1</v>
      </c>
      <c r="C13" s="1" t="str">
        <f>VLOOKUP(A13,[9]LISTADHERENT!A$5:H$60,3,0)</f>
        <v>MBOGNING TUGMA GUY</v>
      </c>
      <c r="D13" s="7">
        <f>IF(E13="ECHEC",0,VLOOKUP($A13,[8]HISTOMAI24!$A$6:$AR$47,13,0))</f>
        <v>75000</v>
      </c>
      <c r="E13" s="7" t="str">
        <f>VLOOKUP($A13,[8]HISTOMAI24!$A$6:$AV$47,8,0)</f>
        <v>BANQUE</v>
      </c>
      <c r="F13" s="7">
        <f>VLOOKUP($A13,[8]HISTOMAI24!$A$6:$AV$47,36,0)</f>
        <v>200000</v>
      </c>
      <c r="G13" s="7">
        <f>VLOOKUP($A13,[8]HISTOMAI24!$A$6:$AV$47,39,0)</f>
        <v>2000</v>
      </c>
      <c r="H13" s="7" t="str">
        <f>IF(G13=0,0,VLOOKUP($A13,[8]HISTOMAI24!$A$6:$AV$47,42,0))</f>
        <v>BANQUE</v>
      </c>
      <c r="I13" s="7">
        <f>VLOOKUP($A13,[8]HISTOMAI24!$A$6:$AV$47,41,0)</f>
        <v>0</v>
      </c>
      <c r="J13" s="7">
        <f>TONTAVRIL24!F13+TONTAVRIL24!G13</f>
        <v>101500</v>
      </c>
      <c r="K13" s="7">
        <f>VLOOKUP($A13,[8]HISTOMAI24!$A$6:$AV$47,17,0)</f>
        <v>101500</v>
      </c>
      <c r="L13" s="7" t="str">
        <f>IF(K13&lt;&gt;0,VLOOKUP($A13,[8]HISTOMAI24!$A$6:$BB$47,8,0),"ECHEC")</f>
        <v>BANQUE</v>
      </c>
      <c r="M13" s="7">
        <f>IF(P13=0,0,VLOOKUP($A13,[8]HISTOMAI24!$A$6:$AV$47,32,0))</f>
        <v>0</v>
      </c>
      <c r="N13" s="7">
        <f>VLOOKUP($A13,[8]HISTOMAI24!$A$6:$AV$47,33,0)</f>
        <v>0</v>
      </c>
      <c r="O13" s="7">
        <f t="shared" si="0"/>
        <v>0</v>
      </c>
      <c r="P13" s="7">
        <f>VLOOKUP($A13,[8]HISTOMAI24!$A$6:$AV$47,30,0)</f>
        <v>0</v>
      </c>
    </row>
    <row r="14" spans="1:16" x14ac:dyDescent="0.35">
      <c r="A14" s="1" t="s">
        <v>8</v>
      </c>
      <c r="B14" s="7">
        <f>IF(D14=0,0,VLOOKUP($A14,[8]HISTOMAI24!$A$6:$BB$47,12,0))</f>
        <v>1</v>
      </c>
      <c r="C14" s="1" t="str">
        <f>VLOOKUP(A14,[9]LISTADHERENT!A$5:H$60,3,0)</f>
        <v>NANKAM APPOLINAIRE</v>
      </c>
      <c r="D14" s="7">
        <f>IF(E14="ECHEC",0,VLOOKUP($A14,[8]HISTOMAI24!$A$6:$AR$47,13,0))</f>
        <v>75000</v>
      </c>
      <c r="E14" s="7" t="str">
        <f>VLOOKUP($A14,[8]HISTOMAI24!$A$6:$AV$47,8,0)</f>
        <v>BANQUE</v>
      </c>
      <c r="F14" s="7">
        <f>VLOOKUP($A14,[8]HISTOMAI24!$A$6:$AV$47,36,0)</f>
        <v>0</v>
      </c>
      <c r="G14" s="7">
        <f>VLOOKUP($A14,[8]HISTOMAI24!$A$6:$AV$47,39,0)</f>
        <v>0</v>
      </c>
      <c r="H14" s="7">
        <f>IF(G14=0,0,VLOOKUP($A14,[8]HISTOMAI24!$A$6:$AV$47,42,0))</f>
        <v>0</v>
      </c>
      <c r="I14" s="7">
        <f>VLOOKUP($A14,[8]HISTOMAI24!$A$6:$AV$47,41,0)</f>
        <v>0</v>
      </c>
      <c r="J14" s="7">
        <f>TONTAVRIL24!F14+TONTAVRIL24!G14</f>
        <v>0</v>
      </c>
      <c r="K14" s="7">
        <f>VLOOKUP($A14,[8]HISTOMAI24!$A$6:$AV$47,17,0)</f>
        <v>0</v>
      </c>
      <c r="L14" s="7" t="str">
        <f>IF(K14&lt;&gt;0,VLOOKUP($A14,[8]HISTOMAI24!$A$6:$BB$47,8,0),"ECHEC")</f>
        <v>ECHEC</v>
      </c>
      <c r="M14" s="7">
        <f>IF(P14=0,0,VLOOKUP($A14,[8]HISTOMAI24!$A$6:$AV$47,32,0))</f>
        <v>0</v>
      </c>
      <c r="N14" s="7">
        <f>VLOOKUP($A14,[8]HISTOMAI24!$A$6:$AV$47,33,0)</f>
        <v>0</v>
      </c>
      <c r="O14" s="7">
        <f t="shared" si="0"/>
        <v>0</v>
      </c>
      <c r="P14" s="7">
        <f>VLOOKUP($A14,[8]HISTOMAI24!$A$6:$AV$47,30,0)</f>
        <v>0</v>
      </c>
    </row>
    <row r="15" spans="1:16" x14ac:dyDescent="0.35">
      <c r="A15" s="1" t="s">
        <v>35</v>
      </c>
      <c r="B15" s="7">
        <f>IF(D15=0,0,VLOOKUP($A15,[8]HISTOMAI24!$A$6:$BB$47,12,0))</f>
        <v>1</v>
      </c>
      <c r="C15" s="1" t="str">
        <f>VLOOKUP(A15,[9]LISTADHERENT!A$5:H$60,3,0)</f>
        <v>NGONDIEP CLAUDE</v>
      </c>
      <c r="D15" s="7">
        <f>IF(E15="ECHEC",0,VLOOKUP($A15,[8]HISTOMAI24!$A$6:$AR$47,13,0))</f>
        <v>75000</v>
      </c>
      <c r="E15" s="7" t="str">
        <f>VLOOKUP($A15,[8]HISTOMAI24!$A$6:$AV$47,8,0)</f>
        <v>BANQUE</v>
      </c>
      <c r="F15" s="7">
        <f>VLOOKUP($A15,[8]HISTOMAI24!$A$6:$AV$47,36,0)</f>
        <v>0</v>
      </c>
      <c r="G15" s="7">
        <f>VLOOKUP($A15,[8]HISTOMAI24!$A$6:$AV$47,39,0)</f>
        <v>0</v>
      </c>
      <c r="H15" s="7">
        <f>IF(G15=0,0,VLOOKUP($A15,[8]HISTOMAI24!$A$6:$AV$47,42,0))</f>
        <v>0</v>
      </c>
      <c r="I15" s="7">
        <f>VLOOKUP($A15,[8]HISTOMAI24!$A$6:$AV$47,41,0)</f>
        <v>0</v>
      </c>
      <c r="J15" s="7">
        <f>TONTAVRIL24!F15+TONTAVRIL24!G15</f>
        <v>0</v>
      </c>
      <c r="K15" s="7">
        <f>VLOOKUP($A15,[8]HISTOMAI24!$A$6:$AV$47,17,0)</f>
        <v>0</v>
      </c>
      <c r="L15" s="7" t="str">
        <f>IF(K15&lt;&gt;0,VLOOKUP($A15,[8]HISTOMAI24!$A$6:$BB$47,8,0),"ECHEC")</f>
        <v>ECHEC</v>
      </c>
      <c r="M15" s="7">
        <f>IF(P15=0,0,VLOOKUP($A15,[8]HISTOMAI24!$A$6:$AV$47,32,0))</f>
        <v>0</v>
      </c>
      <c r="N15" s="7">
        <f>VLOOKUP($A15,[8]HISTOMAI24!$A$6:$AV$47,33,0)</f>
        <v>0</v>
      </c>
      <c r="O15" s="7">
        <f t="shared" si="0"/>
        <v>0</v>
      </c>
      <c r="P15" s="7">
        <f>VLOOKUP($A15,[8]HISTOMAI24!$A$6:$AV$47,30,0)</f>
        <v>0</v>
      </c>
    </row>
    <row r="16" spans="1:16" x14ac:dyDescent="0.35">
      <c r="A16" s="1" t="s">
        <v>20</v>
      </c>
      <c r="B16" s="7">
        <f>IF(D16=0,0,VLOOKUP($A16,[8]HISTOMAI24!$A$6:$BB$47,12,0))</f>
        <v>3</v>
      </c>
      <c r="C16" s="1" t="str">
        <f>VLOOKUP(A16,[9]LISTADHERENT!A$5:H$60,3,0)</f>
        <v>NGUIEMEGNI MATHIEU BLAISE</v>
      </c>
      <c r="D16" s="7">
        <f>IF(E16="ECHEC",0,VLOOKUP($A16,[8]HISTOMAI24!$A$6:$AR$47,13,0))</f>
        <v>225000</v>
      </c>
      <c r="E16" s="7" t="str">
        <f>VLOOKUP($A16,[8]HISTOMAI24!$A$6:$AV$47,8,0)</f>
        <v>BANQUE</v>
      </c>
      <c r="F16" s="7">
        <f>VLOOKUP($A16,[8]HISTOMAI24!$A$6:$AV$47,36,0)</f>
        <v>34000</v>
      </c>
      <c r="G16" s="7">
        <f>VLOOKUP($A16,[8]HISTOMAI24!$A$6:$AV$47,39,0)</f>
        <v>500</v>
      </c>
      <c r="H16" s="7" t="str">
        <f>IF(G16=0,0,VLOOKUP($A16,[8]HISTOMAI24!$A$6:$AV$47,42,0))</f>
        <v>BANQUE</v>
      </c>
      <c r="I16" s="7">
        <f>VLOOKUP($A16,[8]HISTOMAI24!$A$6:$AV$47,41,0)</f>
        <v>0</v>
      </c>
      <c r="J16" s="7">
        <f>TONTAVRIL24!F16+TONTAVRIL24!G16</f>
        <v>0</v>
      </c>
      <c r="K16" s="7">
        <f>VLOOKUP($A16,[8]HISTOMAI24!$A$6:$AV$47,17,0)</f>
        <v>0</v>
      </c>
      <c r="L16" s="7" t="str">
        <f>IF(K16&lt;&gt;0,VLOOKUP($A16,[8]HISTOMAI24!$A$6:$BB$47,8,0),"ECHEC")</f>
        <v>ECHEC</v>
      </c>
      <c r="M16" s="7" t="str">
        <f>IF(P16=0,0,VLOOKUP($A16,[8]HISTOMAI24!$A$6:$AV$47,32,0))</f>
        <v>BANQUE</v>
      </c>
      <c r="N16" s="7">
        <f>VLOOKUP($A16,[8]HISTOMAI24!$A$6:$AV$47,33,0)</f>
        <v>0</v>
      </c>
      <c r="O16" s="7">
        <f t="shared" si="0"/>
        <v>875000</v>
      </c>
      <c r="P16" s="7">
        <f>VLOOKUP($A16,[8]HISTOMAI24!$A$6:$AV$47,30,0)</f>
        <v>25000</v>
      </c>
    </row>
    <row r="17" spans="1:16" x14ac:dyDescent="0.35">
      <c r="A17" s="1" t="s">
        <v>27</v>
      </c>
      <c r="B17" s="7">
        <f>IF(D17=0,0,VLOOKUP($A17,[8]HISTOMAI24!$A$6:$BB$47,12,0))</f>
        <v>1</v>
      </c>
      <c r="C17" s="1" t="str">
        <f>VLOOKUP(A17,[9]LISTADHERENT!A$5:H$60,3,0)</f>
        <v>PATEGO NJOSSU GUSTAVE</v>
      </c>
      <c r="D17" s="7">
        <f>IF(E17="ECHEC",0,VLOOKUP($A17,[8]HISTOMAI24!$A$6:$AR$47,13,0))</f>
        <v>75000</v>
      </c>
      <c r="E17" s="7" t="str">
        <f>VLOOKUP($A17,[8]HISTOMAI24!$A$6:$AV$47,8,0)</f>
        <v>BANQUE</v>
      </c>
      <c r="F17" s="7">
        <f>VLOOKUP($A17,[8]HISTOMAI24!$A$6:$AV$47,36,0)</f>
        <v>0</v>
      </c>
      <c r="G17" s="7">
        <f>VLOOKUP($A17,[8]HISTOMAI24!$A$6:$AV$47,39,0)</f>
        <v>0</v>
      </c>
      <c r="H17" s="7">
        <f>IF(G17=0,0,VLOOKUP($A17,[8]HISTOMAI24!$A$6:$AV$47,42,0))</f>
        <v>0</v>
      </c>
      <c r="I17" s="7">
        <f>VLOOKUP($A17,[8]HISTOMAI24!$A$6:$AV$47,41,0)</f>
        <v>0</v>
      </c>
      <c r="J17" s="7">
        <f>TONTAVRIL24!F17+TONTAVRIL24!G17</f>
        <v>0</v>
      </c>
      <c r="K17" s="7">
        <f>VLOOKUP($A17,[8]HISTOMAI24!$A$6:$AV$47,17,0)</f>
        <v>0</v>
      </c>
      <c r="L17" s="7" t="str">
        <f>IF(K17&lt;&gt;0,VLOOKUP($A17,[8]HISTOMAI24!$A$6:$BB$47,8,0),"ECHEC")</f>
        <v>ECHEC</v>
      </c>
      <c r="M17" s="7">
        <f>IF(P17=0,0,VLOOKUP($A17,[8]HISTOMAI24!$A$6:$AV$47,32,0))</f>
        <v>0</v>
      </c>
      <c r="N17" s="7">
        <f>VLOOKUP($A17,[8]HISTOMAI24!$A$6:$AV$47,33,0)</f>
        <v>0</v>
      </c>
      <c r="O17" s="7">
        <f t="shared" si="0"/>
        <v>0</v>
      </c>
      <c r="P17" s="7">
        <f>VLOOKUP($A17,[8]HISTOMAI24!$A$6:$AV$47,30,0)</f>
        <v>0</v>
      </c>
    </row>
    <row r="18" spans="1:16" x14ac:dyDescent="0.35">
      <c r="A18" s="9" t="s">
        <v>48</v>
      </c>
      <c r="B18" s="7">
        <f>IF(D18=0,0,VLOOKUP($A18,[8]HISTOMAI24!$A$6:$BB$47,12,0))</f>
        <v>1</v>
      </c>
      <c r="C18" s="1" t="str">
        <f>VLOOKUP(A18,[9]LISTADHERENT!A$5:H$60,3,0)</f>
        <v>TCHOUAMOU MATHIEU</v>
      </c>
      <c r="D18" s="7">
        <f>IF(E18="ECHEC",0,VLOOKUP($A18,[8]HISTOMAI24!$A$6:$AR$47,13,0))</f>
        <v>75000</v>
      </c>
      <c r="E18" s="7" t="str">
        <f>VLOOKUP($A18,[8]HISTOMAI24!$A$6:$AV$47,8,0)</f>
        <v>BANQUE</v>
      </c>
      <c r="F18" s="7">
        <f>VLOOKUP($A18,[8]HISTOMAI24!$A$6:$AV$47,36,0)</f>
        <v>200000</v>
      </c>
      <c r="G18" s="7">
        <f>VLOOKUP($A18,[8]HISTOMAI24!$A$6:$AV$47,39,0)</f>
        <v>2000</v>
      </c>
      <c r="H18" s="7" t="str">
        <f>IF(G18=0,0,VLOOKUP($A18,[8]HISTOMAI24!$A$6:$AV$47,42,0))</f>
        <v>BANQUE</v>
      </c>
      <c r="I18" s="7">
        <f>VLOOKUP($A18,[8]HISTOMAI24!$A$6:$AV$47,41,0)</f>
        <v>0</v>
      </c>
      <c r="J18" s="7">
        <f>TONTAVRIL24!F18+TONTAVRIL24!G18</f>
        <v>101000</v>
      </c>
      <c r="K18" s="7">
        <f>VLOOKUP($A18,[8]HISTOMAI24!$A$6:$AV$47,17,0)</f>
        <v>101000</v>
      </c>
      <c r="L18" s="7" t="str">
        <f>IF(K18&lt;&gt;0,VLOOKUP($A18,[8]HISTOMAI24!$A$6:$BB$47,8,0),"ECHEC")</f>
        <v>BANQUE</v>
      </c>
      <c r="M18" s="7">
        <f>IF(P18=0,0,VLOOKUP($A18,[8]HISTOMAI24!$A$6:$AV$47,32,0))</f>
        <v>0</v>
      </c>
      <c r="N18" s="7">
        <f>VLOOKUP($A18,[8]HISTOMAI24!$A$6:$AV$47,33,0)</f>
        <v>0</v>
      </c>
      <c r="O18" s="7">
        <f t="shared" si="0"/>
        <v>0</v>
      </c>
      <c r="P18" s="7">
        <f>VLOOKUP($A18,[8]HISTOMAI24!$A$6:$AV$47,30,0)</f>
        <v>0</v>
      </c>
    </row>
    <row r="19" spans="1:16" x14ac:dyDescent="0.35">
      <c r="A19" s="1" t="s">
        <v>19</v>
      </c>
      <c r="B19" s="7">
        <f>IF(D19=0,0,VLOOKUP($A19,[8]HISTOMAI24!$A$6:$BB$47,12,0))</f>
        <v>1</v>
      </c>
      <c r="C19" s="1" t="str">
        <f>VLOOKUP(A19,[9]LISTADHERENT!A$5:H$60,3,0)</f>
        <v>YOUMBI EMMANUEL</v>
      </c>
      <c r="D19" s="7">
        <f>IF(E19="ECHEC",0,VLOOKUP($A19,[8]HISTOMAI24!$A$6:$AR$47,13,0))</f>
        <v>75000</v>
      </c>
      <c r="E19" s="7" t="str">
        <f>VLOOKUP($A19,[8]HISTOMAI24!$A$6:$AV$47,8,0)</f>
        <v>BANQUE</v>
      </c>
      <c r="F19" s="7">
        <f>VLOOKUP($A19,[8]HISTOMAI24!$A$6:$AV$47,36,0)</f>
        <v>0</v>
      </c>
      <c r="G19" s="7">
        <f>VLOOKUP($A19,[8]HISTOMAI24!$A$6:$AV$47,39,0)</f>
        <v>0</v>
      </c>
      <c r="H19" s="7">
        <f>IF(G19=0,0,VLOOKUP($A19,[8]HISTOMAI24!$A$6:$AV$47,42,0))</f>
        <v>0</v>
      </c>
      <c r="I19" s="7">
        <f>VLOOKUP($A19,[8]HISTOMAI24!$A$6:$AV$47,41,0)</f>
        <v>0</v>
      </c>
      <c r="J19" s="7">
        <f>TONTAVRIL24!F19+TONTAVRIL24!G19</f>
        <v>0</v>
      </c>
      <c r="K19" s="7">
        <f>VLOOKUP($A19,[8]HISTOMAI24!$A$6:$AV$47,17,0)</f>
        <v>0</v>
      </c>
      <c r="L19" s="7" t="str">
        <f>IF(K19&lt;&gt;0,VLOOKUP($A19,[8]HISTOMAI24!$A$6:$BB$47,8,0),"ECHEC")</f>
        <v>ECHEC</v>
      </c>
      <c r="M19" s="7">
        <f>IF(P19=0,0,VLOOKUP($A19,[8]HISTOMAI24!$A$6:$AV$47,32,0))</f>
        <v>0</v>
      </c>
      <c r="N19" s="7">
        <f>VLOOKUP($A19,[8]HISTOMAI24!$A$6:$AV$47,33,0)</f>
        <v>0</v>
      </c>
      <c r="O19" s="7">
        <f t="shared" si="0"/>
        <v>0</v>
      </c>
      <c r="P19" s="7">
        <f>VLOOKUP($A19,[8]HISTOMAI24!$A$6:$AV$47,30,0)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684000</v>
      </c>
      <c r="G22" s="8">
        <f t="shared" si="1"/>
        <v>7500</v>
      </c>
      <c r="H22" s="8">
        <f t="shared" si="1"/>
        <v>0</v>
      </c>
      <c r="I22" s="8">
        <f t="shared" si="1"/>
        <v>0</v>
      </c>
      <c r="J22" s="8">
        <f t="shared" si="1"/>
        <v>509500</v>
      </c>
      <c r="K22" s="8">
        <f t="shared" si="1"/>
        <v>509500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875000</v>
      </c>
      <c r="P22" s="8">
        <f t="shared" si="1"/>
        <v>25000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D22+E28+P22+TONTAVRIL24!M29</f>
        <v>1734500</v>
      </c>
      <c r="L24" s="5"/>
      <c r="N24" s="5"/>
    </row>
    <row r="25" spans="1:16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900000</v>
      </c>
      <c r="L25" s="8">
        <f>D3</f>
        <v>0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SUMIFS(K7:K18,L7:L18,"BANQUE")</f>
        <v>509500</v>
      </c>
      <c r="F26" s="8">
        <f>SUMIFS(F7:F21,H7:H21,"BANQUE")</f>
        <v>584000</v>
      </c>
      <c r="G26" s="8">
        <f>SUMIFS(O7:O21,M7:M21,"BANQUE")</f>
        <v>875000</v>
      </c>
      <c r="H26" s="8">
        <f>D26+E26-F26-G26</f>
        <v>250500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834500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509500</v>
      </c>
      <c r="F28" s="8">
        <f>F25+F26</f>
        <v>584000</v>
      </c>
      <c r="G28" s="8">
        <f t="shared" ref="G28:H28" si="2">G25+G26</f>
        <v>875000</v>
      </c>
      <c r="H28" s="8">
        <f t="shared" si="2"/>
        <v>250500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150500</v>
      </c>
      <c r="L29"/>
      <c r="M29" s="8">
        <f>K29</f>
        <v>150500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5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4"/>
  <sheetViews>
    <sheetView zoomScale="87" zoomScaleNormal="87"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K34" sqref="K34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7.5" x14ac:dyDescent="0.35">
      <c r="B4" s="13"/>
      <c r="C4" s="24">
        <v>45456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IF(D6=0,0,VLOOKUP($A6,[8]HISTOJUIN24!$A$6:$BB$47,12,0))</f>
        <v>1</v>
      </c>
      <c r="C6" s="1" t="str">
        <f>VLOOKUP(A6,[9]LISTADHERENT!A$5:H$60,3,0)</f>
        <v>ASELBY</v>
      </c>
      <c r="D6" s="7">
        <f>IF(E6="ECHEC",0,VLOOKUP($A6,[8]HISTOJUIN24!$A$6:$AR$47,13,0))</f>
        <v>75000</v>
      </c>
      <c r="E6" s="7" t="str">
        <f>VLOOKUP($A6,[8]HISTOJUIN24!$A$6:$AV$47,8,0)</f>
        <v>BANQUE</v>
      </c>
      <c r="F6" s="7">
        <f>VLOOKUP($A6,[8]HISTOJUIN24!$A$6:$AV$47,36,0)</f>
        <v>0</v>
      </c>
      <c r="G6" s="7">
        <f>VLOOKUP($A6,[8]HISTOJUIN24!$A$6:$AV$47,39,0)</f>
        <v>0</v>
      </c>
      <c r="H6" s="7">
        <f>IF(G6=0,0,VLOOKUP($A6,[8]HISTOJUIN24!$A$6:$AV$47,42,0))</f>
        <v>0</v>
      </c>
      <c r="I6" s="7">
        <f>VLOOKUP($A6,[8]HISTOJUIN24!$A$6:$AV$47,41,0)</f>
        <v>0</v>
      </c>
      <c r="J6" s="7">
        <f>TONTMAI24!F6+TONTMAI24!G6</f>
        <v>0</v>
      </c>
      <c r="K6" s="7">
        <f>VLOOKUP($A6,[8]HISTOJUIN24!$A$6:$AV$47,17,0)</f>
        <v>0</v>
      </c>
      <c r="L6" s="7" t="str">
        <f>IF(K6&lt;&gt;0,VLOOKUP($A6,[8]HISTOJUIN24!$A$6:$BB$47,8,0),"ECHEC")</f>
        <v>ECHEC</v>
      </c>
      <c r="M6" s="7">
        <f>IF(P6=0,0,VLOOKUP($A6,[8]HISTOJUIN24!$A$6:$AV$47,32,0))</f>
        <v>0</v>
      </c>
      <c r="N6" s="7">
        <f>VLOOKUP($A6,[8]HISTOJUIN24!$A$6:$AV$47,33,0)</f>
        <v>0</v>
      </c>
      <c r="O6" s="7">
        <f t="shared" ref="O6:O19" si="0">IF(P6=0,0,($C$3-P6))</f>
        <v>0</v>
      </c>
      <c r="P6" s="7">
        <f>VLOOKUP($A6,[8]HISTOJUIN24!$A$6:$AV$47,30,0)</f>
        <v>0</v>
      </c>
    </row>
    <row r="7" spans="1:16" x14ac:dyDescent="0.35">
      <c r="A7" s="1" t="s">
        <v>24</v>
      </c>
      <c r="B7" s="7">
        <f>IF(D7=0,0,VLOOKUP($A7,[8]HISTOJUIN24!$A$6:$BB$47,12,0))</f>
        <v>1</v>
      </c>
      <c r="C7" s="1" t="str">
        <f>VLOOKUP(A7,[9]LISTADHERENT!A$5:H$60,3,0)</f>
        <v>BOUTCHOUANG WILLIAM</v>
      </c>
      <c r="D7" s="7">
        <f>IF(E7="ECHEC",0,VLOOKUP($A7,[8]HISTOJUIN24!$A$6:$AR$47,13,0))</f>
        <v>75000</v>
      </c>
      <c r="E7" s="7" t="str">
        <f>VLOOKUP($A7,[8]HISTOJUIN24!$A$6:$AV$47,8,0)</f>
        <v>BANQUE</v>
      </c>
      <c r="F7" s="7">
        <f>VLOOKUP($A7,[8]HISTOJUIN24!$A$6:$AV$47,36,0)</f>
        <v>0</v>
      </c>
      <c r="G7" s="7">
        <f>VLOOKUP($A7,[8]HISTOJUIN24!$A$6:$AV$47,39,0)</f>
        <v>0</v>
      </c>
      <c r="H7" s="7">
        <f>IF(G7=0,0,VLOOKUP($A7,[8]HISTOJUIN24!$A$6:$AV$47,42,0))</f>
        <v>0</v>
      </c>
      <c r="I7" s="7">
        <f>VLOOKUP($A7,[8]HISTOJUIN24!$A$6:$AV$47,41,0)</f>
        <v>0</v>
      </c>
      <c r="J7" s="7">
        <f>TONTMAI24!F7+TONTMAI24!G7</f>
        <v>0</v>
      </c>
      <c r="K7" s="7">
        <f>VLOOKUP($A7,[8]HISTOJUIN24!$A$6:$AV$47,17,0)</f>
        <v>0</v>
      </c>
      <c r="L7" s="7" t="str">
        <f>IF(K7&lt;&gt;0,VLOOKUP($A7,[8]HISTOJUIN24!$A$6:$BB$47,8,0),"ECHEC")</f>
        <v>ECHEC</v>
      </c>
      <c r="M7" s="7">
        <f>IF(P7=0,0,VLOOKUP($A7,[8]HISTOJUIN24!$A$6:$AV$47,32,0))</f>
        <v>0</v>
      </c>
      <c r="N7" s="7">
        <f>VLOOKUP($A7,[8]HISTOJUIN24!$A$6:$AV$47,33,0)</f>
        <v>0</v>
      </c>
      <c r="O7" s="7">
        <f t="shared" si="0"/>
        <v>0</v>
      </c>
      <c r="P7" s="7">
        <f>VLOOKUP($A7,[8]HISTOJUIN24!$A$6:$AV$47,30,0)</f>
        <v>0</v>
      </c>
    </row>
    <row r="8" spans="1:16" x14ac:dyDescent="0.35">
      <c r="A8" s="1" t="s">
        <v>49</v>
      </c>
      <c r="B8" s="7">
        <f>IF(D8=0,0,VLOOKUP($A8,[8]HISTOJUIN24!$A$6:$BB$47,12,0))</f>
        <v>1</v>
      </c>
      <c r="C8" s="1" t="str">
        <f>VLOOKUP(A8,[9]LISTADHERENT!A$5:H$60,3,0)</f>
        <v>DJOMOU TCHAPDA</v>
      </c>
      <c r="D8" s="7">
        <f>IF(E8="ECHEC",0,VLOOKUP($A8,[8]HISTOJUIN24!$A$6:$AR$47,13,0))</f>
        <v>75000</v>
      </c>
      <c r="E8" s="7" t="str">
        <f>VLOOKUP($A8,[8]HISTOJUIN24!$A$6:$AV$47,8,0)</f>
        <v>ESPECES</v>
      </c>
      <c r="F8" s="7">
        <f>VLOOKUP($A8,[8]HISTOJUIN24!$A$6:$AV$47,36,0)</f>
        <v>0</v>
      </c>
      <c r="G8" s="7">
        <f>VLOOKUP($A8,[8]HISTOJUIN24!$A$6:$AV$47,39,0)</f>
        <v>0</v>
      </c>
      <c r="H8" s="7">
        <f>IF(G8=0,0,VLOOKUP($A8,[8]HISTOJUIN24!$A$6:$AV$47,42,0))</f>
        <v>0</v>
      </c>
      <c r="I8" s="7">
        <f>VLOOKUP($A8,[8]HISTOJUIN24!$A$6:$AV$47,41,0)</f>
        <v>0</v>
      </c>
      <c r="J8" s="7">
        <f>TONTMAI24!F8+TONTMAI24!G8</f>
        <v>0</v>
      </c>
      <c r="K8" s="7">
        <f>VLOOKUP($A8,[8]HISTOJUIN24!$A$6:$AV$47,17,0)</f>
        <v>0</v>
      </c>
      <c r="L8" s="7" t="str">
        <f>IF(K8&lt;&gt;0,VLOOKUP($A8,[8]HISTOJUIN24!$A$6:$BB$47,8,0),"ECHEC")</f>
        <v>ECHEC</v>
      </c>
      <c r="M8" s="7">
        <f>IF(P8=0,0,VLOOKUP($A8,[8]HISTOJUIN24!$A$6:$AV$47,32,0))</f>
        <v>0</v>
      </c>
      <c r="N8" s="7">
        <f>VLOOKUP($A8,[8]HISTOJUIN24!$A$6:$AV$47,33,0)</f>
        <v>0</v>
      </c>
      <c r="O8" s="7">
        <f t="shared" si="0"/>
        <v>0</v>
      </c>
      <c r="P8" s="7">
        <f>VLOOKUP($A8,[8]HISTOJUIN24!$A$6:$AV$47,30,0)</f>
        <v>0</v>
      </c>
    </row>
    <row r="9" spans="1:16" x14ac:dyDescent="0.35">
      <c r="A9" s="1" t="s">
        <v>25</v>
      </c>
      <c r="B9" s="7">
        <f>IF(D9=0,0,VLOOKUP($A9,[8]HISTOJUIN24!$A$6:$BB$47,12,0))</f>
        <v>1</v>
      </c>
      <c r="C9" s="1" t="str">
        <f>VLOOKUP(A9,[9]LISTADHERENT!A$5:H$60,3,0)</f>
        <v>DJOUKWE NANGUEN GUY BLAISE</v>
      </c>
      <c r="D9" s="7">
        <f>IF(E9="ECHEC",0,VLOOKUP($A9,[8]HISTOJUIN24!$A$6:$AR$47,13,0))</f>
        <v>75000</v>
      </c>
      <c r="E9" s="7" t="str">
        <f>VLOOKUP($A9,[8]HISTOJUIN24!$A$6:$AV$47,8,0)</f>
        <v>BANQUE</v>
      </c>
      <c r="F9" s="7">
        <f>VLOOKUP($A9,[8]HISTOJUIN24!$A$6:$AV$47,36,0)</f>
        <v>56500</v>
      </c>
      <c r="G9" s="7">
        <f>VLOOKUP($A9,[8]HISTOJUIN24!$A$6:$AV$47,39,0)</f>
        <v>1000</v>
      </c>
      <c r="H9" s="7" t="str">
        <f>IF(G9=0,0,VLOOKUP($A9,[8]HISTOJUIN24!$A$6:$AV$47,42,0))</f>
        <v>BANQUE</v>
      </c>
      <c r="I9" s="7">
        <f>VLOOKUP($A9,[8]HISTOJUIN24!$A$6:$AV$47,41,0)</f>
        <v>0</v>
      </c>
      <c r="J9" s="7">
        <f>TONTMAI24!F9+TONTMAI24!G9</f>
        <v>152000</v>
      </c>
      <c r="K9" s="7">
        <f>VLOOKUP($A9,[8]HISTOJUIN24!$A$6:$AV$47,17,0)</f>
        <v>152000</v>
      </c>
      <c r="L9" s="7" t="str">
        <f>IF(K9&lt;&gt;0,VLOOKUP($A9,[8]HISTOJUIN24!$A$6:$BB$47,8,0),"ECHEC")</f>
        <v>BANQUE</v>
      </c>
      <c r="M9" s="7">
        <f>IF(P9=0,0,VLOOKUP($A9,[8]HISTOJUIN24!$A$6:$AV$47,32,0))</f>
        <v>0</v>
      </c>
      <c r="N9" s="7">
        <f>VLOOKUP($A9,[8]HISTOJUIN24!$A$6:$AV$47,33,0)</f>
        <v>0</v>
      </c>
      <c r="O9" s="7">
        <f t="shared" si="0"/>
        <v>0</v>
      </c>
      <c r="P9" s="7">
        <f>VLOOKUP($A9,[8]HISTOJUIN24!$A$6:$AV$47,30,0)</f>
        <v>0</v>
      </c>
    </row>
    <row r="10" spans="1:16" x14ac:dyDescent="0.35">
      <c r="A10" s="1" t="s">
        <v>34</v>
      </c>
      <c r="B10" s="7">
        <f>IF(D10=0,0,VLOOKUP($A10,[8]HISTOJUIN24!$A$6:$BB$47,12,0))</f>
        <v>1</v>
      </c>
      <c r="C10" s="1" t="str">
        <f>VLOOKUP(A10,[9]LISTADHERENT!A$5:H$60,3,0)</f>
        <v>DJUOMBESSY ANTOINE</v>
      </c>
      <c r="D10" s="7">
        <f>IF(E10="ECHEC",0,VLOOKUP($A10,[8]HISTOJUIN24!$A$6:$AR$47,13,0))</f>
        <v>75000</v>
      </c>
      <c r="E10" s="7" t="str">
        <f>VLOOKUP($A10,[8]HISTOJUIN24!$A$6:$AV$47,8,0)</f>
        <v>BANQUE</v>
      </c>
      <c r="F10" s="7">
        <f>VLOOKUP($A10,[8]HISTOJUIN24!$A$6:$AV$47,36,0)</f>
        <v>0</v>
      </c>
      <c r="G10" s="7">
        <f>VLOOKUP($A10,[8]HISTOJUIN24!$A$6:$AV$47,39,0)</f>
        <v>0</v>
      </c>
      <c r="H10" s="7">
        <f>IF(G10=0,0,VLOOKUP($A10,[8]HISTOJUIN24!$A$6:$AV$47,42,0))</f>
        <v>0</v>
      </c>
      <c r="I10" s="7">
        <f>VLOOKUP($A10,[8]HISTOJUIN24!$A$6:$AV$47,41,0)</f>
        <v>0</v>
      </c>
      <c r="J10" s="7">
        <f>TONTMAI24!F10+TONTMAI24!G10</f>
        <v>101000</v>
      </c>
      <c r="K10" s="7">
        <f>VLOOKUP($A10,[8]HISTOJUIN24!$A$6:$AV$47,17,0)</f>
        <v>101000</v>
      </c>
      <c r="L10" s="7" t="str">
        <f>IF(K10&lt;&gt;0,VLOOKUP($A10,[8]HISTOJUIN24!$A$6:$BB$47,8,0),"ECHEC")</f>
        <v>BANQUE</v>
      </c>
      <c r="M10" s="7">
        <f>IF(P10=0,0,VLOOKUP($A10,[8]HISTOJUIN24!$A$6:$AV$47,32,0))</f>
        <v>0</v>
      </c>
      <c r="N10" s="7">
        <f>VLOOKUP($A10,[8]HISTOJUIN24!$A$6:$AV$47,33,0)</f>
        <v>0</v>
      </c>
      <c r="O10" s="7">
        <f t="shared" si="0"/>
        <v>0</v>
      </c>
      <c r="P10" s="7">
        <f>VLOOKUP($A10,[8]HISTOJUIN24!$A$6:$AV$47,30,0)</f>
        <v>0</v>
      </c>
    </row>
    <row r="11" spans="1:16" x14ac:dyDescent="0.35">
      <c r="A11" s="1" t="s">
        <v>18</v>
      </c>
      <c r="B11" s="7">
        <f>IF(D11=0,0,VLOOKUP($A11,[8]HISTOJUIN24!$A$6:$BB$47,12,0))</f>
        <v>1</v>
      </c>
      <c r="C11" s="1" t="str">
        <f>VLOOKUP(A11,[9]LISTADHERENT!A$5:H$60,3,0)</f>
        <v>HOTCHO BENJAMIN</v>
      </c>
      <c r="D11" s="7">
        <f>IF(E11="ECHEC",0,VLOOKUP($A11,[8]HISTOJUIN24!$A$6:$AR$47,13,0))</f>
        <v>75000</v>
      </c>
      <c r="E11" s="7" t="str">
        <f>VLOOKUP($A11,[8]HISTOJUIN24!$A$6:$AV$47,8,0)</f>
        <v>BANQUE</v>
      </c>
      <c r="F11" s="7">
        <f>VLOOKUP($A11,[8]HISTOJUIN24!$A$6:$AV$47,36,0)</f>
        <v>0</v>
      </c>
      <c r="G11" s="7">
        <f>VLOOKUP($A11,[8]HISTOJUIN24!$A$6:$AV$47,39,0)</f>
        <v>0</v>
      </c>
      <c r="H11" s="7">
        <f>IF(G11=0,0,VLOOKUP($A11,[8]HISTOJUIN24!$A$6:$AV$47,42,0))</f>
        <v>0</v>
      </c>
      <c r="I11" s="7">
        <f>VLOOKUP($A11,[8]HISTOJUIN24!$A$6:$AV$47,41,0)</f>
        <v>0</v>
      </c>
      <c r="J11" s="7">
        <f>TONTMAI24!F11+TONTMAI24!G11</f>
        <v>0</v>
      </c>
      <c r="K11" s="7">
        <f>VLOOKUP($A11,[8]HISTOJUIN24!$A$6:$AV$47,17,0)</f>
        <v>0</v>
      </c>
      <c r="L11" s="7" t="str">
        <f>IF(K11&lt;&gt;0,VLOOKUP($A11,[8]HISTOJUIN24!$A$6:$BB$47,8,0),"ECHEC")</f>
        <v>ECHEC</v>
      </c>
      <c r="M11" s="7" t="str">
        <f>IF(P11=0,0,VLOOKUP($A11,[8]HISTOJUIN24!$A$6:$AV$47,32,0))</f>
        <v>BANQUE</v>
      </c>
      <c r="N11" s="7">
        <f>VLOOKUP($A11,[8]HISTOJUIN24!$A$6:$AV$47,33,0)</f>
        <v>0</v>
      </c>
      <c r="O11" s="7">
        <f t="shared" si="0"/>
        <v>892500</v>
      </c>
      <c r="P11" s="7">
        <f>VLOOKUP($A11,[8]HISTOJUIN24!$A$6:$AV$47,30,0)</f>
        <v>7500</v>
      </c>
    </row>
    <row r="12" spans="1:16" x14ac:dyDescent="0.35">
      <c r="A12" s="1" t="s">
        <v>26</v>
      </c>
      <c r="B12" s="7">
        <f>IF(D12=0,0,VLOOKUP($A12,[8]HISTOJUIN24!$A$6:$BB$47,12,0))</f>
        <v>1</v>
      </c>
      <c r="C12" s="1" t="str">
        <f>VLOOKUP(A12,[9]LISTADHERENT!A$5:H$60,3,0)</f>
        <v>HENGUE PAUL OMER</v>
      </c>
      <c r="D12" s="7">
        <f>IF(E12="ECHEC",0,VLOOKUP($A12,[8]HISTOJUIN24!$A$6:$AR$47,13,0))</f>
        <v>75000</v>
      </c>
      <c r="E12" s="7" t="str">
        <f>VLOOKUP($A12,[8]HISTOJUIN24!$A$6:$AV$47,8,0)</f>
        <v>BANQUE</v>
      </c>
      <c r="F12" s="7">
        <f>VLOOKUP($A12,[8]HISTOJUIN24!$A$6:$AV$47,36,0)</f>
        <v>0</v>
      </c>
      <c r="G12" s="7">
        <f>VLOOKUP($A12,[8]HISTOJUIN24!$A$6:$AV$47,39,0)</f>
        <v>0</v>
      </c>
      <c r="H12" s="7">
        <f>IF(G12=0,0,VLOOKUP($A12,[8]HISTOJUIN24!$A$6:$AV$47,42,0))</f>
        <v>0</v>
      </c>
      <c r="I12" s="7">
        <f>VLOOKUP($A12,[8]HISTOJUIN24!$A$6:$AV$47,41,0)</f>
        <v>0</v>
      </c>
      <c r="J12" s="7">
        <f>TONTMAI24!F12+TONTMAI24!G12</f>
        <v>0</v>
      </c>
      <c r="K12" s="7">
        <f>VLOOKUP($A12,[8]HISTOJUIN24!$A$6:$AV$47,17,0)</f>
        <v>0</v>
      </c>
      <c r="L12" s="7" t="str">
        <f>IF(K12&lt;&gt;0,VLOOKUP($A12,[8]HISTOJUIN24!$A$6:$BB$47,8,0),"ECHEC")</f>
        <v>ECHEC</v>
      </c>
      <c r="M12" s="7" t="str">
        <f>IF(P12=0,0,VLOOKUP($A12,[8]HISTOJUIN24!$A$6:$AV$47,32,0))</f>
        <v>BANQUE</v>
      </c>
      <c r="N12" s="7">
        <f>VLOOKUP($A12,[8]HISTOJUIN24!$A$6:$AV$47,33,0)</f>
        <v>0</v>
      </c>
      <c r="O12" s="7">
        <f t="shared" si="0"/>
        <v>892500</v>
      </c>
      <c r="P12" s="7">
        <f>VLOOKUP($A12,[8]HISTOJUIN24!$A$6:$AV$47,30,0)</f>
        <v>7500</v>
      </c>
    </row>
    <row r="13" spans="1:16" x14ac:dyDescent="0.35">
      <c r="A13" s="1" t="s">
        <v>21</v>
      </c>
      <c r="B13" s="7">
        <f>IF(D13=0,0,VLOOKUP($A13,[8]HISTOJUIN24!$A$6:$BB$47,12,0))</f>
        <v>1</v>
      </c>
      <c r="C13" s="1" t="str">
        <f>VLOOKUP(A13,[9]LISTADHERENT!A$5:H$60,3,0)</f>
        <v>MBOGNING TUGMA GUY</v>
      </c>
      <c r="D13" s="7">
        <f>IF(E13="ECHEC",0,VLOOKUP($A13,[8]HISTOJUIN24!$A$6:$AR$47,13,0))</f>
        <v>75000</v>
      </c>
      <c r="E13" s="7" t="str">
        <f>VLOOKUP($A13,[8]HISTOJUIN24!$A$6:$AV$47,8,0)</f>
        <v>BANQUE</v>
      </c>
      <c r="F13" s="7">
        <f>VLOOKUP($A13,[8]HISTOJUIN24!$A$6:$AV$47,36,0)</f>
        <v>100000</v>
      </c>
      <c r="G13" s="7">
        <f>VLOOKUP($A13,[8]HISTOJUIN24!$A$6:$AV$47,39,0)</f>
        <v>2000</v>
      </c>
      <c r="H13" s="7" t="str">
        <f>IF(G13=0,0,VLOOKUP($A13,[8]HISTOJUIN24!$A$6:$AV$47,42,0))</f>
        <v>BANQUE</v>
      </c>
      <c r="I13" s="7">
        <f>VLOOKUP($A13,[8]HISTOJUIN24!$A$6:$AV$47,41,0)</f>
        <v>0</v>
      </c>
      <c r="J13" s="7">
        <f>TONTMAI24!F13+TONTMAI24!G13</f>
        <v>202000</v>
      </c>
      <c r="K13" s="7">
        <f>VLOOKUP($A13,[8]HISTOJUIN24!$A$6:$AV$47,17,0)</f>
        <v>202000</v>
      </c>
      <c r="L13" s="7" t="str">
        <f>IF(K13&lt;&gt;0,VLOOKUP($A13,[8]HISTOJUIN24!$A$6:$BB$47,8,0),"ECHEC")</f>
        <v>BANQUE</v>
      </c>
      <c r="M13" s="7">
        <f>IF(P13=0,0,VLOOKUP($A13,[8]HISTOJUIN24!$A$6:$AV$47,32,0))</f>
        <v>0</v>
      </c>
      <c r="N13" s="7">
        <f>VLOOKUP($A13,[8]HISTOJUIN24!$A$6:$AV$47,33,0)</f>
        <v>0</v>
      </c>
      <c r="O13" s="7">
        <f t="shared" si="0"/>
        <v>0</v>
      </c>
      <c r="P13" s="7">
        <f>VLOOKUP($A13,[8]HISTOJUIN24!$A$6:$AV$47,30,0)</f>
        <v>0</v>
      </c>
    </row>
    <row r="14" spans="1:16" x14ac:dyDescent="0.35">
      <c r="A14" s="1" t="s">
        <v>8</v>
      </c>
      <c r="B14" s="7">
        <f>IF(D14=0,0,VLOOKUP($A14,[8]HISTOJUIN24!$A$6:$BB$47,12,0))</f>
        <v>1</v>
      </c>
      <c r="C14" s="1" t="str">
        <f>VLOOKUP(A14,[9]LISTADHERENT!A$5:H$60,3,0)</f>
        <v>NANKAM APPOLINAIRE</v>
      </c>
      <c r="D14" s="7">
        <f>IF(E14="ECHEC",0,VLOOKUP($A14,[8]HISTOJUIN24!$A$6:$AR$47,13,0))</f>
        <v>75000</v>
      </c>
      <c r="E14" s="7" t="str">
        <f>VLOOKUP($A14,[8]HISTOJUIN24!$A$6:$AV$47,8,0)</f>
        <v>ESPECES</v>
      </c>
      <c r="F14" s="7">
        <f>VLOOKUP($A14,[8]HISTOJUIN24!$A$6:$AV$47,36,0)</f>
        <v>0</v>
      </c>
      <c r="G14" s="7">
        <f>VLOOKUP($A14,[8]HISTOJUIN24!$A$6:$AV$47,39,0)</f>
        <v>0</v>
      </c>
      <c r="H14" s="7">
        <f>IF(G14=0,0,VLOOKUP($A14,[8]HISTOJUIN24!$A$6:$AV$47,42,0))</f>
        <v>0</v>
      </c>
      <c r="I14" s="7">
        <f>VLOOKUP($A14,[8]HISTOJUIN24!$A$6:$AV$47,41,0)</f>
        <v>0</v>
      </c>
      <c r="J14" s="7">
        <f>TONTMAI24!F14+TONTMAI24!G14</f>
        <v>0</v>
      </c>
      <c r="K14" s="7">
        <f>VLOOKUP($A14,[8]HISTOJUIN24!$A$6:$AV$47,17,0)</f>
        <v>0</v>
      </c>
      <c r="L14" s="7" t="str">
        <f>IF(K14&lt;&gt;0,VLOOKUP($A14,[8]HISTOJUIN24!$A$6:$BB$47,8,0),"ECHEC")</f>
        <v>ECHEC</v>
      </c>
      <c r="M14" s="7">
        <f>IF(P14=0,0,VLOOKUP($A14,[8]HISTOJUIN24!$A$6:$AV$47,32,0))</f>
        <v>0</v>
      </c>
      <c r="N14" s="7">
        <f>VLOOKUP($A14,[8]HISTOJUIN24!$A$6:$AV$47,33,0)</f>
        <v>0</v>
      </c>
      <c r="O14" s="7">
        <f t="shared" si="0"/>
        <v>0</v>
      </c>
      <c r="P14" s="7">
        <f>VLOOKUP($A14,[8]HISTOJUIN24!$A$6:$AV$47,30,0)</f>
        <v>0</v>
      </c>
    </row>
    <row r="15" spans="1:16" x14ac:dyDescent="0.35">
      <c r="A15" s="1" t="s">
        <v>35</v>
      </c>
      <c r="B15" s="7">
        <f>IF(D15=0,0,VLOOKUP($A15,[8]HISTOJUIN24!$A$6:$BB$47,12,0))</f>
        <v>1</v>
      </c>
      <c r="C15" s="1" t="str">
        <f>VLOOKUP(A15,[9]LISTADHERENT!A$5:H$60,3,0)</f>
        <v>NGONDIEP CLAUDE</v>
      </c>
      <c r="D15" s="7">
        <f>IF(E15="ECHEC",0,VLOOKUP($A15,[8]HISTOJUIN24!$A$6:$AR$47,13,0))</f>
        <v>75000</v>
      </c>
      <c r="E15" s="7" t="str">
        <f>VLOOKUP($A15,[8]HISTOJUIN24!$A$6:$AV$47,8,0)</f>
        <v>BANQUE</v>
      </c>
      <c r="F15" s="7">
        <f>VLOOKUP($A15,[8]HISTOJUIN24!$A$6:$AV$47,36,0)</f>
        <v>0</v>
      </c>
      <c r="G15" s="7">
        <f>VLOOKUP($A15,[8]HISTOJUIN24!$A$6:$AV$47,39,0)</f>
        <v>0</v>
      </c>
      <c r="H15" s="7">
        <f>IF(G15=0,0,VLOOKUP($A15,[8]HISTOJUIN24!$A$6:$AV$47,42,0))</f>
        <v>0</v>
      </c>
      <c r="I15" s="7">
        <f>VLOOKUP($A15,[8]HISTOJUIN24!$A$6:$AV$47,41,0)</f>
        <v>0</v>
      </c>
      <c r="J15" s="7">
        <f>TONTMAI24!F15+TONTMAI24!G15</f>
        <v>0</v>
      </c>
      <c r="K15" s="7">
        <f>VLOOKUP($A15,[8]HISTOJUIN24!$A$6:$AV$47,17,0)</f>
        <v>0</v>
      </c>
      <c r="L15" s="7" t="str">
        <f>IF(K15&lt;&gt;0,VLOOKUP($A15,[8]HISTOJUIN24!$A$6:$BB$47,8,0),"ECHEC")</f>
        <v>ECHEC</v>
      </c>
      <c r="M15" s="7">
        <f>IF(P15=0,0,VLOOKUP($A15,[8]HISTOJUIN24!$A$6:$AV$47,32,0))</f>
        <v>0</v>
      </c>
      <c r="N15" s="7">
        <f>VLOOKUP($A15,[8]HISTOJUIN24!$A$6:$AV$47,33,0)</f>
        <v>0</v>
      </c>
      <c r="O15" s="7">
        <f t="shared" si="0"/>
        <v>0</v>
      </c>
      <c r="P15" s="7">
        <f>VLOOKUP($A15,[8]HISTOJUIN24!$A$6:$AV$47,30,0)</f>
        <v>0</v>
      </c>
    </row>
    <row r="16" spans="1:16" x14ac:dyDescent="0.35">
      <c r="A16" s="1" t="s">
        <v>20</v>
      </c>
      <c r="B16" s="7">
        <f>IF(D16=0,0,VLOOKUP($A16,[8]HISTOJUIN24!$A$6:$BB$47,12,0))</f>
        <v>3</v>
      </c>
      <c r="C16" s="1" t="str">
        <f>VLOOKUP(A16,[9]LISTADHERENT!A$5:H$60,3,0)</f>
        <v>NGUIEMEGNI MATHIEU BLAISE</v>
      </c>
      <c r="D16" s="7">
        <f>IF(E16="ECHEC",0,VLOOKUP($A16,[8]HISTOJUIN24!$A$6:$AR$47,13,0))</f>
        <v>225000</v>
      </c>
      <c r="E16" s="7" t="str">
        <f>VLOOKUP($A16,[8]HISTOJUIN24!$A$6:$AV$47,8,0)</f>
        <v>BANQUE</v>
      </c>
      <c r="F16" s="7">
        <f>VLOOKUP($A16,[8]HISTOJUIN24!$A$6:$AV$47,36,0)</f>
        <v>0</v>
      </c>
      <c r="G16" s="7">
        <f>VLOOKUP($A16,[8]HISTOJUIN24!$A$6:$AV$47,39,0)</f>
        <v>0</v>
      </c>
      <c r="H16" s="7">
        <f>IF(G16=0,0,VLOOKUP($A16,[8]HISTOJUIN24!$A$6:$AV$47,42,0))</f>
        <v>0</v>
      </c>
      <c r="I16" s="7">
        <f>VLOOKUP($A16,[8]HISTOJUIN24!$A$6:$AV$47,41,0)</f>
        <v>0</v>
      </c>
      <c r="J16" s="7">
        <f>TONTMAI24!F16+TONTMAI24!G16</f>
        <v>34500</v>
      </c>
      <c r="K16" s="7">
        <f>VLOOKUP($A16,[8]HISTOJUIN24!$A$6:$AV$47,17,0)</f>
        <v>34500</v>
      </c>
      <c r="L16" s="7" t="str">
        <f>IF(K16&lt;&gt;0,VLOOKUP($A16,[8]HISTOJUIN24!$A$6:$BB$47,8,0),"ECHEC")</f>
        <v>BANQUE</v>
      </c>
      <c r="M16" s="7">
        <f>IF(P16=0,0,VLOOKUP($A16,[8]HISTOJUIN24!$A$6:$AV$47,32,0))</f>
        <v>0</v>
      </c>
      <c r="N16" s="7">
        <f>VLOOKUP($A16,[8]HISTOJUIN24!$A$6:$AV$47,33,0)</f>
        <v>0</v>
      </c>
      <c r="O16" s="7">
        <f t="shared" si="0"/>
        <v>0</v>
      </c>
      <c r="P16" s="7">
        <f>VLOOKUP($A16,[8]HISTOJUIN24!$A$6:$AV$47,30,0)</f>
        <v>0</v>
      </c>
    </row>
    <row r="17" spans="1:16" x14ac:dyDescent="0.35">
      <c r="A17" s="1" t="s">
        <v>27</v>
      </c>
      <c r="B17" s="7">
        <f>IF(D17=0,0,VLOOKUP($A17,[8]HISTOJUIN24!$A$6:$BB$47,12,0))</f>
        <v>1</v>
      </c>
      <c r="C17" s="1" t="str">
        <f>VLOOKUP(A17,[9]LISTADHERENT!A$5:H$60,3,0)</f>
        <v>PATEGO NJOSSU GUSTAVE</v>
      </c>
      <c r="D17" s="7">
        <f>IF(E17="ECHEC",0,VLOOKUP($A17,[8]HISTOJUIN24!$A$6:$AR$47,13,0))</f>
        <v>75000</v>
      </c>
      <c r="E17" s="7" t="str">
        <f>VLOOKUP($A17,[8]HISTOJUIN24!$A$6:$AV$47,8,0)</f>
        <v>BANQUE</v>
      </c>
      <c r="F17" s="7">
        <f>VLOOKUP($A17,[8]HISTOJUIN24!$A$6:$AV$47,36,0)</f>
        <v>0</v>
      </c>
      <c r="G17" s="7">
        <f>VLOOKUP($A17,[8]HISTOJUIN24!$A$6:$AV$47,39,0)</f>
        <v>0</v>
      </c>
      <c r="H17" s="7">
        <f>IF(G17=0,0,VLOOKUP($A17,[8]HISTOJUIN24!$A$6:$AV$47,42,0))</f>
        <v>0</v>
      </c>
      <c r="I17" s="7">
        <f>VLOOKUP($A17,[8]HISTOJUIN24!$A$6:$AV$47,41,0)</f>
        <v>0</v>
      </c>
      <c r="J17" s="7">
        <f>TONTMAI24!F17+TONTMAI24!G17</f>
        <v>0</v>
      </c>
      <c r="K17" s="7">
        <f>VLOOKUP($A17,[8]HISTOJUIN24!$A$6:$AV$47,17,0)</f>
        <v>0</v>
      </c>
      <c r="L17" s="7" t="str">
        <f>IF(K17&lt;&gt;0,VLOOKUP($A17,[8]HISTOJUIN24!$A$6:$BB$47,8,0),"ECHEC")</f>
        <v>ECHEC</v>
      </c>
      <c r="M17" s="7">
        <f>IF(P17=0,0,VLOOKUP($A17,[8]HISTOJUIN24!$A$6:$AV$47,32,0))</f>
        <v>0</v>
      </c>
      <c r="N17" s="7">
        <f>VLOOKUP($A17,[8]HISTOJUIN24!$A$6:$AV$47,33,0)</f>
        <v>0</v>
      </c>
      <c r="O17" s="7">
        <f t="shared" si="0"/>
        <v>0</v>
      </c>
      <c r="P17" s="7">
        <f>VLOOKUP($A17,[8]HISTOJUIN24!$A$6:$AV$47,30,0)</f>
        <v>0</v>
      </c>
    </row>
    <row r="18" spans="1:16" x14ac:dyDescent="0.35">
      <c r="A18" s="9" t="s">
        <v>48</v>
      </c>
      <c r="B18" s="7">
        <f>IF(D18=0,0,VLOOKUP($A18,[8]HISTOJUIN24!$A$6:$BB$47,12,0))</f>
        <v>1</v>
      </c>
      <c r="C18" s="1" t="str">
        <f>VLOOKUP(A18,[9]LISTADHERENT!A$5:H$60,3,0)</f>
        <v>TCHOUAMOU MATHIEU</v>
      </c>
      <c r="D18" s="7">
        <f>IF(E18="ECHEC",0,VLOOKUP($A18,[8]HISTOJUIN24!$A$6:$AR$47,13,0))</f>
        <v>75000</v>
      </c>
      <c r="E18" s="7" t="str">
        <f>VLOOKUP($A18,[8]HISTOJUIN24!$A$6:$AV$47,8,0)</f>
        <v>BANQUE</v>
      </c>
      <c r="F18" s="7">
        <f>VLOOKUP($A18,[8]HISTOJUIN24!$A$6:$AV$47,36,0)</f>
        <v>100000</v>
      </c>
      <c r="G18" s="7">
        <f>VLOOKUP($A18,[8]HISTOJUIN24!$A$6:$AV$47,39,0)</f>
        <v>2000</v>
      </c>
      <c r="H18" s="7" t="str">
        <f>IF(G18=0,0,VLOOKUP($A18,[8]HISTOJUIN24!$A$6:$AV$47,42,0))</f>
        <v>BANQUE</v>
      </c>
      <c r="I18" s="7">
        <f>VLOOKUP($A18,[8]HISTOJUIN24!$A$6:$AV$47,41,0)</f>
        <v>0</v>
      </c>
      <c r="J18" s="7">
        <f>TONTMAI24!F18+TONTMAI24!G18</f>
        <v>202000</v>
      </c>
      <c r="K18" s="7">
        <f>VLOOKUP($A18,[8]HISTOJUIN24!$A$6:$AV$47,17,0)</f>
        <v>202000</v>
      </c>
      <c r="L18" s="7" t="str">
        <f>IF(K18&lt;&gt;0,VLOOKUP($A18,[8]HISTOJUIN24!$A$6:$BB$47,8,0),"ECHEC")</f>
        <v>BANQUE</v>
      </c>
      <c r="M18" s="7">
        <f>IF(P18=0,0,VLOOKUP($A18,[8]HISTOJUIN24!$A$6:$AV$47,32,0))</f>
        <v>0</v>
      </c>
      <c r="N18" s="7">
        <f>VLOOKUP($A18,[8]HISTOJUIN24!$A$6:$AV$47,33,0)</f>
        <v>0</v>
      </c>
      <c r="O18" s="7">
        <f t="shared" si="0"/>
        <v>0</v>
      </c>
      <c r="P18" s="7">
        <f>VLOOKUP($A18,[8]HISTOJUIN24!$A$6:$AV$47,30,0)</f>
        <v>0</v>
      </c>
    </row>
    <row r="19" spans="1:16" x14ac:dyDescent="0.35">
      <c r="A19" s="1" t="s">
        <v>19</v>
      </c>
      <c r="B19" s="7">
        <f>IF(D19=0,0,VLOOKUP($A19,[8]HISTOJUIN24!$A$6:$BB$47,12,0))</f>
        <v>1</v>
      </c>
      <c r="C19" s="1" t="str">
        <f>VLOOKUP(A19,[9]LISTADHERENT!A$5:H$60,3,0)</f>
        <v>YOUMBI EMMANUEL</v>
      </c>
      <c r="D19" s="7">
        <f>IF(E19="ECHEC",0,VLOOKUP($A19,[8]HISTOJUIN24!$A$6:$AR$47,13,0))</f>
        <v>75000</v>
      </c>
      <c r="E19" s="7" t="str">
        <f>VLOOKUP($A19,[8]HISTOJUIN24!$A$6:$AV$47,8,0)</f>
        <v>BANQUE</v>
      </c>
      <c r="F19" s="7">
        <f>VLOOKUP($A19,[8]HISTOJUIN24!$A$6:$AV$47,36,0)</f>
        <v>0</v>
      </c>
      <c r="G19" s="7">
        <f>VLOOKUP($A19,[8]HISTOJUIN24!$A$6:$AV$47,39,0)</f>
        <v>0</v>
      </c>
      <c r="H19" s="7">
        <f>IF(G19=0,0,VLOOKUP($A19,[8]HISTOJUIN24!$A$6:$AV$47,42,0))</f>
        <v>0</v>
      </c>
      <c r="I19" s="7">
        <f>VLOOKUP($A19,[8]HISTOJUIN24!$A$6:$AV$47,41,0)</f>
        <v>0</v>
      </c>
      <c r="J19" s="7">
        <f>TONTMAI24!F19+TONTMAI24!G19</f>
        <v>0</v>
      </c>
      <c r="K19" s="7">
        <f>VLOOKUP($A19,[8]HISTOJUIN24!$A$6:$AV$47,17,0)</f>
        <v>0</v>
      </c>
      <c r="L19" s="7" t="str">
        <f>IF(K19&lt;&gt;0,VLOOKUP($A19,[8]HISTOJUIN24!$A$6:$BB$47,8,0),"ECHEC")</f>
        <v>ECHEC</v>
      </c>
      <c r="M19" s="7">
        <f>IF(P19=0,0,VLOOKUP($A19,[8]HISTOJUIN24!$A$6:$AV$47,32,0))</f>
        <v>0</v>
      </c>
      <c r="N19" s="7">
        <f>VLOOKUP($A19,[8]HISTOJUIN24!$A$6:$AV$47,33,0)</f>
        <v>0</v>
      </c>
      <c r="O19" s="7">
        <f t="shared" si="0"/>
        <v>0</v>
      </c>
      <c r="P19" s="7">
        <f>VLOOKUP($A19,[8]HISTOJUIN24!$A$6:$AV$47,30,0)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256500</v>
      </c>
      <c r="G22" s="8">
        <f t="shared" si="1"/>
        <v>5000</v>
      </c>
      <c r="H22" s="8">
        <f t="shared" si="1"/>
        <v>0</v>
      </c>
      <c r="I22" s="8">
        <f t="shared" si="1"/>
        <v>0</v>
      </c>
      <c r="J22" s="8">
        <f t="shared" si="1"/>
        <v>691500</v>
      </c>
      <c r="K22" s="8">
        <f t="shared" si="1"/>
        <v>691500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1785000</v>
      </c>
      <c r="P22" s="8">
        <f t="shared" si="1"/>
        <v>15000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D22+E28+P22+TONTMAI24!M29</f>
        <v>2057000</v>
      </c>
      <c r="L24" s="5"/>
      <c r="N24" s="5"/>
    </row>
    <row r="25" spans="1:16" s="2" customFormat="1" ht="17.5" x14ac:dyDescent="0.35">
      <c r="D25" s="8">
        <f>SUMIFS(D6:D21,E6:E21,"ESPECES")</f>
        <v>150000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150000</v>
      </c>
      <c r="I25" s="8"/>
      <c r="J25" s="8" t="s">
        <v>32</v>
      </c>
      <c r="K25" s="8">
        <f>C3*COUNTIF(O7:O21,"&gt;0")</f>
        <v>1800000</v>
      </c>
      <c r="L25" s="8">
        <f>D3</f>
        <v>2</v>
      </c>
      <c r="M25" s="8">
        <f>COUNTIF(O7:O18,"&gt;0")</f>
        <v>2</v>
      </c>
      <c r="N25" s="8"/>
    </row>
    <row r="26" spans="1:16" s="2" customFormat="1" ht="17.5" x14ac:dyDescent="0.35">
      <c r="D26" s="8">
        <f>SUMIFS(D6:D21,E6:E21,"BANQUE")</f>
        <v>1050000</v>
      </c>
      <c r="E26" s="8">
        <f>SUMIFS(K7:K18,L7:L18,"BANQUE")</f>
        <v>691500</v>
      </c>
      <c r="F26" s="8">
        <f>SUMIFS(F7:F21,H7:H21,"BANQUE")</f>
        <v>256500</v>
      </c>
      <c r="G26" s="8">
        <f>SUMIFS(O7:O21,M7:M21,"BANQUE")</f>
        <v>1785000</v>
      </c>
      <c r="H26" s="8">
        <f>D26+E26-F26-G26</f>
        <v>-300000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257000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691500</v>
      </c>
      <c r="F28" s="8">
        <f>F25+F26</f>
        <v>256500</v>
      </c>
      <c r="G28" s="8">
        <f t="shared" ref="G28:H28" si="2">G25+G26</f>
        <v>1785000</v>
      </c>
      <c r="H28" s="8">
        <f t="shared" si="2"/>
        <v>-150000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K27-F22-500</f>
        <v>0</v>
      </c>
      <c r="L29"/>
      <c r="M29" s="8">
        <f>K29</f>
        <v>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6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"/>
  <sheetViews>
    <sheetView workbookViewId="0">
      <pane xSplit="3" ySplit="5" topLeftCell="D18" activePane="bottomRight" state="frozen"/>
      <selection activeCell="G6" sqref="G6:G39"/>
      <selection pane="topRight" activeCell="G6" sqref="G6:G39"/>
      <selection pane="bottomLeft" activeCell="G6" sqref="G6:G39"/>
      <selection pane="bottomRight" activeCell="G9" sqref="G9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7.5" x14ac:dyDescent="0.35">
      <c r="B4" s="13"/>
      <c r="C4" s="24">
        <v>45486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IF(D6=0,0,VLOOKUP($A6,[8]HISTOJUIL24!$A$6:$BB$47,12,0))</f>
        <v>1</v>
      </c>
      <c r="C6" s="1" t="str">
        <f>VLOOKUP(A6,[9]LISTADHERENT!A$5:H$60,3,0)</f>
        <v>ASELBY</v>
      </c>
      <c r="D6" s="7">
        <f>IF(E6="ECHEC",0,VLOOKUP($A6,[8]HISTOJUIL24!$A$6:$AR$47,13,0))</f>
        <v>75000</v>
      </c>
      <c r="E6" s="7" t="str">
        <f>VLOOKUP($A6,[8]HISTOJUIL24!$A$6:$AV$47,8,0)</f>
        <v>BANQUE</v>
      </c>
      <c r="F6" s="7">
        <f>VLOOKUP($A6,[8]HISTOJUIL24!$A$6:$AV$47,36,0)</f>
        <v>0</v>
      </c>
      <c r="G6" s="7">
        <f>VLOOKUP($A6,[8]HISTOJUIL24!$A$6:$AV$47,39,0)</f>
        <v>0</v>
      </c>
      <c r="H6" s="7">
        <f>IF(G6=0,0,VLOOKUP($A6,[8]HISTOJUIL24!$A$6:$AV$47,42,0))</f>
        <v>0</v>
      </c>
      <c r="I6" s="7">
        <f>VLOOKUP($A6,[8]HISTOJUIL24!$A$6:$AV$47,41,0)</f>
        <v>0</v>
      </c>
      <c r="J6" s="7">
        <f>TONTJUIN24!F6+TONTJUIN24!G6</f>
        <v>0</v>
      </c>
      <c r="K6" s="7">
        <f>VLOOKUP($A6,[8]HISTOJUIL24!$A$6:$AV$47,17,0)</f>
        <v>0</v>
      </c>
      <c r="L6" s="7" t="str">
        <f>IF(K6&lt;&gt;0,VLOOKUP($A6,[8]HISTOJUIL24!$A$6:$BB$47,8,0),"ECHEC")</f>
        <v>ECHEC</v>
      </c>
      <c r="M6" s="7">
        <f>IF(P6=0,0,VLOOKUP($A6,[8]HISTOJUIL24!$A$6:$AV$47,32,0))</f>
        <v>0</v>
      </c>
      <c r="N6" s="7">
        <f>VLOOKUP($A6,[8]HISTOJUIL24!$A$6:$AV$47,33,0)</f>
        <v>0</v>
      </c>
      <c r="O6" s="7">
        <f t="shared" ref="O6:O19" si="0">IF(P6=0,0,($C$3-P6))</f>
        <v>0</v>
      </c>
      <c r="P6" s="7">
        <f>VLOOKUP($A6,[8]HISTOJUIL24!$A$6:$AV$47,30,0)</f>
        <v>0</v>
      </c>
    </row>
    <row r="7" spans="1:16" x14ac:dyDescent="0.35">
      <c r="A7" s="1" t="s">
        <v>24</v>
      </c>
      <c r="B7" s="7">
        <f>IF(D7=0,0,VLOOKUP($A7,[8]HISTOJUIL24!$A$6:$BB$47,12,0))</f>
        <v>1</v>
      </c>
      <c r="C7" s="1" t="str">
        <f>VLOOKUP(A7,[9]LISTADHERENT!A$5:H$60,3,0)</f>
        <v>BOUTCHOUANG WILLIAM</v>
      </c>
      <c r="D7" s="7">
        <f>IF(E7="ECHEC",0,VLOOKUP($A7,[8]HISTOJUIL24!$A$6:$AR$47,13,0))</f>
        <v>75000</v>
      </c>
      <c r="E7" s="7" t="str">
        <f>VLOOKUP($A7,[8]HISTOJUIL24!$A$6:$AV$47,8,0)</f>
        <v>BANQUE</v>
      </c>
      <c r="F7" s="7">
        <f>VLOOKUP($A7,[8]HISTOJUIL24!$A$6:$AV$47,36,0)</f>
        <v>0</v>
      </c>
      <c r="G7" s="7">
        <f>VLOOKUP($A7,[8]HISTOJUIL24!$A$6:$AV$47,39,0)</f>
        <v>0</v>
      </c>
      <c r="H7" s="7">
        <f>IF(G7=0,0,VLOOKUP($A7,[8]HISTOJUIL24!$A$6:$AV$47,42,0))</f>
        <v>0</v>
      </c>
      <c r="I7" s="7">
        <f>VLOOKUP($A7,[8]HISTOJUIL24!$A$6:$AV$47,41,0)</f>
        <v>0</v>
      </c>
      <c r="J7" s="7">
        <f>TONTJUIN24!F7+TONTJUIN24!G7</f>
        <v>0</v>
      </c>
      <c r="K7" s="7">
        <f>VLOOKUP($A7,[8]HISTOJUIL24!$A$6:$AV$47,17,0)</f>
        <v>0</v>
      </c>
      <c r="L7" s="7" t="str">
        <f>IF(K7&lt;&gt;0,VLOOKUP($A7,[8]HISTOJUIL24!$A$6:$BB$47,8,0),"ECHEC")</f>
        <v>ECHEC</v>
      </c>
      <c r="M7" s="7">
        <f>IF(P7=0,0,VLOOKUP($A7,[8]HISTOJUIL24!$A$6:$AV$47,32,0))</f>
        <v>0</v>
      </c>
      <c r="N7" s="7">
        <f>VLOOKUP($A7,[8]HISTOJUIL24!$A$6:$AV$47,33,0)</f>
        <v>0</v>
      </c>
      <c r="O7" s="7">
        <f t="shared" si="0"/>
        <v>0</v>
      </c>
      <c r="P7" s="7">
        <f>VLOOKUP($A7,[8]HISTOJUIL24!$A$6:$AV$47,30,0)</f>
        <v>0</v>
      </c>
    </row>
    <row r="8" spans="1:16" x14ac:dyDescent="0.35">
      <c r="A8" s="1" t="s">
        <v>49</v>
      </c>
      <c r="B8" s="7">
        <f>IF(D8=0,0,VLOOKUP($A8,[8]HISTOJUIL24!$A$6:$BB$47,12,0))</f>
        <v>1</v>
      </c>
      <c r="C8" s="1" t="str">
        <f>VLOOKUP(A8,[9]LISTADHERENT!A$5:H$60,3,0)</f>
        <v>DJOMOU TCHAPDA</v>
      </c>
      <c r="D8" s="7">
        <f>IF(E8="ECHEC",0,VLOOKUP($A8,[8]HISTOJUIL24!$A$6:$AR$47,13,0))</f>
        <v>75000</v>
      </c>
      <c r="E8" s="7" t="str">
        <f>VLOOKUP($A8,[8]HISTOJUIL24!$A$6:$AV$47,8,0)</f>
        <v>BANQUE</v>
      </c>
      <c r="F8" s="7">
        <f>VLOOKUP($A8,[8]HISTOJUIL24!$A$6:$AV$47,36,0)</f>
        <v>0</v>
      </c>
      <c r="G8" s="7">
        <f>VLOOKUP($A8,[8]HISTOJUIL24!$A$6:$AV$47,39,0)</f>
        <v>0</v>
      </c>
      <c r="H8" s="7">
        <f>IF(G8=0,0,VLOOKUP($A8,[8]HISTOJUIL24!$A$6:$AV$47,42,0))</f>
        <v>0</v>
      </c>
      <c r="I8" s="7">
        <f>VLOOKUP($A8,[8]HISTOJUIL24!$A$6:$AV$47,41,0)</f>
        <v>0</v>
      </c>
      <c r="J8" s="7">
        <f>TONTJUIN24!F8+TONTJUIN24!G8</f>
        <v>0</v>
      </c>
      <c r="K8" s="7">
        <f>VLOOKUP($A8,[8]HISTOJUIL24!$A$6:$AV$47,17,0)</f>
        <v>0</v>
      </c>
      <c r="L8" s="7" t="str">
        <f>IF(K8&lt;&gt;0,VLOOKUP($A8,[8]HISTOJUIL24!$A$6:$BB$47,8,0),"ECHEC")</f>
        <v>ECHEC</v>
      </c>
      <c r="M8" s="7">
        <f>IF(P8=0,0,VLOOKUP($A8,[8]HISTOJUIL24!$A$6:$AV$47,32,0))</f>
        <v>0</v>
      </c>
      <c r="N8" s="7">
        <f>VLOOKUP($A8,[8]HISTOJUIL24!$A$6:$AV$47,33,0)</f>
        <v>0</v>
      </c>
      <c r="O8" s="7">
        <f t="shared" si="0"/>
        <v>0</v>
      </c>
      <c r="P8" s="7">
        <f>VLOOKUP($A8,[8]HISTOJUIL24!$A$6:$AV$47,30,0)</f>
        <v>0</v>
      </c>
    </row>
    <row r="9" spans="1:16" x14ac:dyDescent="0.35">
      <c r="A9" s="1" t="s">
        <v>25</v>
      </c>
      <c r="B9" s="7">
        <f>IF(D9=0,0,VLOOKUP($A9,[8]HISTOJUIL24!$A$6:$BB$47,12,0))</f>
        <v>1</v>
      </c>
      <c r="C9" s="1" t="str">
        <f>VLOOKUP(A9,[9]LISTADHERENT!A$5:H$60,3,0)</f>
        <v>DJOUKWE NANGUEN GUY BLAISE</v>
      </c>
      <c r="D9" s="7">
        <f>IF(E9="ECHEC",0,VLOOKUP($A9,[8]HISTOJUIL24!$A$6:$AR$47,13,0))</f>
        <v>75000</v>
      </c>
      <c r="E9" s="7" t="str">
        <f>VLOOKUP($A9,[8]HISTOJUIL24!$A$6:$AV$47,8,0)</f>
        <v>BANQUE</v>
      </c>
      <c r="F9" s="7">
        <f>VLOOKUP($A9,[8]HISTOJUIL24!$A$6:$AV$47,36,0)</f>
        <v>169000</v>
      </c>
      <c r="G9" s="7">
        <f>VLOOKUP($A9,[8]HISTOJUIL24!$A$6:$AV$47,39,0)</f>
        <v>2000</v>
      </c>
      <c r="H9" s="7" t="str">
        <f>IF(G9=0,0,VLOOKUP($A9,[8]HISTOJUIL24!$A$6:$AV$47,42,0))</f>
        <v>BANQUE</v>
      </c>
      <c r="I9" s="7">
        <f>VLOOKUP($A9,[8]HISTOJUIL24!$A$6:$AV$47,41,0)</f>
        <v>0</v>
      </c>
      <c r="J9" s="7">
        <f>TONTJUIN24!F9+TONTJUIN24!G9</f>
        <v>57500</v>
      </c>
      <c r="K9" s="7">
        <f>VLOOKUP($A9,[8]HISTOJUIL24!$A$6:$AV$47,17,0)</f>
        <v>57500</v>
      </c>
      <c r="L9" s="7" t="str">
        <f>IF(K9&lt;&gt;0,VLOOKUP($A9,[8]HISTOJUIL24!$A$6:$BB$47,8,0),"ECHEC")</f>
        <v>BANQUE</v>
      </c>
      <c r="M9" s="7">
        <f>IF(P9=0,0,VLOOKUP($A9,[8]HISTOJUIL24!$A$6:$AV$47,32,0))</f>
        <v>0</v>
      </c>
      <c r="N9" s="7">
        <f>VLOOKUP($A9,[8]HISTOJUIL24!$A$6:$AV$47,33,0)</f>
        <v>0</v>
      </c>
      <c r="O9" s="7">
        <f t="shared" si="0"/>
        <v>0</v>
      </c>
      <c r="P9" s="7">
        <f>VLOOKUP($A9,[8]HISTOJUIL24!$A$6:$AV$47,30,0)</f>
        <v>0</v>
      </c>
    </row>
    <row r="10" spans="1:16" x14ac:dyDescent="0.35">
      <c r="A10" s="1" t="s">
        <v>34</v>
      </c>
      <c r="B10" s="7">
        <f>IF(D10=0,0,VLOOKUP($A10,[8]HISTOJUIL24!$A$6:$BB$47,12,0))</f>
        <v>1</v>
      </c>
      <c r="C10" s="1" t="str">
        <f>VLOOKUP(A10,[9]LISTADHERENT!A$5:H$60,3,0)</f>
        <v>DJUOMBESSY ANTOINE</v>
      </c>
      <c r="D10" s="7">
        <f>IF(E10="ECHEC",0,VLOOKUP($A10,[8]HISTOJUIL24!$A$6:$AR$47,13,0))</f>
        <v>75000</v>
      </c>
      <c r="E10" s="7" t="str">
        <f>VLOOKUP($A10,[8]HISTOJUIL24!$A$6:$AV$47,8,0)</f>
        <v>BANQUE</v>
      </c>
      <c r="F10" s="7">
        <f>VLOOKUP($A10,[8]HISTOJUIL24!$A$6:$AV$47,36,0)</f>
        <v>0</v>
      </c>
      <c r="G10" s="7">
        <f>VLOOKUP($A10,[8]HISTOJUIL24!$A$6:$AV$47,39,0)</f>
        <v>0</v>
      </c>
      <c r="H10" s="7">
        <f>IF(G10=0,0,VLOOKUP($A10,[8]HISTOJUIL24!$A$6:$AV$47,42,0))</f>
        <v>0</v>
      </c>
      <c r="I10" s="7">
        <f>VLOOKUP($A10,[8]HISTOJUIL24!$A$6:$AV$47,41,0)</f>
        <v>0</v>
      </c>
      <c r="J10" s="7">
        <f>TONTJUIN24!F10+TONTJUIN24!G10</f>
        <v>0</v>
      </c>
      <c r="K10" s="7">
        <f>VLOOKUP($A10,[8]HISTOJUIL24!$A$6:$AV$47,17,0)</f>
        <v>0</v>
      </c>
      <c r="L10" s="7" t="str">
        <f>IF(K10&lt;&gt;0,VLOOKUP($A10,[8]HISTOJUIL24!$A$6:$BB$47,8,0),"ECHEC")</f>
        <v>ECHEC</v>
      </c>
      <c r="M10" s="7">
        <f>IF(P10=0,0,VLOOKUP($A10,[8]HISTOJUIL24!$A$6:$AV$47,32,0))</f>
        <v>0</v>
      </c>
      <c r="N10" s="7">
        <f>VLOOKUP($A10,[8]HISTOJUIL24!$A$6:$AV$47,33,0)</f>
        <v>0</v>
      </c>
      <c r="O10" s="7">
        <f t="shared" si="0"/>
        <v>0</v>
      </c>
      <c r="P10" s="7">
        <f>VLOOKUP($A10,[8]HISTOJUIL24!$A$6:$AV$47,30,0)</f>
        <v>0</v>
      </c>
    </row>
    <row r="11" spans="1:16" x14ac:dyDescent="0.35">
      <c r="A11" s="1" t="s">
        <v>18</v>
      </c>
      <c r="B11" s="7">
        <f>IF(D11=0,0,VLOOKUP($A11,[8]HISTOJUIL24!$A$6:$BB$47,12,0))</f>
        <v>1</v>
      </c>
      <c r="C11" s="1" t="str">
        <f>VLOOKUP(A11,[9]LISTADHERENT!A$5:H$60,3,0)</f>
        <v>HOTCHO BENJAMIN</v>
      </c>
      <c r="D11" s="7">
        <f>IF(E11="ECHEC",0,VLOOKUP($A11,[8]HISTOJUIL24!$A$6:$AR$47,13,0))</f>
        <v>75000</v>
      </c>
      <c r="E11" s="7" t="str">
        <f>VLOOKUP($A11,[8]HISTOJUIL24!$A$6:$AV$47,8,0)</f>
        <v>BANQUE</v>
      </c>
      <c r="F11" s="7">
        <f>VLOOKUP($A11,[8]HISTOJUIL24!$A$6:$AV$47,36,0)</f>
        <v>0</v>
      </c>
      <c r="G11" s="7">
        <f>VLOOKUP($A11,[8]HISTOJUIL24!$A$6:$AV$47,39,0)</f>
        <v>0</v>
      </c>
      <c r="H11" s="7">
        <f>IF(G11=0,0,VLOOKUP($A11,[8]HISTOJUIL24!$A$6:$AV$47,42,0))</f>
        <v>0</v>
      </c>
      <c r="I11" s="7">
        <f>VLOOKUP($A11,[8]HISTOJUIL24!$A$6:$AV$47,41,0)</f>
        <v>0</v>
      </c>
      <c r="J11" s="7">
        <f>TONTJUIN24!F11+TONTJUIN24!G11</f>
        <v>0</v>
      </c>
      <c r="K11" s="7">
        <f>VLOOKUP($A11,[8]HISTOJUIL24!$A$6:$AV$47,17,0)</f>
        <v>0</v>
      </c>
      <c r="L11" s="7" t="str">
        <f>IF(K11&lt;&gt;0,VLOOKUP($A11,[8]HISTOJUIL24!$A$6:$BB$47,8,0),"ECHEC")</f>
        <v>ECHEC</v>
      </c>
      <c r="M11" s="7">
        <f>IF(P11=0,0,VLOOKUP($A11,[8]HISTOJUIL24!$A$6:$AV$47,32,0))</f>
        <v>0</v>
      </c>
      <c r="N11" s="7">
        <f>VLOOKUP($A11,[8]HISTOJUIL24!$A$6:$AV$47,33,0)</f>
        <v>0</v>
      </c>
      <c r="O11" s="7">
        <f t="shared" si="0"/>
        <v>0</v>
      </c>
      <c r="P11" s="7">
        <f>VLOOKUP($A11,[8]HISTOJUIL24!$A$6:$AV$47,30,0)</f>
        <v>0</v>
      </c>
    </row>
    <row r="12" spans="1:16" x14ac:dyDescent="0.35">
      <c r="A12" s="1" t="s">
        <v>26</v>
      </c>
      <c r="B12" s="7">
        <f>IF(D12=0,0,VLOOKUP($A12,[8]HISTOJUIL24!$A$6:$BB$47,12,0))</f>
        <v>1</v>
      </c>
      <c r="C12" s="1" t="str">
        <f>VLOOKUP(A12,[9]LISTADHERENT!A$5:H$60,3,0)</f>
        <v>HENGUE PAUL OMER</v>
      </c>
      <c r="D12" s="7">
        <f>IF(E12="ECHEC",0,VLOOKUP($A12,[8]HISTOJUIL24!$A$6:$AR$47,13,0))</f>
        <v>75000</v>
      </c>
      <c r="E12" s="7" t="str">
        <f>VLOOKUP($A12,[8]HISTOJUIL24!$A$6:$AV$47,8,0)</f>
        <v>BANQUE</v>
      </c>
      <c r="F12" s="7">
        <f>VLOOKUP($A12,[8]HISTOJUIL24!$A$6:$AV$47,36,0)</f>
        <v>0</v>
      </c>
      <c r="G12" s="7">
        <f>VLOOKUP($A12,[8]HISTOJUIL24!$A$6:$AV$47,39,0)</f>
        <v>0</v>
      </c>
      <c r="H12" s="7">
        <f>IF(G12=0,0,VLOOKUP($A12,[8]HISTOJUIL24!$A$6:$AV$47,42,0))</f>
        <v>0</v>
      </c>
      <c r="I12" s="7">
        <f>VLOOKUP($A12,[8]HISTOJUIL24!$A$6:$AV$47,41,0)</f>
        <v>0</v>
      </c>
      <c r="J12" s="7">
        <f>TONTJUIN24!F12+TONTJUIN24!G12</f>
        <v>0</v>
      </c>
      <c r="K12" s="7">
        <f>VLOOKUP($A12,[8]HISTOJUIL24!$A$6:$AV$47,17,0)</f>
        <v>0</v>
      </c>
      <c r="L12" s="7" t="str">
        <f>IF(K12&lt;&gt;0,VLOOKUP($A12,[8]HISTOJUIL24!$A$6:$BB$47,8,0),"ECHEC")</f>
        <v>ECHEC</v>
      </c>
      <c r="M12" s="7">
        <f>IF(P12=0,0,VLOOKUP($A12,[8]HISTOJUIL24!$A$6:$AV$47,32,0))</f>
        <v>0</v>
      </c>
      <c r="N12" s="7">
        <f>VLOOKUP($A12,[8]HISTOJUIL24!$A$6:$AV$47,33,0)</f>
        <v>0</v>
      </c>
      <c r="O12" s="7">
        <f t="shared" si="0"/>
        <v>0</v>
      </c>
      <c r="P12" s="7">
        <f>VLOOKUP($A12,[8]HISTOJUIL24!$A$6:$AV$47,30,0)</f>
        <v>0</v>
      </c>
    </row>
    <row r="13" spans="1:16" x14ac:dyDescent="0.35">
      <c r="A13" s="1" t="s">
        <v>21</v>
      </c>
      <c r="B13" s="7">
        <f>IF(D13=0,0,VLOOKUP($A13,[8]HISTOJUIL24!$A$6:$BB$47,12,0))</f>
        <v>1</v>
      </c>
      <c r="C13" s="1" t="str">
        <f>VLOOKUP(A13,[9]LISTADHERENT!A$5:H$60,3,0)</f>
        <v>MBOGNING TUGMA GUY</v>
      </c>
      <c r="D13" s="7">
        <f>IF(E13="ECHEC",0,VLOOKUP($A13,[8]HISTOJUIL24!$A$6:$AR$47,13,0))</f>
        <v>75000</v>
      </c>
      <c r="E13" s="7" t="str">
        <f>VLOOKUP($A13,[8]HISTOJUIL24!$A$6:$AV$47,8,0)</f>
        <v>BANQUE</v>
      </c>
      <c r="F13" s="7">
        <f>VLOOKUP($A13,[8]HISTOJUIL24!$A$6:$AV$47,36,0)</f>
        <v>200000</v>
      </c>
      <c r="G13" s="7">
        <f>VLOOKUP($A13,[8]HISTOJUIL24!$A$6:$AV$47,39,0)</f>
        <v>2500</v>
      </c>
      <c r="H13" s="7" t="str">
        <f>IF(G13=0,0,VLOOKUP($A13,[8]HISTOJUIL24!$A$6:$AV$47,42,0))</f>
        <v>BANQUE</v>
      </c>
      <c r="I13" s="7">
        <f>VLOOKUP($A13,[8]HISTOJUIL24!$A$6:$AV$47,41,0)</f>
        <v>0</v>
      </c>
      <c r="J13" s="7">
        <f>TONTJUIN24!F13+TONTJUIN24!G13</f>
        <v>102000</v>
      </c>
      <c r="K13" s="7">
        <f>VLOOKUP($A13,[8]HISTOJUIL24!$A$6:$AV$47,17,0)</f>
        <v>102000</v>
      </c>
      <c r="L13" s="7" t="str">
        <f>IF(K13&lt;&gt;0,VLOOKUP($A13,[8]HISTOJUIL24!$A$6:$BB$47,8,0),"ECHEC")</f>
        <v>BANQUE</v>
      </c>
      <c r="M13" s="7">
        <f>IF(P13=0,0,VLOOKUP($A13,[8]HISTOJUIL24!$A$6:$AV$47,32,0))</f>
        <v>0</v>
      </c>
      <c r="N13" s="7">
        <f>VLOOKUP($A13,[8]HISTOJUIL24!$A$6:$AV$47,33,0)</f>
        <v>0</v>
      </c>
      <c r="O13" s="7">
        <f t="shared" si="0"/>
        <v>0</v>
      </c>
      <c r="P13" s="7">
        <f>VLOOKUP($A13,[8]HISTOJUIL24!$A$6:$AV$47,30,0)</f>
        <v>0</v>
      </c>
    </row>
    <row r="14" spans="1:16" x14ac:dyDescent="0.35">
      <c r="A14" s="1" t="s">
        <v>8</v>
      </c>
      <c r="B14" s="7">
        <f>IF(D14=0,0,VLOOKUP($A14,[8]HISTOJUIL24!$A$6:$BB$47,12,0))</f>
        <v>1</v>
      </c>
      <c r="C14" s="1" t="str">
        <f>VLOOKUP(A14,[9]LISTADHERENT!A$5:H$60,3,0)</f>
        <v>NANKAM APPOLINAIRE</v>
      </c>
      <c r="D14" s="7">
        <f>IF(E14="ECHEC",0,VLOOKUP($A14,[8]HISTOJUIL24!$A$6:$AR$47,13,0))</f>
        <v>75000</v>
      </c>
      <c r="E14" s="7" t="str">
        <f>VLOOKUP($A14,[8]HISTOJUIL24!$A$6:$AV$47,8,0)</f>
        <v>BANQUE</v>
      </c>
      <c r="F14" s="7">
        <f>VLOOKUP($A14,[8]HISTOJUIL24!$A$6:$AV$47,36,0)</f>
        <v>0</v>
      </c>
      <c r="G14" s="7">
        <f>VLOOKUP($A14,[8]HISTOJUIL24!$A$6:$AV$47,39,0)</f>
        <v>0</v>
      </c>
      <c r="H14" s="7">
        <f>IF(G14=0,0,VLOOKUP($A14,[8]HISTOJUIL24!$A$6:$AV$47,42,0))</f>
        <v>0</v>
      </c>
      <c r="I14" s="7">
        <f>VLOOKUP($A14,[8]HISTOJUIL24!$A$6:$AV$47,41,0)</f>
        <v>0</v>
      </c>
      <c r="J14" s="7">
        <f>TONTJUIN24!F14+TONTJUIN24!G14</f>
        <v>0</v>
      </c>
      <c r="K14" s="7">
        <f>VLOOKUP($A14,[8]HISTOJUIL24!$A$6:$AV$47,17,0)</f>
        <v>0</v>
      </c>
      <c r="L14" s="7" t="str">
        <f>IF(K14&lt;&gt;0,VLOOKUP($A14,[8]HISTOJUIL24!$A$6:$BB$47,8,0),"ECHEC")</f>
        <v>ECHEC</v>
      </c>
      <c r="M14" s="7">
        <f>IF(P14=0,0,VLOOKUP($A14,[8]HISTOJUIL24!$A$6:$AV$47,32,0))</f>
        <v>0</v>
      </c>
      <c r="N14" s="7">
        <f>VLOOKUP($A14,[8]HISTOJUIL24!$A$6:$AV$47,33,0)</f>
        <v>0</v>
      </c>
      <c r="O14" s="7">
        <f t="shared" si="0"/>
        <v>0</v>
      </c>
      <c r="P14" s="7">
        <f>VLOOKUP($A14,[8]HISTOJUIL24!$A$6:$AV$47,30,0)</f>
        <v>0</v>
      </c>
    </row>
    <row r="15" spans="1:16" x14ac:dyDescent="0.35">
      <c r="A15" s="1" t="s">
        <v>35</v>
      </c>
      <c r="B15" s="7">
        <f>IF(D15=0,0,VLOOKUP($A15,[8]HISTOJUIL24!$A$6:$BB$47,12,0))</f>
        <v>1</v>
      </c>
      <c r="C15" s="1" t="str">
        <f>VLOOKUP(A15,[9]LISTADHERENT!A$5:H$60,3,0)</f>
        <v>NGONDIEP CLAUDE</v>
      </c>
      <c r="D15" s="7">
        <f>IF(E15="ECHEC",0,VLOOKUP($A15,[8]HISTOJUIL24!$A$6:$AR$47,13,0))</f>
        <v>75000</v>
      </c>
      <c r="E15" s="7" t="str">
        <f>VLOOKUP($A15,[8]HISTOJUIL24!$A$6:$AV$47,8,0)</f>
        <v>BANQUE</v>
      </c>
      <c r="F15" s="7">
        <f>VLOOKUP($A15,[8]HISTOJUIL24!$A$6:$AV$47,36,0)</f>
        <v>0</v>
      </c>
      <c r="G15" s="7">
        <f>VLOOKUP($A15,[8]HISTOJUIL24!$A$6:$AV$47,39,0)</f>
        <v>0</v>
      </c>
      <c r="H15" s="7">
        <f>IF(G15=0,0,VLOOKUP($A15,[8]HISTOJUIL24!$A$6:$AV$47,42,0))</f>
        <v>0</v>
      </c>
      <c r="I15" s="7">
        <f>VLOOKUP($A15,[8]HISTOJUIL24!$A$6:$AV$47,41,0)</f>
        <v>0</v>
      </c>
      <c r="J15" s="7">
        <f>TONTJUIN24!F15+TONTJUIN24!G15</f>
        <v>0</v>
      </c>
      <c r="K15" s="7">
        <f>VLOOKUP($A15,[8]HISTOJUIL24!$A$6:$AV$47,17,0)</f>
        <v>0</v>
      </c>
      <c r="L15" s="7" t="str">
        <f>IF(K15&lt;&gt;0,VLOOKUP($A15,[8]HISTOJUIL24!$A$6:$BB$47,8,0),"ECHEC")</f>
        <v>ECHEC</v>
      </c>
      <c r="M15" s="7" t="str">
        <f>IF(P15=0,0,VLOOKUP($A15,[8]HISTOJUIL24!$A$6:$AV$47,32,0))</f>
        <v>BANQUE</v>
      </c>
      <c r="N15" s="7">
        <f>VLOOKUP($A15,[8]HISTOJUIL24!$A$6:$AV$47,33,0)</f>
        <v>0</v>
      </c>
      <c r="O15" s="7">
        <f t="shared" si="0"/>
        <v>892500</v>
      </c>
      <c r="P15" s="7">
        <f>VLOOKUP($A15,[8]HISTOJUIL24!$A$6:$AV$47,30,0)</f>
        <v>7500</v>
      </c>
    </row>
    <row r="16" spans="1:16" x14ac:dyDescent="0.35">
      <c r="A16" s="1" t="s">
        <v>20</v>
      </c>
      <c r="B16" s="7">
        <f>IF(D16=0,0,VLOOKUP($A16,[8]HISTOJUIL24!$A$6:$BB$47,12,0))</f>
        <v>3</v>
      </c>
      <c r="C16" s="1" t="str">
        <f>VLOOKUP(A16,[9]LISTADHERENT!A$5:H$60,3,0)</f>
        <v>NGUIEMEGNI MATHIEU BLAISE</v>
      </c>
      <c r="D16" s="7">
        <f>IF(E16="ECHEC",0,VLOOKUP($A16,[8]HISTOJUIL24!$A$6:$AR$47,13,0))</f>
        <v>225000</v>
      </c>
      <c r="E16" s="7" t="str">
        <f>VLOOKUP($A16,[8]HISTOJUIL24!$A$6:$AV$47,8,0)</f>
        <v>BANQUE</v>
      </c>
      <c r="F16" s="7">
        <f>VLOOKUP($A16,[8]HISTOJUIL24!$A$6:$AV$47,36,0)</f>
        <v>100000</v>
      </c>
      <c r="G16" s="7">
        <f>VLOOKUP($A16,[8]HISTOJUIL24!$A$6:$AV$47,39,0)</f>
        <v>1500</v>
      </c>
      <c r="H16" s="7" t="str">
        <f>IF(G16=0,0,VLOOKUP($A16,[8]HISTOJUIL24!$A$6:$AV$47,42,0))</f>
        <v>BANQUE</v>
      </c>
      <c r="I16" s="7">
        <f>VLOOKUP($A16,[8]HISTOJUIL24!$A$6:$AV$47,41,0)</f>
        <v>0</v>
      </c>
      <c r="J16" s="7">
        <f>TONTJUIN24!F16+TONTJUIN24!G16</f>
        <v>0</v>
      </c>
      <c r="K16" s="7">
        <f>VLOOKUP($A16,[8]HISTOJUIL24!$A$6:$AV$47,17,0)</f>
        <v>0</v>
      </c>
      <c r="L16" s="7" t="str">
        <f>IF(K16&lt;&gt;0,VLOOKUP($A16,[8]HISTOJUIL24!$A$6:$BB$47,8,0),"ECHEC")</f>
        <v>ECHEC</v>
      </c>
      <c r="M16" s="7">
        <f>IF(P16=0,0,VLOOKUP($A16,[8]HISTOJUIL24!$A$6:$AV$47,32,0))</f>
        <v>0</v>
      </c>
      <c r="N16" s="7">
        <f>VLOOKUP($A16,[8]HISTOJUIL24!$A$6:$AV$47,33,0)</f>
        <v>0</v>
      </c>
      <c r="O16" s="7">
        <f t="shared" si="0"/>
        <v>0</v>
      </c>
      <c r="P16" s="7">
        <f>VLOOKUP($A16,[8]HISTOJUIL24!$A$6:$AV$47,30,0)</f>
        <v>0</v>
      </c>
    </row>
    <row r="17" spans="1:16" x14ac:dyDescent="0.35">
      <c r="A17" s="1" t="s">
        <v>27</v>
      </c>
      <c r="B17" s="7">
        <f>IF(D17=0,0,VLOOKUP($A17,[8]HISTOJUIL24!$A$6:$BB$47,12,0))</f>
        <v>1</v>
      </c>
      <c r="C17" s="1" t="str">
        <f>VLOOKUP(A17,[9]LISTADHERENT!A$5:H$60,3,0)</f>
        <v>PATEGO NJOSSU GUSTAVE</v>
      </c>
      <c r="D17" s="7">
        <f>IF(E17="ECHEC",0,VLOOKUP($A17,[8]HISTOJUIL24!$A$6:$AR$47,13,0))</f>
        <v>75000</v>
      </c>
      <c r="E17" s="7" t="str">
        <f>VLOOKUP($A17,[8]HISTOJUIL24!$A$6:$AV$47,8,0)</f>
        <v>BANQUE</v>
      </c>
      <c r="F17" s="7">
        <f>VLOOKUP($A17,[8]HISTOJUIL24!$A$6:$AV$47,36,0)</f>
        <v>0</v>
      </c>
      <c r="G17" s="7">
        <f>VLOOKUP($A17,[8]HISTOJUIL24!$A$6:$AV$47,39,0)</f>
        <v>0</v>
      </c>
      <c r="H17" s="7">
        <f>IF(G17=0,0,VLOOKUP($A17,[8]HISTOJUIL24!$A$6:$AV$47,42,0))</f>
        <v>0</v>
      </c>
      <c r="I17" s="7">
        <f>VLOOKUP($A17,[8]HISTOJUIL24!$A$6:$AV$47,41,0)</f>
        <v>0</v>
      </c>
      <c r="J17" s="7">
        <f>TONTJUIN24!F17+TONTJUIN24!G17</f>
        <v>0</v>
      </c>
      <c r="K17" s="7">
        <f>VLOOKUP($A17,[8]HISTOJUIL24!$A$6:$AV$47,17,0)</f>
        <v>0</v>
      </c>
      <c r="L17" s="7" t="str">
        <f>IF(K17&lt;&gt;0,VLOOKUP($A17,[8]HISTOJUIL24!$A$6:$BB$47,8,0),"ECHEC")</f>
        <v>ECHEC</v>
      </c>
      <c r="M17" s="7">
        <f>IF(P17=0,0,VLOOKUP($A17,[8]HISTOJUIL24!$A$6:$AV$47,32,0))</f>
        <v>0</v>
      </c>
      <c r="N17" s="7">
        <f>VLOOKUP($A17,[8]HISTOJUIL24!$A$6:$AV$47,33,0)</f>
        <v>0</v>
      </c>
      <c r="O17" s="7">
        <f t="shared" si="0"/>
        <v>0</v>
      </c>
      <c r="P17" s="7">
        <f>VLOOKUP($A17,[8]HISTOJUIL24!$A$6:$AV$47,30,0)</f>
        <v>0</v>
      </c>
    </row>
    <row r="18" spans="1:16" x14ac:dyDescent="0.35">
      <c r="A18" s="9" t="s">
        <v>48</v>
      </c>
      <c r="B18" s="7">
        <f>IF(D18=0,0,VLOOKUP($A18,[8]HISTOJUIL24!$A$6:$BB$47,12,0))</f>
        <v>1</v>
      </c>
      <c r="C18" s="1" t="str">
        <f>VLOOKUP(A18,[9]LISTADHERENT!A$5:H$60,3,0)</f>
        <v>TCHOUAMOU MATHIEU</v>
      </c>
      <c r="D18" s="7">
        <f>IF(E18="ECHEC",0,VLOOKUP($A18,[8]HISTOJUIL24!$A$6:$AR$47,13,0))</f>
        <v>75000</v>
      </c>
      <c r="E18" s="7" t="str">
        <f>VLOOKUP($A18,[8]HISTOJUIL24!$A$6:$AV$47,8,0)</f>
        <v>BANQUE</v>
      </c>
      <c r="F18" s="7">
        <f>VLOOKUP($A18,[8]HISTOJUIL24!$A$6:$AV$47,36,0)</f>
        <v>100000</v>
      </c>
      <c r="G18" s="7">
        <f>VLOOKUP($A18,[8]HISTOJUIL24!$A$6:$AV$47,39,0)</f>
        <v>1000</v>
      </c>
      <c r="H18" s="7">
        <f>IF(G18=0,0,VLOOKUP($A18,[8]HISTOJUIL24!$A$6:$AV$47,42,0))</f>
        <v>0</v>
      </c>
      <c r="I18" s="7">
        <f>VLOOKUP($A18,[8]HISTOJUIL24!$A$6:$AV$47,41,0)</f>
        <v>0</v>
      </c>
      <c r="J18" s="7">
        <f>TONTJUIN24!F18+TONTJUIN24!G18</f>
        <v>102000</v>
      </c>
      <c r="K18" s="7">
        <f>VLOOKUP($A18,[8]HISTOJUIL24!$A$6:$AV$47,17,0)</f>
        <v>102000</v>
      </c>
      <c r="L18" s="7" t="str">
        <f>IF(K18&lt;&gt;0,VLOOKUP($A18,[8]HISTOJUIL24!$A$6:$BB$47,8,0),"ECHEC")</f>
        <v>BANQUE</v>
      </c>
      <c r="M18" s="7">
        <f>IF(P18=0,0,VLOOKUP($A18,[8]HISTOJUIL24!$A$6:$AV$47,32,0))</f>
        <v>0</v>
      </c>
      <c r="N18" s="7">
        <f>VLOOKUP($A18,[8]HISTOJUIL24!$A$6:$AV$47,33,0)</f>
        <v>0</v>
      </c>
      <c r="O18" s="7">
        <f t="shared" si="0"/>
        <v>0</v>
      </c>
      <c r="P18" s="7">
        <f>VLOOKUP($A18,[8]HISTOJUIL24!$A$6:$AV$47,30,0)</f>
        <v>0</v>
      </c>
    </row>
    <row r="19" spans="1:16" x14ac:dyDescent="0.35">
      <c r="A19" s="1" t="s">
        <v>19</v>
      </c>
      <c r="B19" s="7">
        <f>IF(D19=0,0,VLOOKUP($A19,[8]HISTOJUIL24!$A$6:$BB$47,12,0))</f>
        <v>1</v>
      </c>
      <c r="C19" s="1" t="str">
        <f>VLOOKUP(A19,[9]LISTADHERENT!A$5:H$60,3,0)</f>
        <v>YOUMBI EMMANUEL</v>
      </c>
      <c r="D19" s="7">
        <f>IF(E19="ECHEC",0,VLOOKUP($A19,[8]HISTOJUIL24!$A$6:$AR$47,13,0))</f>
        <v>75000</v>
      </c>
      <c r="E19" s="7" t="str">
        <f>VLOOKUP($A19,[8]HISTOJUIL24!$A$6:$AV$47,8,0)</f>
        <v>BANQUE</v>
      </c>
      <c r="F19" s="7">
        <f>VLOOKUP($A19,[8]HISTOJUIL24!$A$6:$AV$47,36,0)</f>
        <v>0</v>
      </c>
      <c r="G19" s="7">
        <f>VLOOKUP($A19,[8]HISTOJUIL24!$A$6:$AV$47,39,0)</f>
        <v>0</v>
      </c>
      <c r="H19" s="7">
        <f>IF(G19=0,0,VLOOKUP($A19,[8]HISTOJUIL24!$A$6:$AV$47,42,0))</f>
        <v>0</v>
      </c>
      <c r="I19" s="7">
        <f>VLOOKUP($A19,[8]HISTOJUIL24!$A$6:$AV$47,41,0)</f>
        <v>0</v>
      </c>
      <c r="J19" s="7">
        <f>TONTJUIN24!F19+TONTJUIN24!G19</f>
        <v>0</v>
      </c>
      <c r="K19" s="7">
        <f>VLOOKUP($A19,[8]HISTOJUIL24!$A$6:$AV$47,17,0)</f>
        <v>0</v>
      </c>
      <c r="L19" s="7" t="str">
        <f>IF(K19&lt;&gt;0,VLOOKUP($A19,[8]HISTOJUIL24!$A$6:$BB$47,8,0),"ECHEC")</f>
        <v>ECHEC</v>
      </c>
      <c r="M19" s="7">
        <f>IF(P19=0,0,VLOOKUP($A19,[8]HISTOJUIL24!$A$6:$AV$47,32,0))</f>
        <v>0</v>
      </c>
      <c r="N19" s="7">
        <f>VLOOKUP($A19,[8]HISTOJUIL24!$A$6:$AV$47,33,0)</f>
        <v>0</v>
      </c>
      <c r="O19" s="7">
        <f t="shared" si="0"/>
        <v>0</v>
      </c>
      <c r="P19" s="7">
        <f>VLOOKUP($A19,[8]HISTOJUIL24!$A$6:$AV$47,30,0)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569000</v>
      </c>
      <c r="G22" s="8">
        <f t="shared" si="1"/>
        <v>7000</v>
      </c>
      <c r="H22" s="8">
        <f t="shared" si="1"/>
        <v>0</v>
      </c>
      <c r="I22" s="8">
        <f t="shared" si="1"/>
        <v>0</v>
      </c>
      <c r="J22" s="8">
        <f t="shared" si="1"/>
        <v>261500</v>
      </c>
      <c r="K22" s="8">
        <f t="shared" si="1"/>
        <v>261500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D22+E28+P22+TONTJUIN24!M29</f>
        <v>1469000</v>
      </c>
      <c r="L24" s="5"/>
      <c r="N24" s="5"/>
    </row>
    <row r="25" spans="1:16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900000</v>
      </c>
      <c r="L25" s="8">
        <f>D3</f>
        <v>1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SUMIFS(K7:K18,L7:L18,"BANQUE")</f>
        <v>261500</v>
      </c>
      <c r="F26" s="8">
        <f>SUMIFS(F7:F21,H7:H21,"BANQUE")</f>
        <v>469000</v>
      </c>
      <c r="G26" s="8">
        <f>SUMIFS(O7:O21,M7:M21,"BANQUE")</f>
        <v>892500</v>
      </c>
      <c r="H26" s="8">
        <f>D26+E26-F26-G26</f>
        <v>100000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569000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261500</v>
      </c>
      <c r="F28" s="8">
        <f>F25+F26</f>
        <v>469000</v>
      </c>
      <c r="G28" s="8">
        <f t="shared" ref="G28:H28" si="2">G25+G26</f>
        <v>892500</v>
      </c>
      <c r="H28" s="8">
        <f t="shared" si="2"/>
        <v>100000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7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4"/>
  <sheetViews>
    <sheetView workbookViewId="0">
      <pane xSplit="3" ySplit="5" topLeftCell="D15" activePane="bottomRight" state="frozen"/>
      <selection activeCell="G6" sqref="G6:G39"/>
      <selection pane="topRight" activeCell="G6" sqref="G6:G39"/>
      <selection pane="bottomLeft" activeCell="G6" sqref="G6:G39"/>
      <selection pane="bottomRight" activeCell="D3" sqref="D3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ROUNDDOWN(K25/C3,0)</f>
        <v>1</v>
      </c>
      <c r="E3" s="1"/>
      <c r="L3" s="1"/>
      <c r="M3" s="1"/>
    </row>
    <row r="4" spans="1:16" s="12" customFormat="1" ht="17.5" x14ac:dyDescent="0.35">
      <c r="B4" s="13"/>
      <c r="C4" s="24">
        <v>45517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IF(D6=0,0,VLOOKUP($A6,[8]HISTOAOUT24!$A$6:$BB$47,12,0))</f>
        <v>1</v>
      </c>
      <c r="C6" s="1" t="str">
        <f>VLOOKUP(A6,[9]LISTADHERENT!A$5:H$60,3,0)</f>
        <v>ASELBY</v>
      </c>
      <c r="D6" s="7">
        <f>IF(E6="ECHEC",0,VLOOKUP($A6,[8]HISTOAOUT24!$A$6:$AR$47,13,0))</f>
        <v>75000</v>
      </c>
      <c r="E6" s="7" t="str">
        <f>VLOOKUP($A6,[8]HISTOAOUT24!$A$6:$AV$47,8,0)</f>
        <v>BANQUE</v>
      </c>
      <c r="F6" s="7">
        <f>VLOOKUP($A6,[8]HISTOAOUT24!$A$6:$AV$47,36,0)</f>
        <v>0</v>
      </c>
      <c r="G6" s="7">
        <f>VLOOKUP($A6,[8]HISTOAOUT24!$A$6:$AV$47,39,0)</f>
        <v>0</v>
      </c>
      <c r="H6" s="7">
        <f>IF(G6=0,0,VLOOKUP($A6,[8]HISTOAOUT24!$A$6:$AV$47,42,0))</f>
        <v>0</v>
      </c>
      <c r="I6" s="7">
        <f>VLOOKUP($A6,[8]HISTOAOUT24!$A$6:$AV$47,41,0)</f>
        <v>0</v>
      </c>
      <c r="J6" s="7">
        <f>TONTJUIL24!F6+TONTJUIL24!G6</f>
        <v>0</v>
      </c>
      <c r="K6" s="7">
        <f>VLOOKUP($A6,[8]HISTOAOUT24!$A$6:$AV$47,17,0)</f>
        <v>0</v>
      </c>
      <c r="L6" s="7" t="str">
        <f>IF(K6&lt;&gt;0,VLOOKUP($A6,[8]HISTOAOUT24!$A$6:$BB$47,8,0),"ECHEC")</f>
        <v>ECHEC</v>
      </c>
      <c r="M6" s="7">
        <f>IF(P6=0,0,VLOOKUP($A6,[8]HISTOAOUT24!$A$6:$AV$47,32,0))</f>
        <v>0</v>
      </c>
      <c r="N6" s="7">
        <f>VLOOKUP($A6,[8]HISTOAOUT24!$A$6:$AV$47,33,0)</f>
        <v>0</v>
      </c>
      <c r="O6" s="7">
        <f t="shared" ref="O6:O19" si="0">IF(P6=0,0,($C$3-P6))</f>
        <v>0</v>
      </c>
      <c r="P6" s="7">
        <f>VLOOKUP($A6,[8]HISTOAOUT24!$A$6:$AV$47,30,0)</f>
        <v>0</v>
      </c>
    </row>
    <row r="7" spans="1:16" x14ac:dyDescent="0.35">
      <c r="A7" s="1" t="s">
        <v>24</v>
      </c>
      <c r="B7" s="7">
        <f>IF(D7=0,0,VLOOKUP($A7,[8]HISTOAOUT24!$A$6:$BB$47,12,0))</f>
        <v>1</v>
      </c>
      <c r="C7" s="1" t="str">
        <f>VLOOKUP(A7,[9]LISTADHERENT!A$5:H$60,3,0)</f>
        <v>BOUTCHOUANG WILLIAM</v>
      </c>
      <c r="D7" s="7">
        <f>IF(E7="ECHEC",0,VLOOKUP($A7,[8]HISTOAOUT24!$A$6:$AR$47,13,0))</f>
        <v>75000</v>
      </c>
      <c r="E7" s="7" t="str">
        <f>VLOOKUP($A7,[8]HISTOAOUT24!$A$6:$AV$47,8,0)</f>
        <v>BANQUE</v>
      </c>
      <c r="F7" s="7">
        <f>VLOOKUP($A7,[8]HISTOAOUT24!$A$6:$AV$47,36,0)</f>
        <v>0</v>
      </c>
      <c r="G7" s="7">
        <f>VLOOKUP($A7,[8]HISTOAOUT24!$A$6:$AV$47,39,0)</f>
        <v>0</v>
      </c>
      <c r="H7" s="7">
        <f>IF(G7=0,0,VLOOKUP($A7,[8]HISTOAOUT24!$A$6:$AV$47,42,0))</f>
        <v>0</v>
      </c>
      <c r="I7" s="7">
        <f>VLOOKUP($A7,[8]HISTOAOUT24!$A$6:$AV$47,41,0)</f>
        <v>0</v>
      </c>
      <c r="J7" s="7">
        <f>TONTJUIL24!F7+TONTJUIL24!G7</f>
        <v>0</v>
      </c>
      <c r="K7" s="7">
        <f>VLOOKUP($A7,[8]HISTOAOUT24!$A$6:$AV$47,17,0)</f>
        <v>0</v>
      </c>
      <c r="L7" s="7" t="str">
        <f>IF(K7&lt;&gt;0,VLOOKUP($A7,[8]HISTOAOUT24!$A$6:$BB$47,8,0),"ECHEC")</f>
        <v>ECHEC</v>
      </c>
      <c r="M7" s="7">
        <f>IF(P7=0,0,VLOOKUP($A7,[8]HISTOAOUT24!$A$6:$AV$47,32,0))</f>
        <v>0</v>
      </c>
      <c r="N7" s="7">
        <f>VLOOKUP($A7,[8]HISTOAOUT24!$A$6:$AV$47,33,0)</f>
        <v>0</v>
      </c>
      <c r="O7" s="7">
        <f t="shared" si="0"/>
        <v>0</v>
      </c>
      <c r="P7" s="7">
        <f>VLOOKUP($A7,[8]HISTOAOUT24!$A$6:$AV$47,30,0)</f>
        <v>0</v>
      </c>
    </row>
    <row r="8" spans="1:16" x14ac:dyDescent="0.35">
      <c r="A8" s="1" t="s">
        <v>49</v>
      </c>
      <c r="B8" s="7">
        <f>IF(D8=0,0,VLOOKUP($A8,[8]HISTOAOUT24!$A$6:$BB$47,12,0))</f>
        <v>1</v>
      </c>
      <c r="C8" s="1" t="str">
        <f>VLOOKUP(A8,[9]LISTADHERENT!A$5:H$60,3,0)</f>
        <v>DJOMOU TCHAPDA</v>
      </c>
      <c r="D8" s="7">
        <f>IF(E8="ECHEC",0,VLOOKUP($A8,[8]HISTOAOUT24!$A$6:$AR$47,13,0))</f>
        <v>75000</v>
      </c>
      <c r="E8" s="7" t="str">
        <f>VLOOKUP($A8,[8]HISTOAOUT24!$A$6:$AV$47,8,0)</f>
        <v>BANQUE</v>
      </c>
      <c r="F8" s="7">
        <f>VLOOKUP($A8,[8]HISTOAOUT24!$A$6:$AV$47,36,0)</f>
        <v>100000</v>
      </c>
      <c r="G8" s="7">
        <f>VLOOKUP($A8,[8]HISTOAOUT24!$A$6:$AV$47,39,0)</f>
        <v>1000</v>
      </c>
      <c r="H8" s="7">
        <f>IF(G8=0,0,VLOOKUP($A8,[8]HISTOAOUT24!$A$6:$AV$47,42,0))</f>
        <v>0</v>
      </c>
      <c r="I8" s="7">
        <f>VLOOKUP($A8,[8]HISTOAOUT24!$A$6:$AV$47,41,0)</f>
        <v>0</v>
      </c>
      <c r="J8" s="7">
        <f>TONTJUIL24!F8+TONTJUIL24!G8</f>
        <v>0</v>
      </c>
      <c r="K8" s="7">
        <f>VLOOKUP($A8,[8]HISTOAOUT24!$A$6:$AV$47,17,0)</f>
        <v>0</v>
      </c>
      <c r="L8" s="7" t="str">
        <f>IF(K8&lt;&gt;0,VLOOKUP($A8,[8]HISTOAOUT24!$A$6:$BB$47,8,0),"ECHEC")</f>
        <v>ECHEC</v>
      </c>
      <c r="M8" s="7">
        <f>IF(P8=0,0,VLOOKUP($A8,[8]HISTOAOUT24!$A$6:$AV$47,32,0))</f>
        <v>0</v>
      </c>
      <c r="N8" s="7">
        <f>VLOOKUP($A8,[8]HISTOAOUT24!$A$6:$AV$47,33,0)</f>
        <v>0</v>
      </c>
      <c r="O8" s="7">
        <f t="shared" si="0"/>
        <v>0</v>
      </c>
      <c r="P8" s="7">
        <f>VLOOKUP($A8,[8]HISTOAOUT24!$A$6:$AV$47,30,0)</f>
        <v>0</v>
      </c>
    </row>
    <row r="9" spans="1:16" x14ac:dyDescent="0.35">
      <c r="A9" s="1" t="s">
        <v>25</v>
      </c>
      <c r="B9" s="7">
        <f>IF(D9=0,0,VLOOKUP($A9,[8]HISTOAOUT24!$A$6:$BB$47,12,0))</f>
        <v>1</v>
      </c>
      <c r="C9" s="1" t="str">
        <f>VLOOKUP(A9,[9]LISTADHERENT!A$5:H$60,3,0)</f>
        <v>DJOUKWE NANGUEN GUY BLAISE</v>
      </c>
      <c r="D9" s="7">
        <f>IF(E9="ECHEC",0,VLOOKUP($A9,[8]HISTOAOUT24!$A$6:$AR$47,13,0))</f>
        <v>75000</v>
      </c>
      <c r="E9" s="7" t="str">
        <f>VLOOKUP($A9,[8]HISTOAOUT24!$A$6:$AV$47,8,0)</f>
        <v>BANQUE</v>
      </c>
      <c r="F9" s="7">
        <f>VLOOKUP($A9,[8]HISTOAOUT24!$A$6:$AV$47,36,0)</f>
        <v>101500</v>
      </c>
      <c r="G9" s="7">
        <f>VLOOKUP($A9,[8]HISTOAOUT24!$A$6:$AV$47,39,0)</f>
        <v>1000</v>
      </c>
      <c r="H9" s="7" t="str">
        <f>IF(G9=0,0,VLOOKUP($A9,[8]HISTOAOUT24!$A$6:$AV$47,42,0))</f>
        <v>BANQUE</v>
      </c>
      <c r="I9" s="7">
        <f>VLOOKUP($A9,[8]HISTOAOUT24!$A$6:$AV$47,41,0)</f>
        <v>0</v>
      </c>
      <c r="J9" s="7">
        <f>TONTJUIL24!F9+TONTJUIL24!G9</f>
        <v>171000</v>
      </c>
      <c r="K9" s="7">
        <f>VLOOKUP($A9,[8]HISTOAOUT24!$A$6:$AV$47,17,0)</f>
        <v>171000</v>
      </c>
      <c r="L9" s="7" t="str">
        <f>IF(K9&lt;&gt;0,VLOOKUP($A9,[8]HISTOAOUT24!$A$6:$BB$47,8,0),"ECHEC")</f>
        <v>BANQUE</v>
      </c>
      <c r="M9" s="7">
        <f>IF(P9=0,0,VLOOKUP($A9,[8]HISTOAOUT24!$A$6:$AV$47,32,0))</f>
        <v>0</v>
      </c>
      <c r="N9" s="7">
        <f>VLOOKUP($A9,[8]HISTOAOUT24!$A$6:$AV$47,33,0)</f>
        <v>0</v>
      </c>
      <c r="O9" s="7">
        <f t="shared" si="0"/>
        <v>0</v>
      </c>
      <c r="P9" s="7">
        <f>VLOOKUP($A9,[8]HISTOAOUT24!$A$6:$AV$47,30,0)</f>
        <v>0</v>
      </c>
    </row>
    <row r="10" spans="1:16" x14ac:dyDescent="0.35">
      <c r="A10" s="1" t="s">
        <v>34</v>
      </c>
      <c r="B10" s="7">
        <f>IF(D10=0,0,VLOOKUP($A10,[8]HISTOAOUT24!$A$6:$BB$47,12,0))</f>
        <v>1</v>
      </c>
      <c r="C10" s="1" t="str">
        <f>VLOOKUP(A10,[9]LISTADHERENT!A$5:H$60,3,0)</f>
        <v>DJUOMBESSY ANTOINE</v>
      </c>
      <c r="D10" s="7">
        <f>IF(E10="ECHEC",0,VLOOKUP($A10,[8]HISTOAOUT24!$A$6:$AR$47,13,0))</f>
        <v>75000</v>
      </c>
      <c r="E10" s="7" t="str">
        <f>VLOOKUP($A10,[8]HISTOAOUT24!$A$6:$AV$47,8,0)</f>
        <v>BANQUE</v>
      </c>
      <c r="F10" s="7">
        <f>VLOOKUP($A10,[8]HISTOAOUT24!$A$6:$AV$47,36,0)</f>
        <v>0</v>
      </c>
      <c r="G10" s="7">
        <f>VLOOKUP($A10,[8]HISTOAOUT24!$A$6:$AV$47,39,0)</f>
        <v>0</v>
      </c>
      <c r="H10" s="7">
        <f>IF(G10=0,0,VLOOKUP($A10,[8]HISTOAOUT24!$A$6:$AV$47,42,0))</f>
        <v>0</v>
      </c>
      <c r="I10" s="7">
        <f>VLOOKUP($A10,[8]HISTOAOUT24!$A$6:$AV$47,41,0)</f>
        <v>0</v>
      </c>
      <c r="J10" s="7">
        <f>TONTJUIL24!F10+TONTJUIL24!G10</f>
        <v>0</v>
      </c>
      <c r="K10" s="7">
        <f>VLOOKUP($A10,[8]HISTOAOUT24!$A$6:$AV$47,17,0)</f>
        <v>0</v>
      </c>
      <c r="L10" s="7" t="str">
        <f>IF(K10&lt;&gt;0,VLOOKUP($A10,[8]HISTOAOUT24!$A$6:$BB$47,8,0),"ECHEC")</f>
        <v>ECHEC</v>
      </c>
      <c r="M10" s="7">
        <f>IF(P10=0,0,VLOOKUP($A10,[8]HISTOAOUT24!$A$6:$AV$47,32,0))</f>
        <v>0</v>
      </c>
      <c r="N10" s="7">
        <f>VLOOKUP($A10,[8]HISTOAOUT24!$A$6:$AV$47,33,0)</f>
        <v>0</v>
      </c>
      <c r="O10" s="7">
        <f t="shared" si="0"/>
        <v>0</v>
      </c>
      <c r="P10" s="7">
        <f>VLOOKUP($A10,[8]HISTOAOUT24!$A$6:$AV$47,30,0)</f>
        <v>0</v>
      </c>
    </row>
    <row r="11" spans="1:16" x14ac:dyDescent="0.35">
      <c r="A11" s="1" t="s">
        <v>18</v>
      </c>
      <c r="B11" s="7">
        <f>IF(D11=0,0,VLOOKUP($A11,[8]HISTOAOUT24!$A$6:$BB$47,12,0))</f>
        <v>1</v>
      </c>
      <c r="C11" s="1" t="str">
        <f>VLOOKUP(A11,[9]LISTADHERENT!A$5:H$60,3,0)</f>
        <v>HOTCHO BENJAMIN</v>
      </c>
      <c r="D11" s="7">
        <f>IF(E11="ECHEC",0,VLOOKUP($A11,[8]HISTOAOUT24!$A$6:$AR$47,13,0))</f>
        <v>75000</v>
      </c>
      <c r="E11" s="7" t="str">
        <f>VLOOKUP($A11,[8]HISTOAOUT24!$A$6:$AV$47,8,0)</f>
        <v>BANQUE</v>
      </c>
      <c r="F11" s="7">
        <f>VLOOKUP($A11,[8]HISTOAOUT24!$A$6:$AV$47,36,0)</f>
        <v>200000</v>
      </c>
      <c r="G11" s="7">
        <f>VLOOKUP($A11,[8]HISTOAOUT24!$A$6:$AV$47,39,0)</f>
        <v>2000</v>
      </c>
      <c r="H11" s="7" t="str">
        <f>IF(G11=0,0,VLOOKUP($A11,[8]HISTOAOUT24!$A$6:$AV$47,42,0))</f>
        <v>BANQUE</v>
      </c>
      <c r="I11" s="7">
        <f>VLOOKUP($A11,[8]HISTOAOUT24!$A$6:$AV$47,41,0)</f>
        <v>0</v>
      </c>
      <c r="J11" s="7">
        <f>TONTJUIL24!F11+TONTJUIL24!G11</f>
        <v>0</v>
      </c>
      <c r="K11" s="7">
        <f>VLOOKUP($A11,[8]HISTOAOUT24!$A$6:$AV$47,17,0)</f>
        <v>0</v>
      </c>
      <c r="L11" s="7" t="str">
        <f>IF(K11&lt;&gt;0,VLOOKUP($A11,[8]HISTOAOUT24!$A$6:$BB$47,8,0),"ECHEC")</f>
        <v>ECHEC</v>
      </c>
      <c r="M11" s="7">
        <f>IF(P11=0,0,VLOOKUP($A11,[8]HISTOAOUT24!$A$6:$AV$47,32,0))</f>
        <v>0</v>
      </c>
      <c r="N11" s="7">
        <f>VLOOKUP($A11,[8]HISTOAOUT24!$A$6:$AV$47,33,0)</f>
        <v>0</v>
      </c>
      <c r="O11" s="7">
        <f t="shared" si="0"/>
        <v>0</v>
      </c>
      <c r="P11" s="7">
        <f>VLOOKUP($A11,[8]HISTOAOUT24!$A$6:$AV$47,30,0)</f>
        <v>0</v>
      </c>
    </row>
    <row r="12" spans="1:16" x14ac:dyDescent="0.35">
      <c r="A12" s="1" t="s">
        <v>26</v>
      </c>
      <c r="B12" s="7">
        <f>IF(D12=0,0,VLOOKUP($A12,[8]HISTOAOUT24!$A$6:$BB$47,12,0))</f>
        <v>1</v>
      </c>
      <c r="C12" s="1" t="str">
        <f>VLOOKUP(A12,[9]LISTADHERENT!A$5:H$60,3,0)</f>
        <v>HENGUE PAUL OMER</v>
      </c>
      <c r="D12" s="7">
        <f>IF(E12="ECHEC",0,VLOOKUP($A12,[8]HISTOAOUT24!$A$6:$AR$47,13,0))</f>
        <v>75000</v>
      </c>
      <c r="E12" s="7" t="str">
        <f>VLOOKUP($A12,[8]HISTOAOUT24!$A$6:$AV$47,8,0)</f>
        <v>BANQUE</v>
      </c>
      <c r="F12" s="7">
        <f>VLOOKUP($A12,[8]HISTOAOUT24!$A$6:$AV$47,36,0)</f>
        <v>0</v>
      </c>
      <c r="G12" s="7">
        <f>VLOOKUP($A12,[8]HISTOAOUT24!$A$6:$AV$47,39,0)</f>
        <v>0</v>
      </c>
      <c r="H12" s="7">
        <f>IF(G12=0,0,VLOOKUP($A12,[8]HISTOAOUT24!$A$6:$AV$47,42,0))</f>
        <v>0</v>
      </c>
      <c r="I12" s="7">
        <f>VLOOKUP($A12,[8]HISTOAOUT24!$A$6:$AV$47,41,0)</f>
        <v>0</v>
      </c>
      <c r="J12" s="7">
        <f>TONTJUIL24!F12+TONTJUIL24!G12</f>
        <v>0</v>
      </c>
      <c r="K12" s="7">
        <f>VLOOKUP($A12,[8]HISTOAOUT24!$A$6:$AV$47,17,0)</f>
        <v>0</v>
      </c>
      <c r="L12" s="7" t="str">
        <f>IF(K12&lt;&gt;0,VLOOKUP($A12,[8]HISTOAOUT24!$A$6:$BB$47,8,0),"ECHEC")</f>
        <v>ECHEC</v>
      </c>
      <c r="M12" s="7">
        <f>IF(P12=0,0,VLOOKUP($A12,[8]HISTOAOUT24!$A$6:$AV$47,32,0))</f>
        <v>0</v>
      </c>
      <c r="N12" s="7">
        <f>VLOOKUP($A12,[8]HISTOAOUT24!$A$6:$AV$47,33,0)</f>
        <v>0</v>
      </c>
      <c r="O12" s="7">
        <f t="shared" si="0"/>
        <v>0</v>
      </c>
      <c r="P12" s="7">
        <f>VLOOKUP($A12,[8]HISTOAOUT24!$A$6:$AV$47,30,0)</f>
        <v>0</v>
      </c>
    </row>
    <row r="13" spans="1:16" x14ac:dyDescent="0.35">
      <c r="A13" s="1" t="s">
        <v>21</v>
      </c>
      <c r="B13" s="7">
        <f>IF(D13=0,0,VLOOKUP($A13,[8]HISTOAOUT24!$A$6:$BB$47,12,0))</f>
        <v>1</v>
      </c>
      <c r="C13" s="1" t="str">
        <f>VLOOKUP(A13,[9]LISTADHERENT!A$5:H$60,3,0)</f>
        <v>MBOGNING TUGMA GUY</v>
      </c>
      <c r="D13" s="7">
        <f>IF(E13="ECHEC",0,VLOOKUP($A13,[8]HISTOAOUT24!$A$6:$AR$47,13,0))</f>
        <v>75000</v>
      </c>
      <c r="E13" s="7" t="str">
        <f>VLOOKUP($A13,[8]HISTOAOUT24!$A$6:$AV$47,8,0)</f>
        <v>BANQUE</v>
      </c>
      <c r="F13" s="7">
        <f>VLOOKUP($A13,[8]HISTOAOUT24!$A$6:$AV$47,36,0)</f>
        <v>200000</v>
      </c>
      <c r="G13" s="7">
        <f>VLOOKUP($A13,[8]HISTOAOUT24!$A$6:$AV$47,39,0)</f>
        <v>2000</v>
      </c>
      <c r="H13" s="7" t="str">
        <f>IF(G13=0,0,VLOOKUP($A13,[8]HISTOAOUT24!$A$6:$AV$47,42,0))</f>
        <v>BANQUE</v>
      </c>
      <c r="I13" s="7">
        <f>VLOOKUP($A13,[8]HISTOAOUT24!$A$6:$AV$47,41,0)</f>
        <v>0</v>
      </c>
      <c r="J13" s="7">
        <f>TONTJUIL24!F13+TONTJUIL24!G13</f>
        <v>202500</v>
      </c>
      <c r="K13" s="7">
        <f>VLOOKUP($A13,[8]HISTOAOUT24!$A$6:$AV$47,17,0)</f>
        <v>202500</v>
      </c>
      <c r="L13" s="7" t="str">
        <f>IF(K13&lt;&gt;0,VLOOKUP($A13,[8]HISTOAOUT24!$A$6:$BB$47,8,0),"ECHEC")</f>
        <v>BANQUE</v>
      </c>
      <c r="M13" s="7">
        <f>IF(P13=0,0,VLOOKUP($A13,[8]HISTOAOUT24!$A$6:$AV$47,32,0))</f>
        <v>0</v>
      </c>
      <c r="N13" s="7">
        <f>VLOOKUP($A13,[8]HISTOAOUT24!$A$6:$AV$47,33,0)</f>
        <v>0</v>
      </c>
      <c r="O13" s="7">
        <f t="shared" si="0"/>
        <v>0</v>
      </c>
      <c r="P13" s="7">
        <f>VLOOKUP($A13,[8]HISTOAOUT24!$A$6:$AV$47,30,0)</f>
        <v>0</v>
      </c>
    </row>
    <row r="14" spans="1:16" x14ac:dyDescent="0.35">
      <c r="A14" s="1" t="s">
        <v>8</v>
      </c>
      <c r="B14" s="7">
        <f>IF(D14=0,0,VLOOKUP($A14,[8]HISTOAOUT24!$A$6:$BB$47,12,0))</f>
        <v>1</v>
      </c>
      <c r="C14" s="1" t="str">
        <f>VLOOKUP(A14,[9]LISTADHERENT!A$5:H$60,3,0)</f>
        <v>NANKAM APPOLINAIRE</v>
      </c>
      <c r="D14" s="7">
        <f>IF(E14="ECHEC",0,VLOOKUP($A14,[8]HISTOAOUT24!$A$6:$AR$47,13,0))</f>
        <v>75000</v>
      </c>
      <c r="E14" s="7" t="str">
        <f>VLOOKUP($A14,[8]HISTOAOUT24!$A$6:$AV$47,8,0)</f>
        <v>BANQUE</v>
      </c>
      <c r="F14" s="7">
        <f>VLOOKUP($A14,[8]HISTOAOUT24!$A$6:$AV$47,36,0)</f>
        <v>0</v>
      </c>
      <c r="G14" s="7">
        <f>VLOOKUP($A14,[8]HISTOAOUT24!$A$6:$AV$47,39,0)</f>
        <v>0</v>
      </c>
      <c r="H14" s="7">
        <f>IF(G14=0,0,VLOOKUP($A14,[8]HISTOAOUT24!$A$6:$AV$47,42,0))</f>
        <v>0</v>
      </c>
      <c r="I14" s="7">
        <f>VLOOKUP($A14,[8]HISTOAOUT24!$A$6:$AV$47,41,0)</f>
        <v>0</v>
      </c>
      <c r="J14" s="7">
        <f>TONTJUIL24!F14+TONTJUIL24!G14</f>
        <v>0</v>
      </c>
      <c r="K14" s="7">
        <f>VLOOKUP($A14,[8]HISTOAOUT24!$A$6:$AV$47,17,0)</f>
        <v>0</v>
      </c>
      <c r="L14" s="7" t="str">
        <f>IF(K14&lt;&gt;0,VLOOKUP($A14,[8]HISTOAOUT24!$A$6:$BB$47,8,0),"ECHEC")</f>
        <v>ECHEC</v>
      </c>
      <c r="M14" s="7">
        <f>IF(P14=0,0,VLOOKUP($A14,[8]HISTOAOUT24!$A$6:$AV$47,32,0))</f>
        <v>0</v>
      </c>
      <c r="N14" s="7">
        <f>VLOOKUP($A14,[8]HISTOAOUT24!$A$6:$AV$47,33,0)</f>
        <v>0</v>
      </c>
      <c r="O14" s="7">
        <f t="shared" si="0"/>
        <v>0</v>
      </c>
      <c r="P14" s="7">
        <f>VLOOKUP($A14,[8]HISTOAOUT24!$A$6:$AV$47,30,0)</f>
        <v>0</v>
      </c>
    </row>
    <row r="15" spans="1:16" x14ac:dyDescent="0.35">
      <c r="A15" s="1" t="s">
        <v>35</v>
      </c>
      <c r="B15" s="7">
        <f>IF(D15=0,0,VLOOKUP($A15,[8]HISTOAOUT24!$A$6:$BB$47,12,0))</f>
        <v>1</v>
      </c>
      <c r="C15" s="1" t="str">
        <f>VLOOKUP(A15,[9]LISTADHERENT!A$5:H$60,3,0)</f>
        <v>NGONDIEP CLAUDE</v>
      </c>
      <c r="D15" s="7">
        <f>IF(E15="ECHEC",0,VLOOKUP($A15,[8]HISTOAOUT24!$A$6:$AR$47,13,0))</f>
        <v>75000</v>
      </c>
      <c r="E15" s="7" t="str">
        <f>VLOOKUP($A15,[8]HISTOAOUT24!$A$6:$AV$47,8,0)</f>
        <v>BANQUE</v>
      </c>
      <c r="F15" s="7">
        <f>VLOOKUP($A15,[8]HISTOAOUT24!$A$6:$AV$47,36,0)</f>
        <v>0</v>
      </c>
      <c r="G15" s="7">
        <f>VLOOKUP($A15,[8]HISTOAOUT24!$A$6:$AV$47,39,0)</f>
        <v>0</v>
      </c>
      <c r="H15" s="7">
        <f>IF(G15=0,0,VLOOKUP($A15,[8]HISTOAOUT24!$A$6:$AV$47,42,0))</f>
        <v>0</v>
      </c>
      <c r="I15" s="7">
        <f>VLOOKUP($A15,[8]HISTOAOUT24!$A$6:$AV$47,41,0)</f>
        <v>0</v>
      </c>
      <c r="J15" s="7">
        <f>TONTJUIL24!F15+TONTJUIL24!G15</f>
        <v>0</v>
      </c>
      <c r="K15" s="7">
        <f>VLOOKUP($A15,[8]HISTOAOUT24!$A$6:$AV$47,17,0)</f>
        <v>0</v>
      </c>
      <c r="L15" s="7" t="str">
        <f>IF(K15&lt;&gt;0,VLOOKUP($A15,[8]HISTOAOUT24!$A$6:$BB$47,8,0),"ECHEC")</f>
        <v>ECHEC</v>
      </c>
      <c r="M15" s="7">
        <f>IF(P15=0,0,VLOOKUP($A15,[8]HISTOAOUT24!$A$6:$AV$47,32,0))</f>
        <v>0</v>
      </c>
      <c r="N15" s="7">
        <f>VLOOKUP($A15,[8]HISTOAOUT24!$A$6:$AV$47,33,0)</f>
        <v>0</v>
      </c>
      <c r="O15" s="7">
        <f t="shared" si="0"/>
        <v>0</v>
      </c>
      <c r="P15" s="7">
        <f>VLOOKUP($A15,[8]HISTOAOUT24!$A$6:$AV$47,30,0)</f>
        <v>0</v>
      </c>
    </row>
    <row r="16" spans="1:16" x14ac:dyDescent="0.35">
      <c r="A16" s="1" t="s">
        <v>20</v>
      </c>
      <c r="B16" s="7">
        <f>IF(D16=0,0,VLOOKUP($A16,[8]HISTOAOUT24!$A$6:$BB$47,12,0))</f>
        <v>3</v>
      </c>
      <c r="C16" s="1" t="str">
        <f>VLOOKUP(A16,[9]LISTADHERENT!A$5:H$60,3,0)</f>
        <v>NGUIEMEGNI MATHIEU BLAISE</v>
      </c>
      <c r="D16" s="7">
        <f>IF(E16="ECHEC",0,VLOOKUP($A16,[8]HISTOAOUT24!$A$6:$AR$47,13,0))</f>
        <v>225000</v>
      </c>
      <c r="E16" s="7" t="str">
        <f>VLOOKUP($A16,[8]HISTOAOUT24!$A$6:$AV$47,8,0)</f>
        <v>BANQUE</v>
      </c>
      <c r="F16" s="7">
        <f>VLOOKUP($A16,[8]HISTOAOUT24!$A$6:$AV$47,36,0)</f>
        <v>82000</v>
      </c>
      <c r="G16" s="7">
        <f>VLOOKUP($A16,[8]HISTOAOUT24!$A$6:$AV$47,39,0)</f>
        <v>1000</v>
      </c>
      <c r="H16" s="7" t="str">
        <f>IF(G16=0,0,VLOOKUP($A16,[8]HISTOAOUT24!$A$6:$AV$47,42,0))</f>
        <v>BANQUE</v>
      </c>
      <c r="I16" s="7">
        <f>VLOOKUP($A16,[8]HISTOAOUT24!$A$6:$AV$47,41,0)</f>
        <v>0</v>
      </c>
      <c r="J16" s="7">
        <f>TONTJUIL24!F16+TONTJUIL24!G16</f>
        <v>101500</v>
      </c>
      <c r="K16" s="7">
        <f>VLOOKUP($A16,[8]HISTOAOUT24!$A$6:$AV$47,17,0)</f>
        <v>101500</v>
      </c>
      <c r="L16" s="7" t="str">
        <f>IF(K16&lt;&gt;0,VLOOKUP($A16,[8]HISTOAOUT24!$A$6:$BB$47,8,0),"ECHEC")</f>
        <v>BANQUE</v>
      </c>
      <c r="M16" s="7">
        <f>IF(P16=0,0,VLOOKUP($A16,[8]HISTOAOUT24!$A$6:$AV$47,32,0))</f>
        <v>0</v>
      </c>
      <c r="N16" s="7">
        <f>VLOOKUP($A16,[8]HISTOAOUT24!$A$6:$AV$47,33,0)</f>
        <v>0</v>
      </c>
      <c r="O16" s="7">
        <f t="shared" si="0"/>
        <v>0</v>
      </c>
      <c r="P16" s="7">
        <f>VLOOKUP($A16,[8]HISTOAOUT24!$A$6:$AV$47,30,0)</f>
        <v>0</v>
      </c>
    </row>
    <row r="17" spans="1:16" x14ac:dyDescent="0.35">
      <c r="A17" s="1" t="s">
        <v>27</v>
      </c>
      <c r="B17" s="7">
        <f>IF(D17=0,0,VLOOKUP($A17,[8]HISTOAOUT24!$A$6:$BB$47,12,0))</f>
        <v>1</v>
      </c>
      <c r="C17" s="1" t="str">
        <f>VLOOKUP(A17,[9]LISTADHERENT!A$5:H$60,3,0)</f>
        <v>PATEGO NJOSSU GUSTAVE</v>
      </c>
      <c r="D17" s="7">
        <f>IF(E17="ECHEC",0,VLOOKUP($A17,[8]HISTOAOUT24!$A$6:$AR$47,13,0))</f>
        <v>75000</v>
      </c>
      <c r="E17" s="7" t="str">
        <f>VLOOKUP($A17,[8]HISTOAOUT24!$A$6:$AV$47,8,0)</f>
        <v>BANQUE</v>
      </c>
      <c r="F17" s="7">
        <f>VLOOKUP($A17,[8]HISTOAOUT24!$A$6:$AV$47,36,0)</f>
        <v>0</v>
      </c>
      <c r="G17" s="7">
        <f>VLOOKUP($A17,[8]HISTOAOUT24!$A$6:$AV$47,39,0)</f>
        <v>0</v>
      </c>
      <c r="H17" s="7">
        <f>IF(G17=0,0,VLOOKUP($A17,[8]HISTOAOUT24!$A$6:$AV$47,42,0))</f>
        <v>0</v>
      </c>
      <c r="I17" s="7">
        <f>VLOOKUP($A17,[8]HISTOAOUT24!$A$6:$AV$47,41,0)</f>
        <v>0</v>
      </c>
      <c r="J17" s="7">
        <f>TONTJUIL24!F17+TONTJUIL24!G17</f>
        <v>0</v>
      </c>
      <c r="K17" s="7">
        <f>VLOOKUP($A17,[8]HISTOAOUT24!$A$6:$AV$47,17,0)</f>
        <v>0</v>
      </c>
      <c r="L17" s="7" t="str">
        <f>IF(K17&lt;&gt;0,VLOOKUP($A17,[8]HISTOAOUT24!$A$6:$BB$47,8,0),"ECHEC")</f>
        <v>ECHEC</v>
      </c>
      <c r="M17" s="7">
        <f>IF(P17=0,0,VLOOKUP($A17,[8]HISTOAOUT24!$A$6:$AV$47,32,0))</f>
        <v>0</v>
      </c>
      <c r="N17" s="7">
        <f>VLOOKUP($A17,[8]HISTOAOUT24!$A$6:$AV$47,33,0)</f>
        <v>0</v>
      </c>
      <c r="O17" s="7">
        <f t="shared" si="0"/>
        <v>892500</v>
      </c>
      <c r="P17" s="7">
        <f>VLOOKUP($A17,[8]HISTOAOUT24!$A$6:$AV$47,30,0)</f>
        <v>7500</v>
      </c>
    </row>
    <row r="18" spans="1:16" x14ac:dyDescent="0.35">
      <c r="A18" s="9" t="s">
        <v>48</v>
      </c>
      <c r="B18" s="7">
        <f>IF(D18=0,0,VLOOKUP($A18,[8]HISTOAOUT24!$A$6:$BB$47,12,0))</f>
        <v>1</v>
      </c>
      <c r="C18" s="1" t="str">
        <f>VLOOKUP(A18,[9]LISTADHERENT!A$5:H$60,3,0)</f>
        <v>TCHOUAMOU MATHIEU</v>
      </c>
      <c r="D18" s="7">
        <f>IF(E18="ECHEC",0,VLOOKUP($A18,[8]HISTOAOUT24!$A$6:$AR$47,13,0))</f>
        <v>75000</v>
      </c>
      <c r="E18" s="7" t="str">
        <f>VLOOKUP($A18,[8]HISTOAOUT24!$A$6:$AV$47,8,0)</f>
        <v>BANQUE</v>
      </c>
      <c r="F18" s="7">
        <f>VLOOKUP($A18,[8]HISTOAOUT24!$A$6:$AV$47,36,0)</f>
        <v>200000</v>
      </c>
      <c r="G18" s="7">
        <f>VLOOKUP($A18,[8]HISTOAOUT24!$A$6:$AV$47,39,0)</f>
        <v>2000</v>
      </c>
      <c r="H18" s="7" t="str">
        <f>IF(G18=0,0,VLOOKUP($A18,[8]HISTOAOUT24!$A$6:$AV$47,42,0))</f>
        <v>BANQUE</v>
      </c>
      <c r="I18" s="7">
        <f>VLOOKUP($A18,[8]HISTOAOUT24!$A$6:$AV$47,41,0)</f>
        <v>0</v>
      </c>
      <c r="J18" s="7">
        <f>TONTJUIL24!F18+TONTJUIL24!G18</f>
        <v>101000</v>
      </c>
      <c r="K18" s="7">
        <f>VLOOKUP($A18,[8]HISTOAOUT24!$A$6:$AV$47,17,0)</f>
        <v>101000</v>
      </c>
      <c r="L18" s="7" t="str">
        <f>IF(K18&lt;&gt;0,VLOOKUP($A18,[8]HISTOAOUT24!$A$6:$BB$47,8,0),"ECHEC")</f>
        <v>BANQUE</v>
      </c>
      <c r="M18" s="7">
        <f>IF(P18=0,0,VLOOKUP($A18,[8]HISTOAOUT24!$A$6:$AV$47,32,0))</f>
        <v>0</v>
      </c>
      <c r="N18" s="7">
        <f>VLOOKUP($A18,[8]HISTOAOUT24!$A$6:$AV$47,33,0)</f>
        <v>0</v>
      </c>
      <c r="O18" s="7">
        <f t="shared" si="0"/>
        <v>0</v>
      </c>
      <c r="P18" s="7">
        <f>VLOOKUP($A18,[8]HISTOAOUT24!$A$6:$AV$47,30,0)</f>
        <v>0</v>
      </c>
    </row>
    <row r="19" spans="1:16" x14ac:dyDescent="0.35">
      <c r="A19" s="1" t="s">
        <v>19</v>
      </c>
      <c r="B19" s="7">
        <f>IF(D19=0,0,VLOOKUP($A19,[8]HISTOAOUT24!$A$6:$BB$47,12,0))</f>
        <v>1</v>
      </c>
      <c r="C19" s="1" t="str">
        <f>VLOOKUP(A19,[9]LISTADHERENT!A$5:H$60,3,0)</f>
        <v>YOUMBI EMMANUEL</v>
      </c>
      <c r="D19" s="7">
        <f>IF(E19="ECHEC",0,VLOOKUP($A19,[8]HISTOAOUT24!$A$6:$AR$47,13,0))</f>
        <v>75000</v>
      </c>
      <c r="E19" s="7" t="str">
        <f>VLOOKUP($A19,[8]HISTOAOUT24!$A$6:$AV$47,8,0)</f>
        <v>BANQUE</v>
      </c>
      <c r="F19" s="7">
        <f>VLOOKUP($A19,[8]HISTOAOUT24!$A$6:$AV$47,36,0)</f>
        <v>0</v>
      </c>
      <c r="G19" s="7">
        <f>VLOOKUP($A19,[8]HISTOAOUT24!$A$6:$AV$47,39,0)</f>
        <v>0</v>
      </c>
      <c r="H19" s="7">
        <f>IF(G19=0,0,VLOOKUP($A19,[8]HISTOAOUT24!$A$6:$AV$47,42,0))</f>
        <v>0</v>
      </c>
      <c r="I19" s="7">
        <f>VLOOKUP($A19,[8]HISTOAOUT24!$A$6:$AV$47,41,0)</f>
        <v>0</v>
      </c>
      <c r="J19" s="7">
        <f>TONTJUIL24!F19+TONTJUIL24!G19</f>
        <v>0</v>
      </c>
      <c r="K19" s="7">
        <f>VLOOKUP($A19,[8]HISTOAOUT24!$A$6:$AV$47,17,0)</f>
        <v>0</v>
      </c>
      <c r="L19" s="7" t="str">
        <f>IF(K19&lt;&gt;0,VLOOKUP($A19,[8]HISTOAOUT24!$A$6:$BB$47,8,0),"ECHEC")</f>
        <v>ECHEC</v>
      </c>
      <c r="M19" s="7">
        <f>IF(P19=0,0,VLOOKUP($A19,[8]HISTOAOUT24!$A$6:$AV$47,32,0))</f>
        <v>0</v>
      </c>
      <c r="N19" s="7">
        <f>VLOOKUP($A19,[8]HISTOAOUT24!$A$6:$AV$47,33,0)</f>
        <v>0</v>
      </c>
      <c r="O19" s="7">
        <f t="shared" si="0"/>
        <v>0</v>
      </c>
      <c r="P19" s="7">
        <f>VLOOKUP($A19,[8]HISTOAOUT24!$A$6:$AV$47,30,0)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883500</v>
      </c>
      <c r="G22" s="8">
        <f t="shared" si="1"/>
        <v>9000</v>
      </c>
      <c r="H22" s="8">
        <f t="shared" si="1"/>
        <v>0</v>
      </c>
      <c r="I22" s="8">
        <f t="shared" si="1"/>
        <v>0</v>
      </c>
      <c r="J22" s="8">
        <f t="shared" si="1"/>
        <v>576000</v>
      </c>
      <c r="K22" s="8">
        <f t="shared" si="1"/>
        <v>576000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D22+E28+P22+TONTJUIL24!M29</f>
        <v>1783500</v>
      </c>
      <c r="L24" s="5"/>
      <c r="N24" s="5"/>
    </row>
    <row r="25" spans="1:16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900000</v>
      </c>
      <c r="L25" s="8">
        <f>D3</f>
        <v>1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SUMIFS(K7:K18,L7:L18,"BANQUE")</f>
        <v>576000</v>
      </c>
      <c r="F26" s="8">
        <f>SUMIFS(F7:F21,H7:H21,"BANQUE")</f>
        <v>783500</v>
      </c>
      <c r="G26" s="8">
        <f>SUMIFS(O7:O21,M7:M21,"BANQUE")</f>
        <v>0</v>
      </c>
      <c r="H26" s="8">
        <f>D26+E26-F26-G26</f>
        <v>992500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883500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576000</v>
      </c>
      <c r="F28" s="8">
        <f>F25+F26</f>
        <v>783500</v>
      </c>
      <c r="G28" s="8">
        <f t="shared" ref="G28:H28" si="2">G25+G26</f>
        <v>0</v>
      </c>
      <c r="H28" s="8">
        <f t="shared" si="2"/>
        <v>992500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8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A16" sqref="A16:XFD16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ROUNDDOWN(K25/C3,0)</f>
        <v>2</v>
      </c>
      <c r="E3" s="1"/>
      <c r="L3" s="1"/>
      <c r="M3" s="1"/>
    </row>
    <row r="4" spans="1:16" s="12" customFormat="1" ht="17.5" x14ac:dyDescent="0.35">
      <c r="B4" s="13"/>
      <c r="C4" s="24">
        <v>45548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IF(D6=0,0,VLOOKUP($A6,[8]HISTOSEPT24!$A$6:$BB$47,12,0))</f>
        <v>1</v>
      </c>
      <c r="C6" s="1" t="str">
        <f>VLOOKUP(A6,[9]LISTADHERENT!A$5:H$60,3,0)</f>
        <v>ASELBY</v>
      </c>
      <c r="D6" s="7">
        <f>IF(E6="ECHEC",0,VLOOKUP($A6,[8]HISTOSEPT24!$A$6:$AR$47,13,0))</f>
        <v>75000</v>
      </c>
      <c r="E6" s="7" t="str">
        <f>VLOOKUP($A6,[8]HISTOSEPT24!$A$6:$AV$47,8,0)</f>
        <v>BANQUE</v>
      </c>
      <c r="F6" s="7">
        <f>VLOOKUP($A6,[8]HISTOSEPT24!$A$6:$AV$47,36,0)</f>
        <v>0</v>
      </c>
      <c r="G6" s="7">
        <f>VLOOKUP($A6,[8]HISTOSEPT24!$A$6:$AV$47,39,0)</f>
        <v>0</v>
      </c>
      <c r="H6" s="7">
        <f>IF(G6=0,0,VLOOKUP($A6,[8]HISTOSEPT24!$A$6:$AV$47,42,0))</f>
        <v>0</v>
      </c>
      <c r="I6" s="7">
        <f>VLOOKUP($A6,[8]HISTOSEPT24!$A$6:$AV$47,41,0)</f>
        <v>0</v>
      </c>
      <c r="J6" s="7">
        <f>TONTAOUT24!F6+TONTAOUT24!G6</f>
        <v>0</v>
      </c>
      <c r="K6" s="7">
        <f>VLOOKUP($A6,[8]HISTOSEPT24!$A$6:$AV$47,17,0)</f>
        <v>0</v>
      </c>
      <c r="L6" s="7" t="str">
        <f>IF(K6&lt;&gt;0,VLOOKUP($A6,[8]HISTOSEPT24!$A$6:$BB$47,8,0),"ECHEC")</f>
        <v>ECHEC</v>
      </c>
      <c r="M6" s="7">
        <f>IF(P6=0,0,VLOOKUP($A6,[8]HISTOSEPT24!$A$6:$AV$47,32,0))</f>
        <v>0</v>
      </c>
      <c r="N6" s="7">
        <f>VLOOKUP($A6,[8]HISTOSEPT24!$A$6:$AV$47,33,0)</f>
        <v>0</v>
      </c>
      <c r="O6" s="7">
        <f t="shared" ref="O6:O19" si="0">IF(P6=0,0,($C$3-P6))</f>
        <v>0</v>
      </c>
      <c r="P6" s="7">
        <f>VLOOKUP($A6,[8]HISTOSEPT24!$A$6:$AV$47,30,0)</f>
        <v>0</v>
      </c>
    </row>
    <row r="7" spans="1:16" x14ac:dyDescent="0.35">
      <c r="A7" s="1" t="s">
        <v>24</v>
      </c>
      <c r="B7" s="7">
        <f>IF(D7=0,0,VLOOKUP($A7,[8]HISTOSEPT24!$A$6:$BB$47,12,0))</f>
        <v>1</v>
      </c>
      <c r="C7" s="1" t="str">
        <f>VLOOKUP(A7,[9]LISTADHERENT!A$5:H$60,3,0)</f>
        <v>BOUTCHOUANG WILLIAM</v>
      </c>
      <c r="D7" s="7">
        <f>IF(E7="ECHEC",0,VLOOKUP($A7,[8]HISTOSEPT24!$A$6:$AR$47,13,0))</f>
        <v>75000</v>
      </c>
      <c r="E7" s="7" t="str">
        <f>VLOOKUP($A7,[8]HISTOSEPT24!$A$6:$AV$47,8,0)</f>
        <v>ESPECES</v>
      </c>
      <c r="F7" s="7">
        <f>VLOOKUP($A7,[8]HISTOSEPT24!$A$6:$AV$47,36,0)</f>
        <v>0</v>
      </c>
      <c r="G7" s="7">
        <f>VLOOKUP($A7,[8]HISTOSEPT24!$A$6:$AV$47,39,0)</f>
        <v>0</v>
      </c>
      <c r="H7" s="7">
        <f>IF(G7=0,0,VLOOKUP($A7,[8]HISTOSEPT24!$A$6:$AV$47,42,0))</f>
        <v>0</v>
      </c>
      <c r="I7" s="7">
        <f>VLOOKUP($A7,[8]HISTOSEPT24!$A$6:$AV$47,41,0)</f>
        <v>0</v>
      </c>
      <c r="J7" s="7">
        <f>TONTAOUT24!F7+TONTAOUT24!G7</f>
        <v>0</v>
      </c>
      <c r="K7" s="7">
        <f>VLOOKUP($A7,[8]HISTOSEPT24!$A$6:$AV$47,17,0)</f>
        <v>0</v>
      </c>
      <c r="L7" s="7" t="str">
        <f>IF(K7&lt;&gt;0,VLOOKUP($A7,[8]HISTOSEPT24!$A$6:$BB$47,8,0),"ECHEC")</f>
        <v>ECHEC</v>
      </c>
      <c r="M7" s="7" t="str">
        <f>IF(P7=0,0,VLOOKUP($A7,[8]HISTOSEPT24!$A$6:$AV$47,32,0))</f>
        <v>BANQUE</v>
      </c>
      <c r="N7" s="7">
        <f>VLOOKUP($A7,[8]HISTOSEPT24!$A$6:$AV$47,33,0)</f>
        <v>0</v>
      </c>
      <c r="O7" s="7">
        <f t="shared" si="0"/>
        <v>892500</v>
      </c>
      <c r="P7" s="7">
        <f>VLOOKUP($A7,[8]HISTOSEPT24!$A$6:$AV$47,30,0)</f>
        <v>7500</v>
      </c>
    </row>
    <row r="8" spans="1:16" x14ac:dyDescent="0.35">
      <c r="A8" s="1" t="s">
        <v>49</v>
      </c>
      <c r="B8" s="7">
        <f>IF(D8=0,0,VLOOKUP($A8,[8]HISTOSEPT24!$A$6:$BB$47,12,0))</f>
        <v>1</v>
      </c>
      <c r="C8" s="1" t="str">
        <f>VLOOKUP(A8,[9]LISTADHERENT!A$5:H$60,3,0)</f>
        <v>DJOMOU TCHAPDA</v>
      </c>
      <c r="D8" s="7">
        <f>IF(E8="ECHEC",0,VLOOKUP($A8,[8]HISTOSEPT24!$A$6:$AR$47,13,0))</f>
        <v>75000</v>
      </c>
      <c r="E8" s="7" t="str">
        <f>VLOOKUP($A8,[8]HISTOSEPT24!$A$6:$AV$47,8,0)</f>
        <v>ESPECES</v>
      </c>
      <c r="F8" s="7">
        <f>VLOOKUP($A8,[8]HISTOSEPT24!$A$6:$AV$47,36,0)</f>
        <v>50000</v>
      </c>
      <c r="G8" s="7">
        <f>VLOOKUP($A8,[8]HISTOSEPT24!$A$6:$AV$47,39,0)</f>
        <v>1000</v>
      </c>
      <c r="H8" s="7" t="str">
        <f>IF(G8=0,0,VLOOKUP($A8,[8]HISTOSEPT24!$A$6:$AV$47,42,0))</f>
        <v>BANQUE</v>
      </c>
      <c r="I8" s="7">
        <f>VLOOKUP($A8,[8]HISTOSEPT24!$A$6:$AV$47,41,0)</f>
        <v>0</v>
      </c>
      <c r="J8" s="7">
        <f>TONTAOUT24!F8+TONTAOUT24!G8</f>
        <v>101000</v>
      </c>
      <c r="K8" s="7">
        <f>VLOOKUP($A8,[8]HISTOSEPT24!$A$6:$AV$47,17,0)</f>
        <v>101000</v>
      </c>
      <c r="L8" s="7" t="str">
        <f>IF(K8&lt;&gt;0,VLOOKUP($A8,[8]HISTOSEPT24!$A$6:$BB$47,8,0),"ECHEC")</f>
        <v>ESPECES</v>
      </c>
      <c r="M8" s="7">
        <f>IF(P8=0,0,VLOOKUP($A8,[8]HISTOSEPT24!$A$6:$AV$47,32,0))</f>
        <v>0</v>
      </c>
      <c r="N8" s="7">
        <f>VLOOKUP($A8,[8]HISTOSEPT24!$A$6:$AV$47,33,0)</f>
        <v>0</v>
      </c>
      <c r="O8" s="7">
        <f t="shared" si="0"/>
        <v>0</v>
      </c>
      <c r="P8" s="7">
        <f>VLOOKUP($A8,[8]HISTOSEPT24!$A$6:$AV$47,30,0)</f>
        <v>0</v>
      </c>
    </row>
    <row r="9" spans="1:16" x14ac:dyDescent="0.35">
      <c r="A9" s="1" t="s">
        <v>25</v>
      </c>
      <c r="B9" s="7">
        <f>IF(D9=0,0,VLOOKUP($A9,[8]HISTOSEPT24!$A$6:$BB$47,12,0))</f>
        <v>1</v>
      </c>
      <c r="C9" s="1" t="str">
        <f>VLOOKUP(A9,[9]LISTADHERENT!A$5:H$60,3,0)</f>
        <v>DJOUKWE NANGUEN GUY BLAISE</v>
      </c>
      <c r="D9" s="7">
        <f>IF(E9="ECHEC",0,VLOOKUP($A9,[8]HISTOSEPT24!$A$6:$AR$47,13,0))</f>
        <v>75000</v>
      </c>
      <c r="E9" s="7" t="str">
        <f>VLOOKUP($A9,[8]HISTOSEPT24!$A$6:$AV$47,8,0)</f>
        <v>BANQUE</v>
      </c>
      <c r="F9" s="7">
        <f>VLOOKUP($A9,[8]HISTOSEPT24!$A$6:$AV$47,36,0)</f>
        <v>50000</v>
      </c>
      <c r="G9" s="7">
        <f>VLOOKUP($A9,[8]HISTOSEPT24!$A$6:$AV$47,39,0)</f>
        <v>1000</v>
      </c>
      <c r="H9" s="7" t="str">
        <f>IF(G9=0,0,VLOOKUP($A9,[8]HISTOSEPT24!$A$6:$AV$47,42,0))</f>
        <v>BANQUE</v>
      </c>
      <c r="I9" s="7">
        <f>VLOOKUP($A9,[8]HISTOSEPT24!$A$6:$AV$47,41,0)</f>
        <v>0</v>
      </c>
      <c r="J9" s="7">
        <f>TONTAOUT24!F9+TONTAOUT24!G9</f>
        <v>102500</v>
      </c>
      <c r="K9" s="7">
        <f>VLOOKUP($A9,[8]HISTOSEPT24!$A$6:$AV$47,17,0)</f>
        <v>102500</v>
      </c>
      <c r="L9" s="7" t="str">
        <f>IF(K9&lt;&gt;0,VLOOKUP($A9,[8]HISTOSEPT24!$A$6:$BB$47,8,0),"ECHEC")</f>
        <v>BANQUE</v>
      </c>
      <c r="M9" s="7">
        <f>IF(P9=0,0,VLOOKUP($A9,[8]HISTOSEPT24!$A$6:$AV$47,32,0))</f>
        <v>0</v>
      </c>
      <c r="N9" s="7">
        <f>VLOOKUP($A9,[8]HISTOSEPT24!$A$6:$AV$47,33,0)</f>
        <v>0</v>
      </c>
      <c r="O9" s="7">
        <f t="shared" si="0"/>
        <v>0</v>
      </c>
      <c r="P9" s="7">
        <f>VLOOKUP($A9,[8]HISTOSEPT24!$A$6:$AV$47,30,0)</f>
        <v>0</v>
      </c>
    </row>
    <row r="10" spans="1:16" x14ac:dyDescent="0.35">
      <c r="A10" s="1" t="s">
        <v>34</v>
      </c>
      <c r="B10" s="7">
        <f>IF(D10=0,0,VLOOKUP($A10,[8]HISTOSEPT24!$A$6:$BB$47,12,0))</f>
        <v>1</v>
      </c>
      <c r="C10" s="1" t="str">
        <f>VLOOKUP(A10,[9]LISTADHERENT!A$5:H$60,3,0)</f>
        <v>DJUOMBESSY ANTOINE</v>
      </c>
      <c r="D10" s="7">
        <f>IF(E10="ECHEC",0,VLOOKUP($A10,[8]HISTOSEPT24!$A$6:$AR$47,13,0))</f>
        <v>75000</v>
      </c>
      <c r="E10" s="7" t="str">
        <f>VLOOKUP($A10,[8]HISTOSEPT24!$A$6:$AV$47,8,0)</f>
        <v>BANQUE</v>
      </c>
      <c r="F10" s="7">
        <f>VLOOKUP($A10,[8]HISTOSEPT24!$A$6:$AV$47,36,0)</f>
        <v>0</v>
      </c>
      <c r="G10" s="7">
        <f>VLOOKUP($A10,[8]HISTOSEPT24!$A$6:$AV$47,39,0)</f>
        <v>0</v>
      </c>
      <c r="H10" s="7">
        <f>IF(G10=0,0,VLOOKUP($A10,[8]HISTOSEPT24!$A$6:$AV$47,42,0))</f>
        <v>0</v>
      </c>
      <c r="I10" s="7">
        <f>VLOOKUP($A10,[8]HISTOSEPT24!$A$6:$AV$47,41,0)</f>
        <v>0</v>
      </c>
      <c r="J10" s="7">
        <f>TONTAOUT24!F10+TONTAOUT24!G10</f>
        <v>0</v>
      </c>
      <c r="K10" s="7">
        <f>VLOOKUP($A10,[8]HISTOSEPT24!$A$6:$AV$47,17,0)</f>
        <v>0</v>
      </c>
      <c r="L10" s="7" t="str">
        <f>IF(K10&lt;&gt;0,VLOOKUP($A10,[8]HISTOSEPT24!$A$6:$BB$47,8,0),"ECHEC")</f>
        <v>ECHEC</v>
      </c>
      <c r="M10" s="7">
        <f>IF(P10=0,0,VLOOKUP($A10,[8]HISTOSEPT24!$A$6:$AV$47,32,0))</f>
        <v>0</v>
      </c>
      <c r="N10" s="7">
        <f>VLOOKUP($A10,[8]HISTOSEPT24!$A$6:$AV$47,33,0)</f>
        <v>0</v>
      </c>
      <c r="O10" s="7">
        <f t="shared" si="0"/>
        <v>0</v>
      </c>
      <c r="P10" s="7">
        <f>VLOOKUP($A10,[8]HISTOSEPT24!$A$6:$AV$47,30,0)</f>
        <v>0</v>
      </c>
    </row>
    <row r="11" spans="1:16" x14ac:dyDescent="0.35">
      <c r="A11" s="1" t="s">
        <v>18</v>
      </c>
      <c r="B11" s="7">
        <f>IF(D11=0,0,VLOOKUP($A11,[8]HISTOSEPT24!$A$6:$BB$47,12,0))</f>
        <v>1</v>
      </c>
      <c r="C11" s="1" t="str">
        <f>VLOOKUP(A11,[9]LISTADHERENT!A$5:H$60,3,0)</f>
        <v>HOTCHO BENJAMIN</v>
      </c>
      <c r="D11" s="7">
        <f>IF(E11="ECHEC",0,VLOOKUP($A11,[8]HISTOSEPT24!$A$6:$AR$47,13,0))</f>
        <v>75000</v>
      </c>
      <c r="E11" s="7" t="str">
        <f>VLOOKUP($A11,[8]HISTOSEPT24!$A$6:$AV$47,8,0)</f>
        <v>BANQUE</v>
      </c>
      <c r="F11" s="7">
        <f>VLOOKUP($A11,[8]HISTOSEPT24!$A$6:$AV$47,36,0)</f>
        <v>0</v>
      </c>
      <c r="G11" s="7">
        <f>VLOOKUP($A11,[8]HISTOSEPT24!$A$6:$AV$47,39,0)</f>
        <v>0</v>
      </c>
      <c r="H11" s="7">
        <f>IF(G11=0,0,VLOOKUP($A11,[8]HISTOSEPT24!$A$6:$AV$47,42,0))</f>
        <v>0</v>
      </c>
      <c r="I11" s="7">
        <f>VLOOKUP($A11,[8]HISTOSEPT24!$A$6:$AV$47,41,0)</f>
        <v>0</v>
      </c>
      <c r="J11" s="7">
        <f>TONTAOUT24!F11+TONTAOUT24!G11</f>
        <v>202000</v>
      </c>
      <c r="K11" s="7">
        <f>VLOOKUP($A11,[8]HISTOSEPT24!$A$6:$AV$47,17,0)</f>
        <v>202000</v>
      </c>
      <c r="L11" s="7" t="str">
        <f>IF(K11&lt;&gt;0,VLOOKUP($A11,[8]HISTOSEPT24!$A$6:$BB$47,8,0),"ECHEC")</f>
        <v>BANQUE</v>
      </c>
      <c r="M11" s="7">
        <f>IF(P11=0,0,VLOOKUP($A11,[8]HISTOSEPT24!$A$6:$AV$47,32,0))</f>
        <v>0</v>
      </c>
      <c r="N11" s="7">
        <f>VLOOKUP($A11,[8]HISTOSEPT24!$A$6:$AV$47,33,0)</f>
        <v>0</v>
      </c>
      <c r="O11" s="7">
        <f t="shared" si="0"/>
        <v>0</v>
      </c>
      <c r="P11" s="7">
        <f>VLOOKUP($A11,[8]HISTOSEPT24!$A$6:$AV$47,30,0)</f>
        <v>0</v>
      </c>
    </row>
    <row r="12" spans="1:16" x14ac:dyDescent="0.35">
      <c r="A12" s="1" t="s">
        <v>26</v>
      </c>
      <c r="B12" s="7">
        <f>IF(D12=0,0,VLOOKUP($A12,[8]HISTOSEPT24!$A$6:$BB$47,12,0))</f>
        <v>1</v>
      </c>
      <c r="C12" s="1" t="str">
        <f>VLOOKUP(A12,[9]LISTADHERENT!A$5:H$60,3,0)</f>
        <v>HENGUE PAUL OMER</v>
      </c>
      <c r="D12" s="7">
        <f>IF(E12="ECHEC",0,VLOOKUP($A12,[8]HISTOSEPT24!$A$6:$AR$47,13,0))</f>
        <v>75000</v>
      </c>
      <c r="E12" s="7" t="str">
        <f>VLOOKUP($A12,[8]HISTOSEPT24!$A$6:$AV$47,8,0)</f>
        <v>BANQUE</v>
      </c>
      <c r="F12" s="7">
        <f>VLOOKUP($A12,[8]HISTOSEPT24!$A$6:$AV$47,36,0)</f>
        <v>0</v>
      </c>
      <c r="G12" s="7">
        <f>VLOOKUP($A12,[8]HISTOSEPT24!$A$6:$AV$47,39,0)</f>
        <v>0</v>
      </c>
      <c r="H12" s="7">
        <f>IF(G12=0,0,VLOOKUP($A12,[8]HISTOSEPT24!$A$6:$AV$47,42,0))</f>
        <v>0</v>
      </c>
      <c r="I12" s="7">
        <f>VLOOKUP($A12,[8]HISTOSEPT24!$A$6:$AV$47,41,0)</f>
        <v>0</v>
      </c>
      <c r="J12" s="7">
        <f>TONTAOUT24!F12+TONTAOUT24!G12</f>
        <v>0</v>
      </c>
      <c r="K12" s="7">
        <f>VLOOKUP($A12,[8]HISTOSEPT24!$A$6:$AV$47,17,0)</f>
        <v>0</v>
      </c>
      <c r="L12" s="7" t="str">
        <f>IF(K12&lt;&gt;0,VLOOKUP($A12,[8]HISTOSEPT24!$A$6:$BB$47,8,0),"ECHEC")</f>
        <v>ECHEC</v>
      </c>
      <c r="M12" s="7">
        <f>IF(P12=0,0,VLOOKUP($A12,[8]HISTOSEPT24!$A$6:$AV$47,32,0))</f>
        <v>0</v>
      </c>
      <c r="N12" s="7">
        <f>VLOOKUP($A12,[8]HISTOSEPT24!$A$6:$AV$47,33,0)</f>
        <v>0</v>
      </c>
      <c r="O12" s="7">
        <f t="shared" si="0"/>
        <v>0</v>
      </c>
      <c r="P12" s="7">
        <f>VLOOKUP($A12,[8]HISTOSEPT24!$A$6:$AV$47,30,0)</f>
        <v>0</v>
      </c>
    </row>
    <row r="13" spans="1:16" x14ac:dyDescent="0.35">
      <c r="A13" s="1" t="s">
        <v>21</v>
      </c>
      <c r="B13" s="7">
        <f>IF(D13=0,0,VLOOKUP($A13,[8]HISTOSEPT24!$A$6:$BB$47,12,0))</f>
        <v>1</v>
      </c>
      <c r="C13" s="1" t="str">
        <f>VLOOKUP(A13,[9]LISTADHERENT!A$5:H$60,3,0)</f>
        <v>MBOGNING TUGMA GUY</v>
      </c>
      <c r="D13" s="7">
        <f>IF(E13="ECHEC",0,VLOOKUP($A13,[8]HISTOSEPT24!$A$6:$AR$47,13,0))</f>
        <v>75000</v>
      </c>
      <c r="E13" s="7" t="str">
        <f>VLOOKUP($A13,[8]HISTOSEPT24!$A$6:$AV$47,8,0)</f>
        <v>BANQUE</v>
      </c>
      <c r="F13" s="7">
        <f>VLOOKUP($A13,[8]HISTOSEPT24!$A$6:$AV$47,36,0)</f>
        <v>50000</v>
      </c>
      <c r="G13" s="7">
        <f>VLOOKUP($A13,[8]HISTOSEPT24!$A$6:$AV$47,39,0)</f>
        <v>1000</v>
      </c>
      <c r="H13" s="7" t="str">
        <f>IF(G13=0,0,VLOOKUP($A13,[8]HISTOSEPT24!$A$6:$AV$47,42,0))</f>
        <v>BANQUE</v>
      </c>
      <c r="I13" s="7">
        <f>VLOOKUP($A13,[8]HISTOSEPT24!$A$6:$AV$47,41,0)</f>
        <v>0</v>
      </c>
      <c r="J13" s="7">
        <f>TONTAOUT24!F13+TONTAOUT24!G13</f>
        <v>202000</v>
      </c>
      <c r="K13" s="7">
        <f>VLOOKUP($A13,[8]HISTOSEPT24!$A$6:$AV$47,17,0)</f>
        <v>202000</v>
      </c>
      <c r="L13" s="7" t="str">
        <f>IF(K13&lt;&gt;0,VLOOKUP($A13,[8]HISTOSEPT24!$A$6:$BB$47,8,0),"ECHEC")</f>
        <v>BANQUE</v>
      </c>
      <c r="M13" s="7">
        <f>IF(P13=0,0,VLOOKUP($A13,[8]HISTOSEPT24!$A$6:$AV$47,32,0))</f>
        <v>0</v>
      </c>
      <c r="N13" s="7">
        <f>VLOOKUP($A13,[8]HISTOSEPT24!$A$6:$AV$47,33,0)</f>
        <v>0</v>
      </c>
      <c r="O13" s="7">
        <f t="shared" si="0"/>
        <v>0</v>
      </c>
      <c r="P13" s="7">
        <f>VLOOKUP($A13,[8]HISTOSEPT24!$A$6:$AV$47,30,0)</f>
        <v>0</v>
      </c>
    </row>
    <row r="14" spans="1:16" x14ac:dyDescent="0.35">
      <c r="A14" s="1" t="s">
        <v>8</v>
      </c>
      <c r="B14" s="7">
        <f>IF(D14=0,0,VLOOKUP($A14,[8]HISTOSEPT24!$A$6:$BB$47,12,0))</f>
        <v>1</v>
      </c>
      <c r="C14" s="1" t="str">
        <f>VLOOKUP(A14,[9]LISTADHERENT!A$5:H$60,3,0)</f>
        <v>NANKAM APPOLINAIRE</v>
      </c>
      <c r="D14" s="7">
        <f>IF(E14="ECHEC",0,VLOOKUP($A14,[8]HISTOSEPT24!$A$6:$AR$47,13,0))</f>
        <v>75000</v>
      </c>
      <c r="E14" s="7" t="str">
        <f>VLOOKUP($A14,[8]HISTOSEPT24!$A$6:$AV$47,8,0)</f>
        <v>BANQUE</v>
      </c>
      <c r="F14" s="7">
        <f>VLOOKUP($A14,[8]HISTOSEPT24!$A$6:$AV$47,36,0)</f>
        <v>0</v>
      </c>
      <c r="G14" s="7">
        <f>VLOOKUP($A14,[8]HISTOSEPT24!$A$6:$AV$47,39,0)</f>
        <v>0</v>
      </c>
      <c r="H14" s="7">
        <f>IF(G14=0,0,VLOOKUP($A14,[8]HISTOSEPT24!$A$6:$AV$47,42,0))</f>
        <v>0</v>
      </c>
      <c r="I14" s="7">
        <f>VLOOKUP($A14,[8]HISTOSEPT24!$A$6:$AV$47,41,0)</f>
        <v>0</v>
      </c>
      <c r="J14" s="7">
        <f>TONTAOUT24!F14+TONTAOUT24!G14</f>
        <v>0</v>
      </c>
      <c r="K14" s="7">
        <f>VLOOKUP($A14,[8]HISTOSEPT24!$A$6:$AV$47,17,0)</f>
        <v>0</v>
      </c>
      <c r="L14" s="7" t="str">
        <f>IF(K14&lt;&gt;0,VLOOKUP($A14,[8]HISTOSEPT24!$A$6:$BB$47,8,0),"ECHEC")</f>
        <v>ECHEC</v>
      </c>
      <c r="M14" s="7">
        <f>IF(P14=0,0,VLOOKUP($A14,[8]HISTOSEPT24!$A$6:$AV$47,32,0))</f>
        <v>0</v>
      </c>
      <c r="N14" s="7">
        <f>VLOOKUP($A14,[8]HISTOSEPT24!$A$6:$AV$47,33,0)</f>
        <v>0</v>
      </c>
      <c r="O14" s="7">
        <f t="shared" si="0"/>
        <v>0</v>
      </c>
      <c r="P14" s="7">
        <f>VLOOKUP($A14,[8]HISTOSEPT24!$A$6:$AV$47,30,0)</f>
        <v>0</v>
      </c>
    </row>
    <row r="15" spans="1:16" x14ac:dyDescent="0.35">
      <c r="A15" s="1" t="s">
        <v>35</v>
      </c>
      <c r="B15" s="7">
        <f>IF(D15=0,0,VLOOKUP($A15,[8]HISTOSEPT24!$A$6:$BB$47,12,0))</f>
        <v>1</v>
      </c>
      <c r="C15" s="1" t="str">
        <f>VLOOKUP(A15,[9]LISTADHERENT!A$5:H$60,3,0)</f>
        <v>NGONDIEP CLAUDE</v>
      </c>
      <c r="D15" s="7">
        <f>IF(E15="ECHEC",0,VLOOKUP($A15,[8]HISTOSEPT24!$A$6:$AR$47,13,0))</f>
        <v>75000</v>
      </c>
      <c r="E15" s="7" t="str">
        <f>VLOOKUP($A15,[8]HISTOSEPT24!$A$6:$AV$47,8,0)</f>
        <v>BANQUE</v>
      </c>
      <c r="F15" s="7">
        <f>VLOOKUP($A15,[8]HISTOSEPT24!$A$6:$AV$47,36,0)</f>
        <v>0</v>
      </c>
      <c r="G15" s="7">
        <f>VLOOKUP($A15,[8]HISTOSEPT24!$A$6:$AV$47,39,0)</f>
        <v>0</v>
      </c>
      <c r="H15" s="7">
        <f>IF(G15=0,0,VLOOKUP($A15,[8]HISTOSEPT24!$A$6:$AV$47,42,0))</f>
        <v>0</v>
      </c>
      <c r="I15" s="7">
        <f>VLOOKUP($A15,[8]HISTOSEPT24!$A$6:$AV$47,41,0)</f>
        <v>0</v>
      </c>
      <c r="J15" s="7">
        <f>TONTAOUT24!F15+TONTAOUT24!G15</f>
        <v>0</v>
      </c>
      <c r="K15" s="7">
        <f>VLOOKUP($A15,[8]HISTOSEPT24!$A$6:$AV$47,17,0)</f>
        <v>0</v>
      </c>
      <c r="L15" s="7" t="str">
        <f>IF(K15&lt;&gt;0,VLOOKUP($A15,[8]HISTOSEPT24!$A$6:$BB$47,8,0),"ECHEC")</f>
        <v>ECHEC</v>
      </c>
      <c r="M15" s="7">
        <f>IF(P15=0,0,VLOOKUP($A15,[8]HISTOSEPT24!$A$6:$AV$47,32,0))</f>
        <v>0</v>
      </c>
      <c r="N15" s="7">
        <f>VLOOKUP($A15,[8]HISTOSEPT24!$A$6:$AV$47,33,0)</f>
        <v>0</v>
      </c>
      <c r="O15" s="7">
        <f t="shared" si="0"/>
        <v>0</v>
      </c>
      <c r="P15" s="7">
        <f>VLOOKUP($A15,[8]HISTOSEPT24!$A$6:$AV$47,30,0)</f>
        <v>0</v>
      </c>
    </row>
    <row r="16" spans="1:16" x14ac:dyDescent="0.35">
      <c r="A16" s="1" t="s">
        <v>20</v>
      </c>
      <c r="B16" s="7">
        <f>IF(D16=0,0,VLOOKUP($A16,[8]HISTOSEPT24!$A$6:$BB$47,12,0))</f>
        <v>3</v>
      </c>
      <c r="C16" s="1" t="str">
        <f>VLOOKUP(A16,[9]LISTADHERENT!A$5:H$60,3,0)</f>
        <v>NGUIEMEGNI MATHIEU BLAISE</v>
      </c>
      <c r="D16" s="7">
        <f>IF(E16="ECHEC",0,VLOOKUP($A16,[8]HISTOSEPT24!$A$6:$AR$47,13,0))</f>
        <v>225000</v>
      </c>
      <c r="E16" s="7" t="str">
        <f>VLOOKUP($A16,[8]HISTOSEPT24!$A$6:$AV$47,8,0)</f>
        <v>BANQUE</v>
      </c>
      <c r="F16" s="7">
        <f>VLOOKUP($A16,[8]HISTOSEPT24!$A$6:$AV$47,36,0)</f>
        <v>50000</v>
      </c>
      <c r="G16" s="7">
        <f>VLOOKUP($A16,[8]HISTOSEPT24!$A$6:$AV$47,39,0)</f>
        <v>1000</v>
      </c>
      <c r="H16" s="7" t="str">
        <f>IF(G16=0,0,VLOOKUP($A16,[8]HISTOSEPT24!$A$6:$AV$47,42,0))</f>
        <v>BANQUE</v>
      </c>
      <c r="I16" s="7">
        <f>VLOOKUP($A16,[8]HISTOSEPT24!$A$6:$AV$47,41,0)</f>
        <v>0</v>
      </c>
      <c r="J16" s="7">
        <f>TONTAOUT24!F16+TONTAOUT24!G16</f>
        <v>83000</v>
      </c>
      <c r="K16" s="7">
        <f>VLOOKUP($A16,[8]HISTOSEPT24!$A$6:$AV$47,17,0)</f>
        <v>83000</v>
      </c>
      <c r="L16" s="7" t="str">
        <f>IF(K16&lt;&gt;0,VLOOKUP($A16,[8]HISTOSEPT24!$A$6:$BB$47,8,0),"ECHEC")</f>
        <v>BANQUE</v>
      </c>
      <c r="M16" s="7" t="str">
        <f>IF(P16=0,0,VLOOKUP($A16,[8]HISTOSEPT24!$A$6:$AV$47,32,0))</f>
        <v>BANQUE</v>
      </c>
      <c r="N16" s="7">
        <f>VLOOKUP($A16,[8]HISTOSEPT24!$A$6:$AV$47,33,0)</f>
        <v>0</v>
      </c>
      <c r="O16" s="7">
        <f t="shared" si="0"/>
        <v>892500</v>
      </c>
      <c r="P16" s="7">
        <f>VLOOKUP($A16,[8]HISTOSEPT24!$A$6:$AV$47,30,0)</f>
        <v>7500</v>
      </c>
    </row>
    <row r="17" spans="1:16" x14ac:dyDescent="0.35">
      <c r="A17" s="1" t="s">
        <v>27</v>
      </c>
      <c r="B17" s="7">
        <f>IF(D17=0,0,VLOOKUP($A17,[8]HISTOSEPT24!$A$6:$BB$47,12,0))</f>
        <v>1</v>
      </c>
      <c r="C17" s="1" t="str">
        <f>VLOOKUP(A17,[9]LISTADHERENT!A$5:H$60,3,0)</f>
        <v>PATEGO NJOSSU GUSTAVE</v>
      </c>
      <c r="D17" s="7">
        <f>IF(E17="ECHEC",0,VLOOKUP($A17,[8]HISTOSEPT24!$A$6:$AR$47,13,0))</f>
        <v>75000</v>
      </c>
      <c r="E17" s="7" t="str">
        <f>VLOOKUP($A17,[8]HISTOSEPT24!$A$6:$AV$47,8,0)</f>
        <v>BANQUE</v>
      </c>
      <c r="F17" s="7">
        <f>VLOOKUP($A17,[8]HISTOSEPT24!$A$6:$AV$47,36,0)</f>
        <v>0</v>
      </c>
      <c r="G17" s="7">
        <f>VLOOKUP($A17,[8]HISTOSEPT24!$A$6:$AV$47,39,0)</f>
        <v>0</v>
      </c>
      <c r="H17" s="7">
        <f>IF(G17=0,0,VLOOKUP($A17,[8]HISTOSEPT24!$A$6:$AV$47,42,0))</f>
        <v>0</v>
      </c>
      <c r="I17" s="7">
        <f>VLOOKUP($A17,[8]HISTOSEPT24!$A$6:$AV$47,41,0)</f>
        <v>0</v>
      </c>
      <c r="J17" s="7">
        <f>TONTAOUT24!F17+TONTAOUT24!G17</f>
        <v>0</v>
      </c>
      <c r="K17" s="7">
        <f>VLOOKUP($A17,[8]HISTOSEPT24!$A$6:$AV$47,17,0)</f>
        <v>0</v>
      </c>
      <c r="L17" s="7" t="str">
        <f>IF(K17&lt;&gt;0,VLOOKUP($A17,[8]HISTOSEPT24!$A$6:$BB$47,8,0),"ECHEC")</f>
        <v>ECHEC</v>
      </c>
      <c r="M17" s="7">
        <f>IF(P17=0,0,VLOOKUP($A17,[8]HISTOSEPT24!$A$6:$AV$47,32,0))</f>
        <v>0</v>
      </c>
      <c r="N17" s="7">
        <f>VLOOKUP($A17,[8]HISTOSEPT24!$A$6:$AV$47,33,0)</f>
        <v>0</v>
      </c>
      <c r="O17" s="7">
        <f t="shared" si="0"/>
        <v>0</v>
      </c>
      <c r="P17" s="7">
        <f>VLOOKUP($A17,[8]HISTOSEPT24!$A$6:$AV$47,30,0)</f>
        <v>0</v>
      </c>
    </row>
    <row r="18" spans="1:16" x14ac:dyDescent="0.35">
      <c r="A18" s="9" t="s">
        <v>48</v>
      </c>
      <c r="B18" s="7">
        <f>IF(D18=0,0,VLOOKUP($A18,[8]HISTOSEPT24!$A$6:$BB$47,12,0))</f>
        <v>1</v>
      </c>
      <c r="C18" s="1" t="str">
        <f>VLOOKUP(A18,[9]LISTADHERENT!A$5:H$60,3,0)</f>
        <v>TCHOUAMOU MATHIEU</v>
      </c>
      <c r="D18" s="7">
        <f>IF(E18="ECHEC",0,VLOOKUP($A18,[8]HISTOSEPT24!$A$6:$AR$47,13,0))</f>
        <v>75000</v>
      </c>
      <c r="E18" s="7" t="str">
        <f>VLOOKUP($A18,[8]HISTOSEPT24!$A$6:$AV$47,8,0)</f>
        <v>BANQUE</v>
      </c>
      <c r="F18" s="7">
        <f>VLOOKUP($A18,[8]HISTOSEPT24!$A$6:$AV$47,36,0)</f>
        <v>107500</v>
      </c>
      <c r="G18" s="7">
        <f>VLOOKUP($A18,[8]HISTOSEPT24!$A$6:$AV$47,39,0)</f>
        <v>2000</v>
      </c>
      <c r="H18" s="7" t="str">
        <f>IF(G18=0,0,VLOOKUP($A18,[8]HISTOSEPT24!$A$6:$AV$47,42,0))</f>
        <v>BANQUE</v>
      </c>
      <c r="I18" s="7">
        <f>VLOOKUP($A18,[8]HISTOSEPT24!$A$6:$AV$47,41,0)</f>
        <v>0</v>
      </c>
      <c r="J18" s="7">
        <f>TONTAOUT24!F18+TONTAOUT24!G18</f>
        <v>202000</v>
      </c>
      <c r="K18" s="7">
        <f>VLOOKUP($A18,[8]HISTOSEPT24!$A$6:$AV$47,17,0)</f>
        <v>202000</v>
      </c>
      <c r="L18" s="7" t="str">
        <f>IF(K18&lt;&gt;0,VLOOKUP($A18,[8]HISTOSEPT24!$A$6:$BB$47,8,0),"ECHEC")</f>
        <v>BANQUE</v>
      </c>
      <c r="M18" s="7">
        <f>IF(P18=0,0,VLOOKUP($A18,[8]HISTOSEPT24!$A$6:$AV$47,32,0))</f>
        <v>0</v>
      </c>
      <c r="N18" s="7">
        <f>VLOOKUP($A18,[8]HISTOSEPT24!$A$6:$AV$47,33,0)</f>
        <v>0</v>
      </c>
      <c r="O18" s="7">
        <f t="shared" si="0"/>
        <v>0</v>
      </c>
      <c r="P18" s="7">
        <f>VLOOKUP($A18,[8]HISTOSEPT24!$A$6:$AV$47,30,0)</f>
        <v>0</v>
      </c>
    </row>
    <row r="19" spans="1:16" x14ac:dyDescent="0.35">
      <c r="A19" s="1" t="s">
        <v>19</v>
      </c>
      <c r="B19" s="7">
        <f>IF(D19=0,0,VLOOKUP($A19,[8]HISTOSEPT24!$A$6:$BB$47,12,0))</f>
        <v>1</v>
      </c>
      <c r="C19" s="1" t="str">
        <f>VLOOKUP(A19,[9]LISTADHERENT!A$5:H$60,3,0)</f>
        <v>YOUMBI EMMANUEL</v>
      </c>
      <c r="D19" s="7">
        <f>IF(E19="ECHEC",0,VLOOKUP($A19,[8]HISTOSEPT24!$A$6:$AR$47,13,0))</f>
        <v>75000</v>
      </c>
      <c r="E19" s="7" t="str">
        <f>VLOOKUP($A19,[8]HISTOSEPT24!$A$6:$AV$47,8,0)</f>
        <v>BANQUE</v>
      </c>
      <c r="F19" s="7">
        <f>VLOOKUP($A19,[8]HISTOSEPT24!$A$6:$AV$47,36,0)</f>
        <v>0</v>
      </c>
      <c r="G19" s="7">
        <f>VLOOKUP($A19,[8]HISTOSEPT24!$A$6:$AV$47,39,0)</f>
        <v>0</v>
      </c>
      <c r="H19" s="7">
        <f>IF(G19=0,0,VLOOKUP($A19,[8]HISTOSEPT24!$A$6:$AV$47,42,0))</f>
        <v>0</v>
      </c>
      <c r="I19" s="7">
        <f>VLOOKUP($A19,[8]HISTOSEPT24!$A$6:$AV$47,41,0)</f>
        <v>0</v>
      </c>
      <c r="J19" s="7">
        <f>TONTAOUT24!F19+TONTAOUT24!G19</f>
        <v>0</v>
      </c>
      <c r="K19" s="7">
        <f>VLOOKUP($A19,[8]HISTOSEPT24!$A$6:$AV$47,17,0)</f>
        <v>0</v>
      </c>
      <c r="L19" s="7" t="str">
        <f>IF(K19&lt;&gt;0,VLOOKUP($A19,[8]HISTOSEPT24!$A$6:$BB$47,8,0),"ECHEC")</f>
        <v>ECHEC</v>
      </c>
      <c r="M19" s="7">
        <f>IF(P19=0,0,VLOOKUP($A19,[8]HISTOSEPT24!$A$6:$AV$47,32,0))</f>
        <v>0</v>
      </c>
      <c r="N19" s="7">
        <f>VLOOKUP($A19,[8]HISTOSEPT24!$A$6:$AV$47,33,0)</f>
        <v>0</v>
      </c>
      <c r="O19" s="7">
        <f t="shared" si="0"/>
        <v>0</v>
      </c>
      <c r="P19" s="7">
        <f>VLOOKUP($A19,[8]HISTOSEPT24!$A$6:$AV$47,30,0)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307500</v>
      </c>
      <c r="G22" s="8">
        <f t="shared" si="1"/>
        <v>6000</v>
      </c>
      <c r="H22" s="8">
        <f t="shared" si="1"/>
        <v>0</v>
      </c>
      <c r="I22" s="8">
        <f t="shared" si="1"/>
        <v>0</v>
      </c>
      <c r="J22" s="8">
        <f t="shared" si="1"/>
        <v>892500</v>
      </c>
      <c r="K22" s="8">
        <f t="shared" si="1"/>
        <v>892500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1785000</v>
      </c>
      <c r="P22" s="8">
        <f t="shared" si="1"/>
        <v>15000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D22+E28+P22+TONTAOUT24!M29</f>
        <v>2107500</v>
      </c>
      <c r="L24" s="5"/>
      <c r="N24" s="5"/>
    </row>
    <row r="25" spans="1:16" s="2" customFormat="1" ht="17.5" x14ac:dyDescent="0.35">
      <c r="D25" s="8">
        <f>SUMIFS(D6:D21,E6:E21,"ESPECES")</f>
        <v>150000</v>
      </c>
      <c r="E25" s="8">
        <f>SUMIFS(K7:K18,L7:L18,"ESPECES")</f>
        <v>101000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251000</v>
      </c>
      <c r="I25" s="8"/>
      <c r="J25" s="8" t="s">
        <v>32</v>
      </c>
      <c r="K25" s="8">
        <f>C3*COUNTIF(O7:O21,"&gt;0")</f>
        <v>1800000</v>
      </c>
      <c r="L25" s="8">
        <f>D3</f>
        <v>2</v>
      </c>
      <c r="M25" s="8">
        <f>COUNTIF(O7:O18,"&gt;0")</f>
        <v>2</v>
      </c>
      <c r="N25" s="8"/>
    </row>
    <row r="26" spans="1:16" s="2" customFormat="1" ht="17.5" x14ac:dyDescent="0.35">
      <c r="D26" s="8">
        <f>SUMIFS(D6:D21,E6:E21,"BANQUE")</f>
        <v>1050000</v>
      </c>
      <c r="E26" s="8">
        <f>SUMIFS(K7:K18,L7:L18,"BANQUE")</f>
        <v>791500</v>
      </c>
      <c r="F26" s="8">
        <f>SUMIFS(F7:F21,H7:H21,"BANQUE")</f>
        <v>307500</v>
      </c>
      <c r="G26" s="8">
        <f>SUMIFS(O7:O21,M7:M21,"BANQUE")</f>
        <v>1785000</v>
      </c>
      <c r="H26" s="8">
        <f>D26+E26-F26-G26</f>
        <v>-251000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K24-K25+2000</f>
        <v>309500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892500</v>
      </c>
      <c r="F28" s="8">
        <f>F25+F26</f>
        <v>307500</v>
      </c>
      <c r="G28" s="8">
        <f t="shared" ref="G28:H28" si="2">G25+G26</f>
        <v>1785000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2000</v>
      </c>
      <c r="L29"/>
      <c r="M29" s="8">
        <f>K29</f>
        <v>2000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9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4"/>
  <sheetViews>
    <sheetView zoomScale="95" zoomScaleNormal="95" workbookViewId="0">
      <pane xSplit="3" ySplit="5" topLeftCell="G15" activePane="bottomRight" state="frozen"/>
      <selection activeCell="G6" sqref="G6:G39"/>
      <selection pane="topRight" activeCell="G6" sqref="G6:G39"/>
      <selection pane="bottomLeft" activeCell="G6" sqref="G6:G39"/>
      <selection pane="bottomRight" activeCell="K34" sqref="K34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7.5" x14ac:dyDescent="0.35">
      <c r="B4" s="13"/>
      <c r="C4" s="24">
        <v>45578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IF(D6=0,0,VLOOKUP($A6,[8]HISTOOCT24!$A$6:$BB$47,12,0))</f>
        <v>1</v>
      </c>
      <c r="C6" s="1" t="str">
        <f>VLOOKUP(A6,[9]LISTADHERENT!A$5:H$60,3,0)</f>
        <v>ASELBY</v>
      </c>
      <c r="D6" s="7">
        <f>IF(E6="ECHEC",0,VLOOKUP($A6,[8]HISTOOCT24!$A$6:$AR$47,13,0))</f>
        <v>75000</v>
      </c>
      <c r="E6" s="7" t="str">
        <f>VLOOKUP($A6,[8]HISTOOCT24!$A$6:$AV$47,8,0)</f>
        <v>BANQUE</v>
      </c>
      <c r="F6" s="7">
        <f>VLOOKUP($A6,[8]HISTOOCT24!$A$6:$AV$47,36,0)</f>
        <v>0</v>
      </c>
      <c r="G6" s="7">
        <f>VLOOKUP($A6,[8]HISTOOCT24!$A$6:$AV$47,39,0)</f>
        <v>0</v>
      </c>
      <c r="H6" s="7">
        <f>IF(G6=0,0,VLOOKUP($A6,[8]HISTOOCT24!$A$6:$AV$47,42,0))</f>
        <v>0</v>
      </c>
      <c r="I6" s="7">
        <f>VLOOKUP($A6,[8]HISTOOCT24!$A$6:$AV$47,41,0)</f>
        <v>0</v>
      </c>
      <c r="J6" s="7">
        <f>TONTSEPT24!F6+TONTSEPT24!G6</f>
        <v>0</v>
      </c>
      <c r="K6" s="7">
        <f>VLOOKUP($A6,[8]HISTOOCT24!$A$6:$AV$47,17,0)</f>
        <v>0</v>
      </c>
      <c r="L6" s="7" t="str">
        <f>IF(K6&lt;&gt;0,VLOOKUP($A6,[8]HISTOOCT24!$A$6:$BB$47,8,0),"ECHEC")</f>
        <v>ECHEC</v>
      </c>
      <c r="M6" s="7">
        <f>IF(P6=0,0,VLOOKUP($A6,[8]HISTOOCT24!$A$6:$AV$47,32,0))</f>
        <v>0</v>
      </c>
      <c r="N6" s="7">
        <f>VLOOKUP($A6,[8]HISTOOCT24!$A$6:$AV$47,33,0)</f>
        <v>0</v>
      </c>
      <c r="O6" s="7">
        <f t="shared" ref="O6:O19" si="0">IF(P6=0,0,($C$3-P6))</f>
        <v>0</v>
      </c>
      <c r="P6" s="7">
        <f>VLOOKUP($A6,[8]HISTOOCT24!$A$6:$AV$47,30,0)</f>
        <v>0</v>
      </c>
    </row>
    <row r="7" spans="1:16" x14ac:dyDescent="0.35">
      <c r="A7" s="1" t="s">
        <v>24</v>
      </c>
      <c r="B7" s="7">
        <f>IF(D7=0,0,VLOOKUP($A7,[8]HISTOOCT24!$A$6:$BB$47,12,0))</f>
        <v>1</v>
      </c>
      <c r="C7" s="1" t="str">
        <f>VLOOKUP(A7,[9]LISTADHERENT!A$5:H$60,3,0)</f>
        <v>BOUTCHOUANG WILLIAM</v>
      </c>
      <c r="D7" s="7">
        <f>IF(E7="ECHEC",0,VLOOKUP($A7,[8]HISTOOCT24!$A$6:$AR$47,13,0))</f>
        <v>75000</v>
      </c>
      <c r="E7" s="7" t="str">
        <f>VLOOKUP($A7,[8]HISTOOCT24!$A$6:$AV$47,8,0)</f>
        <v>BANQUE</v>
      </c>
      <c r="F7" s="7">
        <f>VLOOKUP($A7,[8]HISTOOCT24!$A$6:$AV$47,36,0)</f>
        <v>0</v>
      </c>
      <c r="G7" s="7">
        <f>VLOOKUP($A7,[8]HISTOOCT24!$A$6:$AV$47,39,0)</f>
        <v>0</v>
      </c>
      <c r="H7" s="7">
        <f>IF(G7=0,0,VLOOKUP($A7,[8]HISTOOCT24!$A$6:$AV$47,42,0))</f>
        <v>0</v>
      </c>
      <c r="I7" s="7">
        <f>VLOOKUP($A7,[8]HISTOOCT24!$A$6:$AV$47,41,0)</f>
        <v>0</v>
      </c>
      <c r="J7" s="7">
        <f>TONTSEPT24!F7+TONTSEPT24!G7</f>
        <v>0</v>
      </c>
      <c r="K7" s="7">
        <f>VLOOKUP($A7,[8]HISTOOCT24!$A$6:$AV$47,17,0)</f>
        <v>0</v>
      </c>
      <c r="L7" s="7" t="str">
        <f>IF(K7&lt;&gt;0,VLOOKUP($A7,[8]HISTOOCT24!$A$6:$BB$47,8,0),"ECHEC")</f>
        <v>ECHEC</v>
      </c>
      <c r="M7" s="7">
        <f>IF(P7=0,0,VLOOKUP($A7,[8]HISTOOCT24!$A$6:$AV$47,32,0))</f>
        <v>0</v>
      </c>
      <c r="N7" s="7">
        <f>VLOOKUP($A7,[8]HISTOOCT24!$A$6:$AV$47,33,0)</f>
        <v>0</v>
      </c>
      <c r="O7" s="7">
        <f t="shared" si="0"/>
        <v>0</v>
      </c>
      <c r="P7" s="7">
        <f>VLOOKUP($A7,[8]HISTOOCT24!$A$6:$AV$47,30,0)</f>
        <v>0</v>
      </c>
    </row>
    <row r="8" spans="1:16" x14ac:dyDescent="0.35">
      <c r="A8" s="1" t="s">
        <v>49</v>
      </c>
      <c r="B8" s="7">
        <f>IF(D8=0,0,VLOOKUP($A8,[8]HISTOOCT24!$A$6:$BB$47,12,0))</f>
        <v>1</v>
      </c>
      <c r="C8" s="1" t="str">
        <f>VLOOKUP(A8,[9]LISTADHERENT!A$5:H$60,3,0)</f>
        <v>DJOMOU TCHAPDA</v>
      </c>
      <c r="D8" s="7">
        <f>IF(E8="ECHEC",0,VLOOKUP($A8,[8]HISTOOCT24!$A$6:$AR$47,13,0))</f>
        <v>75000</v>
      </c>
      <c r="E8" s="7" t="str">
        <f>VLOOKUP($A8,[8]HISTOOCT24!$A$6:$AV$47,8,0)</f>
        <v>BANQUE</v>
      </c>
      <c r="F8" s="7">
        <f>VLOOKUP($A8,[8]HISTOOCT24!$A$6:$AV$47,36,0)</f>
        <v>100000</v>
      </c>
      <c r="G8" s="7">
        <f>VLOOKUP($A8,[8]HISTOOCT24!$A$6:$AV$47,39,0)</f>
        <v>1000</v>
      </c>
      <c r="H8" s="7" t="str">
        <f>IF(G8=0,0,VLOOKUP($A8,[8]HISTOOCT24!$A$6:$AV$47,42,0))</f>
        <v>BANQUE</v>
      </c>
      <c r="I8" s="7">
        <f>VLOOKUP($A8,[8]HISTOOCT24!$A$6:$AV$47,41,0)</f>
        <v>0</v>
      </c>
      <c r="J8" s="7">
        <f>TONTSEPT24!F8+TONTSEPT24!G8</f>
        <v>51000</v>
      </c>
      <c r="K8" s="7">
        <f>VLOOKUP($A8,[8]HISTOOCT24!$A$6:$AV$47,17,0)</f>
        <v>51000</v>
      </c>
      <c r="L8" s="7" t="str">
        <f>IF(K8&lt;&gt;0,VLOOKUP($A8,[8]HISTOOCT24!$A$6:$BB$47,8,0),"ECHEC")</f>
        <v>BANQUE</v>
      </c>
      <c r="M8" s="7">
        <f>IF(P8=0,0,VLOOKUP($A8,[8]HISTOOCT24!$A$6:$AV$47,32,0))</f>
        <v>0</v>
      </c>
      <c r="N8" s="7">
        <f>VLOOKUP($A8,[8]HISTOOCT24!$A$6:$AV$47,33,0)</f>
        <v>0</v>
      </c>
      <c r="O8" s="7">
        <f t="shared" si="0"/>
        <v>0</v>
      </c>
      <c r="P8" s="7">
        <f>VLOOKUP($A8,[8]HISTOOCT24!$A$6:$AV$47,30,0)</f>
        <v>0</v>
      </c>
    </row>
    <row r="9" spans="1:16" x14ac:dyDescent="0.35">
      <c r="A9" s="1" t="s">
        <v>25</v>
      </c>
      <c r="B9" s="7">
        <f>IF(D9=0,0,VLOOKUP($A9,[8]HISTOOCT24!$A$6:$BB$47,12,0))</f>
        <v>1</v>
      </c>
      <c r="C9" s="1" t="str">
        <f>VLOOKUP(A9,[9]LISTADHERENT!A$5:H$60,3,0)</f>
        <v>DJOUKWE NANGUEN GUY BLAISE</v>
      </c>
      <c r="D9" s="7">
        <f>IF(E9="ECHEC",0,VLOOKUP($A9,[8]HISTOOCT24!$A$6:$AR$47,13,0))</f>
        <v>75000</v>
      </c>
      <c r="E9" s="7" t="str">
        <f>VLOOKUP($A9,[8]HISTOOCT24!$A$6:$AV$47,8,0)</f>
        <v>BANQUE</v>
      </c>
      <c r="F9" s="7">
        <f>VLOOKUP($A9,[8]HISTOOCT24!$A$6:$AV$47,36,0)</f>
        <v>100000</v>
      </c>
      <c r="G9" s="7">
        <f>VLOOKUP($A9,[8]HISTOOCT24!$A$6:$AV$47,39,0)</f>
        <v>1000</v>
      </c>
      <c r="H9" s="7" t="str">
        <f>IF(G9=0,0,VLOOKUP($A9,[8]HISTOOCT24!$A$6:$AV$47,42,0))</f>
        <v>BANQUE</v>
      </c>
      <c r="I9" s="7">
        <f>VLOOKUP($A9,[8]HISTOOCT24!$A$6:$AV$47,41,0)</f>
        <v>0</v>
      </c>
      <c r="J9" s="7">
        <f>TONTSEPT24!F9+TONTSEPT24!G9</f>
        <v>51000</v>
      </c>
      <c r="K9" s="7">
        <f>VLOOKUP($A9,[8]HISTOOCT24!$A$6:$AV$47,17,0)</f>
        <v>51000</v>
      </c>
      <c r="L9" s="7" t="str">
        <f>IF(K9&lt;&gt;0,VLOOKUP($A9,[8]HISTOOCT24!$A$6:$BB$47,8,0),"ECHEC")</f>
        <v>BANQUE</v>
      </c>
      <c r="M9" s="7">
        <f>IF(P9=0,0,VLOOKUP($A9,[8]HISTOOCT24!$A$6:$AV$47,32,0))</f>
        <v>0</v>
      </c>
      <c r="N9" s="7">
        <f>VLOOKUP($A9,[8]HISTOOCT24!$A$6:$AV$47,33,0)</f>
        <v>0</v>
      </c>
      <c r="O9" s="7">
        <f t="shared" si="0"/>
        <v>0</v>
      </c>
      <c r="P9" s="7">
        <f>VLOOKUP($A9,[8]HISTOOCT24!$A$6:$AV$47,30,0)</f>
        <v>0</v>
      </c>
    </row>
    <row r="10" spans="1:16" x14ac:dyDescent="0.35">
      <c r="A10" s="1" t="s">
        <v>34</v>
      </c>
      <c r="B10" s="7">
        <f>IF(D10=0,0,VLOOKUP($A10,[8]HISTOOCT24!$A$6:$BB$47,12,0))</f>
        <v>1</v>
      </c>
      <c r="C10" s="1" t="str">
        <f>VLOOKUP(A10,[9]LISTADHERENT!A$5:H$60,3,0)</f>
        <v>DJUOMBESSY ANTOINE</v>
      </c>
      <c r="D10" s="7">
        <f>IF(E10="ECHEC",0,VLOOKUP($A10,[8]HISTOOCT24!$A$6:$AR$47,13,0))</f>
        <v>75000</v>
      </c>
      <c r="E10" s="7" t="str">
        <f>VLOOKUP($A10,[8]HISTOOCT24!$A$6:$AV$47,8,0)</f>
        <v>BANQUE</v>
      </c>
      <c r="F10" s="7">
        <f>VLOOKUP($A10,[8]HISTOOCT24!$A$6:$AV$47,36,0)</f>
        <v>0</v>
      </c>
      <c r="G10" s="7">
        <f>VLOOKUP($A10,[8]HISTOOCT24!$A$6:$AV$47,39,0)</f>
        <v>0</v>
      </c>
      <c r="H10" s="7">
        <f>IF(G10=0,0,VLOOKUP($A10,[8]HISTOOCT24!$A$6:$AV$47,42,0))</f>
        <v>0</v>
      </c>
      <c r="I10" s="7">
        <f>VLOOKUP($A10,[8]HISTOOCT24!$A$6:$AV$47,41,0)</f>
        <v>0</v>
      </c>
      <c r="J10" s="7">
        <f>TONTSEPT24!F10+TONTSEPT24!G10</f>
        <v>0</v>
      </c>
      <c r="K10" s="7">
        <f>VLOOKUP($A10,[8]HISTOOCT24!$A$6:$AV$47,17,0)</f>
        <v>0</v>
      </c>
      <c r="L10" s="7" t="str">
        <f>IF(K10&lt;&gt;0,VLOOKUP($A10,[8]HISTOOCT24!$A$6:$BB$47,8,0),"ECHEC")</f>
        <v>ECHEC</v>
      </c>
      <c r="M10" s="7">
        <f>IF(P10=0,0,VLOOKUP($A10,[8]HISTOOCT24!$A$6:$AV$47,32,0))</f>
        <v>0</v>
      </c>
      <c r="N10" s="7">
        <f>VLOOKUP($A10,[8]HISTOOCT24!$A$6:$AV$47,33,0)</f>
        <v>0</v>
      </c>
      <c r="O10" s="7">
        <f t="shared" si="0"/>
        <v>0</v>
      </c>
      <c r="P10" s="7">
        <f>VLOOKUP($A10,[8]HISTOOCT24!$A$6:$AV$47,30,0)</f>
        <v>0</v>
      </c>
    </row>
    <row r="11" spans="1:16" x14ac:dyDescent="0.35">
      <c r="A11" s="1" t="s">
        <v>18</v>
      </c>
      <c r="B11" s="7">
        <f>IF(D11=0,0,VLOOKUP($A11,[8]HISTOOCT24!$A$6:$BB$47,12,0))</f>
        <v>1</v>
      </c>
      <c r="C11" s="1" t="str">
        <f>VLOOKUP(A11,[9]LISTADHERENT!A$5:H$60,3,0)</f>
        <v>HOTCHO BENJAMIN</v>
      </c>
      <c r="D11" s="7">
        <f>IF(E11="ECHEC",0,VLOOKUP($A11,[8]HISTOOCT24!$A$6:$AR$47,13,0))</f>
        <v>75000</v>
      </c>
      <c r="E11" s="7" t="str">
        <f>VLOOKUP($A11,[8]HISTOOCT24!$A$6:$AV$47,8,0)</f>
        <v>BANQUE</v>
      </c>
      <c r="F11" s="7">
        <f>VLOOKUP($A11,[8]HISTOOCT24!$A$6:$AV$47,36,0)</f>
        <v>0</v>
      </c>
      <c r="G11" s="7">
        <f>VLOOKUP($A11,[8]HISTOOCT24!$A$6:$AV$47,39,0)</f>
        <v>0</v>
      </c>
      <c r="H11" s="7">
        <f>IF(G11=0,0,VLOOKUP($A11,[8]HISTOOCT24!$A$6:$AV$47,42,0))</f>
        <v>0</v>
      </c>
      <c r="I11" s="7">
        <f>VLOOKUP($A11,[8]HISTOOCT24!$A$6:$AV$47,41,0)</f>
        <v>0</v>
      </c>
      <c r="J11" s="7">
        <f>TONTSEPT24!F11+TONTSEPT24!G11</f>
        <v>0</v>
      </c>
      <c r="K11" s="7">
        <f>VLOOKUP($A11,[8]HISTOOCT24!$A$6:$AV$47,17,0)</f>
        <v>0</v>
      </c>
      <c r="L11" s="7" t="str">
        <f>IF(K11&lt;&gt;0,VLOOKUP($A11,[8]HISTOOCT24!$A$6:$BB$47,8,0),"ECHEC")</f>
        <v>ECHEC</v>
      </c>
      <c r="M11" s="7">
        <f>IF(P11=0,0,VLOOKUP($A11,[8]HISTOOCT24!$A$6:$AV$47,32,0))</f>
        <v>0</v>
      </c>
      <c r="N11" s="7">
        <f>VLOOKUP($A11,[8]HISTOOCT24!$A$6:$AV$47,33,0)</f>
        <v>0</v>
      </c>
      <c r="O11" s="7">
        <f t="shared" si="0"/>
        <v>0</v>
      </c>
      <c r="P11" s="7">
        <f>VLOOKUP($A11,[8]HISTOOCT24!$A$6:$AV$47,30,0)</f>
        <v>0</v>
      </c>
    </row>
    <row r="12" spans="1:16" x14ac:dyDescent="0.35">
      <c r="A12" s="1" t="s">
        <v>26</v>
      </c>
      <c r="B12" s="7">
        <f>IF(D12=0,0,VLOOKUP($A12,[8]HISTOOCT24!$A$6:$BB$47,12,0))</f>
        <v>1</v>
      </c>
      <c r="C12" s="1" t="str">
        <f>VLOOKUP(A12,[9]LISTADHERENT!A$5:H$60,3,0)</f>
        <v>HENGUE PAUL OMER</v>
      </c>
      <c r="D12" s="7">
        <f>IF(E12="ECHEC",0,VLOOKUP($A12,[8]HISTOOCT24!$A$6:$AR$47,13,0))</f>
        <v>75000</v>
      </c>
      <c r="E12" s="7" t="str">
        <f>VLOOKUP($A12,[8]HISTOOCT24!$A$6:$AV$47,8,0)</f>
        <v>BANQUE</v>
      </c>
      <c r="F12" s="7">
        <f>VLOOKUP($A12,[8]HISTOOCT24!$A$6:$AV$47,36,0)</f>
        <v>0</v>
      </c>
      <c r="G12" s="7">
        <f>VLOOKUP($A12,[8]HISTOOCT24!$A$6:$AV$47,39,0)</f>
        <v>0</v>
      </c>
      <c r="H12" s="7">
        <f>IF(G12=0,0,VLOOKUP($A12,[8]HISTOOCT24!$A$6:$AV$47,42,0))</f>
        <v>0</v>
      </c>
      <c r="I12" s="7">
        <f>VLOOKUP($A12,[8]HISTOOCT24!$A$6:$AV$47,41,0)</f>
        <v>0</v>
      </c>
      <c r="J12" s="7">
        <f>TONTSEPT24!F12+TONTSEPT24!G12</f>
        <v>0</v>
      </c>
      <c r="K12" s="7">
        <f>VLOOKUP($A12,[8]HISTOOCT24!$A$6:$AV$47,17,0)</f>
        <v>0</v>
      </c>
      <c r="L12" s="7" t="str">
        <f>IF(K12&lt;&gt;0,VLOOKUP($A12,[8]HISTOOCT24!$A$6:$BB$47,8,0),"ECHEC")</f>
        <v>ECHEC</v>
      </c>
      <c r="M12" s="7">
        <f>IF(P12=0,0,VLOOKUP($A12,[8]HISTOOCT24!$A$6:$AV$47,32,0))</f>
        <v>0</v>
      </c>
      <c r="N12" s="7">
        <f>VLOOKUP($A12,[8]HISTOOCT24!$A$6:$AV$47,33,0)</f>
        <v>0</v>
      </c>
      <c r="O12" s="7">
        <f t="shared" si="0"/>
        <v>0</v>
      </c>
      <c r="P12" s="7">
        <f>VLOOKUP($A12,[8]HISTOOCT24!$A$6:$AV$47,30,0)</f>
        <v>0</v>
      </c>
    </row>
    <row r="13" spans="1:16" x14ac:dyDescent="0.35">
      <c r="A13" s="1" t="s">
        <v>21</v>
      </c>
      <c r="B13" s="7">
        <f>IF(D13=0,0,VLOOKUP($A13,[8]HISTOOCT24!$A$6:$BB$47,12,0))</f>
        <v>1</v>
      </c>
      <c r="C13" s="1" t="str">
        <f>VLOOKUP(A13,[9]LISTADHERENT!A$5:H$60,3,0)</f>
        <v>MBOGNING TUGMA GUY</v>
      </c>
      <c r="D13" s="7">
        <f>IF(E13="ECHEC",0,VLOOKUP($A13,[8]HISTOOCT24!$A$6:$AR$47,13,0))</f>
        <v>75000</v>
      </c>
      <c r="E13" s="7" t="str">
        <f>VLOOKUP($A13,[8]HISTOOCT24!$A$6:$AV$47,8,0)</f>
        <v>BANQUE</v>
      </c>
      <c r="F13" s="7">
        <f>VLOOKUP($A13,[8]HISTOOCT24!$A$6:$AV$47,36,0)</f>
        <v>50000</v>
      </c>
      <c r="G13" s="7">
        <f>VLOOKUP($A13,[8]HISTOOCT24!$A$6:$AV$47,39,0)</f>
        <v>1000</v>
      </c>
      <c r="H13" s="7" t="str">
        <f>IF(G13=0,0,VLOOKUP($A13,[8]HISTOOCT24!$A$6:$AV$47,42,0))</f>
        <v>BANQUE</v>
      </c>
      <c r="I13" s="7">
        <f>VLOOKUP($A13,[8]HISTOOCT24!$A$6:$AV$47,41,0)</f>
        <v>0</v>
      </c>
      <c r="J13" s="7">
        <f>TONTSEPT24!F13+TONTSEPT24!G13</f>
        <v>51000</v>
      </c>
      <c r="K13" s="7">
        <f>VLOOKUP($A13,[8]HISTOOCT24!$A$6:$AV$47,17,0)</f>
        <v>51000</v>
      </c>
      <c r="L13" s="7" t="str">
        <f>IF(K13&lt;&gt;0,VLOOKUP($A13,[8]HISTOOCT24!$A$6:$BB$47,8,0),"ECHEC")</f>
        <v>BANQUE</v>
      </c>
      <c r="M13" s="7">
        <f>IF(P13=0,0,VLOOKUP($A13,[8]HISTOOCT24!$A$6:$AV$47,32,0))</f>
        <v>0</v>
      </c>
      <c r="N13" s="7">
        <f>VLOOKUP($A13,[8]HISTOOCT24!$A$6:$AV$47,33,0)</f>
        <v>0</v>
      </c>
      <c r="O13" s="7">
        <f t="shared" si="0"/>
        <v>0</v>
      </c>
      <c r="P13" s="7">
        <f>VLOOKUP($A13,[8]HISTOOCT24!$A$6:$AV$47,30,0)</f>
        <v>0</v>
      </c>
    </row>
    <row r="14" spans="1:16" x14ac:dyDescent="0.35">
      <c r="A14" s="1" t="s">
        <v>8</v>
      </c>
      <c r="B14" s="7">
        <f>IF(D14=0,0,VLOOKUP($A14,[8]HISTOOCT24!$A$6:$BB$47,12,0))</f>
        <v>1</v>
      </c>
      <c r="C14" s="1" t="str">
        <f>VLOOKUP(A14,[9]LISTADHERENT!A$5:H$60,3,0)</f>
        <v>NANKAM APPOLINAIRE</v>
      </c>
      <c r="D14" s="7">
        <f>IF(E14="ECHEC",0,VLOOKUP($A14,[8]HISTOOCT24!$A$6:$AR$47,13,0))</f>
        <v>75000</v>
      </c>
      <c r="E14" s="7" t="str">
        <f>VLOOKUP($A14,[8]HISTOOCT24!$A$6:$AV$47,8,0)</f>
        <v>BANQUE</v>
      </c>
      <c r="F14" s="7">
        <f>VLOOKUP($A14,[8]HISTOOCT24!$A$6:$AV$47,36,0)</f>
        <v>0</v>
      </c>
      <c r="G14" s="7">
        <f>VLOOKUP($A14,[8]HISTOOCT24!$A$6:$AV$47,39,0)</f>
        <v>0</v>
      </c>
      <c r="H14" s="7">
        <f>IF(G14=0,0,VLOOKUP($A14,[8]HISTOOCT24!$A$6:$AV$47,42,0))</f>
        <v>0</v>
      </c>
      <c r="I14" s="7">
        <f>VLOOKUP($A14,[8]HISTOOCT24!$A$6:$AV$47,41,0)</f>
        <v>0</v>
      </c>
      <c r="J14" s="7">
        <f>TONTSEPT24!F14+TONTSEPT24!G14</f>
        <v>0</v>
      </c>
      <c r="K14" s="7">
        <f>VLOOKUP($A14,[8]HISTOOCT24!$A$6:$AV$47,17,0)</f>
        <v>0</v>
      </c>
      <c r="L14" s="7" t="str">
        <f>IF(K14&lt;&gt;0,VLOOKUP($A14,[8]HISTOOCT24!$A$6:$BB$47,8,0),"ECHEC")</f>
        <v>ECHEC</v>
      </c>
      <c r="M14" s="7">
        <f>IF(P14=0,0,VLOOKUP($A14,[8]HISTOOCT24!$A$6:$AV$47,32,0))</f>
        <v>0</v>
      </c>
      <c r="N14" s="7">
        <f>VLOOKUP($A14,[8]HISTOOCT24!$A$6:$AV$47,33,0)</f>
        <v>0</v>
      </c>
      <c r="O14" s="7">
        <f t="shared" si="0"/>
        <v>0</v>
      </c>
      <c r="P14" s="7">
        <f>VLOOKUP($A14,[8]HISTOOCT24!$A$6:$AV$47,30,0)</f>
        <v>0</v>
      </c>
    </row>
    <row r="15" spans="1:16" x14ac:dyDescent="0.35">
      <c r="A15" s="1" t="s">
        <v>35</v>
      </c>
      <c r="B15" s="7">
        <f>IF(D15=0,0,VLOOKUP($A15,[8]HISTOOCT24!$A$6:$BB$47,12,0))</f>
        <v>1</v>
      </c>
      <c r="C15" s="1" t="str">
        <f>VLOOKUP(A15,[9]LISTADHERENT!A$5:H$60,3,0)</f>
        <v>NGONDIEP CLAUDE</v>
      </c>
      <c r="D15" s="7">
        <f>IF(E15="ECHEC",0,VLOOKUP($A15,[8]HISTOOCT24!$A$6:$AR$47,13,0))</f>
        <v>75000</v>
      </c>
      <c r="E15" s="7" t="str">
        <f>VLOOKUP($A15,[8]HISTOOCT24!$A$6:$AV$47,8,0)</f>
        <v>ESPECES</v>
      </c>
      <c r="F15" s="7">
        <f>VLOOKUP($A15,[8]HISTOOCT24!$A$6:$AV$47,36,0)</f>
        <v>0</v>
      </c>
      <c r="G15" s="7">
        <f>VLOOKUP($A15,[8]HISTOOCT24!$A$6:$AV$47,39,0)</f>
        <v>0</v>
      </c>
      <c r="H15" s="7">
        <f>IF(G15=0,0,VLOOKUP($A15,[8]HISTOOCT24!$A$6:$AV$47,42,0))</f>
        <v>0</v>
      </c>
      <c r="I15" s="7">
        <f>VLOOKUP($A15,[8]HISTOOCT24!$A$6:$AV$47,41,0)</f>
        <v>0</v>
      </c>
      <c r="J15" s="7">
        <f>TONTSEPT24!F15+TONTSEPT24!G15</f>
        <v>0</v>
      </c>
      <c r="K15" s="7">
        <f>VLOOKUP($A15,[8]HISTOOCT24!$A$6:$AV$47,17,0)</f>
        <v>0</v>
      </c>
      <c r="L15" s="7" t="str">
        <f>IF(K15&lt;&gt;0,VLOOKUP($A15,[8]HISTOOCT24!$A$6:$BB$47,8,0),"ECHEC")</f>
        <v>ECHEC</v>
      </c>
      <c r="M15" s="7">
        <f>IF(P15=0,0,VLOOKUP($A15,[8]HISTOOCT24!$A$6:$AV$47,32,0))</f>
        <v>0</v>
      </c>
      <c r="N15" s="7">
        <f>VLOOKUP($A15,[8]HISTOOCT24!$A$6:$AV$47,33,0)</f>
        <v>0</v>
      </c>
      <c r="O15" s="7">
        <f t="shared" si="0"/>
        <v>0</v>
      </c>
      <c r="P15" s="7">
        <f>VLOOKUP($A15,[8]HISTOOCT24!$A$6:$AV$47,30,0)</f>
        <v>0</v>
      </c>
    </row>
    <row r="16" spans="1:16" x14ac:dyDescent="0.35">
      <c r="A16" s="1" t="s">
        <v>20</v>
      </c>
      <c r="B16" s="7">
        <f>IF(D16=0,0,VLOOKUP($A16,[8]HISTOOCT24!$A$6:$BB$47,12,0))</f>
        <v>3</v>
      </c>
      <c r="C16" s="1" t="str">
        <f>VLOOKUP(A16,[9]LISTADHERENT!A$5:H$60,3,0)</f>
        <v>NGUIEMEGNI MATHIEU BLAISE</v>
      </c>
      <c r="D16" s="7">
        <f>IF(E16="ECHEC",0,VLOOKUP($A16,[8]HISTOOCT24!$A$6:$AR$47,13,0))</f>
        <v>225000</v>
      </c>
      <c r="E16" s="7" t="str">
        <f>VLOOKUP($A16,[8]HISTOOCT24!$A$6:$AV$47,8,0)</f>
        <v>BANQUE</v>
      </c>
      <c r="F16" s="7">
        <f>VLOOKUP($A16,[8]HISTOOCT24!$A$6:$AV$47,36,0)</f>
        <v>0</v>
      </c>
      <c r="G16" s="7">
        <f>VLOOKUP($A16,[8]HISTOOCT24!$A$6:$AV$47,39,0)</f>
        <v>0</v>
      </c>
      <c r="H16" s="7">
        <f>IF(G16=0,0,VLOOKUP($A16,[8]HISTOOCT24!$A$6:$AV$47,42,0))</f>
        <v>0</v>
      </c>
      <c r="I16" s="7">
        <f>VLOOKUP($A16,[8]HISTOOCT24!$A$6:$AV$47,41,0)</f>
        <v>0</v>
      </c>
      <c r="J16" s="7">
        <f>TONTSEPT24!F16+TONTSEPT24!G16</f>
        <v>51000</v>
      </c>
      <c r="K16" s="7">
        <f>VLOOKUP($A16,[8]HISTOOCT24!$A$6:$AV$47,17,0)</f>
        <v>51000</v>
      </c>
      <c r="L16" s="7" t="str">
        <f>IF(K16&lt;&gt;0,VLOOKUP($A16,[8]HISTOOCT24!$A$6:$BB$47,8,0),"ECHEC")</f>
        <v>BANQUE</v>
      </c>
      <c r="M16" s="7">
        <f>IF(P16=0,0,VLOOKUP($A16,[8]HISTOOCT24!$A$6:$AV$47,32,0))</f>
        <v>0</v>
      </c>
      <c r="N16" s="7">
        <f>VLOOKUP($A16,[8]HISTOOCT24!$A$6:$AV$47,33,0)</f>
        <v>0</v>
      </c>
      <c r="O16" s="7">
        <f t="shared" si="0"/>
        <v>0</v>
      </c>
      <c r="P16" s="7">
        <f>VLOOKUP($A16,[8]HISTOOCT24!$A$6:$AV$47,30,0)</f>
        <v>0</v>
      </c>
    </row>
    <row r="17" spans="1:16" x14ac:dyDescent="0.35">
      <c r="A17" s="1" t="s">
        <v>27</v>
      </c>
      <c r="B17" s="7">
        <f>IF(D17=0,0,VLOOKUP($A17,[8]HISTOOCT24!$A$6:$BB$47,12,0))</f>
        <v>1</v>
      </c>
      <c r="C17" s="1" t="str">
        <f>VLOOKUP(A17,[9]LISTADHERENT!A$5:H$60,3,0)</f>
        <v>PATEGO NJOSSU GUSTAVE</v>
      </c>
      <c r="D17" s="7">
        <f>IF(E17="ECHEC",0,VLOOKUP($A17,[8]HISTOOCT24!$A$6:$AR$47,13,0))</f>
        <v>75000</v>
      </c>
      <c r="E17" s="7" t="str">
        <f>VLOOKUP($A17,[8]HISTOOCT24!$A$6:$AV$47,8,0)</f>
        <v>BANQUE</v>
      </c>
      <c r="F17" s="7">
        <f>VLOOKUP($A17,[8]HISTOOCT24!$A$6:$AV$47,36,0)</f>
        <v>0</v>
      </c>
      <c r="G17" s="7">
        <f>VLOOKUP($A17,[8]HISTOOCT24!$A$6:$AV$47,39,0)</f>
        <v>0</v>
      </c>
      <c r="H17" s="7">
        <f>IF(G17=0,0,VLOOKUP($A17,[8]HISTOOCT24!$A$6:$AV$47,42,0))</f>
        <v>0</v>
      </c>
      <c r="I17" s="7">
        <f>VLOOKUP($A17,[8]HISTOOCT24!$A$6:$AV$47,41,0)</f>
        <v>0</v>
      </c>
      <c r="J17" s="7">
        <f>TONTSEPT24!F17+TONTSEPT24!G17</f>
        <v>0</v>
      </c>
      <c r="K17" s="7">
        <f>VLOOKUP($A17,[8]HISTOOCT24!$A$6:$AV$47,17,0)</f>
        <v>0</v>
      </c>
      <c r="L17" s="7" t="str">
        <f>IF(K17&lt;&gt;0,VLOOKUP($A17,[8]HISTOOCT24!$A$6:$BB$47,8,0),"ECHEC")</f>
        <v>ECHEC</v>
      </c>
      <c r="M17" s="7">
        <f>IF(P17=0,0,VLOOKUP($A17,[8]HISTOOCT24!$A$6:$AV$47,32,0))</f>
        <v>0</v>
      </c>
      <c r="N17" s="7">
        <f>VLOOKUP($A17,[8]HISTOOCT24!$A$6:$AV$47,33,0)</f>
        <v>0</v>
      </c>
      <c r="O17" s="7">
        <f t="shared" si="0"/>
        <v>0</v>
      </c>
      <c r="P17" s="7">
        <f>VLOOKUP($A17,[8]HISTOOCT24!$A$6:$AV$47,30,0)</f>
        <v>0</v>
      </c>
    </row>
    <row r="18" spans="1:16" x14ac:dyDescent="0.35">
      <c r="A18" s="9" t="s">
        <v>48</v>
      </c>
      <c r="B18" s="7">
        <f>IF(D18=0,0,VLOOKUP($A18,[8]HISTOOCT24!$A$6:$BB$47,12,0))</f>
        <v>1</v>
      </c>
      <c r="C18" s="1" t="str">
        <f>VLOOKUP(A18,[9]LISTADHERENT!A$5:H$60,3,0)</f>
        <v>TCHOUAMOU MATHIEU</v>
      </c>
      <c r="D18" s="7">
        <f>IF(E18="ECHEC",0,VLOOKUP($A18,[8]HISTOOCT24!$A$6:$AR$47,13,0))</f>
        <v>75000</v>
      </c>
      <c r="E18" s="7" t="str">
        <f>VLOOKUP($A18,[8]HISTOOCT24!$A$6:$AV$47,8,0)</f>
        <v>BANQUE</v>
      </c>
      <c r="F18" s="7">
        <f>VLOOKUP($A18,[8]HISTOOCT24!$A$6:$AV$47,36,0)</f>
        <v>0</v>
      </c>
      <c r="G18" s="7">
        <f>VLOOKUP($A18,[8]HISTOOCT24!$A$6:$AV$47,39,0)</f>
        <v>0</v>
      </c>
      <c r="H18" s="7">
        <f>IF(G18=0,0,VLOOKUP($A18,[8]HISTOOCT24!$A$6:$AV$47,42,0))</f>
        <v>0</v>
      </c>
      <c r="I18" s="7">
        <f>VLOOKUP($A18,[8]HISTOOCT24!$A$6:$AV$47,41,0)</f>
        <v>0</v>
      </c>
      <c r="J18" s="7">
        <f>TONTSEPT24!F18+TONTSEPT24!G18</f>
        <v>109500</v>
      </c>
      <c r="K18" s="7">
        <f>VLOOKUP($A18,[8]HISTOOCT24!$A$6:$AV$47,17,0)</f>
        <v>109500</v>
      </c>
      <c r="L18" s="7" t="str">
        <f>IF(K18&lt;&gt;0,VLOOKUP($A18,[8]HISTOOCT24!$A$6:$BB$47,8,0),"ECHEC")</f>
        <v>BANQUE</v>
      </c>
      <c r="M18" s="7">
        <f>IF(P18=0,0,VLOOKUP($A18,[8]HISTOOCT24!$A$6:$AV$47,32,0))</f>
        <v>0</v>
      </c>
      <c r="N18" s="7">
        <f>VLOOKUP($A18,[8]HISTOOCT24!$A$6:$AV$47,33,0)</f>
        <v>0</v>
      </c>
      <c r="O18" s="7">
        <f t="shared" si="0"/>
        <v>0</v>
      </c>
      <c r="P18" s="7">
        <f>VLOOKUP($A18,[8]HISTOOCT24!$A$6:$AV$47,30,0)</f>
        <v>0</v>
      </c>
    </row>
    <row r="19" spans="1:16" x14ac:dyDescent="0.35">
      <c r="A19" s="1" t="s">
        <v>19</v>
      </c>
      <c r="B19" s="7">
        <f>IF(D19=0,0,VLOOKUP($A19,[8]HISTOOCT24!$A$6:$BB$47,12,0))</f>
        <v>1</v>
      </c>
      <c r="C19" s="1" t="str">
        <f>VLOOKUP(A19,[9]LISTADHERENT!A$5:H$60,3,0)</f>
        <v>YOUMBI EMMANUEL</v>
      </c>
      <c r="D19" s="7">
        <f>IF(E19="ECHEC",0,VLOOKUP($A19,[8]HISTOOCT24!$A$6:$AR$47,13,0))</f>
        <v>75000</v>
      </c>
      <c r="E19" s="7" t="str">
        <f>VLOOKUP($A19,[8]HISTOOCT24!$A$6:$AV$47,8,0)</f>
        <v>BANQUE</v>
      </c>
      <c r="F19" s="7">
        <f>VLOOKUP($A19,[8]HISTOOCT24!$A$6:$AV$47,36,0)</f>
        <v>0</v>
      </c>
      <c r="G19" s="7">
        <f>VLOOKUP($A19,[8]HISTOOCT24!$A$6:$AV$47,39,0)</f>
        <v>0</v>
      </c>
      <c r="H19" s="7">
        <f>IF(G19=0,0,VLOOKUP($A19,[8]HISTOOCT24!$A$6:$AV$47,42,0))</f>
        <v>0</v>
      </c>
      <c r="I19" s="7">
        <f>VLOOKUP($A19,[8]HISTOOCT24!$A$6:$AV$47,41,0)</f>
        <v>0</v>
      </c>
      <c r="J19" s="7">
        <f>TONTSEPT24!F19+TONTSEPT24!G19</f>
        <v>0</v>
      </c>
      <c r="K19" s="7">
        <f>VLOOKUP($A19,[8]HISTOOCT24!$A$6:$AV$47,17,0)</f>
        <v>0</v>
      </c>
      <c r="L19" s="7" t="str">
        <f>IF(K19&lt;&gt;0,VLOOKUP($A19,[8]HISTOOCT24!$A$6:$BB$47,8,0),"ECHEC")</f>
        <v>ECHEC</v>
      </c>
      <c r="M19" s="7" t="str">
        <f>IF(P19=0,0,VLOOKUP($A19,[8]HISTOOCT24!$A$6:$AV$47,32,0))</f>
        <v>BANQUE</v>
      </c>
      <c r="N19" s="7">
        <f>VLOOKUP($A19,[8]HISTOOCT24!$A$6:$AV$47,33,0)</f>
        <v>0</v>
      </c>
      <c r="O19" s="7">
        <f t="shared" si="0"/>
        <v>892500</v>
      </c>
      <c r="P19" s="7">
        <f>VLOOKUP($A19,[8]HISTOOCT24!$A$6:$AV$47,30,0)</f>
        <v>7500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250000</v>
      </c>
      <c r="G22" s="8">
        <f t="shared" si="1"/>
        <v>3000</v>
      </c>
      <c r="H22" s="8">
        <f t="shared" si="1"/>
        <v>0</v>
      </c>
      <c r="I22" s="8">
        <f t="shared" si="1"/>
        <v>0</v>
      </c>
      <c r="J22" s="8">
        <f t="shared" si="1"/>
        <v>313500</v>
      </c>
      <c r="K22" s="8">
        <f t="shared" si="1"/>
        <v>313500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D22+E28+P22+TONTSEPT24!M29</f>
        <v>1523000</v>
      </c>
      <c r="L24" s="5"/>
      <c r="N24" s="5"/>
    </row>
    <row r="25" spans="1:16" s="2" customFormat="1" ht="17.5" x14ac:dyDescent="0.35">
      <c r="D25" s="8">
        <f>SUMIFS(D6:D21,E6:E21,"ESPECES")</f>
        <v>75000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75000</v>
      </c>
      <c r="I25" s="8"/>
      <c r="J25" s="8" t="s">
        <v>32</v>
      </c>
      <c r="K25" s="8">
        <f>C3*COUNTIF(O7:O21,"&gt;0")</f>
        <v>900000</v>
      </c>
      <c r="L25" s="8">
        <f>D3</f>
        <v>0</v>
      </c>
      <c r="M25" s="8">
        <f>COUNTIF(O7:O18,"&gt;0")</f>
        <v>0</v>
      </c>
      <c r="N25" s="8"/>
    </row>
    <row r="26" spans="1:16" s="2" customFormat="1" ht="17.5" x14ac:dyDescent="0.35">
      <c r="D26" s="8">
        <f>SUMIFS(D6:D21,E6:E21,"BANQUE")</f>
        <v>1125000</v>
      </c>
      <c r="E26" s="8">
        <f>SUMIFS(K7:K18,L7:L18,"BANQUE")</f>
        <v>313500</v>
      </c>
      <c r="F26" s="8">
        <f>SUMIFS(F7:F21,H7:H21,"BANQUE")</f>
        <v>250000</v>
      </c>
      <c r="G26" s="8">
        <f>SUMIFS(O7:O21,M7:M21,"BANQUE")</f>
        <v>892500</v>
      </c>
      <c r="H26" s="8">
        <f>D26+E26-F26-G26</f>
        <v>296000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623000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313500</v>
      </c>
      <c r="F28" s="8">
        <f>F25+F26</f>
        <v>250000</v>
      </c>
      <c r="G28" s="8">
        <f t="shared" ref="G28:H28" si="2">G25+G26</f>
        <v>892500</v>
      </c>
      <c r="H28" s="8">
        <f t="shared" si="2"/>
        <v>371000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373000</v>
      </c>
      <c r="L29"/>
      <c r="M29" s="8">
        <f>K29</f>
        <v>373000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A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4"/>
  <sheetViews>
    <sheetView workbookViewId="0">
      <pane xSplit="3" ySplit="5" topLeftCell="G12" activePane="bottomRight" state="frozen"/>
      <selection activeCell="G6" sqref="G6:G39"/>
      <selection pane="topRight" activeCell="G6" sqref="G6:G39"/>
      <selection pane="bottomLeft" activeCell="G6" sqref="G6:G39"/>
      <selection pane="bottomRight" activeCell="A10" sqref="A10:XFD10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7.5" x14ac:dyDescent="0.35">
      <c r="B4" s="13"/>
      <c r="C4" s="24">
        <v>45609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IF(D6=0,0,VLOOKUP($A6,[8]HISTONOV24!$A$6:$BB$47,12,0))</f>
        <v>1</v>
      </c>
      <c r="C6" s="1" t="str">
        <f>VLOOKUP(A6,[9]LISTADHERENT!A$5:H$60,3,0)</f>
        <v>ASELBY</v>
      </c>
      <c r="D6" s="7">
        <f>IF(E6="ECHEC",0,VLOOKUP($A6,[8]HISTONOV24!$A$6:$AR$47,13,0))</f>
        <v>75000</v>
      </c>
      <c r="E6" s="7" t="str">
        <f>VLOOKUP($A6,[8]HISTONOV24!$A$6:$AV$47,8,0)</f>
        <v>BANQUE</v>
      </c>
      <c r="F6" s="7">
        <f>VLOOKUP($A6,[8]HISTONOV24!$A$6:$AV$47,36,0)</f>
        <v>0</v>
      </c>
      <c r="G6" s="7">
        <f>VLOOKUP($A6,[8]HISTONOV24!$A$6:$AV$47,39,0)</f>
        <v>0</v>
      </c>
      <c r="H6" s="7">
        <f>IF(G6=0,0,VLOOKUP($A6,[8]HISTONOV24!$A$6:$AV$47,42,0))</f>
        <v>0</v>
      </c>
      <c r="I6" s="7">
        <f>VLOOKUP($A6,[8]HISTONOV24!$A$6:$AV$47,41,0)</f>
        <v>0</v>
      </c>
      <c r="J6" s="7">
        <f>TONTOCT24!F6+TONTOCT24!G6</f>
        <v>0</v>
      </c>
      <c r="K6" s="7">
        <f>VLOOKUP($A6,[8]HISTONOV24!$A$6:$AV$47,17,0)</f>
        <v>0</v>
      </c>
      <c r="L6" s="7" t="str">
        <f>IF(K6&lt;&gt;0,VLOOKUP($A6,[8]HISTONOV24!$A$6:$BB$47,8,0),"ECHEC")</f>
        <v>ECHEC</v>
      </c>
      <c r="M6" s="7">
        <f>IF(P6=0,0,VLOOKUP($A6,[8]HISTONOV24!$A$6:$AV$47,32,0))</f>
        <v>0</v>
      </c>
      <c r="N6" s="7">
        <f>VLOOKUP($A6,[8]HISTONOV24!$A$6:$AV$47,33,0)</f>
        <v>0</v>
      </c>
      <c r="O6" s="7">
        <f t="shared" ref="O6:O19" si="0">IF(P6=0,0,($C$3-P6))</f>
        <v>0</v>
      </c>
      <c r="P6" s="7">
        <f>VLOOKUP($A6,[8]HISTONOV24!$A$6:$AV$47,30,0)</f>
        <v>0</v>
      </c>
    </row>
    <row r="7" spans="1:16" x14ac:dyDescent="0.35">
      <c r="A7" s="1" t="s">
        <v>24</v>
      </c>
      <c r="B7" s="7">
        <f>IF(D7=0,0,VLOOKUP($A7,[8]HISTONOV24!$A$6:$BB$47,12,0))</f>
        <v>1</v>
      </c>
      <c r="C7" s="1" t="str">
        <f>VLOOKUP(A7,[9]LISTADHERENT!A$5:H$60,3,0)</f>
        <v>BOUTCHOUANG WILLIAM</v>
      </c>
      <c r="D7" s="7">
        <f>IF(E7="ECHEC",0,VLOOKUP($A7,[8]HISTONOV24!$A$6:$AR$47,13,0))</f>
        <v>75000</v>
      </c>
      <c r="E7" s="7" t="str">
        <f>VLOOKUP($A7,[8]HISTONOV24!$A$6:$AV$47,8,0)</f>
        <v>BANQUE</v>
      </c>
      <c r="F7" s="7">
        <f>VLOOKUP($A7,[8]HISTONOV24!$A$6:$AV$47,36,0)</f>
        <v>0</v>
      </c>
      <c r="G7" s="7">
        <f>VLOOKUP($A7,[8]HISTONOV24!$A$6:$AV$47,39,0)</f>
        <v>0</v>
      </c>
      <c r="H7" s="7">
        <f>IF(G7=0,0,VLOOKUP($A7,[8]HISTONOV24!$A$6:$AV$47,42,0))</f>
        <v>0</v>
      </c>
      <c r="I7" s="7">
        <f>VLOOKUP($A7,[8]HISTONOV24!$A$6:$AV$47,41,0)</f>
        <v>0</v>
      </c>
      <c r="J7" s="7">
        <f>TONTOCT24!F7+TONTOCT24!G7</f>
        <v>0</v>
      </c>
      <c r="K7" s="7">
        <f>VLOOKUP($A7,[8]HISTONOV24!$A$6:$AV$47,17,0)</f>
        <v>0</v>
      </c>
      <c r="L7" s="7" t="str">
        <f>IF(K7&lt;&gt;0,VLOOKUP($A7,[8]HISTONOV24!$A$6:$BB$47,8,0),"ECHEC")</f>
        <v>ECHEC</v>
      </c>
      <c r="M7" s="7">
        <f>IF(P7=0,0,VLOOKUP($A7,[8]HISTONOV24!$A$6:$AV$47,32,0))</f>
        <v>0</v>
      </c>
      <c r="N7" s="7">
        <f>VLOOKUP($A7,[8]HISTONOV24!$A$6:$AV$47,33,0)</f>
        <v>0</v>
      </c>
      <c r="O7" s="7">
        <f t="shared" si="0"/>
        <v>0</v>
      </c>
      <c r="P7" s="7">
        <f>VLOOKUP($A7,[8]HISTONOV24!$A$6:$AV$47,30,0)</f>
        <v>0</v>
      </c>
    </row>
    <row r="8" spans="1:16" x14ac:dyDescent="0.35">
      <c r="A8" s="1" t="s">
        <v>49</v>
      </c>
      <c r="B8" s="7">
        <f>IF(D8=0,0,VLOOKUP($A8,[8]HISTONOV24!$A$6:$BB$47,12,0))</f>
        <v>1</v>
      </c>
      <c r="C8" s="1" t="str">
        <f>VLOOKUP(A8,[9]LISTADHERENT!A$5:H$60,3,0)</f>
        <v>DJOMOU TCHAPDA</v>
      </c>
      <c r="D8" s="7">
        <f>IF(E8="ECHEC",0,VLOOKUP($A8,[8]HISTONOV24!$A$6:$AR$47,13,0))</f>
        <v>75000</v>
      </c>
      <c r="E8" s="7" t="str">
        <f>VLOOKUP($A8,[8]HISTONOV24!$A$6:$AV$47,8,0)</f>
        <v>BANQUE</v>
      </c>
      <c r="F8" s="7">
        <f>VLOOKUP($A8,[8]HISTONOV24!$A$6:$AV$47,36,0)</f>
        <v>130000</v>
      </c>
      <c r="G8" s="7">
        <f>VLOOKUP($A8,[8]HISTONOV24!$A$6:$AV$47,39,0)</f>
        <v>2000</v>
      </c>
      <c r="H8" s="7" t="str">
        <f>IF(G8=0,0,VLOOKUP($A8,[8]HISTONOV24!$A$6:$AV$47,42,0))</f>
        <v>BANQUE</v>
      </c>
      <c r="I8" s="7">
        <f>VLOOKUP($A8,[8]HISTONOV24!$A$6:$AV$47,41,0)</f>
        <v>0</v>
      </c>
      <c r="J8" s="7">
        <f>TONTOCT24!F8+TONTOCT24!G8</f>
        <v>101000</v>
      </c>
      <c r="K8" s="7">
        <f>VLOOKUP($A8,[8]HISTONOV24!$A$6:$AV$47,17,0)</f>
        <v>101000</v>
      </c>
      <c r="L8" s="7" t="str">
        <f>IF(K8&lt;&gt;0,VLOOKUP($A8,[8]HISTONOV24!$A$6:$BB$47,8,0),"ECHEC")</f>
        <v>BANQUE</v>
      </c>
      <c r="M8" s="7">
        <f>IF(P8=0,0,VLOOKUP($A8,[8]HISTONOV24!$A$6:$AV$47,32,0))</f>
        <v>0</v>
      </c>
      <c r="N8" s="7">
        <f>VLOOKUP($A8,[8]HISTONOV24!$A$6:$AV$47,33,0)</f>
        <v>0</v>
      </c>
      <c r="O8" s="7">
        <f t="shared" si="0"/>
        <v>0</v>
      </c>
      <c r="P8" s="7">
        <f>VLOOKUP($A8,[8]HISTONOV24!$A$6:$AV$47,30,0)</f>
        <v>0</v>
      </c>
    </row>
    <row r="9" spans="1:16" x14ac:dyDescent="0.35">
      <c r="A9" s="1" t="s">
        <v>25</v>
      </c>
      <c r="B9" s="7">
        <f>IF(D9=0,0,VLOOKUP($A9,[8]HISTONOV24!$A$6:$BB$47,12,0))</f>
        <v>1</v>
      </c>
      <c r="C9" s="1" t="str">
        <f>VLOOKUP(A9,[9]LISTADHERENT!A$5:H$60,3,0)</f>
        <v>DJOUKWE NANGUEN GUY BLAISE</v>
      </c>
      <c r="D9" s="7">
        <f>IF(E9="ECHEC",0,VLOOKUP($A9,[8]HISTONOV24!$A$6:$AR$47,13,0))</f>
        <v>75000</v>
      </c>
      <c r="E9" s="7" t="str">
        <f>VLOOKUP($A9,[8]HISTONOV24!$A$6:$AV$47,8,0)</f>
        <v>BANQUE</v>
      </c>
      <c r="F9" s="7">
        <f>VLOOKUP($A9,[8]HISTONOV24!$A$6:$AV$47,36,0)</f>
        <v>101000</v>
      </c>
      <c r="G9" s="7">
        <f>VLOOKUP($A9,[8]HISTONOV24!$A$6:$AV$47,39,0)</f>
        <v>2000</v>
      </c>
      <c r="H9" s="7" t="str">
        <f>IF(G9=0,0,VLOOKUP($A9,[8]HISTONOV24!$A$6:$AV$47,42,0))</f>
        <v>BANQUE</v>
      </c>
      <c r="I9" s="7">
        <f>VLOOKUP($A9,[8]HISTONOV24!$A$6:$AV$47,41,0)</f>
        <v>0</v>
      </c>
      <c r="J9" s="7">
        <f>TONTOCT24!F9+TONTOCT24!G9</f>
        <v>101000</v>
      </c>
      <c r="K9" s="7">
        <f>VLOOKUP($A9,[8]HISTONOV24!$A$6:$AV$47,17,0)</f>
        <v>101000</v>
      </c>
      <c r="L9" s="7" t="str">
        <f>IF(K9&lt;&gt;0,VLOOKUP($A9,[8]HISTONOV24!$A$6:$BB$47,8,0),"ECHEC")</f>
        <v>BANQUE</v>
      </c>
      <c r="M9" s="7">
        <f>IF(P9=0,0,VLOOKUP($A9,[8]HISTONOV24!$A$6:$AV$47,32,0))</f>
        <v>0</v>
      </c>
      <c r="N9" s="7">
        <f>VLOOKUP($A9,[8]HISTONOV24!$A$6:$AV$47,33,0)</f>
        <v>0</v>
      </c>
      <c r="O9" s="7">
        <f t="shared" si="0"/>
        <v>0</v>
      </c>
      <c r="P9" s="7">
        <f>VLOOKUP($A9,[8]HISTONOV24!$A$6:$AV$47,30,0)</f>
        <v>0</v>
      </c>
    </row>
    <row r="10" spans="1:16" x14ac:dyDescent="0.35">
      <c r="A10" s="1" t="s">
        <v>34</v>
      </c>
      <c r="B10" s="7">
        <f>IF(D10=0,0,VLOOKUP($A10,[8]HISTONOV24!$A$6:$BB$47,12,0))</f>
        <v>1</v>
      </c>
      <c r="C10" s="1" t="str">
        <f>VLOOKUP(A10,[9]LISTADHERENT!A$5:H$60,3,0)</f>
        <v>DJUOMBESSY ANTOINE</v>
      </c>
      <c r="D10" s="7">
        <f>IF(E10="ECHEC",0,VLOOKUP($A10,[8]HISTONOV24!$A$6:$AR$47,13,0))</f>
        <v>75000</v>
      </c>
      <c r="E10" s="7" t="str">
        <f>VLOOKUP($A10,[8]HISTONOV24!$A$6:$AV$47,8,0)</f>
        <v>BANQUE</v>
      </c>
      <c r="F10" s="7">
        <f>VLOOKUP($A10,[8]HISTONOV24!$A$6:$AV$47,36,0)</f>
        <v>100500</v>
      </c>
      <c r="G10" s="7">
        <f>VLOOKUP($A10,[8]HISTONOV24!$A$6:$AV$47,39,0)</f>
        <v>1000</v>
      </c>
      <c r="H10" s="7" t="str">
        <f>IF(G10=0,0,VLOOKUP($A10,[8]HISTONOV24!$A$6:$AV$47,42,0))</f>
        <v>BANQUE</v>
      </c>
      <c r="I10" s="7">
        <f>VLOOKUP($A10,[8]HISTONOV24!$A$6:$AV$47,41,0)</f>
        <v>0</v>
      </c>
      <c r="J10" s="7">
        <f>TONTOCT24!F10+TONTOCT24!G10</f>
        <v>0</v>
      </c>
      <c r="K10" s="7">
        <f>VLOOKUP($A10,[8]HISTONOV24!$A$6:$AV$47,17,0)</f>
        <v>0</v>
      </c>
      <c r="L10" s="7" t="str">
        <f>IF(K10&lt;&gt;0,VLOOKUP($A10,[8]HISTONOV24!$A$6:$BB$47,8,0),"ECHEC")</f>
        <v>ECHEC</v>
      </c>
      <c r="M10" s="7">
        <f>IF(P10=0,0,VLOOKUP($A10,[8]HISTONOV24!$A$6:$AV$47,32,0))</f>
        <v>0</v>
      </c>
      <c r="N10" s="7">
        <f>VLOOKUP($A10,[8]HISTONOV24!$A$6:$AV$47,33,0)</f>
        <v>0</v>
      </c>
      <c r="O10" s="7">
        <f t="shared" si="0"/>
        <v>0</v>
      </c>
      <c r="P10" s="7">
        <f>VLOOKUP($A10,[8]HISTONOV24!$A$6:$AV$47,30,0)</f>
        <v>0</v>
      </c>
    </row>
    <row r="11" spans="1:16" x14ac:dyDescent="0.35">
      <c r="A11" s="1" t="s">
        <v>18</v>
      </c>
      <c r="B11" s="7">
        <f>IF(D11=0,0,VLOOKUP($A11,[8]HISTONOV24!$A$6:$BB$47,12,0))</f>
        <v>1</v>
      </c>
      <c r="C11" s="1" t="str">
        <f>VLOOKUP(A11,[9]LISTADHERENT!A$5:H$60,3,0)</f>
        <v>HOTCHO BENJAMIN</v>
      </c>
      <c r="D11" s="7">
        <f>IF(E11="ECHEC",0,VLOOKUP($A11,[8]HISTONOV24!$A$6:$AR$47,13,0))</f>
        <v>75000</v>
      </c>
      <c r="E11" s="7" t="str">
        <f>VLOOKUP($A11,[8]HISTONOV24!$A$6:$AV$47,8,0)</f>
        <v>BANQUE</v>
      </c>
      <c r="F11" s="7">
        <f>VLOOKUP($A11,[8]HISTONOV24!$A$6:$AV$47,36,0)</f>
        <v>200000</v>
      </c>
      <c r="G11" s="7">
        <f>VLOOKUP($A11,[8]HISTONOV24!$A$6:$AV$47,39,0)</f>
        <v>2000</v>
      </c>
      <c r="H11" s="7" t="str">
        <f>IF(G11=0,0,VLOOKUP($A11,[8]HISTONOV24!$A$6:$AV$47,42,0))</f>
        <v>BANQUE</v>
      </c>
      <c r="I11" s="7">
        <f>VLOOKUP($A11,[8]HISTONOV24!$A$6:$AV$47,41,0)</f>
        <v>0</v>
      </c>
      <c r="J11" s="7">
        <f>TONTOCT24!F11+TONTOCT24!G11</f>
        <v>0</v>
      </c>
      <c r="K11" s="7">
        <f>VLOOKUP($A11,[8]HISTONOV24!$A$6:$AV$47,17,0)</f>
        <v>0</v>
      </c>
      <c r="L11" s="7" t="str">
        <f>IF(K11&lt;&gt;0,VLOOKUP($A11,[8]HISTONOV24!$A$6:$BB$47,8,0),"ECHEC")</f>
        <v>ECHEC</v>
      </c>
      <c r="M11" s="7">
        <f>IF(P11=0,0,VLOOKUP($A11,[8]HISTONOV24!$A$6:$AV$47,32,0))</f>
        <v>0</v>
      </c>
      <c r="N11" s="7">
        <f>VLOOKUP($A11,[8]HISTONOV24!$A$6:$AV$47,33,0)</f>
        <v>0</v>
      </c>
      <c r="O11" s="7">
        <f t="shared" si="0"/>
        <v>0</v>
      </c>
      <c r="P11" s="7">
        <f>VLOOKUP($A11,[8]HISTONOV24!$A$6:$AV$47,30,0)</f>
        <v>0</v>
      </c>
    </row>
    <row r="12" spans="1:16" x14ac:dyDescent="0.35">
      <c r="A12" s="1" t="s">
        <v>26</v>
      </c>
      <c r="B12" s="7">
        <f>IF(D12=0,0,VLOOKUP($A12,[8]HISTONOV24!$A$6:$BB$47,12,0))</f>
        <v>1</v>
      </c>
      <c r="C12" s="1" t="str">
        <f>VLOOKUP(A12,[9]LISTADHERENT!A$5:H$60,3,0)</f>
        <v>HENGUE PAUL OMER</v>
      </c>
      <c r="D12" s="7">
        <f>IF(E12="ECHEC",0,VLOOKUP($A12,[8]HISTONOV24!$A$6:$AR$47,13,0))</f>
        <v>75000</v>
      </c>
      <c r="E12" s="7" t="str">
        <f>VLOOKUP($A12,[8]HISTONOV24!$A$6:$AV$47,8,0)</f>
        <v>BANQUE</v>
      </c>
      <c r="F12" s="7">
        <f>VLOOKUP($A12,[8]HISTONOV24!$A$6:$AV$47,36,0)</f>
        <v>0</v>
      </c>
      <c r="G12" s="7">
        <f>VLOOKUP($A12,[8]HISTONOV24!$A$6:$AV$47,39,0)</f>
        <v>0</v>
      </c>
      <c r="H12" s="7">
        <f>IF(G12=0,0,VLOOKUP($A12,[8]HISTONOV24!$A$6:$AV$47,42,0))</f>
        <v>0</v>
      </c>
      <c r="I12" s="7">
        <f>VLOOKUP($A12,[8]HISTONOV24!$A$6:$AV$47,41,0)</f>
        <v>0</v>
      </c>
      <c r="J12" s="7">
        <f>TONTOCT24!F12+TONTOCT24!G12</f>
        <v>0</v>
      </c>
      <c r="K12" s="7">
        <f>VLOOKUP($A12,[8]HISTONOV24!$A$6:$AV$47,17,0)</f>
        <v>0</v>
      </c>
      <c r="L12" s="7" t="str">
        <f>IF(K12&lt;&gt;0,VLOOKUP($A12,[8]HISTONOV24!$A$6:$BB$47,8,0),"ECHEC")</f>
        <v>ECHEC</v>
      </c>
      <c r="M12" s="7">
        <f>IF(P12=0,0,VLOOKUP($A12,[8]HISTONOV24!$A$6:$AV$47,32,0))</f>
        <v>0</v>
      </c>
      <c r="N12" s="7">
        <f>VLOOKUP($A12,[8]HISTONOV24!$A$6:$AV$47,33,0)</f>
        <v>0</v>
      </c>
      <c r="O12" s="7">
        <f t="shared" si="0"/>
        <v>0</v>
      </c>
      <c r="P12" s="7">
        <f>VLOOKUP($A12,[8]HISTONOV24!$A$6:$AV$47,30,0)</f>
        <v>0</v>
      </c>
    </row>
    <row r="13" spans="1:16" x14ac:dyDescent="0.35">
      <c r="A13" s="1" t="s">
        <v>21</v>
      </c>
      <c r="B13" s="7">
        <f>IF(D13=0,0,VLOOKUP($A13,[8]HISTONOV24!$A$6:$BB$47,12,0))</f>
        <v>1</v>
      </c>
      <c r="C13" s="1" t="str">
        <f>VLOOKUP(A13,[9]LISTADHERENT!A$5:H$60,3,0)</f>
        <v>MBOGNING TUGMA GUY</v>
      </c>
      <c r="D13" s="7">
        <f>IF(E13="ECHEC",0,VLOOKUP($A13,[8]HISTONOV24!$A$6:$AR$47,13,0))</f>
        <v>75000</v>
      </c>
      <c r="E13" s="7" t="str">
        <f>VLOOKUP($A13,[8]HISTONOV24!$A$6:$AV$47,8,0)</f>
        <v>BANQUE</v>
      </c>
      <c r="F13" s="7">
        <f>VLOOKUP($A13,[8]HISTONOV24!$A$6:$AV$47,36,0)</f>
        <v>200000</v>
      </c>
      <c r="G13" s="7">
        <f>VLOOKUP($A13,[8]HISTONOV24!$A$6:$AV$47,39,0)</f>
        <v>2000</v>
      </c>
      <c r="H13" s="7" t="str">
        <f>IF(G13=0,0,VLOOKUP($A13,[8]HISTONOV24!$A$6:$AV$47,42,0))</f>
        <v>BANQUE</v>
      </c>
      <c r="I13" s="7">
        <f>VLOOKUP($A13,[8]HISTONOV24!$A$6:$AV$47,41,0)</f>
        <v>0</v>
      </c>
      <c r="J13" s="7">
        <f>TONTOCT24!F13+TONTOCT24!G13</f>
        <v>51000</v>
      </c>
      <c r="K13" s="7">
        <f>VLOOKUP($A13,[8]HISTONOV24!$A$6:$AV$47,17,0)</f>
        <v>51000</v>
      </c>
      <c r="L13" s="7" t="str">
        <f>IF(K13&lt;&gt;0,VLOOKUP($A13,[8]HISTONOV24!$A$6:$BB$47,8,0),"ECHEC")</f>
        <v>BANQUE</v>
      </c>
      <c r="M13" s="7">
        <f>IF(P13=0,0,VLOOKUP($A13,[8]HISTONOV24!$A$6:$AV$47,32,0))</f>
        <v>0</v>
      </c>
      <c r="N13" s="7">
        <f>VLOOKUP($A13,[8]HISTONOV24!$A$6:$AV$47,33,0)</f>
        <v>0</v>
      </c>
      <c r="O13" s="7">
        <f t="shared" si="0"/>
        <v>0</v>
      </c>
      <c r="P13" s="7">
        <f>VLOOKUP($A13,[8]HISTONOV24!$A$6:$AV$47,30,0)</f>
        <v>0</v>
      </c>
    </row>
    <row r="14" spans="1:16" x14ac:dyDescent="0.35">
      <c r="A14" s="1" t="s">
        <v>8</v>
      </c>
      <c r="B14" s="7">
        <f>IF(D14=0,0,VLOOKUP($A14,[8]HISTONOV24!$A$6:$BB$47,12,0))</f>
        <v>1</v>
      </c>
      <c r="C14" s="1" t="str">
        <f>VLOOKUP(A14,[9]LISTADHERENT!A$5:H$60,3,0)</f>
        <v>NANKAM APPOLINAIRE</v>
      </c>
      <c r="D14" s="7">
        <f>IF(E14="ECHEC",0,VLOOKUP($A14,[8]HISTONOV24!$A$6:$AR$47,13,0))</f>
        <v>75000</v>
      </c>
      <c r="E14" s="7" t="str">
        <f>VLOOKUP($A14,[8]HISTONOV24!$A$6:$AV$47,8,0)</f>
        <v>BANQUE</v>
      </c>
      <c r="F14" s="7">
        <f>VLOOKUP($A14,[8]HISTONOV24!$A$6:$AV$47,36,0)</f>
        <v>0</v>
      </c>
      <c r="G14" s="7">
        <f>VLOOKUP($A14,[8]HISTONOV24!$A$6:$AV$47,39,0)</f>
        <v>0</v>
      </c>
      <c r="H14" s="7">
        <f>IF(G14=0,0,VLOOKUP($A14,[8]HISTONOV24!$A$6:$AV$47,42,0))</f>
        <v>0</v>
      </c>
      <c r="I14" s="7">
        <f>VLOOKUP($A14,[8]HISTONOV24!$A$6:$AV$47,41,0)</f>
        <v>0</v>
      </c>
      <c r="J14" s="7">
        <f>TONTOCT24!F14+TONTOCT24!G14</f>
        <v>0</v>
      </c>
      <c r="K14" s="7">
        <f>VLOOKUP($A14,[8]HISTONOV24!$A$6:$AV$47,17,0)</f>
        <v>0</v>
      </c>
      <c r="L14" s="7" t="str">
        <f>IF(K14&lt;&gt;0,VLOOKUP($A14,[8]HISTONOV24!$A$6:$BB$47,8,0),"ECHEC")</f>
        <v>ECHEC</v>
      </c>
      <c r="M14" s="7">
        <f>IF(P14=0,0,VLOOKUP($A14,[8]HISTONOV24!$A$6:$AV$47,32,0))</f>
        <v>0</v>
      </c>
      <c r="N14" s="7">
        <f>VLOOKUP($A14,[8]HISTONOV24!$A$6:$AV$47,33,0)</f>
        <v>0</v>
      </c>
      <c r="O14" s="7">
        <f t="shared" si="0"/>
        <v>892500</v>
      </c>
      <c r="P14" s="7">
        <f>VLOOKUP($A14,[8]HISTONOV24!$A$6:$AV$47,30,0)</f>
        <v>7500</v>
      </c>
    </row>
    <row r="15" spans="1:16" x14ac:dyDescent="0.35">
      <c r="A15" s="1" t="s">
        <v>35</v>
      </c>
      <c r="B15" s="7">
        <f>IF(D15=0,0,VLOOKUP($A15,[8]HISTONOV24!$A$6:$BB$47,12,0))</f>
        <v>1</v>
      </c>
      <c r="C15" s="1" t="str">
        <f>VLOOKUP(A15,[9]LISTADHERENT!A$5:H$60,3,0)</f>
        <v>NGONDIEP CLAUDE</v>
      </c>
      <c r="D15" s="7">
        <f>IF(E15="ECHEC",0,VLOOKUP($A15,[8]HISTONOV24!$A$6:$AR$47,13,0))</f>
        <v>75000</v>
      </c>
      <c r="E15" s="7" t="str">
        <f>VLOOKUP($A15,[8]HISTONOV24!$A$6:$AV$47,8,0)</f>
        <v>BANQUE</v>
      </c>
      <c r="F15" s="7">
        <f>VLOOKUP($A15,[8]HISTONOV24!$A$6:$AV$47,36,0)</f>
        <v>0</v>
      </c>
      <c r="G15" s="7">
        <f>VLOOKUP($A15,[8]HISTONOV24!$A$6:$AV$47,39,0)</f>
        <v>0</v>
      </c>
      <c r="H15" s="7">
        <f>IF(G15=0,0,VLOOKUP($A15,[8]HISTONOV24!$A$6:$AV$47,42,0))</f>
        <v>0</v>
      </c>
      <c r="I15" s="7">
        <f>VLOOKUP($A15,[8]HISTONOV24!$A$6:$AV$47,41,0)</f>
        <v>0</v>
      </c>
      <c r="J15" s="7">
        <f>TONTOCT24!F15+TONTOCT24!G15</f>
        <v>0</v>
      </c>
      <c r="K15" s="7">
        <f>VLOOKUP($A15,[8]HISTONOV24!$A$6:$AV$47,17,0)</f>
        <v>0</v>
      </c>
      <c r="L15" s="7" t="str">
        <f>IF(K15&lt;&gt;0,VLOOKUP($A15,[8]HISTONOV24!$A$6:$BB$47,8,0),"ECHEC")</f>
        <v>ECHEC</v>
      </c>
      <c r="M15" s="7">
        <f>IF(P15=0,0,VLOOKUP($A15,[8]HISTONOV24!$A$6:$AV$47,32,0))</f>
        <v>0</v>
      </c>
      <c r="N15" s="7">
        <f>VLOOKUP($A15,[8]HISTONOV24!$A$6:$AV$47,33,0)</f>
        <v>0</v>
      </c>
      <c r="O15" s="7">
        <f t="shared" si="0"/>
        <v>0</v>
      </c>
      <c r="P15" s="7">
        <f>VLOOKUP($A15,[8]HISTONOV24!$A$6:$AV$47,30,0)</f>
        <v>0</v>
      </c>
    </row>
    <row r="16" spans="1:16" x14ac:dyDescent="0.35">
      <c r="A16" s="1" t="s">
        <v>20</v>
      </c>
      <c r="B16" s="7">
        <f>IF(D16=0,0,VLOOKUP($A16,[8]HISTONOV24!$A$6:$BB$47,12,0))</f>
        <v>3</v>
      </c>
      <c r="C16" s="1" t="str">
        <f>VLOOKUP(A16,[9]LISTADHERENT!A$5:H$60,3,0)</f>
        <v>NGUIEMEGNI MATHIEU BLAISE</v>
      </c>
      <c r="D16" s="7">
        <f>IF(E16="ECHEC",0,VLOOKUP($A16,[8]HISTONOV24!$A$6:$AR$47,13,0))</f>
        <v>225000</v>
      </c>
      <c r="E16" s="7" t="str">
        <f>VLOOKUP($A16,[8]HISTONOV24!$A$6:$AV$47,8,0)</f>
        <v>BANQUE</v>
      </c>
      <c r="F16" s="7">
        <f>VLOOKUP($A16,[8]HISTONOV24!$A$6:$AV$47,36,0)</f>
        <v>0</v>
      </c>
      <c r="G16" s="7">
        <f>VLOOKUP($A16,[8]HISTONOV24!$A$6:$AV$47,39,0)</f>
        <v>0</v>
      </c>
      <c r="H16" s="7">
        <f>IF(G16=0,0,VLOOKUP($A16,[8]HISTONOV24!$A$6:$AV$47,42,0))</f>
        <v>0</v>
      </c>
      <c r="I16" s="7">
        <f>VLOOKUP($A16,[8]HISTONOV24!$A$6:$AV$47,41,0)</f>
        <v>0</v>
      </c>
      <c r="J16" s="7">
        <f>TONTOCT24!F16+TONTOCT24!G16</f>
        <v>0</v>
      </c>
      <c r="K16" s="7">
        <f>VLOOKUP($A16,[8]HISTONOV24!$A$6:$AV$47,17,0)</f>
        <v>0</v>
      </c>
      <c r="L16" s="7" t="str">
        <f>IF(K16&lt;&gt;0,VLOOKUP($A16,[8]HISTONOV24!$A$6:$BB$47,8,0),"ECHEC")</f>
        <v>ECHEC</v>
      </c>
      <c r="M16" s="7">
        <f>IF(P16=0,0,VLOOKUP($A16,[8]HISTONOV24!$A$6:$AV$47,32,0))</f>
        <v>0</v>
      </c>
      <c r="N16" s="7">
        <f>VLOOKUP($A16,[8]HISTONOV24!$A$6:$AV$47,33,0)</f>
        <v>0</v>
      </c>
      <c r="O16" s="7">
        <f t="shared" si="0"/>
        <v>0</v>
      </c>
      <c r="P16" s="7">
        <f>VLOOKUP($A16,[8]HISTONOV24!$A$6:$AV$47,30,0)</f>
        <v>0</v>
      </c>
    </row>
    <row r="17" spans="1:16" x14ac:dyDescent="0.35">
      <c r="A17" s="1" t="s">
        <v>27</v>
      </c>
      <c r="B17" s="7">
        <f>IF(D17=0,0,VLOOKUP($A17,[8]HISTONOV24!$A$6:$BB$47,12,0))</f>
        <v>1</v>
      </c>
      <c r="C17" s="1" t="str">
        <f>VLOOKUP(A17,[9]LISTADHERENT!A$5:H$60,3,0)</f>
        <v>PATEGO NJOSSU GUSTAVE</v>
      </c>
      <c r="D17" s="7">
        <f>IF(E17="ECHEC",0,VLOOKUP($A17,[8]HISTONOV24!$A$6:$AR$47,13,0))</f>
        <v>75000</v>
      </c>
      <c r="E17" s="7" t="str">
        <f>VLOOKUP($A17,[8]HISTONOV24!$A$6:$AV$47,8,0)</f>
        <v>BANQUE</v>
      </c>
      <c r="F17" s="7">
        <f>VLOOKUP($A17,[8]HISTONOV24!$A$6:$AV$47,36,0)</f>
        <v>0</v>
      </c>
      <c r="G17" s="7">
        <f>VLOOKUP($A17,[8]HISTONOV24!$A$6:$AV$47,39,0)</f>
        <v>0</v>
      </c>
      <c r="H17" s="7">
        <f>IF(G17=0,0,VLOOKUP($A17,[8]HISTONOV24!$A$6:$AV$47,42,0))</f>
        <v>0</v>
      </c>
      <c r="I17" s="7">
        <f>VLOOKUP($A17,[8]HISTONOV24!$A$6:$AV$47,41,0)</f>
        <v>0</v>
      </c>
      <c r="J17" s="7">
        <f>TONTOCT24!F17+TONTOCT24!G17</f>
        <v>0</v>
      </c>
      <c r="K17" s="7">
        <f>VLOOKUP($A17,[8]HISTONOV24!$A$6:$AV$47,17,0)</f>
        <v>0</v>
      </c>
      <c r="L17" s="7" t="str">
        <f>IF(K17&lt;&gt;0,VLOOKUP($A17,[8]HISTONOV24!$A$6:$BB$47,8,0),"ECHEC")</f>
        <v>ECHEC</v>
      </c>
      <c r="M17" s="7">
        <f>IF(P17=0,0,VLOOKUP($A17,[8]HISTONOV24!$A$6:$AV$47,32,0))</f>
        <v>0</v>
      </c>
      <c r="N17" s="7">
        <f>VLOOKUP($A17,[8]HISTONOV24!$A$6:$AV$47,33,0)</f>
        <v>0</v>
      </c>
      <c r="O17" s="7">
        <f t="shared" si="0"/>
        <v>0</v>
      </c>
      <c r="P17" s="7">
        <f>VLOOKUP($A17,[8]HISTONOV24!$A$6:$AV$47,30,0)</f>
        <v>0</v>
      </c>
    </row>
    <row r="18" spans="1:16" x14ac:dyDescent="0.35">
      <c r="A18" s="9" t="s">
        <v>48</v>
      </c>
      <c r="B18" s="7">
        <f>IF(D18=0,0,VLOOKUP($A18,[8]HISTONOV24!$A$6:$BB$47,12,0))</f>
        <v>1</v>
      </c>
      <c r="C18" s="1" t="str">
        <f>VLOOKUP(A18,[9]LISTADHERENT!A$5:H$60,3,0)</f>
        <v>TCHOUAMOU MATHIEU</v>
      </c>
      <c r="D18" s="7">
        <f>IF(E18="ECHEC",0,VLOOKUP($A18,[8]HISTONOV24!$A$6:$AR$47,13,0))</f>
        <v>75000</v>
      </c>
      <c r="E18" s="7" t="str">
        <f>VLOOKUP($A18,[8]HISTONOV24!$A$6:$AV$47,8,0)</f>
        <v>BANQUE</v>
      </c>
      <c r="F18" s="7">
        <f>VLOOKUP($A18,[8]HISTONOV24!$A$6:$AV$47,36,0)</f>
        <v>200000</v>
      </c>
      <c r="G18" s="7">
        <f>VLOOKUP($A18,[8]HISTONOV24!$A$6:$AV$47,39,0)</f>
        <v>2000</v>
      </c>
      <c r="H18" s="7">
        <f>IF(G18=0,0,VLOOKUP($A18,[8]HISTONOV24!$A$6:$AV$47,42,0))</f>
        <v>0</v>
      </c>
      <c r="I18" s="7">
        <f>VLOOKUP($A18,[8]HISTONOV24!$A$6:$AV$47,41,0)</f>
        <v>0</v>
      </c>
      <c r="J18" s="7">
        <f>TONTOCT24!F18+TONTOCT24!G18</f>
        <v>0</v>
      </c>
      <c r="K18" s="7">
        <f>VLOOKUP($A18,[8]HISTONOV24!$A$6:$AV$47,17,0)</f>
        <v>0</v>
      </c>
      <c r="L18" s="7" t="str">
        <f>IF(K18&lt;&gt;0,VLOOKUP($A18,[8]HISTONOV24!$A$6:$BB$47,8,0),"ECHEC")</f>
        <v>ECHEC</v>
      </c>
      <c r="M18" s="7">
        <f>IF(P18=0,0,VLOOKUP($A18,[8]HISTONOV24!$A$6:$AV$47,32,0))</f>
        <v>0</v>
      </c>
      <c r="N18" s="7">
        <f>VLOOKUP($A18,[8]HISTONOV24!$A$6:$AV$47,33,0)</f>
        <v>0</v>
      </c>
      <c r="O18" s="7">
        <f t="shared" si="0"/>
        <v>0</v>
      </c>
      <c r="P18" s="7">
        <f>VLOOKUP($A18,[8]HISTONOV24!$A$6:$AV$47,30,0)</f>
        <v>0</v>
      </c>
    </row>
    <row r="19" spans="1:16" x14ac:dyDescent="0.35">
      <c r="A19" s="1" t="s">
        <v>19</v>
      </c>
      <c r="B19" s="7">
        <f>IF(D19=0,0,VLOOKUP($A19,[8]HISTONOV24!$A$6:$BB$47,12,0))</f>
        <v>1</v>
      </c>
      <c r="C19" s="1" t="str">
        <f>VLOOKUP(A19,[9]LISTADHERENT!A$5:H$60,3,0)</f>
        <v>YOUMBI EMMANUEL</v>
      </c>
      <c r="D19" s="7">
        <f>IF(E19="ECHEC",0,VLOOKUP($A19,[8]HISTONOV24!$A$6:$AR$47,13,0))</f>
        <v>75000</v>
      </c>
      <c r="E19" s="7" t="str">
        <f>VLOOKUP($A19,[8]HISTONOV24!$A$6:$AV$47,8,0)</f>
        <v>BANQUE</v>
      </c>
      <c r="F19" s="7">
        <f>VLOOKUP($A19,[8]HISTONOV24!$A$6:$AV$47,36,0)</f>
        <v>0</v>
      </c>
      <c r="G19" s="7">
        <f>VLOOKUP($A19,[8]HISTONOV24!$A$6:$AV$47,39,0)</f>
        <v>0</v>
      </c>
      <c r="H19" s="7">
        <f>IF(G19=0,0,VLOOKUP($A19,[8]HISTONOV24!$A$6:$AV$47,42,0))</f>
        <v>0</v>
      </c>
      <c r="I19" s="7">
        <f>VLOOKUP($A19,[8]HISTONOV24!$A$6:$AV$47,41,0)</f>
        <v>0</v>
      </c>
      <c r="J19" s="7">
        <f>TONTOCT24!F19+TONTOCT24!G19</f>
        <v>0</v>
      </c>
      <c r="K19" s="7">
        <f>VLOOKUP($A19,[8]HISTONOV24!$A$6:$AV$47,17,0)</f>
        <v>0</v>
      </c>
      <c r="L19" s="7" t="str">
        <f>IF(K19&lt;&gt;0,VLOOKUP($A19,[8]HISTONOV24!$A$6:$BB$47,8,0),"ECHEC")</f>
        <v>ECHEC</v>
      </c>
      <c r="M19" s="7">
        <f>IF(P19=0,0,VLOOKUP($A19,[8]HISTONOV24!$A$6:$AV$47,32,0))</f>
        <v>0</v>
      </c>
      <c r="N19" s="7">
        <f>VLOOKUP($A19,[8]HISTONOV24!$A$6:$AV$47,33,0)</f>
        <v>0</v>
      </c>
      <c r="O19" s="7">
        <f t="shared" si="0"/>
        <v>0</v>
      </c>
      <c r="P19" s="7">
        <f>VLOOKUP($A19,[8]HISTONOV24!$A$6:$AV$47,30,0)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931500</v>
      </c>
      <c r="G22" s="8">
        <f t="shared" si="1"/>
        <v>11000</v>
      </c>
      <c r="H22" s="8">
        <f t="shared" si="1"/>
        <v>0</v>
      </c>
      <c r="I22" s="8">
        <f t="shared" si="1"/>
        <v>0</v>
      </c>
      <c r="J22" s="8">
        <f t="shared" si="1"/>
        <v>253000</v>
      </c>
      <c r="K22" s="8">
        <f t="shared" si="1"/>
        <v>253000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D22+E28+P22+TONTOCT24!M29</f>
        <v>1833500</v>
      </c>
      <c r="L24" s="5"/>
      <c r="N24" s="5"/>
    </row>
    <row r="25" spans="1:16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900000</v>
      </c>
      <c r="L25" s="8">
        <f>D3</f>
        <v>0</v>
      </c>
      <c r="M25" s="8">
        <f>COUNTIF(O7:O18,"&gt;0")</f>
        <v>1</v>
      </c>
      <c r="N25" s="8"/>
    </row>
    <row r="26" spans="1:16" s="2" customFormat="1" ht="17.5" x14ac:dyDescent="0.35">
      <c r="D26" s="8">
        <f>SUMIFS(D6:D21,E6:E21,"BANQUE")</f>
        <v>1200000</v>
      </c>
      <c r="E26" s="8">
        <f>SUMIFS(K7:K18,L7:L18,"BANQUE")</f>
        <v>253000</v>
      </c>
      <c r="F26" s="8">
        <f>SUMIFS(F7:F21,H7:H21,"BANQUE")</f>
        <v>731500</v>
      </c>
      <c r="G26" s="8">
        <f>SUMIFS(O7:O21,M7:M21,"BANQUE")</f>
        <v>0</v>
      </c>
      <c r="H26" s="8">
        <f>D26+E26-F26-G26</f>
        <v>721500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933500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253000</v>
      </c>
      <c r="F28" s="8">
        <f>F25+F26</f>
        <v>731500</v>
      </c>
      <c r="G28" s="8">
        <f t="shared" ref="G28:H28" si="2">G25+G26</f>
        <v>0</v>
      </c>
      <c r="H28" s="8">
        <f t="shared" si="2"/>
        <v>721500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2000</v>
      </c>
      <c r="L29"/>
      <c r="M29" s="8">
        <f>K29</f>
        <v>2000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B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"/>
  <sheetViews>
    <sheetView workbookViewId="0">
      <pane xSplit="3" ySplit="5" topLeftCell="H6" activePane="bottomRight" state="frozen"/>
      <selection activeCell="G6" sqref="G6:G39"/>
      <selection pane="topRight" activeCell="G6" sqref="G6:G39"/>
      <selection pane="bottomLeft" activeCell="G6" sqref="G6:G39"/>
      <selection pane="bottomRight" activeCell="K34" sqref="K34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3" customWidth="1"/>
    <col min="13" max="13" width="1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3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7.5" x14ac:dyDescent="0.35">
      <c r="B4" s="13"/>
      <c r="C4" s="24">
        <v>45639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16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35">
      <c r="A6" s="1" t="s">
        <v>47</v>
      </c>
      <c r="B6" s="7">
        <f>IF(D6=0,0,VLOOKUP($A6,[8]HISTODEC24!$A$6:$BB$47,12,0))</f>
        <v>1</v>
      </c>
      <c r="C6" s="1" t="str">
        <f>VLOOKUP(A6,[9]LISTADHERENT!A$5:H$60,3,0)</f>
        <v>ASELBY</v>
      </c>
      <c r="D6" s="7">
        <f>IF(E6="ECHEC",0,VLOOKUP($A6,[8]HISTODEC24!$A$6:$AR$47,13,0))</f>
        <v>75000</v>
      </c>
      <c r="E6" s="7" t="str">
        <f>VLOOKUP($A6,[8]HISTODEC24!$A$6:$AV$47,8,0)</f>
        <v>BANQUE</v>
      </c>
      <c r="F6" s="7">
        <f>VLOOKUP($A6,[8]HISTODEC24!$A$6:$AV$47,36,0)</f>
        <v>0</v>
      </c>
      <c r="G6" s="7">
        <f>VLOOKUP($A6,[8]HISTODEC24!$A$6:$AV$47,39,0)</f>
        <v>0</v>
      </c>
      <c r="H6" s="7">
        <f>IF(G6=0,0,VLOOKUP($A6,[8]HISTODEC24!$A$6:$AV$47,42,0))</f>
        <v>0</v>
      </c>
      <c r="I6" s="7">
        <f>VLOOKUP($A6,[8]HISTODEC24!$A$6:$AV$47,41,0)</f>
        <v>0</v>
      </c>
      <c r="J6" s="7">
        <f>TONTNOV24!F6+TONTNOV24!G6</f>
        <v>0</v>
      </c>
      <c r="K6" s="7">
        <f>VLOOKUP($A6,[8]HISTODEC24!$A$6:$AV$47,17,0)</f>
        <v>0</v>
      </c>
      <c r="L6" s="7" t="str">
        <f>IF(K6&lt;&gt;0,VLOOKUP($A6,[8]HISTODEC24!$A$6:$BB$47,8,0),"ECHEC")</f>
        <v>ECHEC</v>
      </c>
      <c r="M6" s="7">
        <f>IF(P6=0,0,VLOOKUP($A6,[8]HISTODEC24!$A$6:$AV$47,32,0))</f>
        <v>0</v>
      </c>
      <c r="N6" s="7">
        <f>VLOOKUP($A6,[8]HISTODEC24!$A$6:$AV$47,33,0)</f>
        <v>0</v>
      </c>
      <c r="O6" s="7">
        <f t="shared" ref="O6:O19" si="0">IF(P6=0,0,($C$3-P6))</f>
        <v>892500</v>
      </c>
      <c r="P6" s="7">
        <f>VLOOKUP($A6,[8]HISTODEC24!$A$6:$AV$47,30,0)</f>
        <v>7500</v>
      </c>
    </row>
    <row r="7" spans="1:16" x14ac:dyDescent="0.35">
      <c r="A7" s="1" t="s">
        <v>24</v>
      </c>
      <c r="B7" s="7">
        <f>IF(D7=0,0,VLOOKUP($A7,[8]HISTODEC24!$A$6:$BB$47,12,0))</f>
        <v>1</v>
      </c>
      <c r="C7" s="1" t="str">
        <f>VLOOKUP(A7,[9]LISTADHERENT!A$5:H$60,3,0)</f>
        <v>BOUTCHOUANG WILLIAM</v>
      </c>
      <c r="D7" s="7">
        <f>IF(E7="ECHEC",0,VLOOKUP($A7,[8]HISTODEC24!$A$6:$AR$47,13,0))</f>
        <v>75000</v>
      </c>
      <c r="E7" s="7" t="str">
        <f>VLOOKUP($A7,[8]HISTODEC24!$A$6:$AV$47,8,0)</f>
        <v>BANQUE</v>
      </c>
      <c r="F7" s="7">
        <f>VLOOKUP($A7,[8]HISTODEC24!$A$6:$AV$47,36,0)</f>
        <v>0</v>
      </c>
      <c r="G7" s="7">
        <f>VLOOKUP($A7,[8]HISTODEC24!$A$6:$AV$47,39,0)</f>
        <v>0</v>
      </c>
      <c r="H7" s="7">
        <f>IF(G7=0,0,VLOOKUP($A7,[8]HISTODEC24!$A$6:$AV$47,42,0))</f>
        <v>0</v>
      </c>
      <c r="I7" s="7">
        <f>VLOOKUP($A7,[8]HISTODEC24!$A$6:$AV$47,41,0)</f>
        <v>0</v>
      </c>
      <c r="J7" s="7">
        <f>TONTNOV24!F7+TONTNOV24!G7</f>
        <v>0</v>
      </c>
      <c r="K7" s="7">
        <f>VLOOKUP($A7,[8]HISTODEC24!$A$6:$AV$47,17,0)</f>
        <v>0</v>
      </c>
      <c r="L7" s="7" t="str">
        <f>IF(K7&lt;&gt;0,VLOOKUP($A7,[8]HISTODEC24!$A$6:$BB$47,8,0),"ECHEC")</f>
        <v>ECHEC</v>
      </c>
      <c r="M7" s="7">
        <f>IF(P7=0,0,VLOOKUP($A7,[8]HISTODEC24!$A$6:$AV$47,32,0))</f>
        <v>0</v>
      </c>
      <c r="N7" s="7">
        <f>VLOOKUP($A7,[8]HISTODEC24!$A$6:$AV$47,33,0)</f>
        <v>0</v>
      </c>
      <c r="O7" s="7">
        <f t="shared" si="0"/>
        <v>0</v>
      </c>
      <c r="P7" s="7">
        <f>VLOOKUP($A7,[8]HISTODEC24!$A$6:$AV$47,30,0)</f>
        <v>0</v>
      </c>
    </row>
    <row r="8" spans="1:16" x14ac:dyDescent="0.35">
      <c r="A8" s="1" t="s">
        <v>49</v>
      </c>
      <c r="B8" s="7">
        <f>IF(D8=0,0,VLOOKUP($A8,[8]HISTODEC24!$A$6:$BB$47,12,0))</f>
        <v>1</v>
      </c>
      <c r="C8" s="1" t="str">
        <f>VLOOKUP(A8,[9]LISTADHERENT!A$5:H$60,3,0)</f>
        <v>DJOMOU TCHAPDA</v>
      </c>
      <c r="D8" s="7">
        <f>IF(E8="ECHEC",0,VLOOKUP($A8,[8]HISTODEC24!$A$6:$AR$47,13,0))</f>
        <v>75000</v>
      </c>
      <c r="E8" s="7" t="str">
        <f>VLOOKUP($A8,[8]HISTODEC24!$A$6:$AV$47,8,0)</f>
        <v>ESPECES</v>
      </c>
      <c r="F8" s="7">
        <f>VLOOKUP($A8,[8]HISTODEC24!$A$6:$AV$47,36,0)</f>
        <v>0</v>
      </c>
      <c r="G8" s="7">
        <f>VLOOKUP($A8,[8]HISTODEC24!$A$6:$AV$47,39,0)</f>
        <v>0</v>
      </c>
      <c r="H8" s="7">
        <f>IF(G8=0,0,VLOOKUP($A8,[8]HISTODEC24!$A$6:$AV$47,42,0))</f>
        <v>0</v>
      </c>
      <c r="I8" s="7">
        <f>VLOOKUP($A8,[8]HISTODEC24!$A$6:$AV$47,41,0)</f>
        <v>0</v>
      </c>
      <c r="J8" s="7">
        <f>TONTNOV24!F8+TONTNOV24!G8</f>
        <v>132000</v>
      </c>
      <c r="K8" s="7">
        <f>VLOOKUP($A8,[8]HISTODEC24!$A$6:$AV$47,17,0)</f>
        <v>132000</v>
      </c>
      <c r="L8" s="7" t="str">
        <f>IF(K8&lt;&gt;0,VLOOKUP($A8,[8]HISTODEC24!$A$6:$BB$47,8,0),"ECHEC")</f>
        <v>ESPECES</v>
      </c>
      <c r="M8" s="7">
        <f>IF(P8=0,0,VLOOKUP($A8,[8]HISTODEC24!$A$6:$AV$47,32,0))</f>
        <v>0</v>
      </c>
      <c r="N8" s="7">
        <f>VLOOKUP($A8,[8]HISTODEC24!$A$6:$AV$47,33,0)</f>
        <v>0</v>
      </c>
      <c r="O8" s="7">
        <f t="shared" si="0"/>
        <v>0</v>
      </c>
      <c r="P8" s="7">
        <f>VLOOKUP($A8,[8]HISTODEC24!$A$6:$AV$47,30,0)</f>
        <v>0</v>
      </c>
    </row>
    <row r="9" spans="1:16" x14ac:dyDescent="0.35">
      <c r="A9" s="1" t="s">
        <v>25</v>
      </c>
      <c r="B9" s="7">
        <f>IF(D9=0,0,VLOOKUP($A9,[8]HISTODEC24!$A$6:$BB$47,12,0))</f>
        <v>1</v>
      </c>
      <c r="C9" s="1" t="str">
        <f>VLOOKUP(A9,[9]LISTADHERENT!A$5:H$60,3,0)</f>
        <v>DJOUKWE NANGUEN GUY BLAISE</v>
      </c>
      <c r="D9" s="7">
        <f>IF(E9="ECHEC",0,VLOOKUP($A9,[8]HISTODEC24!$A$6:$AR$47,13,0))</f>
        <v>75000</v>
      </c>
      <c r="E9" s="7" t="str">
        <f>VLOOKUP($A9,[8]HISTODEC24!$A$6:$AV$47,8,0)</f>
        <v>ESPECES</v>
      </c>
      <c r="F9" s="7">
        <f>VLOOKUP($A9,[8]HISTODEC24!$A$6:$AV$47,36,0)</f>
        <v>0</v>
      </c>
      <c r="G9" s="7">
        <f>VLOOKUP($A9,[8]HISTODEC24!$A$6:$AV$47,39,0)</f>
        <v>0</v>
      </c>
      <c r="H9" s="7">
        <f>IF(G9=0,0,VLOOKUP($A9,[8]HISTODEC24!$A$6:$AV$47,42,0))</f>
        <v>0</v>
      </c>
      <c r="I9" s="7">
        <f>VLOOKUP($A9,[8]HISTODEC24!$A$6:$AV$47,41,0)</f>
        <v>0</v>
      </c>
      <c r="J9" s="7">
        <f>TONTNOV24!F9+TONTNOV24!G9</f>
        <v>103000</v>
      </c>
      <c r="K9" s="7">
        <f>VLOOKUP($A9,[8]HISTODEC24!$A$6:$AV$47,17,0)</f>
        <v>103000</v>
      </c>
      <c r="L9" s="7" t="str">
        <f>IF(K9&lt;&gt;0,VLOOKUP($A9,[8]HISTODEC24!$A$6:$BB$47,8,0),"ECHEC")</f>
        <v>ESPECES</v>
      </c>
      <c r="M9" s="7">
        <f>IF(P9=0,0,VLOOKUP($A9,[8]HISTODEC24!$A$6:$AV$47,32,0))</f>
        <v>0</v>
      </c>
      <c r="N9" s="7">
        <f>VLOOKUP($A9,[8]HISTODEC24!$A$6:$AV$47,33,0)</f>
        <v>0</v>
      </c>
      <c r="O9" s="7">
        <f t="shared" si="0"/>
        <v>0</v>
      </c>
      <c r="P9" s="7">
        <f>VLOOKUP($A9,[8]HISTODEC24!$A$6:$AV$47,30,0)</f>
        <v>0</v>
      </c>
    </row>
    <row r="10" spans="1:16" x14ac:dyDescent="0.35">
      <c r="A10" s="1" t="s">
        <v>34</v>
      </c>
      <c r="B10" s="7">
        <f>IF(D10=0,0,VLOOKUP($A10,[8]HISTODEC24!$A$6:$BB$47,12,0))</f>
        <v>1</v>
      </c>
      <c r="C10" s="1" t="str">
        <f>VLOOKUP(A10,[9]LISTADHERENT!A$5:H$60,3,0)</f>
        <v>DJUOMBESSY ANTOINE</v>
      </c>
      <c r="D10" s="7">
        <f>IF(E10="ECHEC",0,VLOOKUP($A10,[8]HISTODEC24!$A$6:$AR$47,13,0))</f>
        <v>75000</v>
      </c>
      <c r="E10" s="7" t="str">
        <f>VLOOKUP($A10,[8]HISTODEC24!$A$6:$AV$47,8,0)</f>
        <v>BANQUE</v>
      </c>
      <c r="F10" s="7">
        <f>VLOOKUP($A10,[8]HISTODEC24!$A$6:$AV$47,36,0)</f>
        <v>0</v>
      </c>
      <c r="G10" s="7">
        <f>VLOOKUP($A10,[8]HISTODEC24!$A$6:$AV$47,39,0)</f>
        <v>0</v>
      </c>
      <c r="H10" s="7">
        <f>IF(G10=0,0,VLOOKUP($A10,[8]HISTODEC24!$A$6:$AV$47,42,0))</f>
        <v>0</v>
      </c>
      <c r="I10" s="7">
        <f>VLOOKUP($A10,[8]HISTODEC24!$A$6:$AV$47,41,0)</f>
        <v>0</v>
      </c>
      <c r="J10" s="7">
        <f>TONTNOV24!F10+TONTNOV24!G10</f>
        <v>101500</v>
      </c>
      <c r="K10" s="7">
        <f>VLOOKUP($A10,[8]HISTODEC24!$A$6:$AV$47,17,0)</f>
        <v>101500</v>
      </c>
      <c r="L10" s="7" t="str">
        <f>IF(K10&lt;&gt;0,VLOOKUP($A10,[8]HISTODEC24!$A$6:$BB$47,8,0),"ECHEC")</f>
        <v>BANQUE</v>
      </c>
      <c r="M10" s="7">
        <f>IF(P10=0,0,VLOOKUP($A10,[8]HISTODEC24!$A$6:$AV$47,32,0))</f>
        <v>0</v>
      </c>
      <c r="N10" s="7">
        <f>VLOOKUP($A10,[8]HISTODEC24!$A$6:$AV$47,33,0)</f>
        <v>0</v>
      </c>
      <c r="O10" s="7">
        <f t="shared" si="0"/>
        <v>0</v>
      </c>
      <c r="P10" s="7">
        <f>VLOOKUP($A10,[8]HISTODEC24!$A$6:$AV$47,30,0)</f>
        <v>0</v>
      </c>
    </row>
    <row r="11" spans="1:16" x14ac:dyDescent="0.35">
      <c r="A11" s="1" t="s">
        <v>18</v>
      </c>
      <c r="B11" s="7">
        <f>IF(D11=0,0,VLOOKUP($A11,[8]HISTODEC24!$A$6:$BB$47,12,0))</f>
        <v>1</v>
      </c>
      <c r="C11" s="1" t="str">
        <f>VLOOKUP(A11,[9]LISTADHERENT!A$5:H$60,3,0)</f>
        <v>HOTCHO BENJAMIN</v>
      </c>
      <c r="D11" s="7">
        <f>IF(E11="ECHEC",0,VLOOKUP($A11,[8]HISTODEC24!$A$6:$AR$47,13,0))</f>
        <v>75000</v>
      </c>
      <c r="E11" s="7" t="str">
        <f>VLOOKUP($A11,[8]HISTODEC24!$A$6:$AV$47,8,0)</f>
        <v>BANQUE</v>
      </c>
      <c r="F11" s="7">
        <f>VLOOKUP($A11,[8]HISTODEC24!$A$6:$AV$47,36,0)</f>
        <v>0</v>
      </c>
      <c r="G11" s="7">
        <f>VLOOKUP($A11,[8]HISTODEC24!$A$6:$AV$47,39,0)</f>
        <v>0</v>
      </c>
      <c r="H11" s="7">
        <f>IF(G11=0,0,VLOOKUP($A11,[8]HISTODEC24!$A$6:$AV$47,42,0))</f>
        <v>0</v>
      </c>
      <c r="I11" s="7">
        <f>VLOOKUP($A11,[8]HISTODEC24!$A$6:$AV$47,41,0)</f>
        <v>0</v>
      </c>
      <c r="J11" s="7">
        <f>TONTNOV24!F11+TONTNOV24!G11</f>
        <v>202000</v>
      </c>
      <c r="K11" s="7">
        <f>VLOOKUP($A11,[8]HISTODEC24!$A$6:$AV$47,17,0)</f>
        <v>202000</v>
      </c>
      <c r="L11" s="7" t="str">
        <f>IF(K11&lt;&gt;0,VLOOKUP($A11,[8]HISTODEC24!$A$6:$BB$47,8,0),"ECHEC")</f>
        <v>BANQUE</v>
      </c>
      <c r="M11" s="7">
        <f>IF(P11=0,0,VLOOKUP($A11,[8]HISTODEC24!$A$6:$AV$47,32,0))</f>
        <v>0</v>
      </c>
      <c r="N11" s="7">
        <f>VLOOKUP($A11,[8]HISTODEC24!$A$6:$AV$47,33,0)</f>
        <v>0</v>
      </c>
      <c r="O11" s="7">
        <f t="shared" si="0"/>
        <v>0</v>
      </c>
      <c r="P11" s="7">
        <f>VLOOKUP($A11,[8]HISTODEC24!$A$6:$AV$47,30,0)</f>
        <v>0</v>
      </c>
    </row>
    <row r="12" spans="1:16" x14ac:dyDescent="0.35">
      <c r="A12" s="1" t="s">
        <v>26</v>
      </c>
      <c r="B12" s="7">
        <f>IF(D12=0,0,VLOOKUP($A12,[8]HISTODEC24!$A$6:$BB$47,12,0))</f>
        <v>1</v>
      </c>
      <c r="C12" s="1" t="str">
        <f>VLOOKUP(A12,[9]LISTADHERENT!A$5:H$60,3,0)</f>
        <v>HENGUE PAUL OMER</v>
      </c>
      <c r="D12" s="7">
        <f>IF(E12="ECHEC",0,VLOOKUP($A12,[8]HISTODEC24!$A$6:$AR$47,13,0))</f>
        <v>75000</v>
      </c>
      <c r="E12" s="7" t="str">
        <f>VLOOKUP($A12,[8]HISTODEC24!$A$6:$AV$47,8,0)</f>
        <v>ESPECES</v>
      </c>
      <c r="F12" s="7">
        <f>VLOOKUP($A12,[8]HISTODEC24!$A$6:$AV$47,36,0)</f>
        <v>0</v>
      </c>
      <c r="G12" s="7">
        <f>VLOOKUP($A12,[8]HISTODEC24!$A$6:$AV$47,39,0)</f>
        <v>0</v>
      </c>
      <c r="H12" s="7">
        <f>IF(G12=0,0,VLOOKUP($A12,[8]HISTODEC24!$A$6:$AV$47,42,0))</f>
        <v>0</v>
      </c>
      <c r="I12" s="7">
        <f>VLOOKUP($A12,[8]HISTODEC24!$A$6:$AV$47,41,0)</f>
        <v>0</v>
      </c>
      <c r="J12" s="7">
        <f>TONTNOV24!F12+TONTNOV24!G12</f>
        <v>0</v>
      </c>
      <c r="K12" s="7">
        <f>VLOOKUP($A12,[8]HISTODEC24!$A$6:$AV$47,17,0)</f>
        <v>0</v>
      </c>
      <c r="L12" s="7" t="str">
        <f>IF(K12&lt;&gt;0,VLOOKUP($A12,[8]HISTODEC24!$A$6:$BB$47,8,0),"ECHEC")</f>
        <v>ECHEC</v>
      </c>
      <c r="M12" s="7">
        <f>IF(P12=0,0,VLOOKUP($A12,[8]HISTODEC24!$A$6:$AV$47,32,0))</f>
        <v>0</v>
      </c>
      <c r="N12" s="7">
        <f>VLOOKUP($A12,[8]HISTODEC24!$A$6:$AV$47,33,0)</f>
        <v>0</v>
      </c>
      <c r="O12" s="7">
        <f t="shared" si="0"/>
        <v>0</v>
      </c>
      <c r="P12" s="7">
        <f>VLOOKUP($A12,[8]HISTODEC24!$A$6:$AV$47,30,0)</f>
        <v>0</v>
      </c>
    </row>
    <row r="13" spans="1:16" x14ac:dyDescent="0.35">
      <c r="A13" s="1" t="s">
        <v>21</v>
      </c>
      <c r="B13" s="7">
        <f>IF(D13=0,0,VLOOKUP($A13,[8]HISTODEC24!$A$6:$BB$47,12,0))</f>
        <v>1</v>
      </c>
      <c r="C13" s="1" t="str">
        <f>VLOOKUP(A13,[9]LISTADHERENT!A$5:H$60,3,0)</f>
        <v>MBOGNING TUGMA GUY</v>
      </c>
      <c r="D13" s="7">
        <f>IF(E13="ECHEC",0,VLOOKUP($A13,[8]HISTODEC24!$A$6:$AR$47,13,0))</f>
        <v>75000</v>
      </c>
      <c r="E13" s="7" t="str">
        <f>VLOOKUP($A13,[8]HISTODEC24!$A$6:$AV$47,8,0)</f>
        <v>BANQUE</v>
      </c>
      <c r="F13" s="7">
        <f>VLOOKUP($A13,[8]HISTODEC24!$A$6:$AV$47,36,0)</f>
        <v>0</v>
      </c>
      <c r="G13" s="7">
        <f>VLOOKUP($A13,[8]HISTODEC24!$A$6:$AV$47,39,0)</f>
        <v>0</v>
      </c>
      <c r="H13" s="7">
        <f>IF(G13=0,0,VLOOKUP($A13,[8]HISTODEC24!$A$6:$AV$47,42,0))</f>
        <v>0</v>
      </c>
      <c r="I13" s="7">
        <f>VLOOKUP($A13,[8]HISTODEC24!$A$6:$AV$47,41,0)</f>
        <v>0</v>
      </c>
      <c r="J13" s="7">
        <f>TONTNOV24!F13+TONTNOV24!G13</f>
        <v>202000</v>
      </c>
      <c r="K13" s="7">
        <f>VLOOKUP($A13,[8]HISTODEC24!$A$6:$AV$47,17,0)</f>
        <v>202000</v>
      </c>
      <c r="L13" s="7" t="str">
        <f>IF(K13&lt;&gt;0,VLOOKUP($A13,[8]HISTODEC24!$A$6:$BB$47,8,0),"ECHEC")</f>
        <v>BANQUE</v>
      </c>
      <c r="M13" s="7">
        <f>IF(P13=0,0,VLOOKUP($A13,[8]HISTODEC24!$A$6:$AV$47,32,0))</f>
        <v>0</v>
      </c>
      <c r="N13" s="7">
        <f>VLOOKUP($A13,[8]HISTODEC24!$A$6:$AV$47,33,0)</f>
        <v>0</v>
      </c>
      <c r="O13" s="7">
        <f t="shared" si="0"/>
        <v>0</v>
      </c>
      <c r="P13" s="7">
        <f>VLOOKUP($A13,[8]HISTODEC24!$A$6:$AV$47,30,0)</f>
        <v>0</v>
      </c>
    </row>
    <row r="14" spans="1:16" x14ac:dyDescent="0.35">
      <c r="A14" s="1" t="s">
        <v>8</v>
      </c>
      <c r="B14" s="7">
        <f>IF(D14=0,0,VLOOKUP($A14,[8]HISTODEC24!$A$6:$BB$47,12,0))</f>
        <v>1</v>
      </c>
      <c r="C14" s="1" t="str">
        <f>VLOOKUP(A14,[9]LISTADHERENT!A$5:H$60,3,0)</f>
        <v>NANKAM APPOLINAIRE</v>
      </c>
      <c r="D14" s="7">
        <f>IF(E14="ECHEC",0,VLOOKUP($A14,[8]HISTODEC24!$A$6:$AR$47,13,0))</f>
        <v>75000</v>
      </c>
      <c r="E14" s="7" t="str">
        <f>VLOOKUP($A14,[8]HISTODEC24!$A$6:$AV$47,8,0)</f>
        <v>BANQUE</v>
      </c>
      <c r="F14" s="7">
        <f>VLOOKUP($A14,[8]HISTODEC24!$A$6:$AV$47,36,0)</f>
        <v>0</v>
      </c>
      <c r="G14" s="7">
        <f>VLOOKUP($A14,[8]HISTODEC24!$A$6:$AV$47,39,0)</f>
        <v>0</v>
      </c>
      <c r="H14" s="7">
        <f>IF(G14=0,0,VLOOKUP($A14,[8]HISTODEC24!$A$6:$AV$47,42,0))</f>
        <v>0</v>
      </c>
      <c r="I14" s="7">
        <f>VLOOKUP($A14,[8]HISTODEC24!$A$6:$AV$47,41,0)</f>
        <v>0</v>
      </c>
      <c r="J14" s="7">
        <f>TONTNOV24!F14+TONTNOV24!G14</f>
        <v>0</v>
      </c>
      <c r="K14" s="7">
        <f>VLOOKUP($A14,[8]HISTODEC24!$A$6:$AV$47,17,0)</f>
        <v>0</v>
      </c>
      <c r="L14" s="7" t="str">
        <f>IF(K14&lt;&gt;0,VLOOKUP($A14,[8]HISTODEC24!$A$6:$BB$47,8,0),"ECHEC")</f>
        <v>ECHEC</v>
      </c>
      <c r="M14" s="7">
        <f>IF(P14=0,0,VLOOKUP($A14,[8]HISTODEC24!$A$6:$AV$47,32,0))</f>
        <v>0</v>
      </c>
      <c r="N14" s="7">
        <f>VLOOKUP($A14,[8]HISTODEC24!$A$6:$AV$47,33,0)</f>
        <v>0</v>
      </c>
      <c r="O14" s="7">
        <f t="shared" si="0"/>
        <v>0</v>
      </c>
      <c r="P14" s="7">
        <f>VLOOKUP($A14,[8]HISTODEC24!$A$6:$AV$47,30,0)</f>
        <v>0</v>
      </c>
    </row>
    <row r="15" spans="1:16" x14ac:dyDescent="0.35">
      <c r="A15" s="1" t="s">
        <v>35</v>
      </c>
      <c r="B15" s="7">
        <f>IF(D15=0,0,VLOOKUP($A15,[8]HISTODEC24!$A$6:$BB$47,12,0))</f>
        <v>1</v>
      </c>
      <c r="C15" s="1" t="str">
        <f>VLOOKUP(A15,[9]LISTADHERENT!A$5:H$60,3,0)</f>
        <v>NGONDIEP CLAUDE</v>
      </c>
      <c r="D15" s="7">
        <f>IF(E15="ECHEC",0,VLOOKUP($A15,[8]HISTODEC24!$A$6:$AR$47,13,0))</f>
        <v>75000</v>
      </c>
      <c r="E15" s="7" t="str">
        <f>VLOOKUP($A15,[8]HISTODEC24!$A$6:$AV$47,8,0)</f>
        <v>BANQUE</v>
      </c>
      <c r="F15" s="7">
        <f>VLOOKUP($A15,[8]HISTODEC24!$A$6:$AV$47,36,0)</f>
        <v>0</v>
      </c>
      <c r="G15" s="7">
        <f>VLOOKUP($A15,[8]HISTODEC24!$A$6:$AV$47,39,0)</f>
        <v>0</v>
      </c>
      <c r="H15" s="7">
        <f>IF(G15=0,0,VLOOKUP($A15,[8]HISTODEC24!$A$6:$AV$47,42,0))</f>
        <v>0</v>
      </c>
      <c r="I15" s="7">
        <f>VLOOKUP($A15,[8]HISTODEC24!$A$6:$AV$47,41,0)</f>
        <v>0</v>
      </c>
      <c r="J15" s="7">
        <f>TONTNOV24!F15+TONTNOV24!G15</f>
        <v>0</v>
      </c>
      <c r="K15" s="7">
        <f>VLOOKUP($A15,[8]HISTODEC24!$A$6:$AV$47,17,0)</f>
        <v>0</v>
      </c>
      <c r="L15" s="7" t="str">
        <f>IF(K15&lt;&gt;0,VLOOKUP($A15,[8]HISTODEC24!$A$6:$BB$47,8,0),"ECHEC")</f>
        <v>ECHEC</v>
      </c>
      <c r="M15" s="7">
        <f>IF(P15=0,0,VLOOKUP($A15,[8]HISTODEC24!$A$6:$AV$47,32,0))</f>
        <v>0</v>
      </c>
      <c r="N15" s="7">
        <f>VLOOKUP($A15,[8]HISTODEC24!$A$6:$AV$47,33,0)</f>
        <v>0</v>
      </c>
      <c r="O15" s="7">
        <f t="shared" si="0"/>
        <v>0</v>
      </c>
      <c r="P15" s="7">
        <f>VLOOKUP($A15,[8]HISTODEC24!$A$6:$AV$47,30,0)</f>
        <v>0</v>
      </c>
    </row>
    <row r="16" spans="1:16" x14ac:dyDescent="0.35">
      <c r="A16" s="1" t="s">
        <v>20</v>
      </c>
      <c r="B16" s="7">
        <f>IF(D16=0,0,VLOOKUP($A16,[8]HISTODEC24!$A$6:$BB$47,12,0))</f>
        <v>3</v>
      </c>
      <c r="C16" s="1" t="str">
        <f>VLOOKUP(A16,[9]LISTADHERENT!A$5:H$60,3,0)</f>
        <v>NGUIEMEGNI MATHIEU BLAISE</v>
      </c>
      <c r="D16" s="7">
        <f>IF(E16="ECHEC",0,VLOOKUP($A16,[8]HISTODEC24!$A$6:$AR$47,13,0))</f>
        <v>225000</v>
      </c>
      <c r="E16" s="7" t="str">
        <f>VLOOKUP($A16,[8]HISTODEC24!$A$6:$AV$47,8,0)</f>
        <v>BANQUE</v>
      </c>
      <c r="F16" s="7">
        <f>VLOOKUP($A16,[8]HISTODEC24!$A$6:$AV$47,36,0)</f>
        <v>0</v>
      </c>
      <c r="G16" s="7">
        <f>VLOOKUP($A16,[8]HISTODEC24!$A$6:$AV$47,39,0)</f>
        <v>0</v>
      </c>
      <c r="H16" s="7">
        <f>IF(G16=0,0,VLOOKUP($A16,[8]HISTODEC24!$A$6:$AV$47,42,0))</f>
        <v>0</v>
      </c>
      <c r="I16" s="7">
        <f>VLOOKUP($A16,[8]HISTODEC24!$A$6:$AV$47,41,0)</f>
        <v>0</v>
      </c>
      <c r="J16" s="7">
        <f>TONTNOV24!F16+TONTNOV24!G16</f>
        <v>0</v>
      </c>
      <c r="K16" s="7">
        <f>VLOOKUP($A16,[8]HISTODEC24!$A$6:$AV$47,17,0)</f>
        <v>0</v>
      </c>
      <c r="L16" s="7" t="str">
        <f>IF(K16&lt;&gt;0,VLOOKUP($A16,[8]HISTODEC24!$A$6:$BB$47,8,0),"ECHEC")</f>
        <v>ECHEC</v>
      </c>
      <c r="M16" s="7">
        <f>IF(P16=0,0,VLOOKUP($A16,[8]HISTODEC24!$A$6:$AV$47,32,0))</f>
        <v>0</v>
      </c>
      <c r="N16" s="7">
        <f>VLOOKUP($A16,[8]HISTODEC24!$A$6:$AV$47,33,0)</f>
        <v>0</v>
      </c>
      <c r="O16" s="7">
        <f t="shared" si="0"/>
        <v>0</v>
      </c>
      <c r="P16" s="7">
        <f>VLOOKUP($A16,[8]HISTODEC24!$A$6:$AV$47,30,0)</f>
        <v>0</v>
      </c>
    </row>
    <row r="17" spans="1:16" x14ac:dyDescent="0.35">
      <c r="A17" s="1" t="s">
        <v>27</v>
      </c>
      <c r="B17" s="7">
        <f>IF(D17=0,0,VLOOKUP($A17,[8]HISTODEC24!$A$6:$BB$47,12,0))</f>
        <v>1</v>
      </c>
      <c r="C17" s="1" t="str">
        <f>VLOOKUP(A17,[9]LISTADHERENT!A$5:H$60,3,0)</f>
        <v>PATEGO NJOSSU GUSTAVE</v>
      </c>
      <c r="D17" s="7">
        <f>IF(E17="ECHEC",0,VLOOKUP($A17,[8]HISTODEC24!$A$6:$AR$47,13,0))</f>
        <v>75000</v>
      </c>
      <c r="E17" s="7" t="str">
        <f>VLOOKUP($A17,[8]HISTODEC24!$A$6:$AV$47,8,0)</f>
        <v>BANQUE</v>
      </c>
      <c r="F17" s="7">
        <f>VLOOKUP($A17,[8]HISTODEC24!$A$6:$AV$47,36,0)</f>
        <v>0</v>
      </c>
      <c r="G17" s="7">
        <f>VLOOKUP($A17,[8]HISTODEC24!$A$6:$AV$47,39,0)</f>
        <v>0</v>
      </c>
      <c r="H17" s="7">
        <f>IF(G17=0,0,VLOOKUP($A17,[8]HISTODEC24!$A$6:$AV$47,42,0))</f>
        <v>0</v>
      </c>
      <c r="I17" s="7">
        <f>VLOOKUP($A17,[8]HISTODEC24!$A$6:$AV$47,41,0)</f>
        <v>0</v>
      </c>
      <c r="J17" s="7">
        <f>TONTNOV24!F17+TONTNOV24!G17</f>
        <v>0</v>
      </c>
      <c r="K17" s="7">
        <f>VLOOKUP($A17,[8]HISTODEC24!$A$6:$AV$47,17,0)</f>
        <v>0</v>
      </c>
      <c r="L17" s="7" t="str">
        <f>IF(K17&lt;&gt;0,VLOOKUP($A17,[8]HISTODEC24!$A$6:$BB$47,8,0),"ECHEC")</f>
        <v>ECHEC</v>
      </c>
      <c r="M17" s="7">
        <f>IF(P17=0,0,VLOOKUP($A17,[8]HISTODEC24!$A$6:$AV$47,32,0))</f>
        <v>0</v>
      </c>
      <c r="N17" s="7">
        <f>VLOOKUP($A17,[8]HISTODEC24!$A$6:$AV$47,33,0)</f>
        <v>0</v>
      </c>
      <c r="O17" s="7">
        <f t="shared" si="0"/>
        <v>0</v>
      </c>
      <c r="P17" s="7">
        <f>VLOOKUP($A17,[8]HISTODEC24!$A$6:$AV$47,30,0)</f>
        <v>0</v>
      </c>
    </row>
    <row r="18" spans="1:16" x14ac:dyDescent="0.35">
      <c r="A18" s="9" t="s">
        <v>48</v>
      </c>
      <c r="B18" s="7">
        <f>IF(D18=0,0,VLOOKUP($A18,[8]HISTODEC24!$A$6:$BB$47,12,0))</f>
        <v>1</v>
      </c>
      <c r="C18" s="1" t="str">
        <f>VLOOKUP(A18,[9]LISTADHERENT!A$5:H$60,3,0)</f>
        <v>TCHOUAMOU MATHIEU</v>
      </c>
      <c r="D18" s="7">
        <f>IF(E18="ECHEC",0,VLOOKUP($A18,[8]HISTODEC24!$A$6:$AR$47,13,0))</f>
        <v>75000</v>
      </c>
      <c r="E18" s="7" t="str">
        <f>VLOOKUP($A18,[8]HISTODEC24!$A$6:$AV$47,8,0)</f>
        <v>BANQUE</v>
      </c>
      <c r="F18" s="7">
        <f>VLOOKUP($A18,[8]HISTODEC24!$A$6:$AV$47,36,0)</f>
        <v>0</v>
      </c>
      <c r="G18" s="7">
        <f>VLOOKUP($A18,[8]HISTODEC24!$A$6:$AV$47,39,0)</f>
        <v>0</v>
      </c>
      <c r="H18" s="7">
        <f>IF(G18=0,0,VLOOKUP($A18,[8]HISTODEC24!$A$6:$AV$47,42,0))</f>
        <v>0</v>
      </c>
      <c r="I18" s="7">
        <f>VLOOKUP($A18,[8]HISTODEC24!$A$6:$AV$47,41,0)</f>
        <v>0</v>
      </c>
      <c r="J18" s="7">
        <f>TONTNOV24!F18+TONTNOV24!G18</f>
        <v>202000</v>
      </c>
      <c r="K18" s="7">
        <f>VLOOKUP($A18,[8]HISTODEC24!$A$6:$AV$47,17,0)</f>
        <v>202000</v>
      </c>
      <c r="L18" s="7" t="str">
        <f>IF(K18&lt;&gt;0,VLOOKUP($A18,[8]HISTODEC24!$A$6:$BB$47,8,0),"ECHEC")</f>
        <v>BANQUE</v>
      </c>
      <c r="M18" s="7">
        <f>IF(P18=0,0,VLOOKUP($A18,[8]HISTODEC24!$A$6:$AV$47,32,0))</f>
        <v>0</v>
      </c>
      <c r="N18" s="7">
        <f>VLOOKUP($A18,[8]HISTODEC24!$A$6:$AV$47,33,0)</f>
        <v>0</v>
      </c>
      <c r="O18" s="7">
        <f t="shared" si="0"/>
        <v>0</v>
      </c>
      <c r="P18" s="7">
        <f>VLOOKUP($A18,[8]HISTODEC24!$A$6:$AV$47,30,0)</f>
        <v>0</v>
      </c>
    </row>
    <row r="19" spans="1:16" x14ac:dyDescent="0.35">
      <c r="A19" s="1" t="s">
        <v>19</v>
      </c>
      <c r="B19" s="7">
        <f>IF(D19=0,0,VLOOKUP($A19,[8]HISTODEC24!$A$6:$BB$47,12,0))</f>
        <v>1</v>
      </c>
      <c r="C19" s="1" t="str">
        <f>VLOOKUP(A19,[9]LISTADHERENT!A$5:H$60,3,0)</f>
        <v>YOUMBI EMMANUEL</v>
      </c>
      <c r="D19" s="7">
        <f>IF(E19="ECHEC",0,VLOOKUP($A19,[8]HISTODEC24!$A$6:$AR$47,13,0))</f>
        <v>75000</v>
      </c>
      <c r="E19" s="7" t="str">
        <f>VLOOKUP($A19,[8]HISTODEC24!$A$6:$AV$47,8,0)</f>
        <v>BANQUE</v>
      </c>
      <c r="F19" s="7">
        <f>VLOOKUP($A19,[8]HISTODEC24!$A$6:$AV$47,36,0)</f>
        <v>0</v>
      </c>
      <c r="G19" s="7">
        <f>VLOOKUP($A19,[8]HISTODEC24!$A$6:$AV$47,39,0)</f>
        <v>0</v>
      </c>
      <c r="H19" s="7">
        <f>IF(G19=0,0,VLOOKUP($A19,[8]HISTODEC24!$A$6:$AV$47,42,0))</f>
        <v>0</v>
      </c>
      <c r="I19" s="7">
        <f>VLOOKUP($A19,[8]HISTODEC24!$A$6:$AV$47,41,0)</f>
        <v>0</v>
      </c>
      <c r="J19" s="7">
        <f>TONTNOV24!F19+TONTNOV24!G19</f>
        <v>0</v>
      </c>
      <c r="K19" s="7">
        <f>VLOOKUP($A19,[8]HISTODEC24!$A$6:$AV$47,17,0)</f>
        <v>0</v>
      </c>
      <c r="L19" s="7" t="str">
        <f>IF(K19&lt;&gt;0,VLOOKUP($A19,[8]HISTODEC24!$A$6:$BB$47,8,0),"ECHEC")</f>
        <v>ECHEC</v>
      </c>
      <c r="M19" s="7">
        <f>IF(P19=0,0,VLOOKUP($A19,[8]HISTODEC24!$A$6:$AV$47,32,0))</f>
        <v>0</v>
      </c>
      <c r="N19" s="7">
        <f>VLOOKUP($A19,[8]HISTODEC24!$A$6:$AV$47,33,0)</f>
        <v>0</v>
      </c>
      <c r="O19" s="7">
        <f t="shared" si="0"/>
        <v>0</v>
      </c>
      <c r="P19" s="7">
        <f>VLOOKUP($A19,[8]HISTODEC24!$A$6:$AV$47,30,0)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36</v>
      </c>
      <c r="B21" s="8">
        <f>SUM(B6:B20)</f>
        <v>16</v>
      </c>
      <c r="G21" s="11"/>
    </row>
    <row r="22" spans="1:16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1200000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942500</v>
      </c>
      <c r="K22" s="8">
        <f t="shared" si="1"/>
        <v>942500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892500</v>
      </c>
      <c r="P22" s="8">
        <f t="shared" si="1"/>
        <v>7500</v>
      </c>
    </row>
    <row r="23" spans="1:16" x14ac:dyDescent="0.35">
      <c r="A23" s="2"/>
      <c r="G23" s="11"/>
      <c r="L23" s="5" t="s">
        <v>33</v>
      </c>
      <c r="M23" s="5" t="s">
        <v>43</v>
      </c>
    </row>
    <row r="24" spans="1:16" ht="28.5" x14ac:dyDescent="0.3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D22+E28+P22+TONTNOV24!M29</f>
        <v>2152000</v>
      </c>
      <c r="L24" s="5"/>
      <c r="N24" s="5"/>
    </row>
    <row r="25" spans="1:16" s="2" customFormat="1" ht="17.5" x14ac:dyDescent="0.35">
      <c r="D25" s="8">
        <f>SUMIFS(D6:D21,E6:E21,"ESPECES")</f>
        <v>225000</v>
      </c>
      <c r="E25" s="8">
        <f>SUMIFS(K7:K18,L7:L18,"ESPECES")</f>
        <v>235000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460000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7.5" x14ac:dyDescent="0.35">
      <c r="D26" s="8">
        <f>SUMIFS(D6:D21,E6:E21,"BANQUE")</f>
        <v>975000</v>
      </c>
      <c r="E26" s="8">
        <f>SUMIFS(K7:K18,L7:L18,"BANQUE")</f>
        <v>707500</v>
      </c>
      <c r="F26" s="8">
        <f>SUMIFS(F7:F21,H7:H21,"BANQUE")</f>
        <v>0</v>
      </c>
      <c r="G26" s="8">
        <f>SUMIFS(O7:O21,M7:M21,"BANQUE")</f>
        <v>0</v>
      </c>
      <c r="H26" s="8">
        <f>D26+E26-F26-G26</f>
        <v>1682500</v>
      </c>
      <c r="I26" s="8"/>
      <c r="K26" s="8"/>
      <c r="L26" s="8"/>
      <c r="M26" s="8"/>
      <c r="N26" s="8"/>
    </row>
    <row r="27" spans="1:16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2152000</v>
      </c>
      <c r="L27" s="8"/>
      <c r="M27" s="8"/>
      <c r="N27" s="8"/>
    </row>
    <row r="28" spans="1:16" s="2" customFormat="1" ht="17.5" x14ac:dyDescent="0.35">
      <c r="D28" s="8">
        <f>D25+D26</f>
        <v>1200000</v>
      </c>
      <c r="E28" s="8">
        <f>E25+E26</f>
        <v>942500</v>
      </c>
      <c r="F28" s="8">
        <f>F25+F26</f>
        <v>0</v>
      </c>
      <c r="G28" s="8">
        <f t="shared" ref="G28:H28" si="2">G25+G26</f>
        <v>0</v>
      </c>
      <c r="H28" s="8">
        <f t="shared" si="2"/>
        <v>2142500</v>
      </c>
      <c r="I28" s="8"/>
      <c r="K28" s="8"/>
      <c r="L28" s="8"/>
      <c r="M28" s="8"/>
      <c r="N28" s="8"/>
    </row>
    <row r="29" spans="1:16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2152000</v>
      </c>
      <c r="L29"/>
      <c r="M29" s="8">
        <f>K29</f>
        <v>2152000</v>
      </c>
      <c r="N29" s="8" t="s">
        <v>29</v>
      </c>
    </row>
    <row r="30" spans="1:16" s="2" customFormat="1" x14ac:dyDescent="0.35">
      <c r="D30" s="5"/>
      <c r="E30"/>
      <c r="F30"/>
      <c r="G30" s="3"/>
      <c r="H30" s="3"/>
      <c r="I30" s="3"/>
      <c r="L30"/>
      <c r="M30" s="3"/>
      <c r="N30" s="3"/>
    </row>
    <row r="31" spans="1:16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</row>
    <row r="32" spans="1:16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7.5" x14ac:dyDescent="0.35">
      <c r="J33" s="8" t="s">
        <v>44</v>
      </c>
      <c r="K33" s="8">
        <f>COUNTIFS(E7:E22,"ECHEC")*75000</f>
        <v>0</v>
      </c>
      <c r="M33" s="8">
        <f>+K33</f>
        <v>0</v>
      </c>
      <c r="N33" s="8" t="s">
        <v>29</v>
      </c>
    </row>
    <row r="34" spans="10:14" ht="17.5" x14ac:dyDescent="0.3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 xr:uid="{00000000-0009-0000-0000-00000C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2"/>
  <sheetViews>
    <sheetView workbookViewId="0">
      <pane xSplit="3" ySplit="5" topLeftCell="P6" activePane="bottomRight" state="frozen"/>
      <selection activeCell="G6" sqref="G6:G39"/>
      <selection pane="topRight" activeCell="G6" sqref="G6:G39"/>
      <selection pane="bottomLeft" activeCell="G6" sqref="G6:G39"/>
      <selection pane="bottomRight" activeCell="V11" sqref="V11"/>
    </sheetView>
  </sheetViews>
  <sheetFormatPr baseColWidth="10" defaultColWidth="11" defaultRowHeight="14.5" x14ac:dyDescent="0.35"/>
  <cols>
    <col min="1" max="1" width="13.81640625" customWidth="1"/>
    <col min="2" max="2" width="16.7265625" customWidth="1"/>
    <col min="3" max="3" width="29.54296875" customWidth="1"/>
    <col min="4" max="4" width="21" customWidth="1"/>
    <col min="5" max="5" width="16.7265625" customWidth="1"/>
    <col min="6" max="6" width="15" customWidth="1"/>
    <col min="7" max="8" width="17.54296875" style="3" customWidth="1"/>
    <col min="9" max="9" width="16" style="3" customWidth="1"/>
    <col min="10" max="10" width="19.81640625" style="3" customWidth="1"/>
    <col min="11" max="11" width="17.81640625" style="2" bestFit="1" customWidth="1"/>
    <col min="12" max="12" width="13" customWidth="1"/>
    <col min="13" max="13" width="17.1796875" bestFit="1" customWidth="1"/>
    <col min="14" max="14" width="15.54296875" style="3" customWidth="1"/>
    <col min="15" max="15" width="18.1796875" style="2" customWidth="1"/>
    <col min="16" max="16" width="22.54296875" style="2" customWidth="1"/>
    <col min="17" max="17" width="12.453125" bestFit="1" customWidth="1"/>
    <col min="19" max="19" width="16.26953125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D1" s="1"/>
      <c r="E1" s="1"/>
      <c r="L1" s="1"/>
      <c r="M1" s="1"/>
    </row>
    <row r="2" spans="1:20" x14ac:dyDescent="0.3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20" x14ac:dyDescent="0.35">
      <c r="A3" s="1" t="s">
        <v>31</v>
      </c>
      <c r="B3" s="4">
        <v>75000</v>
      </c>
      <c r="C3" s="4">
        <f>B3*12</f>
        <v>900000</v>
      </c>
      <c r="D3" s="1">
        <f>ROUNDDOWN(K24/C3,0)</f>
        <v>16</v>
      </c>
      <c r="E3" s="1"/>
      <c r="L3" s="1"/>
      <c r="M3" s="1"/>
    </row>
    <row r="4" spans="1:20" s="12" customFormat="1" ht="17.5" x14ac:dyDescent="0.35">
      <c r="B4" s="13"/>
      <c r="C4" s="24" t="s">
        <v>50</v>
      </c>
      <c r="D4" s="25"/>
      <c r="E4" s="25"/>
      <c r="F4" s="25"/>
      <c r="G4" s="25"/>
      <c r="H4" s="25"/>
      <c r="I4" s="25"/>
      <c r="J4" s="25"/>
      <c r="L4" s="14"/>
      <c r="M4" s="14"/>
      <c r="N4" s="14"/>
      <c r="O4" s="14"/>
    </row>
    <row r="5" spans="1:20" ht="56.5" x14ac:dyDescent="0.3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  <c r="Q5" s="5" t="s">
        <v>51</v>
      </c>
      <c r="R5" s="5" t="s">
        <v>52</v>
      </c>
      <c r="S5" s="5" t="s">
        <v>53</v>
      </c>
      <c r="T5" s="5" t="s">
        <v>56</v>
      </c>
    </row>
    <row r="6" spans="1:20" ht="18.5" x14ac:dyDescent="0.45">
      <c r="A6" s="1" t="s">
        <v>47</v>
      </c>
      <c r="B6" s="7">
        <f>TONTJANV24!B6+TONTFEV24!B6+TONTMARS24!B6+TONTAVRIL24!B6+TONTMAI24!B6+TONTJUIN24!B6+TONTJUIL24!B6+TONTAOUT24!B6+TONTSEPT24!B6+TONTOCT24!B6+TONTNOV24!B6+TONTDEC24!B6</f>
        <v>12</v>
      </c>
      <c r="C6" s="1" t="str">
        <f>VLOOKUP(A6,[9]LISTADHERENT!A$5:H$60,3,0)</f>
        <v>ASELBY</v>
      </c>
      <c r="D6" s="7">
        <f>TONTJANV24!D6+TONTFEV24!D6+TONTMARS24!D6+TONTAVRIL24!D6+TONTMAI24!D6+TONTJUIN24!D6+TONTJUIL24!D6+TONTAOUT24!D6+TONTSEPT24!D6+TONTOCT24!D6+TONTNOV24!D6+TONTDEC24!D6</f>
        <v>900000</v>
      </c>
      <c r="E6" s="7"/>
      <c r="F6" s="7">
        <f>TONTJANV24!F6+TONTFEV24!F6+TONTMARS24!F6+TONTAVRIL24!F6+TONTMAI24!F6+TONTJUIN24!F6+TONTJUIL24!F6+TONTAOUT24!F6+TONTSEPT24!F6+TONTOCT24!F6+TONTNOV24!F6+TONTDEC24!F6</f>
        <v>0</v>
      </c>
      <c r="G6" s="7">
        <f>TONTJANV24!G6+TONTFEV24!G6+TONTMARS24!G6+TONTAVRIL24!G6+TONTMAI24!G6+TONTJUIN24!G6+TONTJUIL24!G6+TONTAOUT24!G6+TONTSEPT24!G6+TONTOCT24!G6+TONTNOV24!G6+TONTDEC24!G6</f>
        <v>0</v>
      </c>
      <c r="H6" s="7"/>
      <c r="I6" s="7"/>
      <c r="J6" s="7">
        <f>TONTJANV24!J6+TONTFEV24!J6+TONTMARS24!J6+TONTAVRIL24!J6+TONTMAI24!J6+TONTJUIN24!J6+TONTJUIL24!J6+TONTAOUT24!J6+TONTSEPT24!J6+TONTOCT24!J6+TONTNOV24!J6+TONTDEC24!J6</f>
        <v>0</v>
      </c>
      <c r="K6" s="7">
        <f>TONTJANV24!K6+TONTFEV24!K6+TONTMARS24!K6+TONTAVRIL24!K6+TONTMAI24!K6+TONTJUIN24!K6+TONTJUIL24!K6+TONTAOUT24!K6+TONTSEPT24!K6+TONTOCT24!K6+TONTNOV24!K6+TONTDEC24!K6</f>
        <v>0</v>
      </c>
      <c r="L6" s="7"/>
      <c r="M6" s="7"/>
      <c r="N6" s="7"/>
      <c r="O6" s="7">
        <f>TONTJANV24!O6+TONTFEV24!O6+TONTMARS24!O6+TONTAVRIL24!O6+TONTMAI24!O6+TONTJUIN24!O6+TONTJUIL24!O6+TONTAOUT24!O6+TONTSEPT24!O6+TONTOCT24!O6+TONTNOV24!O6+TONTDEC24!O6</f>
        <v>892500</v>
      </c>
      <c r="P6" s="7">
        <f>TONTJANV24!P6+TONTFEV24!P6+TONTMARS24!P6+TONTAVRIL24!P6+TONTMAI24!P6+TONTJUIN24!P6+TONTJUIL24!P6+TONTAOUT24!P6+TONTSEPT24!P6+TONTOCT24!P6+TONTNOV24!P6+TONTDEC24!P6</f>
        <v>7500</v>
      </c>
      <c r="Q6" s="16"/>
      <c r="S6" s="8">
        <f>$Q$28</f>
        <v>21906.25</v>
      </c>
      <c r="T6" s="8">
        <v>20000</v>
      </c>
    </row>
    <row r="7" spans="1:20" ht="18.5" x14ac:dyDescent="0.45">
      <c r="A7" s="1" t="s">
        <v>24</v>
      </c>
      <c r="B7" s="7">
        <f>TONTJANV24!B7+TONTFEV24!B7+TONTMARS24!B7+TONTAVRIL24!B7+TONTMAI24!B7+TONTJUIN24!B7+TONTJUIL24!B7+TONTAOUT24!B7+TONTSEPT24!B7+TONTOCT24!B7+TONTNOV24!B7+TONTDEC24!B7</f>
        <v>12</v>
      </c>
      <c r="C7" s="1" t="str">
        <f>VLOOKUP(A7,[9]LISTADHERENT!A$5:H$60,3,0)</f>
        <v>BOUTCHOUANG WILLIAM</v>
      </c>
      <c r="D7" s="7">
        <f>TONTJANV24!D7+TONTFEV24!D7+TONTMARS24!D7+TONTAVRIL24!D7+TONTMAI24!D7+TONTJUIN24!D7+TONTJUIL24!D7+TONTAOUT24!D7+TONTSEPT24!D7+TONTOCT24!D7+TONTNOV24!D7+TONTDEC24!D7</f>
        <v>900000</v>
      </c>
      <c r="E7" s="7"/>
      <c r="F7" s="7">
        <f>TONTJANV24!F7+TONTFEV24!F7+TONTMARS24!F7+TONTAVRIL24!F7+TONTMAI24!F7+TONTJUIN24!F7+TONTJUIL24!F7+TONTAOUT24!F7+TONTSEPT24!F7+TONTOCT24!F7+TONTNOV24!F7+TONTDEC24!F7</f>
        <v>0</v>
      </c>
      <c r="G7" s="7">
        <f>TONTJANV24!G7+TONTFEV24!G7+TONTMARS24!G7+TONTAVRIL24!G7+TONTMAI24!G7+TONTJUIN24!G7+TONTJUIL24!G7+TONTAOUT24!G7+TONTSEPT24!G7+TONTOCT24!G7+TONTNOV24!G7+TONTDEC24!G7</f>
        <v>0</v>
      </c>
      <c r="H7" s="7"/>
      <c r="I7" s="7"/>
      <c r="J7" s="7">
        <f>TONTJANV24!J7+TONTFEV24!J7+TONTMARS24!J7+TONTAVRIL24!J7+TONTMAI24!J7+TONTJUIN24!J7+TONTJUIL24!J7+TONTAOUT24!J7+TONTSEPT24!J7+TONTOCT24!J7+TONTNOV24!J7+TONTDEC24!J7</f>
        <v>0</v>
      </c>
      <c r="K7" s="7">
        <f>TONTJANV24!K7+TONTFEV24!K7+TONTMARS24!K7+TONTAVRIL24!K7+TONTMAI24!K7+TONTJUIN24!K7+TONTJUIL24!K7+TONTAOUT24!K7+TONTSEPT24!K7+TONTOCT24!K7+TONTNOV24!K7+TONTDEC24!K7</f>
        <v>0</v>
      </c>
      <c r="L7" s="7"/>
      <c r="M7" s="7"/>
      <c r="N7" s="7"/>
      <c r="O7" s="7">
        <f>TONTJANV24!O7+TONTFEV24!O7+TONTMARS24!O7+TONTAVRIL24!O7+TONTMAI24!O7+TONTJUIN24!O7+TONTJUIL24!O7+TONTAOUT24!O7+TONTSEPT24!O7+TONTOCT24!O7+TONTNOV24!O7+TONTDEC24!O7</f>
        <v>892500</v>
      </c>
      <c r="P7" s="7">
        <f>TONTJANV24!P7+TONTFEV24!P7+TONTMARS24!P7+TONTAVRIL24!P7+TONTMAI24!P7+TONTJUIN24!P7+TONTJUIL24!P7+TONTAOUT24!P7+TONTSEPT24!P7+TONTOCT24!P7+TONTNOV24!P7+TONTDEC24!P7</f>
        <v>7500</v>
      </c>
      <c r="Q7" s="16">
        <v>45536</v>
      </c>
      <c r="S7" s="8">
        <f>$Q$28*1</f>
        <v>21906.25</v>
      </c>
      <c r="T7" s="8">
        <v>20000</v>
      </c>
    </row>
    <row r="8" spans="1:20" ht="18.5" x14ac:dyDescent="0.45">
      <c r="A8" s="1" t="s">
        <v>49</v>
      </c>
      <c r="B8" s="7">
        <f>TONTJANV24!B8+TONTFEV24!B8+TONTMARS24!B8+TONTAVRIL24!B8+TONTMAI24!B8+TONTJUIN24!B8+TONTJUIL24!B8+TONTAOUT24!B8+TONTSEPT24!B8+TONTOCT24!B8+TONTNOV24!B8+TONTDEC24!B8</f>
        <v>12</v>
      </c>
      <c r="C8" s="1" t="str">
        <f>VLOOKUP(A8,[9]LISTADHERENT!A$5:H$60,3,0)</f>
        <v>DJOMOU TCHAPDA</v>
      </c>
      <c r="D8" s="7">
        <f>TONTJANV24!D8+TONTFEV24!D8+TONTMARS24!D8+TONTAVRIL24!D8+TONTMAI24!D8+TONTJUIN24!D8+TONTJUIL24!D8+TONTAOUT24!D8+TONTSEPT24!D8+TONTOCT24!D8+TONTNOV24!D8+TONTDEC24!D8</f>
        <v>900000</v>
      </c>
      <c r="E8" s="7"/>
      <c r="F8" s="7">
        <f>TONTJANV24!F8+TONTFEV24!F8+TONTMARS24!F8+TONTAVRIL24!F8+TONTMAI24!F8+TONTJUIN24!F8+TONTJUIL24!F8+TONTAOUT24!F8+TONTSEPT24!F8+TONTOCT24!F8+TONTNOV24!F8+TONTDEC24!F8</f>
        <v>581500</v>
      </c>
      <c r="G8" s="7">
        <f>TONTJANV24!G8+TONTFEV24!G8+TONTMARS24!G8+TONTAVRIL24!G8+TONTMAI24!G8+TONTJUIN24!G8+TONTJUIL24!G8+TONTAOUT24!G8+TONTSEPT24!G8+TONTOCT24!G8+TONTNOV24!G8+TONTDEC24!G8</f>
        <v>9500</v>
      </c>
      <c r="H8" s="7"/>
      <c r="I8" s="7"/>
      <c r="J8" s="7">
        <f>TONTJANV24!J8+TONTFEV24!J8+TONTMARS24!J8+TONTAVRIL24!J8+TONTMAI24!J8+TONTJUIN24!J8+TONTJUIL24!J8+TONTAOUT24!J8+TONTSEPT24!J8+TONTOCT24!J8+TONTNOV24!J8+TONTDEC24!J8</f>
        <v>591000</v>
      </c>
      <c r="K8" s="7">
        <f>TONTJANV24!K8+TONTFEV24!K8+TONTMARS24!K8+TONTAVRIL24!K8+TONTMAI24!K8+TONTJUIN24!K8+TONTJUIL24!K8+TONTAOUT24!K8+TONTSEPT24!K8+TONTOCT24!K8+TONTNOV24!K8+TONTDEC24!K8</f>
        <v>591000</v>
      </c>
      <c r="L8" s="7"/>
      <c r="M8" s="7"/>
      <c r="N8" s="7"/>
      <c r="O8" s="7">
        <f>TONTJANV24!O8+TONTFEV24!O8+TONTMARS24!O8+TONTAVRIL24!O8+TONTMAI24!O8+TONTJUIN24!O8+TONTJUIL24!O8+TONTAOUT24!O8+TONTSEPT24!O8+TONTOCT24!O8+TONTNOV24!O8+TONTDEC24!O8</f>
        <v>872000</v>
      </c>
      <c r="P8" s="7">
        <f>TONTJANV24!P8+TONTFEV24!P8+TONTMARS24!P8+TONTAVRIL24!P8+TONTMAI24!P8+TONTJUIN24!P8+TONTJUIL24!P8+TONTAOUT24!P8+TONTSEPT24!P8+TONTOCT24!P8+TONTNOV24!P8+TONTDEC24!P8</f>
        <v>28000</v>
      </c>
      <c r="Q8" s="16">
        <v>45352</v>
      </c>
      <c r="R8" s="16"/>
      <c r="S8" s="8">
        <f>$Q$28*1</f>
        <v>21906.25</v>
      </c>
      <c r="T8" s="8">
        <v>20000</v>
      </c>
    </row>
    <row r="9" spans="1:20" ht="18.5" x14ac:dyDescent="0.45">
      <c r="A9" s="1" t="s">
        <v>25</v>
      </c>
      <c r="B9" s="7">
        <f>TONTJANV24!B9+TONTFEV24!B9+TONTMARS24!B9+TONTAVRIL24!B9+TONTMAI24!B9+TONTJUIN24!B9+TONTJUIL24!B9+TONTAOUT24!B9+TONTSEPT24!B9+TONTOCT24!B9+TONTNOV24!B9+TONTDEC24!B9</f>
        <v>12</v>
      </c>
      <c r="C9" s="1" t="str">
        <f>VLOOKUP(A9,[9]LISTADHERENT!A$5:H$60,3,0)</f>
        <v>DJOUKWE NANGUEN GUY BLAISE</v>
      </c>
      <c r="D9" s="7">
        <f>TONTJANV24!D9+TONTFEV24!D9+TONTMARS24!D9+TONTAVRIL24!D9+TONTMAI24!D9+TONTJUIN24!D9+TONTJUIL24!D9+TONTAOUT24!D9+TONTSEPT24!D9+TONTOCT24!D9+TONTNOV24!D9+TONTDEC24!D9</f>
        <v>900000</v>
      </c>
      <c r="E9" s="7"/>
      <c r="F9" s="7">
        <f>TONTJANV24!F9+TONTFEV24!F9+TONTMARS24!F9+TONTAVRIL24!F9+TONTMAI24!F9+TONTJUIN24!F9+TONTJUIL24!F9+TONTAOUT24!F9+TONTSEPT24!F9+TONTOCT24!F9+TONTNOV24!F9+TONTDEC24!F9</f>
        <v>1128000</v>
      </c>
      <c r="G9" s="7">
        <f>TONTJANV24!G9+TONTFEV24!G9+TONTMARS24!G9+TONTAVRIL24!G9+TONTMAI24!G9+TONTJUIN24!G9+TONTJUIL24!G9+TONTAOUT24!G9+TONTSEPT24!G9+TONTOCT24!G9+TONTNOV24!G9+TONTDEC24!G9</f>
        <v>18000</v>
      </c>
      <c r="H9" s="7"/>
      <c r="I9" s="7"/>
      <c r="J9" s="7">
        <f>TONTJANV24!J9+TONTFEV24!J9+TONTMARS24!J9+TONTAVRIL24!J9+TONTMAI24!J9+TONTJUIN24!J9+TONTJUIL24!J9+TONTAOUT24!J9+TONTSEPT24!J9+TONTOCT24!J9+TONTNOV24!J9+TONTDEC24!J9</f>
        <v>1146000</v>
      </c>
      <c r="K9" s="7">
        <f>TONTJANV24!K9+TONTFEV24!K9+TONTMARS24!K9+TONTAVRIL24!K9+TONTMAI24!K9+TONTJUIN24!K9+TONTJUIL24!K9+TONTAOUT24!K9+TONTSEPT24!K9+TONTOCT24!K9+TONTNOV24!K9+TONTDEC24!K9</f>
        <v>1146000</v>
      </c>
      <c r="L9" s="7"/>
      <c r="M9" s="7"/>
      <c r="N9" s="7"/>
      <c r="O9" s="7">
        <f>TONTJANV24!O9+TONTFEV24!O9+TONTMARS24!O9+TONTAVRIL24!O9+TONTMAI24!O9+TONTJUIN24!O9+TONTJUIL24!O9+TONTAOUT24!O9+TONTSEPT24!O9+TONTOCT24!O9+TONTNOV24!O9+TONTDEC24!O9</f>
        <v>884000</v>
      </c>
      <c r="P9" s="7">
        <f>TONTJANV24!P9+TONTFEV24!P9+TONTMARS24!P9+TONTAVRIL24!P9+TONTMAI24!P9+TONTJUIN24!P9+TONTJUIL24!P9+TONTAOUT24!P9+TONTSEPT24!P9+TONTOCT24!P9+TONTNOV24!P9+TONTDEC24!P9</f>
        <v>16000</v>
      </c>
      <c r="Q9" s="16">
        <v>45323</v>
      </c>
      <c r="S9" s="8">
        <f t="shared" ref="S9:S15" si="0">$Q$28</f>
        <v>21906.25</v>
      </c>
      <c r="T9" s="8">
        <v>20000</v>
      </c>
    </row>
    <row r="10" spans="1:20" ht="18.5" x14ac:dyDescent="0.45">
      <c r="A10" s="1" t="s">
        <v>34</v>
      </c>
      <c r="B10" s="7">
        <f>TONTJANV24!B10+TONTFEV24!B10+TONTMARS24!B10+TONTAVRIL24!B10+TONTMAI24!B10+TONTJUIN24!B10+TONTJUIL24!B10+TONTAOUT24!B10+TONTSEPT24!B10+TONTOCT24!B10+TONTNOV24!B10+TONTDEC24!B10</f>
        <v>12</v>
      </c>
      <c r="C10" s="1" t="str">
        <f>VLOOKUP(A10,[9]LISTADHERENT!A$5:H$60,3,0)</f>
        <v>DJUOMBESSY ANTOINE</v>
      </c>
      <c r="D10" s="7">
        <f>TONTJANV24!D10+TONTFEV24!D10+TONTMARS24!D10+TONTAVRIL24!D10+TONTMAI24!D10+TONTJUIN24!D10+TONTJUIL24!D10+TONTAOUT24!D10+TONTSEPT24!D10+TONTOCT24!D10+TONTNOV24!D10+TONTDEC24!D10</f>
        <v>900000</v>
      </c>
      <c r="E10" s="7"/>
      <c r="F10" s="7">
        <f>TONTJANV24!F10+TONTFEV24!F10+TONTMARS24!F10+TONTAVRIL24!F10+TONTMAI24!F10+TONTJUIN24!F10+TONTJUIL24!F10+TONTAOUT24!F10+TONTSEPT24!F10+TONTOCT24!F10+TONTNOV24!F10+TONTDEC24!F10</f>
        <v>200500</v>
      </c>
      <c r="G10" s="7">
        <f>TONTJANV24!G10+TONTFEV24!G10+TONTMARS24!G10+TONTAVRIL24!G10+TONTMAI24!G10+TONTJUIN24!G10+TONTJUIL24!G10+TONTAOUT24!G10+TONTSEPT24!G10+TONTOCT24!G10+TONTNOV24!G10+TONTDEC24!G10</f>
        <v>2000</v>
      </c>
      <c r="H10" s="7"/>
      <c r="I10" s="7"/>
      <c r="J10" s="7">
        <f>TONTJANV24!J10+TONTFEV24!J10+TONTMARS24!J10+TONTAVRIL24!J10+TONTMAI24!J10+TONTJUIN24!J10+TONTJUIL24!J10+TONTAOUT24!J10+TONTSEPT24!J10+TONTOCT24!J10+TONTNOV24!J10+TONTDEC24!J10</f>
        <v>202500</v>
      </c>
      <c r="K10" s="7">
        <f>TONTJANV24!K10+TONTFEV24!K10+TONTMARS24!K10+TONTAVRIL24!K10+TONTMAI24!K10+TONTJUIN24!K10+TONTJUIL24!K10+TONTAOUT24!K10+TONTSEPT24!K10+TONTOCT24!K10+TONTNOV24!K10+TONTDEC24!K10</f>
        <v>202500</v>
      </c>
      <c r="L10" s="7"/>
      <c r="M10" s="7"/>
      <c r="N10" s="7"/>
      <c r="O10" s="7">
        <f>TONTJANV24!O10+TONTFEV24!O10+TONTMARS24!O10+TONTAVRIL24!O10+TONTMAI24!O10+TONTJUIN24!O10+TONTJUIL24!O10+TONTAOUT24!O10+TONTSEPT24!O10+TONTOCT24!O10+TONTNOV24!O10+TONTDEC24!O10</f>
        <v>840000</v>
      </c>
      <c r="P10" s="7">
        <f>TONTJANV24!P10+TONTFEV24!P10+TONTMARS24!P10+TONTAVRIL24!P10+TONTMAI24!P10+TONTJUIN24!P10+TONTJUIL24!P10+TONTAOUT24!P10+TONTSEPT24!P10+TONTOCT24!P10+TONTNOV24!P10+TONTDEC24!P10</f>
        <v>60000</v>
      </c>
      <c r="Q10" s="16">
        <v>45292</v>
      </c>
      <c r="S10" s="8">
        <f t="shared" si="0"/>
        <v>21906.25</v>
      </c>
      <c r="T10" s="8">
        <v>20000</v>
      </c>
    </row>
    <row r="11" spans="1:20" ht="18.5" x14ac:dyDescent="0.45">
      <c r="A11" s="1" t="s">
        <v>18</v>
      </c>
      <c r="B11" s="7">
        <f>TONTJANV24!B11+TONTFEV24!B11+TONTMARS24!B11+TONTAVRIL24!B11+TONTMAI24!B11+TONTJUIN24!B11+TONTJUIL24!B11+TONTAOUT24!B11+TONTSEPT24!B11+TONTOCT24!B11+TONTNOV24!B11+TONTDEC24!B11</f>
        <v>12</v>
      </c>
      <c r="C11" s="1" t="str">
        <f>VLOOKUP(A11,[9]LISTADHERENT!A$5:H$60,3,0)</f>
        <v>HOTCHO BENJAMIN</v>
      </c>
      <c r="D11" s="7">
        <f>TONTJANV24!D11+TONTFEV24!D11+TONTMARS24!D11+TONTAVRIL24!D11+TONTMAI24!D11+TONTJUIN24!D11+TONTJUIL24!D11+TONTAOUT24!D11+TONTSEPT24!D11+TONTOCT24!D11+TONTNOV24!D11+TONTDEC24!D11</f>
        <v>900000</v>
      </c>
      <c r="E11" s="7"/>
      <c r="F11" s="7">
        <f>TONTJANV24!F11+TONTFEV24!F11+TONTMARS24!F11+TONTAVRIL24!F11+TONTMAI24!F11+TONTJUIN24!F11+TONTJUIL24!F11+TONTAOUT24!F11+TONTSEPT24!F11+TONTOCT24!F11+TONTNOV24!F11+TONTDEC24!F11</f>
        <v>400000</v>
      </c>
      <c r="G11" s="7">
        <f>TONTJANV24!G11+TONTFEV24!G11+TONTMARS24!G11+TONTAVRIL24!G11+TONTMAI24!G11+TONTJUIN24!G11+TONTJUIL24!G11+TONTAOUT24!G11+TONTSEPT24!G11+TONTOCT24!G11+TONTNOV24!G11+TONTDEC24!G11</f>
        <v>4000</v>
      </c>
      <c r="H11" s="7"/>
      <c r="I11" s="7"/>
      <c r="J11" s="7">
        <f>TONTJANV24!J11+TONTFEV24!J11+TONTMARS24!J11+TONTAVRIL24!J11+TONTMAI24!J11+TONTJUIN24!J11+TONTJUIL24!J11+TONTAOUT24!J11+TONTSEPT24!J11+TONTOCT24!J11+TONTNOV24!J11+TONTDEC24!J11</f>
        <v>404000</v>
      </c>
      <c r="K11" s="7">
        <f>TONTJANV24!K11+TONTFEV24!K11+TONTMARS24!K11+TONTAVRIL24!K11+TONTMAI24!K11+TONTJUIN24!K11+TONTJUIL24!K11+TONTAOUT24!K11+TONTSEPT24!K11+TONTOCT24!K11+TONTNOV24!K11+TONTDEC24!K11</f>
        <v>404000</v>
      </c>
      <c r="L11" s="7"/>
      <c r="M11" s="7"/>
      <c r="N11" s="7"/>
      <c r="O11" s="7">
        <f>TONTJANV24!O11+TONTFEV24!O11+TONTMARS24!O11+TONTAVRIL24!O11+TONTMAI24!O11+TONTJUIN24!O11+TONTJUIL24!O11+TONTAOUT24!O11+TONTSEPT24!O11+TONTOCT24!O11+TONTNOV24!O11+TONTDEC24!O11</f>
        <v>892500</v>
      </c>
      <c r="P11" s="7">
        <f>TONTJANV24!P11+TONTFEV24!P11+TONTMARS24!P11+TONTAVRIL24!P11+TONTMAI24!P11+TONTJUIN24!P11+TONTJUIL24!P11+TONTAOUT24!P11+TONTSEPT24!P11+TONTOCT24!P11+TONTNOV24!P11+TONTDEC24!P11</f>
        <v>7500</v>
      </c>
      <c r="Q11" s="16">
        <v>45444</v>
      </c>
      <c r="S11" s="8">
        <f t="shared" si="0"/>
        <v>21906.25</v>
      </c>
      <c r="T11" s="8">
        <v>20000</v>
      </c>
    </row>
    <row r="12" spans="1:20" ht="18.5" x14ac:dyDescent="0.45">
      <c r="A12" s="1" t="s">
        <v>26</v>
      </c>
      <c r="B12" s="7">
        <f>TONTJANV24!B12+TONTFEV24!B12+TONTMARS24!B12+TONTAVRIL24!B12+TONTMAI24!B12+TONTJUIN24!B12+TONTJUIL24!B12+TONTAOUT24!B12+TONTSEPT24!B12+TONTOCT24!B12+TONTNOV24!B12+TONTDEC24!B12</f>
        <v>12</v>
      </c>
      <c r="C12" s="1" t="str">
        <f>VLOOKUP(A12,[9]LISTADHERENT!A$5:H$60,3,0)</f>
        <v>HENGUE PAUL OMER</v>
      </c>
      <c r="D12" s="7">
        <f>TONTJANV24!D12+TONTFEV24!D12+TONTMARS24!D12+TONTAVRIL24!D12+TONTMAI24!D12+TONTJUIN24!D12+TONTJUIL24!D12+TONTAOUT24!D12+TONTSEPT24!D12+TONTOCT24!D12+TONTNOV24!D12+TONTDEC24!D12</f>
        <v>900000</v>
      </c>
      <c r="E12" s="7"/>
      <c r="F12" s="7">
        <f>TONTJANV24!F12+TONTFEV24!F12+TONTMARS24!F12+TONTAVRIL24!F12+TONTMAI24!F12+TONTJUIN24!F12+TONTJUIL24!F12+TONTAOUT24!F12+TONTSEPT24!F12+TONTOCT24!F12+TONTNOV24!F12+TONTDEC24!F12</f>
        <v>0</v>
      </c>
      <c r="G12" s="7">
        <f>TONTJANV24!G12+TONTFEV24!G12+TONTMARS24!G12+TONTAVRIL24!G12+TONTMAI24!G12+TONTJUIN24!G12+TONTJUIL24!G12+TONTAOUT24!G12+TONTSEPT24!G12+TONTOCT24!G12+TONTNOV24!G12+TONTDEC24!G12</f>
        <v>0</v>
      </c>
      <c r="H12" s="7"/>
      <c r="I12" s="7"/>
      <c r="J12" s="7">
        <f>TONTJANV24!J12+TONTFEV24!J12+TONTMARS24!J12+TONTAVRIL24!J12+TONTMAI24!J12+TONTJUIN24!J12+TONTJUIL24!J12+TONTAOUT24!J12+TONTSEPT24!J12+TONTOCT24!J12+TONTNOV24!J12+TONTDEC24!J12</f>
        <v>0</v>
      </c>
      <c r="K12" s="7">
        <f>TONTJANV24!K12+TONTFEV24!K12+TONTMARS24!K12+TONTAVRIL24!K12+TONTMAI24!K12+TONTJUIN24!K12+TONTJUIL24!K12+TONTAOUT24!K12+TONTSEPT24!K12+TONTOCT24!K12+TONTNOV24!K12+TONTDEC24!K12</f>
        <v>0</v>
      </c>
      <c r="L12" s="7"/>
      <c r="M12" s="7"/>
      <c r="N12" s="7"/>
      <c r="O12" s="7">
        <f>TONTJANV24!O12+TONTFEV24!O12+TONTMARS24!O12+TONTAVRIL24!O12+TONTMAI24!O12+TONTJUIN24!O12+TONTJUIL24!O12+TONTAOUT24!O12+TONTSEPT24!O12+TONTOCT24!O12+TONTNOV24!O12+TONTDEC24!O12</f>
        <v>892500</v>
      </c>
      <c r="P12" s="7">
        <f>TONTJANV24!P12+TONTFEV24!P12+TONTMARS24!P12+TONTAVRIL24!P12+TONTMAI24!P12+TONTJUIN24!P12+TONTJUIL24!P12+TONTAOUT24!P12+TONTSEPT24!P12+TONTOCT24!P12+TONTNOV24!P12+TONTDEC24!P12</f>
        <v>7500</v>
      </c>
      <c r="Q12" s="16">
        <v>45444</v>
      </c>
      <c r="S12" s="8">
        <f t="shared" si="0"/>
        <v>21906.25</v>
      </c>
      <c r="T12" s="8">
        <v>20000</v>
      </c>
    </row>
    <row r="13" spans="1:20" ht="18.5" x14ac:dyDescent="0.45">
      <c r="A13" s="1" t="s">
        <v>21</v>
      </c>
      <c r="B13" s="7">
        <f>TONTJANV24!B13+TONTFEV24!B13+TONTMARS24!B13+TONTAVRIL24!B13+TONTMAI24!B13+TONTJUIN24!B13+TONTJUIL24!B13+TONTAOUT24!B13+TONTSEPT24!B13+TONTOCT24!B13+TONTNOV24!B13+TONTDEC24!B13</f>
        <v>12</v>
      </c>
      <c r="C13" s="1" t="str">
        <f>VLOOKUP(A13,[9]LISTADHERENT!A$5:H$60,3,0)</f>
        <v>MBOGNING TUGMA GUY</v>
      </c>
      <c r="D13" s="7">
        <f>TONTJANV24!D13+TONTFEV24!D13+TONTMARS24!D13+TONTAVRIL24!D13+TONTMAI24!D13+TONTJUIN24!D13+TONTJUIL24!D13+TONTAOUT24!D13+TONTSEPT24!D13+TONTOCT24!D13+TONTNOV24!D13+TONTDEC24!D13</f>
        <v>900000</v>
      </c>
      <c r="E13" s="7"/>
      <c r="F13" s="7">
        <f>TONTJANV24!F13+TONTFEV24!F13+TONTMARS24!F13+TONTAVRIL24!F13+TONTMAI24!F13+TONTJUIN24!F13+TONTJUIL24!F13+TONTAOUT24!F13+TONTSEPT24!F13+TONTOCT24!F13+TONTNOV24!F13+TONTDEC24!F13</f>
        <v>1189000</v>
      </c>
      <c r="G13" s="7">
        <f>TONTJANV24!G13+TONTFEV24!G13+TONTMARS24!G13+TONTAVRIL24!G13+TONTMAI24!G13+TONTJUIN24!G13+TONTJUIL24!G13+TONTAOUT24!G13+TONTSEPT24!G13+TONTOCT24!G13+TONTNOV24!G13+TONTDEC24!G13</f>
        <v>16000</v>
      </c>
      <c r="H13" s="7"/>
      <c r="I13" s="7"/>
      <c r="J13" s="7">
        <f>TONTJANV24!J13+TONTFEV24!J13+TONTMARS24!J13+TONTAVRIL24!J13+TONTMAI24!J13+TONTJUIN24!J13+TONTJUIL24!J13+TONTAOUT24!J13+TONTSEPT24!J13+TONTOCT24!J13+TONTNOV24!J13+TONTDEC24!J13</f>
        <v>1205000</v>
      </c>
      <c r="K13" s="7">
        <f>TONTJANV24!K13+TONTFEV24!K13+TONTMARS24!K13+TONTAVRIL24!K13+TONTMAI24!K13+TONTJUIN24!K13+TONTJUIL24!K13+TONTAOUT24!K13+TONTSEPT24!K13+TONTOCT24!K13+TONTNOV24!K13+TONTDEC24!K13</f>
        <v>1205000</v>
      </c>
      <c r="L13" s="7"/>
      <c r="M13" s="7"/>
      <c r="N13" s="7"/>
      <c r="O13" s="7">
        <f>TONTJANV24!O13+TONTFEV24!O13+TONTMARS24!O13+TONTAVRIL24!O13+TONTMAI24!O13+TONTJUIN24!O13+TONTJUIL24!O13+TONTAOUT24!O13+TONTSEPT24!O13+TONTOCT24!O13+TONTNOV24!O13+TONTDEC24!O13</f>
        <v>884000</v>
      </c>
      <c r="P13" s="7">
        <f>TONTJANV24!P13+TONTFEV24!P13+TONTMARS24!P13+TONTAVRIL24!P13+TONTMAI24!P13+TONTJUIN24!P13+TONTJUIL24!P13+TONTAOUT24!P13+TONTSEPT24!P13+TONTOCT24!P13+TONTNOV24!P13+TONTDEC24!P13</f>
        <v>16000</v>
      </c>
      <c r="Q13" s="16">
        <v>45323</v>
      </c>
      <c r="S13" s="8">
        <f t="shared" si="0"/>
        <v>21906.25</v>
      </c>
      <c r="T13" s="8">
        <v>20000</v>
      </c>
    </row>
    <row r="14" spans="1:20" ht="18.5" x14ac:dyDescent="0.45">
      <c r="A14" s="1" t="s">
        <v>8</v>
      </c>
      <c r="B14" s="7">
        <f>TONTJANV24!B14+TONTFEV24!B14+TONTMARS24!B14+TONTAVRIL24!B14+TONTMAI24!B14+TONTJUIN24!B14+TONTJUIL24!B14+TONTAOUT24!B14+TONTSEPT24!B14+TONTOCT24!B14+TONTNOV24!B14+TONTDEC24!B14</f>
        <v>12</v>
      </c>
      <c r="C14" s="1" t="str">
        <f>VLOOKUP(A14,[9]LISTADHERENT!A$5:H$60,3,0)</f>
        <v>NANKAM APPOLINAIRE</v>
      </c>
      <c r="D14" s="7">
        <f>TONTJANV24!D14+TONTFEV24!D14+TONTMARS24!D14+TONTAVRIL24!D14+TONTMAI24!D14+TONTJUIN24!D14+TONTJUIL24!D14+TONTAOUT24!D14+TONTSEPT24!D14+TONTOCT24!D14+TONTNOV24!D14+TONTDEC24!D14</f>
        <v>900000</v>
      </c>
      <c r="E14" s="7"/>
      <c r="F14" s="7">
        <f>TONTJANV24!F14+TONTFEV24!F14+TONTMARS24!F14+TONTAVRIL24!F14+TONTMAI24!F14+TONTJUIN24!F14+TONTJUIL24!F14+TONTAOUT24!F14+TONTSEPT24!F14+TONTOCT24!F14+TONTNOV24!F14+TONTDEC24!F14</f>
        <v>0</v>
      </c>
      <c r="G14" s="7">
        <f>TONTJANV24!G14+TONTFEV24!G14+TONTMARS24!G14+TONTAVRIL24!G14+TONTMAI24!G14+TONTJUIN24!G14+TONTJUIL24!G14+TONTAOUT24!G14+TONTSEPT24!G14+TONTOCT24!G14+TONTNOV24!G14+TONTDEC24!G14</f>
        <v>0</v>
      </c>
      <c r="H14" s="7"/>
      <c r="I14" s="7"/>
      <c r="J14" s="7">
        <f>TONTJANV24!J14+TONTFEV24!J14+TONTMARS24!J14+TONTAVRIL24!J14+TONTMAI24!J14+TONTJUIN24!J14+TONTJUIL24!J14+TONTAOUT24!J14+TONTSEPT24!J14+TONTOCT24!J14+TONTNOV24!J14+TONTDEC24!J14</f>
        <v>0</v>
      </c>
      <c r="K14" s="7">
        <f>TONTJANV24!K14+TONTFEV24!K14+TONTMARS24!K14+TONTAVRIL24!K14+TONTMAI24!K14+TONTJUIN24!K14+TONTJUIL24!K14+TONTAOUT24!K14+TONTSEPT24!K14+TONTOCT24!K14+TONTNOV24!K14+TONTDEC24!K14</f>
        <v>0</v>
      </c>
      <c r="L14" s="7"/>
      <c r="M14" s="7"/>
      <c r="N14" s="7"/>
      <c r="O14" s="7">
        <f>TONTJANV24!O14+TONTFEV24!O14+TONTMARS24!O14+TONTAVRIL24!O14+TONTMAI24!O14+TONTJUIN24!O14+TONTJUIL24!O14+TONTAOUT24!O14+TONTSEPT24!O14+TONTOCT24!O14+TONTNOV24!O14+TONTDEC24!O14</f>
        <v>892500</v>
      </c>
      <c r="P14" s="7">
        <f>TONTJANV24!P14+TONTFEV24!P14+TONTMARS24!P14+TONTAVRIL24!P14+TONTMAI24!P14+TONTJUIN24!P14+TONTJUIL24!P14+TONTAOUT24!P14+TONTSEPT24!P14+TONTOCT24!P14+TONTNOV24!P14+TONTDEC24!P14</f>
        <v>7500</v>
      </c>
      <c r="Q14" s="16">
        <v>45597</v>
      </c>
      <c r="S14" s="8">
        <f t="shared" si="0"/>
        <v>21906.25</v>
      </c>
      <c r="T14" s="8">
        <v>20000</v>
      </c>
    </row>
    <row r="15" spans="1:20" ht="17.5" x14ac:dyDescent="0.35">
      <c r="A15" s="1" t="s">
        <v>35</v>
      </c>
      <c r="B15" s="7">
        <f>TONTJANV24!B15+TONTFEV24!B15+TONTMARS24!B15+TONTAVRIL24!B15+TONTMAI24!B15+TONTJUIN24!B15+TONTJUIL24!B15+TONTAOUT24!B15+TONTSEPT24!B15+TONTOCT24!B15+TONTNOV24!B15+TONTDEC24!B15</f>
        <v>12</v>
      </c>
      <c r="C15" s="1" t="str">
        <f>VLOOKUP(A15,[9]LISTADHERENT!A$5:H$60,3,0)</f>
        <v>NGONDIEP CLAUDE</v>
      </c>
      <c r="D15" s="7">
        <f>TONTJANV24!D15+TONTFEV24!D15+TONTMARS24!D15+TONTAVRIL24!D15+TONTMAI24!D15+TONTJUIN24!D15+TONTJUIL24!D15+TONTAOUT24!D15+TONTSEPT24!D15+TONTOCT24!D15+TONTNOV24!D15+TONTDEC24!D15</f>
        <v>900000</v>
      </c>
      <c r="E15" s="7"/>
      <c r="F15" s="7">
        <f>TONTJANV24!F15+TONTFEV24!F15+TONTMARS24!F15+TONTAVRIL24!F15+TONTMAI24!F15+TONTJUIN24!F15+TONTJUIL24!F15+TONTAOUT24!F15+TONTSEPT24!F15+TONTOCT24!F15+TONTNOV24!F15+TONTDEC24!F15</f>
        <v>0</v>
      </c>
      <c r="G15" s="7">
        <f>TONTJANV24!G15+TONTFEV24!G15+TONTMARS24!G15+TONTAVRIL24!G15+TONTMAI24!G15+TONTJUIN24!G15+TONTJUIL24!G15+TONTAOUT24!G15+TONTSEPT24!G15+TONTOCT24!G15+TONTNOV24!G15+TONTDEC24!G15</f>
        <v>0</v>
      </c>
      <c r="H15" s="7"/>
      <c r="I15" s="7"/>
      <c r="J15" s="7">
        <f>TONTJANV24!J15+TONTFEV24!J15+TONTMARS24!J15+TONTAVRIL24!J15+TONTMAI24!J15+TONTJUIN24!J15+TONTJUIL24!J15+TONTAOUT24!J15+TONTSEPT24!J15+TONTOCT24!J15+TONTNOV24!J15+TONTDEC24!J15</f>
        <v>0</v>
      </c>
      <c r="K15" s="7">
        <f>TONTJANV24!K15+TONTFEV24!K15+TONTMARS24!K15+TONTAVRIL24!K15+TONTMAI24!K15+TONTJUIN24!K15+TONTJUIL24!K15+TONTAOUT24!K15+TONTSEPT24!K15+TONTOCT24!K15+TONTNOV24!K15+TONTDEC24!K15</f>
        <v>0</v>
      </c>
      <c r="L15" s="7"/>
      <c r="M15" s="7"/>
      <c r="N15" s="7"/>
      <c r="O15" s="7">
        <f>TONTJANV24!O15+TONTFEV24!O15+TONTMARS24!O15+TONTAVRIL24!O15+TONTMAI24!O15+TONTJUIN24!O15+TONTJUIL24!O15+TONTAOUT24!O15+TONTSEPT24!O15+TONTOCT24!O15+TONTNOV24!O15+TONTDEC24!O15</f>
        <v>892500</v>
      </c>
      <c r="P15" s="7">
        <f>TONTJANV24!P15+TONTFEV24!P15+TONTMARS24!P15+TONTAVRIL24!P15+TONTMAI24!P15+TONTJUIN24!P15+TONTJUIL24!P15+TONTAOUT24!P15+TONTSEPT24!P15+TONTOCT24!P15+TONTNOV24!P15+TONTDEC24!P15</f>
        <v>7500</v>
      </c>
      <c r="Q15" s="22">
        <v>45474</v>
      </c>
      <c r="S15" s="8">
        <f t="shared" si="0"/>
        <v>21906.25</v>
      </c>
      <c r="T15" s="8">
        <v>20000</v>
      </c>
    </row>
    <row r="16" spans="1:20" ht="18.5" x14ac:dyDescent="0.45">
      <c r="A16" s="1" t="s">
        <v>20</v>
      </c>
      <c r="B16" s="7">
        <f>TONTJANV24!B16+TONTFEV24!B16+TONTMARS24!B16+TONTAVRIL24!B16+TONTMAI24!B16+TONTJUIN24!B16+TONTJUIL24!B16+TONTAOUT24!B16+TONTSEPT24!B16+TONTOCT24!B16+TONTNOV24!B16+TONTDEC24!B16</f>
        <v>36</v>
      </c>
      <c r="C16" s="1" t="str">
        <f>VLOOKUP(A16,[9]LISTADHERENT!A$5:H$60,3,0)</f>
        <v>NGUIEMEGNI MATHIEU BLAISE</v>
      </c>
      <c r="D16" s="7">
        <f>TONTJANV24!D16+TONTFEV24!D16+TONTMARS24!D16+TONTAVRIL24!D16+TONTMAI24!D16+TONTJUIN24!D16+TONTJUIL24!D16+TONTAOUT24!D16+TONTSEPT24!D16+TONTOCT24!D16+TONTNOV24!D16+TONTDEC24!D16</f>
        <v>2700000</v>
      </c>
      <c r="E16" s="7"/>
      <c r="F16" s="7">
        <f>TONTJANV24!F16+TONTFEV24!F16+TONTMARS24!F16+TONTAVRIL24!F16+TONTMAI24!F16+TONTJUIN24!F16+TONTJUIL24!F16+TONTAOUT24!F16+TONTSEPT24!F16+TONTOCT24!F16+TONTNOV24!F16+TONTDEC24!F16</f>
        <v>266000</v>
      </c>
      <c r="G16" s="7">
        <f>TONTJANV24!G16+TONTFEV24!G16+TONTMARS24!G16+TONTAVRIL24!G16+TONTMAI24!G16+TONTJUIN24!G16+TONTJUIL24!G16+TONTAOUT24!G16+TONTSEPT24!G16+TONTOCT24!G16+TONTNOV24!G16+TONTDEC24!G16</f>
        <v>4000</v>
      </c>
      <c r="H16" s="7"/>
      <c r="I16" s="7"/>
      <c r="J16" s="7">
        <f>TONTJANV24!J16+TONTFEV24!J16+TONTMARS24!J16+TONTAVRIL24!J16+TONTMAI24!J16+TONTJUIN24!J16+TONTJUIL24!J16+TONTAOUT24!J16+TONTSEPT24!J16+TONTOCT24!J16+TONTNOV24!J16+TONTDEC24!J16</f>
        <v>270000</v>
      </c>
      <c r="K16" s="7">
        <f>TONTJANV24!K16+TONTFEV24!K16+TONTMARS24!K16+TONTAVRIL24!K16+TONTMAI24!K16+TONTJUIN24!K16+TONTJUIL24!K16+TONTAOUT24!K16+TONTSEPT24!K16+TONTOCT24!K16+TONTNOV24!K16+TONTDEC24!K16</f>
        <v>270000</v>
      </c>
      <c r="L16" s="7"/>
      <c r="M16" s="7"/>
      <c r="N16" s="7"/>
      <c r="O16" s="7">
        <f>TONTJANV24!O16+TONTFEV24!O16+TONTMARS24!O16+TONTAVRIL24!O16+TONTMAI24!O16+TONTJUIN24!O16+TONTJUIL24!O16+TONTAOUT24!O16+TONTSEPT24!O16+TONTOCT24!O16+TONTNOV24!O16+TONTDEC24!O16</f>
        <v>2602500</v>
      </c>
      <c r="P16" s="7">
        <f>TONTJANV24!P16+TONTFEV24!P16+TONTMARS24!P16+TONTAVRIL24!P16+TONTMAI24!P16+TONTJUIN24!P16+TONTJUIL24!P16+TONTAOUT24!P16+TONTSEPT24!P16+TONTOCT24!P16+TONTNOV24!P16+TONTDEC24!P16</f>
        <v>97500</v>
      </c>
      <c r="Q16" s="16">
        <v>45292</v>
      </c>
      <c r="R16" s="16">
        <v>45413</v>
      </c>
      <c r="S16" s="8">
        <f>$Q$28*3</f>
        <v>65718.75</v>
      </c>
      <c r="T16" s="8">
        <v>60000</v>
      </c>
    </row>
    <row r="17" spans="1:22" ht="18.5" x14ac:dyDescent="0.45">
      <c r="A17" s="1" t="s">
        <v>27</v>
      </c>
      <c r="B17" s="7">
        <f>TONTJANV24!B17+TONTFEV24!B17+TONTMARS24!B17+TONTAVRIL24!B17+TONTMAI24!B17+TONTJUIN24!B17+TONTJUIL24!B17+TONTAOUT24!B17+TONTSEPT24!B17+TONTOCT24!B17+TONTNOV24!B17+TONTDEC24!B17</f>
        <v>12</v>
      </c>
      <c r="C17" s="1" t="str">
        <f>VLOOKUP(A17,[9]LISTADHERENT!A$5:H$60,3,0)</f>
        <v>PATEGO NJOSSU GUSTAVE</v>
      </c>
      <c r="D17" s="7">
        <f>TONTJANV24!D17+TONTFEV24!D17+TONTMARS24!D17+TONTAVRIL24!D17+TONTMAI24!D17+TONTJUIN24!D17+TONTJUIL24!D17+TONTAOUT24!D17+TONTSEPT24!D17+TONTOCT24!D17+TONTNOV24!D17+TONTDEC24!D17</f>
        <v>900000</v>
      </c>
      <c r="E17" s="7"/>
      <c r="F17" s="7">
        <f>TONTJANV24!F17+TONTFEV24!F17+TONTMARS24!F17+TONTAVRIL24!F17+TONTMAI24!F17+TONTJUIN24!F17+TONTJUIL24!F17+TONTAOUT24!F17+TONTSEPT24!F17+TONTOCT24!F17+TONTNOV24!F17+TONTDEC24!F17</f>
        <v>0</v>
      </c>
      <c r="G17" s="7">
        <f>TONTJANV24!G17+TONTFEV24!G17+TONTMARS24!G17+TONTAVRIL24!G17+TONTMAI24!G17+TONTJUIN24!G17+TONTJUIL24!G17+TONTAOUT24!G17+TONTSEPT24!G17+TONTOCT24!G17+TONTNOV24!G17+TONTDEC24!G17</f>
        <v>0</v>
      </c>
      <c r="H17" s="7"/>
      <c r="I17" s="7"/>
      <c r="J17" s="7">
        <f>TONTJANV24!J17+TONTFEV24!J17+TONTMARS24!J17+TONTAVRIL24!J17+TONTMAI24!J17+TONTJUIN24!J17+TONTJUIL24!J17+TONTAOUT24!J17+TONTSEPT24!J17+TONTOCT24!J17+TONTNOV24!J17+TONTDEC24!J17</f>
        <v>0</v>
      </c>
      <c r="K17" s="7">
        <f>TONTJANV24!K17+TONTFEV24!K17+TONTMARS24!K17+TONTAVRIL24!K17+TONTMAI24!K17+TONTJUIN24!K17+TONTJUIL24!K17+TONTAOUT24!K17+TONTSEPT24!K17+TONTOCT24!K17+TONTNOV24!K17+TONTDEC24!K17</f>
        <v>0</v>
      </c>
      <c r="L17" s="7"/>
      <c r="M17" s="7"/>
      <c r="N17" s="7"/>
      <c r="O17" s="7">
        <f>TONTJANV24!O17+TONTFEV24!O17+TONTMARS24!O17+TONTAVRIL24!O17+TONTMAI24!O17+TONTJUIN24!O17+TONTJUIL24!O17+TONTAOUT24!O17+TONTSEPT24!O17+TONTOCT24!O17+TONTNOV24!O17+TONTDEC24!O17</f>
        <v>892500</v>
      </c>
      <c r="P17" s="7">
        <f>TONTJANV24!P17+TONTFEV24!P17+TONTMARS24!P17+TONTAVRIL24!P17+TONTMAI24!P17+TONTJUIN24!P17+TONTJUIL24!P17+TONTAOUT24!P17+TONTSEPT24!P17+TONTOCT24!P17+TONTNOV24!P17+TONTDEC24!P17</f>
        <v>7500</v>
      </c>
      <c r="Q17" s="16">
        <v>45505</v>
      </c>
      <c r="S17" s="8">
        <f>$Q$28</f>
        <v>21906.25</v>
      </c>
      <c r="T17" s="8">
        <v>20000</v>
      </c>
    </row>
    <row r="18" spans="1:22" ht="18.5" x14ac:dyDescent="0.45">
      <c r="A18" s="9" t="s">
        <v>48</v>
      </c>
      <c r="B18" s="7">
        <f>TONTJANV24!B18+TONTFEV24!B18+TONTMARS24!B18+TONTAVRIL24!B18+TONTMAI24!B18+TONTJUIN24!B18+TONTJUIL24!B18+TONTAOUT24!B18+TONTSEPT24!B18+TONTOCT24!B18+TONTNOV24!B18+TONTDEC24!B18</f>
        <v>12</v>
      </c>
      <c r="C18" s="1" t="str">
        <f>VLOOKUP(A18,[9]LISTADHERENT!A$5:H$60,3,0)</f>
        <v>TCHOUAMOU MATHIEU</v>
      </c>
      <c r="D18" s="7">
        <f>TONTJANV24!D18+TONTFEV24!D18+TONTMARS24!D18+TONTAVRIL24!D18+TONTMAI24!D18+TONTJUIN24!D18+TONTJUIL24!D18+TONTAOUT24!D18+TONTSEPT24!D18+TONTOCT24!D18+TONTNOV24!D18+TONTDEC24!D18</f>
        <v>900000</v>
      </c>
      <c r="E18" s="7"/>
      <c r="F18" s="7">
        <f>TONTJANV24!F18+TONTFEV24!F18+TONTMARS24!F18+TONTAVRIL24!F18+TONTMAI24!F18+TONTJUIN24!F18+TONTJUIL24!F18+TONTAOUT24!F18+TONTSEPT24!F18+TONTOCT24!F18+TONTNOV24!F18+TONTDEC24!F18</f>
        <v>1007500</v>
      </c>
      <c r="G18" s="7">
        <f>TONTJANV24!G18+TONTFEV24!G18+TONTMARS24!G18+TONTAVRIL24!G18+TONTMAI24!G18+TONTJUIN24!G18+TONTJUIL24!G18+TONTAOUT24!G18+TONTSEPT24!G18+TONTOCT24!G18+TONTNOV24!G18+TONTDEC24!G18</f>
        <v>12000</v>
      </c>
      <c r="H18" s="7"/>
      <c r="I18" s="7"/>
      <c r="J18" s="7">
        <f>TONTJANV24!J18+TONTFEV24!J18+TONTMARS24!J18+TONTAVRIL24!J18+TONTMAI24!J18+TONTJUIN24!J18+TONTJUIL24!J18+TONTAOUT24!J18+TONTSEPT24!J18+TONTOCT24!J18+TONTNOV24!J18+TONTDEC24!J18</f>
        <v>1019500</v>
      </c>
      <c r="K18" s="7">
        <f>TONTJANV24!K18+TONTFEV24!K18+TONTMARS24!K18+TONTAVRIL24!K18+TONTMAI24!K18+TONTJUIN24!K18+TONTJUIL24!K18+TONTAOUT24!K18+TONTSEPT24!K18+TONTOCT24!K18+TONTNOV24!K18+TONTDEC24!K18</f>
        <v>1019500</v>
      </c>
      <c r="L18" s="7"/>
      <c r="M18" s="7"/>
      <c r="N18" s="7"/>
      <c r="O18" s="7">
        <f>TONTJANV24!O18+TONTFEV24!O18+TONTMARS24!O18+TONTAVRIL24!O18+TONTMAI24!O18+TONTJUIN24!O18+TONTJUIL24!O18+TONTAOUT24!O18+TONTSEPT24!O18+TONTOCT24!O18+TONTNOV24!O18+TONTDEC24!O18</f>
        <v>892500</v>
      </c>
      <c r="P18" s="7">
        <f>TONTJANV24!P18+TONTFEV24!P18+TONTMARS24!P18+TONTAVRIL24!P18+TONTMAI24!P18+TONTJUIN24!P18+TONTJUIL24!P18+TONTAOUT24!P18+TONTSEPT24!P18+TONTOCT24!P18+TONTNOV24!P18+TONTDEC24!P18</f>
        <v>7500</v>
      </c>
      <c r="Q18" s="16">
        <v>45383</v>
      </c>
      <c r="S18" s="8">
        <f>$Q$28</f>
        <v>21906.25</v>
      </c>
      <c r="T18" s="8">
        <v>20000</v>
      </c>
    </row>
    <row r="19" spans="1:22" ht="18.5" x14ac:dyDescent="0.45">
      <c r="A19" s="1" t="s">
        <v>19</v>
      </c>
      <c r="B19" s="7">
        <f>TONTJANV24!B19+TONTFEV24!B19+TONTMARS24!B19+TONTAVRIL24!B19+TONTMAI24!B19+TONTJUIN24!B19+TONTJUIL24!B19+TONTAOUT24!B19+TONTSEPT24!B19+TONTOCT24!B19+TONTNOV24!B19+TONTDEC24!B19</f>
        <v>12</v>
      </c>
      <c r="C19" s="1" t="str">
        <f>VLOOKUP(A19,[9]LISTADHERENT!A$5:H$60,3,0)</f>
        <v>YOUMBI EMMANUEL</v>
      </c>
      <c r="D19" s="7">
        <f>TONTJANV24!D19+TONTFEV24!D19+TONTMARS24!D19+TONTAVRIL24!D19+TONTMAI24!D19+TONTJUIN24!D19+TONTJUIL24!D19+TONTAOUT24!D19+TONTSEPT24!D19+TONTOCT24!D19+TONTNOV24!D19+TONTDEC24!D19</f>
        <v>900000</v>
      </c>
      <c r="E19" s="7"/>
      <c r="F19" s="7">
        <f>TONTJANV24!F19+TONTFEV24!F19+TONTMARS24!F19+TONTAVRIL24!F19+TONTMAI24!F19+TONTJUIN24!F19+TONTJUIL24!F19+TONTAOUT24!F19+TONTSEPT24!F19+TONTOCT24!F19+TONTNOV24!F19+TONTDEC24!F19</f>
        <v>0</v>
      </c>
      <c r="G19" s="7">
        <f>TONTJANV24!G19+TONTFEV24!G19+TONTMARS24!G19+TONTAVRIL24!G19+TONTMAI24!G19+TONTJUIN24!G19+TONTJUIL24!G19+TONTAOUT24!G19+TONTSEPT24!G19+TONTOCT24!G19+TONTNOV24!G19+TONTDEC24!G19</f>
        <v>0</v>
      </c>
      <c r="H19" s="7"/>
      <c r="I19" s="7"/>
      <c r="J19" s="7">
        <f>TONTJANV24!J19+TONTFEV24!J19+TONTMARS24!J19+TONTAVRIL24!J19+TONTMAI24!J19+TONTJUIN24!J19+TONTJUIL24!J19+TONTAOUT24!J19+TONTSEPT24!J19+TONTOCT24!J19+TONTNOV24!J19+TONTDEC24!J19</f>
        <v>0</v>
      </c>
      <c r="K19" s="7">
        <f>TONTJANV24!K19+TONTFEV24!K19+TONTMARS24!K19+TONTAVRIL24!K19+TONTMAI24!K19+TONTJUIN24!K19+TONTJUIL24!K19+TONTAOUT24!K19+TONTSEPT24!K19+TONTOCT24!K19+TONTNOV24!K19+TONTDEC24!K19</f>
        <v>0</v>
      </c>
      <c r="L19" s="7"/>
      <c r="M19" s="7"/>
      <c r="N19" s="7"/>
      <c r="O19" s="7">
        <f>TONTJANV24!O19+TONTFEV24!O19+TONTMARS24!O19+TONTAVRIL24!O19+TONTMAI24!O19+TONTJUIN24!O19+TONTJUIL24!O19+TONTAOUT24!O19+TONTSEPT24!O19+TONTOCT24!O19+TONTNOV24!O19+TONTDEC24!O19</f>
        <v>892500</v>
      </c>
      <c r="P19" s="7">
        <f>TONTJANV24!P19+TONTFEV24!P19+TONTMARS24!P19+TONTAVRIL24!P19+TONTMAI24!P19+TONTJUIN24!P19+TONTJUIL24!P19+TONTAOUT24!P19+TONTSEPT24!P19+TONTOCT24!P19+TONTNOV24!P19+TONTDEC24!P19</f>
        <v>7500</v>
      </c>
      <c r="Q19" s="16">
        <v>45566</v>
      </c>
      <c r="S19" s="8">
        <f>$Q$28</f>
        <v>21906.25</v>
      </c>
      <c r="T19" s="8">
        <v>20000</v>
      </c>
    </row>
    <row r="20" spans="1:22" ht="17.5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  <c r="S20" s="8"/>
      <c r="T20" s="8"/>
    </row>
    <row r="21" spans="1:22" ht="17.5" x14ac:dyDescent="0.35">
      <c r="A21" s="1" t="s">
        <v>36</v>
      </c>
      <c r="B21" s="8">
        <f>SUM(B6:B20)</f>
        <v>192</v>
      </c>
      <c r="G21" s="11"/>
      <c r="Q21" s="2"/>
      <c r="R21" s="2"/>
      <c r="S21" s="2"/>
      <c r="T21" s="2"/>
    </row>
    <row r="22" spans="1:22" ht="17.5" x14ac:dyDescent="0.35">
      <c r="A22" s="1" t="s">
        <v>37</v>
      </c>
      <c r="B22" s="15">
        <f>COUNT(D6:D20)</f>
        <v>14</v>
      </c>
      <c r="C22" s="8"/>
      <c r="D22" s="8">
        <f t="shared" ref="D22:P22" si="1">SUM(D6:D21)</f>
        <v>14400000</v>
      </c>
      <c r="E22" s="8">
        <f t="shared" si="1"/>
        <v>0</v>
      </c>
      <c r="F22" s="8">
        <f t="shared" si="1"/>
        <v>4772500</v>
      </c>
      <c r="G22" s="8">
        <f t="shared" si="1"/>
        <v>65500</v>
      </c>
      <c r="H22" s="8">
        <f t="shared" si="1"/>
        <v>0</v>
      </c>
      <c r="I22" s="8">
        <f t="shared" si="1"/>
        <v>0</v>
      </c>
      <c r="J22" s="8">
        <f t="shared" si="1"/>
        <v>4838000</v>
      </c>
      <c r="K22" s="8">
        <f t="shared" si="1"/>
        <v>4838000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14115000</v>
      </c>
      <c r="P22" s="8">
        <f t="shared" si="1"/>
        <v>285000</v>
      </c>
      <c r="Q22" s="2"/>
      <c r="R22" s="2"/>
      <c r="S22" s="8">
        <f>SUM(S6:S20)</f>
        <v>350500</v>
      </c>
      <c r="T22" s="8">
        <f>SUM(T6:T20)</f>
        <v>320000</v>
      </c>
      <c r="V22" s="2">
        <f>S22-T22</f>
        <v>30500</v>
      </c>
    </row>
    <row r="23" spans="1:22" s="2" customFormat="1" x14ac:dyDescent="0.3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22" s="2" customFormat="1" ht="28.5" x14ac:dyDescent="0.3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D22+E28+P22+TONTMARS24!M29</f>
        <v>14685000</v>
      </c>
      <c r="L24" s="5"/>
      <c r="M24"/>
      <c r="N24" s="5"/>
      <c r="P24" s="17" t="s">
        <v>10</v>
      </c>
      <c r="Q24" s="8">
        <f>G22</f>
        <v>65500</v>
      </c>
      <c r="S24" s="8"/>
    </row>
    <row r="25" spans="1:22" s="2" customFormat="1" ht="17.5" x14ac:dyDescent="0.3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11700000</v>
      </c>
      <c r="L25" s="8">
        <f>D3</f>
        <v>16</v>
      </c>
      <c r="M25" s="8">
        <f>COUNTIF(O7:O18,"&gt;0")</f>
        <v>12</v>
      </c>
      <c r="N25" s="8"/>
      <c r="Q25" s="8"/>
      <c r="T25" s="8"/>
    </row>
    <row r="26" spans="1:22" s="2" customFormat="1" ht="17.5" x14ac:dyDescent="0.3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  <c r="P26" s="17" t="s">
        <v>54</v>
      </c>
      <c r="Q26" s="8">
        <f>G22+P22</f>
        <v>350500</v>
      </c>
    </row>
    <row r="27" spans="1:22" s="2" customFormat="1" ht="17.5" x14ac:dyDescent="0.35">
      <c r="D27" s="8"/>
      <c r="E27" s="8"/>
      <c r="F27" s="8"/>
      <c r="G27" s="8"/>
      <c r="I27" s="8"/>
      <c r="J27" s="8" t="s">
        <v>22</v>
      </c>
      <c r="K27" s="8">
        <f>K24-K25</f>
        <v>2985000</v>
      </c>
      <c r="L27" s="8"/>
      <c r="M27" s="8"/>
      <c r="N27" s="8"/>
      <c r="Q27" s="8"/>
    </row>
    <row r="28" spans="1:22" s="2" customFormat="1" ht="17.5" x14ac:dyDescent="0.3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  <c r="P28" s="17" t="s">
        <v>55</v>
      </c>
      <c r="Q28" s="8">
        <f>Q26/16</f>
        <v>21906.25</v>
      </c>
    </row>
    <row r="29" spans="1:22" s="2" customFormat="1" ht="17.5" x14ac:dyDescent="0.35">
      <c r="D29" s="8"/>
      <c r="E29"/>
      <c r="F29"/>
      <c r="G29" s="3"/>
      <c r="H29" s="3"/>
      <c r="I29" s="3"/>
      <c r="J29" s="8" t="s">
        <v>28</v>
      </c>
      <c r="K29" s="8">
        <f>K27-F22</f>
        <v>-1787500</v>
      </c>
      <c r="L29"/>
      <c r="M29" s="8">
        <f>K29</f>
        <v>-1787500</v>
      </c>
      <c r="N29" s="8" t="s">
        <v>29</v>
      </c>
      <c r="Q29"/>
      <c r="R29"/>
      <c r="S29"/>
      <c r="T29"/>
    </row>
    <row r="30" spans="1:22" s="2" customFormat="1" x14ac:dyDescent="0.35">
      <c r="D30" s="5"/>
      <c r="E30"/>
      <c r="F30"/>
      <c r="G30" s="3"/>
      <c r="H30" s="3"/>
      <c r="I30" s="3"/>
      <c r="L30"/>
      <c r="M30" s="3"/>
      <c r="N30" s="3"/>
      <c r="Q30"/>
      <c r="R30"/>
      <c r="S30"/>
      <c r="T30"/>
    </row>
    <row r="31" spans="1:22" s="2" customFormat="1" ht="17.5" x14ac:dyDescent="0.3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0</v>
      </c>
      <c r="L31"/>
      <c r="M31" s="8">
        <f>+K31</f>
        <v>0</v>
      </c>
      <c r="N31" s="8" t="s">
        <v>29</v>
      </c>
      <c r="Q31"/>
      <c r="R31"/>
      <c r="S31"/>
      <c r="T31"/>
    </row>
    <row r="32" spans="1:22" s="2" customFormat="1" ht="17.5" x14ac:dyDescent="0.3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4838000</v>
      </c>
      <c r="L32"/>
      <c r="M32" s="8">
        <f>+K32</f>
        <v>4838000</v>
      </c>
      <c r="N32" s="8" t="s">
        <v>29</v>
      </c>
      <c r="Q32"/>
      <c r="R32"/>
      <c r="S32"/>
      <c r="T32"/>
    </row>
  </sheetData>
  <autoFilter ref="A5:P17" xr:uid="{00000000-0009-0000-0000-00000D000000}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9878-A8FE-4598-8593-899A1E1DED33}">
  <dimension ref="A1:J23"/>
  <sheetViews>
    <sheetView workbookViewId="0">
      <pane xSplit="2" ySplit="4" topLeftCell="D5" activePane="bottomRight" state="frozen"/>
      <selection activeCell="G6" sqref="G6:G39"/>
      <selection pane="topRight" activeCell="G6" sqref="G6:G39"/>
      <selection pane="bottomLeft" activeCell="G6" sqref="G6:G39"/>
      <selection pane="bottomRight" activeCell="A4" sqref="A4:J4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17.54296875" style="3" customWidth="1"/>
    <col min="5" max="5" width="18.1796875" style="2" customWidth="1"/>
    <col min="6" max="6" width="22.54296875" style="2" customWidth="1"/>
    <col min="7" max="7" width="12.453125" bestFit="1" customWidth="1"/>
    <col min="9" max="9" width="16.26953125" customWidth="1"/>
    <col min="10" max="10" width="12.453125" bestFit="1" customWidth="1"/>
  </cols>
  <sheetData>
    <row r="1" spans="1:10" x14ac:dyDescent="0.35">
      <c r="A1" s="1" t="s">
        <v>0</v>
      </c>
      <c r="B1" s="1" t="s">
        <v>1</v>
      </c>
      <c r="D1" s="1"/>
      <c r="E1"/>
      <c r="F1" s="3"/>
      <c r="G1" s="2"/>
    </row>
    <row r="2" spans="1:10" x14ac:dyDescent="0.35">
      <c r="A2" s="1" t="s">
        <v>2</v>
      </c>
      <c r="B2" s="1">
        <v>2024</v>
      </c>
      <c r="C2" s="1"/>
      <c r="D2" s="1"/>
      <c r="E2"/>
      <c r="F2" s="3"/>
      <c r="G2" s="2"/>
    </row>
    <row r="3" spans="1:10" ht="23.5" x14ac:dyDescent="0.55000000000000004">
      <c r="A3" s="26" t="s">
        <v>57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42.5" x14ac:dyDescent="0.35">
      <c r="A4" s="20" t="s">
        <v>3</v>
      </c>
      <c r="B4" s="20" t="s">
        <v>4</v>
      </c>
      <c r="C4" s="21" t="s">
        <v>5</v>
      </c>
      <c r="D4" s="21" t="s">
        <v>10</v>
      </c>
      <c r="E4" s="21" t="s">
        <v>58</v>
      </c>
      <c r="F4" s="21" t="s">
        <v>13</v>
      </c>
      <c r="G4" s="21" t="s">
        <v>51</v>
      </c>
      <c r="H4" s="21" t="s">
        <v>52</v>
      </c>
      <c r="I4" s="21" t="s">
        <v>53</v>
      </c>
      <c r="J4" s="21" t="s">
        <v>56</v>
      </c>
    </row>
    <row r="5" spans="1:10" ht="17.5" x14ac:dyDescent="0.35">
      <c r="A5" s="1" t="s">
        <v>47</v>
      </c>
      <c r="B5" s="1" t="str">
        <f>VLOOKUP(A5,[9]LISTADHERENT!A$5:H$60,3,0)</f>
        <v>ASELBY</v>
      </c>
      <c r="C5" s="19">
        <f>+TONTRESUME24!D6</f>
        <v>900000</v>
      </c>
      <c r="D5" s="19">
        <f>+TONTRESUME24!G6</f>
        <v>0</v>
      </c>
      <c r="E5" s="19">
        <f>+TONTRESUME24!O6</f>
        <v>892500</v>
      </c>
      <c r="F5" s="19">
        <f>+TONTRESUME24!P6</f>
        <v>7500</v>
      </c>
      <c r="G5" s="18">
        <f>IF(F5=0,"",VLOOKUP(TONTRESUME24EDIT!A5,TONTRESUME24!A6:T19,17,0))</f>
        <v>0</v>
      </c>
      <c r="H5" s="18">
        <f>IF(C5=450000,"",VLOOKUP(TONTRESUME24EDIT!A5,TONTRESUME24!A6:U19,18,0))</f>
        <v>0</v>
      </c>
      <c r="I5" s="8">
        <f>+TONTRESUME24!S6</f>
        <v>21906.25</v>
      </c>
      <c r="J5" s="8">
        <f>+TONTRESUME24!T6</f>
        <v>20000</v>
      </c>
    </row>
    <row r="6" spans="1:10" ht="17.5" x14ac:dyDescent="0.35">
      <c r="A6" s="1" t="s">
        <v>24</v>
      </c>
      <c r="B6" s="1" t="str">
        <f>VLOOKUP(A6,[9]LISTADHERENT!A$5:H$60,3,0)</f>
        <v>BOUTCHOUANG WILLIAM</v>
      </c>
      <c r="C6" s="19">
        <f>+TONTRESUME24!D7</f>
        <v>900000</v>
      </c>
      <c r="D6" s="19">
        <f>+TONTRESUME24!G7</f>
        <v>0</v>
      </c>
      <c r="E6" s="19">
        <f>+TONTRESUME24!O7</f>
        <v>892500</v>
      </c>
      <c r="F6" s="19">
        <f>+TONTRESUME24!P7</f>
        <v>7500</v>
      </c>
      <c r="G6" s="18">
        <f>IF(F6=0,"",VLOOKUP(TONTRESUME24EDIT!A6,TONTRESUME24!A7:T20,17,0))</f>
        <v>45536</v>
      </c>
      <c r="H6" s="18">
        <f>IF(C6=450000,"",VLOOKUP(TONTRESUME24EDIT!A6,TONTRESUME24!A7:U20,18,0))</f>
        <v>0</v>
      </c>
      <c r="I6" s="8">
        <f>+TONTRESUME24!S7</f>
        <v>21906.25</v>
      </c>
      <c r="J6" s="8">
        <f>+TONTRESUME24!T7</f>
        <v>20000</v>
      </c>
    </row>
    <row r="7" spans="1:10" ht="17.5" x14ac:dyDescent="0.35">
      <c r="A7" s="1" t="s">
        <v>49</v>
      </c>
      <c r="B7" s="1" t="str">
        <f>VLOOKUP(A7,[9]LISTADHERENT!A$5:H$60,3,0)</f>
        <v>DJOMOU TCHAPDA</v>
      </c>
      <c r="C7" s="19">
        <f>+TONTRESUME24!D8</f>
        <v>900000</v>
      </c>
      <c r="D7" s="19">
        <f>+TONTRESUME24!G8</f>
        <v>9500</v>
      </c>
      <c r="E7" s="19">
        <f>+TONTRESUME24!O8</f>
        <v>872000</v>
      </c>
      <c r="F7" s="19">
        <f>+TONTRESUME24!P8</f>
        <v>28000</v>
      </c>
      <c r="G7" s="18">
        <f>IF(F7=0,"",VLOOKUP(TONTRESUME24EDIT!A7,TONTRESUME24!A8:T21,17,0))</f>
        <v>45352</v>
      </c>
      <c r="H7" s="18">
        <f>IF(C7=450000,"",VLOOKUP(TONTRESUME24EDIT!A7,TONTRESUME24!A8:U21,18,0))</f>
        <v>0</v>
      </c>
      <c r="I7" s="8">
        <f>+TONTRESUME24!S8</f>
        <v>21906.25</v>
      </c>
      <c r="J7" s="8">
        <f>+TONTRESUME24!T8</f>
        <v>20000</v>
      </c>
    </row>
    <row r="8" spans="1:10" ht="17.5" x14ac:dyDescent="0.35">
      <c r="A8" s="1" t="s">
        <v>25</v>
      </c>
      <c r="B8" s="1" t="str">
        <f>VLOOKUP(A8,[9]LISTADHERENT!A$5:H$60,3,0)</f>
        <v>DJOUKWE NANGUEN GUY BLAISE</v>
      </c>
      <c r="C8" s="19">
        <f>+TONTRESUME24!D9</f>
        <v>900000</v>
      </c>
      <c r="D8" s="19">
        <f>+TONTRESUME24!G9</f>
        <v>18000</v>
      </c>
      <c r="E8" s="19">
        <f>+TONTRESUME24!O9</f>
        <v>884000</v>
      </c>
      <c r="F8" s="19">
        <f>+TONTRESUME24!P9</f>
        <v>16000</v>
      </c>
      <c r="G8" s="18">
        <f>IF(F8=0,"",VLOOKUP(TONTRESUME24EDIT!A8,TONTRESUME24!A9:T22,17,0))</f>
        <v>45323</v>
      </c>
      <c r="H8" s="18">
        <f>IF(C8=450000,"",VLOOKUP(TONTRESUME24EDIT!A8,TONTRESUME24!A9:U22,18,0))</f>
        <v>0</v>
      </c>
      <c r="I8" s="8">
        <f>+TONTRESUME24!S9</f>
        <v>21906.25</v>
      </c>
      <c r="J8" s="8">
        <f>+TONTRESUME24!T9</f>
        <v>20000</v>
      </c>
    </row>
    <row r="9" spans="1:10" ht="17.5" x14ac:dyDescent="0.35">
      <c r="A9" s="1" t="s">
        <v>34</v>
      </c>
      <c r="B9" s="1" t="str">
        <f>VLOOKUP(A9,[9]LISTADHERENT!A$5:H$60,3,0)</f>
        <v>DJUOMBESSY ANTOINE</v>
      </c>
      <c r="C9" s="19">
        <f>+TONTRESUME24!D10</f>
        <v>900000</v>
      </c>
      <c r="D9" s="19">
        <f>+TONTRESUME24!G10</f>
        <v>2000</v>
      </c>
      <c r="E9" s="19">
        <f>+TONTRESUME24!O10</f>
        <v>840000</v>
      </c>
      <c r="F9" s="19">
        <f>+TONTRESUME24!P10</f>
        <v>60000</v>
      </c>
      <c r="G9" s="18">
        <f>IF(F9=0,"",VLOOKUP(TONTRESUME24EDIT!A9,TONTRESUME24!A10:T23,17,0))</f>
        <v>45292</v>
      </c>
      <c r="H9" s="18">
        <f>IF(C9=450000,"",VLOOKUP(TONTRESUME24EDIT!A9,TONTRESUME24!A10:U23,18,0))</f>
        <v>0</v>
      </c>
      <c r="I9" s="8">
        <f>+TONTRESUME24!S10</f>
        <v>21906.25</v>
      </c>
      <c r="J9" s="8">
        <f>+TONTRESUME24!T10</f>
        <v>20000</v>
      </c>
    </row>
    <row r="10" spans="1:10" ht="17.5" x14ac:dyDescent="0.35">
      <c r="A10" s="1" t="s">
        <v>18</v>
      </c>
      <c r="B10" s="1" t="str">
        <f>VLOOKUP(A10,[9]LISTADHERENT!A$5:H$60,3,0)</f>
        <v>HOTCHO BENJAMIN</v>
      </c>
      <c r="C10" s="19">
        <f>+TONTRESUME24!D11</f>
        <v>900000</v>
      </c>
      <c r="D10" s="19">
        <f>+TONTRESUME24!G11</f>
        <v>4000</v>
      </c>
      <c r="E10" s="19">
        <f>+TONTRESUME24!O11</f>
        <v>892500</v>
      </c>
      <c r="F10" s="19">
        <f>+TONTRESUME24!P11</f>
        <v>7500</v>
      </c>
      <c r="G10" s="18">
        <f>IF(F10=0,"",VLOOKUP(TONTRESUME24EDIT!A10,TONTRESUME24!A11:T24,17,0))</f>
        <v>45444</v>
      </c>
      <c r="H10" s="18">
        <f>IF(C10=450000,"",VLOOKUP(TONTRESUME24EDIT!A10,TONTRESUME24!A11:U24,18,0))</f>
        <v>0</v>
      </c>
      <c r="I10" s="8">
        <f>+TONTRESUME24!S11</f>
        <v>21906.25</v>
      </c>
      <c r="J10" s="8">
        <f>+TONTRESUME24!T11</f>
        <v>20000</v>
      </c>
    </row>
    <row r="11" spans="1:10" ht="17.5" x14ac:dyDescent="0.35">
      <c r="A11" s="1" t="s">
        <v>26</v>
      </c>
      <c r="B11" s="1" t="str">
        <f>VLOOKUP(A11,[9]LISTADHERENT!A$5:H$60,3,0)</f>
        <v>HENGUE PAUL OMER</v>
      </c>
      <c r="C11" s="19">
        <f>+TONTRESUME24!D12</f>
        <v>900000</v>
      </c>
      <c r="D11" s="19">
        <f>+TONTRESUME24!G12</f>
        <v>0</v>
      </c>
      <c r="E11" s="19">
        <f>+TONTRESUME24!O12</f>
        <v>892500</v>
      </c>
      <c r="F11" s="19">
        <f>+TONTRESUME24!P12</f>
        <v>7500</v>
      </c>
      <c r="G11" s="18">
        <f>IF(F11=0,"",VLOOKUP(TONTRESUME24EDIT!A11,TONTRESUME24!A12:T25,17,0))</f>
        <v>45444</v>
      </c>
      <c r="H11" s="18">
        <f>IF(C11=450000,"",VLOOKUP(TONTRESUME24EDIT!A11,TONTRESUME24!A12:U25,18,0))</f>
        <v>0</v>
      </c>
      <c r="I11" s="8">
        <f>+TONTRESUME24!S12</f>
        <v>21906.25</v>
      </c>
      <c r="J11" s="8">
        <f>+TONTRESUME24!T12</f>
        <v>20000</v>
      </c>
    </row>
    <row r="12" spans="1:10" ht="17.5" x14ac:dyDescent="0.35">
      <c r="A12" s="1" t="s">
        <v>21</v>
      </c>
      <c r="B12" s="1" t="str">
        <f>VLOOKUP(A12,[9]LISTADHERENT!A$5:H$60,3,0)</f>
        <v>MBOGNING TUGMA GUY</v>
      </c>
      <c r="C12" s="19">
        <f>+TONTRESUME24!D13</f>
        <v>900000</v>
      </c>
      <c r="D12" s="19">
        <f>+TONTRESUME24!G13</f>
        <v>16000</v>
      </c>
      <c r="E12" s="19">
        <f>+TONTRESUME24!O13</f>
        <v>884000</v>
      </c>
      <c r="F12" s="19">
        <f>+TONTRESUME24!P13</f>
        <v>16000</v>
      </c>
      <c r="G12" s="18">
        <f>IF(F12=0,"",VLOOKUP(TONTRESUME24EDIT!A12,TONTRESUME24!A13:T26,17,0))</f>
        <v>45323</v>
      </c>
      <c r="H12" s="18">
        <f>IF(C12=450000,"",VLOOKUP(TONTRESUME24EDIT!A12,TONTRESUME24!A13:U26,18,0))</f>
        <v>0</v>
      </c>
      <c r="I12" s="8">
        <f>+TONTRESUME24!S13</f>
        <v>21906.25</v>
      </c>
      <c r="J12" s="8">
        <f>+TONTRESUME24!T13</f>
        <v>20000</v>
      </c>
    </row>
    <row r="13" spans="1:10" ht="17.5" x14ac:dyDescent="0.35">
      <c r="A13" s="1" t="s">
        <v>8</v>
      </c>
      <c r="B13" s="1" t="str">
        <f>VLOOKUP(A13,[9]LISTADHERENT!A$5:H$60,3,0)</f>
        <v>NANKAM APPOLINAIRE</v>
      </c>
      <c r="C13" s="19">
        <f>+TONTRESUME24!D14</f>
        <v>900000</v>
      </c>
      <c r="D13" s="19">
        <f>+TONTRESUME24!G14</f>
        <v>0</v>
      </c>
      <c r="E13" s="19">
        <f>+TONTRESUME24!O14</f>
        <v>892500</v>
      </c>
      <c r="F13" s="19">
        <f>+TONTRESUME24!P14</f>
        <v>7500</v>
      </c>
      <c r="G13" s="18">
        <f>IF(F13=0,"",VLOOKUP(TONTRESUME24EDIT!A13,TONTRESUME24!A14:T27,17,0))</f>
        <v>45597</v>
      </c>
      <c r="H13" s="18">
        <f>IF(C13=450000,"",VLOOKUP(TONTRESUME24EDIT!A13,TONTRESUME24!A14:U27,18,0))</f>
        <v>0</v>
      </c>
      <c r="I13" s="8">
        <f>+TONTRESUME24!S14</f>
        <v>21906.25</v>
      </c>
      <c r="J13" s="8">
        <f>+TONTRESUME24!T14</f>
        <v>20000</v>
      </c>
    </row>
    <row r="14" spans="1:10" ht="17.5" x14ac:dyDescent="0.35">
      <c r="A14" s="1" t="s">
        <v>35</v>
      </c>
      <c r="B14" s="1" t="str">
        <f>VLOOKUP(A14,[9]LISTADHERENT!A$5:H$60,3,0)</f>
        <v>NGONDIEP CLAUDE</v>
      </c>
      <c r="C14" s="19">
        <f>+TONTRESUME24!D15</f>
        <v>900000</v>
      </c>
      <c r="D14" s="19">
        <f>+TONTRESUME24!G15</f>
        <v>0</v>
      </c>
      <c r="E14" s="19">
        <f>+TONTRESUME24!O15</f>
        <v>892500</v>
      </c>
      <c r="F14" s="19">
        <f>+TONTRESUME24!P15</f>
        <v>7500</v>
      </c>
      <c r="G14" s="18">
        <f>IF(F14=0,"",VLOOKUP(TONTRESUME24EDIT!A14,TONTRESUME24!A15:T28,17,0))</f>
        <v>45474</v>
      </c>
      <c r="H14" s="18">
        <f>IF(C14=450000,"",VLOOKUP(TONTRESUME24EDIT!A14,TONTRESUME24!A15:U28,18,0))</f>
        <v>0</v>
      </c>
      <c r="I14" s="8">
        <f>+TONTRESUME24!S15</f>
        <v>21906.25</v>
      </c>
      <c r="J14" s="8">
        <f>+TONTRESUME24!T15</f>
        <v>20000</v>
      </c>
    </row>
    <row r="15" spans="1:10" ht="17.5" x14ac:dyDescent="0.35">
      <c r="A15" s="1" t="s">
        <v>20</v>
      </c>
      <c r="B15" s="1" t="str">
        <f>VLOOKUP(A15,[9]LISTADHERENT!A$5:H$60,3,0)</f>
        <v>NGUIEMEGNI MATHIEU BLAISE</v>
      </c>
      <c r="C15" s="19">
        <f>+TONTRESUME24!D16</f>
        <v>2700000</v>
      </c>
      <c r="D15" s="19">
        <f>+TONTRESUME24!G16</f>
        <v>4000</v>
      </c>
      <c r="E15" s="19">
        <f>+TONTRESUME24!O16</f>
        <v>2602500</v>
      </c>
      <c r="F15" s="19">
        <f>+TONTRESUME24!P16</f>
        <v>97500</v>
      </c>
      <c r="G15" s="18">
        <f>IF(F15=0,"",VLOOKUP(TONTRESUME24EDIT!A15,TONTRESUME24!A16:T29,17,0))</f>
        <v>45292</v>
      </c>
      <c r="H15" s="18">
        <f>IF(C15=450000,"",VLOOKUP(TONTRESUME24EDIT!A15,TONTRESUME24!A16:U29,18,0))</f>
        <v>45413</v>
      </c>
      <c r="I15" s="8">
        <f>+TONTRESUME24!S16</f>
        <v>65718.75</v>
      </c>
      <c r="J15" s="8">
        <f>+TONTRESUME24!T16</f>
        <v>60000</v>
      </c>
    </row>
    <row r="16" spans="1:10" ht="17.5" x14ac:dyDescent="0.35">
      <c r="A16" s="1" t="s">
        <v>27</v>
      </c>
      <c r="B16" s="1" t="str">
        <f>VLOOKUP(A16,[9]LISTADHERENT!A$5:H$60,3,0)</f>
        <v>PATEGO NJOSSU GUSTAVE</v>
      </c>
      <c r="C16" s="19">
        <f>+TONTRESUME24!D17</f>
        <v>900000</v>
      </c>
      <c r="D16" s="19">
        <f>+TONTRESUME24!G17</f>
        <v>0</v>
      </c>
      <c r="E16" s="19">
        <f>+TONTRESUME24!O17</f>
        <v>892500</v>
      </c>
      <c r="F16" s="19">
        <f>+TONTRESUME24!P17</f>
        <v>7500</v>
      </c>
      <c r="G16" s="18">
        <f>IF(F16=0,"",VLOOKUP(TONTRESUME24EDIT!A16,TONTRESUME24!A17:T30,17,0))</f>
        <v>45505</v>
      </c>
      <c r="H16" s="18">
        <f>IF(C16=450000,"",VLOOKUP(TONTRESUME24EDIT!A16,TONTRESUME24!A17:U30,18,0))</f>
        <v>0</v>
      </c>
      <c r="I16" s="8">
        <f>+TONTRESUME24!S17</f>
        <v>21906.25</v>
      </c>
      <c r="J16" s="8">
        <f>+TONTRESUME24!T17</f>
        <v>20000</v>
      </c>
    </row>
    <row r="17" spans="1:10" ht="17.5" x14ac:dyDescent="0.35">
      <c r="A17" s="9" t="s">
        <v>48</v>
      </c>
      <c r="B17" s="1" t="str">
        <f>VLOOKUP(A17,[9]LISTADHERENT!A$5:H$60,3,0)</f>
        <v>TCHOUAMOU MATHIEU</v>
      </c>
      <c r="C17" s="19">
        <f>+TONTRESUME24!D18</f>
        <v>900000</v>
      </c>
      <c r="D17" s="19">
        <f>+TONTRESUME24!G18</f>
        <v>12000</v>
      </c>
      <c r="E17" s="19">
        <f>+TONTRESUME24!O18</f>
        <v>892500</v>
      </c>
      <c r="F17" s="19">
        <f>+TONTRESUME24!P18</f>
        <v>7500</v>
      </c>
      <c r="G17" s="18">
        <f>IF(F17=0,"",VLOOKUP(TONTRESUME24EDIT!A17,TONTRESUME24!A18:T31,17,0))</f>
        <v>45383</v>
      </c>
      <c r="H17" s="18">
        <f>IF(C17=450000,"",VLOOKUP(TONTRESUME24EDIT!A17,TONTRESUME24!A18:U31,18,0))</f>
        <v>0</v>
      </c>
      <c r="I17" s="8">
        <f>+TONTRESUME24!S18</f>
        <v>21906.25</v>
      </c>
      <c r="J17" s="8">
        <f>+TONTRESUME24!T18</f>
        <v>20000</v>
      </c>
    </row>
    <row r="18" spans="1:10" ht="17.5" x14ac:dyDescent="0.35">
      <c r="A18" s="1" t="s">
        <v>19</v>
      </c>
      <c r="B18" s="1" t="str">
        <f>VLOOKUP(A18,[9]LISTADHERENT!A$5:H$60,3,0)</f>
        <v>YOUMBI EMMANUEL</v>
      </c>
      <c r="C18" s="7">
        <f>+TONTRESUME24!D19</f>
        <v>900000</v>
      </c>
      <c r="D18" s="7">
        <f>+TONTRESUME24!G19</f>
        <v>0</v>
      </c>
      <c r="E18" s="7">
        <f>+TONTRESUME24!O19</f>
        <v>892500</v>
      </c>
      <c r="F18" s="7">
        <f>+TONTRESUME24!P19</f>
        <v>7500</v>
      </c>
      <c r="G18" s="18">
        <f>IF(F18=0,"",VLOOKUP(TONTRESUME24EDIT!A18,TONTRESUME24!A19:T32,17,0))</f>
        <v>45566</v>
      </c>
      <c r="H18" s="18">
        <f>IF(C18=450000,"",VLOOKUP(TONTRESUME24EDIT!A18,TONTRESUME24!A19:U32,18,0))</f>
        <v>0</v>
      </c>
      <c r="I18" s="8">
        <f>+TONTRESUME24!S19</f>
        <v>21906.25</v>
      </c>
      <c r="J18" s="8">
        <f>+TONTRESUME24!T19</f>
        <v>20000</v>
      </c>
    </row>
    <row r="19" spans="1:10" ht="17.5" x14ac:dyDescent="0.35">
      <c r="A19" s="1"/>
      <c r="B19" s="1"/>
      <c r="C19" s="7"/>
      <c r="D19" s="7"/>
      <c r="E19" s="7"/>
      <c r="F19" s="7"/>
      <c r="I19" s="8"/>
      <c r="J19" s="8"/>
    </row>
    <row r="20" spans="1:10" ht="17.5" x14ac:dyDescent="0.35">
      <c r="A20" s="1" t="s">
        <v>36</v>
      </c>
      <c r="B20" s="8"/>
      <c r="C20" s="8">
        <f>SUM(C5:C19)</f>
        <v>14400000</v>
      </c>
      <c r="D20" s="8">
        <f>SUM(D5:D19)</f>
        <v>65500</v>
      </c>
      <c r="E20" s="8">
        <f>SUM(E5:E19)</f>
        <v>14115000</v>
      </c>
      <c r="F20" s="8">
        <f>SUM(F5:F19)</f>
        <v>285000</v>
      </c>
      <c r="G20" s="2"/>
      <c r="H20" s="2"/>
      <c r="I20" s="8">
        <f>SUM(I7:I19)</f>
        <v>306687.5</v>
      </c>
      <c r="J20" s="8">
        <f>SUM(J7:J19)</f>
        <v>280000</v>
      </c>
    </row>
    <row r="21" spans="1:10" s="2" customFormat="1" x14ac:dyDescent="0.35">
      <c r="B21"/>
      <c r="C21"/>
      <c r="D21" s="11"/>
    </row>
    <row r="22" spans="1:10" s="2" customFormat="1" x14ac:dyDescent="0.35">
      <c r="A22"/>
      <c r="B22"/>
      <c r="C22"/>
      <c r="D22" s="3"/>
      <c r="G22"/>
      <c r="H22"/>
      <c r="I22"/>
      <c r="J22"/>
    </row>
    <row r="23" spans="1:10" s="2" customFormat="1" x14ac:dyDescent="0.35">
      <c r="A23"/>
      <c r="B23"/>
      <c r="C23"/>
      <c r="D23" s="3"/>
      <c r="G23"/>
      <c r="H23"/>
      <c r="I23"/>
      <c r="J23"/>
    </row>
  </sheetData>
  <autoFilter ref="A4:F16" xr:uid="{00000000-0009-0000-0000-00000D000000}">
    <sortState ref="A5:D39">
      <sortCondition ref="B4:B39"/>
    </sortState>
  </autoFilter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3</vt:i4>
      </vt:variant>
    </vt:vector>
  </HeadingPairs>
  <TitlesOfParts>
    <vt:vector size="31" baseType="lpstr">
      <vt:lpstr>MODEPAID</vt:lpstr>
      <vt:lpstr>TONTJANV25</vt:lpstr>
      <vt:lpstr>TONTFEV25</vt:lpstr>
      <vt:lpstr>TONTMARS25</vt:lpstr>
      <vt:lpstr>TONTAVRIL25</vt:lpstr>
      <vt:lpstr>TONTMAI25</vt:lpstr>
      <vt:lpstr>TONTJUIN25</vt:lpstr>
      <vt:lpstr>TONTJUIL25</vt:lpstr>
      <vt:lpstr>TONTAOUT25</vt:lpstr>
      <vt:lpstr>TONTSEPT25</vt:lpstr>
      <vt:lpstr>TONTOCT25</vt:lpstr>
      <vt:lpstr>TONTNOV25</vt:lpstr>
      <vt:lpstr>TONTDEC25</vt:lpstr>
      <vt:lpstr>TONTRESUME25</vt:lpstr>
      <vt:lpstr>TONTJANV24</vt:lpstr>
      <vt:lpstr>TONTFEV24</vt:lpstr>
      <vt:lpstr>TONTMARS24</vt:lpstr>
      <vt:lpstr>TONTAVRIL24</vt:lpstr>
      <vt:lpstr>TONTMAI24</vt:lpstr>
      <vt:lpstr>TONTJUIN24</vt:lpstr>
      <vt:lpstr>TONTJUIL24</vt:lpstr>
      <vt:lpstr>TONTAOUT24</vt:lpstr>
      <vt:lpstr>TONTSEPT24</vt:lpstr>
      <vt:lpstr>TONTOCT24</vt:lpstr>
      <vt:lpstr>TONTNOV24</vt:lpstr>
      <vt:lpstr>TONTDEC24</vt:lpstr>
      <vt:lpstr>TONTRESUME24</vt:lpstr>
      <vt:lpstr>TONTRESUME24EDIT</vt:lpstr>
      <vt:lpstr>TONTRESUME24EDIT!Impression_des_titres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dcterms:created xsi:type="dcterms:W3CDTF">2016-12-19T08:36:25Z</dcterms:created>
  <dcterms:modified xsi:type="dcterms:W3CDTF">2026-02-10T10:58:24Z</dcterms:modified>
</cp:coreProperties>
</file>