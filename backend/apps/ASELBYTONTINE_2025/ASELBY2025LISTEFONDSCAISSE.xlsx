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907"/>
  <workbookPr/>
  <mc:AlternateContent xmlns:mc="http://schemas.openxmlformats.org/markup-compatibility/2006">
    <mc:Choice Requires="x15">
      <x15ac:absPath xmlns:x15ac="http://schemas.microsoft.com/office/spreadsheetml/2010/11/ac" url="D:\ASELBYTONTINE_2025\"/>
    </mc:Choice>
  </mc:AlternateContent>
  <xr:revisionPtr revIDLastSave="0" documentId="13_ncr:1_{FA1539A2-2788-4AA9-9CEC-D6E3839561C7}" xr6:coauthVersionLast="37" xr6:coauthVersionMax="37" xr10:uidLastSave="{00000000-0000-0000-0000-000000000000}"/>
  <bookViews>
    <workbookView xWindow="0" yWindow="0" windowWidth="20490" windowHeight="6810" xr2:uid="{00000000-000D-0000-FFFF-FFFF00000000}"/>
  </bookViews>
  <sheets>
    <sheet name="FONDSCAISSE" sheetId="2" r:id="rId1"/>
    <sheet name="FONDSCAISSEBACKUP" sheetId="3" r:id="rId2"/>
    <sheet name="FONDSTRANSPORT" sheetId="4" r:id="rId3"/>
    <sheet name="FONDSCAISSE2020" sheetId="5" r:id="rId4"/>
    <sheet name="FONDSCAISSE2022" sheetId="6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BANQUE" localSheetId="3">#REF!</definedName>
    <definedName name="BANQUE" localSheetId="4">#REF!</definedName>
    <definedName name="BANQUE" localSheetId="1">#REF!</definedName>
    <definedName name="BANQUE" localSheetId="2">#REF!</definedName>
    <definedName name="BANQUE">#REF!</definedName>
    <definedName name="MODEPAID">[1]Feuil2!$A$1:$A$3</definedName>
    <definedName name="MODEVERSEMENT" localSheetId="3">#REF!</definedName>
    <definedName name="MODEVERSEMENT" localSheetId="4">#REF!</definedName>
    <definedName name="MODEVERSEMENT" localSheetId="1">#REF!</definedName>
    <definedName name="MODEVERSEMENT" localSheetId="2">#REF!</definedName>
    <definedName name="MODEVERSEMENT">#REF!</definedName>
    <definedName name="MODEVERSEMENTS">[2]MODEVERSEMENT!$A$1:$A$3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30" i="2"/>
  <c r="F31" i="2"/>
  <c r="F32" i="2"/>
  <c r="F33" i="2"/>
  <c r="F35" i="2"/>
  <c r="F36" i="2"/>
  <c r="F37" i="2"/>
  <c r="F38" i="2"/>
  <c r="F2" i="2"/>
  <c r="D4" i="2"/>
  <c r="D5" i="2"/>
  <c r="D6" i="2"/>
  <c r="D7" i="2"/>
  <c r="D8" i="2"/>
  <c r="D9" i="2"/>
  <c r="D10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30" i="2"/>
  <c r="D31" i="2"/>
  <c r="D32" i="2"/>
  <c r="D33" i="2"/>
  <c r="D35" i="2"/>
  <c r="D36" i="2"/>
  <c r="D37" i="2"/>
  <c r="D38" i="2"/>
  <c r="D3" i="2"/>
  <c r="C16" i="2" l="1"/>
  <c r="C11" i="2" l="1"/>
  <c r="G2" i="2" l="1"/>
  <c r="E53" i="2"/>
  <c r="F40" i="2" l="1"/>
  <c r="D54" i="2" l="1"/>
  <c r="D58" i="2" s="1"/>
  <c r="C54" i="2" l="1"/>
  <c r="C34" i="2" l="1"/>
  <c r="C3" i="2"/>
  <c r="C4" i="2"/>
  <c r="C5" i="2"/>
  <c r="C6" i="2"/>
  <c r="C7" i="2"/>
  <c r="C8" i="2"/>
  <c r="C9" i="2"/>
  <c r="C10" i="2"/>
  <c r="C12" i="2"/>
  <c r="C13" i="2"/>
  <c r="C14" i="2"/>
  <c r="C1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5" i="2"/>
  <c r="C36" i="2"/>
  <c r="C37" i="2"/>
  <c r="C38" i="2"/>
  <c r="C2" i="2"/>
  <c r="C51" i="2" l="1"/>
  <c r="C52" i="2"/>
  <c r="C53" i="2"/>
  <c r="C48" i="2" l="1"/>
  <c r="C47" i="2"/>
  <c r="C46" i="2"/>
  <c r="C45" i="2"/>
  <c r="C50" i="2"/>
  <c r="C49" i="2"/>
  <c r="I39" i="6"/>
  <c r="G39" i="6"/>
  <c r="F39" i="6"/>
  <c r="E39" i="6"/>
  <c r="D39" i="6"/>
  <c r="C38" i="6"/>
  <c r="H37" i="6"/>
  <c r="C37" i="6"/>
  <c r="H36" i="6"/>
  <c r="C36" i="6"/>
  <c r="C35" i="6"/>
  <c r="H34" i="6"/>
  <c r="C34" i="6"/>
  <c r="H33" i="6"/>
  <c r="C33" i="6"/>
  <c r="H32" i="6"/>
  <c r="C32" i="6"/>
  <c r="H31" i="6"/>
  <c r="C31" i="6"/>
  <c r="H30" i="6"/>
  <c r="C30" i="6"/>
  <c r="H29" i="6"/>
  <c r="C29" i="6"/>
  <c r="H28" i="6"/>
  <c r="C28" i="6"/>
  <c r="H27" i="6"/>
  <c r="C27" i="6"/>
  <c r="H26" i="6"/>
  <c r="C26" i="6"/>
  <c r="H25" i="6"/>
  <c r="C25" i="6"/>
  <c r="H24" i="6"/>
  <c r="C24" i="6"/>
  <c r="H23" i="6"/>
  <c r="C23" i="6"/>
  <c r="C22" i="6"/>
  <c r="H21" i="6"/>
  <c r="C21" i="6"/>
  <c r="H20" i="6"/>
  <c r="C20" i="6"/>
  <c r="H19" i="6"/>
  <c r="C19" i="6"/>
  <c r="H18" i="6"/>
  <c r="C18" i="6"/>
  <c r="H17" i="6"/>
  <c r="C17" i="6"/>
  <c r="H16" i="6"/>
  <c r="C16" i="6"/>
  <c r="H15" i="6"/>
  <c r="C15" i="6"/>
  <c r="H14" i="6"/>
  <c r="C14" i="6"/>
  <c r="C13" i="6"/>
  <c r="H12" i="6"/>
  <c r="C12" i="6"/>
  <c r="H11" i="6"/>
  <c r="C11" i="6"/>
  <c r="H10" i="6"/>
  <c r="C10" i="6"/>
  <c r="H9" i="6"/>
  <c r="C9" i="6"/>
  <c r="H8" i="6"/>
  <c r="C8" i="6"/>
  <c r="H7" i="6"/>
  <c r="C7" i="6"/>
  <c r="H6" i="6"/>
  <c r="C6" i="6"/>
  <c r="H5" i="6"/>
  <c r="C5" i="6"/>
  <c r="H4" i="6"/>
  <c r="C4" i="6"/>
  <c r="C3" i="6"/>
  <c r="H2" i="6"/>
  <c r="C2" i="6"/>
  <c r="H39" i="6" l="1"/>
  <c r="F53" i="5"/>
  <c r="E53" i="5"/>
  <c r="D51" i="5"/>
  <c r="H51" i="5" s="1"/>
  <c r="C51" i="5"/>
  <c r="D50" i="5"/>
  <c r="H50" i="5" s="1"/>
  <c r="C50" i="5"/>
  <c r="D49" i="5"/>
  <c r="H49" i="5" s="1"/>
  <c r="C49" i="5"/>
  <c r="D48" i="5"/>
  <c r="C48" i="5"/>
  <c r="D47" i="5"/>
  <c r="C47" i="5"/>
  <c r="I46" i="5"/>
  <c r="D46" i="5"/>
  <c r="H46" i="5" s="1"/>
  <c r="C46" i="5"/>
  <c r="D45" i="5"/>
  <c r="H45" i="5" s="1"/>
  <c r="C45" i="5"/>
  <c r="D44" i="5"/>
  <c r="C44" i="5"/>
  <c r="D43" i="5"/>
  <c r="H43" i="5" s="1"/>
  <c r="C43" i="5"/>
  <c r="D42" i="5"/>
  <c r="H42" i="5" s="1"/>
  <c r="C42" i="5"/>
  <c r="D41" i="5"/>
  <c r="H41" i="5" s="1"/>
  <c r="C41" i="5"/>
  <c r="G40" i="5"/>
  <c r="H40" i="5" s="1"/>
  <c r="C40" i="5"/>
  <c r="D39" i="5"/>
  <c r="H39" i="5" s="1"/>
  <c r="C39" i="5"/>
  <c r="D38" i="5"/>
  <c r="C38" i="5"/>
  <c r="D37" i="5"/>
  <c r="H37" i="5" s="1"/>
  <c r="C37" i="5"/>
  <c r="D36" i="5"/>
  <c r="C36" i="5"/>
  <c r="D35" i="5"/>
  <c r="H35" i="5" s="1"/>
  <c r="C35" i="5"/>
  <c r="D34" i="5"/>
  <c r="H34" i="5" s="1"/>
  <c r="C34" i="5"/>
  <c r="D33" i="5"/>
  <c r="H33" i="5" s="1"/>
  <c r="C33" i="5"/>
  <c r="D32" i="5"/>
  <c r="C32" i="5"/>
  <c r="D31" i="5"/>
  <c r="H31" i="5" s="1"/>
  <c r="C31" i="5"/>
  <c r="H30" i="5"/>
  <c r="G30" i="5"/>
  <c r="D30" i="5"/>
  <c r="C30" i="5"/>
  <c r="D29" i="5"/>
  <c r="H29" i="5" s="1"/>
  <c r="C29" i="5"/>
  <c r="H28" i="5"/>
  <c r="C28" i="5"/>
  <c r="D27" i="5"/>
  <c r="C27" i="5"/>
  <c r="D26" i="5"/>
  <c r="H26" i="5" s="1"/>
  <c r="C26" i="5"/>
  <c r="D25" i="5"/>
  <c r="H25" i="5" s="1"/>
  <c r="C25" i="5"/>
  <c r="G24" i="5"/>
  <c r="D24" i="5"/>
  <c r="H24" i="5" s="1"/>
  <c r="C24" i="5"/>
  <c r="H23" i="5"/>
  <c r="C23" i="5"/>
  <c r="D22" i="5"/>
  <c r="H22" i="5" s="1"/>
  <c r="C22" i="5"/>
  <c r="D21" i="5"/>
  <c r="H21" i="5" s="1"/>
  <c r="C21" i="5"/>
  <c r="D20" i="5"/>
  <c r="H20" i="5" s="1"/>
  <c r="C20" i="5"/>
  <c r="D19" i="5"/>
  <c r="H19" i="5" s="1"/>
  <c r="C19" i="5"/>
  <c r="D18" i="5"/>
  <c r="H18" i="5" s="1"/>
  <c r="C18" i="5"/>
  <c r="D17" i="5"/>
  <c r="H17" i="5" s="1"/>
  <c r="C17" i="5"/>
  <c r="D16" i="5"/>
  <c r="H16" i="5" s="1"/>
  <c r="C16" i="5"/>
  <c r="D15" i="5"/>
  <c r="C15" i="5"/>
  <c r="D14" i="5"/>
  <c r="H14" i="5" s="1"/>
  <c r="C14" i="5"/>
  <c r="D13" i="5"/>
  <c r="H13" i="5" s="1"/>
  <c r="C13" i="5"/>
  <c r="D12" i="5"/>
  <c r="H12" i="5" s="1"/>
  <c r="C12" i="5"/>
  <c r="H11" i="5"/>
  <c r="C11" i="5"/>
  <c r="D10" i="5"/>
  <c r="H10" i="5" s="1"/>
  <c r="C10" i="5"/>
  <c r="D9" i="5"/>
  <c r="H9" i="5" s="1"/>
  <c r="C9" i="5"/>
  <c r="H8" i="5"/>
  <c r="C8" i="5"/>
  <c r="D7" i="5"/>
  <c r="H7" i="5" s="1"/>
  <c r="C7" i="5"/>
  <c r="H6" i="5"/>
  <c r="C6" i="5"/>
  <c r="D5" i="5"/>
  <c r="C5" i="5"/>
  <c r="D4" i="5"/>
  <c r="H4" i="5" s="1"/>
  <c r="C4" i="5"/>
  <c r="D3" i="5"/>
  <c r="C3" i="5"/>
  <c r="D2" i="5"/>
  <c r="C2" i="5"/>
  <c r="G53" i="5" l="1"/>
  <c r="D53" i="5"/>
  <c r="H2" i="5"/>
  <c r="H53" i="5" s="1"/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2" i="3"/>
  <c r="O52" i="3" l="1"/>
  <c r="O51" i="3"/>
  <c r="D48" i="2" s="1"/>
  <c r="O50" i="3"/>
  <c r="O49" i="3"/>
  <c r="O48" i="3"/>
  <c r="C47" i="3"/>
  <c r="O47" i="3" s="1"/>
  <c r="C46" i="3"/>
  <c r="O46" i="3" s="1"/>
  <c r="C45" i="3"/>
  <c r="O45" i="3" s="1"/>
  <c r="C44" i="3"/>
  <c r="O44" i="3" s="1"/>
  <c r="C43" i="3"/>
  <c r="O43" i="3" s="1"/>
  <c r="C42" i="3"/>
  <c r="O42" i="3" s="1"/>
  <c r="C41" i="3"/>
  <c r="O41" i="3" s="1"/>
  <c r="C40" i="3"/>
  <c r="O40" i="3" s="1"/>
  <c r="C39" i="3"/>
  <c r="O39" i="3" s="1"/>
  <c r="C38" i="3"/>
  <c r="O38" i="3" s="1"/>
  <c r="C37" i="3"/>
  <c r="O37" i="3" s="1"/>
  <c r="C36" i="3"/>
  <c r="O36" i="3" s="1"/>
  <c r="C35" i="3"/>
  <c r="O35" i="3" s="1"/>
  <c r="C34" i="3"/>
  <c r="O34" i="3" s="1"/>
  <c r="C33" i="3"/>
  <c r="O33" i="3" s="1"/>
  <c r="C32" i="3"/>
  <c r="O32" i="3" s="1"/>
  <c r="C30" i="3"/>
  <c r="O30" i="3" s="1"/>
  <c r="C28" i="3"/>
  <c r="O28" i="3" s="1"/>
  <c r="C27" i="3"/>
  <c r="O27" i="3" s="1"/>
  <c r="C26" i="3"/>
  <c r="O26" i="3" s="1"/>
  <c r="C25" i="3"/>
  <c r="O25" i="3" s="1"/>
  <c r="C24" i="3"/>
  <c r="O24" i="3" s="1"/>
  <c r="D47" i="2" s="1"/>
  <c r="C23" i="3"/>
  <c r="O23" i="3" s="1"/>
  <c r="C22" i="3"/>
  <c r="O22" i="3" s="1"/>
  <c r="D46" i="2" s="1"/>
  <c r="C21" i="3"/>
  <c r="O21" i="3" s="1"/>
  <c r="C20" i="3"/>
  <c r="O20" i="3" s="1"/>
  <c r="C19" i="3"/>
  <c r="O19" i="3" s="1"/>
  <c r="C18" i="3"/>
  <c r="O18" i="3" s="1"/>
  <c r="C17" i="3"/>
  <c r="O17" i="3" s="1"/>
  <c r="C16" i="3"/>
  <c r="O16" i="3" s="1"/>
  <c r="C15" i="3"/>
  <c r="O15" i="3" s="1"/>
  <c r="C14" i="3"/>
  <c r="O14" i="3" s="1"/>
  <c r="C13" i="3"/>
  <c r="O13" i="3" s="1"/>
  <c r="C12" i="3"/>
  <c r="O12" i="3" s="1"/>
  <c r="C11" i="3"/>
  <c r="O11" i="3" s="1"/>
  <c r="D45" i="2" s="1"/>
  <c r="C10" i="3"/>
  <c r="O10" i="3" s="1"/>
  <c r="C9" i="3"/>
  <c r="O9" i="3" s="1"/>
  <c r="C8" i="3"/>
  <c r="O8" i="3" s="1"/>
  <c r="C7" i="3"/>
  <c r="O7" i="3" s="1"/>
  <c r="C6" i="3"/>
  <c r="O6" i="3" s="1"/>
  <c r="C5" i="3"/>
  <c r="O5" i="3" s="1"/>
  <c r="C4" i="3"/>
  <c r="O4" i="3" s="1"/>
  <c r="C3" i="3"/>
  <c r="O3" i="3" s="1"/>
  <c r="C2" i="3"/>
  <c r="O2" i="3" s="1"/>
  <c r="D40" i="2" l="1"/>
  <c r="D60" i="2" s="1"/>
  <c r="E4" i="2" l="1"/>
  <c r="G4" i="2" s="1"/>
  <c r="E5" i="2"/>
  <c r="G5" i="2" s="1"/>
  <c r="E6" i="2"/>
  <c r="G6" i="2" s="1"/>
  <c r="E7" i="2"/>
  <c r="G7" i="2" s="1"/>
  <c r="E8" i="2"/>
  <c r="G8" i="2" s="1"/>
  <c r="E9" i="2"/>
  <c r="G9" i="2" s="1"/>
  <c r="E10" i="2"/>
  <c r="G10" i="2" s="1"/>
  <c r="E11" i="2"/>
  <c r="G11" i="2" s="1"/>
  <c r="E12" i="2"/>
  <c r="G12" i="2" s="1"/>
  <c r="E13" i="2"/>
  <c r="G13" i="2" s="1"/>
  <c r="E14" i="2"/>
  <c r="G14" i="2" s="1"/>
  <c r="E15" i="2"/>
  <c r="G15" i="2" s="1"/>
  <c r="E16" i="2"/>
  <c r="E17" i="2"/>
  <c r="G17" i="2" s="1"/>
  <c r="E18" i="2"/>
  <c r="G18" i="2" s="1"/>
  <c r="E19" i="2"/>
  <c r="G19" i="2" s="1"/>
  <c r="E20" i="2"/>
  <c r="G20" i="2" s="1"/>
  <c r="E21" i="2"/>
  <c r="G21" i="2" s="1"/>
  <c r="E22" i="2"/>
  <c r="G22" i="2" s="1"/>
  <c r="E23" i="2"/>
  <c r="G23" i="2" s="1"/>
  <c r="E24" i="2"/>
  <c r="G24" i="2" s="1"/>
  <c r="E25" i="2"/>
  <c r="G25" i="2" s="1"/>
  <c r="E26" i="2"/>
  <c r="G26" i="2" s="1"/>
  <c r="E27" i="2"/>
  <c r="G27" i="2" s="1"/>
  <c r="E28" i="2"/>
  <c r="G28" i="2" s="1"/>
  <c r="E29" i="2"/>
  <c r="G29" i="2" s="1"/>
  <c r="E30" i="2"/>
  <c r="G30" i="2" s="1"/>
  <c r="E31" i="2"/>
  <c r="G31" i="2" s="1"/>
  <c r="E32" i="2"/>
  <c r="G32" i="2" s="1"/>
  <c r="E33" i="2"/>
  <c r="G33" i="2" s="1"/>
  <c r="E34" i="2"/>
  <c r="G34" i="2" s="1"/>
  <c r="E35" i="2"/>
  <c r="G35" i="2" s="1"/>
  <c r="E36" i="2"/>
  <c r="G36" i="2" s="1"/>
  <c r="E37" i="2"/>
  <c r="G37" i="2" s="1"/>
  <c r="E38" i="2"/>
  <c r="G38" i="2" s="1"/>
  <c r="E3" i="2" l="1"/>
  <c r="G3" i="2" l="1"/>
  <c r="G40" i="2" s="1"/>
  <c r="E4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  <author>HP</author>
  </authors>
  <commentList>
    <comment ref="D4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REVERSE DANSLE FONDS FOYER</t>
        </r>
      </text>
    </comment>
    <comment ref="D4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</t>
        </r>
      </text>
    </comment>
    <comment ref="D4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</t>
        </r>
      </text>
    </comment>
    <comment ref="D4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FONDS ASELBY</t>
        </r>
      </text>
    </comment>
    <comment ref="D50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LIQUIDE</t>
        </r>
      </text>
    </comment>
    <comment ref="D51" authorId="1" shapeId="0" xr:uid="{A03CA41D-0B1F-4CB2-82C9-62FE7E2F2E2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LIQUIDE</t>
        </r>
      </text>
    </comment>
    <comment ref="D52" authorId="1" shapeId="0" xr:uid="{AD944C16-48E2-4FBF-84B1-7A0F7253E56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LIQUIDE</t>
        </r>
      </text>
    </comment>
    <comment ref="E53" authorId="0" shapeId="0" xr:uid="{EA12CDCA-DBDB-48A4-9FDB-7B1809D700BC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 REVERSER</t>
        </r>
      </text>
    </comment>
  </commentList>
</comments>
</file>

<file path=xl/sharedStrings.xml><?xml version="1.0" encoding="utf-8"?>
<sst xmlns="http://schemas.openxmlformats.org/spreadsheetml/2006/main" count="241" uniqueCount="95">
  <si>
    <t>MLE</t>
  </si>
  <si>
    <t>NOM ET  PRENOM</t>
  </si>
  <si>
    <t>AS201601</t>
  </si>
  <si>
    <t>AS201602</t>
  </si>
  <si>
    <t>AS201603</t>
  </si>
  <si>
    <t>AS201604</t>
  </si>
  <si>
    <t>AS201605</t>
  </si>
  <si>
    <t>AS201608</t>
  </si>
  <si>
    <t>AS201609</t>
  </si>
  <si>
    <t>AS201610</t>
  </si>
  <si>
    <t>AS201611</t>
  </si>
  <si>
    <t>AS201612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</si>
  <si>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</si>
  <si>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</si>
  <si>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</si>
  <si>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</si>
  <si>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</si>
  <si>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</si>
  <si>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</si>
  <si>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</si>
  <si>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</si>
  <si>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</si>
  <si>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AS201623</t>
  </si>
  <si>
    <t>AS201624</t>
  </si>
  <si>
    <t>AS201625</t>
  </si>
  <si>
    <t>AS201626</t>
  </si>
  <si>
    <t>AS201627</t>
  </si>
  <si>
    <t>AS201628</t>
  </si>
  <si>
    <t>AS201629</t>
  </si>
  <si>
    <t>AS201630</t>
  </si>
  <si>
    <t>AS201631</t>
  </si>
  <si>
    <t>AS201632</t>
  </si>
  <si>
    <t>AS201633</t>
  </si>
  <si>
    <t>AS201634</t>
  </si>
  <si>
    <t>AS201635</t>
  </si>
  <si>
    <t>AS201636</t>
  </si>
  <si>
    <t>AS201637</t>
  </si>
  <si>
    <t>AS201638</t>
  </si>
  <si>
    <t>AS201639</t>
  </si>
  <si>
    <t>AS201640</t>
  </si>
  <si>
    <t>AS201641</t>
  </si>
  <si>
    <t>AS201642</t>
  </si>
  <si>
    <t>AS201643</t>
  </si>
  <si>
    <t>AS201644</t>
  </si>
  <si>
    <t>AS201645</t>
  </si>
  <si>
    <t>AS201646</t>
  </si>
  <si>
    <t>AS201647</t>
  </si>
  <si>
    <t>AS201648</t>
  </si>
  <si>
    <t>TOTAL</t>
  </si>
  <si>
    <t>AS201651</t>
  </si>
  <si>
    <t>AS201652</t>
  </si>
  <si>
    <t>AS201653</t>
  </si>
  <si>
    <t>AS201649</t>
  </si>
  <si>
    <t>AS201650</t>
  </si>
  <si>
    <t>NUMORDRE</t>
  </si>
  <si>
    <t>COMPTE GELE</t>
  </si>
  <si>
    <t>MONTANT AREVERSER</t>
  </si>
  <si>
    <t>AVALISTE</t>
  </si>
  <si>
    <t>FONDS DE CAISSE</t>
  </si>
  <si>
    <t>FOTSO THOMAS</t>
  </si>
  <si>
    <t>ENGAGE</t>
  </si>
  <si>
    <t>DETTE</t>
  </si>
  <si>
    <t>NKAMGANG DEJOLIE</t>
  </si>
  <si>
    <t>TONTINE 30000</t>
  </si>
  <si>
    <t>TCHOUANTE FRANCOIS</t>
  </si>
  <si>
    <t>NDJOMO ETIENNE</t>
  </si>
  <si>
    <t>PAS DE TRACE</t>
  </si>
  <si>
    <t>0K</t>
  </si>
  <si>
    <t>AS201654</t>
  </si>
  <si>
    <t>REMBOURSE</t>
  </si>
  <si>
    <t>PAYE</t>
  </si>
  <si>
    <t>DATE</t>
  </si>
  <si>
    <t>LIBELLE</t>
  </si>
  <si>
    <t>ENTREE</t>
  </si>
  <si>
    <t>SORTIE</t>
  </si>
  <si>
    <t>SOLDE</t>
  </si>
  <si>
    <t>REPORT A NOUVEAU</t>
  </si>
  <si>
    <t>COLLECTE</t>
  </si>
  <si>
    <t>AS201655</t>
  </si>
  <si>
    <t>FONDS 2021</t>
  </si>
  <si>
    <t>OK</t>
  </si>
  <si>
    <t>MATRICULE</t>
  </si>
  <si>
    <t>NOM ET PRENOM</t>
  </si>
  <si>
    <t>AS201656</t>
  </si>
  <si>
    <t>AS201657</t>
  </si>
  <si>
    <t>AS201658</t>
  </si>
  <si>
    <t>EN ATTENTE DE LIQUIDATION</t>
  </si>
  <si>
    <t>RETRAIT PARTIEL</t>
  </si>
  <si>
    <t>TOTAL FONDS</t>
  </si>
  <si>
    <t>AS201660</t>
  </si>
  <si>
    <t>AS201659</t>
  </si>
  <si>
    <t>AS201662</t>
  </si>
  <si>
    <t>AS201661</t>
  </si>
  <si>
    <t>RECONDUCTION</t>
  </si>
  <si>
    <t>AS201663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</si>
</sst>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C]mmm\-yy;@"/>
    <numFmt numFmtId="165" formatCode="#,##0_ ;[Red]\-#,##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stellar"/>
      <family val="1"/>
    </font>
    <font>
      <sz val="14"/>
      <color theme="1"/>
      <name val="Britannic Bold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2" xfId="0" applyBorder="1"/>
    <xf numFmtId="17" fontId="0" fillId="0" borderId="0" xfId="0" applyNumberFormat="1"/>
    <xf numFmtId="3" fontId="0" fillId="0" borderId="0" xfId="0" applyNumberFormat="1"/>
    <xf numFmtId="0" fontId="0" fillId="0" borderId="1" xfId="0" applyNumberFormat="1" applyBorder="1"/>
    <xf numFmtId="0" fontId="0" fillId="0" borderId="5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0" xfId="0" applyNumberFormat="1"/>
    <xf numFmtId="0" fontId="0" fillId="0" borderId="6" xfId="0" applyBorder="1"/>
    <xf numFmtId="0" fontId="0" fillId="0" borderId="7" xfId="0" applyBorder="1"/>
    <xf numFmtId="0" fontId="1" fillId="0" borderId="0" xfId="0" applyFont="1"/>
    <xf numFmtId="0" fontId="0" fillId="0" borderId="4" xfId="0" applyBorder="1"/>
    <xf numFmtId="0" fontId="0" fillId="0" borderId="8" xfId="0" applyBorder="1"/>
    <xf numFmtId="17" fontId="0" fillId="0" borderId="8" xfId="0" applyNumberFormat="1" applyBorder="1"/>
    <xf numFmtId="0" fontId="0" fillId="0" borderId="9" xfId="0" applyBorder="1"/>
    <xf numFmtId="0" fontId="1" fillId="0" borderId="10" xfId="0" applyFont="1" applyBorder="1"/>
    <xf numFmtId="3" fontId="0" fillId="0" borderId="10" xfId="0" applyNumberFormat="1" applyBorder="1"/>
    <xf numFmtId="0" fontId="0" fillId="0" borderId="10" xfId="0" applyBorder="1"/>
    <xf numFmtId="3" fontId="0" fillId="0" borderId="11" xfId="0" applyNumberFormat="1" applyBorder="1"/>
    <xf numFmtId="0" fontId="0" fillId="0" borderId="8" xfId="0" applyNumberFormat="1" applyBorder="1"/>
    <xf numFmtId="0" fontId="0" fillId="0" borderId="10" xfId="0" applyNumberFormat="1" applyBorder="1"/>
    <xf numFmtId="3" fontId="0" fillId="0" borderId="0" xfId="0" applyNumberFormat="1" applyFill="1" applyBorder="1"/>
    <xf numFmtId="0" fontId="2" fillId="0" borderId="4" xfId="0" applyNumberFormat="1" applyFont="1" applyBorder="1"/>
    <xf numFmtId="0" fontId="2" fillId="0" borderId="10" xfId="0" applyNumberFormat="1" applyFont="1" applyBorder="1"/>
    <xf numFmtId="3" fontId="2" fillId="0" borderId="10" xfId="0" applyNumberFormat="1" applyFont="1" applyBorder="1"/>
    <xf numFmtId="3" fontId="2" fillId="0" borderId="0" xfId="0" applyNumberFormat="1" applyFont="1"/>
    <xf numFmtId="3" fontId="2" fillId="0" borderId="11" xfId="0" applyNumberFormat="1" applyFont="1" applyBorder="1"/>
    <xf numFmtId="0" fontId="2" fillId="0" borderId="0" xfId="0" applyFont="1"/>
    <xf numFmtId="3" fontId="3" fillId="0" borderId="0" xfId="0" applyNumberFormat="1" applyFont="1"/>
    <xf numFmtId="3" fontId="2" fillId="0" borderId="0" xfId="0" applyNumberFormat="1" applyFont="1" applyFill="1" applyBorder="1"/>
    <xf numFmtId="0" fontId="2" fillId="0" borderId="4" xfId="0" applyFont="1" applyBorder="1"/>
    <xf numFmtId="0" fontId="2" fillId="0" borderId="10" xfId="0" applyFont="1" applyBorder="1"/>
    <xf numFmtId="0" fontId="0" fillId="0" borderId="11" xfId="0" applyBorder="1"/>
    <xf numFmtId="0" fontId="0" fillId="0" borderId="5" xfId="0" applyNumberFormat="1" applyFill="1" applyBorder="1"/>
    <xf numFmtId="0" fontId="0" fillId="0" borderId="12" xfId="0" applyNumberFormat="1" applyBorder="1"/>
    <xf numFmtId="0" fontId="0" fillId="0" borderId="12" xfId="0" applyBorder="1"/>
    <xf numFmtId="3" fontId="4" fillId="0" borderId="12" xfId="0" applyNumberFormat="1" applyFont="1" applyBorder="1"/>
    <xf numFmtId="3" fontId="4" fillId="0" borderId="13" xfId="0" applyNumberFormat="1" applyFont="1" applyBorder="1"/>
    <xf numFmtId="164" fontId="0" fillId="0" borderId="0" xfId="0" applyNumberFormat="1"/>
    <xf numFmtId="3" fontId="0" fillId="0" borderId="0" xfId="0" applyNumberFormat="1" applyBorder="1"/>
    <xf numFmtId="0" fontId="3" fillId="0" borderId="4" xfId="0" applyNumberFormat="1" applyFont="1" applyBorder="1"/>
    <xf numFmtId="0" fontId="3" fillId="0" borderId="4" xfId="0" applyFont="1" applyBorder="1"/>
    <xf numFmtId="0" fontId="1" fillId="0" borderId="5" xfId="0" applyFont="1" applyBorder="1"/>
    <xf numFmtId="0" fontId="1" fillId="0" borderId="12" xfId="0" applyFont="1" applyBorder="1"/>
    <xf numFmtId="3" fontId="6" fillId="0" borderId="12" xfId="0" applyNumberFormat="1" applyFont="1" applyBorder="1"/>
    <xf numFmtId="3" fontId="1" fillId="0" borderId="11" xfId="0" applyNumberFormat="1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" fillId="0" borderId="14" xfId="0" applyFont="1" applyBorder="1"/>
    <xf numFmtId="0" fontId="1" fillId="0" borderId="4" xfId="0" applyFont="1" applyBorder="1"/>
    <xf numFmtId="0" fontId="1" fillId="0" borderId="3" xfId="0" applyFont="1" applyBorder="1"/>
    <xf numFmtId="0" fontId="1" fillId="0" borderId="8" xfId="0" applyFont="1" applyBorder="1"/>
    <xf numFmtId="3" fontId="5" fillId="0" borderId="9" xfId="0" applyNumberFormat="1" applyFont="1" applyBorder="1"/>
    <xf numFmtId="3" fontId="5" fillId="0" borderId="11" xfId="0" applyNumberFormat="1" applyFont="1" applyBorder="1"/>
    <xf numFmtId="3" fontId="6" fillId="0" borderId="5" xfId="0" applyNumberFormat="1" applyFont="1" applyBorder="1"/>
    <xf numFmtId="3" fontId="6" fillId="0" borderId="13" xfId="0" applyNumberFormat="1" applyFont="1" applyBorder="1"/>
    <xf numFmtId="0" fontId="1" fillId="2" borderId="9" xfId="0" applyFont="1" applyFill="1" applyBorder="1"/>
    <xf numFmtId="3" fontId="1" fillId="0" borderId="10" xfId="0" applyNumberFormat="1" applyFont="1" applyBorder="1"/>
    <xf numFmtId="3" fontId="1" fillId="0" borderId="0" xfId="0" applyNumberFormat="1" applyFont="1" applyBorder="1"/>
    <xf numFmtId="0" fontId="1" fillId="0" borderId="15" xfId="0" applyFont="1" applyBorder="1"/>
    <xf numFmtId="0" fontId="1" fillId="0" borderId="16" xfId="0" applyFont="1" applyBorder="1"/>
    <xf numFmtId="3" fontId="1" fillId="0" borderId="16" xfId="0" applyNumberFormat="1" applyFont="1" applyBorder="1"/>
    <xf numFmtId="0" fontId="0" fillId="0" borderId="17" xfId="0" applyBorder="1"/>
    <xf numFmtId="165" fontId="1" fillId="0" borderId="10" xfId="0" applyNumberFormat="1" applyFont="1" applyBorder="1"/>
    <xf numFmtId="3" fontId="5" fillId="0" borderId="0" xfId="0" applyNumberFormat="1" applyFont="1" applyBorder="1"/>
    <xf numFmtId="3" fontId="6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0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LISTEADHEREN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TRAVAUXFINEXERCICE202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AUTREMOUVEMEN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SELBYTONTINE_2024\ASELBYLISTEADHEREN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3/TRAVAUXFINEXERCICE202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4/TRAVAUXFINEXERCICE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RECAPINT2017"/>
      <sheetName val="TONT20000AOUT2017"/>
      <sheetName val="MVTAOUT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  <sheetName val="TONT20000ANNUELLEBACKUPZ"/>
    </sheetNames>
    <sheetDataSet>
      <sheetData sheetId="0" refreshError="1"/>
      <sheetData sheetId="1" refreshError="1"/>
      <sheetData sheetId="2" refreshError="1">
        <row r="5">
          <cell r="O5">
            <v>0</v>
          </cell>
        </row>
        <row r="6">
          <cell r="O6">
            <v>420000</v>
          </cell>
        </row>
        <row r="7">
          <cell r="O7">
            <v>420000</v>
          </cell>
        </row>
        <row r="8">
          <cell r="O8">
            <v>420000</v>
          </cell>
        </row>
        <row r="9">
          <cell r="O9">
            <v>420000</v>
          </cell>
        </row>
        <row r="10">
          <cell r="O10">
            <v>420000</v>
          </cell>
        </row>
        <row r="13">
          <cell r="O13">
            <v>420000</v>
          </cell>
        </row>
        <row r="14">
          <cell r="O14">
            <v>420000</v>
          </cell>
        </row>
        <row r="15">
          <cell r="O15">
            <v>420000</v>
          </cell>
        </row>
        <row r="16">
          <cell r="O16">
            <v>420000</v>
          </cell>
        </row>
        <row r="17">
          <cell r="O17">
            <v>50000</v>
          </cell>
        </row>
        <row r="18">
          <cell r="O18">
            <v>420000</v>
          </cell>
        </row>
        <row r="19">
          <cell r="O19">
            <v>357000</v>
          </cell>
        </row>
        <row r="20">
          <cell r="O20">
            <v>420000</v>
          </cell>
        </row>
        <row r="21">
          <cell r="O21">
            <v>420000</v>
          </cell>
        </row>
        <row r="22">
          <cell r="O22">
            <v>420000</v>
          </cell>
        </row>
        <row r="23">
          <cell r="O23">
            <v>420000</v>
          </cell>
        </row>
        <row r="24">
          <cell r="O24">
            <v>420000</v>
          </cell>
        </row>
        <row r="25">
          <cell r="O25">
            <v>420000</v>
          </cell>
        </row>
        <row r="26">
          <cell r="O26">
            <v>420000</v>
          </cell>
        </row>
        <row r="27">
          <cell r="O27">
            <v>420000</v>
          </cell>
        </row>
        <row r="28">
          <cell r="O28">
            <v>420000</v>
          </cell>
        </row>
        <row r="29">
          <cell r="O29">
            <v>420000</v>
          </cell>
        </row>
        <row r="30">
          <cell r="O30">
            <v>0</v>
          </cell>
        </row>
        <row r="31">
          <cell r="O31">
            <v>420000</v>
          </cell>
        </row>
        <row r="32">
          <cell r="O32">
            <v>420000</v>
          </cell>
        </row>
        <row r="33">
          <cell r="O33">
            <v>420000</v>
          </cell>
        </row>
        <row r="34">
          <cell r="O34">
            <v>420000</v>
          </cell>
        </row>
        <row r="36">
          <cell r="O36">
            <v>0</v>
          </cell>
        </row>
        <row r="38">
          <cell r="O38">
            <v>420000</v>
          </cell>
        </row>
        <row r="39">
          <cell r="O39">
            <v>420000</v>
          </cell>
        </row>
        <row r="40">
          <cell r="O40">
            <v>390000</v>
          </cell>
        </row>
        <row r="41">
          <cell r="O41">
            <v>420000</v>
          </cell>
        </row>
        <row r="42">
          <cell r="O42">
            <v>420000</v>
          </cell>
        </row>
        <row r="43">
          <cell r="O43">
            <v>420000</v>
          </cell>
        </row>
        <row r="44">
          <cell r="O44">
            <v>390000</v>
          </cell>
        </row>
        <row r="45">
          <cell r="O45">
            <v>20000</v>
          </cell>
        </row>
        <row r="46">
          <cell r="O46">
            <v>420000</v>
          </cell>
        </row>
        <row r="47">
          <cell r="O47">
            <v>403819</v>
          </cell>
        </row>
        <row r="48">
          <cell r="O48">
            <v>0</v>
          </cell>
        </row>
        <row r="49">
          <cell r="O49">
            <v>420000</v>
          </cell>
        </row>
        <row r="50">
          <cell r="O50">
            <v>420000</v>
          </cell>
        </row>
        <row r="51">
          <cell r="O51">
            <v>420000</v>
          </cell>
        </row>
        <row r="52">
          <cell r="O52">
            <v>420000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reception"/>
      <sheetName val="LISTADHERENTTRIRECEPT"/>
      <sheetName val="LISTADHERENT (4)"/>
      <sheetName val="LISTADHERENTRECEPTION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F5">
            <v>655592631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F6">
            <v>699984782</v>
          </cell>
          <cell r="H6" t="str">
            <v>EMANA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F7">
            <v>677986676</v>
          </cell>
          <cell r="H7" t="str">
            <v>RUE MANGUIERS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F8">
            <v>675250451</v>
          </cell>
          <cell r="H8" t="str">
            <v>RUE MANGUIERS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F9">
            <v>677501239</v>
          </cell>
          <cell r="G9">
            <v>699324095</v>
          </cell>
          <cell r="H9" t="str">
            <v>MESSASSI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F10">
            <v>699908065</v>
          </cell>
          <cell r="H10" t="str">
            <v>TONGOLO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F11">
            <v>694468080</v>
          </cell>
          <cell r="H11" t="str">
            <v>MESSASSI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F12">
            <v>699956355</v>
          </cell>
          <cell r="H12" t="str">
            <v>DAMAS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F13">
            <v>675836725</v>
          </cell>
          <cell r="H13" t="str">
            <v>DAMAS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F14">
            <v>677735778</v>
          </cell>
          <cell r="H14" t="str">
            <v>SANTA BARBARA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F16">
            <v>693055118</v>
          </cell>
          <cell r="H16" t="str">
            <v>DAMAS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F17">
            <v>677553702</v>
          </cell>
          <cell r="H17" t="str">
            <v>MONTEE JOUVENCE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F18">
            <v>675249207</v>
          </cell>
          <cell r="H18" t="str">
            <v>CITE VERTE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F19">
            <v>677068360</v>
          </cell>
          <cell r="H19" t="str">
            <v>MONATELE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F20">
            <v>676659191</v>
          </cell>
          <cell r="H20" t="str">
            <v>MENDONG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F21">
            <v>699995086</v>
          </cell>
          <cell r="H21" t="str">
            <v>EBOGO 1(SOA)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F22">
            <v>677546060</v>
          </cell>
          <cell r="H22" t="str">
            <v>OYOMABANG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F23">
            <v>677648306</v>
          </cell>
          <cell r="H23" t="str">
            <v>RUE MANGUIERS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F24">
            <v>699778906</v>
          </cell>
          <cell r="H24" t="str">
            <v>MENDONG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F25">
            <v>677775940</v>
          </cell>
          <cell r="H25" t="str">
            <v>NKOL FOULOU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F26">
            <v>699663416</v>
          </cell>
          <cell r="H26" t="str">
            <v>MENDONG (NKOLZIE)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F27">
            <v>677547311</v>
          </cell>
          <cell r="H27" t="str">
            <v>MENDONG (GUINNESS)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F29">
            <v>694452000</v>
          </cell>
          <cell r="H29" t="str">
            <v xml:space="preserve">NSIMEYONG 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F30">
            <v>677911165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F34">
            <v>696585118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F35">
            <v>696585018</v>
          </cell>
        </row>
        <row r="36">
          <cell r="A36" t="str">
            <v>AS201629</v>
          </cell>
          <cell r="B36">
            <v>32</v>
          </cell>
          <cell r="C36" t="str">
            <v>SIMO FONGANG ERIC</v>
          </cell>
        </row>
        <row r="37">
          <cell r="A37" t="str">
            <v>AS201659</v>
          </cell>
          <cell r="B37">
            <v>33</v>
          </cell>
          <cell r="C37" t="str">
            <v>YIALA ALAIN OSCAR</v>
          </cell>
        </row>
        <row r="38">
          <cell r="A38" t="str">
            <v>AS201660</v>
          </cell>
          <cell r="B38">
            <v>34</v>
          </cell>
          <cell r="C38" t="str">
            <v>TCHOUATEU AUGUSTIN</v>
          </cell>
        </row>
        <row r="39">
          <cell r="A39" t="str">
            <v>AS201661</v>
          </cell>
          <cell r="B39">
            <v>35</v>
          </cell>
          <cell r="C39" t="str">
            <v>MASSEUNGOUE DAGOBERT</v>
          </cell>
        </row>
        <row r="40">
          <cell r="A40" t="str">
            <v>AS201662</v>
          </cell>
          <cell r="B40">
            <v>36</v>
          </cell>
          <cell r="C40" t="str">
            <v>TIEYAM ERNEST</v>
          </cell>
          <cell r="D40" t="str">
            <v>INGENIEUR ELECTRONICIEN</v>
          </cell>
          <cell r="F40">
            <v>677508603</v>
          </cell>
          <cell r="H40" t="str">
            <v>BASTOS</v>
          </cell>
        </row>
        <row r="41">
          <cell r="A41" t="str">
            <v>AS201663</v>
          </cell>
          <cell r="B41">
            <v>37</v>
          </cell>
          <cell r="C41" t="str">
            <v>FAMPOU PAUL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BILAN 2017"/>
      <sheetName val="BILAN 2022"/>
      <sheetName val="BILAN 2024"/>
      <sheetName val="ENTREE"/>
      <sheetName val="SORTIE"/>
      <sheetName val="SYNTHESECOMPTE"/>
      <sheetName val="DETAILFICHECASSATION"/>
      <sheetName val="DISPOFONDS"/>
      <sheetName val="DETAILFPNDSROULT"/>
      <sheetName val="DETAILFRAISEXCEPTIONNEL"/>
      <sheetName val="DETAILCOLLATION"/>
      <sheetName val="DETAILFONDSMUTUEL"/>
      <sheetName val="DETAILPENALITES"/>
      <sheetName val="DETAILFOYER"/>
      <sheetName val="DETAIL PRETENCIRCULATION"/>
      <sheetName val="DETAILLISTEROUGE"/>
      <sheetName val="DETAILINSCRIPTION"/>
      <sheetName val="DETAIL INTERETTONTINE"/>
      <sheetName val="DETAILAGIOS"/>
      <sheetName val="DETAILAUTREDEPENSE"/>
      <sheetName val="DETAIL PRETENCIRCULATION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886523.25892224163</v>
          </cell>
          <cell r="E6">
            <v>74148.368569555823</v>
          </cell>
          <cell r="F6">
            <v>62000</v>
          </cell>
          <cell r="I6">
            <v>1022671.6274917974</v>
          </cell>
          <cell r="J6">
            <v>0</v>
          </cell>
          <cell r="N6">
            <v>0</v>
          </cell>
          <cell r="O6">
            <v>1022671.6274917974</v>
          </cell>
          <cell r="Q6">
            <v>1023134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1356964</v>
          </cell>
          <cell r="E7">
            <v>17268.351515034443</v>
          </cell>
          <cell r="F7">
            <v>236000</v>
          </cell>
          <cell r="I7">
            <v>1610232.3515150344</v>
          </cell>
          <cell r="J7">
            <v>0</v>
          </cell>
          <cell r="K7">
            <v>20000</v>
          </cell>
          <cell r="L7">
            <v>100000</v>
          </cell>
          <cell r="N7">
            <v>120000</v>
          </cell>
          <cell r="O7">
            <v>1490232.3515150344</v>
          </cell>
          <cell r="P7">
            <v>793000</v>
          </cell>
          <cell r="Q7">
            <v>18598</v>
          </cell>
          <cell r="R7">
            <v>800000</v>
          </cell>
        </row>
        <row r="8">
          <cell r="A8" t="str">
            <v>AS201602</v>
          </cell>
          <cell r="B8" t="str">
            <v>BOUTCHOUANG WILLIAM</v>
          </cell>
          <cell r="C8">
            <v>700000</v>
          </cell>
          <cell r="D8">
            <v>33.12626320522395</v>
          </cell>
          <cell r="E8">
            <v>61331.963427137409</v>
          </cell>
          <cell r="F8">
            <v>225000</v>
          </cell>
          <cell r="I8">
            <v>286365.08969034266</v>
          </cell>
          <cell r="J8">
            <v>0</v>
          </cell>
          <cell r="K8">
            <v>20000</v>
          </cell>
          <cell r="L8">
            <v>100000</v>
          </cell>
          <cell r="N8">
            <v>120000</v>
          </cell>
          <cell r="O8">
            <v>166365.08969034266</v>
          </cell>
          <cell r="P8">
            <v>34625</v>
          </cell>
          <cell r="Q8">
            <v>132669</v>
          </cell>
          <cell r="R8">
            <v>800000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700000</v>
          </cell>
          <cell r="D9">
            <v>53357.826243040035</v>
          </cell>
          <cell r="E9">
            <v>65782.523231943604</v>
          </cell>
          <cell r="F9">
            <v>220500</v>
          </cell>
          <cell r="I9">
            <v>339640.34947498364</v>
          </cell>
          <cell r="J9">
            <v>0</v>
          </cell>
          <cell r="K9">
            <v>20000</v>
          </cell>
          <cell r="L9">
            <v>100000</v>
          </cell>
          <cell r="N9">
            <v>120000</v>
          </cell>
          <cell r="O9">
            <v>219640.34947498364</v>
          </cell>
          <cell r="P9">
            <v>214000</v>
          </cell>
          <cell r="Q9">
            <v>6643</v>
          </cell>
          <cell r="R9">
            <v>800000</v>
          </cell>
        </row>
        <row r="10">
          <cell r="A10" t="str">
            <v>AS201654</v>
          </cell>
          <cell r="B10" t="str">
            <v>DJOMOU TCHAPDA</v>
          </cell>
          <cell r="C10">
            <v>700000</v>
          </cell>
          <cell r="D10">
            <v>294.67929590542917</v>
          </cell>
          <cell r="E10">
            <v>61289.02894615112</v>
          </cell>
          <cell r="F10">
            <v>221500</v>
          </cell>
          <cell r="I10">
            <v>283083.70824205654</v>
          </cell>
          <cell r="J10">
            <v>0</v>
          </cell>
          <cell r="K10">
            <v>20000</v>
          </cell>
          <cell r="L10">
            <v>100000</v>
          </cell>
          <cell r="N10">
            <v>120000</v>
          </cell>
          <cell r="O10">
            <v>163083.70824205654</v>
          </cell>
          <cell r="P10">
            <v>156768</v>
          </cell>
          <cell r="Q10">
            <v>7246</v>
          </cell>
          <cell r="R10">
            <v>800000</v>
          </cell>
        </row>
        <row r="11">
          <cell r="A11" t="str">
            <v>AS201605</v>
          </cell>
          <cell r="B11" t="str">
            <v>DJOUKWE NANGUEN GUY BLAISE</v>
          </cell>
          <cell r="C11">
            <v>700000</v>
          </cell>
          <cell r="D11">
            <v>2196.7678974067676</v>
          </cell>
          <cell r="E11">
            <v>61907.328059099258</v>
          </cell>
          <cell r="F11">
            <v>251000</v>
          </cell>
          <cell r="I11">
            <v>315104.09595650603</v>
          </cell>
          <cell r="J11">
            <v>0</v>
          </cell>
          <cell r="K11">
            <v>20000</v>
          </cell>
          <cell r="L11">
            <v>100000</v>
          </cell>
          <cell r="N11">
            <v>120000</v>
          </cell>
          <cell r="O11">
            <v>195104.09595650603</v>
          </cell>
          <cell r="P11">
            <v>190000</v>
          </cell>
          <cell r="Q11">
            <v>6032</v>
          </cell>
          <cell r="R11">
            <v>800000</v>
          </cell>
        </row>
        <row r="12">
          <cell r="A12" t="str">
            <v>AS201608</v>
          </cell>
          <cell r="B12" t="str">
            <v>DJUOMBESSY ANTOINE</v>
          </cell>
          <cell r="C12">
            <v>700000</v>
          </cell>
          <cell r="D12">
            <v>14513.277451620379</v>
          </cell>
          <cell r="E12">
            <v>63433.589305372217</v>
          </cell>
          <cell r="F12">
            <v>295600</v>
          </cell>
          <cell r="I12">
            <v>373546.86675699259</v>
          </cell>
          <cell r="J12">
            <v>0</v>
          </cell>
          <cell r="K12">
            <v>20000</v>
          </cell>
          <cell r="L12">
            <v>100000</v>
          </cell>
          <cell r="N12">
            <v>120000</v>
          </cell>
          <cell r="O12">
            <v>253546.86675699259</v>
          </cell>
          <cell r="P12">
            <v>240000</v>
          </cell>
          <cell r="Q12">
            <v>14486</v>
          </cell>
          <cell r="R12">
            <v>800000</v>
          </cell>
        </row>
        <row r="13">
          <cell r="A13" t="str">
            <v>AS201651</v>
          </cell>
          <cell r="B13" t="str">
            <v>DOMOU FABIEN</v>
          </cell>
          <cell r="C13">
            <v>700000</v>
          </cell>
          <cell r="D13">
            <v>41.235805909789633</v>
          </cell>
          <cell r="E13">
            <v>61395.794677496764</v>
          </cell>
          <cell r="F13">
            <v>228000</v>
          </cell>
          <cell r="I13">
            <v>289437.03048340656</v>
          </cell>
          <cell r="J13">
            <v>0</v>
          </cell>
          <cell r="K13">
            <v>20000</v>
          </cell>
          <cell r="L13">
            <v>100000</v>
          </cell>
          <cell r="N13">
            <v>120000</v>
          </cell>
          <cell r="O13">
            <v>169437.03048340656</v>
          </cell>
          <cell r="P13">
            <v>164000</v>
          </cell>
          <cell r="Q13">
            <v>6365</v>
          </cell>
          <cell r="R13">
            <v>800000</v>
          </cell>
        </row>
        <row r="14">
          <cell r="A14" t="str">
            <v>AS201609</v>
          </cell>
          <cell r="B14" t="str">
            <v>DONHOU DAVID</v>
          </cell>
          <cell r="C14">
            <v>700000</v>
          </cell>
          <cell r="D14">
            <v>518031.2910165739</v>
          </cell>
          <cell r="E14">
            <v>104720.22767186417</v>
          </cell>
          <cell r="F14">
            <v>228000</v>
          </cell>
          <cell r="I14">
            <v>850751.51868843811</v>
          </cell>
          <cell r="J14">
            <v>0</v>
          </cell>
          <cell r="K14">
            <v>20000</v>
          </cell>
          <cell r="L14">
            <v>100000</v>
          </cell>
          <cell r="N14">
            <v>120000</v>
          </cell>
          <cell r="O14">
            <v>730751.51868843811</v>
          </cell>
          <cell r="P14">
            <v>30000</v>
          </cell>
          <cell r="Q14">
            <v>702391</v>
          </cell>
          <cell r="R14">
            <v>800000</v>
          </cell>
        </row>
        <row r="15">
          <cell r="A15" t="str">
            <v>AS201611</v>
          </cell>
          <cell r="B15" t="str">
            <v>HENGUE PAUL OMER</v>
          </cell>
          <cell r="C15">
            <v>700000</v>
          </cell>
          <cell r="D15">
            <v>57899.603500921949</v>
          </cell>
          <cell r="E15">
            <v>66235.0400436005</v>
          </cell>
          <cell r="F15">
            <v>228000</v>
          </cell>
          <cell r="I15">
            <v>352134.64354452246</v>
          </cell>
          <cell r="J15">
            <v>0</v>
          </cell>
          <cell r="K15">
            <v>20000</v>
          </cell>
          <cell r="L15">
            <v>100000</v>
          </cell>
          <cell r="N15">
            <v>120000</v>
          </cell>
          <cell r="O15">
            <v>232134.64354452246</v>
          </cell>
          <cell r="P15">
            <v>226000</v>
          </cell>
          <cell r="Q15">
            <v>7143</v>
          </cell>
          <cell r="R15">
            <v>800000</v>
          </cell>
        </row>
        <row r="16">
          <cell r="A16" t="str">
            <v>AS201613</v>
          </cell>
          <cell r="B16" t="str">
            <v>HOTCHO BENJAMIN</v>
          </cell>
          <cell r="C16">
            <v>700000</v>
          </cell>
          <cell r="D16">
            <v>29661.208104101592</v>
          </cell>
          <cell r="E16">
            <v>68725.52890901413</v>
          </cell>
          <cell r="F16">
            <v>587000</v>
          </cell>
          <cell r="I16">
            <v>685386.73701311578</v>
          </cell>
          <cell r="J16">
            <v>0</v>
          </cell>
          <cell r="K16">
            <v>20000</v>
          </cell>
          <cell r="L16">
            <v>100000</v>
          </cell>
          <cell r="N16">
            <v>120000</v>
          </cell>
          <cell r="O16">
            <v>565386.73701311578</v>
          </cell>
          <cell r="P16">
            <v>60000</v>
          </cell>
          <cell r="Q16">
            <v>6301</v>
          </cell>
          <cell r="R16">
            <v>800000</v>
          </cell>
        </row>
        <row r="17">
          <cell r="A17" t="str">
            <v>AS201617</v>
          </cell>
          <cell r="B17" t="str">
            <v>KOUAMOU MOISE</v>
          </cell>
          <cell r="C17">
            <v>700000</v>
          </cell>
          <cell r="D17">
            <v>9267.5051528789336</v>
          </cell>
          <cell r="E17">
            <v>62143.617657746596</v>
          </cell>
          <cell r="F17">
            <v>224000</v>
          </cell>
          <cell r="I17">
            <v>295411.12281062553</v>
          </cell>
          <cell r="J17">
            <v>0</v>
          </cell>
          <cell r="K17">
            <v>20000</v>
          </cell>
          <cell r="L17">
            <v>100000</v>
          </cell>
          <cell r="N17">
            <v>120000</v>
          </cell>
          <cell r="O17">
            <v>175411.12281062553</v>
          </cell>
          <cell r="P17">
            <v>170000</v>
          </cell>
          <cell r="Q17">
            <v>6353</v>
          </cell>
          <cell r="R17">
            <v>800000</v>
          </cell>
        </row>
        <row r="18">
          <cell r="A18" t="str">
            <v>AS201619</v>
          </cell>
          <cell r="B18" t="str">
            <v>KOUATCHO MESSACK</v>
          </cell>
          <cell r="C18">
            <v>700000</v>
          </cell>
          <cell r="D18">
            <v>24428.628065245139</v>
          </cell>
          <cell r="E18">
            <v>64564.757324560269</v>
          </cell>
          <cell r="F18">
            <v>320000</v>
          </cell>
          <cell r="I18">
            <v>408993.38538980542</v>
          </cell>
          <cell r="J18">
            <v>0</v>
          </cell>
          <cell r="K18">
            <v>20000</v>
          </cell>
          <cell r="L18">
            <v>100000</v>
          </cell>
          <cell r="N18">
            <v>120000</v>
          </cell>
          <cell r="O18">
            <v>288993.38538980542</v>
          </cell>
          <cell r="Q18">
            <v>9944</v>
          </cell>
          <cell r="R18">
            <v>800000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676217</v>
          </cell>
          <cell r="E19">
            <v>0</v>
          </cell>
          <cell r="F19">
            <v>0</v>
          </cell>
          <cell r="I19">
            <v>676217</v>
          </cell>
          <cell r="J19">
            <v>0</v>
          </cell>
          <cell r="N19">
            <v>0</v>
          </cell>
          <cell r="O19">
            <v>676217</v>
          </cell>
          <cell r="Q19">
            <v>676217</v>
          </cell>
          <cell r="R19">
            <v>0</v>
          </cell>
        </row>
        <row r="20">
          <cell r="A20" t="str">
            <v>AS201661</v>
          </cell>
          <cell r="B20" t="str">
            <v>MASSEUNGOUE DAGOBERT</v>
          </cell>
          <cell r="C20">
            <v>0</v>
          </cell>
          <cell r="D20">
            <v>0</v>
          </cell>
          <cell r="E20">
            <v>0</v>
          </cell>
          <cell r="F20">
            <v>525500</v>
          </cell>
          <cell r="I20">
            <v>525500</v>
          </cell>
          <cell r="J20">
            <v>0</v>
          </cell>
          <cell r="K20">
            <v>120000</v>
          </cell>
          <cell r="N20">
            <v>120000</v>
          </cell>
          <cell r="O20">
            <v>405500</v>
          </cell>
          <cell r="P20">
            <v>206875</v>
          </cell>
          <cell r="Q20">
            <v>198625</v>
          </cell>
          <cell r="R20">
            <v>0</v>
          </cell>
        </row>
        <row r="21">
          <cell r="A21" t="str">
            <v>AS201649</v>
          </cell>
          <cell r="B21" t="str">
            <v>MBOGNING TUGMA GUY</v>
          </cell>
          <cell r="C21">
            <v>700000</v>
          </cell>
          <cell r="D21">
            <v>31709.397241182596</v>
          </cell>
          <cell r="E21">
            <v>64019.634626899009</v>
          </cell>
          <cell r="F21">
            <v>226500</v>
          </cell>
          <cell r="I21">
            <v>322229.0318680816</v>
          </cell>
          <cell r="J21">
            <v>0</v>
          </cell>
          <cell r="K21">
            <v>20000</v>
          </cell>
          <cell r="L21">
            <v>100000</v>
          </cell>
          <cell r="N21">
            <v>120000</v>
          </cell>
          <cell r="O21">
            <v>202229.0318680816</v>
          </cell>
          <cell r="P21">
            <v>194700</v>
          </cell>
          <cell r="Q21">
            <v>8501</v>
          </cell>
          <cell r="R21">
            <v>800000</v>
          </cell>
        </row>
        <row r="22">
          <cell r="A22" t="str">
            <v>AS201639</v>
          </cell>
          <cell r="B22" t="str">
            <v>NANGUEN MARTIN</v>
          </cell>
          <cell r="C22">
            <v>700000</v>
          </cell>
          <cell r="D22">
            <v>1150.3620808817795</v>
          </cell>
          <cell r="E22">
            <v>61488.56145264802</v>
          </cell>
          <cell r="F22">
            <v>228000</v>
          </cell>
          <cell r="I22">
            <v>290638.9235335298</v>
          </cell>
          <cell r="J22">
            <v>0</v>
          </cell>
          <cell r="K22">
            <v>20000</v>
          </cell>
          <cell r="L22">
            <v>100000</v>
          </cell>
          <cell r="N22">
            <v>120000</v>
          </cell>
          <cell r="O22">
            <v>170638.9235335298</v>
          </cell>
          <cell r="P22">
            <v>163750</v>
          </cell>
          <cell r="Q22">
            <v>7819</v>
          </cell>
          <cell r="R22">
            <v>800000</v>
          </cell>
        </row>
        <row r="23">
          <cell r="A23" t="str">
            <v>AS201621</v>
          </cell>
          <cell r="B23" t="str">
            <v>NANKAM APPOLINAIRE</v>
          </cell>
          <cell r="C23">
            <v>700000</v>
          </cell>
          <cell r="D23">
            <v>100402.23439018801</v>
          </cell>
          <cell r="E23">
            <v>69789.939149332262</v>
          </cell>
          <cell r="F23">
            <v>228000</v>
          </cell>
          <cell r="I23">
            <v>398192.17353952024</v>
          </cell>
          <cell r="J23">
            <v>0</v>
          </cell>
          <cell r="K23">
            <v>20000</v>
          </cell>
          <cell r="L23">
            <v>100000</v>
          </cell>
          <cell r="N23">
            <v>120000</v>
          </cell>
          <cell r="O23">
            <v>278192.17353952024</v>
          </cell>
          <cell r="P23">
            <v>30000</v>
          </cell>
          <cell r="Q23">
            <v>249258</v>
          </cell>
          <cell r="R23">
            <v>800000</v>
          </cell>
        </row>
        <row r="24">
          <cell r="A24" t="str">
            <v>AS201622</v>
          </cell>
          <cell r="B24" t="str">
            <v>NDJOMO ETIENNE</v>
          </cell>
          <cell r="C24">
            <v>700000</v>
          </cell>
          <cell r="D24">
            <v>224970.61781197961</v>
          </cell>
          <cell r="E24">
            <v>81969.599284953001</v>
          </cell>
          <cell r="F24">
            <v>368000</v>
          </cell>
          <cell r="I24">
            <v>674940.21709693258</v>
          </cell>
          <cell r="J24">
            <v>0</v>
          </cell>
          <cell r="K24">
            <v>20000</v>
          </cell>
          <cell r="L24">
            <v>100000</v>
          </cell>
          <cell r="N24">
            <v>120000</v>
          </cell>
          <cell r="O24">
            <v>554940.21709693258</v>
          </cell>
          <cell r="P24">
            <v>300000</v>
          </cell>
          <cell r="Q24">
            <v>256158</v>
          </cell>
          <cell r="R24">
            <v>800000</v>
          </cell>
        </row>
        <row r="25">
          <cell r="A25" t="str">
            <v>AS201624</v>
          </cell>
          <cell r="B25" t="str">
            <v>NGONDIEP CLAUDE</v>
          </cell>
          <cell r="C25">
            <v>700000</v>
          </cell>
          <cell r="D25">
            <v>57632.732271146844</v>
          </cell>
          <cell r="E25">
            <v>68236.402453996707</v>
          </cell>
          <cell r="F25">
            <v>393000</v>
          </cell>
          <cell r="I25">
            <v>518869.13472514355</v>
          </cell>
          <cell r="J25">
            <v>0</v>
          </cell>
          <cell r="K25">
            <v>20000</v>
          </cell>
          <cell r="L25">
            <v>100000</v>
          </cell>
          <cell r="N25">
            <v>120000</v>
          </cell>
          <cell r="O25">
            <v>398869.13472514355</v>
          </cell>
          <cell r="Q25">
            <v>353356</v>
          </cell>
          <cell r="R25">
            <v>800000</v>
          </cell>
        </row>
        <row r="26">
          <cell r="A26" t="str">
            <v>AS201626</v>
          </cell>
          <cell r="B26" t="str">
            <v>NGUIEMEGNI MATHIEU BLAISE</v>
          </cell>
          <cell r="C26">
            <v>700000</v>
          </cell>
          <cell r="D26">
            <v>20382.784231808502</v>
          </cell>
          <cell r="E26">
            <v>63080.198374743843</v>
          </cell>
          <cell r="F26">
            <v>220500</v>
          </cell>
          <cell r="I26">
            <v>303962.98260655231</v>
          </cell>
          <cell r="J26">
            <v>0</v>
          </cell>
          <cell r="K26">
            <v>20000</v>
          </cell>
          <cell r="L26">
            <v>100000</v>
          </cell>
          <cell r="N26">
            <v>120000</v>
          </cell>
          <cell r="O26">
            <v>183962.98260655231</v>
          </cell>
          <cell r="P26">
            <v>175745</v>
          </cell>
          <cell r="Q26">
            <v>9175</v>
          </cell>
          <cell r="R26">
            <v>800000</v>
          </cell>
        </row>
        <row r="27">
          <cell r="A27" t="str">
            <v>AS201628</v>
          </cell>
          <cell r="B27" t="str">
            <v>NKAMGANG JUSTIN DEJOLIE</v>
          </cell>
          <cell r="C27">
            <v>700000</v>
          </cell>
          <cell r="D27">
            <v>19031.484583758342</v>
          </cell>
          <cell r="E27">
            <v>62995.891948801094</v>
          </cell>
          <cell r="F27">
            <v>229500</v>
          </cell>
          <cell r="I27">
            <v>311527.3765325594</v>
          </cell>
          <cell r="J27">
            <v>0</v>
          </cell>
          <cell r="K27">
            <v>20000</v>
          </cell>
          <cell r="L27">
            <v>100000</v>
          </cell>
          <cell r="N27">
            <v>120000</v>
          </cell>
          <cell r="O27">
            <v>191527.3765325594</v>
          </cell>
          <cell r="P27">
            <v>185000</v>
          </cell>
          <cell r="Q27">
            <v>10531</v>
          </cell>
          <cell r="R27">
            <v>800000</v>
          </cell>
        </row>
        <row r="28">
          <cell r="A28" t="str">
            <v>AS201656</v>
          </cell>
          <cell r="B28" t="str">
            <v>NOUBE ETIENNE</v>
          </cell>
          <cell r="C28">
            <v>0</v>
          </cell>
          <cell r="D28">
            <v>1332038</v>
          </cell>
          <cell r="E28">
            <v>16720.148215058223</v>
          </cell>
          <cell r="F28">
            <v>228000</v>
          </cell>
          <cell r="I28">
            <v>1576758.1482150583</v>
          </cell>
          <cell r="J28">
            <v>0</v>
          </cell>
          <cell r="K28">
            <v>20000</v>
          </cell>
          <cell r="L28">
            <v>133981</v>
          </cell>
          <cell r="N28">
            <v>153981</v>
          </cell>
          <cell r="O28">
            <v>1422777.1482150583</v>
          </cell>
          <cell r="P28">
            <v>100000</v>
          </cell>
          <cell r="Q28">
            <v>-17159</v>
          </cell>
          <cell r="R28">
            <v>800000</v>
          </cell>
        </row>
        <row r="29">
          <cell r="A29" t="str">
            <v>AS201633</v>
          </cell>
          <cell r="B29" t="str">
            <v>PATEGO NJOSSU GUSTAVE</v>
          </cell>
          <cell r="C29">
            <v>700000</v>
          </cell>
          <cell r="D29">
            <v>43697.666300758487</v>
          </cell>
          <cell r="E29">
            <v>65157.656178854231</v>
          </cell>
          <cell r="F29">
            <v>255000</v>
          </cell>
          <cell r="I29">
            <v>363855.32247961272</v>
          </cell>
          <cell r="J29">
            <v>0</v>
          </cell>
          <cell r="K29">
            <v>20000</v>
          </cell>
          <cell r="L29">
            <v>100000</v>
          </cell>
          <cell r="N29">
            <v>120000</v>
          </cell>
          <cell r="O29">
            <v>243855.32247961272</v>
          </cell>
          <cell r="P29">
            <v>11500</v>
          </cell>
          <cell r="Q29">
            <v>133342</v>
          </cell>
          <cell r="R29">
            <v>800000</v>
          </cell>
        </row>
        <row r="30">
          <cell r="A30" t="str">
            <v>AS201657</v>
          </cell>
          <cell r="B30" t="str">
            <v>SEUMO POLYCARPE</v>
          </cell>
          <cell r="C30">
            <v>0</v>
          </cell>
          <cell r="D30">
            <v>245500</v>
          </cell>
          <cell r="E30">
            <v>17373.219200614534</v>
          </cell>
          <cell r="F30">
            <v>685500</v>
          </cell>
          <cell r="I30">
            <v>948373.21920061461</v>
          </cell>
          <cell r="J30">
            <v>0</v>
          </cell>
          <cell r="K30">
            <v>20000</v>
          </cell>
          <cell r="L30">
            <v>800000</v>
          </cell>
          <cell r="N30">
            <v>820000</v>
          </cell>
          <cell r="O30">
            <v>128373.21920061461</v>
          </cell>
          <cell r="P30">
            <v>152500</v>
          </cell>
          <cell r="Q30">
            <v>-9977</v>
          </cell>
          <cell r="R30">
            <v>800000</v>
          </cell>
        </row>
        <row r="31">
          <cell r="A31" t="str">
            <v>AS201653</v>
          </cell>
          <cell r="B31" t="str">
            <v>SIME BRICE</v>
          </cell>
          <cell r="C31">
            <v>700000</v>
          </cell>
          <cell r="D31">
            <v>104364.15055016428</v>
          </cell>
          <cell r="E31">
            <v>70150.657823061978</v>
          </cell>
          <cell r="F31">
            <v>231000</v>
          </cell>
          <cell r="I31">
            <v>405514.80837322626</v>
          </cell>
          <cell r="J31">
            <v>0</v>
          </cell>
          <cell r="K31">
            <v>20000</v>
          </cell>
          <cell r="L31">
            <v>100000</v>
          </cell>
          <cell r="N31">
            <v>120000</v>
          </cell>
          <cell r="O31">
            <v>285514.80837322626</v>
          </cell>
          <cell r="P31">
            <v>207480</v>
          </cell>
          <cell r="Q31">
            <v>79106</v>
          </cell>
          <cell r="R31">
            <v>800000</v>
          </cell>
        </row>
        <row r="32">
          <cell r="A32" t="str">
            <v>AS201638</v>
          </cell>
          <cell r="B32" t="str">
            <v>SIMO PIERRE</v>
          </cell>
          <cell r="C32">
            <v>700000</v>
          </cell>
          <cell r="D32">
            <v>686.61218299972825</v>
          </cell>
          <cell r="E32">
            <v>61449.773639687468</v>
          </cell>
          <cell r="F32">
            <v>228000</v>
          </cell>
          <cell r="I32">
            <v>290136.38582268718</v>
          </cell>
          <cell r="J32">
            <v>0</v>
          </cell>
          <cell r="K32">
            <v>20000</v>
          </cell>
          <cell r="L32">
            <v>100000</v>
          </cell>
          <cell r="N32">
            <v>120000</v>
          </cell>
          <cell r="O32">
            <v>170136.38582268718</v>
          </cell>
          <cell r="P32">
            <v>24375</v>
          </cell>
          <cell r="Q32">
            <v>46691</v>
          </cell>
          <cell r="R32">
            <v>800000</v>
          </cell>
        </row>
        <row r="33">
          <cell r="A33" t="str">
            <v>AS201641</v>
          </cell>
          <cell r="B33" t="str">
            <v>TCHOUAMOU MATHIEU</v>
          </cell>
          <cell r="C33">
            <v>700000</v>
          </cell>
          <cell r="D33">
            <v>975.80620651689242</v>
          </cell>
          <cell r="E33">
            <v>71255.947758649185</v>
          </cell>
          <cell r="F33">
            <v>1228000</v>
          </cell>
          <cell r="I33">
            <v>1300231.7539651662</v>
          </cell>
          <cell r="J33">
            <v>0</v>
          </cell>
          <cell r="K33">
            <v>20000</v>
          </cell>
          <cell r="L33">
            <v>100000</v>
          </cell>
          <cell r="N33">
            <v>120000</v>
          </cell>
          <cell r="O33">
            <v>1180231.7539651662</v>
          </cell>
          <cell r="P33">
            <v>1205000</v>
          </cell>
          <cell r="Q33">
            <v>6050</v>
          </cell>
          <cell r="R33">
            <v>800000</v>
          </cell>
        </row>
        <row r="34">
          <cell r="A34" t="str">
            <v>AS201660</v>
          </cell>
          <cell r="B34" t="str">
            <v>TCHOUATEU AUGUSTIN</v>
          </cell>
          <cell r="C34">
            <v>0</v>
          </cell>
          <cell r="D34">
            <v>0</v>
          </cell>
          <cell r="E34">
            <v>4718.6606148953824</v>
          </cell>
          <cell r="F34">
            <v>972000</v>
          </cell>
          <cell r="I34">
            <v>976718.6606148954</v>
          </cell>
          <cell r="J34">
            <v>0</v>
          </cell>
          <cell r="L34">
            <v>800000</v>
          </cell>
          <cell r="N34">
            <v>800000</v>
          </cell>
          <cell r="O34">
            <v>176718.6606148954</v>
          </cell>
          <cell r="P34">
            <v>150000</v>
          </cell>
          <cell r="Q34">
            <v>-3392</v>
          </cell>
          <cell r="R34">
            <v>800000</v>
          </cell>
        </row>
        <row r="35">
          <cell r="A35" t="str">
            <v>AS201643</v>
          </cell>
          <cell r="B35" t="str">
            <v>TCHOUTOU NANA CLAUDE</v>
          </cell>
          <cell r="C35">
            <v>0</v>
          </cell>
          <cell r="D35">
            <v>179000</v>
          </cell>
          <cell r="E35">
            <v>0</v>
          </cell>
          <cell r="F35">
            <v>528750</v>
          </cell>
          <cell r="I35">
            <v>707750</v>
          </cell>
          <cell r="J35">
            <v>0</v>
          </cell>
          <cell r="K35">
            <v>120000</v>
          </cell>
          <cell r="N35">
            <v>120000</v>
          </cell>
          <cell r="O35">
            <v>587750</v>
          </cell>
          <cell r="P35">
            <v>100000</v>
          </cell>
          <cell r="Q35">
            <v>487750</v>
          </cell>
        </row>
        <row r="36">
          <cell r="A36" t="str">
            <v>AS201658</v>
          </cell>
          <cell r="B36" t="str">
            <v>YANTCHOU GERVAIS</v>
          </cell>
          <cell r="C36">
            <v>0</v>
          </cell>
          <cell r="D36">
            <v>1396048</v>
          </cell>
          <cell r="E36">
            <v>62683.368865772507</v>
          </cell>
          <cell r="F36">
            <v>338000</v>
          </cell>
          <cell r="I36">
            <v>1796731.3688657726</v>
          </cell>
          <cell r="J36">
            <v>0</v>
          </cell>
          <cell r="K36">
            <v>20000</v>
          </cell>
          <cell r="L36">
            <v>100000</v>
          </cell>
          <cell r="N36">
            <v>120000</v>
          </cell>
          <cell r="O36">
            <v>1676731.3688657726</v>
          </cell>
          <cell r="P36">
            <v>50000</v>
          </cell>
          <cell r="Q36">
            <v>-32497</v>
          </cell>
          <cell r="R36">
            <v>800000</v>
          </cell>
        </row>
        <row r="37">
          <cell r="A37" t="str">
            <v>AS201646</v>
          </cell>
          <cell r="B37" t="str">
            <v>YEPMOU JEAN JACQUES</v>
          </cell>
          <cell r="C37">
            <v>700000</v>
          </cell>
          <cell r="D37">
            <v>1003326.8477058813</v>
          </cell>
          <cell r="E37">
            <v>145310.10891910025</v>
          </cell>
          <cell r="F37">
            <v>228000</v>
          </cell>
          <cell r="I37">
            <v>1376636.9566249815</v>
          </cell>
          <cell r="J37">
            <v>0</v>
          </cell>
          <cell r="K37">
            <v>20000</v>
          </cell>
          <cell r="L37">
            <v>100000</v>
          </cell>
          <cell r="N37">
            <v>120000</v>
          </cell>
          <cell r="O37">
            <v>1256636.9566249815</v>
          </cell>
          <cell r="P37">
            <v>516250</v>
          </cell>
          <cell r="Q37">
            <v>739643</v>
          </cell>
          <cell r="R37">
            <v>800000</v>
          </cell>
        </row>
        <row r="38">
          <cell r="A38" t="str">
            <v>AS201659</v>
          </cell>
          <cell r="B38" t="str">
            <v>YIALA ALAIN OSCAR</v>
          </cell>
          <cell r="C38">
            <v>0</v>
          </cell>
          <cell r="D38">
            <v>0</v>
          </cell>
          <cell r="E38">
            <v>4571.020028550347</v>
          </cell>
          <cell r="F38">
            <v>928000</v>
          </cell>
          <cell r="I38">
            <v>932571.02002855029</v>
          </cell>
          <cell r="J38">
            <v>0</v>
          </cell>
          <cell r="L38">
            <v>800000</v>
          </cell>
          <cell r="N38">
            <v>800000</v>
          </cell>
          <cell r="O38">
            <v>132571.02002855029</v>
          </cell>
          <cell r="P38">
            <v>114000</v>
          </cell>
          <cell r="Q38">
            <v>241</v>
          </cell>
          <cell r="R38">
            <v>800000</v>
          </cell>
        </row>
        <row r="39">
          <cell r="A39" t="str">
            <v>AS201647</v>
          </cell>
          <cell r="B39" t="str">
            <v>YOUMBI EMMANUEL</v>
          </cell>
          <cell r="C39">
            <v>700000</v>
          </cell>
          <cell r="D39">
            <v>1157834.9698456018</v>
          </cell>
          <cell r="E39">
            <v>158233.09212580579</v>
          </cell>
          <cell r="F39">
            <v>228000</v>
          </cell>
          <cell r="I39">
            <v>1544068.0619714076</v>
          </cell>
          <cell r="J39">
            <v>0</v>
          </cell>
          <cell r="K39">
            <v>20000</v>
          </cell>
          <cell r="L39">
            <v>100000</v>
          </cell>
          <cell r="N39">
            <v>120000</v>
          </cell>
          <cell r="O39">
            <v>1424068.0619714076</v>
          </cell>
          <cell r="P39">
            <v>30000</v>
          </cell>
          <cell r="Q39">
            <v>1296586</v>
          </cell>
          <cell r="R39">
            <v>800000</v>
          </cell>
        </row>
        <row r="40">
          <cell r="A40" t="str">
            <v>AS201604</v>
          </cell>
          <cell r="B40" t="str">
            <v>SIMO FONGANG ERIC</v>
          </cell>
          <cell r="Q40">
            <v>153468</v>
          </cell>
        </row>
        <row r="42">
          <cell r="A42" t="str">
            <v>TOTAL</v>
          </cell>
          <cell r="C42">
            <v>16800000</v>
          </cell>
          <cell r="D42">
            <v>9548181.0731219202</v>
          </cell>
          <cell r="E42">
            <v>1982150.0000000005</v>
          </cell>
          <cell r="F42">
            <v>11823850</v>
          </cell>
          <cell r="G42">
            <v>0</v>
          </cell>
          <cell r="H42">
            <v>0</v>
          </cell>
          <cell r="I42">
            <v>23354181.07312192</v>
          </cell>
          <cell r="J42">
            <v>0</v>
          </cell>
          <cell r="K42">
            <v>800000</v>
          </cell>
          <cell r="L42">
            <v>5133981</v>
          </cell>
          <cell r="M42">
            <v>0</v>
          </cell>
          <cell r="N42">
            <v>5933981</v>
          </cell>
          <cell r="O42">
            <v>17420200.073121917</v>
          </cell>
          <cell r="P42">
            <v>6195568</v>
          </cell>
          <cell r="Q42">
            <v>6596797</v>
          </cell>
          <cell r="R42">
            <v>24000000</v>
          </cell>
        </row>
        <row r="44">
          <cell r="B44" t="str">
            <v>FONGANG ERIC</v>
          </cell>
          <cell r="R44">
            <v>153468</v>
          </cell>
        </row>
        <row r="47">
          <cell r="A47" t="str">
            <v>AS201612</v>
          </cell>
          <cell r="B47" t="str">
            <v>HODIEP JULES</v>
          </cell>
          <cell r="C47">
            <v>80000</v>
          </cell>
          <cell r="R47">
            <v>80000</v>
          </cell>
        </row>
        <row r="48">
          <cell r="A48" t="str">
            <v>AS201625</v>
          </cell>
          <cell r="B48" t="str">
            <v>NGONGANG JEAN THEODORE</v>
          </cell>
          <cell r="C48">
            <v>227663</v>
          </cell>
          <cell r="R48">
            <v>227663</v>
          </cell>
        </row>
        <row r="49">
          <cell r="A49" t="str">
            <v>AS201623</v>
          </cell>
          <cell r="B49" t="str">
            <v>NDOMBOU JEAN CLAUDE</v>
          </cell>
          <cell r="C49">
            <v>480000</v>
          </cell>
          <cell r="R49">
            <v>480000</v>
          </cell>
        </row>
        <row r="50">
          <cell r="A50" t="str">
            <v>AS201652</v>
          </cell>
          <cell r="B50" t="str">
            <v>NGANHOU JEAN</v>
          </cell>
          <cell r="C50">
            <v>130000</v>
          </cell>
          <cell r="R50">
            <v>130000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F"/>
      <sheetName val="MODEVERSEMENT"/>
      <sheetName val="MODET25000"/>
      <sheetName val="MVTDEC21"/>
      <sheetName val="MVTDEC22"/>
      <sheetName val="MVTDEC23"/>
      <sheetName val="MVTDEC24"/>
      <sheetName val="MVTJANV25"/>
      <sheetName val="MVTFEV25"/>
      <sheetName val="MVTMARS25"/>
      <sheetName val="MVTAVRIL25"/>
      <sheetName val="MVTMAI25"/>
      <sheetName val="MVTJUIN25"/>
      <sheetName val="MVTJUIL25"/>
      <sheetName val="MVTAOUT25"/>
      <sheetName val="MVTSEPT25"/>
      <sheetName val="MVTOCT25"/>
      <sheetName val="MVTNOV25"/>
      <sheetName val="MVTDEC25"/>
      <sheetName val="MVTRESUME25"/>
      <sheetName val="MVTJANV24"/>
      <sheetName val="MVTFEV24"/>
      <sheetName val="MVTMARS24"/>
      <sheetName val="MVTAVRIL24"/>
      <sheetName val="MVTMAI24"/>
      <sheetName val="MVTJUIN24"/>
      <sheetName val="MVTJUIL24"/>
      <sheetName val="MVTAOUT24"/>
      <sheetName val="MVTSEPT24"/>
      <sheetName val="MVTOCT24"/>
      <sheetName val="MVTNOV24"/>
      <sheetName val="MVTDEC244"/>
      <sheetName val="MVTRESUME24"/>
      <sheetName val="MVTRESUME24EDIT"/>
      <sheetName val="MVTREPARTITION2022"/>
      <sheetName val="BILAN 2022"/>
      <sheetName val="MVTREPARTITIONEDIT (2)"/>
      <sheetName val="MVTREPARTITION2021 (2)"/>
      <sheetName val="MVTREPARTITION2021DEF"/>
      <sheetName val="PARTAGE INTERET T100"/>
      <sheetName val="CPTECHINGUE"/>
      <sheetName val="CPTEKEHEPDAVID)"/>
      <sheetName val="CPTEKOUAMOEMMANUEL"/>
      <sheetName val="CPTETCHOUANTE"/>
      <sheetName val="CPTENJEPDJIO"/>
      <sheetName val="CPTETCHOUTOU"/>
      <sheetName val="MVTRESUME2019"/>
      <sheetName val="CPTETYAMERNEST"/>
      <sheetName val="CPTEFOGANGERIC"/>
      <sheetName val="CPTEFOTSOTHOMAS"/>
      <sheetName val="VP KOUAMOPEGUY"/>
      <sheetName val="SITUATION KEPSEU"/>
      <sheetName val="BAKOPACHILLE"/>
      <sheetName val="Feuil1"/>
      <sheetName val="MVTRESUMEEDIT2019"/>
      <sheetName val="MVTRESUMETAB"/>
      <sheetName val="MVTRESUME20BACKUP"/>
      <sheetName val="GESTTRESORERIE"/>
      <sheetName val="MVTJANV212"/>
      <sheetName val="MVTREPARTITION2022 (2)"/>
      <sheetName val="MVTRESUME25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6">
          <cell r="A6" t="str">
            <v>AS201648</v>
          </cell>
          <cell r="B6" t="str">
            <v>ASELBY</v>
          </cell>
          <cell r="D6">
            <v>1023134</v>
          </cell>
          <cell r="E6">
            <v>0</v>
          </cell>
          <cell r="F6">
            <v>1023134</v>
          </cell>
          <cell r="G6">
            <v>1023134</v>
          </cell>
          <cell r="H6">
            <v>49185.181654784057</v>
          </cell>
          <cell r="I6">
            <v>1072319.1816547841</v>
          </cell>
          <cell r="AF6">
            <v>6000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</row>
        <row r="7">
          <cell r="A7" t="str">
            <v>AS201601</v>
          </cell>
          <cell r="B7" t="str">
            <v>BAKOP ACHILLE</v>
          </cell>
          <cell r="C7">
            <v>800000</v>
          </cell>
          <cell r="D7">
            <v>18598</v>
          </cell>
          <cell r="E7">
            <v>0</v>
          </cell>
          <cell r="F7">
            <v>818598</v>
          </cell>
          <cell r="G7">
            <v>818598</v>
          </cell>
          <cell r="H7">
            <v>39352.510357629522</v>
          </cell>
          <cell r="I7">
            <v>857950.51035762951</v>
          </cell>
          <cell r="J7">
            <v>0</v>
          </cell>
          <cell r="K7">
            <v>15000</v>
          </cell>
          <cell r="L7">
            <v>9000</v>
          </cell>
          <cell r="M7">
            <v>1000</v>
          </cell>
          <cell r="N7">
            <v>1000</v>
          </cell>
          <cell r="O7">
            <v>4000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U7">
            <v>0</v>
          </cell>
          <cell r="V7">
            <v>600000</v>
          </cell>
          <cell r="W7" t="str">
            <v>BANQUE</v>
          </cell>
          <cell r="X7" t="str">
            <v>BANQUE</v>
          </cell>
          <cell r="Y7">
            <v>0</v>
          </cell>
          <cell r="Z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700000</v>
          </cell>
        </row>
        <row r="8">
          <cell r="A8" t="str">
            <v>AS201602</v>
          </cell>
          <cell r="B8" t="str">
            <v>BOUTCHOUANG WILLIAM</v>
          </cell>
          <cell r="C8">
            <v>800000</v>
          </cell>
          <cell r="D8">
            <v>132669</v>
          </cell>
          <cell r="E8">
            <v>0</v>
          </cell>
          <cell r="F8">
            <v>932669</v>
          </cell>
          <cell r="G8">
            <v>932669</v>
          </cell>
          <cell r="H8">
            <v>44836.252327442729</v>
          </cell>
          <cell r="I8">
            <v>977505.25232744275</v>
          </cell>
          <cell r="J8">
            <v>0</v>
          </cell>
          <cell r="K8">
            <v>15000</v>
          </cell>
          <cell r="L8">
            <v>9000</v>
          </cell>
          <cell r="M8">
            <v>1000</v>
          </cell>
          <cell r="N8">
            <v>1000</v>
          </cell>
          <cell r="O8">
            <v>4000</v>
          </cell>
          <cell r="P8">
            <v>0</v>
          </cell>
          <cell r="Q8">
            <v>0</v>
          </cell>
          <cell r="R8">
            <v>0</v>
          </cell>
          <cell r="S8">
            <v>500000</v>
          </cell>
          <cell r="T8">
            <v>15000</v>
          </cell>
          <cell r="U8">
            <v>0</v>
          </cell>
          <cell r="V8">
            <v>0</v>
          </cell>
          <cell r="W8">
            <v>0</v>
          </cell>
          <cell r="X8" t="str">
            <v>BANQUE</v>
          </cell>
          <cell r="Y8">
            <v>0</v>
          </cell>
          <cell r="Z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100000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800000</v>
          </cell>
          <cell r="D9">
            <v>6643</v>
          </cell>
          <cell r="E9">
            <v>0</v>
          </cell>
          <cell r="F9">
            <v>806643</v>
          </cell>
          <cell r="G9">
            <v>806643</v>
          </cell>
          <cell r="H9">
            <v>38777.796931350123</v>
          </cell>
          <cell r="I9">
            <v>845420.79693135014</v>
          </cell>
          <cell r="J9">
            <v>0</v>
          </cell>
          <cell r="K9">
            <v>40000</v>
          </cell>
          <cell r="L9">
            <v>34000</v>
          </cell>
          <cell r="M9">
            <v>1000</v>
          </cell>
          <cell r="N9">
            <v>1000</v>
          </cell>
          <cell r="O9">
            <v>4000</v>
          </cell>
          <cell r="P9">
            <v>0</v>
          </cell>
          <cell r="Q9">
            <v>0</v>
          </cell>
          <cell r="R9">
            <v>0</v>
          </cell>
          <cell r="S9">
            <v>1000000</v>
          </cell>
          <cell r="T9">
            <v>120000</v>
          </cell>
          <cell r="U9">
            <v>0</v>
          </cell>
          <cell r="V9">
            <v>1000000</v>
          </cell>
          <cell r="W9" t="str">
            <v>BANQUE</v>
          </cell>
          <cell r="X9" t="str">
            <v>BANQUE</v>
          </cell>
          <cell r="Y9">
            <v>0</v>
          </cell>
          <cell r="Z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100000</v>
          </cell>
        </row>
        <row r="10">
          <cell r="A10" t="str">
            <v>AS201654</v>
          </cell>
          <cell r="B10" t="str">
            <v>DJOMOU TCHAPDA</v>
          </cell>
          <cell r="C10">
            <v>800000</v>
          </cell>
          <cell r="D10">
            <v>7246</v>
          </cell>
          <cell r="E10">
            <v>0</v>
          </cell>
          <cell r="F10">
            <v>807246</v>
          </cell>
          <cell r="G10">
            <v>807246</v>
          </cell>
          <cell r="H10">
            <v>38806.784986226448</v>
          </cell>
          <cell r="I10">
            <v>846052.78498622647</v>
          </cell>
          <cell r="J10">
            <v>0</v>
          </cell>
          <cell r="K10">
            <v>15000</v>
          </cell>
          <cell r="L10">
            <v>9000</v>
          </cell>
          <cell r="M10">
            <v>1000</v>
          </cell>
          <cell r="N10">
            <v>1000</v>
          </cell>
          <cell r="O10">
            <v>4000</v>
          </cell>
          <cell r="P10">
            <v>0</v>
          </cell>
          <cell r="Q10">
            <v>0</v>
          </cell>
          <cell r="R10">
            <v>0</v>
          </cell>
          <cell r="S10">
            <v>1000000</v>
          </cell>
          <cell r="T10">
            <v>120000</v>
          </cell>
          <cell r="U10">
            <v>0</v>
          </cell>
          <cell r="V10">
            <v>0</v>
          </cell>
          <cell r="W10">
            <v>0</v>
          </cell>
          <cell r="X10" t="str">
            <v>BANQUE</v>
          </cell>
          <cell r="Y10">
            <v>0</v>
          </cell>
          <cell r="Z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100000</v>
          </cell>
        </row>
        <row r="11">
          <cell r="A11" t="str">
            <v>AS201605</v>
          </cell>
          <cell r="B11" t="str">
            <v>DJOUKWE NANGUEN GUY BLAISE</v>
          </cell>
          <cell r="C11">
            <v>800000</v>
          </cell>
          <cell r="D11">
            <v>6032</v>
          </cell>
          <cell r="E11">
            <v>0</v>
          </cell>
          <cell r="F11">
            <v>806032</v>
          </cell>
          <cell r="G11">
            <v>806032</v>
          </cell>
          <cell r="H11">
            <v>38748.424291997828</v>
          </cell>
          <cell r="I11">
            <v>844780.4242919978</v>
          </cell>
          <cell r="J11">
            <v>0</v>
          </cell>
          <cell r="K11">
            <v>15000</v>
          </cell>
          <cell r="L11">
            <v>9000</v>
          </cell>
          <cell r="M11">
            <v>1000</v>
          </cell>
          <cell r="N11">
            <v>1000</v>
          </cell>
          <cell r="O11">
            <v>4000</v>
          </cell>
          <cell r="P11">
            <v>0</v>
          </cell>
          <cell r="Q11">
            <v>0</v>
          </cell>
          <cell r="R11">
            <v>0</v>
          </cell>
          <cell r="S11">
            <v>1135000</v>
          </cell>
          <cell r="T11">
            <v>0</v>
          </cell>
          <cell r="U11">
            <v>0</v>
          </cell>
          <cell r="V11">
            <v>1000000</v>
          </cell>
          <cell r="W11" t="str">
            <v>BANQUE</v>
          </cell>
          <cell r="X11" t="str">
            <v>BANQUE</v>
          </cell>
          <cell r="Y11">
            <v>0</v>
          </cell>
          <cell r="Z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100000</v>
          </cell>
        </row>
        <row r="12">
          <cell r="A12" t="str">
            <v>AS201608</v>
          </cell>
          <cell r="B12" t="str">
            <v>DJUOMBESSY ANTOINE</v>
          </cell>
          <cell r="C12">
            <v>800000</v>
          </cell>
          <cell r="D12">
            <v>14486</v>
          </cell>
          <cell r="E12">
            <v>0</v>
          </cell>
          <cell r="F12">
            <v>814486</v>
          </cell>
          <cell r="G12">
            <v>814486</v>
          </cell>
          <cell r="H12">
            <v>39154.833936980343</v>
          </cell>
          <cell r="I12">
            <v>853640.83393698034</v>
          </cell>
          <cell r="J12">
            <v>0</v>
          </cell>
          <cell r="K12">
            <v>20800</v>
          </cell>
          <cell r="L12">
            <v>14800</v>
          </cell>
          <cell r="M12">
            <v>1000</v>
          </cell>
          <cell r="N12">
            <v>1000</v>
          </cell>
          <cell r="O12">
            <v>4000</v>
          </cell>
          <cell r="P12">
            <v>0</v>
          </cell>
          <cell r="Q12">
            <v>0</v>
          </cell>
          <cell r="R12">
            <v>0</v>
          </cell>
          <cell r="S12">
            <v>1000000</v>
          </cell>
          <cell r="T12">
            <v>60000</v>
          </cell>
          <cell r="U12">
            <v>0</v>
          </cell>
          <cell r="V12">
            <v>719200</v>
          </cell>
          <cell r="W12" t="str">
            <v>BANQUE</v>
          </cell>
          <cell r="X12" t="str">
            <v>BANQUE</v>
          </cell>
          <cell r="Y12">
            <v>0</v>
          </cell>
          <cell r="Z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100000</v>
          </cell>
        </row>
        <row r="13">
          <cell r="A13" t="str">
            <v>AS201651</v>
          </cell>
          <cell r="B13" t="str">
            <v>DOMOU FABIEN</v>
          </cell>
          <cell r="C13">
            <v>800000</v>
          </cell>
          <cell r="D13">
            <v>6365</v>
          </cell>
          <cell r="E13">
            <v>0</v>
          </cell>
          <cell r="F13">
            <v>806365</v>
          </cell>
          <cell r="G13">
            <v>806365</v>
          </cell>
          <cell r="H13">
            <v>38764.432620810127</v>
          </cell>
          <cell r="I13">
            <v>845129.43262081011</v>
          </cell>
          <cell r="J13">
            <v>0</v>
          </cell>
          <cell r="K13">
            <v>15000</v>
          </cell>
          <cell r="L13">
            <v>9000</v>
          </cell>
          <cell r="M13">
            <v>1000</v>
          </cell>
          <cell r="N13">
            <v>1000</v>
          </cell>
          <cell r="O13">
            <v>4000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1000000</v>
          </cell>
          <cell r="W13" t="str">
            <v>BANQUE</v>
          </cell>
          <cell r="X13" t="str">
            <v>BANQUE</v>
          </cell>
          <cell r="Y13">
            <v>0</v>
          </cell>
          <cell r="Z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100000</v>
          </cell>
        </row>
        <row r="14">
          <cell r="A14" t="str">
            <v>AS201609</v>
          </cell>
          <cell r="B14" t="str">
            <v>DONHOU DAVID</v>
          </cell>
          <cell r="C14">
            <v>800000</v>
          </cell>
          <cell r="D14">
            <v>702391</v>
          </cell>
          <cell r="E14">
            <v>0</v>
          </cell>
          <cell r="F14">
            <v>1502391</v>
          </cell>
          <cell r="G14">
            <v>1502391</v>
          </cell>
          <cell r="H14">
            <v>72224.531929847581</v>
          </cell>
          <cell r="I14">
            <v>1574615.5319298476</v>
          </cell>
          <cell r="J14">
            <v>0</v>
          </cell>
          <cell r="K14">
            <v>15000</v>
          </cell>
          <cell r="L14">
            <v>9000</v>
          </cell>
          <cell r="M14">
            <v>1000</v>
          </cell>
          <cell r="N14">
            <v>1000</v>
          </cell>
          <cell r="O14">
            <v>4000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100000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M15">
            <v>0</v>
          </cell>
          <cell r="S15">
            <v>0</v>
          </cell>
          <cell r="T15">
            <v>0</v>
          </cell>
        </row>
        <row r="16">
          <cell r="A16" t="str">
            <v>AS201611</v>
          </cell>
          <cell r="B16" t="str">
            <v>HENGUE PAUL OMER</v>
          </cell>
          <cell r="C16">
            <v>800000</v>
          </cell>
          <cell r="D16">
            <v>7143</v>
          </cell>
          <cell r="E16">
            <v>0</v>
          </cell>
          <cell r="F16">
            <v>807143</v>
          </cell>
          <cell r="G16">
            <v>807143</v>
          </cell>
          <cell r="H16">
            <v>38801.833461098322</v>
          </cell>
          <cell r="I16">
            <v>845944.83346109837</v>
          </cell>
          <cell r="J16">
            <v>0</v>
          </cell>
          <cell r="K16">
            <v>15000</v>
          </cell>
          <cell r="L16">
            <v>9000</v>
          </cell>
          <cell r="M16">
            <v>1000</v>
          </cell>
          <cell r="N16">
            <v>1000</v>
          </cell>
          <cell r="O16">
            <v>4000</v>
          </cell>
          <cell r="P16">
            <v>0</v>
          </cell>
          <cell r="Q16">
            <v>0</v>
          </cell>
          <cell r="R16">
            <v>0</v>
          </cell>
          <cell r="S16">
            <v>1050000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100000</v>
          </cell>
        </row>
        <row r="17">
          <cell r="A17" t="str">
            <v>AS201613</v>
          </cell>
          <cell r="B17" t="str">
            <v>HOTCHO BENJAMIN</v>
          </cell>
          <cell r="C17">
            <v>800000</v>
          </cell>
          <cell r="D17">
            <v>6301</v>
          </cell>
          <cell r="E17">
            <v>0</v>
          </cell>
          <cell r="F17">
            <v>806301</v>
          </cell>
          <cell r="G17">
            <v>806301</v>
          </cell>
          <cell r="H17">
            <v>38761.355945002353</v>
          </cell>
          <cell r="I17">
            <v>845062.3559450024</v>
          </cell>
          <cell r="J17">
            <v>0</v>
          </cell>
          <cell r="K17">
            <v>50000</v>
          </cell>
          <cell r="L17">
            <v>44000</v>
          </cell>
          <cell r="M17">
            <v>1000</v>
          </cell>
          <cell r="N17">
            <v>1000</v>
          </cell>
          <cell r="O17">
            <v>4000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238500</v>
          </cell>
          <cell r="W17" t="str">
            <v>BANQUE</v>
          </cell>
          <cell r="X17">
            <v>0</v>
          </cell>
          <cell r="Y17">
            <v>0</v>
          </cell>
          <cell r="Z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100000</v>
          </cell>
        </row>
        <row r="18">
          <cell r="A18" t="str">
            <v>AS201617</v>
          </cell>
          <cell r="B18" t="str">
            <v>KOUAMOU MOISE</v>
          </cell>
          <cell r="C18">
            <v>800000</v>
          </cell>
          <cell r="D18">
            <v>6353</v>
          </cell>
          <cell r="E18">
            <v>0</v>
          </cell>
          <cell r="F18">
            <v>806353</v>
          </cell>
          <cell r="G18">
            <v>806353</v>
          </cell>
          <cell r="H18">
            <v>38763.855744096167</v>
          </cell>
          <cell r="I18">
            <v>845116.85574409622</v>
          </cell>
          <cell r="J18">
            <v>0</v>
          </cell>
          <cell r="K18">
            <v>15000</v>
          </cell>
          <cell r="L18">
            <v>9000</v>
          </cell>
          <cell r="M18">
            <v>1000</v>
          </cell>
          <cell r="N18">
            <v>1000</v>
          </cell>
          <cell r="O18">
            <v>4000</v>
          </cell>
          <cell r="P18">
            <v>0</v>
          </cell>
          <cell r="Q18">
            <v>0</v>
          </cell>
          <cell r="R18">
            <v>0</v>
          </cell>
          <cell r="S18">
            <v>346500</v>
          </cell>
          <cell r="T18">
            <v>0</v>
          </cell>
          <cell r="U18">
            <v>0</v>
          </cell>
          <cell r="V18">
            <v>1000000</v>
          </cell>
          <cell r="W18" t="str">
            <v>BANQUE</v>
          </cell>
          <cell r="X18">
            <v>0</v>
          </cell>
          <cell r="Y18">
            <v>0</v>
          </cell>
          <cell r="Z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100000</v>
          </cell>
        </row>
        <row r="19">
          <cell r="A19" t="str">
            <v>AS201619</v>
          </cell>
          <cell r="B19" t="str">
            <v>KOUATCHO MESSACK</v>
          </cell>
          <cell r="C19">
            <v>800000</v>
          </cell>
          <cell r="D19">
            <v>9944</v>
          </cell>
          <cell r="E19">
            <v>0</v>
          </cell>
          <cell r="F19">
            <v>809944</v>
          </cell>
          <cell r="G19">
            <v>809944</v>
          </cell>
          <cell r="H19">
            <v>38936.486100747723</v>
          </cell>
          <cell r="I19">
            <v>848880.48610074772</v>
          </cell>
          <cell r="J19">
            <v>0</v>
          </cell>
          <cell r="K19">
            <v>15000</v>
          </cell>
          <cell r="L19">
            <v>9000</v>
          </cell>
          <cell r="M19">
            <v>1000</v>
          </cell>
          <cell r="N19">
            <v>1000</v>
          </cell>
          <cell r="O19">
            <v>4000</v>
          </cell>
          <cell r="P19">
            <v>0</v>
          </cell>
          <cell r="Q19">
            <v>0</v>
          </cell>
          <cell r="R19">
            <v>0</v>
          </cell>
          <cell r="S19">
            <v>1000000</v>
          </cell>
          <cell r="T19">
            <v>120000</v>
          </cell>
          <cell r="U19">
            <v>0</v>
          </cell>
          <cell r="V19">
            <v>1000000</v>
          </cell>
          <cell r="W19" t="str">
            <v>BANQUE</v>
          </cell>
          <cell r="X19" t="str">
            <v>BANQUE</v>
          </cell>
          <cell r="Y19">
            <v>0</v>
          </cell>
          <cell r="Z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100000</v>
          </cell>
        </row>
        <row r="20">
          <cell r="A20" t="str">
            <v>AS201620</v>
          </cell>
          <cell r="B20" t="str">
            <v>LOWE JEAN</v>
          </cell>
          <cell r="C20">
            <v>0</v>
          </cell>
          <cell r="D20">
            <v>676217</v>
          </cell>
          <cell r="E20">
            <v>0</v>
          </cell>
          <cell r="F20">
            <v>676217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198625</v>
          </cell>
          <cell r="E21">
            <v>0</v>
          </cell>
          <cell r="F21">
            <v>198625</v>
          </cell>
          <cell r="G21">
            <v>0</v>
          </cell>
          <cell r="H21">
            <v>0</v>
          </cell>
          <cell r="I21">
            <v>198625</v>
          </cell>
          <cell r="J21">
            <v>0</v>
          </cell>
          <cell r="L21">
            <v>0</v>
          </cell>
          <cell r="M21">
            <v>0</v>
          </cell>
          <cell r="S21">
            <v>0</v>
          </cell>
          <cell r="T21">
            <v>0</v>
          </cell>
        </row>
        <row r="22">
          <cell r="A22" t="str">
            <v>AS201649</v>
          </cell>
          <cell r="B22" t="str">
            <v>MBOGNING TUGMA GUY</v>
          </cell>
          <cell r="C22">
            <v>800000</v>
          </cell>
          <cell r="D22">
            <v>8501</v>
          </cell>
          <cell r="E22">
            <v>0</v>
          </cell>
          <cell r="F22">
            <v>808501</v>
          </cell>
          <cell r="G22">
            <v>808501</v>
          </cell>
          <cell r="H22">
            <v>38867.116675894424</v>
          </cell>
          <cell r="I22">
            <v>847368.11667589447</v>
          </cell>
          <cell r="J22">
            <v>0</v>
          </cell>
          <cell r="L22">
            <v>0</v>
          </cell>
          <cell r="M22">
            <v>0</v>
          </cell>
          <cell r="S22">
            <v>1000000</v>
          </cell>
          <cell r="T22">
            <v>30000</v>
          </cell>
        </row>
        <row r="23">
          <cell r="A23" t="str">
            <v>AS201639</v>
          </cell>
          <cell r="B23" t="str">
            <v>NANGUEN MARTIN</v>
          </cell>
          <cell r="C23">
            <v>800000</v>
          </cell>
          <cell r="D23">
            <v>7819</v>
          </cell>
          <cell r="E23">
            <v>0</v>
          </cell>
          <cell r="F23">
            <v>807819</v>
          </cell>
          <cell r="G23">
            <v>807819</v>
          </cell>
          <cell r="H23">
            <v>38834.330849317885</v>
          </cell>
          <cell r="I23">
            <v>846653.33084931783</v>
          </cell>
          <cell r="J23">
            <v>0</v>
          </cell>
          <cell r="K23">
            <v>15000</v>
          </cell>
          <cell r="L23">
            <v>9000</v>
          </cell>
          <cell r="M23">
            <v>1000</v>
          </cell>
          <cell r="N23">
            <v>1000</v>
          </cell>
          <cell r="O23">
            <v>4000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500000</v>
          </cell>
          <cell r="W23" t="str">
            <v>BANQUE</v>
          </cell>
          <cell r="X23" t="str">
            <v>BANQUE</v>
          </cell>
          <cell r="Y23">
            <v>0</v>
          </cell>
          <cell r="Z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100000</v>
          </cell>
        </row>
        <row r="24">
          <cell r="A24" t="str">
            <v>AS201621</v>
          </cell>
          <cell r="B24" t="str">
            <v>NANKAM APPOLINAIRE</v>
          </cell>
          <cell r="C24">
            <v>800000</v>
          </cell>
          <cell r="D24">
            <v>249258</v>
          </cell>
          <cell r="E24">
            <v>0</v>
          </cell>
          <cell r="F24">
            <v>1049258</v>
          </cell>
          <cell r="G24">
            <v>1049258</v>
          </cell>
          <cell r="H24">
            <v>50441.042261067865</v>
          </cell>
          <cell r="I24">
            <v>1099699.0422610678</v>
          </cell>
          <cell r="J24">
            <v>0</v>
          </cell>
          <cell r="K24">
            <v>15000</v>
          </cell>
          <cell r="L24">
            <v>9000</v>
          </cell>
          <cell r="M24">
            <v>1000</v>
          </cell>
          <cell r="N24">
            <v>1000</v>
          </cell>
          <cell r="O24">
            <v>4000</v>
          </cell>
          <cell r="P24">
            <v>0</v>
          </cell>
          <cell r="Q24">
            <v>0</v>
          </cell>
          <cell r="R24">
            <v>0</v>
          </cell>
          <cell r="S24">
            <v>900000</v>
          </cell>
          <cell r="T24">
            <v>108000</v>
          </cell>
          <cell r="U24">
            <v>0</v>
          </cell>
          <cell r="V24">
            <v>107500</v>
          </cell>
          <cell r="W24" t="str">
            <v>BANQUE</v>
          </cell>
          <cell r="X24" t="str">
            <v>BANQUE</v>
          </cell>
          <cell r="Y24">
            <v>0</v>
          </cell>
          <cell r="Z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100000</v>
          </cell>
        </row>
        <row r="25">
          <cell r="A25" t="str">
            <v>AS201622</v>
          </cell>
          <cell r="B25" t="str">
            <v>NDJOMO ETIENNE</v>
          </cell>
          <cell r="C25">
            <v>800000</v>
          </cell>
          <cell r="D25">
            <v>256158</v>
          </cell>
          <cell r="E25">
            <v>0</v>
          </cell>
          <cell r="F25">
            <v>1056158</v>
          </cell>
          <cell r="G25">
            <v>1056158</v>
          </cell>
          <cell r="H25">
            <v>50772.746371592992</v>
          </cell>
          <cell r="I25">
            <v>1106930.7463715931</v>
          </cell>
          <cell r="J25">
            <v>0</v>
          </cell>
          <cell r="K25">
            <v>25000</v>
          </cell>
          <cell r="L25">
            <v>19000</v>
          </cell>
          <cell r="M25">
            <v>1000</v>
          </cell>
          <cell r="N25">
            <v>1000</v>
          </cell>
          <cell r="O25">
            <v>4000</v>
          </cell>
          <cell r="P25">
            <v>0</v>
          </cell>
          <cell r="Q25">
            <v>0</v>
          </cell>
          <cell r="R25">
            <v>0</v>
          </cell>
          <cell r="S25">
            <v>500000</v>
          </cell>
          <cell r="T25">
            <v>30000</v>
          </cell>
          <cell r="U25">
            <v>0</v>
          </cell>
          <cell r="V25">
            <v>600000</v>
          </cell>
          <cell r="W25" t="str">
            <v>BANQUE</v>
          </cell>
          <cell r="X25" t="str">
            <v>BANQUE</v>
          </cell>
          <cell r="Y25">
            <v>0</v>
          </cell>
          <cell r="Z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100000</v>
          </cell>
        </row>
        <row r="26">
          <cell r="A26" t="str">
            <v>AS201624</v>
          </cell>
          <cell r="B26" t="str">
            <v>NGONDIEP CLAUDE</v>
          </cell>
          <cell r="C26">
            <v>800000</v>
          </cell>
          <cell r="D26">
            <v>353356</v>
          </cell>
          <cell r="E26">
            <v>0</v>
          </cell>
          <cell r="F26">
            <v>1153356</v>
          </cell>
          <cell r="G26">
            <v>1153356</v>
          </cell>
          <cell r="H26">
            <v>55445.351608523539</v>
          </cell>
          <cell r="I26">
            <v>1208801.3516085236</v>
          </cell>
          <cell r="J26">
            <v>0</v>
          </cell>
          <cell r="K26">
            <v>15000</v>
          </cell>
          <cell r="L26">
            <v>9000</v>
          </cell>
          <cell r="M26">
            <v>1000</v>
          </cell>
          <cell r="N26">
            <v>1000</v>
          </cell>
          <cell r="O26">
            <v>4000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1000000</v>
          </cell>
          <cell r="W26" t="str">
            <v>BANQUE</v>
          </cell>
          <cell r="X26" t="str">
            <v>BANQUE</v>
          </cell>
          <cell r="Y26">
            <v>0</v>
          </cell>
          <cell r="Z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100000</v>
          </cell>
        </row>
        <row r="27">
          <cell r="A27" t="str">
            <v>AS201626</v>
          </cell>
          <cell r="B27" t="str">
            <v>NGUIEMEGNI MATHIEU BLAISE</v>
          </cell>
          <cell r="C27">
            <v>800000</v>
          </cell>
          <cell r="D27">
            <v>9175</v>
          </cell>
          <cell r="E27">
            <v>0</v>
          </cell>
          <cell r="F27">
            <v>809175</v>
          </cell>
          <cell r="G27">
            <v>809175</v>
          </cell>
          <cell r="H27">
            <v>38899.517917994992</v>
          </cell>
          <cell r="I27">
            <v>848074.51791799499</v>
          </cell>
          <cell r="J27">
            <v>0</v>
          </cell>
          <cell r="K27">
            <v>123000</v>
          </cell>
          <cell r="L27">
            <v>117000</v>
          </cell>
          <cell r="M27">
            <v>1000</v>
          </cell>
          <cell r="N27">
            <v>1000</v>
          </cell>
          <cell r="O27">
            <v>4000</v>
          </cell>
          <cell r="P27">
            <v>0</v>
          </cell>
          <cell r="Q27">
            <v>0</v>
          </cell>
          <cell r="R27">
            <v>0</v>
          </cell>
          <cell r="S27">
            <v>1000000</v>
          </cell>
          <cell r="T27">
            <v>120000</v>
          </cell>
          <cell r="U27">
            <v>0</v>
          </cell>
          <cell r="V27">
            <v>1000000</v>
          </cell>
          <cell r="W27" t="str">
            <v>BANQUE</v>
          </cell>
          <cell r="X27" t="str">
            <v>BANQUE</v>
          </cell>
          <cell r="Y27">
            <v>0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100000</v>
          </cell>
        </row>
        <row r="28">
          <cell r="A28" t="str">
            <v>AS201628</v>
          </cell>
          <cell r="B28" t="str">
            <v>NKAMGANG JUSTIN DEJOLIE</v>
          </cell>
          <cell r="C28">
            <v>800000</v>
          </cell>
          <cell r="D28">
            <v>10531</v>
          </cell>
          <cell r="E28">
            <v>0</v>
          </cell>
          <cell r="F28">
            <v>810531</v>
          </cell>
          <cell r="G28">
            <v>810531</v>
          </cell>
          <cell r="H28">
            <v>38964.704986672106</v>
          </cell>
          <cell r="I28">
            <v>849495.70498667215</v>
          </cell>
          <cell r="J28">
            <v>0</v>
          </cell>
          <cell r="K28">
            <v>15000</v>
          </cell>
          <cell r="L28">
            <v>9000</v>
          </cell>
          <cell r="M28">
            <v>1000</v>
          </cell>
          <cell r="N28">
            <v>1000</v>
          </cell>
          <cell r="O28">
            <v>4000</v>
          </cell>
          <cell r="P28">
            <v>0</v>
          </cell>
          <cell r="Q28">
            <v>0</v>
          </cell>
          <cell r="R28">
            <v>0</v>
          </cell>
          <cell r="S28">
            <v>1000000</v>
          </cell>
          <cell r="T28">
            <v>30000</v>
          </cell>
          <cell r="U28">
            <v>0</v>
          </cell>
          <cell r="V28">
            <v>1000000</v>
          </cell>
          <cell r="W28" t="str">
            <v>BANQUE</v>
          </cell>
          <cell r="X28" t="str">
            <v>BANQUE</v>
          </cell>
          <cell r="Y28">
            <v>0</v>
          </cell>
          <cell r="Z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100000</v>
          </cell>
        </row>
        <row r="29">
          <cell r="A29" t="str">
            <v>AS201656</v>
          </cell>
          <cell r="B29" t="str">
            <v>NOUBE ETIENNE</v>
          </cell>
          <cell r="C29">
            <v>800000</v>
          </cell>
          <cell r="D29">
            <v>-17159</v>
          </cell>
          <cell r="E29">
            <v>0</v>
          </cell>
          <cell r="F29">
            <v>782841</v>
          </cell>
          <cell r="G29">
            <v>782841</v>
          </cell>
          <cell r="H29">
            <v>37633.561969216942</v>
          </cell>
          <cell r="I29">
            <v>820474.56196921691</v>
          </cell>
          <cell r="J29">
            <v>0</v>
          </cell>
          <cell r="K29">
            <v>25000</v>
          </cell>
          <cell r="L29">
            <v>19000</v>
          </cell>
          <cell r="M29">
            <v>1000</v>
          </cell>
          <cell r="N29">
            <v>1000</v>
          </cell>
          <cell r="O29">
            <v>4000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700000</v>
          </cell>
        </row>
        <row r="30">
          <cell r="A30" t="str">
            <v>AS201633</v>
          </cell>
          <cell r="B30" t="str">
            <v>PATEGO NJOSSU GUSTAVE</v>
          </cell>
          <cell r="C30">
            <v>800000</v>
          </cell>
          <cell r="D30">
            <v>133342</v>
          </cell>
          <cell r="E30">
            <v>0</v>
          </cell>
          <cell r="F30">
            <v>933342</v>
          </cell>
          <cell r="G30">
            <v>933342</v>
          </cell>
          <cell r="H30">
            <v>44868.605496483804</v>
          </cell>
          <cell r="I30">
            <v>978210.60549648385</v>
          </cell>
          <cell r="J30">
            <v>0</v>
          </cell>
          <cell r="K30">
            <v>15000</v>
          </cell>
          <cell r="L30">
            <v>9000</v>
          </cell>
          <cell r="M30">
            <v>1000</v>
          </cell>
          <cell r="N30">
            <v>1000</v>
          </cell>
          <cell r="O30">
            <v>4000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100000</v>
          </cell>
        </row>
        <row r="31">
          <cell r="A31" t="str">
            <v>AS201657</v>
          </cell>
          <cell r="B31" t="str">
            <v>SEUMO POLYCARPE</v>
          </cell>
          <cell r="C31">
            <v>800000</v>
          </cell>
          <cell r="D31">
            <v>-9977</v>
          </cell>
          <cell r="E31">
            <v>0</v>
          </cell>
          <cell r="F31">
            <v>790023</v>
          </cell>
          <cell r="G31">
            <v>790023</v>
          </cell>
          <cell r="H31">
            <v>37978.822682520047</v>
          </cell>
          <cell r="I31">
            <v>828001.82268252003</v>
          </cell>
          <cell r="J31">
            <v>0</v>
          </cell>
          <cell r="K31">
            <v>15000</v>
          </cell>
          <cell r="L31">
            <v>9000</v>
          </cell>
          <cell r="M31">
            <v>1000</v>
          </cell>
          <cell r="N31">
            <v>1000</v>
          </cell>
          <cell r="O31">
            <v>4000</v>
          </cell>
          <cell r="P31">
            <v>0</v>
          </cell>
          <cell r="Q31">
            <v>0</v>
          </cell>
          <cell r="R31">
            <v>0</v>
          </cell>
          <cell r="S31">
            <v>1000000</v>
          </cell>
          <cell r="T31">
            <v>120000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</row>
        <row r="32">
          <cell r="A32" t="str">
            <v>AS201653</v>
          </cell>
          <cell r="B32" t="str">
            <v>SIME BRICE</v>
          </cell>
          <cell r="C32">
            <v>800000</v>
          </cell>
          <cell r="D32">
            <v>79106</v>
          </cell>
          <cell r="E32">
            <v>0</v>
          </cell>
          <cell r="F32">
            <v>879106</v>
          </cell>
          <cell r="G32">
            <v>879106</v>
          </cell>
          <cell r="H32">
            <v>42261.315041637354</v>
          </cell>
          <cell r="I32">
            <v>921367.3150416374</v>
          </cell>
          <cell r="J32">
            <v>0</v>
          </cell>
          <cell r="K32">
            <v>15000</v>
          </cell>
          <cell r="L32">
            <v>9000</v>
          </cell>
          <cell r="M32">
            <v>1000</v>
          </cell>
          <cell r="N32">
            <v>1000</v>
          </cell>
          <cell r="O32">
            <v>4000</v>
          </cell>
          <cell r="P32">
            <v>0</v>
          </cell>
          <cell r="Q32">
            <v>0</v>
          </cell>
          <cell r="R32">
            <v>0</v>
          </cell>
          <cell r="S32">
            <v>1000000</v>
          </cell>
          <cell r="T32">
            <v>30000</v>
          </cell>
          <cell r="U32">
            <v>0</v>
          </cell>
          <cell r="V32">
            <v>0</v>
          </cell>
          <cell r="W32">
            <v>0</v>
          </cell>
          <cell r="X32" t="str">
            <v>BANQUE</v>
          </cell>
          <cell r="Y32">
            <v>0</v>
          </cell>
          <cell r="Z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100000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H33">
            <v>0</v>
          </cell>
          <cell r="I33">
            <v>0</v>
          </cell>
          <cell r="M33">
            <v>0</v>
          </cell>
          <cell r="S33">
            <v>0</v>
          </cell>
          <cell r="T33">
            <v>0</v>
          </cell>
        </row>
        <row r="34">
          <cell r="A34" t="str">
            <v>AS201638</v>
          </cell>
          <cell r="B34" t="str">
            <v>SIMO PIERRE</v>
          </cell>
          <cell r="C34">
            <v>800000</v>
          </cell>
          <cell r="D34">
            <v>46691</v>
          </cell>
          <cell r="E34">
            <v>0</v>
          </cell>
          <cell r="F34">
            <v>846691</v>
          </cell>
          <cell r="G34">
            <v>846691</v>
          </cell>
          <cell r="H34">
            <v>40703.026818061728</v>
          </cell>
          <cell r="I34">
            <v>887394.02681806171</v>
          </cell>
          <cell r="J34">
            <v>0</v>
          </cell>
          <cell r="K34">
            <v>15000</v>
          </cell>
          <cell r="L34">
            <v>9000</v>
          </cell>
          <cell r="M34">
            <v>1000</v>
          </cell>
          <cell r="N34">
            <v>1000</v>
          </cell>
          <cell r="O34">
            <v>4000</v>
          </cell>
          <cell r="P34">
            <v>0</v>
          </cell>
          <cell r="Q34">
            <v>0</v>
          </cell>
          <cell r="R34">
            <v>0</v>
          </cell>
          <cell r="S34">
            <v>1000000</v>
          </cell>
          <cell r="T34">
            <v>120000</v>
          </cell>
          <cell r="U34">
            <v>0</v>
          </cell>
          <cell r="V34">
            <v>1000000</v>
          </cell>
          <cell r="W34" t="str">
            <v>BANQUE</v>
          </cell>
          <cell r="X34" t="str">
            <v>BANQUE</v>
          </cell>
          <cell r="Y34">
            <v>0</v>
          </cell>
          <cell r="Z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100000</v>
          </cell>
        </row>
        <row r="35">
          <cell r="A35" t="str">
            <v>AS201641</v>
          </cell>
          <cell r="B35" t="str">
            <v>TCHOUAMOU MATHIEU</v>
          </cell>
          <cell r="C35">
            <v>800000</v>
          </cell>
          <cell r="D35">
            <v>6050</v>
          </cell>
          <cell r="E35">
            <v>0</v>
          </cell>
          <cell r="F35">
            <v>806050</v>
          </cell>
          <cell r="G35">
            <v>806050</v>
          </cell>
          <cell r="H35">
            <v>38749.289607068764</v>
          </cell>
          <cell r="I35">
            <v>844799.28960706876</v>
          </cell>
          <cell r="J35">
            <v>0</v>
          </cell>
          <cell r="K35">
            <v>15000</v>
          </cell>
          <cell r="L35">
            <v>4000</v>
          </cell>
          <cell r="M35">
            <v>1000</v>
          </cell>
          <cell r="N35">
            <v>2000</v>
          </cell>
          <cell r="O35">
            <v>8000</v>
          </cell>
          <cell r="P35">
            <v>0</v>
          </cell>
          <cell r="Q35">
            <v>0</v>
          </cell>
          <cell r="R35">
            <v>0</v>
          </cell>
          <cell r="S35">
            <v>1000000</v>
          </cell>
          <cell r="T35">
            <v>120000</v>
          </cell>
          <cell r="U35">
            <v>0</v>
          </cell>
          <cell r="V35">
            <v>200000</v>
          </cell>
          <cell r="W35" t="str">
            <v>BANQUE</v>
          </cell>
          <cell r="X35">
            <v>0</v>
          </cell>
          <cell r="Y35">
            <v>0</v>
          </cell>
          <cell r="Z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100000</v>
          </cell>
        </row>
        <row r="36">
          <cell r="A36" t="str">
            <v>AS201660</v>
          </cell>
          <cell r="B36" t="str">
            <v>TCHOUATEU AUGUSTIN</v>
          </cell>
          <cell r="C36">
            <v>800000</v>
          </cell>
          <cell r="D36">
            <v>-3392</v>
          </cell>
          <cell r="E36">
            <v>0</v>
          </cell>
          <cell r="F36">
            <v>796608</v>
          </cell>
          <cell r="G36">
            <v>796608</v>
          </cell>
          <cell r="H36">
            <v>38295.383779303804</v>
          </cell>
          <cell r="I36">
            <v>834903.38377930375</v>
          </cell>
          <cell r="J36">
            <v>0</v>
          </cell>
          <cell r="L36">
            <v>0</v>
          </cell>
          <cell r="M36">
            <v>0</v>
          </cell>
          <cell r="S36">
            <v>1000000</v>
          </cell>
          <cell r="T36">
            <v>120000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487750</v>
          </cell>
          <cell r="E37">
            <v>0</v>
          </cell>
          <cell r="F37">
            <v>487750</v>
          </cell>
          <cell r="G37">
            <v>0</v>
          </cell>
          <cell r="H37">
            <v>0</v>
          </cell>
          <cell r="I37">
            <v>487750</v>
          </cell>
          <cell r="J37">
            <v>0</v>
          </cell>
          <cell r="K37">
            <v>25000</v>
          </cell>
          <cell r="L37">
            <v>19000</v>
          </cell>
          <cell r="M37">
            <v>1000</v>
          </cell>
          <cell r="N37">
            <v>1000</v>
          </cell>
          <cell r="O37">
            <v>4000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70000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L38">
            <v>0</v>
          </cell>
          <cell r="M38">
            <v>0</v>
          </cell>
          <cell r="S38">
            <v>0</v>
          </cell>
          <cell r="T38">
            <v>0</v>
          </cell>
        </row>
        <row r="39">
          <cell r="A39" t="str">
            <v>AS201658</v>
          </cell>
          <cell r="B39" t="str">
            <v>YANTCHOU GERVAIS</v>
          </cell>
          <cell r="C39">
            <v>800000</v>
          </cell>
          <cell r="D39">
            <v>-32497</v>
          </cell>
          <cell r="E39">
            <v>0</v>
          </cell>
          <cell r="F39">
            <v>767503</v>
          </cell>
          <cell r="G39">
            <v>767503</v>
          </cell>
          <cell r="H39">
            <v>36896.217382661242</v>
          </cell>
          <cell r="I39">
            <v>804399.2173826613</v>
          </cell>
          <cell r="J39">
            <v>0</v>
          </cell>
          <cell r="K39">
            <v>15000</v>
          </cell>
          <cell r="L39">
            <v>9000</v>
          </cell>
          <cell r="M39">
            <v>1000</v>
          </cell>
          <cell r="N39">
            <v>1000</v>
          </cell>
          <cell r="O39">
            <v>4000</v>
          </cell>
          <cell r="P39">
            <v>0</v>
          </cell>
          <cell r="Q39">
            <v>0</v>
          </cell>
          <cell r="R39">
            <v>0</v>
          </cell>
          <cell r="S39">
            <v>1000000</v>
          </cell>
          <cell r="T39">
            <v>120000</v>
          </cell>
          <cell r="U39">
            <v>0</v>
          </cell>
          <cell r="V39">
            <v>0</v>
          </cell>
          <cell r="W39">
            <v>0</v>
          </cell>
          <cell r="X39" t="str">
            <v>BANQUE</v>
          </cell>
          <cell r="Y39">
            <v>0</v>
          </cell>
          <cell r="Z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700000</v>
          </cell>
        </row>
        <row r="40">
          <cell r="A40" t="str">
            <v>AS201646</v>
          </cell>
          <cell r="B40" t="str">
            <v>YEPMOU JEAN JACQUES</v>
          </cell>
          <cell r="C40">
            <v>800000</v>
          </cell>
          <cell r="D40">
            <v>739643</v>
          </cell>
          <cell r="E40">
            <v>0</v>
          </cell>
          <cell r="F40">
            <v>1539643</v>
          </cell>
          <cell r="G40">
            <v>1539643</v>
          </cell>
          <cell r="H40">
            <v>74015.349542207274</v>
          </cell>
          <cell r="I40">
            <v>1613658.3495422073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S40">
            <v>0</v>
          </cell>
          <cell r="T40">
            <v>0</v>
          </cell>
        </row>
        <row r="41">
          <cell r="A41" t="str">
            <v>AS201659</v>
          </cell>
          <cell r="B41" t="str">
            <v>YIALA ALAIN OSCAR</v>
          </cell>
          <cell r="C41">
            <v>800000</v>
          </cell>
          <cell r="D41">
            <v>241</v>
          </cell>
          <cell r="E41">
            <v>0</v>
          </cell>
          <cell r="F41">
            <v>800241</v>
          </cell>
          <cell r="G41">
            <v>800241</v>
          </cell>
          <cell r="H41">
            <v>38470.033204454208</v>
          </cell>
          <cell r="I41">
            <v>838711.03320445423</v>
          </cell>
          <cell r="J41">
            <v>0</v>
          </cell>
          <cell r="M41">
            <v>0</v>
          </cell>
          <cell r="N41">
            <v>0</v>
          </cell>
          <cell r="O41">
            <v>0</v>
          </cell>
          <cell r="S41">
            <v>0</v>
          </cell>
          <cell r="T41">
            <v>0</v>
          </cell>
        </row>
        <row r="42">
          <cell r="A42" t="str">
            <v>AS201647</v>
          </cell>
          <cell r="B42" t="str">
            <v>YOUMBI EMMANUEL</v>
          </cell>
          <cell r="C42">
            <v>800000</v>
          </cell>
          <cell r="D42">
            <v>1296586</v>
          </cell>
          <cell r="E42">
            <v>0</v>
          </cell>
          <cell r="F42">
            <v>2096586</v>
          </cell>
          <cell r="G42">
            <v>2096586</v>
          </cell>
          <cell r="H42">
            <v>100789.30351730769</v>
          </cell>
          <cell r="I42">
            <v>2197375.3035173076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S42">
            <v>500000</v>
          </cell>
          <cell r="T42">
            <v>15000</v>
          </cell>
        </row>
        <row r="44">
          <cell r="A44" t="str">
            <v>TOTAL</v>
          </cell>
          <cell r="C44">
            <v>24000000</v>
          </cell>
          <cell r="D44">
            <v>6443329</v>
          </cell>
          <cell r="E44">
            <v>0</v>
          </cell>
          <cell r="F44">
            <v>30443329</v>
          </cell>
          <cell r="G44">
            <v>29080737</v>
          </cell>
          <cell r="H44">
            <v>1398000.0000000002</v>
          </cell>
          <cell r="I44">
            <v>31165112.000000004</v>
          </cell>
          <cell r="J44">
            <v>0</v>
          </cell>
          <cell r="K44">
            <v>593800</v>
          </cell>
          <cell r="L44">
            <v>432800</v>
          </cell>
          <cell r="M44">
            <v>26000</v>
          </cell>
          <cell r="N44">
            <v>27000</v>
          </cell>
          <cell r="O44">
            <v>108000</v>
          </cell>
          <cell r="P44">
            <v>0</v>
          </cell>
          <cell r="Q44">
            <v>0</v>
          </cell>
          <cell r="R44">
            <v>0</v>
          </cell>
          <cell r="S44">
            <v>17931500</v>
          </cell>
          <cell r="T44">
            <v>1398000</v>
          </cell>
          <cell r="U44">
            <v>0</v>
          </cell>
          <cell r="V44">
            <v>11965200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70000</v>
          </cell>
          <cell r="AF44">
            <v>6000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4200000</v>
          </cell>
        </row>
        <row r="46">
          <cell r="D46">
            <v>6596797</v>
          </cell>
          <cell r="S46">
            <v>1341000</v>
          </cell>
        </row>
        <row r="47">
          <cell r="D47">
            <v>-153468</v>
          </cell>
          <cell r="T47">
            <v>57000</v>
          </cell>
        </row>
      </sheetData>
      <sheetData sheetId="7">
        <row r="6">
          <cell r="F6">
            <v>1072319.1816547841</v>
          </cell>
        </row>
      </sheetData>
      <sheetData sheetId="8">
        <row r="6">
          <cell r="F6">
            <v>1080204.8653915767</v>
          </cell>
        </row>
      </sheetData>
      <sheetData sheetId="9">
        <row r="6">
          <cell r="F6">
            <v>1081160.4222591543</v>
          </cell>
        </row>
      </sheetData>
      <sheetData sheetId="10">
        <row r="6">
          <cell r="F6">
            <v>1097006.6135231371</v>
          </cell>
        </row>
      </sheetData>
      <sheetData sheetId="11">
        <row r="6">
          <cell r="F6">
            <v>1097287.7862270027</v>
          </cell>
        </row>
      </sheetData>
      <sheetData sheetId="12">
        <row r="6">
          <cell r="F6">
            <v>1097287.7862270027</v>
          </cell>
        </row>
      </sheetData>
      <sheetData sheetId="13">
        <row r="6">
          <cell r="F6">
            <v>1100449.4901832328</v>
          </cell>
        </row>
      </sheetData>
      <sheetData sheetId="14">
        <row r="6">
          <cell r="F6">
            <v>1102077.0736550535</v>
          </cell>
        </row>
      </sheetData>
      <sheetData sheetId="15">
        <row r="6">
          <cell r="F6">
            <v>1102943.3987719836</v>
          </cell>
        </row>
      </sheetData>
      <sheetData sheetId="16">
        <row r="6">
          <cell r="F6">
            <v>1102943.3987719836</v>
          </cell>
        </row>
      </sheetData>
      <sheetData sheetId="17">
        <row r="6">
          <cell r="F6">
            <v>1106309.2312590538</v>
          </cell>
        </row>
      </sheetData>
      <sheetData sheetId="18">
        <row r="6">
          <cell r="F6">
            <v>1186480.0907937791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/>
          <cell r="F5">
            <v>677841881</v>
          </cell>
          <cell r="G5"/>
          <cell r="H5" t="str">
            <v>NKOLBISSON</v>
          </cell>
          <cell r="I5" t="str">
            <v>ACTIF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/>
          <cell r="F6">
            <v>677704694</v>
          </cell>
          <cell r="G6"/>
          <cell r="H6" t="str">
            <v>EMANA</v>
          </cell>
          <cell r="I6" t="str">
            <v>ACTIF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/>
          <cell r="F7">
            <v>677881912</v>
          </cell>
          <cell r="G7"/>
          <cell r="H7" t="str">
            <v>SANTA BARBARA</v>
          </cell>
          <cell r="I7" t="str">
            <v>DEMISSION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/>
          <cell r="F8">
            <v>677986676</v>
          </cell>
          <cell r="G8"/>
          <cell r="H8" t="str">
            <v>RUE MANGUIERS</v>
          </cell>
          <cell r="I8" t="str">
            <v>ACTIF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/>
          <cell r="F9">
            <v>675250451</v>
          </cell>
          <cell r="G9"/>
          <cell r="H9" t="str">
            <v>RUE MANGUIERS</v>
          </cell>
          <cell r="I9" t="str">
            <v>ACTIF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/>
          <cell r="F10">
            <v>675250451</v>
          </cell>
          <cell r="G10"/>
          <cell r="H10" t="str">
            <v>RUE MANGUIERS</v>
          </cell>
          <cell r="I10" t="str">
            <v>DECEDE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/>
          <cell r="F11">
            <v>697103557</v>
          </cell>
          <cell r="G11"/>
          <cell r="H11" t="str">
            <v>BIYEM ASSI LYCEE</v>
          </cell>
          <cell r="I11" t="str">
            <v>DECEDE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/>
          <cell r="F12">
            <v>677501239</v>
          </cell>
          <cell r="G12">
            <v>699324095</v>
          </cell>
          <cell r="H12" t="str">
            <v>MESSASSI</v>
          </cell>
          <cell r="I12" t="str">
            <v>ACTIF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/>
          <cell r="F13">
            <v>699908065</v>
          </cell>
          <cell r="G13"/>
          <cell r="H13" t="str">
            <v>TONGOLO</v>
          </cell>
          <cell r="I13" t="str">
            <v>ACTIF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/>
          <cell r="F14">
            <v>677910278</v>
          </cell>
          <cell r="G14"/>
          <cell r="H14" t="str">
            <v>OYOMABANG</v>
          </cell>
          <cell r="I14" t="str">
            <v>ACTIF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/>
          <cell r="F15">
            <v>694468080</v>
          </cell>
          <cell r="G15"/>
          <cell r="H15" t="str">
            <v>MESSASSI</v>
          </cell>
          <cell r="I15" t="str">
            <v>ACTIF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/>
          <cell r="F16">
            <v>675291170</v>
          </cell>
          <cell r="G16"/>
          <cell r="H16" t="str">
            <v>NYOM 2</v>
          </cell>
          <cell r="I16" t="str">
            <v>DEMISSION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/>
          <cell r="F17">
            <v>699956355</v>
          </cell>
          <cell r="G17"/>
          <cell r="H17" t="str">
            <v>DAMAS</v>
          </cell>
          <cell r="I17" t="str">
            <v>ACTIF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/>
          <cell r="F18">
            <v>677053815</v>
          </cell>
          <cell r="G18"/>
          <cell r="H18" t="str">
            <v>MESSASSI</v>
          </cell>
          <cell r="I18" t="str">
            <v>ACTIF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/>
          <cell r="F19">
            <v>699528700</v>
          </cell>
          <cell r="G19"/>
          <cell r="H19" t="str">
            <v>SIMBOCK</v>
          </cell>
          <cell r="I19" t="str">
            <v>DECEDE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/>
          <cell r="F20">
            <v>699335584</v>
          </cell>
          <cell r="G20"/>
          <cell r="H20" t="str">
            <v>MONTEE JOUVENCE</v>
          </cell>
          <cell r="I20" t="str">
            <v>ACTIF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/>
          <cell r="F21">
            <v>675836725</v>
          </cell>
          <cell r="G21"/>
          <cell r="H21" t="str">
            <v>DAMAS</v>
          </cell>
          <cell r="I21" t="str">
            <v>ACTIF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/>
          <cell r="F22">
            <v>696564847</v>
          </cell>
          <cell r="G22"/>
          <cell r="H22" t="str">
            <v>MESSASSI</v>
          </cell>
          <cell r="I22" t="str">
            <v>DECEDE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/>
          <cell r="F23">
            <v>677735778</v>
          </cell>
          <cell r="G23"/>
          <cell r="H23" t="str">
            <v>SANTA BARBARA</v>
          </cell>
          <cell r="I23" t="str">
            <v>ACTIF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/>
          <cell r="F24"/>
          <cell r="G24"/>
          <cell r="H24"/>
          <cell r="I24" t="str">
            <v>ACTIF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/>
          <cell r="F25">
            <v>693055118</v>
          </cell>
          <cell r="G25"/>
          <cell r="H25" t="str">
            <v>DAMAS</v>
          </cell>
          <cell r="I25" t="str">
            <v>ACTIF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/>
          <cell r="F26">
            <v>677553702</v>
          </cell>
          <cell r="G26"/>
          <cell r="H26" t="str">
            <v>MONTEE JOUVENCE</v>
          </cell>
          <cell r="I26" t="str">
            <v>ACTIF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/>
          <cell r="F27">
            <v>699358350</v>
          </cell>
          <cell r="G27"/>
          <cell r="H27" t="str">
            <v>ETOUG EBE</v>
          </cell>
          <cell r="I27" t="str">
            <v>DEMISSION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/>
          <cell r="F28">
            <v>675249207</v>
          </cell>
          <cell r="G28"/>
          <cell r="H28" t="str">
            <v>CITE VERTE</v>
          </cell>
          <cell r="I28" t="str">
            <v>ACTIF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/>
          <cell r="F29">
            <v>677766503</v>
          </cell>
          <cell r="G29"/>
          <cell r="H29" t="str">
            <v>RUE MANGUIERS</v>
          </cell>
          <cell r="I29" t="str">
            <v>DEMISSION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/>
          <cell r="F30">
            <v>677068360</v>
          </cell>
          <cell r="G30"/>
          <cell r="H30" t="str">
            <v>MONATELE</v>
          </cell>
          <cell r="I30" t="str">
            <v>ACTIF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/>
          <cell r="F31">
            <v>670909070</v>
          </cell>
          <cell r="G31"/>
          <cell r="H31" t="str">
            <v>MENDONG</v>
          </cell>
          <cell r="I31" t="str">
            <v>DEMISSION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/>
          <cell r="F32">
            <v>676659191</v>
          </cell>
          <cell r="G32"/>
          <cell r="H32" t="str">
            <v>MENDONG</v>
          </cell>
          <cell r="I32" t="str">
            <v>ACTIF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/>
          <cell r="F33">
            <v>677575366</v>
          </cell>
          <cell r="G33"/>
          <cell r="H33" t="str">
            <v>ESSOS</v>
          </cell>
          <cell r="I33" t="str">
            <v>ACTIF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/>
          <cell r="F34">
            <v>699843118</v>
          </cell>
          <cell r="G34"/>
          <cell r="H34" t="str">
            <v>BIYEM ASSI LYCEE</v>
          </cell>
          <cell r="I34" t="str">
            <v>DECEDE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/>
          <cell r="F35">
            <v>677377251</v>
          </cell>
          <cell r="G35"/>
          <cell r="H35" t="str">
            <v>MONTEE JOUVENCE</v>
          </cell>
          <cell r="I35" t="str">
            <v>DEMISSION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/>
          <cell r="F36">
            <v>677867173</v>
          </cell>
          <cell r="G36"/>
          <cell r="H36" t="str">
            <v>BIYEM ASSI LYCEE</v>
          </cell>
          <cell r="I36" t="str">
            <v>DECEDE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/>
          <cell r="F37">
            <v>699995086</v>
          </cell>
          <cell r="G37"/>
          <cell r="H37" t="str">
            <v>EBOGO 1(SOA)</v>
          </cell>
          <cell r="I37" t="str">
            <v>ACTIF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/>
          <cell r="F38">
            <v>677054646</v>
          </cell>
          <cell r="G38"/>
          <cell r="H38" t="str">
            <v>EMANA</v>
          </cell>
          <cell r="I38" t="str">
            <v>DEMISSION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/>
          <cell r="F39">
            <v>699549665</v>
          </cell>
          <cell r="G39"/>
          <cell r="H39" t="str">
            <v>ELEVEUR</v>
          </cell>
          <cell r="I39" t="str">
            <v>DEMISSION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/>
          <cell r="F40">
            <v>699350133</v>
          </cell>
          <cell r="G40"/>
          <cell r="H40" t="str">
            <v>DAMAS</v>
          </cell>
          <cell r="I40" t="str">
            <v>ACTIF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/>
          <cell r="F41">
            <v>677477649</v>
          </cell>
          <cell r="G41"/>
          <cell r="H41" t="str">
            <v>PARC NATIONAL</v>
          </cell>
          <cell r="I41" t="str">
            <v>DECEDE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/>
          <cell r="F42">
            <v>677546060</v>
          </cell>
          <cell r="G42"/>
          <cell r="H42" t="str">
            <v>OYOMABANG</v>
          </cell>
          <cell r="I42" t="str">
            <v>ACTIF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/>
          <cell r="F43">
            <v>677648306</v>
          </cell>
          <cell r="G43"/>
          <cell r="H43" t="str">
            <v>RUE MANGUIERS</v>
          </cell>
          <cell r="I43" t="str">
            <v>ACTIF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/>
          <cell r="F44">
            <v>677780149</v>
          </cell>
          <cell r="G44"/>
          <cell r="H44" t="str">
            <v>MESSASSI</v>
          </cell>
          <cell r="I44" t="str">
            <v>DECEDE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/>
          <cell r="F45">
            <v>699778906</v>
          </cell>
          <cell r="G45"/>
          <cell r="H45" t="str">
            <v>MENDONG</v>
          </cell>
          <cell r="I45" t="str">
            <v>ACTIF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/>
          <cell r="F46">
            <v>678639806</v>
          </cell>
          <cell r="G46"/>
          <cell r="H46" t="str">
            <v>MENDONG</v>
          </cell>
          <cell r="I46" t="str">
            <v>DEMISSION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/>
          <cell r="F47">
            <v>677775940</v>
          </cell>
          <cell r="G47"/>
          <cell r="H47" t="str">
            <v>NKOL FOULOU</v>
          </cell>
          <cell r="I47" t="str">
            <v>DEMISSION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/>
          <cell r="F48">
            <v>677508603</v>
          </cell>
          <cell r="G48"/>
          <cell r="H48" t="str">
            <v>BASTOS</v>
          </cell>
          <cell r="I48" t="str">
            <v>ACTIF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/>
          <cell r="F49">
            <v>677726329</v>
          </cell>
          <cell r="G49"/>
          <cell r="H49" t="str">
            <v>BIYEM ASSI LYCEE</v>
          </cell>
          <cell r="I49" t="str">
            <v>DECEDE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/>
          <cell r="F50">
            <v>699663416</v>
          </cell>
          <cell r="G50"/>
          <cell r="H50" t="str">
            <v>MENDONG (NKOLZIE)</v>
          </cell>
          <cell r="I50" t="str">
            <v>ACTIF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/>
          <cell r="F51">
            <v>677547311</v>
          </cell>
          <cell r="G51"/>
          <cell r="H51" t="str">
            <v>MENDONG (GUINNESS)</v>
          </cell>
          <cell r="I51" t="str">
            <v>ACTIF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/>
          <cell r="F52"/>
          <cell r="G52"/>
          <cell r="H52"/>
          <cell r="I52" t="str">
            <v>ACTIF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/>
          <cell r="F53">
            <v>694452000</v>
          </cell>
          <cell r="G53"/>
          <cell r="H53" t="str">
            <v xml:space="preserve">NSIMEYONG </v>
          </cell>
          <cell r="I53" t="str">
            <v>ACTIF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/>
          <cell r="E54"/>
          <cell r="F54"/>
          <cell r="G54"/>
          <cell r="H54"/>
          <cell r="I54" t="str">
            <v>DEMISSION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/>
          <cell r="E55"/>
          <cell r="F55"/>
          <cell r="G55"/>
          <cell r="H55"/>
          <cell r="I55" t="str">
            <v>ACTIF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/>
          <cell r="E56"/>
          <cell r="F56"/>
          <cell r="G56"/>
          <cell r="H56"/>
          <cell r="I56" t="str">
            <v>DEMISSION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/>
          <cell r="E57"/>
          <cell r="F57"/>
          <cell r="G57"/>
          <cell r="H57"/>
          <cell r="I57" t="str">
            <v>ACTIF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/>
          <cell r="E58"/>
          <cell r="F58"/>
          <cell r="G58"/>
          <cell r="H58"/>
          <cell r="I58" t="str">
            <v>ACTIF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/>
          <cell r="E59"/>
          <cell r="F59"/>
          <cell r="G59"/>
          <cell r="H59"/>
          <cell r="I59" t="str">
            <v>DECEDE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/>
          <cell r="E60"/>
          <cell r="F60"/>
          <cell r="G60"/>
          <cell r="H60"/>
          <cell r="I60" t="str">
            <v>DEMISSION</v>
          </cell>
        </row>
      </sheetData>
      <sheetData sheetId="1"/>
      <sheetData sheetId="2"/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BILAN 2017"/>
      <sheetName val="BILAN 2022"/>
      <sheetName val="BILAN 2023"/>
      <sheetName val="ENTREE"/>
      <sheetName val="SORTIE"/>
      <sheetName val="DETAILFICHECASSATION"/>
      <sheetName val="SITUATION GUY"/>
      <sheetName val="SYNTHESECOMPTE"/>
      <sheetName val="DISPOFONDS"/>
      <sheetName val="DETAILFPNDSROULT"/>
      <sheetName val="DETAILFRAISEXCEPTIONNEL"/>
      <sheetName val="DETAILFONDSMUTUEL"/>
      <sheetName val="DETAILPENALITES"/>
      <sheetName val="DETAILCOLLATION"/>
      <sheetName val="DETAILFOYER"/>
      <sheetName val="DETAIL PRETENCIRCULATION"/>
      <sheetName val="DETAILLISTEROUGE"/>
      <sheetName val="DETAILINSCRIPTION"/>
      <sheetName val="INTERETTONT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7">
          <cell r="E7">
            <v>592079</v>
          </cell>
        </row>
        <row r="10">
          <cell r="F10">
            <v>153468</v>
          </cell>
        </row>
      </sheetData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AN 2016"/>
      <sheetName val="BILAN 2017"/>
      <sheetName val="BILAN 2022"/>
      <sheetName val="BILAN 2024"/>
      <sheetName val="ENTREE"/>
      <sheetName val="SORTIE"/>
      <sheetName val="SYNTHESECOMPTE"/>
      <sheetName val="DETAILFICHECASSATION"/>
      <sheetName val="DISPOFONDS"/>
      <sheetName val="DETAILFPNDSROULT"/>
      <sheetName val="DETAILFRAISEXCEPTIONNEL"/>
      <sheetName val="DETAILCOLLATION"/>
      <sheetName val="DETAILFONDSMUTUEL"/>
      <sheetName val="DETAILPENALITES"/>
      <sheetName val="DETAILFOYER"/>
      <sheetName val="DETAIL PRETENCIRCULATION"/>
      <sheetName val="DETAILLISTEROUGE"/>
      <sheetName val="DETAILINSCRIPTION"/>
      <sheetName val="DETAIL INTERETTONTINE"/>
      <sheetName val="DETAILAGIOS"/>
      <sheetName val="DETAILAUTREDEPENSE"/>
      <sheetName val="DETAIL PRETENCIRCULATION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886523.25892224163</v>
          </cell>
          <cell r="E6">
            <v>114898.28161432222</v>
          </cell>
          <cell r="F6">
            <v>62000</v>
          </cell>
          <cell r="G6"/>
          <cell r="H6"/>
          <cell r="I6">
            <v>1063421.5405365638</v>
          </cell>
          <cell r="J6">
            <v>0</v>
          </cell>
          <cell r="K6"/>
          <cell r="L6"/>
          <cell r="M6"/>
          <cell r="N6">
            <v>0</v>
          </cell>
          <cell r="O6">
            <v>1063421.5405365638</v>
          </cell>
          <cell r="P6"/>
          <cell r="Q6">
            <v>1023134</v>
          </cell>
          <cell r="R6"/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678482</v>
          </cell>
          <cell r="E7">
            <v>56791.509874438023</v>
          </cell>
          <cell r="F7">
            <v>236000</v>
          </cell>
          <cell r="G7"/>
          <cell r="H7"/>
          <cell r="I7">
            <v>971273.50987443805</v>
          </cell>
          <cell r="J7">
            <v>0</v>
          </cell>
          <cell r="K7">
            <v>20000</v>
          </cell>
          <cell r="L7">
            <v>100000</v>
          </cell>
          <cell r="M7"/>
          <cell r="N7">
            <v>120000</v>
          </cell>
          <cell r="O7">
            <v>851273.50987443805</v>
          </cell>
          <cell r="P7">
            <v>793000</v>
          </cell>
          <cell r="Q7">
            <v>18598</v>
          </cell>
          <cell r="R7">
            <v>800000</v>
          </cell>
        </row>
        <row r="8">
          <cell r="A8" t="str">
            <v>AS201602</v>
          </cell>
          <cell r="B8" t="str">
            <v>BOUTCHOUANG WILLIAM</v>
          </cell>
          <cell r="C8">
            <v>700000</v>
          </cell>
          <cell r="D8">
            <v>33.12626320522395</v>
          </cell>
          <cell r="E8">
            <v>103171.74572122021</v>
          </cell>
          <cell r="F8">
            <v>225000</v>
          </cell>
          <cell r="G8"/>
          <cell r="H8"/>
          <cell r="I8">
            <v>328204.87198442547</v>
          </cell>
          <cell r="J8">
            <v>0</v>
          </cell>
          <cell r="K8">
            <v>20000</v>
          </cell>
          <cell r="L8">
            <v>100000</v>
          </cell>
          <cell r="M8"/>
          <cell r="N8">
            <v>120000</v>
          </cell>
          <cell r="O8">
            <v>208204.87198442547</v>
          </cell>
          <cell r="P8">
            <v>34625</v>
          </cell>
          <cell r="Q8">
            <v>132669</v>
          </cell>
          <cell r="R8">
            <v>800000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700000</v>
          </cell>
          <cell r="D9">
            <v>53357.826243040035</v>
          </cell>
          <cell r="E9">
            <v>109882.14347538122</v>
          </cell>
          <cell r="F9">
            <v>220500</v>
          </cell>
          <cell r="G9"/>
          <cell r="H9"/>
          <cell r="I9">
            <v>383739.96971842123</v>
          </cell>
          <cell r="J9">
            <v>0</v>
          </cell>
          <cell r="K9">
            <v>20000</v>
          </cell>
          <cell r="L9">
            <v>100000</v>
          </cell>
          <cell r="M9"/>
          <cell r="N9">
            <v>120000</v>
          </cell>
          <cell r="O9">
            <v>263739.96971842123</v>
          </cell>
          <cell r="P9">
            <v>214000</v>
          </cell>
          <cell r="Q9">
            <v>6643</v>
          </cell>
          <cell r="R9">
            <v>800000</v>
          </cell>
        </row>
        <row r="10">
          <cell r="A10" t="str">
            <v>AS201654</v>
          </cell>
          <cell r="B10" t="str">
            <v>DJOMOU TCHAPDA</v>
          </cell>
          <cell r="C10">
            <v>700000</v>
          </cell>
          <cell r="D10">
            <v>294.67929590542917</v>
          </cell>
          <cell r="E10">
            <v>102989.62110877529</v>
          </cell>
          <cell r="F10">
            <v>221500</v>
          </cell>
          <cell r="G10"/>
          <cell r="H10"/>
          <cell r="I10">
            <v>324784.30040468072</v>
          </cell>
          <cell r="J10">
            <v>0</v>
          </cell>
          <cell r="K10">
            <v>20000</v>
          </cell>
          <cell r="L10">
            <v>100000</v>
          </cell>
          <cell r="M10"/>
          <cell r="N10">
            <v>120000</v>
          </cell>
          <cell r="O10">
            <v>204784.30040468072</v>
          </cell>
          <cell r="P10">
            <v>156768</v>
          </cell>
          <cell r="Q10">
            <v>7246</v>
          </cell>
          <cell r="R10">
            <v>800000</v>
          </cell>
        </row>
        <row r="11">
          <cell r="A11" t="str">
            <v>AS201605</v>
          </cell>
          <cell r="B11" t="str">
            <v>DJOUKWE NANGUEN GUY BLAISE</v>
          </cell>
          <cell r="C11">
            <v>700000</v>
          </cell>
          <cell r="D11">
            <v>2196.7678974067676</v>
          </cell>
          <cell r="E11">
            <v>104966.16583991275</v>
          </cell>
          <cell r="F11">
            <v>251000</v>
          </cell>
          <cell r="G11"/>
          <cell r="H11"/>
          <cell r="I11">
            <v>358162.93373731954</v>
          </cell>
          <cell r="J11">
            <v>0</v>
          </cell>
          <cell r="K11">
            <v>20000</v>
          </cell>
          <cell r="L11">
            <v>100000</v>
          </cell>
          <cell r="M11"/>
          <cell r="N11">
            <v>120000</v>
          </cell>
          <cell r="O11">
            <v>238162.93373731954</v>
          </cell>
          <cell r="P11">
            <v>190000</v>
          </cell>
          <cell r="Q11">
            <v>6032</v>
          </cell>
          <cell r="R11">
            <v>800000</v>
          </cell>
        </row>
        <row r="12">
          <cell r="A12" t="str">
            <v>AS201608</v>
          </cell>
          <cell r="B12" t="str">
            <v>DJUOMBESSY ANTOINE</v>
          </cell>
          <cell r="C12">
            <v>700000</v>
          </cell>
          <cell r="D12">
            <v>14513.277451620379</v>
          </cell>
          <cell r="E12">
            <v>108971.46131988688</v>
          </cell>
          <cell r="F12">
            <v>295600</v>
          </cell>
          <cell r="G12"/>
          <cell r="H12"/>
          <cell r="I12">
            <v>419084.73877150728</v>
          </cell>
          <cell r="J12">
            <v>0</v>
          </cell>
          <cell r="K12">
            <v>20000</v>
          </cell>
          <cell r="L12">
            <v>100000</v>
          </cell>
          <cell r="M12"/>
          <cell r="N12">
            <v>120000</v>
          </cell>
          <cell r="O12">
            <v>299084.73877150728</v>
          </cell>
          <cell r="P12">
            <v>240000</v>
          </cell>
          <cell r="Q12">
            <v>14486</v>
          </cell>
          <cell r="R12">
            <v>800000</v>
          </cell>
        </row>
        <row r="13">
          <cell r="A13" t="str">
            <v>AS201651</v>
          </cell>
          <cell r="B13" t="str">
            <v>DOMOU FABIEN</v>
          </cell>
          <cell r="C13">
            <v>700000</v>
          </cell>
          <cell r="D13">
            <v>41.235805909789633</v>
          </cell>
          <cell r="E13">
            <v>103365.88301761041</v>
          </cell>
          <cell r="F13">
            <v>228000</v>
          </cell>
          <cell r="G13"/>
          <cell r="H13"/>
          <cell r="I13">
            <v>331407.1188235202</v>
          </cell>
          <cell r="J13">
            <v>0</v>
          </cell>
          <cell r="K13">
            <v>20000</v>
          </cell>
          <cell r="L13">
            <v>100000</v>
          </cell>
          <cell r="M13"/>
          <cell r="N13">
            <v>120000</v>
          </cell>
          <cell r="O13">
            <v>211407.1188235202</v>
          </cell>
          <cell r="P13">
            <v>164000</v>
          </cell>
          <cell r="Q13">
            <v>6365</v>
          </cell>
          <cell r="R13">
            <v>800000</v>
          </cell>
        </row>
        <row r="14">
          <cell r="A14" t="str">
            <v>AS201609</v>
          </cell>
          <cell r="B14" t="str">
            <v>DONHOU DAVID</v>
          </cell>
          <cell r="C14">
            <v>700000</v>
          </cell>
          <cell r="D14">
            <v>518031.2910165739</v>
          </cell>
          <cell r="E14">
            <v>170500.23808164767</v>
          </cell>
          <cell r="F14">
            <v>228000</v>
          </cell>
          <cell r="G14"/>
          <cell r="H14"/>
          <cell r="I14">
            <v>916531.52909822157</v>
          </cell>
          <cell r="J14">
            <v>0</v>
          </cell>
          <cell r="K14">
            <v>20000</v>
          </cell>
          <cell r="L14">
            <v>100000</v>
          </cell>
          <cell r="M14"/>
          <cell r="N14">
            <v>120000</v>
          </cell>
          <cell r="O14">
            <v>796531.52909822157</v>
          </cell>
          <cell r="P14">
            <v>30000</v>
          </cell>
          <cell r="Q14">
            <v>702391</v>
          </cell>
          <cell r="R14">
            <v>800000</v>
          </cell>
        </row>
        <row r="15">
          <cell r="A15" t="str">
            <v>AS201611</v>
          </cell>
          <cell r="B15" t="str">
            <v>HENGUE PAUL OMER</v>
          </cell>
          <cell r="C15">
            <v>700000</v>
          </cell>
          <cell r="D15">
            <v>57899.603500921949</v>
          </cell>
          <cell r="E15">
            <v>110864.64512933249</v>
          </cell>
          <cell r="F15">
            <v>228000</v>
          </cell>
          <cell r="G15"/>
          <cell r="H15"/>
          <cell r="I15">
            <v>396764.24863025441</v>
          </cell>
          <cell r="J15">
            <v>0</v>
          </cell>
          <cell r="K15">
            <v>20000</v>
          </cell>
          <cell r="L15">
            <v>100000</v>
          </cell>
          <cell r="M15"/>
          <cell r="N15">
            <v>120000</v>
          </cell>
          <cell r="O15">
            <v>276764.24863025441</v>
          </cell>
          <cell r="P15">
            <v>226000</v>
          </cell>
          <cell r="Q15">
            <v>7143</v>
          </cell>
          <cell r="R15">
            <v>800000</v>
          </cell>
        </row>
        <row r="16">
          <cell r="A16" t="str">
            <v>AS201613</v>
          </cell>
          <cell r="B16" t="str">
            <v>HOTCHO BENJAMIN</v>
          </cell>
          <cell r="C16">
            <v>700000</v>
          </cell>
          <cell r="D16">
            <v>29661.208104101592</v>
          </cell>
          <cell r="E16">
            <v>127491.071415939</v>
          </cell>
          <cell r="F16">
            <v>587000</v>
          </cell>
          <cell r="G16"/>
          <cell r="H16"/>
          <cell r="I16">
            <v>744152.27952004061</v>
          </cell>
          <cell r="J16">
            <v>0</v>
          </cell>
          <cell r="K16">
            <v>20000</v>
          </cell>
          <cell r="L16">
            <v>100000</v>
          </cell>
          <cell r="M16"/>
          <cell r="N16">
            <v>120000</v>
          </cell>
          <cell r="O16">
            <v>624152.27952004061</v>
          </cell>
          <cell r="P16">
            <v>60000</v>
          </cell>
          <cell r="Q16">
            <v>6301</v>
          </cell>
          <cell r="R16">
            <v>800000</v>
          </cell>
        </row>
        <row r="17">
          <cell r="A17" t="str">
            <v>AS201617</v>
          </cell>
          <cell r="B17" t="str">
            <v>KOUAMOU MOISE</v>
          </cell>
          <cell r="C17">
            <v>700000</v>
          </cell>
          <cell r="D17">
            <v>9267.5051528789336</v>
          </cell>
          <cell r="E17">
            <v>104367.11593885624</v>
          </cell>
          <cell r="F17">
            <v>224000</v>
          </cell>
          <cell r="G17"/>
          <cell r="H17"/>
          <cell r="I17">
            <v>337634.6210917352</v>
          </cell>
          <cell r="J17">
            <v>0</v>
          </cell>
          <cell r="K17">
            <v>20000</v>
          </cell>
          <cell r="L17">
            <v>100000</v>
          </cell>
          <cell r="M17"/>
          <cell r="N17">
            <v>120000</v>
          </cell>
          <cell r="O17">
            <v>217634.6210917352</v>
          </cell>
          <cell r="P17">
            <v>170000</v>
          </cell>
          <cell r="Q17">
            <v>6353</v>
          </cell>
          <cell r="R17">
            <v>800000</v>
          </cell>
        </row>
        <row r="18">
          <cell r="A18" t="str">
            <v>AS201619</v>
          </cell>
          <cell r="B18" t="str">
            <v>KOUATCHO MESSACK</v>
          </cell>
          <cell r="C18">
            <v>700000</v>
          </cell>
          <cell r="D18">
            <v>24428.628065245139</v>
          </cell>
          <cell r="E18">
            <v>111606.20509034993</v>
          </cell>
          <cell r="F18">
            <v>320000</v>
          </cell>
          <cell r="G18"/>
          <cell r="H18"/>
          <cell r="I18">
            <v>456034.83315559506</v>
          </cell>
          <cell r="J18">
            <v>0</v>
          </cell>
          <cell r="K18">
            <v>20000</v>
          </cell>
          <cell r="L18">
            <v>100000</v>
          </cell>
          <cell r="M18"/>
          <cell r="N18">
            <v>120000</v>
          </cell>
          <cell r="O18">
            <v>336034.83315559506</v>
          </cell>
          <cell r="P18"/>
          <cell r="Q18">
            <v>9944</v>
          </cell>
          <cell r="R18">
            <v>800000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676217</v>
          </cell>
          <cell r="E19">
            <v>0</v>
          </cell>
          <cell r="F19">
            <v>0</v>
          </cell>
          <cell r="G19"/>
          <cell r="H19"/>
          <cell r="I19">
            <v>676217</v>
          </cell>
          <cell r="J19">
            <v>0</v>
          </cell>
          <cell r="K19"/>
          <cell r="L19"/>
          <cell r="M19"/>
          <cell r="N19">
            <v>0</v>
          </cell>
          <cell r="O19">
            <v>676217</v>
          </cell>
          <cell r="P19"/>
          <cell r="Q19">
            <v>676217</v>
          </cell>
          <cell r="R19">
            <v>0</v>
          </cell>
        </row>
        <row r="20">
          <cell r="A20" t="str">
            <v>AS201661</v>
          </cell>
          <cell r="B20" t="str">
            <v>MASSEUNGOUE DAGOBERT</v>
          </cell>
          <cell r="C20">
            <v>0</v>
          </cell>
          <cell r="D20">
            <v>0</v>
          </cell>
          <cell r="E20">
            <v>0</v>
          </cell>
          <cell r="F20">
            <v>525500</v>
          </cell>
          <cell r="G20"/>
          <cell r="H20"/>
          <cell r="I20">
            <v>525500</v>
          </cell>
          <cell r="J20">
            <v>0</v>
          </cell>
          <cell r="K20">
            <v>120000</v>
          </cell>
          <cell r="L20"/>
          <cell r="M20"/>
          <cell r="N20">
            <v>120000</v>
          </cell>
          <cell r="O20">
            <v>405500</v>
          </cell>
          <cell r="P20">
            <v>206875</v>
          </cell>
          <cell r="Q20">
            <v>198625</v>
          </cell>
          <cell r="R20">
            <v>0</v>
          </cell>
        </row>
        <row r="21">
          <cell r="A21" t="str">
            <v>AS201649</v>
          </cell>
          <cell r="B21" t="str">
            <v>MBOGNING TUGMA GUY</v>
          </cell>
          <cell r="C21">
            <v>700000</v>
          </cell>
          <cell r="D21">
            <v>31709.397241182596</v>
          </cell>
          <cell r="E21">
            <v>107380.69899470107</v>
          </cell>
          <cell r="F21">
            <v>226500</v>
          </cell>
          <cell r="G21"/>
          <cell r="H21"/>
          <cell r="I21">
            <v>365590.09623588366</v>
          </cell>
          <cell r="J21">
            <v>0</v>
          </cell>
          <cell r="K21">
            <v>20000</v>
          </cell>
          <cell r="L21">
            <v>100000</v>
          </cell>
          <cell r="M21"/>
          <cell r="N21">
            <v>120000</v>
          </cell>
          <cell r="O21">
            <v>245590.09623588366</v>
          </cell>
          <cell r="P21">
            <v>194700</v>
          </cell>
          <cell r="Q21">
            <v>8501</v>
          </cell>
          <cell r="R21">
            <v>800000</v>
          </cell>
        </row>
        <row r="22">
          <cell r="A22" t="str">
            <v>AS201639</v>
          </cell>
          <cell r="B22" t="str">
            <v>NANGUEN MARTIN</v>
          </cell>
          <cell r="C22">
            <v>700000</v>
          </cell>
          <cell r="D22">
            <v>1150.3620808817795</v>
          </cell>
          <cell r="E22">
            <v>103509.6318722569</v>
          </cell>
          <cell r="F22">
            <v>228000</v>
          </cell>
          <cell r="G22"/>
          <cell r="H22"/>
          <cell r="I22">
            <v>332659.99395313871</v>
          </cell>
          <cell r="J22">
            <v>0</v>
          </cell>
          <cell r="K22">
            <v>20000</v>
          </cell>
          <cell r="L22">
            <v>100000</v>
          </cell>
          <cell r="M22"/>
          <cell r="N22">
            <v>120000</v>
          </cell>
          <cell r="O22">
            <v>212659.99395313871</v>
          </cell>
          <cell r="P22">
            <v>163750</v>
          </cell>
          <cell r="Q22">
            <v>7819</v>
          </cell>
          <cell r="R22">
            <v>800000</v>
          </cell>
        </row>
        <row r="23">
          <cell r="A23" t="str">
            <v>AS201621</v>
          </cell>
          <cell r="B23" t="str">
            <v>NANKAM APPOLINAIRE</v>
          </cell>
          <cell r="C23">
            <v>700000</v>
          </cell>
          <cell r="D23">
            <v>100402.23439018801</v>
          </cell>
          <cell r="E23">
            <v>116373.21944378578</v>
          </cell>
          <cell r="F23">
            <v>228000</v>
          </cell>
          <cell r="G23"/>
          <cell r="H23"/>
          <cell r="I23">
            <v>444775.45383397379</v>
          </cell>
          <cell r="J23">
            <v>0</v>
          </cell>
          <cell r="K23">
            <v>20000</v>
          </cell>
          <cell r="L23">
            <v>100000</v>
          </cell>
          <cell r="M23"/>
          <cell r="N23">
            <v>120000</v>
          </cell>
          <cell r="O23">
            <v>324775.45383397379</v>
          </cell>
          <cell r="P23">
            <v>30000</v>
          </cell>
          <cell r="Q23">
            <v>249258</v>
          </cell>
          <cell r="R23">
            <v>800000</v>
          </cell>
        </row>
        <row r="24">
          <cell r="A24" t="str">
            <v>AS201622</v>
          </cell>
          <cell r="B24" t="str">
            <v>NDJOMO ETIENNE</v>
          </cell>
          <cell r="C24">
            <v>700000</v>
          </cell>
          <cell r="D24">
            <v>224970.61781197961</v>
          </cell>
          <cell r="E24">
            <v>140292.01963375599</v>
          </cell>
          <cell r="F24">
            <v>368000</v>
          </cell>
          <cell r="G24"/>
          <cell r="H24"/>
          <cell r="I24">
            <v>733262.63744573563</v>
          </cell>
          <cell r="J24">
            <v>0</v>
          </cell>
          <cell r="K24">
            <v>20000</v>
          </cell>
          <cell r="L24">
            <v>100000</v>
          </cell>
          <cell r="M24"/>
          <cell r="N24">
            <v>120000</v>
          </cell>
          <cell r="O24">
            <v>613262.63744573563</v>
          </cell>
          <cell r="P24">
            <v>300000</v>
          </cell>
          <cell r="Q24">
            <v>256158</v>
          </cell>
          <cell r="R24">
            <v>800000</v>
          </cell>
        </row>
        <row r="25">
          <cell r="A25" t="str">
            <v>AS201624</v>
          </cell>
          <cell r="B25" t="str">
            <v>NGONDIEP CLAUDE</v>
          </cell>
          <cell r="C25">
            <v>700000</v>
          </cell>
          <cell r="D25">
            <v>57632.732271146844</v>
          </cell>
          <cell r="E25">
            <v>119938.5762577921</v>
          </cell>
          <cell r="F25">
            <v>393000</v>
          </cell>
          <cell r="G25"/>
          <cell r="H25"/>
          <cell r="I25">
            <v>570571.30852893891</v>
          </cell>
          <cell r="J25">
            <v>0</v>
          </cell>
          <cell r="K25">
            <v>20000</v>
          </cell>
          <cell r="L25">
            <v>100000</v>
          </cell>
          <cell r="M25"/>
          <cell r="N25">
            <v>120000</v>
          </cell>
          <cell r="O25">
            <v>450571.30852893891</v>
          </cell>
          <cell r="P25"/>
          <cell r="Q25">
            <v>353356</v>
          </cell>
          <cell r="R25">
            <v>800000</v>
          </cell>
        </row>
        <row r="26">
          <cell r="A26" t="str">
            <v>AS201626</v>
          </cell>
          <cell r="B26" t="str">
            <v>NGUIEMEGNI MATHIEU BLAISE</v>
          </cell>
          <cell r="C26">
            <v>700000</v>
          </cell>
          <cell r="D26">
            <v>20382.784231808502</v>
          </cell>
          <cell r="E26">
            <v>105666.45072353148</v>
          </cell>
          <cell r="F26">
            <v>220500</v>
          </cell>
          <cell r="G26"/>
          <cell r="H26"/>
          <cell r="I26">
            <v>346549.23495533998</v>
          </cell>
          <cell r="J26">
            <v>0</v>
          </cell>
          <cell r="K26">
            <v>20000</v>
          </cell>
          <cell r="L26">
            <v>100000</v>
          </cell>
          <cell r="M26"/>
          <cell r="N26">
            <v>120000</v>
          </cell>
          <cell r="O26">
            <v>226549.23495533998</v>
          </cell>
          <cell r="P26">
            <v>175745</v>
          </cell>
          <cell r="Q26">
            <v>9175</v>
          </cell>
          <cell r="R26">
            <v>800000</v>
          </cell>
        </row>
        <row r="27">
          <cell r="A27" t="str">
            <v>AS201628</v>
          </cell>
          <cell r="B27" t="str">
            <v>NKAMGANG JUSTIN DEJOLIE</v>
          </cell>
          <cell r="C27">
            <v>700000</v>
          </cell>
          <cell r="D27">
            <v>19031.484583758342</v>
          </cell>
          <cell r="E27">
            <v>105903.0118986055</v>
          </cell>
          <cell r="F27">
            <v>229500</v>
          </cell>
          <cell r="G27"/>
          <cell r="H27"/>
          <cell r="I27">
            <v>354434.49648236384</v>
          </cell>
          <cell r="J27">
            <v>0</v>
          </cell>
          <cell r="K27">
            <v>20000</v>
          </cell>
          <cell r="L27">
            <v>100000</v>
          </cell>
          <cell r="M27"/>
          <cell r="N27">
            <v>120000</v>
          </cell>
          <cell r="O27">
            <v>234434.49648236384</v>
          </cell>
          <cell r="P27">
            <v>185000</v>
          </cell>
          <cell r="Q27">
            <v>10531</v>
          </cell>
          <cell r="R27">
            <v>800000</v>
          </cell>
        </row>
        <row r="28">
          <cell r="A28" t="str">
            <v>AS201656</v>
          </cell>
          <cell r="B28" t="str">
            <v>NOUBE ETIENNE</v>
          </cell>
          <cell r="C28">
            <v>0</v>
          </cell>
          <cell r="D28">
            <v>666019</v>
          </cell>
          <cell r="E28">
            <v>55352.006469041386</v>
          </cell>
          <cell r="F28">
            <v>228000</v>
          </cell>
          <cell r="G28"/>
          <cell r="H28"/>
          <cell r="I28">
            <v>949371.00646904134</v>
          </cell>
          <cell r="J28">
            <v>0</v>
          </cell>
          <cell r="K28">
            <v>20000</v>
          </cell>
          <cell r="L28">
            <v>133981</v>
          </cell>
          <cell r="M28"/>
          <cell r="N28">
            <v>153981</v>
          </cell>
          <cell r="O28">
            <v>795390.00646904134</v>
          </cell>
          <cell r="P28">
            <v>100000</v>
          </cell>
          <cell r="Q28">
            <v>-17159</v>
          </cell>
          <cell r="R28">
            <v>800000</v>
          </cell>
        </row>
        <row r="29">
          <cell r="A29" t="str">
            <v>AS201633</v>
          </cell>
          <cell r="B29" t="str">
            <v>PATEGO NJOSSU GUSTAVE</v>
          </cell>
          <cell r="C29">
            <v>700000</v>
          </cell>
          <cell r="D29">
            <v>43697.666300758487</v>
          </cell>
          <cell r="E29">
            <v>110284.4307975227</v>
          </cell>
          <cell r="F29">
            <v>255000</v>
          </cell>
          <cell r="G29"/>
          <cell r="H29"/>
          <cell r="I29">
            <v>408982.0970982812</v>
          </cell>
          <cell r="J29">
            <v>0</v>
          </cell>
          <cell r="K29">
            <v>20000</v>
          </cell>
          <cell r="L29">
            <v>100000</v>
          </cell>
          <cell r="M29"/>
          <cell r="N29">
            <v>120000</v>
          </cell>
          <cell r="O29">
            <v>288982.0970982812</v>
          </cell>
          <cell r="P29">
            <v>11500</v>
          </cell>
          <cell r="Q29">
            <v>233342</v>
          </cell>
          <cell r="R29">
            <v>800000</v>
          </cell>
        </row>
        <row r="30">
          <cell r="A30" t="str">
            <v>AS201657</v>
          </cell>
          <cell r="B30" t="str">
            <v>SEUMO POLYCARPE</v>
          </cell>
          <cell r="C30">
            <v>0</v>
          </cell>
          <cell r="D30">
            <v>245500</v>
          </cell>
          <cell r="E30">
            <v>57601.456915733623</v>
          </cell>
          <cell r="F30">
            <v>685500</v>
          </cell>
          <cell r="G30"/>
          <cell r="H30"/>
          <cell r="I30">
            <v>988601.45691573364</v>
          </cell>
          <cell r="J30">
            <v>0</v>
          </cell>
          <cell r="K30">
            <v>20000</v>
          </cell>
          <cell r="L30">
            <v>800000</v>
          </cell>
          <cell r="M30"/>
          <cell r="N30">
            <v>820000</v>
          </cell>
          <cell r="O30">
            <v>168601.45691573364</v>
          </cell>
          <cell r="P30">
            <v>152500</v>
          </cell>
          <cell r="Q30">
            <v>-9977</v>
          </cell>
          <cell r="R30">
            <v>800000</v>
          </cell>
        </row>
        <row r="31">
          <cell r="A31" t="str">
            <v>AS201653</v>
          </cell>
          <cell r="B31" t="str">
            <v>SIME BRICE</v>
          </cell>
          <cell r="C31">
            <v>700000</v>
          </cell>
          <cell r="D31">
            <v>104364.15055016428</v>
          </cell>
          <cell r="E31">
            <v>117044.5507408483</v>
          </cell>
          <cell r="F31">
            <v>231000</v>
          </cell>
          <cell r="G31"/>
          <cell r="H31"/>
          <cell r="I31">
            <v>452408.70129101258</v>
          </cell>
          <cell r="J31">
            <v>0</v>
          </cell>
          <cell r="K31">
            <v>20000</v>
          </cell>
          <cell r="L31">
            <v>100000</v>
          </cell>
          <cell r="M31"/>
          <cell r="N31">
            <v>120000</v>
          </cell>
          <cell r="O31">
            <v>332408.70129101258</v>
          </cell>
          <cell r="P31">
            <v>207480</v>
          </cell>
          <cell r="Q31">
            <v>79106</v>
          </cell>
          <cell r="R31">
            <v>800000</v>
          </cell>
        </row>
        <row r="32">
          <cell r="A32" t="str">
            <v>AS201638</v>
          </cell>
          <cell r="B32" t="str">
            <v>SIMO PIERRE</v>
          </cell>
          <cell r="C32">
            <v>700000</v>
          </cell>
          <cell r="D32">
            <v>686.61218299972825</v>
          </cell>
          <cell r="E32">
            <v>103449.52733937615</v>
          </cell>
          <cell r="F32">
            <v>228000</v>
          </cell>
          <cell r="G32"/>
          <cell r="H32"/>
          <cell r="I32">
            <v>332136.13952237589</v>
          </cell>
          <cell r="J32">
            <v>0</v>
          </cell>
          <cell r="K32">
            <v>20000</v>
          </cell>
          <cell r="L32">
            <v>100000</v>
          </cell>
          <cell r="M32"/>
          <cell r="N32">
            <v>120000</v>
          </cell>
          <cell r="O32">
            <v>212136.13952237589</v>
          </cell>
          <cell r="P32">
            <v>24375</v>
          </cell>
          <cell r="Q32">
            <v>146691</v>
          </cell>
          <cell r="R32">
            <v>800000</v>
          </cell>
        </row>
        <row r="33">
          <cell r="A33" t="str">
            <v>AS201641</v>
          </cell>
          <cell r="B33" t="str">
            <v>TCHOUAMOU MATHIEU</v>
          </cell>
          <cell r="C33">
            <v>700000</v>
          </cell>
          <cell r="D33">
            <v>975.80620651689242</v>
          </cell>
          <cell r="E33">
            <v>156102.0787104406</v>
          </cell>
          <cell r="F33">
            <v>1228000</v>
          </cell>
          <cell r="G33"/>
          <cell r="H33"/>
          <cell r="I33">
            <v>1385077.8849169575</v>
          </cell>
          <cell r="J33">
            <v>0</v>
          </cell>
          <cell r="K33">
            <v>20000</v>
          </cell>
          <cell r="L33">
            <v>100000</v>
          </cell>
          <cell r="M33"/>
          <cell r="N33">
            <v>120000</v>
          </cell>
          <cell r="O33">
            <v>1265077.8849169575</v>
          </cell>
          <cell r="P33">
            <v>1205000</v>
          </cell>
          <cell r="Q33">
            <v>6050</v>
          </cell>
          <cell r="R33">
            <v>800000</v>
          </cell>
        </row>
        <row r="34">
          <cell r="A34" t="str">
            <v>AS201660</v>
          </cell>
          <cell r="B34" t="str">
            <v>TCHOUATEU AUGUSTIN</v>
          </cell>
          <cell r="C34">
            <v>0</v>
          </cell>
          <cell r="D34">
            <v>0</v>
          </cell>
          <cell r="E34">
            <v>46149.259739404784</v>
          </cell>
          <cell r="F34">
            <v>972000</v>
          </cell>
          <cell r="G34"/>
          <cell r="H34"/>
          <cell r="I34">
            <v>1018149.2597394048</v>
          </cell>
          <cell r="J34">
            <v>0</v>
          </cell>
          <cell r="K34"/>
          <cell r="L34">
            <v>800000</v>
          </cell>
          <cell r="M34"/>
          <cell r="N34">
            <v>800000</v>
          </cell>
          <cell r="O34">
            <v>218149.25973940478</v>
          </cell>
          <cell r="P34">
            <v>150000</v>
          </cell>
          <cell r="Q34">
            <v>-3392</v>
          </cell>
          <cell r="R34">
            <v>800000</v>
          </cell>
        </row>
        <row r="35">
          <cell r="A35" t="str">
            <v>AS201643</v>
          </cell>
          <cell r="B35" t="str">
            <v>TCHOUTOU NANA CLAUDE</v>
          </cell>
          <cell r="C35">
            <v>0</v>
          </cell>
          <cell r="D35">
            <v>179000</v>
          </cell>
          <cell r="E35">
            <v>0</v>
          </cell>
          <cell r="F35">
            <v>528750</v>
          </cell>
          <cell r="G35"/>
          <cell r="H35"/>
          <cell r="I35">
            <v>707750</v>
          </cell>
          <cell r="J35">
            <v>0</v>
          </cell>
          <cell r="K35">
            <v>120000</v>
          </cell>
          <cell r="L35"/>
          <cell r="M35"/>
          <cell r="N35">
            <v>120000</v>
          </cell>
          <cell r="O35">
            <v>587750</v>
          </cell>
          <cell r="P35">
            <v>100000</v>
          </cell>
          <cell r="Q35">
            <v>487750</v>
          </cell>
          <cell r="R35"/>
        </row>
        <row r="36">
          <cell r="A36" t="str">
            <v>AS201658</v>
          </cell>
          <cell r="B36" t="str">
            <v>YANTCHOU GERVAIS</v>
          </cell>
          <cell r="C36">
            <v>0</v>
          </cell>
          <cell r="D36">
            <v>698024</v>
          </cell>
          <cell r="E36">
            <v>109288.52075260182</v>
          </cell>
          <cell r="F36">
            <v>338000</v>
          </cell>
          <cell r="G36"/>
          <cell r="H36"/>
          <cell r="I36">
            <v>1145312.5207526018</v>
          </cell>
          <cell r="J36">
            <v>0</v>
          </cell>
          <cell r="K36">
            <v>20000</v>
          </cell>
          <cell r="L36">
            <v>100000</v>
          </cell>
          <cell r="M36"/>
          <cell r="N36">
            <v>120000</v>
          </cell>
          <cell r="O36">
            <v>1025312.5207526018</v>
          </cell>
          <cell r="P36">
            <v>50000</v>
          </cell>
          <cell r="Q36">
            <v>-32497</v>
          </cell>
          <cell r="R36">
            <v>800000</v>
          </cell>
        </row>
        <row r="37">
          <cell r="A37" t="str">
            <v>AS201646</v>
          </cell>
          <cell r="B37" t="str">
            <v>YEPMOU JEAN JACQUES</v>
          </cell>
          <cell r="C37">
            <v>700000</v>
          </cell>
          <cell r="D37">
            <v>1003326.8477058813</v>
          </cell>
          <cell r="E37">
            <v>233397.20663547333</v>
          </cell>
          <cell r="F37">
            <v>228000</v>
          </cell>
          <cell r="G37"/>
          <cell r="H37"/>
          <cell r="I37">
            <v>1464724.0543413546</v>
          </cell>
          <cell r="J37">
            <v>0</v>
          </cell>
          <cell r="K37">
            <v>20000</v>
          </cell>
          <cell r="L37">
            <v>100000</v>
          </cell>
          <cell r="M37"/>
          <cell r="N37">
            <v>120000</v>
          </cell>
          <cell r="O37">
            <v>1344724.0543413546</v>
          </cell>
          <cell r="P37">
            <v>516250</v>
          </cell>
          <cell r="Q37">
            <v>739643</v>
          </cell>
          <cell r="R37">
            <v>800000</v>
          </cell>
        </row>
        <row r="38">
          <cell r="A38" t="str">
            <v>AS201659</v>
          </cell>
          <cell r="B38" t="str">
            <v>YIALA ALAIN OSCAR</v>
          </cell>
          <cell r="C38">
            <v>0</v>
          </cell>
          <cell r="D38">
            <v>0</v>
          </cell>
          <cell r="E38">
            <v>44128.957890331039</v>
          </cell>
          <cell r="F38">
            <v>928000</v>
          </cell>
          <cell r="G38"/>
          <cell r="H38"/>
          <cell r="I38">
            <v>972128.95789033105</v>
          </cell>
          <cell r="J38">
            <v>0</v>
          </cell>
          <cell r="K38"/>
          <cell r="L38">
            <v>800000</v>
          </cell>
          <cell r="M38"/>
          <cell r="N38">
            <v>800000</v>
          </cell>
          <cell r="O38">
            <v>172128.95789033105</v>
          </cell>
          <cell r="P38">
            <v>114000</v>
          </cell>
          <cell r="Q38">
            <v>241</v>
          </cell>
          <cell r="R38">
            <v>800000</v>
          </cell>
        </row>
        <row r="39">
          <cell r="A39" t="str">
            <v>AS201647</v>
          </cell>
          <cell r="B39" t="str">
            <v>YOUMBI EMMANUEL</v>
          </cell>
          <cell r="C39">
            <v>700000</v>
          </cell>
          <cell r="D39">
            <v>1157834.9698456018</v>
          </cell>
          <cell r="E39">
            <v>253422.30755712534</v>
          </cell>
          <cell r="F39">
            <v>228000</v>
          </cell>
          <cell r="G39"/>
          <cell r="H39"/>
          <cell r="I39">
            <v>1639257.2774027272</v>
          </cell>
          <cell r="J39">
            <v>0</v>
          </cell>
          <cell r="K39">
            <v>20000</v>
          </cell>
          <cell r="L39">
            <v>100000</v>
          </cell>
          <cell r="M39"/>
          <cell r="N39">
            <v>120000</v>
          </cell>
          <cell r="O39">
            <v>1519257.2774027272</v>
          </cell>
          <cell r="P39">
            <v>30000</v>
          </cell>
          <cell r="Q39">
            <v>1396586</v>
          </cell>
          <cell r="R39">
            <v>800000</v>
          </cell>
        </row>
        <row r="40">
          <cell r="A40" t="str">
            <v>AS201604</v>
          </cell>
          <cell r="B40" t="str">
            <v>SIMO FONGANG ERIC</v>
          </cell>
          <cell r="C40"/>
          <cell r="D40"/>
          <cell r="E40"/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>
            <v>153468</v>
          </cell>
          <cell r="R40"/>
        </row>
        <row r="41">
          <cell r="A41"/>
          <cell r="B41"/>
          <cell r="C41"/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</row>
        <row r="42">
          <cell r="A42" t="str">
            <v>TOTAL</v>
          </cell>
          <cell r="B42"/>
          <cell r="C42">
            <v>16800000</v>
          </cell>
          <cell r="D42">
            <v>7505656.0731219184</v>
          </cell>
          <cell r="E42">
            <v>3515150</v>
          </cell>
          <cell r="F42">
            <v>11823850</v>
          </cell>
          <cell r="G42">
            <v>0</v>
          </cell>
          <cell r="H42">
            <v>0</v>
          </cell>
          <cell r="I42">
            <v>22844656.07312192</v>
          </cell>
          <cell r="J42">
            <v>0</v>
          </cell>
          <cell r="K42">
            <v>800000</v>
          </cell>
          <cell r="L42">
            <v>5133981</v>
          </cell>
          <cell r="M42">
            <v>0</v>
          </cell>
          <cell r="N42">
            <v>5933981</v>
          </cell>
          <cell r="O42">
            <v>16910675.07312192</v>
          </cell>
          <cell r="P42">
            <v>6195568</v>
          </cell>
          <cell r="Q42">
            <v>6743329</v>
          </cell>
          <cell r="R42">
            <v>24000000</v>
          </cell>
        </row>
        <row r="43">
          <cell r="A43"/>
          <cell r="B43"/>
          <cell r="C43"/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</row>
        <row r="44">
          <cell r="A44"/>
          <cell r="B44" t="str">
            <v>FONGANG ERIC</v>
          </cell>
          <cell r="C44"/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>
            <v>153468</v>
          </cell>
        </row>
        <row r="45">
          <cell r="A45"/>
          <cell r="B45"/>
          <cell r="C45"/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</row>
        <row r="46">
          <cell r="A46"/>
          <cell r="B46"/>
          <cell r="C46"/>
          <cell r="D46"/>
          <cell r="E46"/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</row>
        <row r="47">
          <cell r="A47" t="str">
            <v>AS201612</v>
          </cell>
          <cell r="B47" t="str">
            <v>HODIEP JULES</v>
          </cell>
          <cell r="C47">
            <v>80000</v>
          </cell>
          <cell r="D47"/>
          <cell r="E47"/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>
            <v>80000</v>
          </cell>
        </row>
        <row r="48">
          <cell r="A48" t="str">
            <v>AS201625</v>
          </cell>
          <cell r="B48" t="str">
            <v>NGONGANG JEAN THEODORE</v>
          </cell>
          <cell r="C48">
            <v>227663</v>
          </cell>
          <cell r="D48"/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>
            <v>227663</v>
          </cell>
        </row>
        <row r="49">
          <cell r="A49" t="str">
            <v>AS201623</v>
          </cell>
          <cell r="B49" t="str">
            <v>NDOMBOU JEAN CLAUDE</v>
          </cell>
          <cell r="C49">
            <v>480000</v>
          </cell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>
            <v>480000</v>
          </cell>
        </row>
        <row r="50">
          <cell r="A50" t="str">
            <v>AS201652</v>
          </cell>
          <cell r="B50" t="str">
            <v>NGANHOU JEAN</v>
          </cell>
          <cell r="C50">
            <v>130000</v>
          </cell>
          <cell r="D50"/>
          <cell r="E50"/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>
            <v>130000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G61"/>
  <sheetViews>
    <sheetView tabSelected="1" topLeftCell="B25" workbookViewId="0">
      <selection activeCell="F11" sqref="F11"/>
    </sheetView>
  </sheetViews>
  <sheetFormatPr baseColWidth="10" defaultRowHeight="14.5" x14ac:dyDescent="0.35"/>
  <cols>
    <col min="1" max="2" width="12.26953125" style="8" customWidth="1"/>
    <col min="3" max="3" width="31.81640625" style="8" bestFit="1" customWidth="1"/>
    <col min="4" max="4" width="31.81640625" bestFit="1" customWidth="1"/>
    <col min="5" max="5" width="17.7265625" bestFit="1" customWidth="1"/>
    <col min="6" max="6" width="15.7265625" customWidth="1"/>
    <col min="7" max="7" width="16.81640625" bestFit="1" customWidth="1"/>
  </cols>
  <sheetData>
    <row r="1" spans="1:7" ht="15" thickTop="1" x14ac:dyDescent="0.35">
      <c r="A1" s="47" t="s">
        <v>81</v>
      </c>
      <c r="B1" s="48" t="s">
        <v>54</v>
      </c>
      <c r="C1" s="48" t="s">
        <v>82</v>
      </c>
      <c r="D1" s="48" t="s">
        <v>58</v>
      </c>
      <c r="E1" s="48" t="s">
        <v>87</v>
      </c>
      <c r="F1" s="48" t="s">
        <v>93</v>
      </c>
      <c r="G1" s="57" t="s">
        <v>88</v>
      </c>
    </row>
    <row r="2" spans="1:7" x14ac:dyDescent="0.35">
      <c r="A2" s="50" t="s">
        <v>47</v>
      </c>
      <c r="B2" s="16"/>
      <c r="C2" s="16" t="str">
        <f>VLOOKUP(A2,[3]LISTADHERENT!A$5:H$60,3,0)</f>
        <v>ASELBY</v>
      </c>
      <c r="D2" s="64"/>
      <c r="E2" s="16"/>
      <c r="F2" s="58">
        <f>VLOOKUP(A2,[4]DETAILFICHECASSATION!$A$6:$R$51,17,0)</f>
        <v>1023134</v>
      </c>
      <c r="G2" s="46">
        <f>D2-E2</f>
        <v>0</v>
      </c>
    </row>
    <row r="3" spans="1:7" x14ac:dyDescent="0.35">
      <c r="A3" s="50" t="s">
        <v>2</v>
      </c>
      <c r="B3" s="16">
        <v>1</v>
      </c>
      <c r="C3" s="16" t="str">
        <f>VLOOKUP(A3,[3]LISTADHERENT!A$5:H$60,3,0)</f>
        <v>BAKOP ACHILLE</v>
      </c>
      <c r="D3" s="58">
        <f>VLOOKUP(A3,[4]DETAILFICHECASSATION!$A$6:$R$51,18,0)</f>
        <v>800000</v>
      </c>
      <c r="E3" s="16">
        <f>VLOOKUP($A3,[5]MVTDEC24!$A$6:$AM$50,5,0)</f>
        <v>0</v>
      </c>
      <c r="F3" s="58">
        <f>VLOOKUP(A3,[4]DETAILFICHECASSATION!$A$6:$R$51,17,0)</f>
        <v>18598</v>
      </c>
      <c r="G3" s="46">
        <f t="shared" ref="G3:G38" si="0">D3-E3</f>
        <v>800000</v>
      </c>
    </row>
    <row r="4" spans="1:7" x14ac:dyDescent="0.35">
      <c r="A4" s="50" t="s">
        <v>3</v>
      </c>
      <c r="B4" s="16">
        <v>2</v>
      </c>
      <c r="C4" s="16" t="str">
        <f>VLOOKUP(A4,[3]LISTADHERENT!A$5:H$60,3,0)</f>
        <v>BOUTCHOUANG WILLIAM</v>
      </c>
      <c r="D4" s="58">
        <f>VLOOKUP(A4,[4]DETAILFICHECASSATION!$A$6:$R$51,18,0)</f>
        <v>800000</v>
      </c>
      <c r="E4" s="16">
        <f>VLOOKUP($A4,[5]MVTDEC24!$A$6:$AM$50,5,0)</f>
        <v>0</v>
      </c>
      <c r="F4" s="58">
        <f>VLOOKUP(A4,[4]DETAILFICHECASSATION!$A$6:$R$51,17,0)</f>
        <v>132669</v>
      </c>
      <c r="G4" s="46">
        <f t="shared" si="0"/>
        <v>800000</v>
      </c>
    </row>
    <row r="5" spans="1:7" x14ac:dyDescent="0.35">
      <c r="A5" s="50" t="s">
        <v>5</v>
      </c>
      <c r="B5" s="16">
        <v>3</v>
      </c>
      <c r="C5" s="16" t="str">
        <f>VLOOKUP(A5,[3]LISTADHERENT!A$5:H$60,3,0)</f>
        <v xml:space="preserve">DJOMO JEAN PAUL </v>
      </c>
      <c r="D5" s="58">
        <f>VLOOKUP(A5,[4]DETAILFICHECASSATION!$A$6:$R$51,18,0)</f>
        <v>800000</v>
      </c>
      <c r="E5" s="16">
        <f>VLOOKUP($A5,[5]MVTDEC24!$A$6:$AM$50,5,0)</f>
        <v>0</v>
      </c>
      <c r="F5" s="58">
        <f>VLOOKUP(A5,[4]DETAILFICHECASSATION!$A$6:$R$51,17,0)</f>
        <v>6643</v>
      </c>
      <c r="G5" s="46">
        <f t="shared" si="0"/>
        <v>800000</v>
      </c>
    </row>
    <row r="6" spans="1:7" x14ac:dyDescent="0.35">
      <c r="A6" s="50" t="s">
        <v>68</v>
      </c>
      <c r="B6" s="16">
        <v>4</v>
      </c>
      <c r="C6" s="16" t="str">
        <f>VLOOKUP(A6,[3]LISTADHERENT!A$5:H$60,3,0)</f>
        <v>DJOMOU TCHAPDA</v>
      </c>
      <c r="D6" s="58">
        <f>VLOOKUP(A6,[4]DETAILFICHECASSATION!$A$6:$R$51,18,0)</f>
        <v>800000</v>
      </c>
      <c r="E6" s="16">
        <f>VLOOKUP($A6,[5]MVTDEC24!$A$6:$AM$50,5,0)</f>
        <v>0</v>
      </c>
      <c r="F6" s="58">
        <f>VLOOKUP(A6,[4]DETAILFICHECASSATION!$A$6:$R$51,17,0)</f>
        <v>7246</v>
      </c>
      <c r="G6" s="46">
        <f t="shared" si="0"/>
        <v>800000</v>
      </c>
    </row>
    <row r="7" spans="1:7" s="28" customFormat="1" x14ac:dyDescent="0.35">
      <c r="A7" s="50" t="s">
        <v>6</v>
      </c>
      <c r="B7" s="16">
        <v>5</v>
      </c>
      <c r="C7" s="16" t="str">
        <f>VLOOKUP(A7,[3]LISTADHERENT!A$5:H$60,3,0)</f>
        <v>DJOUKWE NANGUEN GUY BLAISE</v>
      </c>
      <c r="D7" s="58">
        <f>VLOOKUP(A7,[4]DETAILFICHECASSATION!$A$6:$R$51,18,0)</f>
        <v>800000</v>
      </c>
      <c r="E7" s="16">
        <f>VLOOKUP($A7,[5]MVTDEC24!$A$6:$AM$50,5,0)</f>
        <v>0</v>
      </c>
      <c r="F7" s="58">
        <f>VLOOKUP(A7,[4]DETAILFICHECASSATION!$A$6:$R$51,17,0)</f>
        <v>6032</v>
      </c>
      <c r="G7" s="46">
        <f t="shared" si="0"/>
        <v>800000</v>
      </c>
    </row>
    <row r="8" spans="1:7" s="28" customFormat="1" x14ac:dyDescent="0.35">
      <c r="A8" s="50" t="s">
        <v>7</v>
      </c>
      <c r="B8" s="16">
        <v>6</v>
      </c>
      <c r="C8" s="16" t="str">
        <f>VLOOKUP(A8,[3]LISTADHERENT!A$5:H$60,3,0)</f>
        <v>DJUOMBESSY ANTOINE</v>
      </c>
      <c r="D8" s="58">
        <f>VLOOKUP(A8,[4]DETAILFICHECASSATION!$A$6:$R$51,18,0)</f>
        <v>800000</v>
      </c>
      <c r="E8" s="16">
        <f>VLOOKUP($A8,[5]MVTDEC24!$A$6:$AM$50,5,0)</f>
        <v>0</v>
      </c>
      <c r="F8" s="58">
        <f>VLOOKUP(A8,[4]DETAILFICHECASSATION!$A$6:$R$51,17,0)</f>
        <v>14486</v>
      </c>
      <c r="G8" s="46">
        <f t="shared" si="0"/>
        <v>800000</v>
      </c>
    </row>
    <row r="9" spans="1:7" x14ac:dyDescent="0.35">
      <c r="A9" s="50" t="s">
        <v>49</v>
      </c>
      <c r="B9" s="16">
        <v>7</v>
      </c>
      <c r="C9" s="16" t="str">
        <f>VLOOKUP(A9,[3]LISTADHERENT!A$5:H$60,3,0)</f>
        <v>DOMOU FABIEN</v>
      </c>
      <c r="D9" s="58">
        <f>VLOOKUP(A9,[4]DETAILFICHECASSATION!$A$6:$R$51,18,0)</f>
        <v>800000</v>
      </c>
      <c r="E9" s="16">
        <f>VLOOKUP($A9,[5]MVTDEC24!$A$6:$AM$50,5,0)</f>
        <v>0</v>
      </c>
      <c r="F9" s="58">
        <f>VLOOKUP(A9,[4]DETAILFICHECASSATION!$A$6:$R$51,17,0)</f>
        <v>6365</v>
      </c>
      <c r="G9" s="46">
        <f t="shared" si="0"/>
        <v>800000</v>
      </c>
    </row>
    <row r="10" spans="1:7" x14ac:dyDescent="0.35">
      <c r="A10" s="50" t="s">
        <v>8</v>
      </c>
      <c r="B10" s="16">
        <v>8</v>
      </c>
      <c r="C10" s="16" t="str">
        <f>VLOOKUP(A10,[3]LISTADHERENT!A$5:H$60,3,0)</f>
        <v>DONHOU DAVID</v>
      </c>
      <c r="D10" s="58">
        <f>VLOOKUP(A10,[4]DETAILFICHECASSATION!$A$6:$R$51,18,0)</f>
        <v>800000</v>
      </c>
      <c r="E10" s="16">
        <f>VLOOKUP($A10,[5]MVTDEC24!$A$6:$AM$50,5,0)</f>
        <v>0</v>
      </c>
      <c r="F10" s="58">
        <f>VLOOKUP(A10,[4]DETAILFICHECASSATION!$A$6:$R$51,17,0)</f>
        <v>702391</v>
      </c>
      <c r="G10" s="46">
        <f t="shared" si="0"/>
        <v>800000</v>
      </c>
    </row>
    <row r="11" spans="1:7" x14ac:dyDescent="0.35">
      <c r="A11" s="50" t="s">
        <v>94</v>
      </c>
      <c r="B11" s="16">
        <v>9</v>
      </c>
      <c r="C11" s="16" t="str">
        <f>VLOOKUP(A11,[3]LISTADHERENT!A$5:H$60,3,0)</f>
        <v>FAMPOU PAUL</v>
      </c>
      <c r="D11" s="58"/>
      <c r="E11" s="16">
        <f>VLOOKUP($A11,[5]MVTDEC24!$A$6:$AM$50,5,0)</f>
        <v>0</v>
      </c>
      <c r="F11" s="58"/>
      <c r="G11" s="46">
        <f t="shared" ref="G11" si="1">D11-E11</f>
        <v>0</v>
      </c>
    </row>
    <row r="12" spans="1:7" x14ac:dyDescent="0.35">
      <c r="A12" s="50" t="s">
        <v>10</v>
      </c>
      <c r="B12" s="16">
        <v>10</v>
      </c>
      <c r="C12" s="16" t="str">
        <f>VLOOKUP(A12,[3]LISTADHERENT!A$5:H$60,3,0)</f>
        <v>HENGUE PAUL OMER</v>
      </c>
      <c r="D12" s="58">
        <f>VLOOKUP(A12,[4]DETAILFICHECASSATION!$A$6:$R$51,18,0)</f>
        <v>800000</v>
      </c>
      <c r="E12" s="16">
        <f>VLOOKUP($A12,[5]MVTDEC24!$A$6:$AM$50,5,0)</f>
        <v>0</v>
      </c>
      <c r="F12" s="58">
        <f>VLOOKUP(A12,[4]DETAILFICHECASSATION!$A$6:$R$51,17,0)</f>
        <v>7143</v>
      </c>
      <c r="G12" s="46">
        <f t="shared" si="0"/>
        <v>800000</v>
      </c>
    </row>
    <row r="13" spans="1:7" x14ac:dyDescent="0.35">
      <c r="A13" s="50" t="s">
        <v>12</v>
      </c>
      <c r="B13" s="16">
        <v>11</v>
      </c>
      <c r="C13" s="16" t="str">
        <f>VLOOKUP(A13,[3]LISTADHERENT!A$5:H$60,3,0)</f>
        <v>HOTCHO BENJAMIN</v>
      </c>
      <c r="D13" s="58">
        <f>VLOOKUP(A13,[4]DETAILFICHECASSATION!$A$6:$R$51,18,0)</f>
        <v>800000</v>
      </c>
      <c r="E13" s="16">
        <f>VLOOKUP($A13,[5]MVTDEC24!$A$6:$AM$50,5,0)</f>
        <v>0</v>
      </c>
      <c r="F13" s="58">
        <f>VLOOKUP(A13,[4]DETAILFICHECASSATION!$A$6:$R$51,17,0)</f>
        <v>6301</v>
      </c>
      <c r="G13" s="46">
        <f t="shared" si="0"/>
        <v>800000</v>
      </c>
    </row>
    <row r="14" spans="1:7" s="28" customFormat="1" x14ac:dyDescent="0.35">
      <c r="A14" s="50" t="s">
        <v>16</v>
      </c>
      <c r="B14" s="16">
        <v>12</v>
      </c>
      <c r="C14" s="16" t="str">
        <f>VLOOKUP(A14,[3]LISTADHERENT!A$5:H$60,3,0)</f>
        <v>KOUAMOU MOISE</v>
      </c>
      <c r="D14" s="58">
        <f>VLOOKUP(A14,[4]DETAILFICHECASSATION!$A$6:$R$51,18,0)</f>
        <v>800000</v>
      </c>
      <c r="E14" s="16">
        <f>VLOOKUP($A14,[5]MVTDEC24!$A$6:$AM$50,5,0)</f>
        <v>0</v>
      </c>
      <c r="F14" s="58">
        <f>VLOOKUP(A14,[4]DETAILFICHECASSATION!$A$6:$R$51,17,0)</f>
        <v>6353</v>
      </c>
      <c r="G14" s="46">
        <f t="shared" si="0"/>
        <v>800000</v>
      </c>
    </row>
    <row r="15" spans="1:7" x14ac:dyDescent="0.35">
      <c r="A15" s="50" t="s">
        <v>18</v>
      </c>
      <c r="B15" s="16">
        <v>13</v>
      </c>
      <c r="C15" s="16" t="str">
        <f>VLOOKUP(A15,[3]LISTADHERENT!A$5:H$60,3,0)</f>
        <v>KOUATCHO MESSACK</v>
      </c>
      <c r="D15" s="58">
        <f>VLOOKUP(A15,[4]DETAILFICHECASSATION!$A$6:$R$51,18,0)</f>
        <v>800000</v>
      </c>
      <c r="E15" s="16">
        <f>VLOOKUP($A15,[5]MVTDEC24!$A$6:$AM$50,5,0)</f>
        <v>0</v>
      </c>
      <c r="F15" s="58">
        <f>VLOOKUP(A15,[4]DETAILFICHECASSATION!$A$6:$R$51,17,0)</f>
        <v>9944</v>
      </c>
      <c r="G15" s="46">
        <f t="shared" si="0"/>
        <v>800000</v>
      </c>
    </row>
    <row r="16" spans="1:7" x14ac:dyDescent="0.35">
      <c r="A16" s="50" t="s">
        <v>19</v>
      </c>
      <c r="B16" s="16">
        <v>14</v>
      </c>
      <c r="C16" s="16" t="str">
        <f>VLOOKUP(A16,[3]LISTADHERENT!A$5:H$60,3,0)</f>
        <v>LOWE JEAN</v>
      </c>
      <c r="D16" s="58">
        <f>VLOOKUP(A16,[4]DETAILFICHECASSATION!$A$6:$R$51,18,0)</f>
        <v>0</v>
      </c>
      <c r="E16" s="16">
        <f>VLOOKUP($A16,[5]MVTDEC24!$A$6:$AM$50,5,0)</f>
        <v>0</v>
      </c>
      <c r="F16" s="58">
        <f>VLOOKUP(A16,[4]DETAILFICHECASSATION!$A$6:$R$51,17,0)</f>
        <v>676217</v>
      </c>
      <c r="G16" s="46"/>
    </row>
    <row r="17" spans="1:7" x14ac:dyDescent="0.35">
      <c r="A17" s="50" t="s">
        <v>92</v>
      </c>
      <c r="B17" s="16">
        <v>15</v>
      </c>
      <c r="C17" s="16" t="str">
        <f>VLOOKUP(A17,[3]LISTADHERENT!A$5:H$60,3,0)</f>
        <v>MASSEUNGOUE DAGOBERT</v>
      </c>
      <c r="D17" s="58">
        <f>VLOOKUP(A17,[4]DETAILFICHECASSATION!$A$6:$R$51,18,0)</f>
        <v>0</v>
      </c>
      <c r="E17" s="16">
        <f>VLOOKUP($A17,[5]MVTDEC24!$A$6:$AM$50,5,0)</f>
        <v>0</v>
      </c>
      <c r="F17" s="58">
        <f>VLOOKUP(A17,[4]DETAILFICHECASSATION!$A$6:$R$51,17,0)</f>
        <v>198625</v>
      </c>
      <c r="G17" s="46">
        <f t="shared" si="0"/>
        <v>0</v>
      </c>
    </row>
    <row r="18" spans="1:7" x14ac:dyDescent="0.35">
      <c r="A18" s="50" t="s">
        <v>52</v>
      </c>
      <c r="B18" s="16">
        <v>16</v>
      </c>
      <c r="C18" s="16" t="str">
        <f>VLOOKUP(A18,[3]LISTADHERENT!A$5:H$60,3,0)</f>
        <v>MBOGNING TUGMA GUY</v>
      </c>
      <c r="D18" s="58">
        <f>VLOOKUP(A18,[4]DETAILFICHECASSATION!$A$6:$R$51,18,0)</f>
        <v>800000</v>
      </c>
      <c r="E18" s="16">
        <f>VLOOKUP($A18,[5]MVTDEC24!$A$6:$AM$50,5,0)</f>
        <v>0</v>
      </c>
      <c r="F18" s="58">
        <f>VLOOKUP(A18,[4]DETAILFICHECASSATION!$A$6:$R$51,17,0)</f>
        <v>8501</v>
      </c>
      <c r="G18" s="46">
        <f t="shared" si="0"/>
        <v>800000</v>
      </c>
    </row>
    <row r="19" spans="1:7" x14ac:dyDescent="0.35">
      <c r="A19" s="50" t="s">
        <v>38</v>
      </c>
      <c r="B19" s="16">
        <v>17</v>
      </c>
      <c r="C19" s="16" t="str">
        <f>VLOOKUP(A19,[3]LISTADHERENT!A$5:H$60,3,0)</f>
        <v>NANGUEN MARTIN</v>
      </c>
      <c r="D19" s="58">
        <f>VLOOKUP(A19,[4]DETAILFICHECASSATION!$A$6:$R$51,18,0)</f>
        <v>800000</v>
      </c>
      <c r="E19" s="16">
        <f>VLOOKUP($A19,[5]MVTDEC24!$A$6:$AM$50,5,0)</f>
        <v>0</v>
      </c>
      <c r="F19" s="58">
        <f>VLOOKUP(A19,[4]DETAILFICHECASSATION!$A$6:$R$51,17,0)</f>
        <v>7819</v>
      </c>
      <c r="G19" s="46">
        <f t="shared" si="0"/>
        <v>800000</v>
      </c>
    </row>
    <row r="20" spans="1:7" s="28" customFormat="1" x14ac:dyDescent="0.35">
      <c r="A20" s="50" t="s">
        <v>20</v>
      </c>
      <c r="B20" s="16">
        <v>18</v>
      </c>
      <c r="C20" s="16" t="str">
        <f>VLOOKUP(A20,[3]LISTADHERENT!A$5:H$60,3,0)</f>
        <v>NANKAM APPOLINAIRE</v>
      </c>
      <c r="D20" s="58">
        <f>VLOOKUP(A20,[4]DETAILFICHECASSATION!$A$6:$R$51,18,0)</f>
        <v>800000</v>
      </c>
      <c r="E20" s="16">
        <f>VLOOKUP($A20,[5]MVTDEC24!$A$6:$AM$50,5,0)</f>
        <v>0</v>
      </c>
      <c r="F20" s="58">
        <f>VLOOKUP(A20,[4]DETAILFICHECASSATION!$A$6:$R$51,17,0)</f>
        <v>249258</v>
      </c>
      <c r="G20" s="46">
        <f t="shared" si="0"/>
        <v>800000</v>
      </c>
    </row>
    <row r="21" spans="1:7" s="28" customFormat="1" x14ac:dyDescent="0.35">
      <c r="A21" s="50" t="s">
        <v>21</v>
      </c>
      <c r="B21" s="16">
        <v>19</v>
      </c>
      <c r="C21" s="16" t="str">
        <f>VLOOKUP(A21,[3]LISTADHERENT!A$5:H$60,3,0)</f>
        <v>NDJOMO ETIENNE</v>
      </c>
      <c r="D21" s="58">
        <f>VLOOKUP(A21,[4]DETAILFICHECASSATION!$A$6:$R$51,18,0)</f>
        <v>800000</v>
      </c>
      <c r="E21" s="16">
        <f>VLOOKUP($A21,[5]MVTDEC24!$A$6:$AM$50,5,0)</f>
        <v>0</v>
      </c>
      <c r="F21" s="58">
        <f>VLOOKUP(A21,[4]DETAILFICHECASSATION!$A$6:$R$51,17,0)</f>
        <v>256158</v>
      </c>
      <c r="G21" s="46">
        <f t="shared" si="0"/>
        <v>800000</v>
      </c>
    </row>
    <row r="22" spans="1:7" x14ac:dyDescent="0.35">
      <c r="A22" s="50" t="s">
        <v>23</v>
      </c>
      <c r="B22" s="16">
        <v>20</v>
      </c>
      <c r="C22" s="16" t="str">
        <f>VLOOKUP(A22,[3]LISTADHERENT!A$5:H$60,3,0)</f>
        <v>NGONDIEP CLAUDE</v>
      </c>
      <c r="D22" s="58">
        <f>VLOOKUP(A22,[4]DETAILFICHECASSATION!$A$6:$R$51,18,0)</f>
        <v>800000</v>
      </c>
      <c r="E22" s="16">
        <f>VLOOKUP($A22,[5]MVTDEC24!$A$6:$AM$50,5,0)</f>
        <v>0</v>
      </c>
      <c r="F22" s="58">
        <f>VLOOKUP(A22,[4]DETAILFICHECASSATION!$A$6:$R$51,17,0)</f>
        <v>353356</v>
      </c>
      <c r="G22" s="46">
        <f t="shared" si="0"/>
        <v>800000</v>
      </c>
    </row>
    <row r="23" spans="1:7" x14ac:dyDescent="0.35">
      <c r="A23" s="50" t="s">
        <v>25</v>
      </c>
      <c r="B23" s="16">
        <v>21</v>
      </c>
      <c r="C23" s="16" t="str">
        <f>VLOOKUP(A23,[3]LISTADHERENT!A$5:H$60,3,0)</f>
        <v>NGUIEMEGNI MATHIEU BLAISE</v>
      </c>
      <c r="D23" s="58">
        <f>VLOOKUP(A23,[4]DETAILFICHECASSATION!$A$6:$R$51,18,0)</f>
        <v>800000</v>
      </c>
      <c r="E23" s="16">
        <f>VLOOKUP($A23,[5]MVTDEC24!$A$6:$AM$50,5,0)</f>
        <v>0</v>
      </c>
      <c r="F23" s="58">
        <f>VLOOKUP(A23,[4]DETAILFICHECASSATION!$A$6:$R$51,17,0)</f>
        <v>9175</v>
      </c>
      <c r="G23" s="46">
        <f t="shared" si="0"/>
        <v>800000</v>
      </c>
    </row>
    <row r="24" spans="1:7" s="28" customFormat="1" x14ac:dyDescent="0.35">
      <c r="A24" s="50" t="s">
        <v>27</v>
      </c>
      <c r="B24" s="16">
        <v>22</v>
      </c>
      <c r="C24" s="16" t="str">
        <f>VLOOKUP(A24,[3]LISTADHERENT!A$5:H$60,3,0)</f>
        <v>NKAMGANG JUSTIN DEJOLIE</v>
      </c>
      <c r="D24" s="58">
        <f>VLOOKUP(A24,[4]DETAILFICHECASSATION!$A$6:$R$51,18,0)</f>
        <v>800000</v>
      </c>
      <c r="E24" s="16">
        <f>VLOOKUP($A24,[5]MVTDEC24!$A$6:$AM$50,5,0)</f>
        <v>0</v>
      </c>
      <c r="F24" s="58">
        <f>VLOOKUP(A24,[4]DETAILFICHECASSATION!$A$6:$R$51,17,0)</f>
        <v>10531</v>
      </c>
      <c r="G24" s="46">
        <f t="shared" si="0"/>
        <v>800000</v>
      </c>
    </row>
    <row r="25" spans="1:7" x14ac:dyDescent="0.35">
      <c r="A25" s="50" t="s">
        <v>83</v>
      </c>
      <c r="B25" s="16">
        <v>23</v>
      </c>
      <c r="C25" s="16" t="str">
        <f>VLOOKUP(A25,[3]LISTADHERENT!A$5:H$60,3,0)</f>
        <v>NOUBE ETIENNE</v>
      </c>
      <c r="D25" s="58">
        <f>VLOOKUP(A25,[4]DETAILFICHECASSATION!$A$6:$R$51,18,0)</f>
        <v>800000</v>
      </c>
      <c r="E25" s="16">
        <f>VLOOKUP($A25,[5]MVTDEC24!$A$6:$AM$50,5,0)</f>
        <v>0</v>
      </c>
      <c r="F25" s="58">
        <f>VLOOKUP(A25,[4]DETAILFICHECASSATION!$A$6:$R$51,17,0)</f>
        <v>-17159</v>
      </c>
      <c r="G25" s="46">
        <f t="shared" si="0"/>
        <v>800000</v>
      </c>
    </row>
    <row r="26" spans="1:7" x14ac:dyDescent="0.35">
      <c r="A26" s="50" t="s">
        <v>32</v>
      </c>
      <c r="B26" s="16">
        <v>24</v>
      </c>
      <c r="C26" s="16" t="str">
        <f>VLOOKUP(A26,[3]LISTADHERENT!A$5:H$60,3,0)</f>
        <v>PATEGO NJOSSU GUSTAVE</v>
      </c>
      <c r="D26" s="58">
        <f>VLOOKUP(A26,[4]DETAILFICHECASSATION!$A$6:$R$51,18,0)</f>
        <v>800000</v>
      </c>
      <c r="E26" s="16">
        <f>VLOOKUP($A26,[5]MVTDEC24!$A$6:$AM$50,5,0)</f>
        <v>0</v>
      </c>
      <c r="F26" s="58">
        <f>VLOOKUP(A26,[4]DETAILFICHECASSATION!$A$6:$R$51,17,0)</f>
        <v>133342</v>
      </c>
      <c r="G26" s="46">
        <f t="shared" si="0"/>
        <v>800000</v>
      </c>
    </row>
    <row r="27" spans="1:7" x14ac:dyDescent="0.35">
      <c r="A27" s="50" t="s">
        <v>84</v>
      </c>
      <c r="B27" s="16">
        <v>25</v>
      </c>
      <c r="C27" s="16" t="str">
        <f>VLOOKUP(A27,[3]LISTADHERENT!A$5:H$60,3,0)</f>
        <v>SEUMO POLYCARPE</v>
      </c>
      <c r="D27" s="58">
        <f>VLOOKUP(A27,[4]DETAILFICHECASSATION!$A$6:$R$51,18,0)</f>
        <v>800000</v>
      </c>
      <c r="E27" s="16">
        <f>VLOOKUP($A27,[5]MVTDEC24!$A$6:$AM$50,5,0)</f>
        <v>0</v>
      </c>
      <c r="F27" s="58">
        <f>VLOOKUP(A27,[4]DETAILFICHECASSATION!$A$6:$R$51,17,0)</f>
        <v>-9977</v>
      </c>
      <c r="G27" s="46">
        <f t="shared" si="0"/>
        <v>800000</v>
      </c>
    </row>
    <row r="28" spans="1:7" x14ac:dyDescent="0.35">
      <c r="A28" s="50" t="s">
        <v>51</v>
      </c>
      <c r="B28" s="16">
        <v>26</v>
      </c>
      <c r="C28" s="16" t="str">
        <f>VLOOKUP(A28,[3]LISTADHERENT!A$5:H$60,3,0)</f>
        <v>SIME BRICE</v>
      </c>
      <c r="D28" s="58">
        <f>VLOOKUP(A28,[4]DETAILFICHECASSATION!$A$6:$R$51,18,0)</f>
        <v>800000</v>
      </c>
      <c r="E28" s="16">
        <f>VLOOKUP($A28,[5]MVTDEC24!$A$6:$AM$50,5,0)</f>
        <v>0</v>
      </c>
      <c r="F28" s="58">
        <f>VLOOKUP(A28,[4]DETAILFICHECASSATION!$A$6:$R$51,17,0)</f>
        <v>79106</v>
      </c>
      <c r="G28" s="46">
        <f t="shared" si="0"/>
        <v>800000</v>
      </c>
    </row>
    <row r="29" spans="1:7" x14ac:dyDescent="0.35">
      <c r="A29" s="50" t="s">
        <v>28</v>
      </c>
      <c r="B29" s="16">
        <v>27</v>
      </c>
      <c r="C29" s="16" t="str">
        <f>VLOOKUP(A29,[3]LISTADHERENT!A$5:H$60,3,0)</f>
        <v>SIMO FONGANG ERIC</v>
      </c>
      <c r="D29" s="58"/>
      <c r="E29" s="16">
        <f>VLOOKUP($A29,[5]MVTDEC24!$A$6:$AM$50,5,0)</f>
        <v>0</v>
      </c>
      <c r="F29" s="58"/>
      <c r="G29" s="46">
        <f t="shared" si="0"/>
        <v>0</v>
      </c>
    </row>
    <row r="30" spans="1:7" x14ac:dyDescent="0.35">
      <c r="A30" s="50" t="s">
        <v>37</v>
      </c>
      <c r="B30" s="16">
        <v>28</v>
      </c>
      <c r="C30" s="16" t="str">
        <f>VLOOKUP(A30,[3]LISTADHERENT!A$5:H$60,3,0)</f>
        <v>SIMO PIERRE</v>
      </c>
      <c r="D30" s="58">
        <f>VLOOKUP(A30,[4]DETAILFICHECASSATION!$A$6:$R$51,18,0)</f>
        <v>800000</v>
      </c>
      <c r="E30" s="16">
        <f>VLOOKUP($A30,[5]MVTDEC24!$A$6:$AM$50,5,0)</f>
        <v>0</v>
      </c>
      <c r="F30" s="58">
        <f>VLOOKUP(A30,[4]DETAILFICHECASSATION!$A$6:$R$51,17,0)</f>
        <v>46691</v>
      </c>
      <c r="G30" s="46">
        <f t="shared" si="0"/>
        <v>800000</v>
      </c>
    </row>
    <row r="31" spans="1:7" x14ac:dyDescent="0.35">
      <c r="A31" s="50" t="s">
        <v>40</v>
      </c>
      <c r="B31" s="16">
        <v>29</v>
      </c>
      <c r="C31" s="16" t="str">
        <f>VLOOKUP(A31,[3]LISTADHERENT!A$5:H$60,3,0)</f>
        <v>TCHOUAMOU MATHIEU</v>
      </c>
      <c r="D31" s="58">
        <f>VLOOKUP(A31,[4]DETAILFICHECASSATION!$A$6:$R$51,18,0)</f>
        <v>800000</v>
      </c>
      <c r="E31" s="16">
        <f>VLOOKUP($A31,[5]MVTDEC24!$A$6:$AM$50,5,0)</f>
        <v>0</v>
      </c>
      <c r="F31" s="58">
        <f>VLOOKUP(A31,[4]DETAILFICHECASSATION!$A$6:$R$51,17,0)</f>
        <v>6050</v>
      </c>
      <c r="G31" s="46">
        <f t="shared" si="0"/>
        <v>800000</v>
      </c>
    </row>
    <row r="32" spans="1:7" x14ac:dyDescent="0.35">
      <c r="A32" s="50" t="s">
        <v>89</v>
      </c>
      <c r="B32" s="16">
        <v>30</v>
      </c>
      <c r="C32" s="16" t="str">
        <f>VLOOKUP(A32,[3]LISTADHERENT!A$5:H$60,3,0)</f>
        <v>TCHOUATEU AUGUSTIN</v>
      </c>
      <c r="D32" s="58">
        <f>VLOOKUP(A32,[4]DETAILFICHECASSATION!$A$6:$R$51,18,0)</f>
        <v>800000</v>
      </c>
      <c r="E32" s="16">
        <f>VLOOKUP($A32,[5]MVTDEC24!$A$6:$AM$50,5,0)</f>
        <v>0</v>
      </c>
      <c r="F32" s="58">
        <f>VLOOKUP(A32,[4]DETAILFICHECASSATION!$A$6:$R$51,17,0)</f>
        <v>-3392</v>
      </c>
      <c r="G32" s="46">
        <f t="shared" si="0"/>
        <v>800000</v>
      </c>
    </row>
    <row r="33" spans="1:7" x14ac:dyDescent="0.35">
      <c r="A33" s="50" t="s">
        <v>42</v>
      </c>
      <c r="B33" s="16">
        <v>31</v>
      </c>
      <c r="C33" s="16" t="str">
        <f>VLOOKUP(A33,[3]LISTADHERENT!A$5:H$60,3,0)</f>
        <v>TCHOUTOU NANA CLAUDE</v>
      </c>
      <c r="D33" s="58">
        <f>VLOOKUP(A33,[4]DETAILFICHECASSATION!$A$6:$R$51,18,0)</f>
        <v>0</v>
      </c>
      <c r="E33" s="16">
        <f>VLOOKUP($A33,[5]MVTDEC24!$A$6:$AM$50,5,0)</f>
        <v>0</v>
      </c>
      <c r="F33" s="58">
        <f>VLOOKUP(A33,[4]DETAILFICHECASSATION!$A$6:$R$51,17,0)</f>
        <v>487750</v>
      </c>
      <c r="G33" s="46">
        <f t="shared" si="0"/>
        <v>0</v>
      </c>
    </row>
    <row r="34" spans="1:7" x14ac:dyDescent="0.35">
      <c r="A34" s="11" t="s">
        <v>91</v>
      </c>
      <c r="B34" s="16">
        <v>32</v>
      </c>
      <c r="C34" s="16" t="str">
        <f>VLOOKUP(A34,[3]LISTADHERENT!A$5:H$60,3,0)</f>
        <v>TIEYAM ERNEST</v>
      </c>
      <c r="D34" s="58"/>
      <c r="E34" s="16">
        <f>VLOOKUP($A34,[5]MVTDEC24!$A$6:$AM$50,5,0)</f>
        <v>0</v>
      </c>
      <c r="F34" s="58"/>
      <c r="G34" s="46">
        <f t="shared" si="0"/>
        <v>0</v>
      </c>
    </row>
    <row r="35" spans="1:7" s="28" customFormat="1" x14ac:dyDescent="0.35">
      <c r="A35" s="50" t="s">
        <v>85</v>
      </c>
      <c r="B35" s="16">
        <v>33</v>
      </c>
      <c r="C35" s="16" t="str">
        <f>VLOOKUP(A35,[3]LISTADHERENT!A$5:H$60,3,0)</f>
        <v>YANTCHOU GERVAIS</v>
      </c>
      <c r="D35" s="58">
        <f>VLOOKUP(A35,[4]DETAILFICHECASSATION!$A$6:$R$51,18,0)</f>
        <v>800000</v>
      </c>
      <c r="E35" s="16">
        <f>VLOOKUP($A35,[5]MVTDEC24!$A$6:$AM$50,5,0)</f>
        <v>0</v>
      </c>
      <c r="F35" s="58">
        <f>VLOOKUP(A35,[4]DETAILFICHECASSATION!$A$6:$R$51,17,0)</f>
        <v>-32497</v>
      </c>
      <c r="G35" s="46">
        <f t="shared" si="0"/>
        <v>800000</v>
      </c>
    </row>
    <row r="36" spans="1:7" x14ac:dyDescent="0.35">
      <c r="A36" s="50" t="s">
        <v>45</v>
      </c>
      <c r="B36" s="16">
        <v>34</v>
      </c>
      <c r="C36" s="16" t="str">
        <f>VLOOKUP(A36,[3]LISTADHERENT!A$5:H$60,3,0)</f>
        <v>YEPMOU JEAN JACQUES</v>
      </c>
      <c r="D36" s="58">
        <f>VLOOKUP(A36,[4]DETAILFICHECASSATION!$A$6:$R$51,18,0)</f>
        <v>800000</v>
      </c>
      <c r="E36" s="16">
        <f>VLOOKUP($A36,[5]MVTDEC24!$A$6:$AM$50,5,0)</f>
        <v>0</v>
      </c>
      <c r="F36" s="58">
        <f>VLOOKUP(A36,[4]DETAILFICHECASSATION!$A$6:$R$51,17,0)</f>
        <v>739643</v>
      </c>
      <c r="G36" s="46">
        <f t="shared" si="0"/>
        <v>800000</v>
      </c>
    </row>
    <row r="37" spans="1:7" x14ac:dyDescent="0.35">
      <c r="A37" s="50" t="s">
        <v>90</v>
      </c>
      <c r="B37" s="16">
        <v>35</v>
      </c>
      <c r="C37" s="16" t="str">
        <f>VLOOKUP(A37,[3]LISTADHERENT!A$5:H$60,3,0)</f>
        <v>YIALA ALAIN OSCAR</v>
      </c>
      <c r="D37" s="58">
        <f>VLOOKUP(A37,[4]DETAILFICHECASSATION!$A$6:$R$51,18,0)</f>
        <v>800000</v>
      </c>
      <c r="E37" s="16">
        <f>VLOOKUP($A37,[5]MVTDEC24!$A$6:$AM$50,5,0)</f>
        <v>0</v>
      </c>
      <c r="F37" s="58">
        <f>VLOOKUP(A37,[4]DETAILFICHECASSATION!$A$6:$R$51,17,0)</f>
        <v>241</v>
      </c>
      <c r="G37" s="46">
        <f t="shared" si="0"/>
        <v>800000</v>
      </c>
    </row>
    <row r="38" spans="1:7" x14ac:dyDescent="0.35">
      <c r="A38" s="50" t="s">
        <v>46</v>
      </c>
      <c r="B38" s="16">
        <v>36</v>
      </c>
      <c r="C38" s="16" t="str">
        <f>VLOOKUP(A38,[3]LISTADHERENT!A$5:H$60,3,0)</f>
        <v>YOUMBI EMMANUEL</v>
      </c>
      <c r="D38" s="58">
        <f>VLOOKUP(A38,[4]DETAILFICHECASSATION!$A$6:$R$51,18,0)</f>
        <v>800000</v>
      </c>
      <c r="E38" s="16">
        <f>VLOOKUP($A38,[5]MVTDEC24!$A$6:$AM$50,5,0)</f>
        <v>0</v>
      </c>
      <c r="F38" s="58">
        <f>VLOOKUP(A38,[4]DETAILFICHECASSATION!$A$6:$R$51,17,0)</f>
        <v>1296586</v>
      </c>
      <c r="G38" s="46">
        <f t="shared" si="0"/>
        <v>800000</v>
      </c>
    </row>
    <row r="39" spans="1:7" x14ac:dyDescent="0.35">
      <c r="A39" s="60"/>
      <c r="B39" s="61"/>
      <c r="C39" s="61"/>
      <c r="D39" s="62"/>
      <c r="E39" s="61"/>
      <c r="F39" s="62"/>
      <c r="G39" s="63"/>
    </row>
    <row r="40" spans="1:7" ht="18" thickBot="1" x14ac:dyDescent="0.4">
      <c r="A40" s="43" t="s">
        <v>48</v>
      </c>
      <c r="B40" s="44"/>
      <c r="C40" s="44"/>
      <c r="D40" s="45">
        <f>SUM(D2:D38)</f>
        <v>24000000</v>
      </c>
      <c r="E40" s="45">
        <f t="shared" ref="E40:F40" si="2">SUM(E2:E38)</f>
        <v>0</v>
      </c>
      <c r="F40" s="45">
        <f t="shared" si="2"/>
        <v>6443329</v>
      </c>
      <c r="G40" s="45">
        <f t="shared" ref="G40" si="3">SUM(G2:G38)</f>
        <v>24000000</v>
      </c>
    </row>
    <row r="41" spans="1:7" ht="15" thickTop="1" x14ac:dyDescent="0.35">
      <c r="A41"/>
      <c r="B41"/>
      <c r="C41"/>
    </row>
    <row r="42" spans="1:7" x14ac:dyDescent="0.35">
      <c r="A42"/>
      <c r="B42" s="11" t="s">
        <v>86</v>
      </c>
      <c r="C42"/>
    </row>
    <row r="43" spans="1:7" x14ac:dyDescent="0.35">
      <c r="A43"/>
      <c r="B43"/>
      <c r="C43"/>
    </row>
    <row r="44" spans="1:7" ht="15" thickBot="1" x14ac:dyDescent="0.4">
      <c r="A44"/>
      <c r="B44"/>
      <c r="C44"/>
    </row>
    <row r="45" spans="1:7" ht="15" thickTop="1" x14ac:dyDescent="0.35">
      <c r="A45" s="51" t="s">
        <v>11</v>
      </c>
      <c r="B45" s="52"/>
      <c r="C45" s="52" t="str">
        <f>VLOOKUP(A45,[6]LISTADHERENT!A$5:H$60,3,0)</f>
        <v>HODIEP JULES</v>
      </c>
      <c r="D45" s="53">
        <f>FONDSCAISSEBACKUP!O11</f>
        <v>80000</v>
      </c>
      <c r="F45" s="65"/>
    </row>
    <row r="46" spans="1:7" x14ac:dyDescent="0.35">
      <c r="A46" s="50" t="s">
        <v>22</v>
      </c>
      <c r="B46" s="16"/>
      <c r="C46" s="16" t="str">
        <f>VLOOKUP(A46,[6]LISTADHERENT!A$5:H$60,3,0)</f>
        <v>NDOMBOU JEAN CLAUDE</v>
      </c>
      <c r="D46" s="54">
        <f>FONDSCAISSEBACKUP!O22</f>
        <v>480000</v>
      </c>
      <c r="F46" s="65"/>
    </row>
    <row r="47" spans="1:7" x14ac:dyDescent="0.35">
      <c r="A47" s="50" t="s">
        <v>24</v>
      </c>
      <c r="B47" s="16"/>
      <c r="C47" s="16" t="str">
        <f>VLOOKUP(A47,[6]LISTADHERENT!A$5:H$60,3,0)</f>
        <v>NGONGANG JEAN THEODORE</v>
      </c>
      <c r="D47" s="54">
        <f>FONDSCAISSEBACKUP!O24</f>
        <v>30000</v>
      </c>
      <c r="F47" s="65"/>
    </row>
    <row r="48" spans="1:7" x14ac:dyDescent="0.35">
      <c r="A48" s="50" t="s">
        <v>50</v>
      </c>
      <c r="B48" s="16"/>
      <c r="C48" s="16" t="str">
        <f>VLOOKUP(A48,[6]LISTADHERENT!A$5:H$60,3,0)</f>
        <v>NGANHOU JEAN</v>
      </c>
      <c r="D48" s="54">
        <f>FONDSCAISSEBACKUP!O51</f>
        <v>0</v>
      </c>
      <c r="F48" s="65"/>
    </row>
    <row r="49" spans="1:6" x14ac:dyDescent="0.35">
      <c r="A49" s="50" t="s">
        <v>9</v>
      </c>
      <c r="B49" s="16">
        <v>8</v>
      </c>
      <c r="C49" s="16" t="str">
        <f>VLOOKUP(A49,[6]LISTADHERENT!A$5:H$60,3,0)</f>
        <v>FOTSO THOMAS</v>
      </c>
      <c r="D49" s="46">
        <v>540000</v>
      </c>
      <c r="F49" s="59"/>
    </row>
    <row r="50" spans="1:6" s="28" customFormat="1" x14ac:dyDescent="0.35">
      <c r="A50" s="50" t="s">
        <v>28</v>
      </c>
      <c r="B50" s="16">
        <v>22</v>
      </c>
      <c r="C50" s="16" t="str">
        <f>VLOOKUP(A50,[6]LISTADHERENT!A$5:H$60,3,0)</f>
        <v>NKEPSEU DIEUDONNE</v>
      </c>
      <c r="D50" s="46">
        <v>600000</v>
      </c>
      <c r="F50" s="59"/>
    </row>
    <row r="51" spans="1:6" x14ac:dyDescent="0.35">
      <c r="A51" s="50" t="s">
        <v>13</v>
      </c>
      <c r="B51" s="16">
        <v>21</v>
      </c>
      <c r="C51" s="16" t="str">
        <f>VLOOKUP(A51,[6]LISTADHERENT!A$5:H$60,3,0)</f>
        <v>NKEHE DAVID</v>
      </c>
      <c r="D51" s="46">
        <v>534974.27750837663</v>
      </c>
      <c r="F51" s="59"/>
    </row>
    <row r="52" spans="1:6" s="28" customFormat="1" x14ac:dyDescent="0.35">
      <c r="A52" s="50" t="s">
        <v>43</v>
      </c>
      <c r="B52" s="16">
        <v>30</v>
      </c>
      <c r="C52" s="16" t="str">
        <f>VLOOKUP(A52,[6]LISTADHERENT!A$5:H$60,3,0)</f>
        <v>TIEYAM ERNEST</v>
      </c>
      <c r="D52" s="46">
        <v>535508.27831700875</v>
      </c>
      <c r="F52" s="59"/>
    </row>
    <row r="53" spans="1:6" x14ac:dyDescent="0.35">
      <c r="A53" s="50" t="s">
        <v>35</v>
      </c>
      <c r="B53" s="16">
        <v>26</v>
      </c>
      <c r="C53" s="16" t="str">
        <f>VLOOKUP(A53,[6]LISTADHERENT!A$5:H$60,3,0)</f>
        <v>SIMO FONGANG ERIC</v>
      </c>
      <c r="D53" s="46"/>
      <c r="E53" s="46">
        <f>[7]DETAILLISTEROUGE!$F$10</f>
        <v>153468</v>
      </c>
      <c r="F53" s="46"/>
    </row>
    <row r="54" spans="1:6" x14ac:dyDescent="0.35">
      <c r="A54" s="50" t="s">
        <v>19</v>
      </c>
      <c r="B54" s="16"/>
      <c r="C54" s="16" t="str">
        <f>VLOOKUP(A54,[3]LISTADHERENT!A$5:H$60,3,0)</f>
        <v>LOWE JEAN</v>
      </c>
      <c r="D54" s="58">
        <f>VLOOKUP(A54,[8]DETAILFICHECASSATION!$A$6:$R$50,18,0)+676217</f>
        <v>676217</v>
      </c>
      <c r="E54" s="59"/>
      <c r="F54" s="59"/>
    </row>
    <row r="55" spans="1:6" x14ac:dyDescent="0.35">
      <c r="A55" s="50"/>
      <c r="B55" s="16"/>
      <c r="C55" s="16"/>
      <c r="D55" s="46"/>
      <c r="E55" s="59"/>
      <c r="F55" s="59"/>
    </row>
    <row r="56" spans="1:6" x14ac:dyDescent="0.35">
      <c r="A56" s="50"/>
      <c r="B56" s="16"/>
      <c r="C56" s="16"/>
      <c r="D56" s="46"/>
      <c r="E56" s="59"/>
      <c r="F56" s="59"/>
    </row>
    <row r="57" spans="1:6" x14ac:dyDescent="0.35">
      <c r="A57" s="50"/>
      <c r="B57" s="16"/>
      <c r="C57" s="16"/>
      <c r="D57" s="46"/>
      <c r="F57" s="59"/>
    </row>
    <row r="58" spans="1:6" ht="18" thickBot="1" x14ac:dyDescent="0.4">
      <c r="A58" s="55" t="s">
        <v>48</v>
      </c>
      <c r="B58" s="35"/>
      <c r="C58" s="35"/>
      <c r="D58" s="56">
        <f>SUM(D49:D54)</f>
        <v>2886699.5558253853</v>
      </c>
      <c r="F58" s="66"/>
    </row>
    <row r="59" spans="1:6" ht="15" thickTop="1" x14ac:dyDescent="0.35"/>
    <row r="60" spans="1:6" ht="18" thickBot="1" x14ac:dyDescent="0.4">
      <c r="A60" s="43" t="s">
        <v>48</v>
      </c>
      <c r="B60" s="49"/>
      <c r="C60" s="44"/>
      <c r="D60" s="45">
        <f>D40+D58</f>
        <v>26886699.555825386</v>
      </c>
      <c r="F60" s="66"/>
    </row>
    <row r="61" spans="1:6" ht="15" thickTop="1" x14ac:dyDescent="0.35"/>
  </sheetData>
  <sortState ref="A2:R55">
    <sortCondition ref="D2:D55"/>
  </sortState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3"/>
  <sheetViews>
    <sheetView workbookViewId="0">
      <selection activeCell="A28" sqref="A28"/>
    </sheetView>
  </sheetViews>
  <sheetFormatPr baseColWidth="10" defaultRowHeight="14.5" x14ac:dyDescent="0.35"/>
  <cols>
    <col min="1" max="1" width="9.26953125" style="8" bestFit="1" customWidth="1"/>
    <col min="2" max="2" width="30" bestFit="1" customWidth="1"/>
    <col min="3" max="3" width="10.7265625" customWidth="1"/>
    <col min="4" max="5" width="11.453125" hidden="1" customWidth="1"/>
    <col min="7" max="7" width="11.453125" hidden="1" customWidth="1"/>
    <col min="9" max="9" width="0.26953125" customWidth="1"/>
    <col min="10" max="13" width="11.453125" hidden="1" customWidth="1"/>
  </cols>
  <sheetData>
    <row r="1" spans="1:15" ht="15" thickTop="1" x14ac:dyDescent="0.35">
      <c r="A1" s="4" t="s">
        <v>0</v>
      </c>
      <c r="B1" s="1" t="s">
        <v>1</v>
      </c>
      <c r="C1" s="2">
        <v>42979</v>
      </c>
      <c r="D1" s="2">
        <v>43009</v>
      </c>
      <c r="E1" s="2">
        <v>43040</v>
      </c>
      <c r="F1" s="2">
        <v>43070</v>
      </c>
      <c r="G1" s="2">
        <v>43101</v>
      </c>
      <c r="H1" s="2">
        <v>43132</v>
      </c>
      <c r="I1" s="2">
        <v>43160</v>
      </c>
      <c r="J1" s="2">
        <v>43191</v>
      </c>
      <c r="K1" s="2">
        <v>43221</v>
      </c>
      <c r="L1" s="2">
        <v>43252</v>
      </c>
      <c r="M1" s="2">
        <v>43282</v>
      </c>
      <c r="N1" s="2">
        <v>43313</v>
      </c>
      <c r="O1" t="s">
        <v>48</v>
      </c>
    </row>
    <row r="2" spans="1:15" ht="15" thickBot="1" x14ac:dyDescent="0.4">
      <c r="A2" s="5" t="s">
        <v>2</v>
      </c>
      <c r="B2" s="11" t="str">
        <f>VLOOKUP(A2,[6]LISTADHERENT!A$5:I$58,3,0)</f>
        <v>BAKOP ACHILLE</v>
      </c>
      <c r="C2" s="3">
        <f>[2]FONDSDECAISSE!$O6</f>
        <v>420000</v>
      </c>
      <c r="F2" s="3">
        <v>30000</v>
      </c>
      <c r="N2" s="3">
        <v>30000</v>
      </c>
      <c r="O2" s="3">
        <f>SUM(C2:N2)</f>
        <v>480000</v>
      </c>
    </row>
    <row r="3" spans="1:15" ht="15" thickTop="1" x14ac:dyDescent="0.35">
      <c r="A3" s="6" t="s">
        <v>3</v>
      </c>
      <c r="B3" s="11" t="str">
        <f>VLOOKUP(A3,[6]LISTADHERENT!A$5:I$58,3,0)</f>
        <v>BOUTCHOUANG WILLIAM</v>
      </c>
      <c r="C3" s="3">
        <f>[2]FONDSDECAISSE!$O7</f>
        <v>420000</v>
      </c>
      <c r="F3" s="3">
        <v>30000</v>
      </c>
      <c r="N3" s="3">
        <v>30000</v>
      </c>
      <c r="O3" s="3">
        <f>SUM(C3:N3)</f>
        <v>480000</v>
      </c>
    </row>
    <row r="4" spans="1:15" x14ac:dyDescent="0.35">
      <c r="A4" s="7" t="s">
        <v>4</v>
      </c>
      <c r="B4" s="11" t="str">
        <f>VLOOKUP(A4,[6]LISTADHERENT!A$5:I$58,3,0)</f>
        <v>CHINGUE FABRICE</v>
      </c>
      <c r="C4" s="3">
        <f>[2]FONDSDECAISSE!$O8</f>
        <v>420000</v>
      </c>
      <c r="F4" s="3">
        <v>30000</v>
      </c>
      <c r="N4" s="3">
        <v>30000</v>
      </c>
      <c r="O4" s="3">
        <f>SUM(C4:N4)</f>
        <v>480000</v>
      </c>
    </row>
    <row r="5" spans="1:15" x14ac:dyDescent="0.35">
      <c r="A5" s="7" t="s">
        <v>5</v>
      </c>
      <c r="B5" s="11" t="str">
        <f>VLOOKUP(A5,[6]LISTADHERENT!A$5:I$58,3,0)</f>
        <v xml:space="preserve">DJOMO JEAN PAUL </v>
      </c>
      <c r="C5" s="3">
        <f>[2]FONDSDECAISSE!$O9</f>
        <v>420000</v>
      </c>
      <c r="F5" s="3">
        <v>30000</v>
      </c>
      <c r="N5" s="3">
        <v>30000</v>
      </c>
      <c r="O5" s="3">
        <f>SUM(C5:N5)</f>
        <v>480000</v>
      </c>
    </row>
    <row r="6" spans="1:15" x14ac:dyDescent="0.35">
      <c r="A6" s="7" t="s">
        <v>6</v>
      </c>
      <c r="B6" s="11" t="str">
        <f>VLOOKUP(A6,[6]LISTADHERENT!A$5:I$58,3,0)</f>
        <v>DJOUKWE NANGUEN GUY BLAISE</v>
      </c>
      <c r="C6" s="3">
        <f>[2]FONDSDECAISSE!$O10</f>
        <v>420000</v>
      </c>
      <c r="F6" s="3">
        <v>30000</v>
      </c>
      <c r="N6" s="3">
        <v>30000</v>
      </c>
      <c r="O6" s="3">
        <f>SUM(C6:N6)</f>
        <v>480000</v>
      </c>
    </row>
    <row r="7" spans="1:15" x14ac:dyDescent="0.35">
      <c r="A7" s="7" t="s">
        <v>7</v>
      </c>
      <c r="B7" s="11" t="str">
        <f>VLOOKUP(A7,[6]LISTADHERENT!A$5:I$58,3,0)</f>
        <v>DJUOMBESSY ANTOINE</v>
      </c>
      <c r="C7" s="3">
        <f>[2]FONDSDECAISSE!$O13</f>
        <v>420000</v>
      </c>
      <c r="F7" s="3">
        <v>30000</v>
      </c>
      <c r="N7" s="3">
        <v>30000</v>
      </c>
      <c r="O7" s="3">
        <f t="shared" ref="O7:O28" si="0">SUM(C7:N7)</f>
        <v>480000</v>
      </c>
    </row>
    <row r="8" spans="1:15" x14ac:dyDescent="0.35">
      <c r="A8" s="7" t="s">
        <v>8</v>
      </c>
      <c r="B8" s="11" t="str">
        <f>VLOOKUP(A8,[6]LISTADHERENT!A$5:I$58,3,0)</f>
        <v>DONHOU DAVID</v>
      </c>
      <c r="C8" s="3">
        <f>[2]FONDSDECAISSE!$O14</f>
        <v>420000</v>
      </c>
      <c r="F8" s="3">
        <v>30000</v>
      </c>
      <c r="N8" s="3">
        <v>30000</v>
      </c>
      <c r="O8" s="3">
        <f t="shared" si="0"/>
        <v>480000</v>
      </c>
    </row>
    <row r="9" spans="1:15" x14ac:dyDescent="0.35">
      <c r="A9" s="7" t="s">
        <v>9</v>
      </c>
      <c r="B9" s="11" t="str">
        <f>VLOOKUP(A9,[6]LISTADHERENT!A$5:I$58,3,0)</f>
        <v>FOTSO THOMAS</v>
      </c>
      <c r="C9" s="3">
        <f>[2]FONDSDECAISSE!$O15</f>
        <v>420000</v>
      </c>
      <c r="F9" s="3">
        <v>30000</v>
      </c>
      <c r="N9" s="3">
        <v>30000</v>
      </c>
      <c r="O9" s="3">
        <f t="shared" si="0"/>
        <v>480000</v>
      </c>
    </row>
    <row r="10" spans="1:15" x14ac:dyDescent="0.35">
      <c r="A10" s="7" t="s">
        <v>10</v>
      </c>
      <c r="B10" s="11" t="str">
        <f>VLOOKUP(A10,[6]LISTADHERENT!A$5:I$58,3,0)</f>
        <v>HENGUE PAUL OMER</v>
      </c>
      <c r="C10" s="3">
        <f>[2]FONDSDECAISSE!$O16</f>
        <v>420000</v>
      </c>
      <c r="F10" s="3">
        <v>30000</v>
      </c>
      <c r="N10" s="3">
        <v>30000</v>
      </c>
      <c r="O10" s="3">
        <f t="shared" si="0"/>
        <v>480000</v>
      </c>
    </row>
    <row r="11" spans="1:15" x14ac:dyDescent="0.35">
      <c r="A11" s="7" t="s">
        <v>11</v>
      </c>
      <c r="B11" s="11" t="str">
        <f>VLOOKUP(A11,[6]LISTADHERENT!A$5:I$58,3,0)</f>
        <v>HODIEP JULES</v>
      </c>
      <c r="C11" s="3">
        <f>[2]FONDSDECAISSE!$O17</f>
        <v>50000</v>
      </c>
      <c r="F11" s="3">
        <v>30000</v>
      </c>
      <c r="N11" s="3"/>
      <c r="O11" s="3">
        <f t="shared" si="0"/>
        <v>80000</v>
      </c>
    </row>
    <row r="12" spans="1:15" x14ac:dyDescent="0.35">
      <c r="A12" s="7" t="s">
        <v>12</v>
      </c>
      <c r="B12" s="11" t="str">
        <f>VLOOKUP(A12,[6]LISTADHERENT!A$5:I$58,3,0)</f>
        <v>HOTCHO BENJAMIN</v>
      </c>
      <c r="C12" s="3">
        <f>[2]FONDSDECAISSE!$O18</f>
        <v>420000</v>
      </c>
      <c r="F12" s="3">
        <v>30000</v>
      </c>
      <c r="N12" s="3">
        <v>30000</v>
      </c>
      <c r="O12" s="3">
        <f t="shared" si="0"/>
        <v>480000</v>
      </c>
    </row>
    <row r="13" spans="1:15" x14ac:dyDescent="0.35">
      <c r="A13" s="7" t="s">
        <v>13</v>
      </c>
      <c r="B13" s="11" t="str">
        <f>VLOOKUP(A13,[6]LISTADHERENT!A$5:I$58,3,0)</f>
        <v>NKEHE DAVID</v>
      </c>
      <c r="C13" s="3">
        <f>[2]FONDSDECAISSE!$O19</f>
        <v>357000</v>
      </c>
      <c r="F13" s="3">
        <v>30000</v>
      </c>
      <c r="H13" s="3">
        <v>60000</v>
      </c>
      <c r="N13" s="3">
        <v>33000</v>
      </c>
      <c r="O13" s="3">
        <f t="shared" si="0"/>
        <v>480000</v>
      </c>
    </row>
    <row r="14" spans="1:15" x14ac:dyDescent="0.35">
      <c r="A14" s="7" t="s">
        <v>14</v>
      </c>
      <c r="B14" s="11" t="str">
        <f>VLOOKUP(A14,[6]LISTADHERENT!A$5:I$58,3,0)</f>
        <v>KEPSEU FRANCIS</v>
      </c>
      <c r="C14" s="3">
        <f>[2]FONDSDECAISSE!$O20</f>
        <v>420000</v>
      </c>
      <c r="F14" s="3">
        <v>30000</v>
      </c>
      <c r="N14" s="3">
        <v>30000</v>
      </c>
      <c r="O14" s="3">
        <f t="shared" si="0"/>
        <v>480000</v>
      </c>
    </row>
    <row r="15" spans="1:15" x14ac:dyDescent="0.35">
      <c r="A15" s="7" t="s">
        <v>15</v>
      </c>
      <c r="B15" s="11" t="str">
        <f>VLOOKUP(A15,[6]LISTADHERENT!A$5:I$58,3,0)</f>
        <v>KOUAMOU EMMANUEL</v>
      </c>
      <c r="C15" s="3">
        <f>[2]FONDSDECAISSE!$O21</f>
        <v>420000</v>
      </c>
      <c r="F15" s="3">
        <v>30000</v>
      </c>
      <c r="N15" s="3">
        <v>30000</v>
      </c>
      <c r="O15" s="3">
        <f t="shared" si="0"/>
        <v>480000</v>
      </c>
    </row>
    <row r="16" spans="1:15" x14ac:dyDescent="0.35">
      <c r="A16" s="7" t="s">
        <v>16</v>
      </c>
      <c r="B16" s="11" t="str">
        <f>VLOOKUP(A16,[6]LISTADHERENT!A$5:I$58,3,0)</f>
        <v>KOUAMOU MOISE</v>
      </c>
      <c r="C16" s="3">
        <f>[2]FONDSDECAISSE!$O22</f>
        <v>420000</v>
      </c>
      <c r="F16" s="3">
        <v>30000</v>
      </c>
      <c r="N16" s="3">
        <v>30000</v>
      </c>
      <c r="O16" s="3">
        <f t="shared" si="0"/>
        <v>480000</v>
      </c>
    </row>
    <row r="17" spans="1:15" x14ac:dyDescent="0.35">
      <c r="A17" s="7" t="s">
        <v>17</v>
      </c>
      <c r="B17" s="11" t="str">
        <f>VLOOKUP(A17,[6]LISTADHERENT!A$5:I$58,3,0)</f>
        <v>KOUAMO VICTOR PEGUY</v>
      </c>
      <c r="C17" s="3">
        <f>[2]FONDSDECAISSE!$O23</f>
        <v>420000</v>
      </c>
      <c r="F17" s="3">
        <v>30000</v>
      </c>
      <c r="N17" s="3">
        <v>30000</v>
      </c>
      <c r="O17" s="3">
        <f t="shared" si="0"/>
        <v>480000</v>
      </c>
    </row>
    <row r="18" spans="1:15" x14ac:dyDescent="0.35">
      <c r="A18" s="7" t="s">
        <v>18</v>
      </c>
      <c r="B18" s="11" t="str">
        <f>VLOOKUP(A18,[6]LISTADHERENT!A$5:I$58,3,0)</f>
        <v>KOUATCHO MESSACK</v>
      </c>
      <c r="C18" s="3">
        <f>[2]FONDSDECAISSE!$O24</f>
        <v>420000</v>
      </c>
      <c r="F18" s="3">
        <v>30000</v>
      </c>
      <c r="N18" s="3">
        <v>30000</v>
      </c>
      <c r="O18" s="3">
        <f t="shared" si="0"/>
        <v>480000</v>
      </c>
    </row>
    <row r="19" spans="1:15" x14ac:dyDescent="0.35">
      <c r="A19" s="7" t="s">
        <v>19</v>
      </c>
      <c r="B19" s="11" t="str">
        <f>VLOOKUP(A19,[6]LISTADHERENT!A$5:I$58,3,0)</f>
        <v>LOWE JEAN</v>
      </c>
      <c r="C19" s="3">
        <f>[2]FONDSDECAISSE!$O25</f>
        <v>420000</v>
      </c>
      <c r="F19" s="3">
        <v>30000</v>
      </c>
      <c r="N19" s="3">
        <v>30000</v>
      </c>
      <c r="O19" s="3">
        <f t="shared" si="0"/>
        <v>480000</v>
      </c>
    </row>
    <row r="20" spans="1:15" x14ac:dyDescent="0.35">
      <c r="A20" s="7" t="s">
        <v>20</v>
      </c>
      <c r="B20" s="11" t="str">
        <f>VLOOKUP(A20,[6]LISTADHERENT!A$5:I$58,3,0)</f>
        <v>NANKAM APPOLINAIRE</v>
      </c>
      <c r="C20" s="3">
        <f>[2]FONDSDECAISSE!$O26</f>
        <v>420000</v>
      </c>
      <c r="F20" s="3">
        <v>30000</v>
      </c>
      <c r="N20" s="3">
        <v>30000</v>
      </c>
      <c r="O20" s="3">
        <f t="shared" si="0"/>
        <v>480000</v>
      </c>
    </row>
    <row r="21" spans="1:15" x14ac:dyDescent="0.35">
      <c r="A21" s="7" t="s">
        <v>21</v>
      </c>
      <c r="B21" s="11" t="str">
        <f>VLOOKUP(A21,[6]LISTADHERENT!A$5:I$58,3,0)</f>
        <v>NDJOMO ETIENNE</v>
      </c>
      <c r="C21" s="3">
        <f>[2]FONDSDECAISSE!$O27</f>
        <v>420000</v>
      </c>
      <c r="F21" s="3">
        <v>30000</v>
      </c>
      <c r="N21" s="3">
        <v>30000</v>
      </c>
      <c r="O21" s="3">
        <f t="shared" si="0"/>
        <v>480000</v>
      </c>
    </row>
    <row r="22" spans="1:15" x14ac:dyDescent="0.35">
      <c r="A22" s="7" t="s">
        <v>22</v>
      </c>
      <c r="B22" s="11" t="str">
        <f>VLOOKUP(A22,[6]LISTADHERENT!A$5:I$58,3,0)</f>
        <v>NDOMBOU JEAN CLAUDE</v>
      </c>
      <c r="C22" s="3">
        <f>[2]FONDSDECAISSE!$O28</f>
        <v>420000</v>
      </c>
      <c r="F22" s="3">
        <v>30000</v>
      </c>
      <c r="N22" s="3">
        <v>30000</v>
      </c>
      <c r="O22" s="3">
        <f t="shared" si="0"/>
        <v>480000</v>
      </c>
    </row>
    <row r="23" spans="1:15" x14ac:dyDescent="0.35">
      <c r="A23" s="7" t="s">
        <v>23</v>
      </c>
      <c r="B23" s="11" t="str">
        <f>VLOOKUP(A23,[6]LISTADHERENT!A$5:I$58,3,0)</f>
        <v>NGONDIEP CLAUDE</v>
      </c>
      <c r="C23" s="3">
        <f>[2]FONDSDECAISSE!$O29</f>
        <v>420000</v>
      </c>
      <c r="F23" s="3">
        <v>30000</v>
      </c>
      <c r="N23" s="3">
        <v>30000</v>
      </c>
      <c r="O23" s="3">
        <f t="shared" si="0"/>
        <v>480000</v>
      </c>
    </row>
    <row r="24" spans="1:15" x14ac:dyDescent="0.35">
      <c r="A24" s="7" t="s">
        <v>24</v>
      </c>
      <c r="B24" s="11" t="str">
        <f>VLOOKUP(A24,[6]LISTADHERENT!A$5:I$58,3,0)</f>
        <v>NGONGANG JEAN THEODORE</v>
      </c>
      <c r="C24" s="3">
        <f>[2]FONDSDECAISSE!$O30</f>
        <v>0</v>
      </c>
      <c r="F24" s="3">
        <v>30000</v>
      </c>
      <c r="N24" s="3"/>
      <c r="O24" s="3">
        <f t="shared" si="0"/>
        <v>30000</v>
      </c>
    </row>
    <row r="25" spans="1:15" x14ac:dyDescent="0.35">
      <c r="A25" s="7" t="s">
        <v>25</v>
      </c>
      <c r="B25" s="11" t="str">
        <f>VLOOKUP(A25,[6]LISTADHERENT!A$5:I$58,3,0)</f>
        <v>NGUIEMEGNI MATHIEU BLAISE</v>
      </c>
      <c r="C25" s="3">
        <f>[2]FONDSDECAISSE!$O31</f>
        <v>420000</v>
      </c>
      <c r="F25" s="3">
        <v>30000</v>
      </c>
      <c r="N25" s="3">
        <v>30000</v>
      </c>
      <c r="O25" s="3">
        <f t="shared" si="0"/>
        <v>480000</v>
      </c>
    </row>
    <row r="26" spans="1:15" x14ac:dyDescent="0.35">
      <c r="A26" s="7" t="s">
        <v>26</v>
      </c>
      <c r="B26" s="11" t="str">
        <f>VLOOKUP(A26,[6]LISTADHERENT!A$5:I$58,3,0)</f>
        <v>NJEPDJIO MBOUKAM DELUXE</v>
      </c>
      <c r="C26" s="3">
        <f>[2]FONDSDECAISSE!$O32</f>
        <v>420000</v>
      </c>
      <c r="F26" s="3">
        <v>30000</v>
      </c>
      <c r="N26" s="3">
        <v>30000</v>
      </c>
      <c r="O26" s="3">
        <f t="shared" si="0"/>
        <v>480000</v>
      </c>
    </row>
    <row r="27" spans="1:15" x14ac:dyDescent="0.35">
      <c r="A27" s="7" t="s">
        <v>27</v>
      </c>
      <c r="B27" s="11" t="str">
        <f>VLOOKUP(A27,[6]LISTADHERENT!A$5:I$58,3,0)</f>
        <v>NKAMGANG JUSTIN DEJOLIE</v>
      </c>
      <c r="C27" s="3">
        <f>[2]FONDSDECAISSE!$O33</f>
        <v>420000</v>
      </c>
      <c r="F27" s="3">
        <v>30000</v>
      </c>
      <c r="N27" s="3">
        <v>30000</v>
      </c>
      <c r="O27" s="3">
        <f t="shared" si="0"/>
        <v>480000</v>
      </c>
    </row>
    <row r="28" spans="1:15" x14ac:dyDescent="0.35">
      <c r="A28" s="7" t="s">
        <v>28</v>
      </c>
      <c r="B28" s="11" t="str">
        <f>VLOOKUP(A28,[6]LISTADHERENT!A$5:I$58,3,0)</f>
        <v>NKEPSEU DIEUDONNE</v>
      </c>
      <c r="C28" s="3">
        <f>[2]FONDSDECAISSE!$O34</f>
        <v>420000</v>
      </c>
      <c r="F28" s="3">
        <v>30000</v>
      </c>
      <c r="N28" s="3">
        <v>30000</v>
      </c>
      <c r="O28" s="3">
        <f t="shared" si="0"/>
        <v>480000</v>
      </c>
    </row>
    <row r="29" spans="1:15" x14ac:dyDescent="0.35">
      <c r="A29" s="7" t="s">
        <v>29</v>
      </c>
      <c r="B29" s="11" t="str">
        <f>VLOOKUP(A29,[6]LISTADHERENT!A$5:I$58,3,0)</f>
        <v>NKEPSEU HENANG RENE</v>
      </c>
      <c r="C29" s="3"/>
      <c r="F29" s="3">
        <v>0</v>
      </c>
      <c r="N29" s="3">
        <v>30000</v>
      </c>
      <c r="O29" s="3"/>
    </row>
    <row r="30" spans="1:15" x14ac:dyDescent="0.35">
      <c r="A30" s="7" t="s">
        <v>30</v>
      </c>
      <c r="B30" s="11" t="str">
        <f>VLOOKUP(A30,[6]LISTADHERENT!A$5:I$58,3,0)</f>
        <v>NTEPDIE TUEMAC MZ</v>
      </c>
      <c r="C30" s="3">
        <f>[2]FONDSDECAISSE!$O36</f>
        <v>0</v>
      </c>
      <c r="F30" s="3">
        <v>0</v>
      </c>
      <c r="N30" s="3">
        <v>30000</v>
      </c>
      <c r="O30" s="3">
        <f>SUM(C30:N30)</f>
        <v>30000</v>
      </c>
    </row>
    <row r="31" spans="1:15" x14ac:dyDescent="0.35">
      <c r="A31" s="7" t="s">
        <v>31</v>
      </c>
      <c r="B31" s="11" t="str">
        <f>VLOOKUP(A31,[6]LISTADHERENT!A$5:I$58,3,0)</f>
        <v>NTOMBOU ADOLPHE</v>
      </c>
      <c r="C31" s="3"/>
      <c r="F31" s="3">
        <v>0</v>
      </c>
      <c r="N31" s="3">
        <v>30000</v>
      </c>
      <c r="O31" s="3"/>
    </row>
    <row r="32" spans="1:15" x14ac:dyDescent="0.35">
      <c r="A32" s="7" t="s">
        <v>32</v>
      </c>
      <c r="B32" s="11" t="str">
        <f>VLOOKUP(A32,[6]LISTADHERENT!A$5:I$58,3,0)</f>
        <v>PATEGO NJOSSU GUSTAVE</v>
      </c>
      <c r="C32" s="3">
        <f>[2]FONDSDECAISSE!$O38</f>
        <v>420000</v>
      </c>
      <c r="F32" s="3">
        <v>30000</v>
      </c>
      <c r="N32" s="3">
        <v>30000</v>
      </c>
      <c r="O32" s="3">
        <f t="shared" ref="O32:O52" si="1">SUM(C32:N32)</f>
        <v>480000</v>
      </c>
    </row>
    <row r="33" spans="1:15" x14ac:dyDescent="0.35">
      <c r="A33" s="7" t="s">
        <v>33</v>
      </c>
      <c r="B33" s="11" t="str">
        <f>VLOOKUP(A33,[6]LISTADHERENT!A$5:I$58,3,0)</f>
        <v>SEUNOU RICHELOT</v>
      </c>
      <c r="C33" s="3">
        <f>[2]FONDSDECAISSE!$O39</f>
        <v>420000</v>
      </c>
      <c r="F33" s="3">
        <v>30000</v>
      </c>
      <c r="N33" s="3">
        <v>30000</v>
      </c>
      <c r="O33" s="3">
        <f t="shared" si="1"/>
        <v>480000</v>
      </c>
    </row>
    <row r="34" spans="1:15" x14ac:dyDescent="0.35">
      <c r="A34" s="7" t="s">
        <v>34</v>
      </c>
      <c r="B34" s="11" t="str">
        <f>VLOOKUP(A34,[6]LISTADHERENT!A$5:I$58,3,0)</f>
        <v>SIME ABEL</v>
      </c>
      <c r="C34" s="3">
        <f>[2]FONDSDECAISSE!$O40</f>
        <v>390000</v>
      </c>
      <c r="F34" s="3">
        <v>30000</v>
      </c>
      <c r="N34" s="3"/>
      <c r="O34" s="3">
        <f t="shared" si="1"/>
        <v>420000</v>
      </c>
    </row>
    <row r="35" spans="1:15" x14ac:dyDescent="0.35">
      <c r="A35" s="7" t="s">
        <v>35</v>
      </c>
      <c r="B35" s="11" t="str">
        <f>VLOOKUP(A35,[6]LISTADHERENT!A$5:I$58,3,0)</f>
        <v>SIMO FONGANG ERIC</v>
      </c>
      <c r="C35" s="3">
        <f>[2]FONDSDECAISSE!$O41</f>
        <v>420000</v>
      </c>
      <c r="F35" s="3">
        <v>30000</v>
      </c>
      <c r="N35" s="3">
        <v>30000</v>
      </c>
      <c r="O35" s="3">
        <f t="shared" si="1"/>
        <v>480000</v>
      </c>
    </row>
    <row r="36" spans="1:15" x14ac:dyDescent="0.35">
      <c r="A36" s="7" t="s">
        <v>36</v>
      </c>
      <c r="B36" s="11" t="str">
        <f>VLOOKUP(A36,[6]LISTADHERENT!A$5:I$58,3,0)</f>
        <v>SIME MATHIEU</v>
      </c>
      <c r="C36" s="3">
        <f>[2]FONDSDECAISSE!$O42</f>
        <v>420000</v>
      </c>
      <c r="F36" s="3">
        <v>30000</v>
      </c>
      <c r="N36" s="3">
        <v>30000</v>
      </c>
      <c r="O36" s="3">
        <f t="shared" si="1"/>
        <v>480000</v>
      </c>
    </row>
    <row r="37" spans="1:15" x14ac:dyDescent="0.35">
      <c r="A37" s="7" t="s">
        <v>37</v>
      </c>
      <c r="B37" s="11" t="str">
        <f>VLOOKUP(A37,[6]LISTADHERENT!A$5:I$58,3,0)</f>
        <v>SIMO PIERRE</v>
      </c>
      <c r="C37" s="3">
        <f>[2]FONDSDECAISSE!$O43</f>
        <v>420000</v>
      </c>
      <c r="F37" s="3">
        <v>30000</v>
      </c>
      <c r="N37" s="3">
        <v>30000</v>
      </c>
      <c r="O37" s="3">
        <f t="shared" si="1"/>
        <v>480000</v>
      </c>
    </row>
    <row r="38" spans="1:15" x14ac:dyDescent="0.35">
      <c r="A38" s="7" t="s">
        <v>38</v>
      </c>
      <c r="B38" s="11" t="str">
        <f>VLOOKUP(A38,[6]LISTADHERENT!A$5:I$58,3,0)</f>
        <v>NANGUEN MARTIN</v>
      </c>
      <c r="C38" s="3">
        <f>[2]FONDSDECAISSE!$O44</f>
        <v>390000</v>
      </c>
      <c r="F38" s="3">
        <v>30000</v>
      </c>
      <c r="N38" s="3">
        <v>30000</v>
      </c>
      <c r="O38" s="3">
        <f t="shared" si="1"/>
        <v>450000</v>
      </c>
    </row>
    <row r="39" spans="1:15" x14ac:dyDescent="0.35">
      <c r="A39" s="7" t="s">
        <v>39</v>
      </c>
      <c r="B39" s="11" t="str">
        <f>VLOOKUP(A39,[6]LISTADHERENT!A$5:I$58,3,0)</f>
        <v>TCHOUAMOU JEAN PAUL</v>
      </c>
      <c r="C39" s="3">
        <f>[2]FONDSDECAISSE!$O45</f>
        <v>20000</v>
      </c>
      <c r="F39" s="3">
        <v>30000</v>
      </c>
      <c r="N39" s="3"/>
      <c r="O39" s="3">
        <f t="shared" si="1"/>
        <v>50000</v>
      </c>
    </row>
    <row r="40" spans="1:15" x14ac:dyDescent="0.35">
      <c r="A40" s="7" t="s">
        <v>40</v>
      </c>
      <c r="B40" s="11" t="str">
        <f>VLOOKUP(A40,[6]LISTADHERENT!A$5:I$58,3,0)</f>
        <v>TCHOUAMOU MATHIEU</v>
      </c>
      <c r="C40" s="3">
        <f>[2]FONDSDECAISSE!$O46</f>
        <v>420000</v>
      </c>
      <c r="F40" s="3">
        <v>30000</v>
      </c>
      <c r="N40" s="3">
        <v>30000</v>
      </c>
      <c r="O40" s="3">
        <f t="shared" si="1"/>
        <v>480000</v>
      </c>
    </row>
    <row r="41" spans="1:15" x14ac:dyDescent="0.35">
      <c r="A41" s="7" t="s">
        <v>41</v>
      </c>
      <c r="B41" s="11" t="str">
        <f>VLOOKUP(A41,[6]LISTADHERENT!A$5:I$58,3,0)</f>
        <v>TCHOUANTE FRANCOIS</v>
      </c>
      <c r="C41" s="3">
        <f>[2]FONDSDECAISSE!$O47</f>
        <v>403819</v>
      </c>
      <c r="F41" s="3">
        <v>30000</v>
      </c>
      <c r="N41" s="3">
        <v>30000</v>
      </c>
      <c r="O41" s="3">
        <f t="shared" si="1"/>
        <v>463819</v>
      </c>
    </row>
    <row r="42" spans="1:15" x14ac:dyDescent="0.35">
      <c r="A42" s="7" t="s">
        <v>42</v>
      </c>
      <c r="B42" s="11" t="str">
        <f>VLOOKUP(A42,[6]LISTADHERENT!A$5:I$58,3,0)</f>
        <v>TCHOUTOU NANA CLAUDE</v>
      </c>
      <c r="C42" s="3">
        <f>[2]FONDSDECAISSE!$O48</f>
        <v>0</v>
      </c>
      <c r="F42" s="3">
        <v>30000</v>
      </c>
      <c r="N42" s="3"/>
      <c r="O42" s="3">
        <f t="shared" si="1"/>
        <v>30000</v>
      </c>
    </row>
    <row r="43" spans="1:15" x14ac:dyDescent="0.35">
      <c r="A43" s="7" t="s">
        <v>43</v>
      </c>
      <c r="B43" s="11" t="str">
        <f>VLOOKUP(A43,[6]LISTADHERENT!A$5:I$58,3,0)</f>
        <v>TIEYAM ERNEST</v>
      </c>
      <c r="C43" s="3">
        <f>[2]FONDSDECAISSE!$O49</f>
        <v>420000</v>
      </c>
      <c r="F43" s="3">
        <v>30000</v>
      </c>
      <c r="N43" s="3">
        <v>30000</v>
      </c>
      <c r="O43" s="3">
        <f t="shared" si="1"/>
        <v>480000</v>
      </c>
    </row>
    <row r="44" spans="1:15" x14ac:dyDescent="0.35">
      <c r="A44" s="7" t="s">
        <v>44</v>
      </c>
      <c r="B44" s="11" t="str">
        <f>VLOOKUP(A44,[6]LISTADHERENT!A$5:I$58,3,0)</f>
        <v>TUGMA PIERRE LOTI</v>
      </c>
      <c r="C44" s="3">
        <f>[2]FONDSDECAISSE!$O50</f>
        <v>420000</v>
      </c>
      <c r="F44" s="3">
        <v>30000</v>
      </c>
      <c r="N44" s="3">
        <v>30000</v>
      </c>
      <c r="O44" s="3">
        <f t="shared" si="1"/>
        <v>480000</v>
      </c>
    </row>
    <row r="45" spans="1:15" x14ac:dyDescent="0.35">
      <c r="A45" s="7" t="s">
        <v>45</v>
      </c>
      <c r="B45" s="11" t="str">
        <f>VLOOKUP(A45,[6]LISTADHERENT!A$5:I$58,3,0)</f>
        <v>YEPMOU JEAN JACQUES</v>
      </c>
      <c r="C45" s="3">
        <f>[2]FONDSDECAISSE!$O51</f>
        <v>420000</v>
      </c>
      <c r="F45" s="3">
        <v>30000</v>
      </c>
      <c r="N45" s="3">
        <v>30000</v>
      </c>
      <c r="O45" s="3">
        <f t="shared" si="1"/>
        <v>480000</v>
      </c>
    </row>
    <row r="46" spans="1:15" x14ac:dyDescent="0.35">
      <c r="A46" s="7" t="s">
        <v>46</v>
      </c>
      <c r="B46" s="11" t="str">
        <f>VLOOKUP(A46,[6]LISTADHERENT!A$5:I$58,3,0)</f>
        <v>YOUMBI EMMANUEL</v>
      </c>
      <c r="C46" s="3">
        <f>[2]FONDSDECAISSE!$O52</f>
        <v>420000</v>
      </c>
      <c r="F46" s="3">
        <v>30000</v>
      </c>
      <c r="N46" s="3">
        <v>30000</v>
      </c>
      <c r="O46" s="3">
        <f t="shared" si="1"/>
        <v>480000</v>
      </c>
    </row>
    <row r="47" spans="1:15" x14ac:dyDescent="0.35">
      <c r="A47" s="7" t="s">
        <v>47</v>
      </c>
      <c r="B47" s="11" t="str">
        <f>VLOOKUP(A47,[6]LISTADHERENT!A$5:I$58,3,0)</f>
        <v>ASELBY</v>
      </c>
      <c r="C47" s="3">
        <f>362838.011083746+F47</f>
        <v>362838.01108374598</v>
      </c>
      <c r="F47" s="3">
        <v>0</v>
      </c>
      <c r="N47" s="3">
        <v>31243</v>
      </c>
      <c r="O47" s="3">
        <f t="shared" si="1"/>
        <v>394081.01108374598</v>
      </c>
    </row>
    <row r="48" spans="1:15" x14ac:dyDescent="0.35">
      <c r="A48" s="10" t="s">
        <v>52</v>
      </c>
      <c r="B48" s="11" t="str">
        <f>VLOOKUP(A48,[6]LISTADHERENT!A$5:I$58,3,0)</f>
        <v>MBOGNING TUGMA GUY</v>
      </c>
      <c r="N48" s="3">
        <v>30000</v>
      </c>
      <c r="O48" s="3">
        <f t="shared" si="1"/>
        <v>30000</v>
      </c>
    </row>
    <row r="49" spans="1:15" ht="15" thickBot="1" x14ac:dyDescent="0.4">
      <c r="A49" s="9" t="s">
        <v>53</v>
      </c>
      <c r="B49" s="11" t="str">
        <f>VLOOKUP(A49,[6]LISTADHERENT!A$5:I$58,3,0)</f>
        <v>DJOMO DOMO</v>
      </c>
      <c r="N49" s="3"/>
      <c r="O49" s="3">
        <f t="shared" si="1"/>
        <v>0</v>
      </c>
    </row>
    <row r="50" spans="1:15" ht="15.5" thickTop="1" thickBot="1" x14ac:dyDescent="0.4">
      <c r="A50" s="9" t="s">
        <v>49</v>
      </c>
      <c r="B50" s="11" t="str">
        <f>VLOOKUP(A50,[6]LISTADHERENT!A$5:I$58,3,0)</f>
        <v>DOMOU FABIEN</v>
      </c>
      <c r="N50" s="3">
        <v>441596</v>
      </c>
      <c r="O50" s="3">
        <f t="shared" si="1"/>
        <v>441596</v>
      </c>
    </row>
    <row r="51" spans="1:15" ht="15.5" thickTop="1" thickBot="1" x14ac:dyDescent="0.4">
      <c r="A51" s="9" t="s">
        <v>50</v>
      </c>
      <c r="B51" s="11" t="str">
        <f>VLOOKUP(A51,[6]LISTADHERENT!A$5:I$58,3,0)</f>
        <v>NGANHOU JEAN</v>
      </c>
      <c r="N51" s="3"/>
      <c r="O51" s="3">
        <f t="shared" si="1"/>
        <v>0</v>
      </c>
    </row>
    <row r="52" spans="1:15" ht="15.5" thickTop="1" thickBot="1" x14ac:dyDescent="0.4">
      <c r="A52" s="9" t="s">
        <v>51</v>
      </c>
      <c r="B52" s="11" t="str">
        <f>VLOOKUP(A52,[6]LISTADHERENT!A$5:I$58,3,0)</f>
        <v>SIME BRICE</v>
      </c>
      <c r="N52" s="3"/>
      <c r="O52" s="3">
        <f t="shared" si="1"/>
        <v>0</v>
      </c>
    </row>
    <row r="53" spans="1:15" ht="15" thickTop="1" x14ac:dyDescent="0.35">
      <c r="N53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selection activeCell="B3" sqref="B3"/>
    </sheetView>
  </sheetViews>
  <sheetFormatPr baseColWidth="10" defaultRowHeight="14.5" x14ac:dyDescent="0.35"/>
  <cols>
    <col min="1" max="1" width="12.26953125" style="8" customWidth="1"/>
    <col min="2" max="2" width="31.81640625" bestFit="1" customWidth="1"/>
    <col min="3" max="3" width="9.81640625" bestFit="1" customWidth="1"/>
    <col min="4" max="5" width="8.81640625" bestFit="1" customWidth="1"/>
    <col min="6" max="6" width="16.453125" bestFit="1" customWidth="1"/>
    <col min="7" max="7" width="15" bestFit="1" customWidth="1"/>
    <col min="8" max="8" width="11.453125" style="3"/>
  </cols>
  <sheetData>
    <row r="1" spans="1:8" ht="15" thickTop="1" x14ac:dyDescent="0.35">
      <c r="A1" s="6" t="s">
        <v>71</v>
      </c>
      <c r="B1" s="13" t="s">
        <v>72</v>
      </c>
      <c r="C1" s="14" t="s">
        <v>73</v>
      </c>
      <c r="D1" s="14" t="s">
        <v>74</v>
      </c>
      <c r="E1" s="14" t="s">
        <v>75</v>
      </c>
    </row>
    <row r="2" spans="1:8" x14ac:dyDescent="0.35">
      <c r="A2" s="39">
        <v>44105</v>
      </c>
      <c r="B2" s="17" t="s">
        <v>76</v>
      </c>
      <c r="C2" s="3">
        <v>300000</v>
      </c>
      <c r="D2" s="3"/>
      <c r="E2" s="3"/>
      <c r="H2"/>
    </row>
    <row r="3" spans="1:8" s="28" customFormat="1" x14ac:dyDescent="0.35">
      <c r="A3" s="30"/>
      <c r="B3" s="17" t="s">
        <v>77</v>
      </c>
      <c r="C3" s="26"/>
      <c r="D3" s="26"/>
      <c r="E3" s="26"/>
    </row>
    <row r="4" spans="1:8" x14ac:dyDescent="0.35">
      <c r="A4" s="3"/>
      <c r="C4" s="3"/>
      <c r="D4" s="3"/>
      <c r="E4" s="3"/>
      <c r="H4"/>
    </row>
    <row r="5" spans="1:8" x14ac:dyDescent="0.35">
      <c r="A5" s="22"/>
      <c r="B5" s="22"/>
      <c r="C5" s="3"/>
      <c r="D5" s="3"/>
      <c r="E5" s="22"/>
      <c r="H5"/>
    </row>
    <row r="6" spans="1:8" x14ac:dyDescent="0.35">
      <c r="A6" s="3"/>
      <c r="C6" s="3"/>
      <c r="D6" s="3"/>
      <c r="E6" s="3"/>
      <c r="H6"/>
    </row>
    <row r="7" spans="1:8" x14ac:dyDescent="0.35">
      <c r="A7" s="3"/>
      <c r="C7" s="3"/>
      <c r="D7" s="3"/>
      <c r="E7" s="3"/>
      <c r="H7"/>
    </row>
    <row r="8" spans="1:8" s="28" customFormat="1" x14ac:dyDescent="0.35">
      <c r="A8" s="26"/>
      <c r="C8" s="26"/>
      <c r="D8" s="26"/>
      <c r="E8" s="26"/>
    </row>
    <row r="9" spans="1:8" s="28" customFormat="1" x14ac:dyDescent="0.35">
      <c r="A9" s="26"/>
      <c r="C9" s="26"/>
      <c r="D9" s="26"/>
      <c r="E9" s="26"/>
    </row>
    <row r="10" spans="1:8" x14ac:dyDescent="0.35">
      <c r="A10" s="3"/>
      <c r="C10" s="3"/>
      <c r="D10" s="3"/>
      <c r="E10" s="3"/>
      <c r="H10"/>
    </row>
    <row r="11" spans="1:8" x14ac:dyDescent="0.35">
      <c r="A11" s="3"/>
      <c r="C11" s="3"/>
      <c r="D11" s="3"/>
      <c r="E11" s="3"/>
      <c r="H11"/>
    </row>
    <row r="12" spans="1:8" x14ac:dyDescent="0.35">
      <c r="A12" s="3"/>
      <c r="C12" s="3"/>
      <c r="D12" s="3"/>
      <c r="E12" s="3"/>
      <c r="H12"/>
    </row>
    <row r="13" spans="1:8" x14ac:dyDescent="0.35">
      <c r="A13" s="3"/>
      <c r="C13" s="3"/>
      <c r="D13" s="3"/>
      <c r="E13" s="3"/>
      <c r="H13"/>
    </row>
    <row r="14" spans="1:8" x14ac:dyDescent="0.35">
      <c r="A14" s="3"/>
      <c r="C14" s="3"/>
      <c r="D14" s="3"/>
      <c r="E14" s="3"/>
      <c r="H14"/>
    </row>
    <row r="15" spans="1:8" s="28" customFormat="1" x14ac:dyDescent="0.35">
      <c r="A15" s="26"/>
      <c r="C15" s="26"/>
      <c r="D15" s="26"/>
      <c r="E15" s="26"/>
    </row>
    <row r="16" spans="1:8" x14ac:dyDescent="0.35">
      <c r="A16" s="3"/>
      <c r="C16" s="3"/>
      <c r="D16" s="3"/>
      <c r="E16" s="3"/>
      <c r="H16"/>
    </row>
    <row r="17" spans="1:8" x14ac:dyDescent="0.35">
      <c r="A17" s="3"/>
      <c r="C17" s="3"/>
      <c r="D17" s="3"/>
      <c r="E17" s="3"/>
      <c r="H17"/>
    </row>
    <row r="18" spans="1:8" x14ac:dyDescent="0.35">
      <c r="A18" s="3"/>
      <c r="B18" s="3"/>
      <c r="C18" s="3"/>
      <c r="D18" s="3"/>
      <c r="E18" s="3"/>
      <c r="H18"/>
    </row>
    <row r="19" spans="1:8" x14ac:dyDescent="0.35">
      <c r="A19" s="22"/>
      <c r="B19" s="29"/>
      <c r="C19" s="3"/>
      <c r="D19" s="3"/>
      <c r="E19" s="3"/>
      <c r="H19"/>
    </row>
    <row r="20" spans="1:8" x14ac:dyDescent="0.35">
      <c r="A20" s="3"/>
      <c r="C20" s="3"/>
      <c r="D20" s="3"/>
      <c r="E20" s="3"/>
      <c r="H20"/>
    </row>
    <row r="21" spans="1:8" x14ac:dyDescent="0.35">
      <c r="A21" s="3"/>
      <c r="C21" s="3"/>
      <c r="D21" s="3"/>
      <c r="E21" s="3"/>
      <c r="H21"/>
    </row>
    <row r="22" spans="1:8" x14ac:dyDescent="0.35">
      <c r="A22" s="3"/>
      <c r="C22" s="3"/>
      <c r="D22" s="3"/>
      <c r="E22" s="3"/>
      <c r="H22"/>
    </row>
    <row r="23" spans="1:8" s="28" customFormat="1" x14ac:dyDescent="0.35">
      <c r="A23" s="26"/>
      <c r="C23" s="26"/>
      <c r="D23" s="26"/>
      <c r="E23" s="26"/>
    </row>
    <row r="24" spans="1:8" s="28" customFormat="1" x14ac:dyDescent="0.35">
      <c r="A24" s="26"/>
      <c r="C24" s="26"/>
      <c r="D24" s="26"/>
      <c r="E24" s="26"/>
    </row>
    <row r="25" spans="1:8" x14ac:dyDescent="0.35">
      <c r="A25" s="3"/>
      <c r="C25" s="3"/>
      <c r="D25" s="3"/>
      <c r="E25" s="3"/>
      <c r="H25"/>
    </row>
    <row r="26" spans="1:8" x14ac:dyDescent="0.35">
      <c r="A26" s="3"/>
      <c r="C26" s="3"/>
      <c r="D26" s="3"/>
      <c r="E26" s="3"/>
      <c r="H26"/>
    </row>
    <row r="27" spans="1:8" s="28" customFormat="1" x14ac:dyDescent="0.35">
      <c r="A27" s="30"/>
      <c r="C27" s="26"/>
      <c r="D27" s="26"/>
      <c r="E27" s="26"/>
    </row>
    <row r="28" spans="1:8" s="28" customFormat="1" x14ac:dyDescent="0.35">
      <c r="A28" s="26"/>
      <c r="C28" s="26"/>
      <c r="D28" s="26"/>
      <c r="E28" s="26"/>
    </row>
    <row r="29" spans="1:8" x14ac:dyDescent="0.35">
      <c r="A29" s="3"/>
      <c r="C29" s="3"/>
      <c r="D29" s="3"/>
      <c r="E29" s="3"/>
      <c r="H29"/>
    </row>
    <row r="30" spans="1:8" s="28" customFormat="1" x14ac:dyDescent="0.35">
      <c r="A30" s="26"/>
      <c r="C30" s="26"/>
      <c r="D30" s="26"/>
      <c r="E30" s="26"/>
    </row>
    <row r="31" spans="1:8" x14ac:dyDescent="0.35">
      <c r="A31" s="3"/>
      <c r="C31" s="3"/>
      <c r="D31" s="3"/>
      <c r="E31" s="3"/>
      <c r="H31"/>
    </row>
    <row r="32" spans="1:8" x14ac:dyDescent="0.35">
      <c r="A32" s="3"/>
      <c r="B32" s="3"/>
      <c r="C32" s="3"/>
      <c r="D32" s="3"/>
      <c r="E32" s="3"/>
      <c r="H32"/>
    </row>
    <row r="33" spans="1:8" x14ac:dyDescent="0.35">
      <c r="A33" s="3"/>
      <c r="E33" s="3"/>
      <c r="H33"/>
    </row>
    <row r="34" spans="1:8" x14ac:dyDescent="0.35">
      <c r="A34" s="3"/>
      <c r="E34" s="3"/>
      <c r="H34"/>
    </row>
    <row r="35" spans="1:8" x14ac:dyDescent="0.35">
      <c r="A35" s="3"/>
      <c r="E35" s="3"/>
      <c r="H35"/>
    </row>
    <row r="36" spans="1:8" x14ac:dyDescent="0.35">
      <c r="A36" s="3"/>
      <c r="E36" s="3"/>
      <c r="H36"/>
    </row>
    <row r="37" spans="1:8" x14ac:dyDescent="0.35">
      <c r="A37" s="3"/>
      <c r="E37" s="3"/>
      <c r="H37"/>
    </row>
    <row r="38" spans="1:8" x14ac:dyDescent="0.35">
      <c r="A38" s="22"/>
      <c r="E38" s="3"/>
      <c r="H38"/>
    </row>
    <row r="39" spans="1:8" x14ac:dyDescent="0.35">
      <c r="A39" s="3"/>
      <c r="E39" s="3"/>
      <c r="H39"/>
    </row>
    <row r="40" spans="1:8" s="28" customFormat="1" x14ac:dyDescent="0.35">
      <c r="A40" s="26"/>
      <c r="E40" s="26"/>
    </row>
    <row r="41" spans="1:8" x14ac:dyDescent="0.35">
      <c r="A41" s="3"/>
      <c r="E41" s="3"/>
      <c r="H41"/>
    </row>
    <row r="42" spans="1:8" x14ac:dyDescent="0.35">
      <c r="A42" s="3"/>
      <c r="E42" s="3"/>
      <c r="H42"/>
    </row>
    <row r="43" spans="1:8" x14ac:dyDescent="0.35">
      <c r="A43" s="3"/>
      <c r="E43" s="3"/>
      <c r="H43"/>
    </row>
    <row r="44" spans="1:8" s="28" customFormat="1" x14ac:dyDescent="0.35">
      <c r="A44" s="26"/>
      <c r="E44" s="26"/>
    </row>
    <row r="45" spans="1:8" x14ac:dyDescent="0.35">
      <c r="A45" s="3"/>
      <c r="E45" s="3"/>
      <c r="H45"/>
    </row>
    <row r="46" spans="1:8" x14ac:dyDescent="0.35">
      <c r="A46" s="3"/>
      <c r="B46" s="3"/>
      <c r="E46" s="3"/>
      <c r="H46"/>
    </row>
    <row r="47" spans="1:8" x14ac:dyDescent="0.35">
      <c r="A47" s="22"/>
      <c r="E47" s="3"/>
      <c r="H47"/>
    </row>
    <row r="48" spans="1:8" x14ac:dyDescent="0.35">
      <c r="A48" s="3"/>
      <c r="E48" s="3"/>
      <c r="H48"/>
    </row>
    <row r="49" spans="1:8" x14ac:dyDescent="0.35">
      <c r="A49" s="3"/>
      <c r="E49" s="3"/>
      <c r="H49"/>
    </row>
    <row r="50" spans="1:8" x14ac:dyDescent="0.35">
      <c r="A50" s="3"/>
      <c r="E50" s="3"/>
      <c r="H50"/>
    </row>
    <row r="51" spans="1:8" x14ac:dyDescent="0.35">
      <c r="A51" s="3"/>
      <c r="E51" s="3"/>
      <c r="H51"/>
    </row>
    <row r="52" spans="1:8" x14ac:dyDescent="0.35">
      <c r="A52"/>
      <c r="E52" s="3"/>
      <c r="H52"/>
    </row>
    <row r="53" spans="1:8" x14ac:dyDescent="0.35">
      <c r="A53"/>
      <c r="E53" s="3"/>
      <c r="H53"/>
    </row>
    <row r="54" spans="1:8" x14ac:dyDescent="0.35">
      <c r="A54"/>
      <c r="E54" s="3"/>
      <c r="H54"/>
    </row>
    <row r="55" spans="1:8" x14ac:dyDescent="0.35">
      <c r="A55"/>
      <c r="E55" s="3"/>
      <c r="H5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4"/>
  <sheetViews>
    <sheetView topLeftCell="A22" workbookViewId="0">
      <selection activeCell="H30" sqref="H30"/>
    </sheetView>
  </sheetViews>
  <sheetFormatPr baseColWidth="10" defaultRowHeight="14.5" x14ac:dyDescent="0.35"/>
  <cols>
    <col min="1" max="1" width="12.26953125" style="8" customWidth="1"/>
    <col min="2" max="2" width="9.26953125" style="8" customWidth="1"/>
    <col min="3" max="3" width="31.81640625" bestFit="1" customWidth="1"/>
    <col min="4" max="4" width="9.81640625" bestFit="1" customWidth="1"/>
    <col min="5" max="6" width="8.81640625" bestFit="1" customWidth="1"/>
    <col min="7" max="7" width="9.54296875" style="3" bestFit="1" customWidth="1"/>
    <col min="8" max="8" width="9.81640625" bestFit="1" customWidth="1"/>
    <col min="9" max="9" width="13" bestFit="1" customWidth="1"/>
    <col min="11" max="11" width="16.453125" bestFit="1" customWidth="1"/>
    <col min="12" max="12" width="15" bestFit="1" customWidth="1"/>
    <col min="13" max="13" width="11.453125" style="3"/>
  </cols>
  <sheetData>
    <row r="1" spans="1:14" ht="15" thickTop="1" x14ac:dyDescent="0.35">
      <c r="A1" s="6" t="s">
        <v>0</v>
      </c>
      <c r="B1" s="20" t="s">
        <v>54</v>
      </c>
      <c r="C1" s="13" t="s">
        <v>1</v>
      </c>
      <c r="D1" s="14">
        <v>42979</v>
      </c>
      <c r="E1" s="14">
        <v>43070</v>
      </c>
      <c r="F1" s="14">
        <v>43313</v>
      </c>
      <c r="G1" s="14">
        <v>43739</v>
      </c>
      <c r="H1" s="15" t="s">
        <v>48</v>
      </c>
      <c r="I1" t="s">
        <v>55</v>
      </c>
      <c r="J1" t="s">
        <v>56</v>
      </c>
      <c r="K1" t="s">
        <v>57</v>
      </c>
      <c r="M1" s="3" t="s">
        <v>60</v>
      </c>
    </row>
    <row r="2" spans="1:14" x14ac:dyDescent="0.35">
      <c r="A2" s="7" t="s">
        <v>47</v>
      </c>
      <c r="B2" s="21">
        <v>1</v>
      </c>
      <c r="C2" s="16" t="str">
        <f>VLOOKUP(A2,[6]LISTADHERENT!A$5:I$60,3,0)</f>
        <v>ASELBY</v>
      </c>
      <c r="D2" s="17">
        <f>362838.011083746+E2</f>
        <v>362838.01108374598</v>
      </c>
      <c r="E2" s="17">
        <v>0</v>
      </c>
      <c r="F2" s="17">
        <v>31243</v>
      </c>
      <c r="G2" s="17">
        <v>62669</v>
      </c>
      <c r="H2" s="19">
        <f>SUM(D2:G2)</f>
        <v>456750.01108374598</v>
      </c>
      <c r="I2" s="3"/>
      <c r="J2" s="17"/>
    </row>
    <row r="3" spans="1:14" s="28" customFormat="1" x14ac:dyDescent="0.35">
      <c r="A3" s="23" t="s">
        <v>2</v>
      </c>
      <c r="B3" s="24">
        <v>2</v>
      </c>
      <c r="C3" s="16" t="str">
        <f>VLOOKUP(A3,[6]LISTADHERENT!A$5:I$60,3,0)</f>
        <v>BAKOP ACHILLE</v>
      </c>
      <c r="D3" s="25">
        <f>[2]FONDSDECAISSE!$O6</f>
        <v>420000</v>
      </c>
      <c r="E3" s="25">
        <v>30000</v>
      </c>
      <c r="F3" s="25">
        <v>30000</v>
      </c>
      <c r="G3" s="25">
        <v>-480000</v>
      </c>
      <c r="H3" s="27">
        <v>216000</v>
      </c>
      <c r="I3" s="30">
        <v>480000</v>
      </c>
      <c r="J3" s="30">
        <v>216000</v>
      </c>
      <c r="M3" s="26"/>
    </row>
    <row r="4" spans="1:14" x14ac:dyDescent="0.35">
      <c r="A4" s="7" t="s">
        <v>3</v>
      </c>
      <c r="B4" s="21">
        <v>3</v>
      </c>
      <c r="C4" s="16" t="str">
        <f>VLOOKUP(A4,[6]LISTADHERENT!A$5:I$60,3,0)</f>
        <v>BOUTCHOUANG WILLIAM</v>
      </c>
      <c r="D4" s="17">
        <f>[2]FONDSDECAISSE!$O7</f>
        <v>420000</v>
      </c>
      <c r="E4" s="17">
        <v>30000</v>
      </c>
      <c r="F4" s="17">
        <v>30000</v>
      </c>
      <c r="G4" s="17">
        <v>30000</v>
      </c>
      <c r="H4" s="19">
        <f t="shared" ref="H4:H51" si="0">SUM(D4:G4)</f>
        <v>510000</v>
      </c>
      <c r="I4" s="3"/>
    </row>
    <row r="5" spans="1:14" x14ac:dyDescent="0.35">
      <c r="A5" s="7" t="s">
        <v>4</v>
      </c>
      <c r="B5" s="21">
        <v>4</v>
      </c>
      <c r="C5" s="16" t="str">
        <f>VLOOKUP(A5,[6]LISTADHERENT!A$5:I$60,3,0)</f>
        <v>CHINGUE FABRICE</v>
      </c>
      <c r="D5" s="17">
        <f>[2]FONDSDECAISSE!$O8</f>
        <v>420000</v>
      </c>
      <c r="E5" s="17">
        <v>30000</v>
      </c>
      <c r="F5" s="17">
        <v>30000</v>
      </c>
      <c r="G5" s="17">
        <v>-510000</v>
      </c>
      <c r="H5" s="19">
        <v>0</v>
      </c>
      <c r="I5" s="22"/>
      <c r="J5" s="22">
        <v>-767080</v>
      </c>
      <c r="K5" t="s">
        <v>58</v>
      </c>
      <c r="L5" t="s">
        <v>59</v>
      </c>
      <c r="M5" s="22">
        <v>180000</v>
      </c>
    </row>
    <row r="6" spans="1:14" x14ac:dyDescent="0.35">
      <c r="A6" s="12" t="s">
        <v>53</v>
      </c>
      <c r="B6" s="21">
        <v>5</v>
      </c>
      <c r="C6" s="16" t="str">
        <f>VLOOKUP(A6,[6]LISTADHERENT!A$5:I$60,3,0)</f>
        <v>DJOMO DOMO</v>
      </c>
      <c r="D6" s="18"/>
      <c r="E6" s="18"/>
      <c r="F6" s="17"/>
      <c r="G6" s="17">
        <v>0</v>
      </c>
      <c r="H6" s="19">
        <f t="shared" si="0"/>
        <v>0</v>
      </c>
      <c r="I6" s="3"/>
    </row>
    <row r="7" spans="1:14" x14ac:dyDescent="0.35">
      <c r="A7" s="7" t="s">
        <v>5</v>
      </c>
      <c r="B7" s="21">
        <v>6</v>
      </c>
      <c r="C7" s="16" t="str">
        <f>VLOOKUP(A7,[6]LISTADHERENT!A$5:I$60,3,0)</f>
        <v xml:space="preserve">DJOMO JEAN PAUL </v>
      </c>
      <c r="D7" s="17">
        <f>[2]FONDSDECAISSE!$O9</f>
        <v>420000</v>
      </c>
      <c r="E7" s="17">
        <v>30000</v>
      </c>
      <c r="F7" s="17">
        <v>30000</v>
      </c>
      <c r="G7" s="17">
        <v>30000</v>
      </c>
      <c r="H7" s="19">
        <f>SUM(D7:G7)</f>
        <v>510000</v>
      </c>
      <c r="I7" s="3"/>
    </row>
    <row r="8" spans="1:14" s="28" customFormat="1" x14ac:dyDescent="0.35">
      <c r="A8" s="7" t="s">
        <v>68</v>
      </c>
      <c r="B8" s="24">
        <v>7</v>
      </c>
      <c r="C8" s="16" t="str">
        <f>VLOOKUP(A8,[6]LISTADHERENT!A$5:I$60,3,0)</f>
        <v>DJOMOU TCHANDA</v>
      </c>
      <c r="D8" s="25">
        <v>0</v>
      </c>
      <c r="E8" s="25"/>
      <c r="F8" s="25"/>
      <c r="G8" s="25"/>
      <c r="H8" s="27">
        <f t="shared" ref="H8" si="1">SUM(D8:G8)</f>
        <v>0</v>
      </c>
      <c r="I8" s="26"/>
      <c r="M8" s="26">
        <v>200000</v>
      </c>
      <c r="N8" s="28" t="s">
        <v>61</v>
      </c>
    </row>
    <row r="9" spans="1:14" s="28" customFormat="1" x14ac:dyDescent="0.35">
      <c r="A9" s="23" t="s">
        <v>6</v>
      </c>
      <c r="B9" s="24">
        <v>7</v>
      </c>
      <c r="C9" s="16" t="str">
        <f>VLOOKUP(A9,[6]LISTADHERENT!A$5:I$60,3,0)</f>
        <v>DJOUKWE NANGUEN GUY BLAISE</v>
      </c>
      <c r="D9" s="25">
        <f>[2]FONDSDECAISSE!$O10</f>
        <v>420000</v>
      </c>
      <c r="E9" s="25">
        <v>30000</v>
      </c>
      <c r="F9" s="25">
        <v>30000</v>
      </c>
      <c r="G9" s="25">
        <v>30000</v>
      </c>
      <c r="H9" s="27">
        <f t="shared" si="0"/>
        <v>510000</v>
      </c>
      <c r="I9" s="26"/>
      <c r="M9" s="26">
        <v>200000</v>
      </c>
      <c r="N9" s="28" t="s">
        <v>61</v>
      </c>
    </row>
    <row r="10" spans="1:14" x14ac:dyDescent="0.35">
      <c r="A10" s="7" t="s">
        <v>7</v>
      </c>
      <c r="B10" s="21">
        <v>8</v>
      </c>
      <c r="C10" s="16" t="str">
        <f>VLOOKUP(A10,[6]LISTADHERENT!A$5:I$60,3,0)</f>
        <v>DJUOMBESSY ANTOINE</v>
      </c>
      <c r="D10" s="17">
        <f>[2]FONDSDECAISSE!$O13</f>
        <v>420000</v>
      </c>
      <c r="E10" s="17">
        <v>30000</v>
      </c>
      <c r="F10" s="17">
        <v>30000</v>
      </c>
      <c r="G10" s="17">
        <v>30000</v>
      </c>
      <c r="H10" s="19">
        <f t="shared" si="0"/>
        <v>510000</v>
      </c>
      <c r="I10" s="3"/>
    </row>
    <row r="11" spans="1:14" x14ac:dyDescent="0.35">
      <c r="A11" s="12" t="s">
        <v>49</v>
      </c>
      <c r="B11" s="21">
        <v>9</v>
      </c>
      <c r="C11" s="16" t="str">
        <f>VLOOKUP(A11,[6]LISTADHERENT!A$5:I$60,3,0)</f>
        <v>DOMOU FABIEN</v>
      </c>
      <c r="D11" s="18"/>
      <c r="E11" s="18"/>
      <c r="F11" s="17">
        <v>441596</v>
      </c>
      <c r="G11" s="17">
        <v>68404</v>
      </c>
      <c r="H11" s="19">
        <f t="shared" si="0"/>
        <v>510000</v>
      </c>
      <c r="I11" s="3"/>
      <c r="K11" s="3"/>
    </row>
    <row r="12" spans="1:14" x14ac:dyDescent="0.35">
      <c r="A12" s="7" t="s">
        <v>8</v>
      </c>
      <c r="B12" s="21">
        <v>10</v>
      </c>
      <c r="C12" s="16" t="str">
        <f>VLOOKUP(A12,[6]LISTADHERENT!A$5:I$60,3,0)</f>
        <v>DONHOU DAVID</v>
      </c>
      <c r="D12" s="17">
        <f>[2]FONDSDECAISSE!$O14</f>
        <v>420000</v>
      </c>
      <c r="E12" s="17">
        <v>30000</v>
      </c>
      <c r="F12" s="17">
        <v>30000</v>
      </c>
      <c r="G12" s="17">
        <v>30000</v>
      </c>
      <c r="H12" s="19">
        <f t="shared" si="0"/>
        <v>510000</v>
      </c>
      <c r="I12" s="3"/>
    </row>
    <row r="13" spans="1:14" x14ac:dyDescent="0.35">
      <c r="A13" s="7" t="s">
        <v>9</v>
      </c>
      <c r="B13" s="21">
        <v>11</v>
      </c>
      <c r="C13" s="16" t="str">
        <f>VLOOKUP(A13,[6]LISTADHERENT!A$5:I$60,3,0)</f>
        <v>FOTSO THOMAS</v>
      </c>
      <c r="D13" s="17">
        <f>[2]FONDSDECAISSE!$O15</f>
        <v>420000</v>
      </c>
      <c r="E13" s="17">
        <v>30000</v>
      </c>
      <c r="F13" s="17">
        <v>30000</v>
      </c>
      <c r="G13" s="17">
        <v>30000</v>
      </c>
      <c r="H13" s="19">
        <f t="shared" si="0"/>
        <v>510000</v>
      </c>
      <c r="I13" s="3"/>
    </row>
    <row r="14" spans="1:14" x14ac:dyDescent="0.35">
      <c r="A14" s="7" t="s">
        <v>10</v>
      </c>
      <c r="B14" s="21">
        <v>12</v>
      </c>
      <c r="C14" s="16" t="str">
        <f>VLOOKUP(A14,[6]LISTADHERENT!A$5:I$60,3,0)</f>
        <v>HENGUE PAUL OMER</v>
      </c>
      <c r="D14" s="17">
        <f>[2]FONDSDECAISSE!$O16</f>
        <v>420000</v>
      </c>
      <c r="E14" s="17">
        <v>30000</v>
      </c>
      <c r="F14" s="17">
        <v>30000</v>
      </c>
      <c r="G14" s="17">
        <v>30000</v>
      </c>
      <c r="H14" s="19">
        <f t="shared" si="0"/>
        <v>510000</v>
      </c>
      <c r="I14" s="3"/>
    </row>
    <row r="15" spans="1:14" s="28" customFormat="1" x14ac:dyDescent="0.35">
      <c r="A15" s="23" t="s">
        <v>11</v>
      </c>
      <c r="B15" s="24">
        <v>13</v>
      </c>
      <c r="C15" s="16" t="str">
        <f>VLOOKUP(A15,[6]LISTADHERENT!A$5:I$60,3,0)</f>
        <v>HODIEP JULES</v>
      </c>
      <c r="D15" s="25">
        <f>[2]FONDSDECAISSE!$O17</f>
        <v>50000</v>
      </c>
      <c r="E15" s="25">
        <v>30000</v>
      </c>
      <c r="F15" s="25"/>
      <c r="G15" s="25">
        <v>-80000</v>
      </c>
      <c r="H15" s="27">
        <v>80000</v>
      </c>
      <c r="I15" s="26">
        <v>80000</v>
      </c>
      <c r="M15" s="26"/>
    </row>
    <row r="16" spans="1:14" x14ac:dyDescent="0.35">
      <c r="A16" s="7" t="s">
        <v>12</v>
      </c>
      <c r="B16" s="21">
        <v>14</v>
      </c>
      <c r="C16" s="16" t="str">
        <f>VLOOKUP(A16,[6]LISTADHERENT!A$5:I$60,3,0)</f>
        <v>HOTCHO BENJAMIN</v>
      </c>
      <c r="D16" s="17">
        <f>[2]FONDSDECAISSE!$O18</f>
        <v>420000</v>
      </c>
      <c r="E16" s="17">
        <v>30000</v>
      </c>
      <c r="F16" s="17">
        <v>30000</v>
      </c>
      <c r="G16" s="17">
        <v>30000</v>
      </c>
      <c r="H16" s="19">
        <f t="shared" si="0"/>
        <v>510000</v>
      </c>
      <c r="I16" s="3"/>
    </row>
    <row r="17" spans="1:14" x14ac:dyDescent="0.35">
      <c r="A17" s="7" t="s">
        <v>14</v>
      </c>
      <c r="B17" s="21">
        <v>15</v>
      </c>
      <c r="C17" s="16" t="str">
        <f>VLOOKUP(A17,[6]LISTADHERENT!A$5:I$60,3,0)</f>
        <v>KEPSEU FRANCIS</v>
      </c>
      <c r="D17" s="17">
        <f>[2]FONDSDECAISSE!$O20</f>
        <v>420000</v>
      </c>
      <c r="E17" s="17">
        <v>30000</v>
      </c>
      <c r="F17" s="17">
        <v>30000</v>
      </c>
      <c r="G17" s="17">
        <v>30000</v>
      </c>
      <c r="H17" s="19">
        <f t="shared" si="0"/>
        <v>510000</v>
      </c>
      <c r="I17" s="3"/>
    </row>
    <row r="18" spans="1:14" x14ac:dyDescent="0.35">
      <c r="A18" s="7" t="s">
        <v>17</v>
      </c>
      <c r="B18" s="21">
        <v>16</v>
      </c>
      <c r="C18" s="16" t="str">
        <f>VLOOKUP(A18,[6]LISTADHERENT!A$5:I$60,3,0)</f>
        <v>KOUAMO VICTOR PEGUY</v>
      </c>
      <c r="D18" s="17">
        <f>[2]FONDSDECAISSE!$O23</f>
        <v>420000</v>
      </c>
      <c r="E18" s="17">
        <v>30000</v>
      </c>
      <c r="F18" s="17">
        <v>30000</v>
      </c>
      <c r="G18" s="17">
        <v>30000</v>
      </c>
      <c r="H18" s="19">
        <f t="shared" si="0"/>
        <v>510000</v>
      </c>
      <c r="I18" s="3"/>
      <c r="J18" s="3">
        <v>139500</v>
      </c>
    </row>
    <row r="19" spans="1:14" x14ac:dyDescent="0.35">
      <c r="A19" s="7" t="s">
        <v>15</v>
      </c>
      <c r="B19" s="21">
        <v>17</v>
      </c>
      <c r="C19" s="16" t="str">
        <f>VLOOKUP(A19,[6]LISTADHERENT!A$5:I$60,3,0)</f>
        <v>KOUAMOU EMMANUEL</v>
      </c>
      <c r="D19" s="17">
        <f>[2]FONDSDECAISSE!$O21</f>
        <v>420000</v>
      </c>
      <c r="E19" s="17">
        <v>30000</v>
      </c>
      <c r="F19" s="17">
        <v>30000</v>
      </c>
      <c r="G19" s="17">
        <v>-480000</v>
      </c>
      <c r="H19" s="19">
        <f t="shared" si="0"/>
        <v>0</v>
      </c>
      <c r="I19" s="22">
        <v>-480171</v>
      </c>
      <c r="J19" s="29">
        <v>-484041.96717826341</v>
      </c>
      <c r="L19" t="s">
        <v>62</v>
      </c>
      <c r="M19" s="3">
        <v>180000</v>
      </c>
      <c r="N19" t="s">
        <v>63</v>
      </c>
    </row>
    <row r="20" spans="1:14" x14ac:dyDescent="0.35">
      <c r="A20" s="7" t="s">
        <v>16</v>
      </c>
      <c r="B20" s="21">
        <v>18</v>
      </c>
      <c r="C20" s="16" t="str">
        <f>VLOOKUP(A20,[6]LISTADHERENT!A$5:I$60,3,0)</f>
        <v>KOUAMOU MOISE</v>
      </c>
      <c r="D20" s="17">
        <f>[2]FONDSDECAISSE!$O22</f>
        <v>420000</v>
      </c>
      <c r="E20" s="17">
        <v>30000</v>
      </c>
      <c r="F20" s="17">
        <v>30000</v>
      </c>
      <c r="G20" s="17">
        <v>30000</v>
      </c>
      <c r="H20" s="19">
        <f t="shared" si="0"/>
        <v>510000</v>
      </c>
      <c r="I20" s="3"/>
    </row>
    <row r="21" spans="1:14" x14ac:dyDescent="0.35">
      <c r="A21" s="7" t="s">
        <v>18</v>
      </c>
      <c r="B21" s="21">
        <v>19</v>
      </c>
      <c r="C21" s="16" t="str">
        <f>VLOOKUP(A21,[6]LISTADHERENT!A$5:I$60,3,0)</f>
        <v>KOUATCHO MESSACK</v>
      </c>
      <c r="D21" s="17">
        <f>[2]FONDSDECAISSE!$O24</f>
        <v>420000</v>
      </c>
      <c r="E21" s="17">
        <v>30000</v>
      </c>
      <c r="F21" s="17">
        <v>30000</v>
      </c>
      <c r="G21" s="17">
        <v>30000</v>
      </c>
      <c r="H21" s="19">
        <f t="shared" si="0"/>
        <v>510000</v>
      </c>
      <c r="I21" s="3"/>
    </row>
    <row r="22" spans="1:14" x14ac:dyDescent="0.35">
      <c r="A22" s="7" t="s">
        <v>19</v>
      </c>
      <c r="B22" s="21">
        <v>20</v>
      </c>
      <c r="C22" s="16" t="str">
        <f>VLOOKUP(A22,[6]LISTADHERENT!A$5:I$60,3,0)</f>
        <v>LOWE JEAN</v>
      </c>
      <c r="D22" s="17">
        <f>[2]FONDSDECAISSE!$O25</f>
        <v>420000</v>
      </c>
      <c r="E22" s="17">
        <v>30000</v>
      </c>
      <c r="F22" s="17">
        <v>30000</v>
      </c>
      <c r="G22" s="17">
        <v>30000</v>
      </c>
      <c r="H22" s="19">
        <f t="shared" si="0"/>
        <v>510000</v>
      </c>
      <c r="I22" s="3"/>
    </row>
    <row r="23" spans="1:14" s="28" customFormat="1" x14ac:dyDescent="0.35">
      <c r="A23" s="31" t="s">
        <v>52</v>
      </c>
      <c r="B23" s="24">
        <v>21</v>
      </c>
      <c r="C23" s="16" t="str">
        <f>VLOOKUP(A23,[6]LISTADHERENT!A$5:I$60,3,0)</f>
        <v>MBOGNING TUGMA GUY</v>
      </c>
      <c r="D23" s="32"/>
      <c r="E23" s="32"/>
      <c r="F23" s="25">
        <v>30000</v>
      </c>
      <c r="G23" s="25">
        <v>480000</v>
      </c>
      <c r="H23" s="27">
        <f t="shared" si="0"/>
        <v>510000</v>
      </c>
      <c r="I23" s="26" t="s">
        <v>66</v>
      </c>
      <c r="J23" s="28" t="s">
        <v>67</v>
      </c>
      <c r="M23" s="26"/>
    </row>
    <row r="24" spans="1:14" s="28" customFormat="1" x14ac:dyDescent="0.35">
      <c r="A24" s="23" t="s">
        <v>38</v>
      </c>
      <c r="B24" s="24">
        <v>22</v>
      </c>
      <c r="C24" s="16" t="str">
        <f>VLOOKUP(A24,[6]LISTADHERENT!A$5:I$60,3,0)</f>
        <v>NANGUEN MARTIN</v>
      </c>
      <c r="D24" s="25">
        <f>[2]FONDSDECAISSE!$O44</f>
        <v>390000</v>
      </c>
      <c r="E24" s="25">
        <v>30000</v>
      </c>
      <c r="F24" s="25">
        <v>30000</v>
      </c>
      <c r="G24" s="25">
        <f>30000+30000</f>
        <v>60000</v>
      </c>
      <c r="H24" s="27">
        <f t="shared" si="0"/>
        <v>510000</v>
      </c>
      <c r="I24" s="26"/>
      <c r="M24" s="26"/>
    </row>
    <row r="25" spans="1:14" x14ac:dyDescent="0.35">
      <c r="A25" s="7" t="s">
        <v>20</v>
      </c>
      <c r="B25" s="21">
        <v>23</v>
      </c>
      <c r="C25" s="16" t="str">
        <f>VLOOKUP(A25,[6]LISTADHERENT!A$5:I$60,3,0)</f>
        <v>NANKAM APPOLINAIRE</v>
      </c>
      <c r="D25" s="17">
        <f>[2]FONDSDECAISSE!$O26</f>
        <v>420000</v>
      </c>
      <c r="E25" s="17">
        <v>30000</v>
      </c>
      <c r="F25" s="17">
        <v>30000</v>
      </c>
      <c r="G25" s="17">
        <v>30000</v>
      </c>
      <c r="H25" s="19">
        <f t="shared" si="0"/>
        <v>510000</v>
      </c>
      <c r="I25" s="3"/>
    </row>
    <row r="26" spans="1:14" x14ac:dyDescent="0.35">
      <c r="A26" s="7" t="s">
        <v>21</v>
      </c>
      <c r="B26" s="21">
        <v>24</v>
      </c>
      <c r="C26" s="16" t="str">
        <f>VLOOKUP(A26,[6]LISTADHERENT!A$5:I$60,3,0)</f>
        <v>NDJOMO ETIENNE</v>
      </c>
      <c r="D26" s="17">
        <f>[2]FONDSDECAISSE!$O27</f>
        <v>420000</v>
      </c>
      <c r="E26" s="17">
        <v>30000</v>
      </c>
      <c r="F26" s="17">
        <v>30000</v>
      </c>
      <c r="G26" s="17">
        <v>30000</v>
      </c>
      <c r="H26" s="19">
        <f t="shared" si="0"/>
        <v>510000</v>
      </c>
      <c r="I26" s="3"/>
    </row>
    <row r="27" spans="1:14" s="28" customFormat="1" x14ac:dyDescent="0.35">
      <c r="A27" s="23" t="s">
        <v>22</v>
      </c>
      <c r="B27" s="24">
        <v>25</v>
      </c>
      <c r="C27" s="16" t="str">
        <f>VLOOKUP(A27,[6]LISTADHERENT!A$5:I$60,3,0)</f>
        <v>NDOMBOU JEAN CLAUDE</v>
      </c>
      <c r="D27" s="25">
        <f>[2]FONDSDECAISSE!$O28</f>
        <v>420000</v>
      </c>
      <c r="E27" s="25">
        <v>30000</v>
      </c>
      <c r="F27" s="25">
        <v>30000</v>
      </c>
      <c r="G27" s="25">
        <v>-480000</v>
      </c>
      <c r="H27" s="27">
        <v>480000</v>
      </c>
      <c r="I27" s="30">
        <v>480000</v>
      </c>
      <c r="M27" s="26"/>
    </row>
    <row r="28" spans="1:14" s="28" customFormat="1" x14ac:dyDescent="0.35">
      <c r="A28" s="31" t="s">
        <v>50</v>
      </c>
      <c r="B28" s="24">
        <v>26</v>
      </c>
      <c r="C28" s="16" t="str">
        <f>VLOOKUP(A28,[6]LISTADHERENT!A$5:I$60,3,0)</f>
        <v>NGANHOU JEAN</v>
      </c>
      <c r="D28" s="32"/>
      <c r="E28" s="32"/>
      <c r="F28" s="25"/>
      <c r="G28" s="25">
        <v>130000</v>
      </c>
      <c r="H28" s="27">
        <f t="shared" si="0"/>
        <v>130000</v>
      </c>
      <c r="I28" s="26"/>
      <c r="M28" s="26"/>
    </row>
    <row r="29" spans="1:14" x14ac:dyDescent="0.35">
      <c r="A29" s="7" t="s">
        <v>23</v>
      </c>
      <c r="B29" s="21">
        <v>27</v>
      </c>
      <c r="C29" s="16" t="str">
        <f>VLOOKUP(A29,[6]LISTADHERENT!A$5:I$60,3,0)</f>
        <v>NGONDIEP CLAUDE</v>
      </c>
      <c r="D29" s="17">
        <f>[2]FONDSDECAISSE!$O29</f>
        <v>420000</v>
      </c>
      <c r="E29" s="17">
        <v>30000</v>
      </c>
      <c r="F29" s="17">
        <v>30000</v>
      </c>
      <c r="G29" s="17">
        <v>30000</v>
      </c>
      <c r="H29" s="19">
        <f>SUM(D29:G29)</f>
        <v>510000</v>
      </c>
      <c r="I29" s="3"/>
    </row>
    <row r="30" spans="1:14" s="28" customFormat="1" x14ac:dyDescent="0.35">
      <c r="A30" s="23" t="s">
        <v>24</v>
      </c>
      <c r="B30" s="24">
        <v>28</v>
      </c>
      <c r="C30" s="16" t="str">
        <f>VLOOKUP(A30,[6]LISTADHERENT!A$5:I$60,3,0)</f>
        <v>NGONGANG JEAN THEODORE</v>
      </c>
      <c r="D30" s="25">
        <f>[2]FONDSDECAISSE!$O30+18045+25000</f>
        <v>43045</v>
      </c>
      <c r="E30" s="25">
        <v>30000</v>
      </c>
      <c r="F30" s="25"/>
      <c r="G30" s="25">
        <f>281067-13600</f>
        <v>267467</v>
      </c>
      <c r="H30" s="27">
        <f>267467-10000</f>
        <v>257467</v>
      </c>
      <c r="I30" s="26"/>
      <c r="M30" s="26"/>
    </row>
    <row r="31" spans="1:14" x14ac:dyDescent="0.35">
      <c r="A31" s="7" t="s">
        <v>25</v>
      </c>
      <c r="B31" s="21">
        <v>29</v>
      </c>
      <c r="C31" s="16" t="str">
        <f>VLOOKUP(A31,[6]LISTADHERENT!A$5:I$60,3,0)</f>
        <v>NGUIEMEGNI MATHIEU BLAISE</v>
      </c>
      <c r="D31" s="17">
        <f>[2]FONDSDECAISSE!$O31</f>
        <v>420000</v>
      </c>
      <c r="E31" s="17">
        <v>30000</v>
      </c>
      <c r="F31" s="17">
        <v>30000</v>
      </c>
      <c r="G31" s="17">
        <v>30000</v>
      </c>
      <c r="H31" s="19">
        <f t="shared" si="0"/>
        <v>510000</v>
      </c>
      <c r="I31" s="3"/>
    </row>
    <row r="32" spans="1:14" x14ac:dyDescent="0.35">
      <c r="A32" s="7" t="s">
        <v>26</v>
      </c>
      <c r="B32" s="21">
        <v>30</v>
      </c>
      <c r="C32" s="16" t="str">
        <f>VLOOKUP(A32,[6]LISTADHERENT!A$5:I$60,3,0)</f>
        <v>NJEPDJIO MBOUKAM DELUXE</v>
      </c>
      <c r="D32" s="17">
        <f>[2]FONDSDECAISSE!$O32</f>
        <v>420000</v>
      </c>
      <c r="E32" s="17">
        <v>30000</v>
      </c>
      <c r="F32" s="17">
        <v>30000</v>
      </c>
      <c r="G32" s="17">
        <v>-510000</v>
      </c>
      <c r="H32" s="19"/>
      <c r="I32" s="3">
        <v>-996118</v>
      </c>
      <c r="J32" s="3">
        <v>-992988.43613458727</v>
      </c>
      <c r="L32" t="s">
        <v>64</v>
      </c>
      <c r="M32" s="3">
        <v>180000</v>
      </c>
    </row>
    <row r="33" spans="1:13" x14ac:dyDescent="0.35">
      <c r="A33" s="7" t="s">
        <v>27</v>
      </c>
      <c r="B33" s="21">
        <v>31</v>
      </c>
      <c r="C33" s="16" t="str">
        <f>VLOOKUP(A33,[6]LISTADHERENT!A$5:I$60,3,0)</f>
        <v>NKAMGANG JUSTIN DEJOLIE</v>
      </c>
      <c r="D33" s="17">
        <f>[2]FONDSDECAISSE!$O33</f>
        <v>420000</v>
      </c>
      <c r="E33" s="17">
        <v>30000</v>
      </c>
      <c r="F33" s="17">
        <v>30000</v>
      </c>
      <c r="G33" s="17">
        <v>30000</v>
      </c>
      <c r="H33" s="19">
        <f t="shared" si="0"/>
        <v>510000</v>
      </c>
      <c r="I33" s="3"/>
    </row>
    <row r="34" spans="1:13" x14ac:dyDescent="0.35">
      <c r="A34" s="7" t="s">
        <v>13</v>
      </c>
      <c r="B34" s="21">
        <v>32</v>
      </c>
      <c r="C34" s="16" t="str">
        <f>VLOOKUP(A34,[6]LISTADHERENT!A$5:I$60,3,0)</f>
        <v>NKEHE DAVID</v>
      </c>
      <c r="D34" s="17">
        <f>[2]FONDSDECAISSE!$O19</f>
        <v>357000</v>
      </c>
      <c r="E34" s="17">
        <v>30000</v>
      </c>
      <c r="F34" s="17">
        <v>33000</v>
      </c>
      <c r="G34" s="17">
        <v>90000</v>
      </c>
      <c r="H34" s="19">
        <f t="shared" si="0"/>
        <v>510000</v>
      </c>
      <c r="I34" s="3"/>
    </row>
    <row r="35" spans="1:13" x14ac:dyDescent="0.35">
      <c r="A35" s="7" t="s">
        <v>28</v>
      </c>
      <c r="B35" s="21">
        <v>33</v>
      </c>
      <c r="C35" s="16" t="str">
        <f>VLOOKUP(A35,[6]LISTADHERENT!A$5:I$60,3,0)</f>
        <v>NKEPSEU DIEUDONNE</v>
      </c>
      <c r="D35" s="17">
        <f>[2]FONDSDECAISSE!$O34</f>
        <v>420000</v>
      </c>
      <c r="E35" s="17">
        <v>30000</v>
      </c>
      <c r="F35" s="17">
        <v>30000</v>
      </c>
      <c r="G35" s="17">
        <v>30000</v>
      </c>
      <c r="H35" s="19">
        <f t="shared" si="0"/>
        <v>510000</v>
      </c>
      <c r="I35" s="3"/>
    </row>
    <row r="36" spans="1:13" x14ac:dyDescent="0.35">
      <c r="A36" s="7" t="s">
        <v>30</v>
      </c>
      <c r="B36" s="21">
        <v>34</v>
      </c>
      <c r="C36" s="16" t="str">
        <f>VLOOKUP(A36,[6]LISTADHERENT!A$5:I$60,3,0)</f>
        <v>NTEPDIE TUEMAC MZ</v>
      </c>
      <c r="D36" s="17">
        <f>[2]FONDSDECAISSE!$O36</f>
        <v>0</v>
      </c>
      <c r="E36" s="17">
        <v>0</v>
      </c>
      <c r="F36" s="17">
        <v>30000</v>
      </c>
      <c r="G36" s="17"/>
      <c r="H36" s="19">
        <v>0</v>
      </c>
      <c r="I36" s="3"/>
    </row>
    <row r="37" spans="1:13" x14ac:dyDescent="0.35">
      <c r="A37" s="7" t="s">
        <v>32</v>
      </c>
      <c r="B37" s="21">
        <v>35</v>
      </c>
      <c r="C37" s="16" t="str">
        <f>VLOOKUP(A37,[6]LISTADHERENT!A$5:I$60,3,0)</f>
        <v>PATEGO NJOSSU GUSTAVE</v>
      </c>
      <c r="D37" s="17">
        <f>[2]FONDSDECAISSE!$O38</f>
        <v>420000</v>
      </c>
      <c r="E37" s="17">
        <v>30000</v>
      </c>
      <c r="F37" s="17">
        <v>30000</v>
      </c>
      <c r="G37" s="17">
        <v>30000</v>
      </c>
      <c r="H37" s="19">
        <f t="shared" si="0"/>
        <v>510000</v>
      </c>
      <c r="I37" s="3"/>
    </row>
    <row r="38" spans="1:13" x14ac:dyDescent="0.35">
      <c r="A38" s="7" t="s">
        <v>33</v>
      </c>
      <c r="B38" s="21">
        <v>36</v>
      </c>
      <c r="C38" s="16" t="str">
        <f>VLOOKUP(A38,[6]LISTADHERENT!A$5:I$60,3,0)</f>
        <v>SEUNOU RICHELOT</v>
      </c>
      <c r="D38" s="17">
        <f>[2]FONDSDECAISSE!$O39</f>
        <v>420000</v>
      </c>
      <c r="E38" s="17">
        <v>30000</v>
      </c>
      <c r="F38" s="17">
        <v>30000</v>
      </c>
      <c r="G38" s="17">
        <v>-510000</v>
      </c>
      <c r="H38" s="19"/>
      <c r="I38" s="22">
        <v>-510000</v>
      </c>
    </row>
    <row r="39" spans="1:13" x14ac:dyDescent="0.35">
      <c r="A39" s="7" t="s">
        <v>34</v>
      </c>
      <c r="B39" s="21">
        <v>37</v>
      </c>
      <c r="C39" s="16" t="str">
        <f>VLOOKUP(A39,[6]LISTADHERENT!A$5:I$60,3,0)</f>
        <v>SIME ABEL</v>
      </c>
      <c r="D39" s="17">
        <f>[2]FONDSDECAISSE!$O40</f>
        <v>390000</v>
      </c>
      <c r="E39" s="17">
        <v>30000</v>
      </c>
      <c r="F39" s="17">
        <v>-420000</v>
      </c>
      <c r="G39" s="17"/>
      <c r="H39" s="19">
        <f t="shared" si="0"/>
        <v>0</v>
      </c>
      <c r="I39" s="3"/>
    </row>
    <row r="40" spans="1:13" s="28" customFormat="1" x14ac:dyDescent="0.35">
      <c r="A40" s="31" t="s">
        <v>51</v>
      </c>
      <c r="B40" s="24">
        <v>38</v>
      </c>
      <c r="C40" s="16" t="str">
        <f>VLOOKUP(A40,[6]LISTADHERENT!A$5:I$60,3,0)</f>
        <v>SIME BRICE</v>
      </c>
      <c r="D40" s="32"/>
      <c r="E40" s="32"/>
      <c r="F40" s="25"/>
      <c r="G40" s="25">
        <f>107376.913330815+280000-27500-214500</f>
        <v>145376.91333081503</v>
      </c>
      <c r="H40" s="27">
        <f t="shared" si="0"/>
        <v>145376.91333081503</v>
      </c>
      <c r="I40" s="26"/>
      <c r="M40" s="26"/>
    </row>
    <row r="41" spans="1:13" x14ac:dyDescent="0.35">
      <c r="A41" s="7" t="s">
        <v>35</v>
      </c>
      <c r="B41" s="21">
        <v>39</v>
      </c>
      <c r="C41" s="16" t="str">
        <f>VLOOKUP(A41,[6]LISTADHERENT!A$5:I$60,3,0)</f>
        <v>SIMO FONGANG ERIC</v>
      </c>
      <c r="D41" s="17">
        <f>[2]FONDSDECAISSE!$O41</f>
        <v>420000</v>
      </c>
      <c r="E41" s="17">
        <v>30000</v>
      </c>
      <c r="F41" s="17">
        <v>30000</v>
      </c>
      <c r="G41" s="17">
        <v>30000</v>
      </c>
      <c r="H41" s="19">
        <f t="shared" si="0"/>
        <v>510000</v>
      </c>
      <c r="I41" s="3"/>
    </row>
    <row r="42" spans="1:13" x14ac:dyDescent="0.35">
      <c r="A42" s="7" t="s">
        <v>36</v>
      </c>
      <c r="B42" s="21">
        <v>40</v>
      </c>
      <c r="C42" s="16" t="str">
        <f>VLOOKUP(A42,[6]LISTADHERENT!A$5:I$60,3,0)</f>
        <v>SIME MATHIEU</v>
      </c>
      <c r="D42" s="17">
        <f>[2]FONDSDECAISSE!$O42</f>
        <v>420000</v>
      </c>
      <c r="E42" s="17">
        <v>30000</v>
      </c>
      <c r="F42" s="17">
        <v>30000</v>
      </c>
      <c r="G42" s="17">
        <v>30000</v>
      </c>
      <c r="H42" s="19">
        <f t="shared" si="0"/>
        <v>510000</v>
      </c>
      <c r="I42" s="3"/>
    </row>
    <row r="43" spans="1:13" x14ac:dyDescent="0.35">
      <c r="A43" s="7" t="s">
        <v>37</v>
      </c>
      <c r="B43" s="21">
        <v>41</v>
      </c>
      <c r="C43" s="16" t="str">
        <f>VLOOKUP(A43,[6]LISTADHERENT!A$5:I$60,3,0)</f>
        <v>SIMO PIERRE</v>
      </c>
      <c r="D43" s="17">
        <f>[2]FONDSDECAISSE!$O43</f>
        <v>420000</v>
      </c>
      <c r="E43" s="17">
        <v>30000</v>
      </c>
      <c r="F43" s="17">
        <v>30000</v>
      </c>
      <c r="G43" s="17">
        <v>30000</v>
      </c>
      <c r="H43" s="19">
        <f t="shared" si="0"/>
        <v>510000</v>
      </c>
      <c r="I43" s="3"/>
    </row>
    <row r="44" spans="1:13" s="28" customFormat="1" x14ac:dyDescent="0.35">
      <c r="A44" s="23" t="s">
        <v>39</v>
      </c>
      <c r="B44" s="24">
        <v>42</v>
      </c>
      <c r="C44" s="16" t="str">
        <f>VLOOKUP(A44,[6]LISTADHERENT!A$5:I$60,3,0)</f>
        <v>TCHOUAMOU JEAN PAUL</v>
      </c>
      <c r="D44" s="25">
        <f>[2]FONDSDECAISSE!$O45+30000</f>
        <v>50000</v>
      </c>
      <c r="E44" s="25">
        <v>30000</v>
      </c>
      <c r="F44" s="25"/>
      <c r="G44" s="25"/>
      <c r="H44" s="27"/>
      <c r="I44" s="26">
        <v>53388</v>
      </c>
      <c r="J44" s="28" t="s">
        <v>69</v>
      </c>
      <c r="M44" s="26"/>
    </row>
    <row r="45" spans="1:13" x14ac:dyDescent="0.35">
      <c r="A45" s="7" t="s">
        <v>40</v>
      </c>
      <c r="B45" s="21">
        <v>43</v>
      </c>
      <c r="C45" s="16" t="str">
        <f>VLOOKUP(A45,[6]LISTADHERENT!A$5:I$60,3,0)</f>
        <v>TCHOUAMOU MATHIEU</v>
      </c>
      <c r="D45" s="17">
        <f>[2]FONDSDECAISSE!$O46</f>
        <v>420000</v>
      </c>
      <c r="E45" s="17">
        <v>30000</v>
      </c>
      <c r="F45" s="17">
        <v>30000</v>
      </c>
      <c r="G45" s="17">
        <v>30000</v>
      </c>
      <c r="H45" s="19">
        <f t="shared" si="0"/>
        <v>510000</v>
      </c>
      <c r="I45" s="3"/>
    </row>
    <row r="46" spans="1:13" x14ac:dyDescent="0.35">
      <c r="A46" s="7" t="s">
        <v>41</v>
      </c>
      <c r="B46" s="21">
        <v>44</v>
      </c>
      <c r="C46" s="16" t="str">
        <f>VLOOKUP(A46,[6]LISTADHERENT!A$5:I$60,3,0)</f>
        <v>TCHOUANTE FRANCOIS</v>
      </c>
      <c r="D46" s="17">
        <f>[2]FONDSDECAISSE!$O47</f>
        <v>403819</v>
      </c>
      <c r="E46" s="17">
        <v>30000</v>
      </c>
      <c r="F46" s="17">
        <v>30000</v>
      </c>
      <c r="G46" s="17">
        <v>-463819</v>
      </c>
      <c r="H46" s="19">
        <f t="shared" si="0"/>
        <v>0</v>
      </c>
      <c r="I46" s="3">
        <f>+-340755+20900</f>
        <v>-319855</v>
      </c>
      <c r="J46" s="3"/>
      <c r="L46" t="s">
        <v>65</v>
      </c>
      <c r="M46" s="3">
        <v>209005</v>
      </c>
    </row>
    <row r="47" spans="1:13" x14ac:dyDescent="0.35">
      <c r="A47" s="7" t="s">
        <v>42</v>
      </c>
      <c r="B47" s="21">
        <v>45</v>
      </c>
      <c r="C47" s="16" t="str">
        <f>VLOOKUP(A47,[6]LISTADHERENT!A$5:I$60,3,0)</f>
        <v>TCHOUTOU NANA CLAUDE</v>
      </c>
      <c r="D47" s="17">
        <f>[2]FONDSDECAISSE!$O48</f>
        <v>0</v>
      </c>
      <c r="E47" s="17">
        <v>30000</v>
      </c>
      <c r="F47" s="17"/>
      <c r="G47" s="17">
        <v>-51454</v>
      </c>
      <c r="H47" s="19">
        <v>0</v>
      </c>
      <c r="I47" s="22">
        <v>-51453.696796924167</v>
      </c>
    </row>
    <row r="48" spans="1:13" x14ac:dyDescent="0.35">
      <c r="A48" s="7" t="s">
        <v>43</v>
      </c>
      <c r="B48" s="21">
        <v>46</v>
      </c>
      <c r="C48" s="16" t="str">
        <f>VLOOKUP(A48,[6]LISTADHERENT!A$5:I$60,3,0)</f>
        <v>TIEYAM ERNEST</v>
      </c>
      <c r="D48" s="17">
        <f>[2]FONDSDECAISSE!$O49</f>
        <v>420000</v>
      </c>
      <c r="E48" s="17">
        <v>30000</v>
      </c>
      <c r="F48" s="17">
        <v>30000</v>
      </c>
      <c r="G48" s="17">
        <v>-510000</v>
      </c>
      <c r="H48" s="19">
        <v>510000</v>
      </c>
      <c r="I48" s="3">
        <v>-153428</v>
      </c>
      <c r="J48" t="s">
        <v>70</v>
      </c>
    </row>
    <row r="49" spans="1:9" x14ac:dyDescent="0.35">
      <c r="A49" s="7" t="s">
        <v>44</v>
      </c>
      <c r="B49" s="21">
        <v>47</v>
      </c>
      <c r="C49" s="16" t="str">
        <f>VLOOKUP(A49,[6]LISTADHERENT!A$5:I$60,3,0)</f>
        <v>TUGMA PIERRE LOTI</v>
      </c>
      <c r="D49" s="17">
        <f>[2]FONDSDECAISSE!$O50</f>
        <v>420000</v>
      </c>
      <c r="E49" s="17">
        <v>30000</v>
      </c>
      <c r="F49" s="17">
        <v>30000</v>
      </c>
      <c r="G49" s="17">
        <v>-480000</v>
      </c>
      <c r="H49" s="19">
        <f t="shared" si="0"/>
        <v>0</v>
      </c>
      <c r="I49" s="3"/>
    </row>
    <row r="50" spans="1:9" x14ac:dyDescent="0.35">
      <c r="A50" s="7" t="s">
        <v>45</v>
      </c>
      <c r="B50" s="21">
        <v>48</v>
      </c>
      <c r="C50" s="16" t="str">
        <f>VLOOKUP(A50,[6]LISTADHERENT!A$5:I$60,3,0)</f>
        <v>YEPMOU JEAN JACQUES</v>
      </c>
      <c r="D50" s="17">
        <f>[2]FONDSDECAISSE!$O51</f>
        <v>420000</v>
      </c>
      <c r="E50" s="17">
        <v>30000</v>
      </c>
      <c r="F50" s="17">
        <v>30000</v>
      </c>
      <c r="G50" s="17">
        <v>30000</v>
      </c>
      <c r="H50" s="19">
        <f>SUM(D50:G50)</f>
        <v>510000</v>
      </c>
      <c r="I50" s="3"/>
    </row>
    <row r="51" spans="1:9" x14ac:dyDescent="0.35">
      <c r="A51" s="7" t="s">
        <v>46</v>
      </c>
      <c r="B51" s="21">
        <v>49</v>
      </c>
      <c r="C51" s="16" t="str">
        <f>VLOOKUP(A51,[6]LISTADHERENT!A$5:I$60,3,0)</f>
        <v>YOUMBI EMMANUEL</v>
      </c>
      <c r="D51" s="17">
        <f>[2]FONDSDECAISSE!$O52</f>
        <v>420000</v>
      </c>
      <c r="E51" s="17">
        <v>30000</v>
      </c>
      <c r="F51" s="17">
        <v>30000</v>
      </c>
      <c r="G51" s="17">
        <v>30000</v>
      </c>
      <c r="H51" s="19">
        <f t="shared" si="0"/>
        <v>510000</v>
      </c>
      <c r="I51" s="3"/>
    </row>
    <row r="52" spans="1:9" x14ac:dyDescent="0.35">
      <c r="A52" s="7"/>
      <c r="B52" s="21"/>
      <c r="C52" s="18"/>
      <c r="D52" s="18"/>
      <c r="E52" s="18"/>
      <c r="F52" s="18"/>
      <c r="G52" s="17"/>
      <c r="H52" s="33"/>
    </row>
    <row r="53" spans="1:9" ht="15" thickBot="1" x14ac:dyDescent="0.4">
      <c r="A53" s="34" t="s">
        <v>48</v>
      </c>
      <c r="B53" s="35"/>
      <c r="C53" s="36"/>
      <c r="D53" s="37">
        <f t="shared" ref="D53:G53" si="2">SUM(D2:D52)</f>
        <v>16326702.011083746</v>
      </c>
      <c r="E53" s="37">
        <f t="shared" si="2"/>
        <v>1260000</v>
      </c>
      <c r="F53" s="37">
        <f t="shared" si="2"/>
        <v>1225839</v>
      </c>
      <c r="G53" s="37">
        <f t="shared" si="2"/>
        <v>-2471356.0866691852</v>
      </c>
      <c r="H53" s="38">
        <f>SUM(H2:H52)</f>
        <v>17575593.92441456</v>
      </c>
    </row>
    <row r="54" spans="1:9" ht="15" thickTop="1" x14ac:dyDescent="0.35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0"/>
  <sheetViews>
    <sheetView workbookViewId="0">
      <selection activeCell="J20" sqref="J20"/>
    </sheetView>
  </sheetViews>
  <sheetFormatPr baseColWidth="10" defaultRowHeight="14.5" x14ac:dyDescent="0.35"/>
  <cols>
    <col min="1" max="1" width="12.26953125" style="8" customWidth="1"/>
    <col min="2" max="2" width="9.26953125" style="8" customWidth="1"/>
    <col min="3" max="3" width="31.81640625" bestFit="1" customWidth="1"/>
    <col min="4" max="4" width="9.81640625" bestFit="1" customWidth="1"/>
    <col min="5" max="6" width="8.81640625" bestFit="1" customWidth="1"/>
    <col min="7" max="7" width="9.54296875" style="3" bestFit="1" customWidth="1"/>
    <col min="8" max="8" width="9.81640625" bestFit="1" customWidth="1"/>
    <col min="9" max="9" width="13.26953125" customWidth="1"/>
    <col min="10" max="10" width="13" bestFit="1" customWidth="1"/>
    <col min="12" max="12" width="16.453125" bestFit="1" customWidth="1"/>
    <col min="13" max="13" width="15" bestFit="1" customWidth="1"/>
    <col min="14" max="14" width="11.453125" style="3"/>
  </cols>
  <sheetData>
    <row r="1" spans="1:15" ht="15" thickTop="1" x14ac:dyDescent="0.35">
      <c r="A1" s="6" t="s">
        <v>0</v>
      </c>
      <c r="B1" s="20" t="s">
        <v>54</v>
      </c>
      <c r="C1" s="13" t="s">
        <v>1</v>
      </c>
      <c r="D1" s="14">
        <v>42979</v>
      </c>
      <c r="E1" s="14">
        <v>43070</v>
      </c>
      <c r="F1" s="14">
        <v>43313</v>
      </c>
      <c r="G1" s="14">
        <v>43739</v>
      </c>
      <c r="H1" s="13" t="s">
        <v>48</v>
      </c>
      <c r="I1" s="15" t="s">
        <v>79</v>
      </c>
      <c r="J1" t="s">
        <v>55</v>
      </c>
      <c r="K1" t="s">
        <v>56</v>
      </c>
      <c r="L1" t="s">
        <v>57</v>
      </c>
      <c r="N1" s="3" t="s">
        <v>60</v>
      </c>
    </row>
    <row r="2" spans="1:15" x14ac:dyDescent="0.35">
      <c r="A2" s="41" t="s">
        <v>47</v>
      </c>
      <c r="B2" s="21">
        <v>1</v>
      </c>
      <c r="C2" s="16" t="str">
        <f>VLOOKUP(A2,[6]LISTADHERENT!A$5:I$60,3,0)</f>
        <v>ASELBY</v>
      </c>
      <c r="D2" s="17">
        <v>362838.01108374598</v>
      </c>
      <c r="E2" s="17">
        <v>0</v>
      </c>
      <c r="F2" s="17">
        <v>31243</v>
      </c>
      <c r="G2" s="17">
        <v>62669</v>
      </c>
      <c r="H2" s="17">
        <f>SUM(D2:G2)</f>
        <v>456750.01108374598</v>
      </c>
      <c r="I2" s="19">
        <v>584177.00555049011</v>
      </c>
      <c r="J2" s="3"/>
      <c r="K2" s="17"/>
    </row>
    <row r="3" spans="1:15" x14ac:dyDescent="0.35">
      <c r="A3" s="23" t="s">
        <v>2</v>
      </c>
      <c r="B3" s="21"/>
      <c r="C3" s="16" t="str">
        <f>VLOOKUP(A3,[6]LISTADHERENT!A$5:I$60,3,0)</f>
        <v>BAKOP ACHILLE</v>
      </c>
      <c r="D3" s="25">
        <v>420000</v>
      </c>
      <c r="E3" s="25">
        <v>30000</v>
      </c>
      <c r="F3" s="25">
        <v>30000</v>
      </c>
      <c r="G3" s="25">
        <v>-480000</v>
      </c>
      <c r="H3" s="25">
        <v>216000</v>
      </c>
      <c r="I3" s="19"/>
      <c r="J3" s="3"/>
      <c r="K3" s="40"/>
    </row>
    <row r="4" spans="1:15" x14ac:dyDescent="0.35">
      <c r="A4" s="41" t="s">
        <v>3</v>
      </c>
      <c r="B4" s="21">
        <v>2</v>
      </c>
      <c r="C4" s="16" t="str">
        <f>VLOOKUP(A4,[6]LISTADHERENT!A$5:I$60,3,0)</f>
        <v>BOUTCHOUANG WILLIAM</v>
      </c>
      <c r="D4" s="17">
        <v>420000</v>
      </c>
      <c r="E4" s="17">
        <v>30000</v>
      </c>
      <c r="F4" s="17">
        <v>30000</v>
      </c>
      <c r="G4" s="17">
        <v>30000</v>
      </c>
      <c r="H4" s="17">
        <f t="shared" ref="H4:H37" si="0">SUM(D4:G4)</f>
        <v>510000</v>
      </c>
      <c r="I4" s="19">
        <v>540000</v>
      </c>
      <c r="J4" s="3"/>
    </row>
    <row r="5" spans="1:15" x14ac:dyDescent="0.35">
      <c r="A5" s="41" t="s">
        <v>5</v>
      </c>
      <c r="B5" s="21">
        <v>3</v>
      </c>
      <c r="C5" s="16" t="str">
        <f>VLOOKUP(A5,[6]LISTADHERENT!A$5:I$60,3,0)</f>
        <v xml:space="preserve">DJOMO JEAN PAUL </v>
      </c>
      <c r="D5" s="17">
        <v>420000</v>
      </c>
      <c r="E5" s="17">
        <v>30000</v>
      </c>
      <c r="F5" s="17">
        <v>30000</v>
      </c>
      <c r="G5" s="17">
        <v>30000</v>
      </c>
      <c r="H5" s="17">
        <f>SUM(D5:G5)</f>
        <v>510000</v>
      </c>
      <c r="I5" s="19">
        <v>540000</v>
      </c>
      <c r="J5" s="3"/>
    </row>
    <row r="6" spans="1:15" s="28" customFormat="1" x14ac:dyDescent="0.35">
      <c r="A6" s="41" t="s">
        <v>68</v>
      </c>
      <c r="B6" s="21">
        <v>4</v>
      </c>
      <c r="C6" s="16" t="str">
        <f>VLOOKUP(A6,[6]LISTADHERENT!A$5:I$60,3,0)</f>
        <v>DJOMOU TCHANDA</v>
      </c>
      <c r="D6" s="25">
        <v>0</v>
      </c>
      <c r="E6" s="25"/>
      <c r="F6" s="25"/>
      <c r="G6" s="25"/>
      <c r="H6" s="25">
        <f t="shared" ref="H6" si="1">SUM(D6:G6)</f>
        <v>0</v>
      </c>
      <c r="I6" s="19">
        <v>408859</v>
      </c>
      <c r="J6" s="26"/>
      <c r="N6" s="26">
        <v>200000</v>
      </c>
      <c r="O6" s="28" t="s">
        <v>61</v>
      </c>
    </row>
    <row r="7" spans="1:15" s="28" customFormat="1" x14ac:dyDescent="0.35">
      <c r="A7" s="41" t="s">
        <v>6</v>
      </c>
      <c r="B7" s="21">
        <v>5</v>
      </c>
      <c r="C7" s="16" t="str">
        <f>VLOOKUP(A7,[6]LISTADHERENT!A$5:I$60,3,0)</f>
        <v>DJOUKWE NANGUEN GUY BLAISE</v>
      </c>
      <c r="D7" s="25">
        <v>420000</v>
      </c>
      <c r="E7" s="25">
        <v>30000</v>
      </c>
      <c r="F7" s="25">
        <v>30000</v>
      </c>
      <c r="G7" s="25">
        <v>30000</v>
      </c>
      <c r="H7" s="25">
        <f t="shared" si="0"/>
        <v>510000</v>
      </c>
      <c r="I7" s="19">
        <v>540000</v>
      </c>
      <c r="J7" s="26"/>
      <c r="N7" s="26">
        <v>200000</v>
      </c>
      <c r="O7" s="28" t="s">
        <v>61</v>
      </c>
    </row>
    <row r="8" spans="1:15" x14ac:dyDescent="0.35">
      <c r="A8" s="41" t="s">
        <v>7</v>
      </c>
      <c r="B8" s="21">
        <v>6</v>
      </c>
      <c r="C8" s="16" t="str">
        <f>VLOOKUP(A8,[6]LISTADHERENT!A$5:I$60,3,0)</f>
        <v>DJUOMBESSY ANTOINE</v>
      </c>
      <c r="D8" s="17">
        <v>420000</v>
      </c>
      <c r="E8" s="17">
        <v>30000</v>
      </c>
      <c r="F8" s="17">
        <v>30000</v>
      </c>
      <c r="G8" s="17">
        <v>30000</v>
      </c>
      <c r="H8" s="17">
        <f t="shared" si="0"/>
        <v>510000</v>
      </c>
      <c r="I8" s="19">
        <v>540000</v>
      </c>
      <c r="J8" s="3"/>
    </row>
    <row r="9" spans="1:15" x14ac:dyDescent="0.35">
      <c r="A9" s="42" t="s">
        <v>49</v>
      </c>
      <c r="B9" s="21">
        <v>7</v>
      </c>
      <c r="C9" s="16" t="str">
        <f>VLOOKUP(A9,[6]LISTADHERENT!A$5:I$60,3,0)</f>
        <v>DOMOU FABIEN</v>
      </c>
      <c r="D9" s="18"/>
      <c r="E9" s="18"/>
      <c r="F9" s="17">
        <v>441596</v>
      </c>
      <c r="G9" s="17">
        <v>68404</v>
      </c>
      <c r="H9" s="17">
        <f t="shared" si="0"/>
        <v>510000</v>
      </c>
      <c r="I9" s="19">
        <v>540000</v>
      </c>
      <c r="J9" s="3"/>
      <c r="L9" s="3"/>
    </row>
    <row r="10" spans="1:15" x14ac:dyDescent="0.35">
      <c r="A10" s="41" t="s">
        <v>8</v>
      </c>
      <c r="B10" s="21">
        <v>8</v>
      </c>
      <c r="C10" s="16" t="str">
        <f>VLOOKUP(A10,[6]LISTADHERENT!A$5:I$60,3,0)</f>
        <v>DONHOU DAVID</v>
      </c>
      <c r="D10" s="17">
        <v>420000</v>
      </c>
      <c r="E10" s="17">
        <v>30000</v>
      </c>
      <c r="F10" s="17">
        <v>30000</v>
      </c>
      <c r="G10" s="17">
        <v>30000</v>
      </c>
      <c r="H10" s="17">
        <f t="shared" si="0"/>
        <v>510000</v>
      </c>
      <c r="I10" s="19">
        <v>540000</v>
      </c>
      <c r="J10" s="3"/>
    </row>
    <row r="11" spans="1:15" x14ac:dyDescent="0.35">
      <c r="A11" s="41" t="s">
        <v>9</v>
      </c>
      <c r="B11" s="21">
        <v>9</v>
      </c>
      <c r="C11" s="16" t="str">
        <f>VLOOKUP(A11,[6]LISTADHERENT!A$5:I$60,3,0)</f>
        <v>FOTSO THOMAS</v>
      </c>
      <c r="D11" s="17">
        <v>420000</v>
      </c>
      <c r="E11" s="17">
        <v>30000</v>
      </c>
      <c r="F11" s="17">
        <v>30000</v>
      </c>
      <c r="G11" s="17">
        <v>30000</v>
      </c>
      <c r="H11" s="17">
        <f t="shared" si="0"/>
        <v>510000</v>
      </c>
      <c r="I11" s="19">
        <v>540000</v>
      </c>
      <c r="J11" s="3"/>
    </row>
    <row r="12" spans="1:15" x14ac:dyDescent="0.35">
      <c r="A12" s="41" t="s">
        <v>10</v>
      </c>
      <c r="B12" s="21">
        <v>10</v>
      </c>
      <c r="C12" s="16" t="str">
        <f>VLOOKUP(A12,[6]LISTADHERENT!A$5:I$60,3,0)</f>
        <v>HENGUE PAUL OMER</v>
      </c>
      <c r="D12" s="17">
        <v>420000</v>
      </c>
      <c r="E12" s="17">
        <v>30000</v>
      </c>
      <c r="F12" s="17">
        <v>30000</v>
      </c>
      <c r="G12" s="17">
        <v>30000</v>
      </c>
      <c r="H12" s="17">
        <f t="shared" si="0"/>
        <v>510000</v>
      </c>
      <c r="I12" s="19">
        <v>540000</v>
      </c>
      <c r="J12" s="3"/>
    </row>
    <row r="13" spans="1:15" s="28" customFormat="1" x14ac:dyDescent="0.35">
      <c r="A13" s="23" t="s">
        <v>11</v>
      </c>
      <c r="B13" s="21">
        <v>11</v>
      </c>
      <c r="C13" s="16" t="str">
        <f>VLOOKUP(A13,[6]LISTADHERENT!A$5:I$60,3,0)</f>
        <v>HODIEP JULES</v>
      </c>
      <c r="D13" s="25">
        <v>50000</v>
      </c>
      <c r="E13" s="25">
        <v>30000</v>
      </c>
      <c r="F13" s="25"/>
      <c r="G13" s="25">
        <v>-80000</v>
      </c>
      <c r="H13" s="25">
        <v>80000</v>
      </c>
      <c r="I13" s="19"/>
      <c r="J13" s="26">
        <v>80000</v>
      </c>
      <c r="N13" s="26"/>
    </row>
    <row r="14" spans="1:15" x14ac:dyDescent="0.35">
      <c r="A14" s="41" t="s">
        <v>12</v>
      </c>
      <c r="B14" s="21">
        <v>12</v>
      </c>
      <c r="C14" s="16" t="str">
        <f>VLOOKUP(A14,[6]LISTADHERENT!A$5:I$60,3,0)</f>
        <v>HOTCHO BENJAMIN</v>
      </c>
      <c r="D14" s="17">
        <v>420000</v>
      </c>
      <c r="E14" s="17">
        <v>30000</v>
      </c>
      <c r="F14" s="17">
        <v>30000</v>
      </c>
      <c r="G14" s="17">
        <v>30000</v>
      </c>
      <c r="H14" s="17">
        <f t="shared" si="0"/>
        <v>510000</v>
      </c>
      <c r="I14" s="19">
        <v>540000</v>
      </c>
      <c r="J14" s="3"/>
    </row>
    <row r="15" spans="1:15" x14ac:dyDescent="0.35">
      <c r="A15" s="41" t="s">
        <v>16</v>
      </c>
      <c r="B15" s="21">
        <v>13</v>
      </c>
      <c r="C15" s="16" t="str">
        <f>VLOOKUP(A15,[6]LISTADHERENT!A$5:I$60,3,0)</f>
        <v>KOUAMOU MOISE</v>
      </c>
      <c r="D15" s="17">
        <v>420000</v>
      </c>
      <c r="E15" s="17">
        <v>30000</v>
      </c>
      <c r="F15" s="17">
        <v>30000</v>
      </c>
      <c r="G15" s="17">
        <v>30000</v>
      </c>
      <c r="H15" s="17">
        <f t="shared" si="0"/>
        <v>510000</v>
      </c>
      <c r="I15" s="19">
        <v>540000</v>
      </c>
      <c r="J15" s="3"/>
    </row>
    <row r="16" spans="1:15" x14ac:dyDescent="0.35">
      <c r="A16" s="41" t="s">
        <v>18</v>
      </c>
      <c r="B16" s="21">
        <v>14</v>
      </c>
      <c r="C16" s="16" t="str">
        <f>VLOOKUP(A16,[6]LISTADHERENT!A$5:I$60,3,0)</f>
        <v>KOUATCHO MESSACK</v>
      </c>
      <c r="D16" s="17">
        <v>420000</v>
      </c>
      <c r="E16" s="17">
        <v>30000</v>
      </c>
      <c r="F16" s="17">
        <v>30000</v>
      </c>
      <c r="G16" s="17">
        <v>30000</v>
      </c>
      <c r="H16" s="17">
        <f t="shared" si="0"/>
        <v>510000</v>
      </c>
      <c r="I16" s="19">
        <v>540000</v>
      </c>
      <c r="J16" s="3"/>
    </row>
    <row r="17" spans="1:14" x14ac:dyDescent="0.35">
      <c r="A17" s="41" t="s">
        <v>19</v>
      </c>
      <c r="B17" s="21">
        <v>15</v>
      </c>
      <c r="C17" s="16" t="str">
        <f>VLOOKUP(A17,[6]LISTADHERENT!A$5:I$60,3,0)</f>
        <v>LOWE JEAN</v>
      </c>
      <c r="D17" s="17">
        <v>420000</v>
      </c>
      <c r="E17" s="17">
        <v>30000</v>
      </c>
      <c r="F17" s="17">
        <v>30000</v>
      </c>
      <c r="G17" s="17">
        <v>30000</v>
      </c>
      <c r="H17" s="17">
        <f t="shared" si="0"/>
        <v>510000</v>
      </c>
      <c r="I17" s="19">
        <v>540000</v>
      </c>
      <c r="J17" s="3"/>
    </row>
    <row r="18" spans="1:14" s="28" customFormat="1" x14ac:dyDescent="0.35">
      <c r="A18" s="42" t="s">
        <v>52</v>
      </c>
      <c r="B18" s="21">
        <v>16</v>
      </c>
      <c r="C18" s="16" t="str">
        <f>VLOOKUP(A18,[6]LISTADHERENT!A$5:I$60,3,0)</f>
        <v>MBOGNING TUGMA GUY</v>
      </c>
      <c r="D18" s="32"/>
      <c r="E18" s="32"/>
      <c r="F18" s="25">
        <v>30000</v>
      </c>
      <c r="G18" s="25">
        <v>480000</v>
      </c>
      <c r="H18" s="25">
        <f t="shared" si="0"/>
        <v>510000</v>
      </c>
      <c r="I18" s="19">
        <v>540000</v>
      </c>
      <c r="J18" s="26" t="s">
        <v>80</v>
      </c>
      <c r="N18" s="26"/>
    </row>
    <row r="19" spans="1:14" s="28" customFormat="1" x14ac:dyDescent="0.35">
      <c r="A19" s="41" t="s">
        <v>38</v>
      </c>
      <c r="B19" s="21">
        <v>17</v>
      </c>
      <c r="C19" s="16" t="str">
        <f>VLOOKUP(A19,[6]LISTADHERENT!A$5:I$60,3,0)</f>
        <v>NANGUEN MARTIN</v>
      </c>
      <c r="D19" s="25">
        <v>390000</v>
      </c>
      <c r="E19" s="25">
        <v>30000</v>
      </c>
      <c r="F19" s="25">
        <v>30000</v>
      </c>
      <c r="G19" s="25">
        <v>60000</v>
      </c>
      <c r="H19" s="25">
        <f t="shared" si="0"/>
        <v>510000</v>
      </c>
      <c r="I19" s="19">
        <v>540000</v>
      </c>
      <c r="J19" s="26"/>
      <c r="N19" s="26"/>
    </row>
    <row r="20" spans="1:14" x14ac:dyDescent="0.35">
      <c r="A20" s="41" t="s">
        <v>20</v>
      </c>
      <c r="B20" s="21">
        <v>18</v>
      </c>
      <c r="C20" s="16" t="str">
        <f>VLOOKUP(A20,[6]LISTADHERENT!A$5:I$60,3,0)</f>
        <v>NANKAM APPOLINAIRE</v>
      </c>
      <c r="D20" s="17">
        <v>420000</v>
      </c>
      <c r="E20" s="17">
        <v>30000</v>
      </c>
      <c r="F20" s="17">
        <v>30000</v>
      </c>
      <c r="G20" s="17">
        <v>30000</v>
      </c>
      <c r="H20" s="17">
        <f t="shared" si="0"/>
        <v>510000</v>
      </c>
      <c r="I20" s="19">
        <v>540000</v>
      </c>
      <c r="J20" s="3"/>
    </row>
    <row r="21" spans="1:14" x14ac:dyDescent="0.35">
      <c r="A21" s="41" t="s">
        <v>21</v>
      </c>
      <c r="B21" s="21">
        <v>19</v>
      </c>
      <c r="C21" s="16" t="str">
        <f>VLOOKUP(A21,[6]LISTADHERENT!A$5:I$60,3,0)</f>
        <v>NDJOMO ETIENNE</v>
      </c>
      <c r="D21" s="17">
        <v>420000</v>
      </c>
      <c r="E21" s="17">
        <v>30000</v>
      </c>
      <c r="F21" s="17">
        <v>30000</v>
      </c>
      <c r="G21" s="17">
        <v>30000</v>
      </c>
      <c r="H21" s="17">
        <f t="shared" si="0"/>
        <v>510000</v>
      </c>
      <c r="I21" s="19">
        <v>540000</v>
      </c>
      <c r="J21" s="3"/>
    </row>
    <row r="22" spans="1:14" s="28" customFormat="1" x14ac:dyDescent="0.35">
      <c r="A22" s="23" t="s">
        <v>22</v>
      </c>
      <c r="B22" s="21">
        <v>20</v>
      </c>
      <c r="C22" s="16" t="str">
        <f>VLOOKUP(A22,[6]LISTADHERENT!A$5:I$60,3,0)</f>
        <v>NDOMBOU JEAN CLAUDE</v>
      </c>
      <c r="D22" s="25">
        <v>420000</v>
      </c>
      <c r="E22" s="25">
        <v>30000</v>
      </c>
      <c r="F22" s="25">
        <v>30000</v>
      </c>
      <c r="G22" s="25">
        <v>-480000</v>
      </c>
      <c r="H22" s="25">
        <v>480000</v>
      </c>
      <c r="I22" s="19"/>
      <c r="J22" s="30">
        <v>480000</v>
      </c>
      <c r="N22" s="26"/>
    </row>
    <row r="23" spans="1:14" x14ac:dyDescent="0.35">
      <c r="A23" s="41" t="s">
        <v>23</v>
      </c>
      <c r="B23" s="21">
        <v>21</v>
      </c>
      <c r="C23" s="16" t="str">
        <f>VLOOKUP(A23,[6]LISTADHERENT!A$5:I$60,3,0)</f>
        <v>NGONDIEP CLAUDE</v>
      </c>
      <c r="D23" s="17">
        <v>420000</v>
      </c>
      <c r="E23" s="17">
        <v>30000</v>
      </c>
      <c r="F23" s="17">
        <v>30000</v>
      </c>
      <c r="G23" s="17">
        <v>30000</v>
      </c>
      <c r="H23" s="17">
        <f>SUM(D23:G23)</f>
        <v>510000</v>
      </c>
      <c r="I23" s="19">
        <v>540000</v>
      </c>
      <c r="J23" s="3"/>
    </row>
    <row r="24" spans="1:14" s="28" customFormat="1" x14ac:dyDescent="0.35">
      <c r="A24" s="23" t="s">
        <v>24</v>
      </c>
      <c r="B24" s="21">
        <v>22</v>
      </c>
      <c r="C24" s="16" t="str">
        <f>VLOOKUP(A24,[6]LISTADHERENT!A$5:I$60,3,0)</f>
        <v>NGONGANG JEAN THEODORE</v>
      </c>
      <c r="D24" s="25">
        <v>43045</v>
      </c>
      <c r="E24" s="25">
        <v>30000</v>
      </c>
      <c r="F24" s="25"/>
      <c r="G24" s="25">
        <v>267467</v>
      </c>
      <c r="H24" s="25">
        <f>267467-10000</f>
        <v>257467</v>
      </c>
      <c r="I24" s="19"/>
      <c r="J24" s="26"/>
      <c r="N24" s="26"/>
    </row>
    <row r="25" spans="1:14" x14ac:dyDescent="0.35">
      <c r="A25" s="41" t="s">
        <v>25</v>
      </c>
      <c r="B25" s="21">
        <v>23</v>
      </c>
      <c r="C25" s="16" t="str">
        <f>VLOOKUP(A25,[6]LISTADHERENT!A$5:I$60,3,0)</f>
        <v>NGUIEMEGNI MATHIEU BLAISE</v>
      </c>
      <c r="D25" s="17">
        <v>420000</v>
      </c>
      <c r="E25" s="17">
        <v>30000</v>
      </c>
      <c r="F25" s="17">
        <v>30000</v>
      </c>
      <c r="G25" s="17">
        <v>30000</v>
      </c>
      <c r="H25" s="17">
        <f t="shared" si="0"/>
        <v>510000</v>
      </c>
      <c r="I25" s="19">
        <v>540000</v>
      </c>
      <c r="J25" s="3"/>
    </row>
    <row r="26" spans="1:14" x14ac:dyDescent="0.35">
      <c r="A26" s="41" t="s">
        <v>27</v>
      </c>
      <c r="B26" s="21">
        <v>24</v>
      </c>
      <c r="C26" s="16" t="str">
        <f>VLOOKUP(A26,[6]LISTADHERENT!A$5:I$60,3,0)</f>
        <v>NKAMGANG JUSTIN DEJOLIE</v>
      </c>
      <c r="D26" s="17">
        <v>420000</v>
      </c>
      <c r="E26" s="17">
        <v>30000</v>
      </c>
      <c r="F26" s="17">
        <v>30000</v>
      </c>
      <c r="G26" s="17">
        <v>30000</v>
      </c>
      <c r="H26" s="17">
        <f t="shared" si="0"/>
        <v>510000</v>
      </c>
      <c r="I26" s="19">
        <v>540000</v>
      </c>
      <c r="J26" s="3"/>
    </row>
    <row r="27" spans="1:14" x14ac:dyDescent="0.35">
      <c r="A27" s="41" t="s">
        <v>13</v>
      </c>
      <c r="B27" s="21">
        <v>25</v>
      </c>
      <c r="C27" s="16" t="str">
        <f>VLOOKUP(A27,[6]LISTADHERENT!A$5:I$60,3,0)</f>
        <v>NKEHE DAVID</v>
      </c>
      <c r="D27" s="17">
        <v>357000</v>
      </c>
      <c r="E27" s="17">
        <v>30000</v>
      </c>
      <c r="F27" s="17">
        <v>33000</v>
      </c>
      <c r="G27" s="17">
        <v>90000</v>
      </c>
      <c r="H27" s="17">
        <f t="shared" si="0"/>
        <v>510000</v>
      </c>
      <c r="I27" s="19">
        <v>540000</v>
      </c>
      <c r="J27" s="3"/>
    </row>
    <row r="28" spans="1:14" x14ac:dyDescent="0.35">
      <c r="A28" s="41" t="s">
        <v>28</v>
      </c>
      <c r="B28" s="21">
        <v>26</v>
      </c>
      <c r="C28" s="16" t="str">
        <f>VLOOKUP(A28,[6]LISTADHERENT!A$5:I$60,3,0)</f>
        <v>NKEPSEU DIEUDONNE</v>
      </c>
      <c r="D28" s="17">
        <v>420000</v>
      </c>
      <c r="E28" s="17">
        <v>30000</v>
      </c>
      <c r="F28" s="17">
        <v>30000</v>
      </c>
      <c r="G28" s="17">
        <v>30000</v>
      </c>
      <c r="H28" s="17">
        <f t="shared" si="0"/>
        <v>510000</v>
      </c>
      <c r="I28" s="19">
        <v>540000</v>
      </c>
      <c r="J28" s="3"/>
    </row>
    <row r="29" spans="1:14" x14ac:dyDescent="0.35">
      <c r="A29" s="41" t="s">
        <v>32</v>
      </c>
      <c r="B29" s="21">
        <v>27</v>
      </c>
      <c r="C29" s="16" t="str">
        <f>VLOOKUP(A29,[6]LISTADHERENT!A$5:I$60,3,0)</f>
        <v>PATEGO NJOSSU GUSTAVE</v>
      </c>
      <c r="D29" s="17">
        <v>420000</v>
      </c>
      <c r="E29" s="17">
        <v>30000</v>
      </c>
      <c r="F29" s="17">
        <v>30000</v>
      </c>
      <c r="G29" s="17">
        <v>30000</v>
      </c>
      <c r="H29" s="17">
        <f t="shared" si="0"/>
        <v>510000</v>
      </c>
      <c r="I29" s="19">
        <v>540000</v>
      </c>
      <c r="J29" s="3"/>
    </row>
    <row r="30" spans="1:14" s="28" customFormat="1" x14ac:dyDescent="0.35">
      <c r="A30" s="42" t="s">
        <v>51</v>
      </c>
      <c r="B30" s="21">
        <v>28</v>
      </c>
      <c r="C30" s="16" t="str">
        <f>VLOOKUP(A30,[6]LISTADHERENT!A$5:I$60,3,0)</f>
        <v>SIME BRICE</v>
      </c>
      <c r="D30" s="32"/>
      <c r="E30" s="32"/>
      <c r="F30" s="25"/>
      <c r="G30" s="25">
        <v>145376.91333081503</v>
      </c>
      <c r="H30" s="25">
        <f t="shared" si="0"/>
        <v>145376.91333081503</v>
      </c>
      <c r="I30" s="19">
        <v>540000</v>
      </c>
      <c r="J30" s="26"/>
      <c r="N30" s="26"/>
    </row>
    <row r="31" spans="1:14" x14ac:dyDescent="0.35">
      <c r="A31" s="41" t="s">
        <v>35</v>
      </c>
      <c r="B31" s="21">
        <v>29</v>
      </c>
      <c r="C31" s="16" t="str">
        <f>VLOOKUP(A31,[6]LISTADHERENT!A$5:I$60,3,0)</f>
        <v>SIMO FONGANG ERIC</v>
      </c>
      <c r="D31" s="17">
        <v>420000</v>
      </c>
      <c r="E31" s="17">
        <v>30000</v>
      </c>
      <c r="F31" s="17">
        <v>30000</v>
      </c>
      <c r="G31" s="17">
        <v>30000</v>
      </c>
      <c r="H31" s="17">
        <f t="shared" si="0"/>
        <v>510000</v>
      </c>
      <c r="I31" s="19">
        <v>540000</v>
      </c>
      <c r="J31" s="3"/>
    </row>
    <row r="32" spans="1:14" x14ac:dyDescent="0.35">
      <c r="A32" s="41" t="s">
        <v>36</v>
      </c>
      <c r="B32" s="21">
        <v>30</v>
      </c>
      <c r="C32" s="16" t="str">
        <f>VLOOKUP(A32,[6]LISTADHERENT!A$5:I$60,3,0)</f>
        <v>SIME MATHIEU</v>
      </c>
      <c r="D32" s="17">
        <v>420000</v>
      </c>
      <c r="E32" s="17">
        <v>30000</v>
      </c>
      <c r="F32" s="17">
        <v>30000</v>
      </c>
      <c r="G32" s="17">
        <v>30000</v>
      </c>
      <c r="H32" s="17">
        <f t="shared" si="0"/>
        <v>510000</v>
      </c>
      <c r="I32" s="19"/>
      <c r="J32" s="3"/>
    </row>
    <row r="33" spans="1:11" x14ac:dyDescent="0.35">
      <c r="A33" s="41" t="s">
        <v>37</v>
      </c>
      <c r="B33" s="21">
        <v>31</v>
      </c>
      <c r="C33" s="16" t="str">
        <f>VLOOKUP(A33,[6]LISTADHERENT!A$5:I$60,3,0)</f>
        <v>SIMO PIERRE</v>
      </c>
      <c r="D33" s="17">
        <v>420000</v>
      </c>
      <c r="E33" s="17">
        <v>30000</v>
      </c>
      <c r="F33" s="17">
        <v>30000</v>
      </c>
      <c r="G33" s="17">
        <v>30000</v>
      </c>
      <c r="H33" s="17">
        <f t="shared" si="0"/>
        <v>510000</v>
      </c>
      <c r="I33" s="19">
        <v>540000</v>
      </c>
      <c r="J33" s="3"/>
    </row>
    <row r="34" spans="1:11" x14ac:dyDescent="0.35">
      <c r="A34" s="41" t="s">
        <v>40</v>
      </c>
      <c r="B34" s="21">
        <v>32</v>
      </c>
      <c r="C34" s="16" t="str">
        <f>VLOOKUP(A34,[6]LISTADHERENT!A$5:I$60,3,0)</f>
        <v>TCHOUAMOU MATHIEU</v>
      </c>
      <c r="D34" s="17">
        <v>420000</v>
      </c>
      <c r="E34" s="17">
        <v>30000</v>
      </c>
      <c r="F34" s="17">
        <v>30000</v>
      </c>
      <c r="G34" s="17">
        <v>30000</v>
      </c>
      <c r="H34" s="17">
        <f t="shared" si="0"/>
        <v>510000</v>
      </c>
      <c r="I34" s="19">
        <v>540000</v>
      </c>
      <c r="J34" s="3"/>
    </row>
    <row r="35" spans="1:11" x14ac:dyDescent="0.35">
      <c r="A35" s="41" t="s">
        <v>43</v>
      </c>
      <c r="B35" s="21">
        <v>33</v>
      </c>
      <c r="C35" s="16" t="str">
        <f>VLOOKUP(A35,[6]LISTADHERENT!A$5:I$60,3,0)</f>
        <v>TIEYAM ERNEST</v>
      </c>
      <c r="D35" s="17">
        <v>420000</v>
      </c>
      <c r="E35" s="17">
        <v>30000</v>
      </c>
      <c r="F35" s="17">
        <v>30000</v>
      </c>
      <c r="G35" s="17">
        <v>-510000</v>
      </c>
      <c r="H35" s="17">
        <v>510000</v>
      </c>
      <c r="I35" s="19">
        <v>540000</v>
      </c>
      <c r="J35" s="3">
        <v>-153428</v>
      </c>
      <c r="K35" t="s">
        <v>70</v>
      </c>
    </row>
    <row r="36" spans="1:11" x14ac:dyDescent="0.35">
      <c r="A36" s="41" t="s">
        <v>45</v>
      </c>
      <c r="B36" s="21">
        <v>34</v>
      </c>
      <c r="C36" s="16" t="str">
        <f>VLOOKUP(A36,[6]LISTADHERENT!A$5:I$60,3,0)</f>
        <v>YEPMOU JEAN JACQUES</v>
      </c>
      <c r="D36" s="17">
        <v>420000</v>
      </c>
      <c r="E36" s="17">
        <v>30000</v>
      </c>
      <c r="F36" s="17">
        <v>30000</v>
      </c>
      <c r="G36" s="17">
        <v>30000</v>
      </c>
      <c r="H36" s="17">
        <f>SUM(D36:G36)</f>
        <v>510000</v>
      </c>
      <c r="I36" s="19">
        <v>540000</v>
      </c>
      <c r="J36" s="3"/>
    </row>
    <row r="37" spans="1:11" x14ac:dyDescent="0.35">
      <c r="A37" s="41" t="s">
        <v>46</v>
      </c>
      <c r="B37" s="21">
        <v>35</v>
      </c>
      <c r="C37" s="16" t="str">
        <f>VLOOKUP(A37,[6]LISTADHERENT!A$5:I$60,3,0)</f>
        <v>YOUMBI EMMANUEL</v>
      </c>
      <c r="D37" s="17">
        <v>420000</v>
      </c>
      <c r="E37" s="17">
        <v>30000</v>
      </c>
      <c r="F37" s="17">
        <v>30000</v>
      </c>
      <c r="G37" s="17">
        <v>30000</v>
      </c>
      <c r="H37" s="17">
        <f t="shared" si="0"/>
        <v>510000</v>
      </c>
      <c r="I37" s="19">
        <v>540000</v>
      </c>
      <c r="J37" s="3"/>
    </row>
    <row r="38" spans="1:11" x14ac:dyDescent="0.35">
      <c r="A38" s="31" t="s">
        <v>78</v>
      </c>
      <c r="B38" s="21">
        <v>36</v>
      </c>
      <c r="C38" s="16" t="str">
        <f>VLOOKUP(A38,[6]LISTADHERENT!A$5:I$60,3,0)</f>
        <v>TCHEMHOU EMMANUEL</v>
      </c>
      <c r="D38" s="18"/>
      <c r="E38" s="18"/>
      <c r="F38" s="18"/>
      <c r="G38" s="17"/>
      <c r="H38" s="18"/>
      <c r="I38" s="19"/>
    </row>
    <row r="39" spans="1:11" ht="15" thickBot="1" x14ac:dyDescent="0.4">
      <c r="A39" s="34" t="s">
        <v>48</v>
      </c>
      <c r="B39" s="35"/>
      <c r="C39" s="36"/>
      <c r="D39" s="37">
        <f t="shared" ref="D39:G39" si="2">SUM(D2:D38)</f>
        <v>12542883.011083746</v>
      </c>
      <c r="E39" s="37">
        <f t="shared" si="2"/>
        <v>930000</v>
      </c>
      <c r="F39" s="37">
        <f t="shared" si="2"/>
        <v>1375839</v>
      </c>
      <c r="G39" s="37">
        <f t="shared" si="2"/>
        <v>343916.91333081503</v>
      </c>
      <c r="H39" s="37">
        <f>SUM(H2:H38)</f>
        <v>16425593.924414562</v>
      </c>
      <c r="I39" s="38">
        <f>SUM(I2:I38)</f>
        <v>16653036.005550491</v>
      </c>
    </row>
    <row r="40" spans="1:11" ht="15" thickTop="1" x14ac:dyDescent="0.3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FONDSCAISSE</vt:lpstr>
      <vt:lpstr>FONDSCAISSEBACKUP</vt:lpstr>
      <vt:lpstr>FONDSTRANSPORT</vt:lpstr>
      <vt:lpstr>FONDSCAISSE2020</vt:lpstr>
      <vt:lpstr>FONDSCAISSE2022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HP</cp:lastModifiedBy>
  <dcterms:created xsi:type="dcterms:W3CDTF">2017-10-29T14:07:50Z</dcterms:created>
  <dcterms:modified xsi:type="dcterms:W3CDTF">2026-02-10T10:58:51Z</dcterms:modified>
</cp:coreProperties>
</file>