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IVCOM\PNT\ASELBY\ASELBYTONTINE2017\ASELBYTONTINEBACKUP\"/>
    </mc:Choice>
  </mc:AlternateContent>
  <bookViews>
    <workbookView xWindow="240" yWindow="60" windowWidth="15600" windowHeight="7950" activeTab="15"/>
  </bookViews>
  <sheets>
    <sheet name="LISTADHERENT" sheetId="15" r:id="rId1"/>
    <sheet name="TRAVAUXINVENTAIRE" sheetId="24" r:id="rId2"/>
    <sheet name="FONDSDECAISSE" sheetId="16" r:id="rId3"/>
    <sheet name="TONT20000DEC2016" sheetId="20" r:id="rId4"/>
    <sheet name="TONT20000JANV2017" sheetId="23" r:id="rId5"/>
    <sheet name="TONT20000FEV2017" sheetId="26" r:id="rId6"/>
    <sheet name="TONT20000MARS2017" sheetId="27" r:id="rId7"/>
    <sheet name="TONT20000AVRIL2017" sheetId="28" r:id="rId8"/>
    <sheet name="TONT20000MAI2017" sheetId="29" r:id="rId9"/>
    <sheet name="TONT20000JUIN2017" sheetId="30" r:id="rId10"/>
    <sheet name="TONT20000JUIL2017" sheetId="31" r:id="rId11"/>
    <sheet name="TONT20000AOUT2017" sheetId="32" r:id="rId12"/>
    <sheet name="TONT20000SEPT2017" sheetId="33" r:id="rId13"/>
    <sheet name="TONT20000OCT2017" sheetId="34" r:id="rId14"/>
    <sheet name="TONT20000NOV2017" sheetId="35" r:id="rId15"/>
    <sheet name="TONT20000DEC2017" sheetId="36" r:id="rId16"/>
    <sheet name="MODEVERSEMENT" sheetId="22" r:id="rId17"/>
    <sheet name="RECAPTONT20000" sheetId="2" r:id="rId18"/>
    <sheet name="FONDSDECAISSEBACKUP" sheetId="25" r:id="rId19"/>
  </sheets>
  <externalReferences>
    <externalReference r:id="rId20"/>
    <externalReference r:id="rId21"/>
  </externalReferences>
  <definedNames>
    <definedName name="_xlnm._FilterDatabase" localSheetId="0" hidden="1">LISTADHERENT!$A$4:$H$51</definedName>
    <definedName name="_xlnm._FilterDatabase" localSheetId="17" hidden="1">RECAPTONT20000!$A$4:$V$50</definedName>
    <definedName name="_xlnm._FilterDatabase" localSheetId="11" hidden="1">TONT20000AOUT2017!$A$4:$Q$52</definedName>
    <definedName name="_xlnm._FilterDatabase" localSheetId="7" hidden="1">TONT20000AVRIL2017!$A$4:$Q$52</definedName>
    <definedName name="_xlnm._FilterDatabase" localSheetId="3" hidden="1">TONT20000DEC2016!$A$4:$S$49</definedName>
    <definedName name="_xlnm._FilterDatabase" localSheetId="15" hidden="1">TONT20000DEC2017!$A$4:$Q$52</definedName>
    <definedName name="_xlnm._FilterDatabase" localSheetId="5" hidden="1">TONT20000FEV2017!$A$4:$Q$52</definedName>
    <definedName name="_xlnm._FilterDatabase" localSheetId="4" hidden="1">TONT20000JANV2017!$A$4:$Q$52</definedName>
    <definedName name="_xlnm._FilterDatabase" localSheetId="10" hidden="1">TONT20000JUIL2017!$A$4:$Q$52</definedName>
    <definedName name="_xlnm._FilterDatabase" localSheetId="9" hidden="1">TONT20000JUIN2017!$A$4:$Q$52</definedName>
    <definedName name="_xlnm._FilterDatabase" localSheetId="8" hidden="1">TONT20000MAI2017!$A$4:$Q$52</definedName>
    <definedName name="_xlnm._FilterDatabase" localSheetId="6" hidden="1">TONT20000MARS2017!$A$4:$Q$52</definedName>
    <definedName name="_xlnm._FilterDatabase" localSheetId="14" hidden="1">TONT20000NOV2017!$A$4:$Q$52</definedName>
    <definedName name="_xlnm._FilterDatabase" localSheetId="13" hidden="1">TONT20000OCT2017!$A$4:$Q$52</definedName>
    <definedName name="_xlnm._FilterDatabase" localSheetId="12" hidden="1">TONT20000SEPT2017!$A$4:$Q$52</definedName>
    <definedName name="_xlnm._FilterDatabase" localSheetId="1" hidden="1">TRAVAUXINVENTAIRE!$A$4:$AD$50</definedName>
    <definedName name="BANQUE" localSheetId="18">#REF!</definedName>
    <definedName name="BANQUE" localSheetId="11">#REF!</definedName>
    <definedName name="BANQUE" localSheetId="7">#REF!</definedName>
    <definedName name="BANQUE" localSheetId="15">#REF!</definedName>
    <definedName name="BANQUE" localSheetId="5">#REF!</definedName>
    <definedName name="BANQUE" localSheetId="4">#REF!</definedName>
    <definedName name="BANQUE" localSheetId="10">#REF!</definedName>
    <definedName name="BANQUE" localSheetId="9">#REF!</definedName>
    <definedName name="BANQUE" localSheetId="8">#REF!</definedName>
    <definedName name="BANQUE" localSheetId="6">#REF!</definedName>
    <definedName name="BANQUE" localSheetId="14">#REF!</definedName>
    <definedName name="BANQUE" localSheetId="13">#REF!</definedName>
    <definedName name="BANQUE" localSheetId="12">#REF!</definedName>
    <definedName name="BANQUE">#REF!</definedName>
    <definedName name="_xlnm.Print_Titles" localSheetId="0">LISTADHERENT!$1:$4</definedName>
    <definedName name="MODEPAID">[1]Feuil2!$A$1:$A$3</definedName>
    <definedName name="MODEVERSEMENT" localSheetId="18">#REF!</definedName>
    <definedName name="MODEVERSEMENT" localSheetId="11">#REF!</definedName>
    <definedName name="MODEVERSEMENT" localSheetId="7">#REF!</definedName>
    <definedName name="MODEVERSEMENT" localSheetId="15">#REF!</definedName>
    <definedName name="MODEVERSEMENT" localSheetId="5">#REF!</definedName>
    <definedName name="MODEVERSEMENT" localSheetId="4">#REF!</definedName>
    <definedName name="MODEVERSEMENT" localSheetId="10">#REF!</definedName>
    <definedName name="MODEVERSEMENT" localSheetId="9">#REF!</definedName>
    <definedName name="MODEVERSEMENT" localSheetId="8">#REF!</definedName>
    <definedName name="MODEVERSEMENT" localSheetId="6">#REF!</definedName>
    <definedName name="MODEVERSEMENT" localSheetId="14">#REF!</definedName>
    <definedName name="MODEVERSEMENT" localSheetId="13">#REF!</definedName>
    <definedName name="MODEVERSEMENT" localSheetId="12">#REF!</definedName>
    <definedName name="MODEVERSEMENT">#REF!</definedName>
    <definedName name="MODEVERSEMENTS">MODEVERSEMENT!$A$1:$A$3</definedName>
    <definedName name="MODPAID" localSheetId="11">TONT20000AOUT2017!$H$5</definedName>
    <definedName name="MODPAID" localSheetId="7">TONT20000AVRIL2017!$H$5</definedName>
    <definedName name="MODPAID" localSheetId="15">TONT20000DEC2017!$H$5</definedName>
    <definedName name="MODPAID" localSheetId="5">TONT20000FEV2017!$H$5</definedName>
    <definedName name="MODPAID" localSheetId="4">TONT20000JANV2017!$H$5</definedName>
    <definedName name="MODPAID" localSheetId="10">TONT20000JUIL2017!$H$5</definedName>
    <definedName name="MODPAID" localSheetId="9">TONT20000JUIN2017!$H$5</definedName>
    <definedName name="MODPAID" localSheetId="8">TONT20000MAI2017!$H$5</definedName>
    <definedName name="MODPAID" localSheetId="6">TONT20000MARS2017!$H$5</definedName>
    <definedName name="MODPAID" localSheetId="14">TONT20000NOV2017!$H$5</definedName>
    <definedName name="MODPAID" localSheetId="13">TONT20000OCT2017!$H$5</definedName>
    <definedName name="MODPAID" localSheetId="12">TONT20000SEPT2017!$H$5</definedName>
    <definedName name="MODPAID">TONT20000DEC2016!$J$5</definedName>
  </definedNames>
  <calcPr calcId="152511"/>
</workbook>
</file>

<file path=xl/calcChain.xml><?xml version="1.0" encoding="utf-8"?>
<calcChain xmlns="http://schemas.openxmlformats.org/spreadsheetml/2006/main">
  <c r="P52" i="36" l="1"/>
  <c r="Q52" i="36" s="1"/>
  <c r="P51" i="36"/>
  <c r="Q51" i="36" s="1"/>
  <c r="P50" i="36"/>
  <c r="Q50" i="36" s="1"/>
  <c r="P49" i="36"/>
  <c r="Q49" i="36" s="1"/>
  <c r="P48" i="36"/>
  <c r="Q48" i="36" s="1"/>
  <c r="P47" i="36"/>
  <c r="Q47" i="36" s="1"/>
  <c r="P46" i="36"/>
  <c r="Q46" i="36" s="1"/>
  <c r="P45" i="36"/>
  <c r="Q45" i="36" s="1"/>
  <c r="P44" i="36"/>
  <c r="Q44" i="36" s="1"/>
  <c r="P43" i="36"/>
  <c r="Q43" i="36" s="1"/>
  <c r="P42" i="36"/>
  <c r="Q42" i="36" s="1"/>
  <c r="P41" i="36"/>
  <c r="Q41" i="36" s="1"/>
  <c r="P40" i="36"/>
  <c r="Q40" i="36" s="1"/>
  <c r="P39" i="36"/>
  <c r="Q39" i="36" s="1"/>
  <c r="P38" i="36"/>
  <c r="Q38" i="36" s="1"/>
  <c r="P37" i="36"/>
  <c r="Q37" i="36" s="1"/>
  <c r="P36" i="36"/>
  <c r="Q36" i="36" s="1"/>
  <c r="P35" i="36"/>
  <c r="Q35" i="36" s="1"/>
  <c r="P34" i="36"/>
  <c r="Q34" i="36" s="1"/>
  <c r="P33" i="36"/>
  <c r="Q33" i="36" s="1"/>
  <c r="P32" i="36"/>
  <c r="Q32" i="36" s="1"/>
  <c r="P31" i="36"/>
  <c r="Q31" i="36" s="1"/>
  <c r="P30" i="36"/>
  <c r="Q30" i="36" s="1"/>
  <c r="P29" i="36"/>
  <c r="Q29" i="36" s="1"/>
  <c r="P28" i="36"/>
  <c r="Q28" i="36" s="1"/>
  <c r="P27" i="36"/>
  <c r="Q27" i="36" s="1"/>
  <c r="P26" i="36"/>
  <c r="Q26" i="36" s="1"/>
  <c r="P25" i="36"/>
  <c r="Q25" i="36" s="1"/>
  <c r="P24" i="36"/>
  <c r="Q24" i="36" s="1"/>
  <c r="P23" i="36"/>
  <c r="Q23" i="36" s="1"/>
  <c r="P22" i="36"/>
  <c r="Q22" i="36" s="1"/>
  <c r="P21" i="36"/>
  <c r="Q21" i="36" s="1"/>
  <c r="P20" i="36"/>
  <c r="Q20" i="36" s="1"/>
  <c r="P19" i="36"/>
  <c r="Q19" i="36" s="1"/>
  <c r="P18" i="36"/>
  <c r="Q18" i="36" s="1"/>
  <c r="P17" i="36"/>
  <c r="Q17" i="36" s="1"/>
  <c r="P16" i="36"/>
  <c r="Q16" i="36" s="1"/>
  <c r="P15" i="36"/>
  <c r="Q15" i="36" s="1"/>
  <c r="P14" i="36"/>
  <c r="Q14" i="36" s="1"/>
  <c r="P13" i="36"/>
  <c r="Q13" i="36" s="1"/>
  <c r="P12" i="36"/>
  <c r="Q12" i="36" s="1"/>
  <c r="P11" i="36"/>
  <c r="Q11" i="36" s="1"/>
  <c r="P10" i="36"/>
  <c r="Q10" i="36" s="1"/>
  <c r="P9" i="36"/>
  <c r="Q9" i="36" s="1"/>
  <c r="P8" i="36"/>
  <c r="Q8" i="36" s="1"/>
  <c r="P7" i="36"/>
  <c r="Q7" i="36" s="1"/>
  <c r="P6" i="36"/>
  <c r="Q6" i="36" s="1"/>
  <c r="P52" i="35"/>
  <c r="Q52" i="35" s="1"/>
  <c r="P51" i="35"/>
  <c r="Q51" i="35" s="1"/>
  <c r="P50" i="35"/>
  <c r="Q50" i="35" s="1"/>
  <c r="P49" i="35"/>
  <c r="Q49" i="35" s="1"/>
  <c r="P48" i="35"/>
  <c r="Q48" i="35" s="1"/>
  <c r="P47" i="35"/>
  <c r="Q47" i="35" s="1"/>
  <c r="P46" i="35"/>
  <c r="Q46" i="35" s="1"/>
  <c r="P45" i="35"/>
  <c r="Q45" i="35" s="1"/>
  <c r="P44" i="35"/>
  <c r="Q44" i="35" s="1"/>
  <c r="P43" i="35"/>
  <c r="Q43" i="35" s="1"/>
  <c r="P42" i="35"/>
  <c r="Q42" i="35" s="1"/>
  <c r="P41" i="35"/>
  <c r="Q41" i="35" s="1"/>
  <c r="P40" i="35"/>
  <c r="Q40" i="35" s="1"/>
  <c r="P39" i="35"/>
  <c r="Q39" i="35" s="1"/>
  <c r="P38" i="35"/>
  <c r="Q38" i="35" s="1"/>
  <c r="P37" i="35"/>
  <c r="Q37" i="35" s="1"/>
  <c r="P36" i="35"/>
  <c r="Q36" i="35" s="1"/>
  <c r="P35" i="35"/>
  <c r="Q35" i="35" s="1"/>
  <c r="P34" i="35"/>
  <c r="Q34" i="35" s="1"/>
  <c r="P33" i="35"/>
  <c r="Q33" i="35" s="1"/>
  <c r="P32" i="35"/>
  <c r="Q32" i="35" s="1"/>
  <c r="P31" i="35"/>
  <c r="Q31" i="35" s="1"/>
  <c r="P30" i="35"/>
  <c r="Q30" i="35" s="1"/>
  <c r="P29" i="35"/>
  <c r="Q29" i="35" s="1"/>
  <c r="P28" i="35"/>
  <c r="Q28" i="35" s="1"/>
  <c r="P27" i="35"/>
  <c r="Q27" i="35" s="1"/>
  <c r="P26" i="35"/>
  <c r="Q26" i="35" s="1"/>
  <c r="P25" i="35"/>
  <c r="Q25" i="35" s="1"/>
  <c r="P24" i="35"/>
  <c r="Q24" i="35" s="1"/>
  <c r="P23" i="35"/>
  <c r="Q23" i="35" s="1"/>
  <c r="P22" i="35"/>
  <c r="Q22" i="35" s="1"/>
  <c r="P21" i="35"/>
  <c r="Q21" i="35" s="1"/>
  <c r="P20" i="35"/>
  <c r="Q20" i="35" s="1"/>
  <c r="P19" i="35"/>
  <c r="Q19" i="35" s="1"/>
  <c r="P18" i="35"/>
  <c r="Q18" i="35" s="1"/>
  <c r="P17" i="35"/>
  <c r="Q17" i="35" s="1"/>
  <c r="P16" i="35"/>
  <c r="Q16" i="35" s="1"/>
  <c r="P15" i="35"/>
  <c r="Q15" i="35" s="1"/>
  <c r="P14" i="35"/>
  <c r="Q14" i="35" s="1"/>
  <c r="P13" i="35"/>
  <c r="Q13" i="35" s="1"/>
  <c r="P12" i="35"/>
  <c r="Q12" i="35" s="1"/>
  <c r="P11" i="35"/>
  <c r="Q11" i="35" s="1"/>
  <c r="P10" i="35"/>
  <c r="Q10" i="35" s="1"/>
  <c r="P9" i="35"/>
  <c r="Q9" i="35" s="1"/>
  <c r="P8" i="35"/>
  <c r="Q8" i="35" s="1"/>
  <c r="P7" i="35"/>
  <c r="P56" i="35" s="1"/>
  <c r="P6" i="35"/>
  <c r="Q6" i="35" s="1"/>
  <c r="P52" i="34"/>
  <c r="Q52" i="34" s="1"/>
  <c r="P51" i="34"/>
  <c r="Q51" i="34" s="1"/>
  <c r="P50" i="34"/>
  <c r="Q50" i="34" s="1"/>
  <c r="P49" i="34"/>
  <c r="Q49" i="34" s="1"/>
  <c r="P48" i="34"/>
  <c r="Q48" i="34" s="1"/>
  <c r="P47" i="34"/>
  <c r="Q47" i="34" s="1"/>
  <c r="P46" i="34"/>
  <c r="Q46" i="34" s="1"/>
  <c r="P45" i="34"/>
  <c r="Q45" i="34" s="1"/>
  <c r="P44" i="34"/>
  <c r="Q44" i="34" s="1"/>
  <c r="P43" i="34"/>
  <c r="Q43" i="34" s="1"/>
  <c r="P42" i="34"/>
  <c r="Q42" i="34" s="1"/>
  <c r="P41" i="34"/>
  <c r="Q41" i="34" s="1"/>
  <c r="P40" i="34"/>
  <c r="Q40" i="34" s="1"/>
  <c r="P39" i="34"/>
  <c r="Q39" i="34" s="1"/>
  <c r="P38" i="34"/>
  <c r="Q38" i="34" s="1"/>
  <c r="P37" i="34"/>
  <c r="Q37" i="34" s="1"/>
  <c r="P36" i="34"/>
  <c r="Q36" i="34" s="1"/>
  <c r="P35" i="34"/>
  <c r="Q35" i="34" s="1"/>
  <c r="P34" i="34"/>
  <c r="Q34" i="34" s="1"/>
  <c r="P33" i="34"/>
  <c r="Q33" i="34" s="1"/>
  <c r="P32" i="34"/>
  <c r="Q32" i="34" s="1"/>
  <c r="P31" i="34"/>
  <c r="Q31" i="34" s="1"/>
  <c r="P30" i="34"/>
  <c r="Q30" i="34" s="1"/>
  <c r="P29" i="34"/>
  <c r="Q29" i="34" s="1"/>
  <c r="P28" i="34"/>
  <c r="Q28" i="34" s="1"/>
  <c r="P27" i="34"/>
  <c r="Q27" i="34" s="1"/>
  <c r="P26" i="34"/>
  <c r="Q26" i="34" s="1"/>
  <c r="P25" i="34"/>
  <c r="Q25" i="34" s="1"/>
  <c r="P24" i="34"/>
  <c r="Q24" i="34" s="1"/>
  <c r="P23" i="34"/>
  <c r="Q23" i="34" s="1"/>
  <c r="P22" i="34"/>
  <c r="Q22" i="34" s="1"/>
  <c r="P21" i="34"/>
  <c r="Q21" i="34" s="1"/>
  <c r="P20" i="34"/>
  <c r="Q20" i="34" s="1"/>
  <c r="P19" i="34"/>
  <c r="Q19" i="34" s="1"/>
  <c r="P18" i="34"/>
  <c r="Q18" i="34" s="1"/>
  <c r="P17" i="34"/>
  <c r="Q17" i="34" s="1"/>
  <c r="P16" i="34"/>
  <c r="Q16" i="34" s="1"/>
  <c r="P15" i="34"/>
  <c r="Q15" i="34" s="1"/>
  <c r="P14" i="34"/>
  <c r="Q14" i="34" s="1"/>
  <c r="P13" i="34"/>
  <c r="Q13" i="34" s="1"/>
  <c r="P12" i="34"/>
  <c r="Q12" i="34" s="1"/>
  <c r="P11" i="34"/>
  <c r="Q11" i="34" s="1"/>
  <c r="P10" i="34"/>
  <c r="Q10" i="34" s="1"/>
  <c r="P9" i="34"/>
  <c r="Q9" i="34" s="1"/>
  <c r="P8" i="34"/>
  <c r="Q8" i="34" s="1"/>
  <c r="P7" i="34"/>
  <c r="P56" i="34" s="1"/>
  <c r="P6" i="34"/>
  <c r="Q6" i="34" s="1"/>
  <c r="P52" i="33"/>
  <c r="Q52" i="33" s="1"/>
  <c r="P51" i="33"/>
  <c r="Q51" i="33" s="1"/>
  <c r="P50" i="33"/>
  <c r="Q50" i="33" s="1"/>
  <c r="P49" i="33"/>
  <c r="Q49" i="33" s="1"/>
  <c r="P48" i="33"/>
  <c r="Q48" i="33" s="1"/>
  <c r="P47" i="33"/>
  <c r="Q47" i="33" s="1"/>
  <c r="P46" i="33"/>
  <c r="Q46" i="33" s="1"/>
  <c r="P45" i="33"/>
  <c r="Q45" i="33" s="1"/>
  <c r="P44" i="33"/>
  <c r="Q44" i="33" s="1"/>
  <c r="P43" i="33"/>
  <c r="Q43" i="33" s="1"/>
  <c r="P42" i="33"/>
  <c r="Q42" i="33" s="1"/>
  <c r="P41" i="33"/>
  <c r="Q41" i="33" s="1"/>
  <c r="P40" i="33"/>
  <c r="Q40" i="33" s="1"/>
  <c r="P39" i="33"/>
  <c r="Q39" i="33" s="1"/>
  <c r="P38" i="33"/>
  <c r="Q38" i="33" s="1"/>
  <c r="P37" i="33"/>
  <c r="Q37" i="33" s="1"/>
  <c r="P36" i="33"/>
  <c r="Q36" i="33" s="1"/>
  <c r="P35" i="33"/>
  <c r="Q35" i="33" s="1"/>
  <c r="P34" i="33"/>
  <c r="Q34" i="33" s="1"/>
  <c r="P33" i="33"/>
  <c r="Q33" i="33" s="1"/>
  <c r="P32" i="33"/>
  <c r="Q32" i="33" s="1"/>
  <c r="P31" i="33"/>
  <c r="Q31" i="33" s="1"/>
  <c r="P30" i="33"/>
  <c r="Q30" i="33" s="1"/>
  <c r="P29" i="33"/>
  <c r="Q29" i="33" s="1"/>
  <c r="P28" i="33"/>
  <c r="Q28" i="33" s="1"/>
  <c r="P27" i="33"/>
  <c r="Q27" i="33" s="1"/>
  <c r="P26" i="33"/>
  <c r="Q26" i="33" s="1"/>
  <c r="P25" i="33"/>
  <c r="Q25" i="33" s="1"/>
  <c r="P24" i="33"/>
  <c r="Q24" i="33" s="1"/>
  <c r="P23" i="33"/>
  <c r="Q23" i="33" s="1"/>
  <c r="P22" i="33"/>
  <c r="Q22" i="33" s="1"/>
  <c r="P21" i="33"/>
  <c r="Q21" i="33" s="1"/>
  <c r="P20" i="33"/>
  <c r="Q20" i="33" s="1"/>
  <c r="P19" i="33"/>
  <c r="Q19" i="33" s="1"/>
  <c r="P18" i="33"/>
  <c r="Q18" i="33" s="1"/>
  <c r="P17" i="33"/>
  <c r="Q17" i="33" s="1"/>
  <c r="P16" i="33"/>
  <c r="Q16" i="33" s="1"/>
  <c r="P15" i="33"/>
  <c r="Q15" i="33" s="1"/>
  <c r="P14" i="33"/>
  <c r="Q14" i="33" s="1"/>
  <c r="P13" i="33"/>
  <c r="Q13" i="33" s="1"/>
  <c r="P12" i="33"/>
  <c r="Q12" i="33" s="1"/>
  <c r="P11" i="33"/>
  <c r="Q11" i="33" s="1"/>
  <c r="P10" i="33"/>
  <c r="Q10" i="33" s="1"/>
  <c r="P9" i="33"/>
  <c r="Q9" i="33" s="1"/>
  <c r="P8" i="33"/>
  <c r="Q8" i="33" s="1"/>
  <c r="P7" i="33"/>
  <c r="P56" i="33" s="1"/>
  <c r="P6" i="33"/>
  <c r="Q6" i="33" s="1"/>
  <c r="P52" i="32"/>
  <c r="Q52" i="32" s="1"/>
  <c r="P51" i="32"/>
  <c r="Q51" i="32" s="1"/>
  <c r="P50" i="32"/>
  <c r="Q50" i="32" s="1"/>
  <c r="P49" i="32"/>
  <c r="Q49" i="32" s="1"/>
  <c r="P48" i="32"/>
  <c r="Q48" i="32" s="1"/>
  <c r="P47" i="32"/>
  <c r="Q47" i="32" s="1"/>
  <c r="P46" i="32"/>
  <c r="Q46" i="32" s="1"/>
  <c r="P45" i="32"/>
  <c r="Q45" i="32" s="1"/>
  <c r="P44" i="32"/>
  <c r="Q44" i="32" s="1"/>
  <c r="P43" i="32"/>
  <c r="Q43" i="32" s="1"/>
  <c r="P42" i="32"/>
  <c r="Q42" i="32" s="1"/>
  <c r="P41" i="32"/>
  <c r="Q41" i="32" s="1"/>
  <c r="P40" i="32"/>
  <c r="Q40" i="32" s="1"/>
  <c r="P39" i="32"/>
  <c r="Q39" i="32" s="1"/>
  <c r="P38" i="32"/>
  <c r="Q38" i="32" s="1"/>
  <c r="P37" i="32"/>
  <c r="Q37" i="32" s="1"/>
  <c r="P36" i="32"/>
  <c r="Q36" i="32" s="1"/>
  <c r="P35" i="32"/>
  <c r="Q35" i="32" s="1"/>
  <c r="P34" i="32"/>
  <c r="Q34" i="32" s="1"/>
  <c r="P33" i="32"/>
  <c r="Q33" i="32" s="1"/>
  <c r="P32" i="32"/>
  <c r="Q32" i="32" s="1"/>
  <c r="P31" i="32"/>
  <c r="Q31" i="32" s="1"/>
  <c r="P30" i="32"/>
  <c r="Q30" i="32" s="1"/>
  <c r="P29" i="32"/>
  <c r="Q29" i="32" s="1"/>
  <c r="P28" i="32"/>
  <c r="Q28" i="32" s="1"/>
  <c r="P27" i="32"/>
  <c r="Q27" i="32" s="1"/>
  <c r="P26" i="32"/>
  <c r="Q26" i="32" s="1"/>
  <c r="P25" i="32"/>
  <c r="Q25" i="32" s="1"/>
  <c r="P24" i="32"/>
  <c r="Q24" i="32" s="1"/>
  <c r="P23" i="32"/>
  <c r="Q23" i="32" s="1"/>
  <c r="P22" i="32"/>
  <c r="Q22" i="32" s="1"/>
  <c r="P21" i="32"/>
  <c r="Q21" i="32" s="1"/>
  <c r="P20" i="32"/>
  <c r="Q20" i="32" s="1"/>
  <c r="P19" i="32"/>
  <c r="Q19" i="32" s="1"/>
  <c r="P18" i="32"/>
  <c r="Q18" i="32" s="1"/>
  <c r="P17" i="32"/>
  <c r="Q17" i="32" s="1"/>
  <c r="P16" i="32"/>
  <c r="Q16" i="32" s="1"/>
  <c r="P15" i="32"/>
  <c r="Q15" i="32" s="1"/>
  <c r="P14" i="32"/>
  <c r="Q14" i="32" s="1"/>
  <c r="P13" i="32"/>
  <c r="Q13" i="32" s="1"/>
  <c r="P12" i="32"/>
  <c r="Q12" i="32" s="1"/>
  <c r="P11" i="32"/>
  <c r="Q11" i="32" s="1"/>
  <c r="P10" i="32"/>
  <c r="Q10" i="32" s="1"/>
  <c r="P9" i="32"/>
  <c r="Q9" i="32" s="1"/>
  <c r="P8" i="32"/>
  <c r="Q8" i="32" s="1"/>
  <c r="P7" i="32"/>
  <c r="P56" i="32" s="1"/>
  <c r="P6" i="32"/>
  <c r="Q6" i="32" s="1"/>
  <c r="P52" i="31"/>
  <c r="Q52" i="31" s="1"/>
  <c r="P51" i="31"/>
  <c r="Q51" i="31" s="1"/>
  <c r="P50" i="31"/>
  <c r="Q50" i="31" s="1"/>
  <c r="P49" i="31"/>
  <c r="Q49" i="31" s="1"/>
  <c r="P48" i="31"/>
  <c r="Q48" i="31" s="1"/>
  <c r="P47" i="31"/>
  <c r="Q47" i="31" s="1"/>
  <c r="P46" i="31"/>
  <c r="Q46" i="31" s="1"/>
  <c r="P45" i="31"/>
  <c r="Q45" i="31" s="1"/>
  <c r="P44" i="31"/>
  <c r="Q44" i="31" s="1"/>
  <c r="P43" i="31"/>
  <c r="Q43" i="31" s="1"/>
  <c r="P42" i="31"/>
  <c r="Q42" i="31" s="1"/>
  <c r="P41" i="31"/>
  <c r="Q41" i="31" s="1"/>
  <c r="P40" i="31"/>
  <c r="Q40" i="31" s="1"/>
  <c r="P39" i="31"/>
  <c r="Q39" i="31" s="1"/>
  <c r="P38" i="31"/>
  <c r="Q38" i="31" s="1"/>
  <c r="P37" i="31"/>
  <c r="Q37" i="31" s="1"/>
  <c r="P36" i="31"/>
  <c r="Q36" i="31" s="1"/>
  <c r="P35" i="31"/>
  <c r="Q35" i="31" s="1"/>
  <c r="P34" i="31"/>
  <c r="Q34" i="31" s="1"/>
  <c r="P33" i="31"/>
  <c r="Q33" i="31" s="1"/>
  <c r="P32" i="31"/>
  <c r="Q32" i="31" s="1"/>
  <c r="P31" i="31"/>
  <c r="Q31" i="31" s="1"/>
  <c r="P30" i="31"/>
  <c r="Q30" i="31" s="1"/>
  <c r="P29" i="31"/>
  <c r="Q29" i="31" s="1"/>
  <c r="P28" i="31"/>
  <c r="Q28" i="31" s="1"/>
  <c r="P27" i="31"/>
  <c r="Q27" i="31" s="1"/>
  <c r="P26" i="31"/>
  <c r="Q26" i="31" s="1"/>
  <c r="P25" i="31"/>
  <c r="Q25" i="31" s="1"/>
  <c r="P24" i="31"/>
  <c r="Q24" i="31" s="1"/>
  <c r="P23" i="31"/>
  <c r="Q23" i="31" s="1"/>
  <c r="P22" i="31"/>
  <c r="Q22" i="31" s="1"/>
  <c r="P21" i="31"/>
  <c r="Q21" i="31" s="1"/>
  <c r="P20" i="31"/>
  <c r="Q20" i="31" s="1"/>
  <c r="P19" i="31"/>
  <c r="Q19" i="31" s="1"/>
  <c r="P18" i="31"/>
  <c r="Q18" i="31" s="1"/>
  <c r="P17" i="31"/>
  <c r="Q17" i="31" s="1"/>
  <c r="P16" i="31"/>
  <c r="Q16" i="31" s="1"/>
  <c r="P15" i="31"/>
  <c r="Q15" i="31" s="1"/>
  <c r="P14" i="31"/>
  <c r="Q14" i="31" s="1"/>
  <c r="P13" i="31"/>
  <c r="Q13" i="31" s="1"/>
  <c r="P12" i="31"/>
  <c r="Q12" i="31" s="1"/>
  <c r="P11" i="31"/>
  <c r="Q11" i="31" s="1"/>
  <c r="P10" i="31"/>
  <c r="Q10" i="31" s="1"/>
  <c r="P9" i="31"/>
  <c r="Q9" i="31" s="1"/>
  <c r="P8" i="31"/>
  <c r="Q8" i="31" s="1"/>
  <c r="P7" i="31"/>
  <c r="Q7" i="31" s="1"/>
  <c r="P6" i="31"/>
  <c r="Q6" i="31" s="1"/>
  <c r="P52" i="30"/>
  <c r="Q52" i="30" s="1"/>
  <c r="P51" i="30"/>
  <c r="Q51" i="30" s="1"/>
  <c r="P50" i="30"/>
  <c r="Q50" i="30" s="1"/>
  <c r="P49" i="30"/>
  <c r="Q49" i="30" s="1"/>
  <c r="P48" i="30"/>
  <c r="Q48" i="30" s="1"/>
  <c r="P47" i="30"/>
  <c r="Q47" i="30" s="1"/>
  <c r="P46" i="30"/>
  <c r="Q46" i="30" s="1"/>
  <c r="P45" i="30"/>
  <c r="Q45" i="30" s="1"/>
  <c r="P44" i="30"/>
  <c r="Q44" i="30" s="1"/>
  <c r="P43" i="30"/>
  <c r="Q43" i="30" s="1"/>
  <c r="P42" i="30"/>
  <c r="Q42" i="30" s="1"/>
  <c r="P41" i="30"/>
  <c r="Q41" i="30" s="1"/>
  <c r="P40" i="30"/>
  <c r="Q40" i="30" s="1"/>
  <c r="P39" i="30"/>
  <c r="Q39" i="30" s="1"/>
  <c r="P38" i="30"/>
  <c r="Q38" i="30" s="1"/>
  <c r="P37" i="30"/>
  <c r="Q37" i="30" s="1"/>
  <c r="P36" i="30"/>
  <c r="Q36" i="30" s="1"/>
  <c r="P35" i="30"/>
  <c r="Q35" i="30" s="1"/>
  <c r="P34" i="30"/>
  <c r="Q34" i="30" s="1"/>
  <c r="P33" i="30"/>
  <c r="Q33" i="30" s="1"/>
  <c r="P32" i="30"/>
  <c r="Q32" i="30" s="1"/>
  <c r="P31" i="30"/>
  <c r="Q31" i="30" s="1"/>
  <c r="P30" i="30"/>
  <c r="Q30" i="30" s="1"/>
  <c r="P29" i="30"/>
  <c r="Q29" i="30" s="1"/>
  <c r="P28" i="30"/>
  <c r="Q28" i="30" s="1"/>
  <c r="P27" i="30"/>
  <c r="Q27" i="30" s="1"/>
  <c r="P26" i="30"/>
  <c r="Q26" i="30" s="1"/>
  <c r="P25" i="30"/>
  <c r="Q25" i="30" s="1"/>
  <c r="P24" i="30"/>
  <c r="Q24" i="30" s="1"/>
  <c r="P23" i="30"/>
  <c r="Q23" i="30" s="1"/>
  <c r="P22" i="30"/>
  <c r="Q22" i="30" s="1"/>
  <c r="P21" i="30"/>
  <c r="Q21" i="30" s="1"/>
  <c r="P20" i="30"/>
  <c r="Q20" i="30" s="1"/>
  <c r="P19" i="30"/>
  <c r="Q19" i="30" s="1"/>
  <c r="P18" i="30"/>
  <c r="Q18" i="30" s="1"/>
  <c r="P17" i="30"/>
  <c r="Q17" i="30" s="1"/>
  <c r="P16" i="30"/>
  <c r="Q16" i="30" s="1"/>
  <c r="P15" i="30"/>
  <c r="Q15" i="30" s="1"/>
  <c r="P14" i="30"/>
  <c r="Q14" i="30" s="1"/>
  <c r="P13" i="30"/>
  <c r="Q13" i="30" s="1"/>
  <c r="P12" i="30"/>
  <c r="Q12" i="30" s="1"/>
  <c r="P11" i="30"/>
  <c r="Q11" i="30" s="1"/>
  <c r="P10" i="30"/>
  <c r="Q10" i="30" s="1"/>
  <c r="P9" i="30"/>
  <c r="Q9" i="30" s="1"/>
  <c r="P8" i="30"/>
  <c r="Q8" i="30" s="1"/>
  <c r="P7" i="30"/>
  <c r="Q7" i="30" s="1"/>
  <c r="P6" i="30"/>
  <c r="Q6" i="30" s="1"/>
  <c r="P52" i="29"/>
  <c r="Q52" i="29" s="1"/>
  <c r="P51" i="29"/>
  <c r="Q51" i="29" s="1"/>
  <c r="P50" i="29"/>
  <c r="Q50" i="29" s="1"/>
  <c r="P49" i="29"/>
  <c r="Q49" i="29" s="1"/>
  <c r="P48" i="29"/>
  <c r="Q48" i="29" s="1"/>
  <c r="P47" i="29"/>
  <c r="Q47" i="29" s="1"/>
  <c r="P46" i="29"/>
  <c r="Q46" i="29" s="1"/>
  <c r="P45" i="29"/>
  <c r="Q45" i="29" s="1"/>
  <c r="P44" i="29"/>
  <c r="Q44" i="29" s="1"/>
  <c r="P43" i="29"/>
  <c r="Q43" i="29" s="1"/>
  <c r="P42" i="29"/>
  <c r="Q42" i="29" s="1"/>
  <c r="P41" i="29"/>
  <c r="Q41" i="29" s="1"/>
  <c r="P40" i="29"/>
  <c r="Q40" i="29" s="1"/>
  <c r="P39" i="29"/>
  <c r="Q39" i="29" s="1"/>
  <c r="P38" i="29"/>
  <c r="Q38" i="29" s="1"/>
  <c r="P37" i="29"/>
  <c r="Q37" i="29" s="1"/>
  <c r="P36" i="29"/>
  <c r="Q36" i="29" s="1"/>
  <c r="P35" i="29"/>
  <c r="Q35" i="29" s="1"/>
  <c r="P34" i="29"/>
  <c r="Q34" i="29" s="1"/>
  <c r="P33" i="29"/>
  <c r="Q33" i="29" s="1"/>
  <c r="P32" i="29"/>
  <c r="Q32" i="29" s="1"/>
  <c r="P31" i="29"/>
  <c r="Q31" i="29" s="1"/>
  <c r="P30" i="29"/>
  <c r="Q30" i="29" s="1"/>
  <c r="P29" i="29"/>
  <c r="Q29" i="29" s="1"/>
  <c r="P28" i="29"/>
  <c r="Q28" i="29" s="1"/>
  <c r="P27" i="29"/>
  <c r="Q27" i="29" s="1"/>
  <c r="P26" i="29"/>
  <c r="Q26" i="29" s="1"/>
  <c r="P25" i="29"/>
  <c r="Q25" i="29" s="1"/>
  <c r="P24" i="29"/>
  <c r="Q24" i="29" s="1"/>
  <c r="P23" i="29"/>
  <c r="Q23" i="29" s="1"/>
  <c r="P22" i="29"/>
  <c r="Q22" i="29" s="1"/>
  <c r="P21" i="29"/>
  <c r="Q21" i="29" s="1"/>
  <c r="P20" i="29"/>
  <c r="Q20" i="29" s="1"/>
  <c r="P19" i="29"/>
  <c r="Q19" i="29" s="1"/>
  <c r="P18" i="29"/>
  <c r="Q18" i="29" s="1"/>
  <c r="P17" i="29"/>
  <c r="Q17" i="29" s="1"/>
  <c r="P16" i="29"/>
  <c r="Q16" i="29" s="1"/>
  <c r="P15" i="29"/>
  <c r="Q15" i="29" s="1"/>
  <c r="P14" i="29"/>
  <c r="Q14" i="29" s="1"/>
  <c r="P13" i="29"/>
  <c r="Q13" i="29" s="1"/>
  <c r="P12" i="29"/>
  <c r="Q12" i="29" s="1"/>
  <c r="P11" i="29"/>
  <c r="Q11" i="29" s="1"/>
  <c r="P10" i="29"/>
  <c r="Q10" i="29" s="1"/>
  <c r="P9" i="29"/>
  <c r="Q9" i="29" s="1"/>
  <c r="P8" i="29"/>
  <c r="Q8" i="29" s="1"/>
  <c r="P7" i="29"/>
  <c r="Q7" i="29" s="1"/>
  <c r="P6" i="29"/>
  <c r="Q6" i="29" s="1"/>
  <c r="P52" i="28"/>
  <c r="Q52" i="28" s="1"/>
  <c r="P51" i="28"/>
  <c r="Q51" i="28" s="1"/>
  <c r="P50" i="28"/>
  <c r="Q50" i="28" s="1"/>
  <c r="P49" i="28"/>
  <c r="Q49" i="28" s="1"/>
  <c r="P48" i="28"/>
  <c r="Q48" i="28" s="1"/>
  <c r="P47" i="28"/>
  <c r="Q47" i="28" s="1"/>
  <c r="P46" i="28"/>
  <c r="Q46" i="28" s="1"/>
  <c r="P45" i="28"/>
  <c r="Q45" i="28" s="1"/>
  <c r="P44" i="28"/>
  <c r="Q44" i="28" s="1"/>
  <c r="P43" i="28"/>
  <c r="Q43" i="28" s="1"/>
  <c r="P42" i="28"/>
  <c r="Q42" i="28" s="1"/>
  <c r="P41" i="28"/>
  <c r="Q41" i="28" s="1"/>
  <c r="P40" i="28"/>
  <c r="Q40" i="28" s="1"/>
  <c r="P39" i="28"/>
  <c r="Q39" i="28" s="1"/>
  <c r="P38" i="28"/>
  <c r="Q38" i="28" s="1"/>
  <c r="P37" i="28"/>
  <c r="Q37" i="28" s="1"/>
  <c r="P36" i="28"/>
  <c r="Q36" i="28" s="1"/>
  <c r="P35" i="28"/>
  <c r="Q35" i="28" s="1"/>
  <c r="P34" i="28"/>
  <c r="Q34" i="28" s="1"/>
  <c r="P33" i="28"/>
  <c r="Q33" i="28" s="1"/>
  <c r="P32" i="28"/>
  <c r="Q32" i="28" s="1"/>
  <c r="P31" i="28"/>
  <c r="Q31" i="28" s="1"/>
  <c r="P30" i="28"/>
  <c r="Q30" i="28" s="1"/>
  <c r="P29" i="28"/>
  <c r="Q29" i="28" s="1"/>
  <c r="P28" i="28"/>
  <c r="Q28" i="28" s="1"/>
  <c r="P27" i="28"/>
  <c r="Q27" i="28" s="1"/>
  <c r="P26" i="28"/>
  <c r="Q26" i="28" s="1"/>
  <c r="P25" i="28"/>
  <c r="Q25" i="28" s="1"/>
  <c r="P24" i="28"/>
  <c r="Q24" i="28" s="1"/>
  <c r="P23" i="28"/>
  <c r="Q23" i="28" s="1"/>
  <c r="P22" i="28"/>
  <c r="Q22" i="28" s="1"/>
  <c r="P21" i="28"/>
  <c r="Q21" i="28" s="1"/>
  <c r="P20" i="28"/>
  <c r="Q20" i="28" s="1"/>
  <c r="P19" i="28"/>
  <c r="Q19" i="28" s="1"/>
  <c r="P18" i="28"/>
  <c r="Q18" i="28" s="1"/>
  <c r="P17" i="28"/>
  <c r="Q17" i="28" s="1"/>
  <c r="P16" i="28"/>
  <c r="Q16" i="28" s="1"/>
  <c r="P15" i="28"/>
  <c r="Q15" i="28" s="1"/>
  <c r="P14" i="28"/>
  <c r="Q14" i="28" s="1"/>
  <c r="P13" i="28"/>
  <c r="Q13" i="28" s="1"/>
  <c r="P12" i="28"/>
  <c r="Q12" i="28" s="1"/>
  <c r="P11" i="28"/>
  <c r="Q11" i="28" s="1"/>
  <c r="P10" i="28"/>
  <c r="Q10" i="28" s="1"/>
  <c r="P9" i="28"/>
  <c r="Q9" i="28" s="1"/>
  <c r="P8" i="28"/>
  <c r="Q8" i="28" s="1"/>
  <c r="P7" i="28"/>
  <c r="Q7" i="28" s="1"/>
  <c r="P6" i="28"/>
  <c r="Q6" i="28" s="1"/>
  <c r="I16" i="28"/>
  <c r="I16" i="29"/>
  <c r="I18" i="29"/>
  <c r="I22" i="29"/>
  <c r="I26" i="29"/>
  <c r="I31" i="29"/>
  <c r="I36" i="29"/>
  <c r="I41" i="29"/>
  <c r="I45" i="29"/>
  <c r="I49" i="29"/>
  <c r="O56" i="28"/>
  <c r="Q52" i="27"/>
  <c r="P52" i="27"/>
  <c r="P51" i="27"/>
  <c r="Q51" i="27" s="1"/>
  <c r="Q50" i="27"/>
  <c r="P50" i="27"/>
  <c r="P49" i="27"/>
  <c r="Q49" i="27" s="1"/>
  <c r="Q48" i="27"/>
  <c r="P48" i="27"/>
  <c r="P47" i="27"/>
  <c r="Q47" i="27" s="1"/>
  <c r="Q46" i="27"/>
  <c r="P46" i="27"/>
  <c r="P45" i="27"/>
  <c r="Q45" i="27" s="1"/>
  <c r="Q44" i="27"/>
  <c r="P44" i="27"/>
  <c r="P43" i="27"/>
  <c r="Q43" i="27" s="1"/>
  <c r="Q42" i="27"/>
  <c r="P42" i="27"/>
  <c r="P41" i="27"/>
  <c r="Q41" i="27" s="1"/>
  <c r="Q40" i="27"/>
  <c r="P40" i="27"/>
  <c r="P39" i="27"/>
  <c r="Q39" i="27" s="1"/>
  <c r="Q38" i="27"/>
  <c r="P38" i="27"/>
  <c r="P37" i="27"/>
  <c r="Q37" i="27" s="1"/>
  <c r="Q36" i="27"/>
  <c r="P36" i="27"/>
  <c r="P35" i="27"/>
  <c r="Q35" i="27" s="1"/>
  <c r="Q34" i="27"/>
  <c r="P34" i="27"/>
  <c r="P33" i="27"/>
  <c r="Q33" i="27" s="1"/>
  <c r="Q32" i="27"/>
  <c r="P32" i="27"/>
  <c r="P31" i="27"/>
  <c r="Q31" i="27" s="1"/>
  <c r="Q30" i="27"/>
  <c r="P30" i="27"/>
  <c r="P29" i="27"/>
  <c r="Q29" i="27" s="1"/>
  <c r="Q28" i="27"/>
  <c r="P28" i="27"/>
  <c r="P27" i="27"/>
  <c r="Q27" i="27" s="1"/>
  <c r="Q26" i="27"/>
  <c r="P26" i="27"/>
  <c r="P25" i="27"/>
  <c r="Q25" i="27" s="1"/>
  <c r="Q24" i="27"/>
  <c r="P24" i="27"/>
  <c r="P23" i="27"/>
  <c r="Q23" i="27" s="1"/>
  <c r="Q22" i="27"/>
  <c r="P22" i="27"/>
  <c r="P21" i="27"/>
  <c r="Q21" i="27" s="1"/>
  <c r="Q20" i="27"/>
  <c r="P20" i="27"/>
  <c r="P19" i="27"/>
  <c r="Q19" i="27" s="1"/>
  <c r="Q18" i="27"/>
  <c r="P18" i="27"/>
  <c r="P17" i="27"/>
  <c r="Q17" i="27" s="1"/>
  <c r="Q16" i="27"/>
  <c r="P16" i="27"/>
  <c r="P15" i="27"/>
  <c r="Q15" i="27" s="1"/>
  <c r="Q14" i="27"/>
  <c r="P14" i="27"/>
  <c r="P13" i="27"/>
  <c r="Q13" i="27" s="1"/>
  <c r="Q12" i="27"/>
  <c r="P12" i="27"/>
  <c r="P11" i="27"/>
  <c r="Q11" i="27" s="1"/>
  <c r="Q10" i="27"/>
  <c r="P10" i="27"/>
  <c r="P9" i="27"/>
  <c r="Q9" i="27" s="1"/>
  <c r="Q8" i="27"/>
  <c r="P8" i="27"/>
  <c r="P7" i="27"/>
  <c r="Q7" i="27" s="1"/>
  <c r="Q6" i="27"/>
  <c r="P6" i="27"/>
  <c r="I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D6" i="26"/>
  <c r="D7" i="26"/>
  <c r="D8" i="26"/>
  <c r="D9" i="26"/>
  <c r="D10" i="26"/>
  <c r="D11" i="26"/>
  <c r="D11" i="27" s="1"/>
  <c r="D11" i="28" s="1"/>
  <c r="D11" i="29" s="1"/>
  <c r="D11" i="30" s="1"/>
  <c r="D11" i="31" s="1"/>
  <c r="D11" i="32" s="1"/>
  <c r="D11" i="33" s="1"/>
  <c r="D11" i="34" s="1"/>
  <c r="D11" i="35" s="1"/>
  <c r="D11" i="36" s="1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8" i="27" s="1"/>
  <c r="D28" i="28" s="1"/>
  <c r="D28" i="29" s="1"/>
  <c r="D28" i="30" s="1"/>
  <c r="D28" i="31" s="1"/>
  <c r="D28" i="32" s="1"/>
  <c r="D28" i="33" s="1"/>
  <c r="D28" i="34" s="1"/>
  <c r="D28" i="35" s="1"/>
  <c r="D28" i="36" s="1"/>
  <c r="D29" i="26"/>
  <c r="D30" i="26"/>
  <c r="D31" i="26"/>
  <c r="D32" i="26"/>
  <c r="D33" i="26"/>
  <c r="D34" i="26"/>
  <c r="D35" i="26"/>
  <c r="D35" i="27" s="1"/>
  <c r="D35" i="28" s="1"/>
  <c r="D35" i="29" s="1"/>
  <c r="D35" i="30" s="1"/>
  <c r="D35" i="31" s="1"/>
  <c r="D35" i="32" s="1"/>
  <c r="D35" i="33" s="1"/>
  <c r="D35" i="34" s="1"/>
  <c r="D35" i="35" s="1"/>
  <c r="D35" i="36" s="1"/>
  <c r="D36" i="26"/>
  <c r="D37" i="26"/>
  <c r="D37" i="27" s="1"/>
  <c r="D37" i="28" s="1"/>
  <c r="D37" i="29" s="1"/>
  <c r="D37" i="30" s="1"/>
  <c r="D37" i="31" s="1"/>
  <c r="D37" i="32" s="1"/>
  <c r="D37" i="33" s="1"/>
  <c r="D37" i="34" s="1"/>
  <c r="D37" i="35" s="1"/>
  <c r="D37" i="36" s="1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" i="26"/>
  <c r="T56" i="36"/>
  <c r="S56" i="36"/>
  <c r="R56" i="36"/>
  <c r="O56" i="36"/>
  <c r="N56" i="36"/>
  <c r="M56" i="36"/>
  <c r="E64" i="36" s="1"/>
  <c r="L56" i="36"/>
  <c r="E63" i="36" s="1"/>
  <c r="K56" i="36"/>
  <c r="E60" i="36" s="1"/>
  <c r="J56" i="36"/>
  <c r="E61" i="36" s="1"/>
  <c r="E56" i="36"/>
  <c r="G52" i="36"/>
  <c r="F52" i="36"/>
  <c r="I52" i="36" s="1"/>
  <c r="B52" i="36"/>
  <c r="G51" i="36"/>
  <c r="F51" i="36"/>
  <c r="I51" i="36" s="1"/>
  <c r="B51" i="36"/>
  <c r="G50" i="36"/>
  <c r="F50" i="36"/>
  <c r="I50" i="36" s="1"/>
  <c r="B50" i="36"/>
  <c r="G49" i="36"/>
  <c r="F49" i="36"/>
  <c r="I49" i="36" s="1"/>
  <c r="B49" i="36"/>
  <c r="G48" i="36"/>
  <c r="F48" i="36"/>
  <c r="I48" i="36" s="1"/>
  <c r="B48" i="36"/>
  <c r="G47" i="36"/>
  <c r="F47" i="36"/>
  <c r="I47" i="36" s="1"/>
  <c r="B47" i="36"/>
  <c r="G46" i="36"/>
  <c r="F46" i="36"/>
  <c r="I46" i="36" s="1"/>
  <c r="B46" i="36"/>
  <c r="G45" i="36"/>
  <c r="F45" i="36"/>
  <c r="I45" i="36" s="1"/>
  <c r="B45" i="36"/>
  <c r="G44" i="36"/>
  <c r="F44" i="36"/>
  <c r="I44" i="36" s="1"/>
  <c r="B44" i="36"/>
  <c r="G43" i="36"/>
  <c r="F43" i="36"/>
  <c r="I43" i="36" s="1"/>
  <c r="B43" i="36"/>
  <c r="G42" i="36"/>
  <c r="F42" i="36"/>
  <c r="I42" i="36" s="1"/>
  <c r="B42" i="36"/>
  <c r="G41" i="36"/>
  <c r="F41" i="36"/>
  <c r="I41" i="36" s="1"/>
  <c r="B41" i="36"/>
  <c r="G40" i="36"/>
  <c r="F40" i="36"/>
  <c r="I40" i="36" s="1"/>
  <c r="B40" i="36"/>
  <c r="G39" i="36"/>
  <c r="F39" i="36"/>
  <c r="I39" i="36" s="1"/>
  <c r="B39" i="36"/>
  <c r="G38" i="36"/>
  <c r="F38" i="36"/>
  <c r="I38" i="36" s="1"/>
  <c r="B38" i="36"/>
  <c r="G36" i="36"/>
  <c r="F36" i="36"/>
  <c r="I36" i="36" s="1"/>
  <c r="B36" i="36"/>
  <c r="G34" i="36"/>
  <c r="F34" i="36"/>
  <c r="I34" i="36" s="1"/>
  <c r="B34" i="36"/>
  <c r="G33" i="36"/>
  <c r="F33" i="36"/>
  <c r="I33" i="36" s="1"/>
  <c r="B33" i="36"/>
  <c r="G32" i="36"/>
  <c r="F32" i="36"/>
  <c r="I32" i="36" s="1"/>
  <c r="B32" i="36"/>
  <c r="G31" i="36"/>
  <c r="F31" i="36"/>
  <c r="I31" i="36" s="1"/>
  <c r="B31" i="36"/>
  <c r="G30" i="36"/>
  <c r="F30" i="36"/>
  <c r="I30" i="36" s="1"/>
  <c r="B30" i="36"/>
  <c r="G29" i="36"/>
  <c r="F29" i="36"/>
  <c r="I29" i="36" s="1"/>
  <c r="B29" i="36"/>
  <c r="G27" i="36"/>
  <c r="F27" i="36"/>
  <c r="I27" i="36" s="1"/>
  <c r="B27" i="36"/>
  <c r="G26" i="36"/>
  <c r="F26" i="36"/>
  <c r="I26" i="36" s="1"/>
  <c r="B26" i="36"/>
  <c r="G25" i="36"/>
  <c r="F25" i="36"/>
  <c r="I25" i="36" s="1"/>
  <c r="B25" i="36"/>
  <c r="G24" i="36"/>
  <c r="F24" i="36"/>
  <c r="I24" i="36" s="1"/>
  <c r="B24" i="36"/>
  <c r="G23" i="36"/>
  <c r="F23" i="36"/>
  <c r="I23" i="36" s="1"/>
  <c r="B23" i="36"/>
  <c r="G22" i="36"/>
  <c r="F22" i="36"/>
  <c r="I22" i="36" s="1"/>
  <c r="B22" i="36"/>
  <c r="G21" i="36"/>
  <c r="F21" i="36"/>
  <c r="I21" i="36" s="1"/>
  <c r="B21" i="36"/>
  <c r="G20" i="36"/>
  <c r="F20" i="36"/>
  <c r="I20" i="36" s="1"/>
  <c r="B20" i="36"/>
  <c r="G19" i="36"/>
  <c r="F19" i="36"/>
  <c r="I19" i="36" s="1"/>
  <c r="B19" i="36"/>
  <c r="G18" i="36"/>
  <c r="F18" i="36"/>
  <c r="I18" i="36" s="1"/>
  <c r="B18" i="36"/>
  <c r="G17" i="36"/>
  <c r="F17" i="36"/>
  <c r="I17" i="36" s="1"/>
  <c r="B17" i="36"/>
  <c r="I16" i="36"/>
  <c r="G16" i="36"/>
  <c r="B16" i="36"/>
  <c r="G15" i="36"/>
  <c r="F15" i="36"/>
  <c r="I15" i="36" s="1"/>
  <c r="B15" i="36"/>
  <c r="G14" i="36"/>
  <c r="F14" i="36"/>
  <c r="I14" i="36" s="1"/>
  <c r="B14" i="36"/>
  <c r="G13" i="36"/>
  <c r="F13" i="36"/>
  <c r="I13" i="36" s="1"/>
  <c r="B13" i="36"/>
  <c r="G12" i="36"/>
  <c r="F12" i="36"/>
  <c r="I12" i="36" s="1"/>
  <c r="B12" i="36"/>
  <c r="I10" i="36"/>
  <c r="G10" i="36"/>
  <c r="F10" i="36"/>
  <c r="B10" i="36"/>
  <c r="I9" i="36"/>
  <c r="G9" i="36"/>
  <c r="F9" i="36"/>
  <c r="B9" i="36"/>
  <c r="I8" i="36"/>
  <c r="G8" i="36"/>
  <c r="F8" i="36"/>
  <c r="B8" i="36"/>
  <c r="I7" i="36"/>
  <c r="G7" i="36"/>
  <c r="F7" i="36"/>
  <c r="B7" i="36"/>
  <c r="I6" i="36"/>
  <c r="G6" i="36"/>
  <c r="F6" i="36"/>
  <c r="B6" i="36"/>
  <c r="B5" i="36"/>
  <c r="E63" i="35"/>
  <c r="T56" i="35"/>
  <c r="S56" i="35"/>
  <c r="R56" i="35"/>
  <c r="O56" i="35"/>
  <c r="N56" i="35"/>
  <c r="M56" i="35"/>
  <c r="E64" i="35" s="1"/>
  <c r="L56" i="35"/>
  <c r="K56" i="35"/>
  <c r="E60" i="35" s="1"/>
  <c r="J56" i="35"/>
  <c r="E61" i="35" s="1"/>
  <c r="E56" i="35"/>
  <c r="G52" i="35"/>
  <c r="F52" i="35"/>
  <c r="I52" i="35" s="1"/>
  <c r="B52" i="35"/>
  <c r="G51" i="35"/>
  <c r="F51" i="35"/>
  <c r="I51" i="35" s="1"/>
  <c r="B51" i="35"/>
  <c r="G50" i="35"/>
  <c r="F50" i="35"/>
  <c r="I50" i="35" s="1"/>
  <c r="B50" i="35"/>
  <c r="G49" i="35"/>
  <c r="F49" i="35"/>
  <c r="I49" i="35" s="1"/>
  <c r="B49" i="35"/>
  <c r="G48" i="35"/>
  <c r="F48" i="35"/>
  <c r="I48" i="35" s="1"/>
  <c r="B48" i="35"/>
  <c r="G47" i="35"/>
  <c r="F47" i="35"/>
  <c r="I47" i="35" s="1"/>
  <c r="B47" i="35"/>
  <c r="G46" i="35"/>
  <c r="F46" i="35"/>
  <c r="I46" i="35" s="1"/>
  <c r="B46" i="35"/>
  <c r="G45" i="35"/>
  <c r="F45" i="35"/>
  <c r="I45" i="35" s="1"/>
  <c r="B45" i="35"/>
  <c r="G44" i="35"/>
  <c r="F44" i="35"/>
  <c r="I44" i="35" s="1"/>
  <c r="B44" i="35"/>
  <c r="G43" i="35"/>
  <c r="F43" i="35"/>
  <c r="I43" i="35" s="1"/>
  <c r="B43" i="35"/>
  <c r="G42" i="35"/>
  <c r="F42" i="35"/>
  <c r="I42" i="35" s="1"/>
  <c r="B42" i="35"/>
  <c r="G41" i="35"/>
  <c r="F41" i="35"/>
  <c r="I41" i="35" s="1"/>
  <c r="B41" i="35"/>
  <c r="G40" i="35"/>
  <c r="F40" i="35"/>
  <c r="I40" i="35" s="1"/>
  <c r="B40" i="35"/>
  <c r="G39" i="35"/>
  <c r="F39" i="35"/>
  <c r="I39" i="35" s="1"/>
  <c r="B39" i="35"/>
  <c r="G38" i="35"/>
  <c r="F38" i="35"/>
  <c r="I38" i="35" s="1"/>
  <c r="B38" i="35"/>
  <c r="G36" i="35"/>
  <c r="F36" i="35"/>
  <c r="I36" i="35" s="1"/>
  <c r="B36" i="35"/>
  <c r="G34" i="35"/>
  <c r="F34" i="35"/>
  <c r="I34" i="35" s="1"/>
  <c r="B34" i="35"/>
  <c r="G33" i="35"/>
  <c r="F33" i="35"/>
  <c r="I33" i="35" s="1"/>
  <c r="B33" i="35"/>
  <c r="G32" i="35"/>
  <c r="F32" i="35"/>
  <c r="I32" i="35" s="1"/>
  <c r="B32" i="35"/>
  <c r="G31" i="35"/>
  <c r="F31" i="35"/>
  <c r="I31" i="35" s="1"/>
  <c r="B31" i="35"/>
  <c r="G30" i="35"/>
  <c r="F30" i="35"/>
  <c r="I30" i="35" s="1"/>
  <c r="B30" i="35"/>
  <c r="G29" i="35"/>
  <c r="F29" i="35"/>
  <c r="I29" i="35" s="1"/>
  <c r="B29" i="35"/>
  <c r="G27" i="35"/>
  <c r="F27" i="35"/>
  <c r="I27" i="35" s="1"/>
  <c r="B27" i="35"/>
  <c r="G26" i="35"/>
  <c r="F26" i="35"/>
  <c r="I26" i="35" s="1"/>
  <c r="B26" i="35"/>
  <c r="G25" i="35"/>
  <c r="F25" i="35"/>
  <c r="I25" i="35" s="1"/>
  <c r="B25" i="35"/>
  <c r="G24" i="35"/>
  <c r="F24" i="35"/>
  <c r="I24" i="35" s="1"/>
  <c r="B24" i="35"/>
  <c r="G23" i="35"/>
  <c r="F23" i="35"/>
  <c r="I23" i="35" s="1"/>
  <c r="B23" i="35"/>
  <c r="G22" i="35"/>
  <c r="F22" i="35"/>
  <c r="I22" i="35" s="1"/>
  <c r="B22" i="35"/>
  <c r="G21" i="35"/>
  <c r="F21" i="35"/>
  <c r="I21" i="35" s="1"/>
  <c r="B21" i="35"/>
  <c r="G20" i="35"/>
  <c r="F20" i="35"/>
  <c r="I20" i="35" s="1"/>
  <c r="B20" i="35"/>
  <c r="G19" i="35"/>
  <c r="F19" i="35"/>
  <c r="I19" i="35" s="1"/>
  <c r="B19" i="35"/>
  <c r="G18" i="35"/>
  <c r="F18" i="35"/>
  <c r="I18" i="35" s="1"/>
  <c r="B18" i="35"/>
  <c r="G17" i="35"/>
  <c r="F17" i="35"/>
  <c r="I17" i="35" s="1"/>
  <c r="B17" i="35"/>
  <c r="I16" i="35"/>
  <c r="G16" i="35"/>
  <c r="B16" i="35"/>
  <c r="G15" i="35"/>
  <c r="F15" i="35"/>
  <c r="I15" i="35" s="1"/>
  <c r="B15" i="35"/>
  <c r="G14" i="35"/>
  <c r="F14" i="35"/>
  <c r="I14" i="35" s="1"/>
  <c r="B14" i="35"/>
  <c r="G13" i="35"/>
  <c r="F13" i="35"/>
  <c r="I13" i="35" s="1"/>
  <c r="B13" i="35"/>
  <c r="G12" i="35"/>
  <c r="F12" i="35"/>
  <c r="I12" i="35" s="1"/>
  <c r="B12" i="35"/>
  <c r="G10" i="35"/>
  <c r="F10" i="35"/>
  <c r="I10" i="35" s="1"/>
  <c r="B10" i="35"/>
  <c r="G9" i="35"/>
  <c r="F9" i="35"/>
  <c r="I9" i="35" s="1"/>
  <c r="B9" i="35"/>
  <c r="G8" i="35"/>
  <c r="F8" i="35"/>
  <c r="I8" i="35" s="1"/>
  <c r="B8" i="35"/>
  <c r="G7" i="35"/>
  <c r="F7" i="35"/>
  <c r="I7" i="35" s="1"/>
  <c r="B7" i="35"/>
  <c r="G6" i="35"/>
  <c r="F6" i="35"/>
  <c r="I6" i="35" s="1"/>
  <c r="B6" i="35"/>
  <c r="B5" i="35"/>
  <c r="T56" i="34"/>
  <c r="S56" i="34"/>
  <c r="R56" i="34"/>
  <c r="O56" i="34"/>
  <c r="N56" i="34"/>
  <c r="M56" i="34"/>
  <c r="E64" i="34" s="1"/>
  <c r="L56" i="34"/>
  <c r="E63" i="34" s="1"/>
  <c r="K56" i="34"/>
  <c r="E60" i="34" s="1"/>
  <c r="J56" i="34"/>
  <c r="E61" i="34" s="1"/>
  <c r="E56" i="34"/>
  <c r="G52" i="34"/>
  <c r="F52" i="34"/>
  <c r="I52" i="34" s="1"/>
  <c r="B52" i="34"/>
  <c r="G51" i="34"/>
  <c r="F51" i="34"/>
  <c r="I51" i="34" s="1"/>
  <c r="B51" i="34"/>
  <c r="G50" i="34"/>
  <c r="F50" i="34"/>
  <c r="I50" i="34" s="1"/>
  <c r="B50" i="34"/>
  <c r="G49" i="34"/>
  <c r="F49" i="34"/>
  <c r="I49" i="34" s="1"/>
  <c r="B49" i="34"/>
  <c r="G48" i="34"/>
  <c r="F48" i="34"/>
  <c r="I48" i="34" s="1"/>
  <c r="B48" i="34"/>
  <c r="G47" i="34"/>
  <c r="F47" i="34"/>
  <c r="I47" i="34" s="1"/>
  <c r="B47" i="34"/>
  <c r="G46" i="34"/>
  <c r="F46" i="34"/>
  <c r="I46" i="34" s="1"/>
  <c r="B46" i="34"/>
  <c r="G45" i="34"/>
  <c r="F45" i="34"/>
  <c r="I45" i="34" s="1"/>
  <c r="B45" i="34"/>
  <c r="G44" i="34"/>
  <c r="F44" i="34"/>
  <c r="I44" i="34" s="1"/>
  <c r="B44" i="34"/>
  <c r="G43" i="34"/>
  <c r="F43" i="34"/>
  <c r="I43" i="34" s="1"/>
  <c r="B43" i="34"/>
  <c r="G42" i="34"/>
  <c r="F42" i="34"/>
  <c r="I42" i="34" s="1"/>
  <c r="B42" i="34"/>
  <c r="G41" i="34"/>
  <c r="F41" i="34"/>
  <c r="I41" i="34" s="1"/>
  <c r="B41" i="34"/>
  <c r="G40" i="34"/>
  <c r="F40" i="34"/>
  <c r="I40" i="34" s="1"/>
  <c r="B40" i="34"/>
  <c r="G39" i="34"/>
  <c r="F39" i="34"/>
  <c r="I39" i="34" s="1"/>
  <c r="B39" i="34"/>
  <c r="G38" i="34"/>
  <c r="F38" i="34"/>
  <c r="I38" i="34" s="1"/>
  <c r="B38" i="34"/>
  <c r="I36" i="34"/>
  <c r="G36" i="34"/>
  <c r="F36" i="34"/>
  <c r="B36" i="34"/>
  <c r="I34" i="34"/>
  <c r="G34" i="34"/>
  <c r="F34" i="34"/>
  <c r="B34" i="34"/>
  <c r="I33" i="34"/>
  <c r="G33" i="34"/>
  <c r="F33" i="34"/>
  <c r="B33" i="34"/>
  <c r="I32" i="34"/>
  <c r="G32" i="34"/>
  <c r="F32" i="34"/>
  <c r="B32" i="34"/>
  <c r="I31" i="34"/>
  <c r="G31" i="34"/>
  <c r="F31" i="34"/>
  <c r="B31" i="34"/>
  <c r="I30" i="34"/>
  <c r="G30" i="34"/>
  <c r="F30" i="34"/>
  <c r="B30" i="34"/>
  <c r="I29" i="34"/>
  <c r="G29" i="34"/>
  <c r="F29" i="34"/>
  <c r="B29" i="34"/>
  <c r="G27" i="34"/>
  <c r="F27" i="34"/>
  <c r="I27" i="34" s="1"/>
  <c r="B27" i="34"/>
  <c r="G26" i="34"/>
  <c r="F26" i="34"/>
  <c r="I26" i="34" s="1"/>
  <c r="B26" i="34"/>
  <c r="G25" i="34"/>
  <c r="F25" i="34"/>
  <c r="I25" i="34" s="1"/>
  <c r="B25" i="34"/>
  <c r="G24" i="34"/>
  <c r="F24" i="34"/>
  <c r="I24" i="34" s="1"/>
  <c r="B24" i="34"/>
  <c r="G23" i="34"/>
  <c r="F23" i="34"/>
  <c r="I23" i="34" s="1"/>
  <c r="B23" i="34"/>
  <c r="G22" i="34"/>
  <c r="F22" i="34"/>
  <c r="I22" i="34" s="1"/>
  <c r="B22" i="34"/>
  <c r="G21" i="34"/>
  <c r="F21" i="34"/>
  <c r="I21" i="34" s="1"/>
  <c r="B21" i="34"/>
  <c r="G20" i="34"/>
  <c r="F20" i="34"/>
  <c r="I20" i="34" s="1"/>
  <c r="B20" i="34"/>
  <c r="G19" i="34"/>
  <c r="F19" i="34"/>
  <c r="I19" i="34" s="1"/>
  <c r="B19" i="34"/>
  <c r="G18" i="34"/>
  <c r="F18" i="34"/>
  <c r="I18" i="34" s="1"/>
  <c r="B18" i="34"/>
  <c r="G17" i="34"/>
  <c r="F17" i="34"/>
  <c r="I17" i="34" s="1"/>
  <c r="B17" i="34"/>
  <c r="I16" i="34"/>
  <c r="G16" i="34"/>
  <c r="B16" i="34"/>
  <c r="I15" i="34"/>
  <c r="G15" i="34"/>
  <c r="F15" i="34"/>
  <c r="B15" i="34"/>
  <c r="I14" i="34"/>
  <c r="G14" i="34"/>
  <c r="F14" i="34"/>
  <c r="B14" i="34"/>
  <c r="I13" i="34"/>
  <c r="G13" i="34"/>
  <c r="F13" i="34"/>
  <c r="B13" i="34"/>
  <c r="I12" i="34"/>
  <c r="G12" i="34"/>
  <c r="F12" i="34"/>
  <c r="B12" i="34"/>
  <c r="G10" i="34"/>
  <c r="F10" i="34"/>
  <c r="I10" i="34" s="1"/>
  <c r="B10" i="34"/>
  <c r="G9" i="34"/>
  <c r="F9" i="34"/>
  <c r="I9" i="34" s="1"/>
  <c r="B9" i="34"/>
  <c r="G8" i="34"/>
  <c r="F8" i="34"/>
  <c r="I8" i="34" s="1"/>
  <c r="B8" i="34"/>
  <c r="G7" i="34"/>
  <c r="F7" i="34"/>
  <c r="I7" i="34" s="1"/>
  <c r="B7" i="34"/>
  <c r="G6" i="34"/>
  <c r="G56" i="34" s="1"/>
  <c r="F6" i="34"/>
  <c r="I6" i="34" s="1"/>
  <c r="B6" i="34"/>
  <c r="B5" i="34"/>
  <c r="T56" i="33"/>
  <c r="S56" i="33"/>
  <c r="R56" i="33"/>
  <c r="O56" i="33"/>
  <c r="N56" i="33"/>
  <c r="M56" i="33"/>
  <c r="E64" i="33" s="1"/>
  <c r="L56" i="33"/>
  <c r="E63" i="33" s="1"/>
  <c r="K56" i="33"/>
  <c r="E60" i="33" s="1"/>
  <c r="J56" i="33"/>
  <c r="E61" i="33" s="1"/>
  <c r="E56" i="33"/>
  <c r="G52" i="33"/>
  <c r="F52" i="33"/>
  <c r="I52" i="33" s="1"/>
  <c r="B52" i="33"/>
  <c r="G51" i="33"/>
  <c r="F51" i="33"/>
  <c r="I51" i="33" s="1"/>
  <c r="B51" i="33"/>
  <c r="G50" i="33"/>
  <c r="F50" i="33"/>
  <c r="I50" i="33" s="1"/>
  <c r="B50" i="33"/>
  <c r="G49" i="33"/>
  <c r="F49" i="33"/>
  <c r="I49" i="33" s="1"/>
  <c r="B49" i="33"/>
  <c r="G48" i="33"/>
  <c r="F48" i="33"/>
  <c r="I48" i="33" s="1"/>
  <c r="B48" i="33"/>
  <c r="G47" i="33"/>
  <c r="F47" i="33"/>
  <c r="I47" i="33" s="1"/>
  <c r="B47" i="33"/>
  <c r="G46" i="33"/>
  <c r="F46" i="33"/>
  <c r="I46" i="33" s="1"/>
  <c r="B46" i="33"/>
  <c r="G45" i="33"/>
  <c r="F45" i="33"/>
  <c r="I45" i="33" s="1"/>
  <c r="B45" i="33"/>
  <c r="G44" i="33"/>
  <c r="F44" i="33"/>
  <c r="I44" i="33" s="1"/>
  <c r="B44" i="33"/>
  <c r="G43" i="33"/>
  <c r="F43" i="33"/>
  <c r="I43" i="33" s="1"/>
  <c r="B43" i="33"/>
  <c r="G42" i="33"/>
  <c r="F42" i="33"/>
  <c r="I42" i="33" s="1"/>
  <c r="B42" i="33"/>
  <c r="G41" i="33"/>
  <c r="F41" i="33"/>
  <c r="I41" i="33" s="1"/>
  <c r="B41" i="33"/>
  <c r="G40" i="33"/>
  <c r="F40" i="33"/>
  <c r="I40" i="33" s="1"/>
  <c r="B40" i="33"/>
  <c r="G39" i="33"/>
  <c r="F39" i="33"/>
  <c r="I39" i="33" s="1"/>
  <c r="B39" i="33"/>
  <c r="G38" i="33"/>
  <c r="F38" i="33"/>
  <c r="I38" i="33" s="1"/>
  <c r="B38" i="33"/>
  <c r="G36" i="33"/>
  <c r="F36" i="33"/>
  <c r="I36" i="33" s="1"/>
  <c r="B36" i="33"/>
  <c r="G34" i="33"/>
  <c r="F34" i="33"/>
  <c r="I34" i="33" s="1"/>
  <c r="B34" i="33"/>
  <c r="G33" i="33"/>
  <c r="F33" i="33"/>
  <c r="I33" i="33" s="1"/>
  <c r="B33" i="33"/>
  <c r="G32" i="33"/>
  <c r="F32" i="33"/>
  <c r="I32" i="33" s="1"/>
  <c r="B32" i="33"/>
  <c r="G31" i="33"/>
  <c r="F31" i="33"/>
  <c r="I31" i="33" s="1"/>
  <c r="B31" i="33"/>
  <c r="G30" i="33"/>
  <c r="F30" i="33"/>
  <c r="I30" i="33" s="1"/>
  <c r="B30" i="33"/>
  <c r="G29" i="33"/>
  <c r="F29" i="33"/>
  <c r="I29" i="33" s="1"/>
  <c r="B29" i="33"/>
  <c r="G27" i="33"/>
  <c r="F27" i="33"/>
  <c r="I27" i="33" s="1"/>
  <c r="B27" i="33"/>
  <c r="G26" i="33"/>
  <c r="F26" i="33"/>
  <c r="I26" i="33" s="1"/>
  <c r="B26" i="33"/>
  <c r="G25" i="33"/>
  <c r="F25" i="33"/>
  <c r="I25" i="33" s="1"/>
  <c r="B25" i="33"/>
  <c r="G24" i="33"/>
  <c r="F24" i="33"/>
  <c r="I24" i="33" s="1"/>
  <c r="B24" i="33"/>
  <c r="G23" i="33"/>
  <c r="F23" i="33"/>
  <c r="I23" i="33" s="1"/>
  <c r="B23" i="33"/>
  <c r="G22" i="33"/>
  <c r="F22" i="33"/>
  <c r="I22" i="33" s="1"/>
  <c r="B22" i="33"/>
  <c r="G21" i="33"/>
  <c r="F21" i="33"/>
  <c r="I21" i="33" s="1"/>
  <c r="B21" i="33"/>
  <c r="G20" i="33"/>
  <c r="F20" i="33"/>
  <c r="I20" i="33" s="1"/>
  <c r="B20" i="33"/>
  <c r="G19" i="33"/>
  <c r="F19" i="33"/>
  <c r="I19" i="33" s="1"/>
  <c r="B19" i="33"/>
  <c r="G18" i="33"/>
  <c r="F18" i="33"/>
  <c r="I18" i="33" s="1"/>
  <c r="B18" i="33"/>
  <c r="G17" i="33"/>
  <c r="F17" i="33"/>
  <c r="I17" i="33" s="1"/>
  <c r="B17" i="33"/>
  <c r="I16" i="33"/>
  <c r="G16" i="33"/>
  <c r="B16" i="33"/>
  <c r="G15" i="33"/>
  <c r="F15" i="33"/>
  <c r="I15" i="33" s="1"/>
  <c r="B15" i="33"/>
  <c r="G14" i="33"/>
  <c r="F14" i="33"/>
  <c r="I14" i="33" s="1"/>
  <c r="B14" i="33"/>
  <c r="G13" i="33"/>
  <c r="F13" i="33"/>
  <c r="I13" i="33" s="1"/>
  <c r="B13" i="33"/>
  <c r="G12" i="33"/>
  <c r="F12" i="33"/>
  <c r="I12" i="33" s="1"/>
  <c r="B12" i="33"/>
  <c r="G10" i="33"/>
  <c r="F10" i="33"/>
  <c r="I10" i="33" s="1"/>
  <c r="B10" i="33"/>
  <c r="G9" i="33"/>
  <c r="F9" i="33"/>
  <c r="I9" i="33" s="1"/>
  <c r="B9" i="33"/>
  <c r="G8" i="33"/>
  <c r="F8" i="33"/>
  <c r="I8" i="33" s="1"/>
  <c r="B8" i="33"/>
  <c r="G7" i="33"/>
  <c r="F7" i="33"/>
  <c r="I7" i="33" s="1"/>
  <c r="B7" i="33"/>
  <c r="G6" i="33"/>
  <c r="F6" i="33"/>
  <c r="I6" i="33" s="1"/>
  <c r="B6" i="33"/>
  <c r="B5" i="33"/>
  <c r="T56" i="32"/>
  <c r="S56" i="32"/>
  <c r="R56" i="32"/>
  <c r="O56" i="32"/>
  <c r="N56" i="32"/>
  <c r="M56" i="32"/>
  <c r="E64" i="32" s="1"/>
  <c r="L56" i="32"/>
  <c r="E63" i="32" s="1"/>
  <c r="K56" i="32"/>
  <c r="E60" i="32" s="1"/>
  <c r="J56" i="32"/>
  <c r="E61" i="32" s="1"/>
  <c r="E56" i="32"/>
  <c r="G52" i="32"/>
  <c r="F52" i="32"/>
  <c r="I52" i="32" s="1"/>
  <c r="B52" i="32"/>
  <c r="G51" i="32"/>
  <c r="F51" i="32"/>
  <c r="I51" i="32" s="1"/>
  <c r="B51" i="32"/>
  <c r="G50" i="32"/>
  <c r="F50" i="32"/>
  <c r="I50" i="32" s="1"/>
  <c r="B50" i="32"/>
  <c r="G49" i="32"/>
  <c r="F49" i="32"/>
  <c r="I49" i="32" s="1"/>
  <c r="B49" i="32"/>
  <c r="G48" i="32"/>
  <c r="F48" i="32"/>
  <c r="I48" i="32" s="1"/>
  <c r="B48" i="32"/>
  <c r="G47" i="32"/>
  <c r="F47" i="32"/>
  <c r="I47" i="32" s="1"/>
  <c r="B47" i="32"/>
  <c r="G46" i="32"/>
  <c r="F46" i="32"/>
  <c r="I46" i="32" s="1"/>
  <c r="B46" i="32"/>
  <c r="G45" i="32"/>
  <c r="F45" i="32"/>
  <c r="I45" i="32" s="1"/>
  <c r="B45" i="32"/>
  <c r="G44" i="32"/>
  <c r="F44" i="32"/>
  <c r="I44" i="32" s="1"/>
  <c r="B44" i="32"/>
  <c r="G43" i="32"/>
  <c r="F43" i="32"/>
  <c r="I43" i="32" s="1"/>
  <c r="B43" i="32"/>
  <c r="G42" i="32"/>
  <c r="F42" i="32"/>
  <c r="I42" i="32" s="1"/>
  <c r="B42" i="32"/>
  <c r="G41" i="32"/>
  <c r="F41" i="32"/>
  <c r="I41" i="32" s="1"/>
  <c r="B41" i="32"/>
  <c r="G40" i="32"/>
  <c r="F40" i="32"/>
  <c r="I40" i="32" s="1"/>
  <c r="B40" i="32"/>
  <c r="G39" i="32"/>
  <c r="F39" i="32"/>
  <c r="I39" i="32" s="1"/>
  <c r="B39" i="32"/>
  <c r="G38" i="32"/>
  <c r="F38" i="32"/>
  <c r="I38" i="32" s="1"/>
  <c r="B38" i="32"/>
  <c r="G36" i="32"/>
  <c r="F36" i="32"/>
  <c r="I36" i="32" s="1"/>
  <c r="B36" i="32"/>
  <c r="G34" i="32"/>
  <c r="F34" i="32"/>
  <c r="I34" i="32" s="1"/>
  <c r="B34" i="32"/>
  <c r="G33" i="32"/>
  <c r="F33" i="32"/>
  <c r="I33" i="32" s="1"/>
  <c r="B33" i="32"/>
  <c r="G32" i="32"/>
  <c r="F32" i="32"/>
  <c r="I32" i="32" s="1"/>
  <c r="B32" i="32"/>
  <c r="G31" i="32"/>
  <c r="F31" i="32"/>
  <c r="I31" i="32" s="1"/>
  <c r="B31" i="32"/>
  <c r="G30" i="32"/>
  <c r="F30" i="32"/>
  <c r="I30" i="32" s="1"/>
  <c r="B30" i="32"/>
  <c r="G29" i="32"/>
  <c r="F29" i="32"/>
  <c r="I29" i="32" s="1"/>
  <c r="B29" i="32"/>
  <c r="G27" i="32"/>
  <c r="F27" i="32"/>
  <c r="I27" i="32" s="1"/>
  <c r="B27" i="32"/>
  <c r="G26" i="32"/>
  <c r="F26" i="32"/>
  <c r="I26" i="32" s="1"/>
  <c r="B26" i="32"/>
  <c r="G25" i="32"/>
  <c r="F25" i="32"/>
  <c r="I25" i="32" s="1"/>
  <c r="B25" i="32"/>
  <c r="G24" i="32"/>
  <c r="F24" i="32"/>
  <c r="I24" i="32" s="1"/>
  <c r="B24" i="32"/>
  <c r="G23" i="32"/>
  <c r="F23" i="32"/>
  <c r="I23" i="32" s="1"/>
  <c r="B23" i="32"/>
  <c r="G22" i="32"/>
  <c r="F22" i="32"/>
  <c r="I22" i="32" s="1"/>
  <c r="B22" i="32"/>
  <c r="G21" i="32"/>
  <c r="F21" i="32"/>
  <c r="I21" i="32" s="1"/>
  <c r="B21" i="32"/>
  <c r="G20" i="32"/>
  <c r="F20" i="32"/>
  <c r="I20" i="32" s="1"/>
  <c r="B20" i="32"/>
  <c r="G19" i="32"/>
  <c r="F19" i="32"/>
  <c r="I19" i="32" s="1"/>
  <c r="B19" i="32"/>
  <c r="G18" i="32"/>
  <c r="F18" i="32"/>
  <c r="I18" i="32" s="1"/>
  <c r="B18" i="32"/>
  <c r="G17" i="32"/>
  <c r="F17" i="32"/>
  <c r="I17" i="32" s="1"/>
  <c r="B17" i="32"/>
  <c r="I16" i="32"/>
  <c r="G16" i="32"/>
  <c r="B16" i="32"/>
  <c r="G15" i="32"/>
  <c r="F15" i="32"/>
  <c r="I15" i="32" s="1"/>
  <c r="B15" i="32"/>
  <c r="G14" i="32"/>
  <c r="F14" i="32"/>
  <c r="I14" i="32" s="1"/>
  <c r="B14" i="32"/>
  <c r="G13" i="32"/>
  <c r="F13" i="32"/>
  <c r="I13" i="32" s="1"/>
  <c r="B13" i="32"/>
  <c r="G12" i="32"/>
  <c r="F12" i="32"/>
  <c r="I12" i="32" s="1"/>
  <c r="B12" i="32"/>
  <c r="G10" i="32"/>
  <c r="F10" i="32"/>
  <c r="I10" i="32" s="1"/>
  <c r="B10" i="32"/>
  <c r="G9" i="32"/>
  <c r="F9" i="32"/>
  <c r="I9" i="32" s="1"/>
  <c r="B9" i="32"/>
  <c r="G8" i="32"/>
  <c r="F8" i="32"/>
  <c r="I8" i="32" s="1"/>
  <c r="B8" i="32"/>
  <c r="G7" i="32"/>
  <c r="F7" i="32"/>
  <c r="I7" i="32" s="1"/>
  <c r="B7" i="32"/>
  <c r="G6" i="32"/>
  <c r="F6" i="32"/>
  <c r="I6" i="32" s="1"/>
  <c r="B6" i="32"/>
  <c r="B5" i="32"/>
  <c r="T56" i="31"/>
  <c r="S56" i="31"/>
  <c r="R56" i="31"/>
  <c r="O56" i="31"/>
  <c r="N56" i="31"/>
  <c r="M56" i="31"/>
  <c r="E64" i="31" s="1"/>
  <c r="L56" i="31"/>
  <c r="E63" i="31" s="1"/>
  <c r="K56" i="31"/>
  <c r="E60" i="31" s="1"/>
  <c r="J56" i="31"/>
  <c r="E61" i="31" s="1"/>
  <c r="E56" i="31"/>
  <c r="G52" i="31"/>
  <c r="F52" i="31"/>
  <c r="I52" i="31" s="1"/>
  <c r="B52" i="31"/>
  <c r="G51" i="31"/>
  <c r="F51" i="31"/>
  <c r="I51" i="31" s="1"/>
  <c r="B51" i="31"/>
  <c r="G50" i="31"/>
  <c r="F50" i="31"/>
  <c r="I50" i="31" s="1"/>
  <c r="B50" i="31"/>
  <c r="G49" i="31"/>
  <c r="F49" i="31"/>
  <c r="I49" i="31" s="1"/>
  <c r="B49" i="31"/>
  <c r="G48" i="31"/>
  <c r="F48" i="31"/>
  <c r="I48" i="31" s="1"/>
  <c r="B48" i="31"/>
  <c r="G47" i="31"/>
  <c r="F47" i="31"/>
  <c r="I47" i="31" s="1"/>
  <c r="B47" i="31"/>
  <c r="G46" i="31"/>
  <c r="F46" i="31"/>
  <c r="I46" i="31" s="1"/>
  <c r="B46" i="31"/>
  <c r="G45" i="31"/>
  <c r="F45" i="31"/>
  <c r="I45" i="31" s="1"/>
  <c r="B45" i="31"/>
  <c r="G44" i="31"/>
  <c r="F44" i="31"/>
  <c r="I44" i="31" s="1"/>
  <c r="B44" i="31"/>
  <c r="G43" i="31"/>
  <c r="F43" i="31"/>
  <c r="I43" i="31" s="1"/>
  <c r="B43" i="31"/>
  <c r="G42" i="31"/>
  <c r="F42" i="31"/>
  <c r="I42" i="31" s="1"/>
  <c r="B42" i="31"/>
  <c r="G41" i="31"/>
  <c r="F41" i="31"/>
  <c r="I41" i="31" s="1"/>
  <c r="B41" i="31"/>
  <c r="G40" i="31"/>
  <c r="F40" i="31"/>
  <c r="I40" i="31" s="1"/>
  <c r="B40" i="31"/>
  <c r="G39" i="31"/>
  <c r="F39" i="31"/>
  <c r="I39" i="31" s="1"/>
  <c r="B39" i="31"/>
  <c r="G38" i="31"/>
  <c r="F38" i="31"/>
  <c r="I38" i="31" s="1"/>
  <c r="B38" i="31"/>
  <c r="G36" i="31"/>
  <c r="F36" i="31"/>
  <c r="I36" i="31" s="1"/>
  <c r="B36" i="31"/>
  <c r="I34" i="31"/>
  <c r="G34" i="31"/>
  <c r="F34" i="31"/>
  <c r="B34" i="31"/>
  <c r="I33" i="31"/>
  <c r="G33" i="31"/>
  <c r="F33" i="31"/>
  <c r="B33" i="31"/>
  <c r="I32" i="31"/>
  <c r="G32" i="31"/>
  <c r="F32" i="31"/>
  <c r="B32" i="31"/>
  <c r="I31" i="31"/>
  <c r="G31" i="31"/>
  <c r="F31" i="31"/>
  <c r="B31" i="31"/>
  <c r="I30" i="31"/>
  <c r="G30" i="31"/>
  <c r="F30" i="31"/>
  <c r="B30" i="31"/>
  <c r="I29" i="31"/>
  <c r="G29" i="31"/>
  <c r="F29" i="31"/>
  <c r="B29" i="31"/>
  <c r="I27" i="31"/>
  <c r="G27" i="31"/>
  <c r="F27" i="31"/>
  <c r="B27" i="31"/>
  <c r="I26" i="31"/>
  <c r="G26" i="31"/>
  <c r="F26" i="31"/>
  <c r="B26" i="31"/>
  <c r="I25" i="31"/>
  <c r="G25" i="31"/>
  <c r="F25" i="31"/>
  <c r="B25" i="31"/>
  <c r="I24" i="31"/>
  <c r="G24" i="31"/>
  <c r="F24" i="31"/>
  <c r="B24" i="31"/>
  <c r="I23" i="31"/>
  <c r="G23" i="31"/>
  <c r="F23" i="31"/>
  <c r="B23" i="31"/>
  <c r="I22" i="31"/>
  <c r="G22" i="31"/>
  <c r="F22" i="31"/>
  <c r="B22" i="31"/>
  <c r="I21" i="31"/>
  <c r="G21" i="31"/>
  <c r="F21" i="31"/>
  <c r="B21" i="31"/>
  <c r="I20" i="31"/>
  <c r="G20" i="31"/>
  <c r="F20" i="31"/>
  <c r="B20" i="31"/>
  <c r="I19" i="31"/>
  <c r="G19" i="31"/>
  <c r="F19" i="31"/>
  <c r="B19" i="31"/>
  <c r="I18" i="31"/>
  <c r="G18" i="31"/>
  <c r="F18" i="31"/>
  <c r="B18" i="31"/>
  <c r="I17" i="31"/>
  <c r="G17" i="31"/>
  <c r="F17" i="31"/>
  <c r="B17" i="31"/>
  <c r="I16" i="31"/>
  <c r="G16" i="31"/>
  <c r="B16" i="31"/>
  <c r="G15" i="31"/>
  <c r="F15" i="31"/>
  <c r="I15" i="31" s="1"/>
  <c r="B15" i="31"/>
  <c r="G14" i="31"/>
  <c r="F14" i="31"/>
  <c r="I14" i="31" s="1"/>
  <c r="B14" i="31"/>
  <c r="G13" i="31"/>
  <c r="F13" i="31"/>
  <c r="I13" i="31" s="1"/>
  <c r="B13" i="31"/>
  <c r="G12" i="31"/>
  <c r="F12" i="31"/>
  <c r="I12" i="31" s="1"/>
  <c r="B12" i="31"/>
  <c r="I10" i="31"/>
  <c r="G10" i="31"/>
  <c r="F10" i="31"/>
  <c r="B10" i="31"/>
  <c r="I9" i="31"/>
  <c r="G9" i="31"/>
  <c r="F9" i="31"/>
  <c r="B9" i="31"/>
  <c r="I8" i="31"/>
  <c r="G8" i="31"/>
  <c r="F8" i="31"/>
  <c r="B8" i="31"/>
  <c r="I7" i="31"/>
  <c r="G7" i="31"/>
  <c r="F7" i="31"/>
  <c r="B7" i="31"/>
  <c r="I6" i="31"/>
  <c r="G6" i="31"/>
  <c r="G56" i="31" s="1"/>
  <c r="F6" i="31"/>
  <c r="B6" i="31"/>
  <c r="B5" i="31"/>
  <c r="T56" i="30"/>
  <c r="S56" i="30"/>
  <c r="R56" i="30"/>
  <c r="O56" i="30"/>
  <c r="N56" i="30"/>
  <c r="M56" i="30"/>
  <c r="E64" i="30" s="1"/>
  <c r="L56" i="30"/>
  <c r="E63" i="30" s="1"/>
  <c r="K56" i="30"/>
  <c r="E60" i="30" s="1"/>
  <c r="J56" i="30"/>
  <c r="E61" i="30" s="1"/>
  <c r="E56" i="30"/>
  <c r="G52" i="30"/>
  <c r="F52" i="30"/>
  <c r="I52" i="30" s="1"/>
  <c r="B52" i="30"/>
  <c r="G51" i="30"/>
  <c r="F51" i="30"/>
  <c r="I51" i="30" s="1"/>
  <c r="B51" i="30"/>
  <c r="G50" i="30"/>
  <c r="F50" i="30"/>
  <c r="I50" i="30" s="1"/>
  <c r="B50" i="30"/>
  <c r="G49" i="30"/>
  <c r="F49" i="30"/>
  <c r="I49" i="30" s="1"/>
  <c r="B49" i="30"/>
  <c r="G48" i="30"/>
  <c r="F48" i="30"/>
  <c r="I48" i="30" s="1"/>
  <c r="B48" i="30"/>
  <c r="G47" i="30"/>
  <c r="F47" i="30"/>
  <c r="I47" i="30" s="1"/>
  <c r="B47" i="30"/>
  <c r="G46" i="30"/>
  <c r="F46" i="30"/>
  <c r="I46" i="30" s="1"/>
  <c r="B46" i="30"/>
  <c r="G45" i="30"/>
  <c r="F45" i="30"/>
  <c r="I45" i="30" s="1"/>
  <c r="B45" i="30"/>
  <c r="G44" i="30"/>
  <c r="F44" i="30"/>
  <c r="I44" i="30" s="1"/>
  <c r="B44" i="30"/>
  <c r="G43" i="30"/>
  <c r="F43" i="30"/>
  <c r="I43" i="30" s="1"/>
  <c r="B43" i="30"/>
  <c r="G42" i="30"/>
  <c r="F42" i="30"/>
  <c r="I42" i="30" s="1"/>
  <c r="B42" i="30"/>
  <c r="G41" i="30"/>
  <c r="F41" i="30"/>
  <c r="I41" i="30" s="1"/>
  <c r="B41" i="30"/>
  <c r="G40" i="30"/>
  <c r="F40" i="30"/>
  <c r="I40" i="30" s="1"/>
  <c r="B40" i="30"/>
  <c r="G39" i="30"/>
  <c r="F39" i="30"/>
  <c r="I39" i="30" s="1"/>
  <c r="B39" i="30"/>
  <c r="G38" i="30"/>
  <c r="F38" i="30"/>
  <c r="B38" i="30"/>
  <c r="I36" i="30"/>
  <c r="G36" i="30"/>
  <c r="F36" i="30"/>
  <c r="B36" i="30"/>
  <c r="I34" i="30"/>
  <c r="G34" i="30"/>
  <c r="F34" i="30"/>
  <c r="B34" i="30"/>
  <c r="I33" i="30"/>
  <c r="G33" i="30"/>
  <c r="F33" i="30"/>
  <c r="B33" i="30"/>
  <c r="I32" i="30"/>
  <c r="G32" i="30"/>
  <c r="F32" i="30"/>
  <c r="B32" i="30"/>
  <c r="I31" i="30"/>
  <c r="G31" i="30"/>
  <c r="F31" i="30"/>
  <c r="B31" i="30"/>
  <c r="I30" i="30"/>
  <c r="G30" i="30"/>
  <c r="F30" i="30"/>
  <c r="B30" i="30"/>
  <c r="I29" i="30"/>
  <c r="G29" i="30"/>
  <c r="F29" i="30"/>
  <c r="B29" i="30"/>
  <c r="G27" i="30"/>
  <c r="F27" i="30"/>
  <c r="I27" i="30" s="1"/>
  <c r="B27" i="30"/>
  <c r="G26" i="30"/>
  <c r="F26" i="30"/>
  <c r="I26" i="30" s="1"/>
  <c r="B26" i="30"/>
  <c r="G25" i="30"/>
  <c r="F25" i="30"/>
  <c r="I25" i="30" s="1"/>
  <c r="B25" i="30"/>
  <c r="G24" i="30"/>
  <c r="F24" i="30"/>
  <c r="I24" i="30" s="1"/>
  <c r="B24" i="30"/>
  <c r="G23" i="30"/>
  <c r="F23" i="30"/>
  <c r="I23" i="30" s="1"/>
  <c r="B23" i="30"/>
  <c r="G22" i="30"/>
  <c r="F22" i="30"/>
  <c r="I22" i="30" s="1"/>
  <c r="B22" i="30"/>
  <c r="G21" i="30"/>
  <c r="F21" i="30"/>
  <c r="I21" i="30" s="1"/>
  <c r="B21" i="30"/>
  <c r="G20" i="30"/>
  <c r="F20" i="30"/>
  <c r="I20" i="30" s="1"/>
  <c r="B20" i="30"/>
  <c r="G19" i="30"/>
  <c r="F19" i="30"/>
  <c r="I19" i="30" s="1"/>
  <c r="B19" i="30"/>
  <c r="G18" i="30"/>
  <c r="F18" i="30"/>
  <c r="I18" i="30" s="1"/>
  <c r="B18" i="30"/>
  <c r="G17" i="30"/>
  <c r="F17" i="30"/>
  <c r="I17" i="30" s="1"/>
  <c r="B17" i="30"/>
  <c r="I16" i="30"/>
  <c r="G16" i="30"/>
  <c r="B16" i="30"/>
  <c r="I15" i="30"/>
  <c r="G15" i="30"/>
  <c r="F15" i="30"/>
  <c r="B15" i="30"/>
  <c r="I14" i="30"/>
  <c r="G14" i="30"/>
  <c r="F14" i="30"/>
  <c r="B14" i="30"/>
  <c r="I13" i="30"/>
  <c r="G13" i="30"/>
  <c r="F13" i="30"/>
  <c r="B13" i="30"/>
  <c r="I12" i="30"/>
  <c r="G12" i="30"/>
  <c r="F12" i="30"/>
  <c r="B12" i="30"/>
  <c r="G10" i="30"/>
  <c r="F10" i="30"/>
  <c r="I10" i="30" s="1"/>
  <c r="B10" i="30"/>
  <c r="G9" i="30"/>
  <c r="F9" i="30"/>
  <c r="I9" i="30" s="1"/>
  <c r="B9" i="30"/>
  <c r="G8" i="30"/>
  <c r="F8" i="30"/>
  <c r="I8" i="30" s="1"/>
  <c r="B8" i="30"/>
  <c r="G7" i="30"/>
  <c r="F7" i="30"/>
  <c r="I7" i="30" s="1"/>
  <c r="B7" i="30"/>
  <c r="G6" i="30"/>
  <c r="F6" i="30"/>
  <c r="I6" i="30" s="1"/>
  <c r="B6" i="30"/>
  <c r="B5" i="30"/>
  <c r="T56" i="29"/>
  <c r="S56" i="29"/>
  <c r="R56" i="29"/>
  <c r="O56" i="29"/>
  <c r="N56" i="29"/>
  <c r="M56" i="29"/>
  <c r="E64" i="29" s="1"/>
  <c r="L56" i="29"/>
  <c r="E63" i="29" s="1"/>
  <c r="K56" i="29"/>
  <c r="E60" i="29" s="1"/>
  <c r="J56" i="29"/>
  <c r="E61" i="29" s="1"/>
  <c r="E56" i="29"/>
  <c r="G52" i="29"/>
  <c r="F52" i="29"/>
  <c r="I52" i="29" s="1"/>
  <c r="B52" i="29"/>
  <c r="G51" i="29"/>
  <c r="F51" i="29"/>
  <c r="I51" i="29" s="1"/>
  <c r="B51" i="29"/>
  <c r="G50" i="29"/>
  <c r="F50" i="29"/>
  <c r="I50" i="29" s="1"/>
  <c r="B50" i="29"/>
  <c r="G49" i="29"/>
  <c r="F49" i="29"/>
  <c r="B49" i="29"/>
  <c r="G48" i="29"/>
  <c r="F48" i="29"/>
  <c r="I48" i="29" s="1"/>
  <c r="B48" i="29"/>
  <c r="G47" i="29"/>
  <c r="F47" i="29"/>
  <c r="I47" i="29" s="1"/>
  <c r="B47" i="29"/>
  <c r="G46" i="29"/>
  <c r="F46" i="29"/>
  <c r="I46" i="29" s="1"/>
  <c r="B46" i="29"/>
  <c r="G45" i="29"/>
  <c r="F45" i="29"/>
  <c r="B45" i="29"/>
  <c r="G44" i="29"/>
  <c r="F44" i="29"/>
  <c r="I44" i="29" s="1"/>
  <c r="B44" i="29"/>
  <c r="G43" i="29"/>
  <c r="F43" i="29"/>
  <c r="I43" i="29" s="1"/>
  <c r="B43" i="29"/>
  <c r="G42" i="29"/>
  <c r="F42" i="29"/>
  <c r="I42" i="29" s="1"/>
  <c r="B42" i="29"/>
  <c r="G41" i="29"/>
  <c r="F41" i="29"/>
  <c r="B41" i="29"/>
  <c r="G40" i="29"/>
  <c r="F40" i="29"/>
  <c r="I40" i="29" s="1"/>
  <c r="B40" i="29"/>
  <c r="G39" i="29"/>
  <c r="F39" i="29"/>
  <c r="I39" i="29" s="1"/>
  <c r="B39" i="29"/>
  <c r="G38" i="29"/>
  <c r="F38" i="29"/>
  <c r="I38" i="29" s="1"/>
  <c r="B38" i="29"/>
  <c r="G36" i="29"/>
  <c r="F36" i="29"/>
  <c r="B36" i="29"/>
  <c r="G34" i="29"/>
  <c r="F34" i="29"/>
  <c r="I34" i="29" s="1"/>
  <c r="B34" i="29"/>
  <c r="G33" i="29"/>
  <c r="F33" i="29"/>
  <c r="I33" i="29" s="1"/>
  <c r="B33" i="29"/>
  <c r="G32" i="29"/>
  <c r="F32" i="29"/>
  <c r="I32" i="29" s="1"/>
  <c r="B32" i="29"/>
  <c r="G31" i="29"/>
  <c r="F31" i="29"/>
  <c r="B31" i="29"/>
  <c r="G30" i="29"/>
  <c r="F30" i="29"/>
  <c r="I30" i="29" s="1"/>
  <c r="B30" i="29"/>
  <c r="G29" i="29"/>
  <c r="F29" i="29"/>
  <c r="I29" i="29" s="1"/>
  <c r="B29" i="29"/>
  <c r="G27" i="29"/>
  <c r="F27" i="29"/>
  <c r="I27" i="29" s="1"/>
  <c r="B27" i="29"/>
  <c r="G26" i="29"/>
  <c r="F26" i="29"/>
  <c r="B26" i="29"/>
  <c r="G25" i="29"/>
  <c r="F25" i="29"/>
  <c r="I25" i="29" s="1"/>
  <c r="B25" i="29"/>
  <c r="G24" i="29"/>
  <c r="F24" i="29"/>
  <c r="I24" i="29" s="1"/>
  <c r="B24" i="29"/>
  <c r="G23" i="29"/>
  <c r="F23" i="29"/>
  <c r="I23" i="29" s="1"/>
  <c r="B23" i="29"/>
  <c r="G22" i="29"/>
  <c r="F22" i="29"/>
  <c r="B22" i="29"/>
  <c r="G21" i="29"/>
  <c r="F21" i="29"/>
  <c r="I21" i="29" s="1"/>
  <c r="B21" i="29"/>
  <c r="G20" i="29"/>
  <c r="F20" i="29"/>
  <c r="I20" i="29" s="1"/>
  <c r="B20" i="29"/>
  <c r="G19" i="29"/>
  <c r="F19" i="29"/>
  <c r="I19" i="29" s="1"/>
  <c r="B19" i="29"/>
  <c r="G18" i="29"/>
  <c r="F18" i="29"/>
  <c r="B18" i="29"/>
  <c r="G17" i="29"/>
  <c r="F17" i="29"/>
  <c r="I17" i="29" s="1"/>
  <c r="B17" i="29"/>
  <c r="G16" i="29"/>
  <c r="B16" i="29"/>
  <c r="G15" i="29"/>
  <c r="F15" i="29"/>
  <c r="I15" i="29" s="1"/>
  <c r="B15" i="29"/>
  <c r="G14" i="29"/>
  <c r="F14" i="29"/>
  <c r="I14" i="29" s="1"/>
  <c r="B14" i="29"/>
  <c r="G13" i="29"/>
  <c r="F13" i="29"/>
  <c r="I13" i="29" s="1"/>
  <c r="B13" i="29"/>
  <c r="G12" i="29"/>
  <c r="F12" i="29"/>
  <c r="I12" i="29" s="1"/>
  <c r="B12" i="29"/>
  <c r="G10" i="29"/>
  <c r="F10" i="29"/>
  <c r="I10" i="29" s="1"/>
  <c r="B10" i="29"/>
  <c r="G9" i="29"/>
  <c r="F9" i="29"/>
  <c r="I9" i="29" s="1"/>
  <c r="B9" i="29"/>
  <c r="G8" i="29"/>
  <c r="F8" i="29"/>
  <c r="I8" i="29" s="1"/>
  <c r="B8" i="29"/>
  <c r="G7" i="29"/>
  <c r="F7" i="29"/>
  <c r="I7" i="29" s="1"/>
  <c r="B7" i="29"/>
  <c r="G6" i="29"/>
  <c r="G56" i="29" s="1"/>
  <c r="F6" i="29"/>
  <c r="I6" i="29" s="1"/>
  <c r="B6" i="29"/>
  <c r="B5" i="29"/>
  <c r="T56" i="28"/>
  <c r="S56" i="28"/>
  <c r="R56" i="28"/>
  <c r="N56" i="28"/>
  <c r="M56" i="28"/>
  <c r="E64" i="28" s="1"/>
  <c r="L56" i="28"/>
  <c r="E63" i="28" s="1"/>
  <c r="K56" i="28"/>
  <c r="E60" i="28" s="1"/>
  <c r="J56" i="28"/>
  <c r="E61" i="28" s="1"/>
  <c r="E56" i="28"/>
  <c r="G52" i="28"/>
  <c r="F52" i="28"/>
  <c r="I52" i="28" s="1"/>
  <c r="B52" i="28"/>
  <c r="G51" i="28"/>
  <c r="F51" i="28"/>
  <c r="I51" i="28" s="1"/>
  <c r="B51" i="28"/>
  <c r="G50" i="28"/>
  <c r="F50" i="28"/>
  <c r="I50" i="28" s="1"/>
  <c r="B50" i="28"/>
  <c r="G49" i="28"/>
  <c r="F49" i="28"/>
  <c r="I49" i="28" s="1"/>
  <c r="B49" i="28"/>
  <c r="G48" i="28"/>
  <c r="F48" i="28"/>
  <c r="I48" i="28" s="1"/>
  <c r="B48" i="28"/>
  <c r="G47" i="28"/>
  <c r="F47" i="28"/>
  <c r="I47" i="28" s="1"/>
  <c r="B47" i="28"/>
  <c r="G46" i="28"/>
  <c r="F46" i="28"/>
  <c r="I46" i="28" s="1"/>
  <c r="B46" i="28"/>
  <c r="G45" i="28"/>
  <c r="F45" i="28"/>
  <c r="I45" i="28" s="1"/>
  <c r="B45" i="28"/>
  <c r="G44" i="28"/>
  <c r="F44" i="28"/>
  <c r="I44" i="28" s="1"/>
  <c r="B44" i="28"/>
  <c r="G43" i="28"/>
  <c r="F43" i="28"/>
  <c r="I43" i="28" s="1"/>
  <c r="B43" i="28"/>
  <c r="G42" i="28"/>
  <c r="F42" i="28"/>
  <c r="I42" i="28" s="1"/>
  <c r="B42" i="28"/>
  <c r="G41" i="28"/>
  <c r="F41" i="28"/>
  <c r="I41" i="28" s="1"/>
  <c r="B41" i="28"/>
  <c r="G40" i="28"/>
  <c r="F40" i="28"/>
  <c r="I40" i="28" s="1"/>
  <c r="B40" i="28"/>
  <c r="G39" i="28"/>
  <c r="F39" i="28"/>
  <c r="I39" i="28" s="1"/>
  <c r="B39" i="28"/>
  <c r="G38" i="28"/>
  <c r="F38" i="28"/>
  <c r="I38" i="28" s="1"/>
  <c r="B38" i="28"/>
  <c r="G36" i="28"/>
  <c r="F36" i="28"/>
  <c r="I36" i="28" s="1"/>
  <c r="B36" i="28"/>
  <c r="G34" i="28"/>
  <c r="F34" i="28"/>
  <c r="I34" i="28" s="1"/>
  <c r="B34" i="28"/>
  <c r="G33" i="28"/>
  <c r="F33" i="28"/>
  <c r="I33" i="28" s="1"/>
  <c r="B33" i="28"/>
  <c r="G32" i="28"/>
  <c r="F32" i="28"/>
  <c r="I32" i="28" s="1"/>
  <c r="B32" i="28"/>
  <c r="G31" i="28"/>
  <c r="F31" i="28"/>
  <c r="I31" i="28" s="1"/>
  <c r="B31" i="28"/>
  <c r="G30" i="28"/>
  <c r="F30" i="28"/>
  <c r="I30" i="28" s="1"/>
  <c r="B30" i="28"/>
  <c r="G29" i="28"/>
  <c r="F29" i="28"/>
  <c r="I29" i="28" s="1"/>
  <c r="B29" i="28"/>
  <c r="G27" i="28"/>
  <c r="F27" i="28"/>
  <c r="I27" i="28" s="1"/>
  <c r="B27" i="28"/>
  <c r="G26" i="28"/>
  <c r="F26" i="28"/>
  <c r="I26" i="28" s="1"/>
  <c r="B26" i="28"/>
  <c r="G25" i="28"/>
  <c r="F25" i="28"/>
  <c r="I25" i="28" s="1"/>
  <c r="B25" i="28"/>
  <c r="G24" i="28"/>
  <c r="F24" i="28"/>
  <c r="I24" i="28" s="1"/>
  <c r="B24" i="28"/>
  <c r="G23" i="28"/>
  <c r="F23" i="28"/>
  <c r="I23" i="28" s="1"/>
  <c r="B23" i="28"/>
  <c r="G22" i="28"/>
  <c r="F22" i="28"/>
  <c r="I22" i="28" s="1"/>
  <c r="B22" i="28"/>
  <c r="G21" i="28"/>
  <c r="F21" i="28"/>
  <c r="I21" i="28" s="1"/>
  <c r="B21" i="28"/>
  <c r="G20" i="28"/>
  <c r="F20" i="28"/>
  <c r="I20" i="28" s="1"/>
  <c r="B20" i="28"/>
  <c r="G19" i="28"/>
  <c r="F19" i="28"/>
  <c r="I19" i="28" s="1"/>
  <c r="B19" i="28"/>
  <c r="G18" i="28"/>
  <c r="F18" i="28"/>
  <c r="I18" i="28" s="1"/>
  <c r="B18" i="28"/>
  <c r="G17" i="28"/>
  <c r="F17" i="28"/>
  <c r="I17" i="28" s="1"/>
  <c r="B17" i="28"/>
  <c r="G16" i="28"/>
  <c r="B16" i="28"/>
  <c r="G15" i="28"/>
  <c r="F15" i="28"/>
  <c r="I15" i="28" s="1"/>
  <c r="B15" i="28"/>
  <c r="G14" i="28"/>
  <c r="F14" i="28"/>
  <c r="I14" i="28" s="1"/>
  <c r="B14" i="28"/>
  <c r="G13" i="28"/>
  <c r="F13" i="28"/>
  <c r="I13" i="28" s="1"/>
  <c r="B13" i="28"/>
  <c r="G12" i="28"/>
  <c r="F12" i="28"/>
  <c r="I12" i="28" s="1"/>
  <c r="B12" i="28"/>
  <c r="G10" i="28"/>
  <c r="F10" i="28"/>
  <c r="I10" i="28" s="1"/>
  <c r="B10" i="28"/>
  <c r="G9" i="28"/>
  <c r="F9" i="28"/>
  <c r="I9" i="28" s="1"/>
  <c r="B9" i="28"/>
  <c r="G8" i="28"/>
  <c r="F8" i="28"/>
  <c r="I8" i="28" s="1"/>
  <c r="B8" i="28"/>
  <c r="G7" i="28"/>
  <c r="F7" i="28"/>
  <c r="I7" i="28" s="1"/>
  <c r="B7" i="28"/>
  <c r="G6" i="28"/>
  <c r="F6" i="28"/>
  <c r="I6" i="28" s="1"/>
  <c r="B6" i="28"/>
  <c r="B5" i="28"/>
  <c r="E63" i="27"/>
  <c r="T56" i="27"/>
  <c r="S56" i="27"/>
  <c r="R56" i="27"/>
  <c r="O56" i="27"/>
  <c r="N56" i="27"/>
  <c r="M56" i="27"/>
  <c r="E64" i="27" s="1"/>
  <c r="L56" i="27"/>
  <c r="K56" i="27"/>
  <c r="E60" i="27" s="1"/>
  <c r="J56" i="27"/>
  <c r="E61" i="27" s="1"/>
  <c r="E56" i="27"/>
  <c r="G52" i="27"/>
  <c r="F52" i="27"/>
  <c r="I52" i="27" s="1"/>
  <c r="B52" i="27"/>
  <c r="G51" i="27"/>
  <c r="F51" i="27"/>
  <c r="I51" i="27" s="1"/>
  <c r="B51" i="27"/>
  <c r="G50" i="27"/>
  <c r="F50" i="27"/>
  <c r="I50" i="27" s="1"/>
  <c r="B50" i="27"/>
  <c r="G49" i="27"/>
  <c r="F49" i="27"/>
  <c r="I49" i="27" s="1"/>
  <c r="B49" i="27"/>
  <c r="G48" i="27"/>
  <c r="F48" i="27"/>
  <c r="I48" i="27" s="1"/>
  <c r="B48" i="27"/>
  <c r="G47" i="27"/>
  <c r="F47" i="27"/>
  <c r="I47" i="27" s="1"/>
  <c r="B47" i="27"/>
  <c r="G46" i="27"/>
  <c r="F46" i="27"/>
  <c r="I46" i="27" s="1"/>
  <c r="B46" i="27"/>
  <c r="G45" i="27"/>
  <c r="F45" i="27"/>
  <c r="I45" i="27" s="1"/>
  <c r="B45" i="27"/>
  <c r="G44" i="27"/>
  <c r="F44" i="27"/>
  <c r="I44" i="27" s="1"/>
  <c r="B44" i="27"/>
  <c r="G43" i="27"/>
  <c r="F43" i="27"/>
  <c r="I43" i="27" s="1"/>
  <c r="B43" i="27"/>
  <c r="G42" i="27"/>
  <c r="F42" i="27"/>
  <c r="I42" i="27" s="1"/>
  <c r="B42" i="27"/>
  <c r="G41" i="27"/>
  <c r="F41" i="27"/>
  <c r="I41" i="27" s="1"/>
  <c r="B41" i="27"/>
  <c r="G40" i="27"/>
  <c r="F40" i="27"/>
  <c r="I40" i="27" s="1"/>
  <c r="B40" i="27"/>
  <c r="G39" i="27"/>
  <c r="F39" i="27"/>
  <c r="I39" i="27" s="1"/>
  <c r="B39" i="27"/>
  <c r="G38" i="27"/>
  <c r="F38" i="27"/>
  <c r="B38" i="27"/>
  <c r="G36" i="27"/>
  <c r="F36" i="27"/>
  <c r="I36" i="27" s="1"/>
  <c r="B36" i="27"/>
  <c r="G34" i="27"/>
  <c r="F34" i="27"/>
  <c r="I34" i="27" s="1"/>
  <c r="B34" i="27"/>
  <c r="G33" i="27"/>
  <c r="F33" i="27"/>
  <c r="I33" i="27" s="1"/>
  <c r="B33" i="27"/>
  <c r="G32" i="27"/>
  <c r="F32" i="27"/>
  <c r="I32" i="27" s="1"/>
  <c r="B32" i="27"/>
  <c r="G31" i="27"/>
  <c r="F31" i="27"/>
  <c r="I31" i="27" s="1"/>
  <c r="B31" i="27"/>
  <c r="G30" i="27"/>
  <c r="F30" i="27"/>
  <c r="I30" i="27" s="1"/>
  <c r="B30" i="27"/>
  <c r="G29" i="27"/>
  <c r="F29" i="27"/>
  <c r="I29" i="27" s="1"/>
  <c r="B29" i="27"/>
  <c r="G27" i="27"/>
  <c r="F27" i="27"/>
  <c r="I27" i="27" s="1"/>
  <c r="B27" i="27"/>
  <c r="G26" i="27"/>
  <c r="F26" i="27"/>
  <c r="I26" i="27" s="1"/>
  <c r="B26" i="27"/>
  <c r="G25" i="27"/>
  <c r="F25" i="27"/>
  <c r="I25" i="27" s="1"/>
  <c r="B25" i="27"/>
  <c r="G24" i="27"/>
  <c r="F24" i="27"/>
  <c r="I24" i="27" s="1"/>
  <c r="B24" i="27"/>
  <c r="G23" i="27"/>
  <c r="F23" i="27"/>
  <c r="I23" i="27" s="1"/>
  <c r="B23" i="27"/>
  <c r="G22" i="27"/>
  <c r="F22" i="27"/>
  <c r="I22" i="27" s="1"/>
  <c r="B22" i="27"/>
  <c r="G21" i="27"/>
  <c r="F21" i="27"/>
  <c r="I21" i="27" s="1"/>
  <c r="B21" i="27"/>
  <c r="G20" i="27"/>
  <c r="F20" i="27"/>
  <c r="I20" i="27" s="1"/>
  <c r="B20" i="27"/>
  <c r="G19" i="27"/>
  <c r="F19" i="27"/>
  <c r="I19" i="27" s="1"/>
  <c r="B19" i="27"/>
  <c r="G18" i="27"/>
  <c r="F18" i="27"/>
  <c r="I18" i="27" s="1"/>
  <c r="B18" i="27"/>
  <c r="G17" i="27"/>
  <c r="F17" i="27"/>
  <c r="I17" i="27" s="1"/>
  <c r="B17" i="27"/>
  <c r="I16" i="27"/>
  <c r="G16" i="27"/>
  <c r="B16" i="27"/>
  <c r="G15" i="27"/>
  <c r="F15" i="27"/>
  <c r="I15" i="27" s="1"/>
  <c r="B15" i="27"/>
  <c r="G14" i="27"/>
  <c r="F14" i="27"/>
  <c r="I14" i="27" s="1"/>
  <c r="B14" i="27"/>
  <c r="G13" i="27"/>
  <c r="F13" i="27"/>
  <c r="I13" i="27" s="1"/>
  <c r="B13" i="27"/>
  <c r="G12" i="27"/>
  <c r="F12" i="27"/>
  <c r="I12" i="27" s="1"/>
  <c r="B12" i="27"/>
  <c r="G10" i="27"/>
  <c r="F10" i="27"/>
  <c r="I10" i="27" s="1"/>
  <c r="B10" i="27"/>
  <c r="G9" i="27"/>
  <c r="F9" i="27"/>
  <c r="I9" i="27" s="1"/>
  <c r="B9" i="27"/>
  <c r="G8" i="27"/>
  <c r="F8" i="27"/>
  <c r="I8" i="27" s="1"/>
  <c r="B8" i="27"/>
  <c r="G7" i="27"/>
  <c r="F7" i="27"/>
  <c r="I7" i="27" s="1"/>
  <c r="B7" i="27"/>
  <c r="G6" i="27"/>
  <c r="F6" i="27"/>
  <c r="I6" i="27" s="1"/>
  <c r="B6" i="27"/>
  <c r="B5" i="27"/>
  <c r="T56" i="26"/>
  <c r="S56" i="26"/>
  <c r="R56" i="26"/>
  <c r="O56" i="26"/>
  <c r="N56" i="26"/>
  <c r="M56" i="26"/>
  <c r="E64" i="26" s="1"/>
  <c r="L56" i="26"/>
  <c r="E63" i="26" s="1"/>
  <c r="K56" i="26"/>
  <c r="E60" i="26" s="1"/>
  <c r="J56" i="26"/>
  <c r="E61" i="26" s="1"/>
  <c r="E56" i="26"/>
  <c r="G52" i="26"/>
  <c r="F52" i="26"/>
  <c r="I52" i="26" s="1"/>
  <c r="B52" i="26"/>
  <c r="G51" i="26"/>
  <c r="F51" i="26"/>
  <c r="I51" i="26" s="1"/>
  <c r="B51" i="26"/>
  <c r="G50" i="26"/>
  <c r="F50" i="26"/>
  <c r="I50" i="26" s="1"/>
  <c r="B50" i="26"/>
  <c r="G49" i="26"/>
  <c r="F49" i="26"/>
  <c r="I49" i="26" s="1"/>
  <c r="B49" i="26"/>
  <c r="G48" i="26"/>
  <c r="F48" i="26"/>
  <c r="I48" i="26" s="1"/>
  <c r="B48" i="26"/>
  <c r="G47" i="26"/>
  <c r="F47" i="26"/>
  <c r="I47" i="26" s="1"/>
  <c r="B47" i="26"/>
  <c r="G46" i="26"/>
  <c r="F46" i="26"/>
  <c r="I46" i="26" s="1"/>
  <c r="B46" i="26"/>
  <c r="G45" i="26"/>
  <c r="F45" i="26"/>
  <c r="I45" i="26" s="1"/>
  <c r="B45" i="26"/>
  <c r="G44" i="26"/>
  <c r="F44" i="26"/>
  <c r="I44" i="26" s="1"/>
  <c r="B44" i="26"/>
  <c r="G43" i="26"/>
  <c r="F43" i="26"/>
  <c r="I43" i="26" s="1"/>
  <c r="B43" i="26"/>
  <c r="G42" i="26"/>
  <c r="F42" i="26"/>
  <c r="I42" i="26" s="1"/>
  <c r="B42" i="26"/>
  <c r="G41" i="26"/>
  <c r="F41" i="26"/>
  <c r="I41" i="26" s="1"/>
  <c r="B41" i="26"/>
  <c r="G40" i="26"/>
  <c r="F40" i="26"/>
  <c r="I40" i="26" s="1"/>
  <c r="B40" i="26"/>
  <c r="G39" i="26"/>
  <c r="F39" i="26"/>
  <c r="I39" i="26" s="1"/>
  <c r="B39" i="26"/>
  <c r="G38" i="26"/>
  <c r="F38" i="26"/>
  <c r="I38" i="26" s="1"/>
  <c r="B38" i="26"/>
  <c r="I36" i="26"/>
  <c r="G36" i="26"/>
  <c r="F36" i="26"/>
  <c r="B36" i="26"/>
  <c r="G34" i="26"/>
  <c r="F34" i="26"/>
  <c r="I34" i="26" s="1"/>
  <c r="B34" i="26"/>
  <c r="G33" i="26"/>
  <c r="F33" i="26"/>
  <c r="I33" i="26" s="1"/>
  <c r="B33" i="26"/>
  <c r="G32" i="26"/>
  <c r="F32" i="26"/>
  <c r="I32" i="26" s="1"/>
  <c r="B32" i="26"/>
  <c r="I31" i="26"/>
  <c r="G31" i="26"/>
  <c r="F31" i="26"/>
  <c r="B31" i="26"/>
  <c r="I30" i="26"/>
  <c r="G30" i="26"/>
  <c r="F30" i="26"/>
  <c r="B30" i="26"/>
  <c r="I29" i="26"/>
  <c r="G29" i="26"/>
  <c r="F29" i="26"/>
  <c r="B29" i="26"/>
  <c r="G27" i="26"/>
  <c r="F27" i="26"/>
  <c r="I27" i="26" s="1"/>
  <c r="B27" i="26"/>
  <c r="G26" i="26"/>
  <c r="F26" i="26"/>
  <c r="I26" i="26" s="1"/>
  <c r="B26" i="26"/>
  <c r="G25" i="26"/>
  <c r="F25" i="26"/>
  <c r="I25" i="26" s="1"/>
  <c r="B25" i="26"/>
  <c r="G24" i="26"/>
  <c r="F24" i="26"/>
  <c r="I24" i="26" s="1"/>
  <c r="B24" i="26"/>
  <c r="G23" i="26"/>
  <c r="F23" i="26"/>
  <c r="I23" i="26" s="1"/>
  <c r="B23" i="26"/>
  <c r="G22" i="26"/>
  <c r="F22" i="26"/>
  <c r="I22" i="26" s="1"/>
  <c r="B22" i="26"/>
  <c r="G21" i="26"/>
  <c r="F21" i="26"/>
  <c r="I21" i="26" s="1"/>
  <c r="B21" i="26"/>
  <c r="G20" i="26"/>
  <c r="F20" i="26"/>
  <c r="I20" i="26" s="1"/>
  <c r="B20" i="26"/>
  <c r="G19" i="26"/>
  <c r="F19" i="26"/>
  <c r="I19" i="26" s="1"/>
  <c r="B19" i="26"/>
  <c r="G18" i="26"/>
  <c r="F18" i="26"/>
  <c r="I18" i="26" s="1"/>
  <c r="B18" i="26"/>
  <c r="G17" i="26"/>
  <c r="F17" i="26"/>
  <c r="I17" i="26" s="1"/>
  <c r="B17" i="26"/>
  <c r="I16" i="26"/>
  <c r="G16" i="26"/>
  <c r="B16" i="26"/>
  <c r="G15" i="26"/>
  <c r="F15" i="26"/>
  <c r="I15" i="26" s="1"/>
  <c r="B15" i="26"/>
  <c r="I14" i="26"/>
  <c r="G14" i="26"/>
  <c r="F14" i="26"/>
  <c r="B14" i="26"/>
  <c r="I13" i="26"/>
  <c r="G13" i="26"/>
  <c r="F13" i="26"/>
  <c r="B13" i="26"/>
  <c r="I12" i="26"/>
  <c r="G12" i="26"/>
  <c r="F12" i="26"/>
  <c r="B12" i="26"/>
  <c r="G10" i="26"/>
  <c r="F10" i="26"/>
  <c r="I10" i="26" s="1"/>
  <c r="B10" i="26"/>
  <c r="G9" i="26"/>
  <c r="F9" i="26"/>
  <c r="I9" i="26" s="1"/>
  <c r="B9" i="26"/>
  <c r="G8" i="26"/>
  <c r="F8" i="26"/>
  <c r="I8" i="26" s="1"/>
  <c r="B8" i="26"/>
  <c r="G7" i="26"/>
  <c r="F7" i="26"/>
  <c r="I7" i="26" s="1"/>
  <c r="B7" i="26"/>
  <c r="P6" i="26"/>
  <c r="G6" i="26"/>
  <c r="F6" i="26"/>
  <c r="B6" i="26"/>
  <c r="B5" i="26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6" i="23"/>
  <c r="D7" i="23"/>
  <c r="D8" i="23"/>
  <c r="D9" i="23"/>
  <c r="D10" i="23"/>
  <c r="D5" i="23"/>
  <c r="Q49" i="23"/>
  <c r="Q52" i="23"/>
  <c r="Q10" i="23"/>
  <c r="Q15" i="23"/>
  <c r="Q19" i="23"/>
  <c r="Q23" i="23"/>
  <c r="Q27" i="23"/>
  <c r="Q32" i="23"/>
  <c r="Q38" i="23"/>
  <c r="Q42" i="23"/>
  <c r="Q46" i="23"/>
  <c r="Q6" i="23"/>
  <c r="P49" i="23"/>
  <c r="P50" i="23"/>
  <c r="Q50" i="23" s="1"/>
  <c r="P51" i="23"/>
  <c r="Q51" i="23" s="1"/>
  <c r="P52" i="23"/>
  <c r="P7" i="23"/>
  <c r="Q7" i="23" s="1"/>
  <c r="P8" i="23"/>
  <c r="Q8" i="23" s="1"/>
  <c r="P9" i="23"/>
  <c r="Q9" i="23" s="1"/>
  <c r="P10" i="23"/>
  <c r="P12" i="23"/>
  <c r="Q12" i="23" s="1"/>
  <c r="P13" i="23"/>
  <c r="Q13" i="23" s="1"/>
  <c r="P14" i="23"/>
  <c r="Q14" i="23" s="1"/>
  <c r="P15" i="23"/>
  <c r="P16" i="23"/>
  <c r="Q16" i="23" s="1"/>
  <c r="P17" i="23"/>
  <c r="Q17" i="23" s="1"/>
  <c r="P18" i="23"/>
  <c r="Q18" i="23" s="1"/>
  <c r="P19" i="23"/>
  <c r="P20" i="23"/>
  <c r="Q20" i="23" s="1"/>
  <c r="P21" i="23"/>
  <c r="Q21" i="23" s="1"/>
  <c r="P22" i="23"/>
  <c r="Q22" i="23" s="1"/>
  <c r="P23" i="23"/>
  <c r="P24" i="23"/>
  <c r="Q24" i="23" s="1"/>
  <c r="P25" i="23"/>
  <c r="Q25" i="23" s="1"/>
  <c r="P26" i="23"/>
  <c r="Q26" i="23" s="1"/>
  <c r="P27" i="23"/>
  <c r="P29" i="23"/>
  <c r="Q29" i="23" s="1"/>
  <c r="P30" i="23"/>
  <c r="Q30" i="23" s="1"/>
  <c r="P31" i="23"/>
  <c r="Q31" i="23" s="1"/>
  <c r="P32" i="23"/>
  <c r="P33" i="23"/>
  <c r="Q33" i="23" s="1"/>
  <c r="P34" i="23"/>
  <c r="Q34" i="23" s="1"/>
  <c r="P36" i="23"/>
  <c r="Q36" i="23" s="1"/>
  <c r="P38" i="23"/>
  <c r="P39" i="23"/>
  <c r="Q39" i="23" s="1"/>
  <c r="P40" i="23"/>
  <c r="Q40" i="23" s="1"/>
  <c r="P41" i="23"/>
  <c r="Q41" i="23" s="1"/>
  <c r="P42" i="23"/>
  <c r="P43" i="23"/>
  <c r="Q43" i="23" s="1"/>
  <c r="P44" i="23"/>
  <c r="Q44" i="23" s="1"/>
  <c r="P45" i="23"/>
  <c r="Q45" i="23" s="1"/>
  <c r="P46" i="23"/>
  <c r="P47" i="23"/>
  <c r="Q47" i="23" s="1"/>
  <c r="P48" i="23"/>
  <c r="Q48" i="23" s="1"/>
  <c r="S49" i="20"/>
  <c r="S50" i="20"/>
  <c r="S51" i="20"/>
  <c r="S52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6" i="20"/>
  <c r="R49" i="20"/>
  <c r="R50" i="20"/>
  <c r="R51" i="20"/>
  <c r="R52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6" i="20"/>
  <c r="F7" i="20"/>
  <c r="F8" i="20"/>
  <c r="F9" i="20"/>
  <c r="F10" i="20"/>
  <c r="F5" i="20"/>
  <c r="N54" i="25"/>
  <c r="M54" i="25"/>
  <c r="K54" i="25"/>
  <c r="J54" i="25"/>
  <c r="H54" i="25"/>
  <c r="G54" i="25"/>
  <c r="F54" i="25"/>
  <c r="E54" i="25"/>
  <c r="D54" i="25"/>
  <c r="B52" i="25"/>
  <c r="B51" i="25"/>
  <c r="B50" i="25"/>
  <c r="B49" i="25"/>
  <c r="B48" i="25"/>
  <c r="K47" i="25"/>
  <c r="C47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L31" i="25"/>
  <c r="C31" i="25"/>
  <c r="B31" i="25"/>
  <c r="B30" i="25"/>
  <c r="B29" i="25"/>
  <c r="B28" i="25"/>
  <c r="B27" i="25"/>
  <c r="B26" i="25"/>
  <c r="B25" i="25"/>
  <c r="B24" i="25"/>
  <c r="B23" i="25"/>
  <c r="C22" i="25"/>
  <c r="C54" i="25" s="1"/>
  <c r="B22" i="25"/>
  <c r="B21" i="25"/>
  <c r="B20" i="25"/>
  <c r="B19" i="25"/>
  <c r="B18" i="25"/>
  <c r="B17" i="25"/>
  <c r="B16" i="25"/>
  <c r="B15" i="25"/>
  <c r="B14" i="25"/>
  <c r="L13" i="25"/>
  <c r="L54" i="25" s="1"/>
  <c r="C13" i="25"/>
  <c r="B13" i="25"/>
  <c r="B12" i="25"/>
  <c r="B11" i="25"/>
  <c r="B10" i="25"/>
  <c r="B9" i="25"/>
  <c r="B8" i="25"/>
  <c r="B7" i="25"/>
  <c r="B6" i="25"/>
  <c r="C5" i="25"/>
  <c r="B5" i="25"/>
  <c r="G65" i="24"/>
  <c r="N54" i="24"/>
  <c r="G67" i="24" s="1"/>
  <c r="M54" i="24"/>
  <c r="L54" i="24"/>
  <c r="L59" i="24" s="1"/>
  <c r="L63" i="24" s="1"/>
  <c r="L64" i="24" s="1"/>
  <c r="D54" i="24"/>
  <c r="F58" i="24" s="1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O54" i="24"/>
  <c r="G64" i="24" s="1"/>
  <c r="B17" i="24"/>
  <c r="B16" i="24"/>
  <c r="B15" i="24"/>
  <c r="B14" i="24"/>
  <c r="B13" i="24"/>
  <c r="B12" i="24"/>
  <c r="B11" i="24"/>
  <c r="B10" i="24"/>
  <c r="B9" i="24"/>
  <c r="B8" i="24"/>
  <c r="B7" i="24"/>
  <c r="B6" i="24"/>
  <c r="AA54" i="24"/>
  <c r="W54" i="24"/>
  <c r="S54" i="24"/>
  <c r="H54" i="24"/>
  <c r="B5" i="24"/>
  <c r="F56" i="36" l="1"/>
  <c r="E65" i="36" s="1"/>
  <c r="G56" i="36"/>
  <c r="G56" i="35"/>
  <c r="G56" i="33"/>
  <c r="G56" i="32"/>
  <c r="F56" i="31"/>
  <c r="E65" i="31" s="1"/>
  <c r="G56" i="30"/>
  <c r="F56" i="30"/>
  <c r="E65" i="30" s="1"/>
  <c r="G56" i="28"/>
  <c r="F56" i="27"/>
  <c r="E65" i="27" s="1"/>
  <c r="E68" i="27" s="1"/>
  <c r="G56" i="27"/>
  <c r="P56" i="36"/>
  <c r="E68" i="36"/>
  <c r="Q7" i="35"/>
  <c r="Q7" i="34"/>
  <c r="Q7" i="33"/>
  <c r="Q7" i="32"/>
  <c r="P56" i="31"/>
  <c r="E68" i="31"/>
  <c r="P56" i="29"/>
  <c r="P56" i="26"/>
  <c r="C25" i="26" s="1"/>
  <c r="D25" i="27" s="1"/>
  <c r="D56" i="26"/>
  <c r="G56" i="26"/>
  <c r="Q56" i="36"/>
  <c r="I56" i="36"/>
  <c r="I56" i="35"/>
  <c r="Q56" i="35"/>
  <c r="F56" i="35"/>
  <c r="E65" i="35" s="1"/>
  <c r="E68" i="35" s="1"/>
  <c r="I56" i="34"/>
  <c r="Q56" i="34"/>
  <c r="F56" i="34"/>
  <c r="E65" i="34" s="1"/>
  <c r="E68" i="34" s="1"/>
  <c r="I56" i="33"/>
  <c r="F56" i="33"/>
  <c r="E65" i="33" s="1"/>
  <c r="E68" i="33" s="1"/>
  <c r="Q56" i="33"/>
  <c r="I56" i="32"/>
  <c r="Q56" i="32"/>
  <c r="F56" i="32"/>
  <c r="E65" i="32" s="1"/>
  <c r="E68" i="32" s="1"/>
  <c r="Q56" i="31"/>
  <c r="I56" i="31"/>
  <c r="Q56" i="30"/>
  <c r="E68" i="30"/>
  <c r="P56" i="30"/>
  <c r="I38" i="30"/>
  <c r="I56" i="30" s="1"/>
  <c r="I56" i="29"/>
  <c r="F56" i="29"/>
  <c r="E65" i="29" s="1"/>
  <c r="E68" i="29" s="1"/>
  <c r="Q56" i="29"/>
  <c r="I56" i="28"/>
  <c r="Q56" i="28"/>
  <c r="F56" i="28"/>
  <c r="E65" i="28" s="1"/>
  <c r="E68" i="28" s="1"/>
  <c r="P56" i="28"/>
  <c r="Q56" i="27"/>
  <c r="P56" i="27"/>
  <c r="I38" i="27"/>
  <c r="I56" i="27" s="1"/>
  <c r="I56" i="26"/>
  <c r="C27" i="26"/>
  <c r="D27" i="27" s="1"/>
  <c r="C26" i="26"/>
  <c r="D26" i="27" s="1"/>
  <c r="C24" i="26"/>
  <c r="D24" i="27" s="1"/>
  <c r="C23" i="26"/>
  <c r="D23" i="27" s="1"/>
  <c r="C22" i="26"/>
  <c r="D22" i="27" s="1"/>
  <c r="C20" i="26"/>
  <c r="D20" i="27" s="1"/>
  <c r="C19" i="26"/>
  <c r="D19" i="27" s="1"/>
  <c r="C18" i="26"/>
  <c r="D18" i="27" s="1"/>
  <c r="C10" i="26"/>
  <c r="D10" i="27" s="1"/>
  <c r="C9" i="26"/>
  <c r="D9" i="27" s="1"/>
  <c r="C8" i="26"/>
  <c r="D8" i="27" s="1"/>
  <c r="C7" i="26"/>
  <c r="D7" i="27" s="1"/>
  <c r="C6" i="26"/>
  <c r="D6" i="27" s="1"/>
  <c r="C33" i="26"/>
  <c r="D33" i="27" s="1"/>
  <c r="C30" i="26"/>
  <c r="D30" i="27" s="1"/>
  <c r="C29" i="26"/>
  <c r="D29" i="27" s="1"/>
  <c r="C52" i="26"/>
  <c r="D52" i="27" s="1"/>
  <c r="C51" i="26"/>
  <c r="D51" i="27" s="1"/>
  <c r="C50" i="26"/>
  <c r="D50" i="27" s="1"/>
  <c r="C49" i="26"/>
  <c r="D49" i="27" s="1"/>
  <c r="C48" i="26"/>
  <c r="D48" i="27" s="1"/>
  <c r="C47" i="26"/>
  <c r="D47" i="27" s="1"/>
  <c r="C46" i="26"/>
  <c r="D46" i="27" s="1"/>
  <c r="C45" i="26"/>
  <c r="D45" i="27" s="1"/>
  <c r="C44" i="26"/>
  <c r="D44" i="27" s="1"/>
  <c r="C43" i="26"/>
  <c r="D43" i="27" s="1"/>
  <c r="C42" i="26"/>
  <c r="D42" i="27" s="1"/>
  <c r="C41" i="26"/>
  <c r="D41" i="27" s="1"/>
  <c r="C40" i="26"/>
  <c r="D40" i="27" s="1"/>
  <c r="C39" i="26"/>
  <c r="D39" i="27" s="1"/>
  <c r="C38" i="26"/>
  <c r="D38" i="27" s="1"/>
  <c r="C15" i="26"/>
  <c r="D15" i="27" s="1"/>
  <c r="C14" i="26"/>
  <c r="D14" i="27" s="1"/>
  <c r="C13" i="26"/>
  <c r="D13" i="27" s="1"/>
  <c r="C12" i="26"/>
  <c r="D12" i="27" s="1"/>
  <c r="C5" i="26"/>
  <c r="D5" i="27" s="1"/>
  <c r="C36" i="26"/>
  <c r="D36" i="27" s="1"/>
  <c r="C34" i="26"/>
  <c r="D34" i="27" s="1"/>
  <c r="C32" i="26"/>
  <c r="D32" i="27" s="1"/>
  <c r="C31" i="26"/>
  <c r="D31" i="27" s="1"/>
  <c r="C16" i="26"/>
  <c r="D16" i="27" s="1"/>
  <c r="Q6" i="26"/>
  <c r="Q56" i="26" s="1"/>
  <c r="F56" i="26"/>
  <c r="E65" i="26" s="1"/>
  <c r="E68" i="26" s="1"/>
  <c r="I22" i="25"/>
  <c r="I54" i="25" s="1"/>
  <c r="G63" i="24"/>
  <c r="T54" i="24"/>
  <c r="AB54" i="24"/>
  <c r="G54" i="24"/>
  <c r="F59" i="24" s="1"/>
  <c r="Q54" i="24"/>
  <c r="U54" i="24"/>
  <c r="Y54" i="24"/>
  <c r="AC54" i="24"/>
  <c r="X54" i="24"/>
  <c r="R54" i="24"/>
  <c r="F60" i="24" s="1"/>
  <c r="V54" i="24"/>
  <c r="Z54" i="24"/>
  <c r="C54" i="24"/>
  <c r="F54" i="24"/>
  <c r="C17" i="26" l="1"/>
  <c r="D17" i="27" s="1"/>
  <c r="C21" i="26"/>
  <c r="D21" i="27" s="1"/>
  <c r="C56" i="26"/>
  <c r="H57" i="24"/>
  <c r="P54" i="24"/>
  <c r="G66" i="24" s="1"/>
  <c r="K56" i="24"/>
  <c r="I54" i="24"/>
  <c r="D56" i="27" l="1"/>
  <c r="C24" i="27" s="1"/>
  <c r="D24" i="28" s="1"/>
  <c r="C10" i="27"/>
  <c r="D10" i="28" s="1"/>
  <c r="C6" i="27"/>
  <c r="D6" i="28" s="1"/>
  <c r="C49" i="27"/>
  <c r="D49" i="28" s="1"/>
  <c r="C45" i="27"/>
  <c r="D45" i="28" s="1"/>
  <c r="C41" i="27"/>
  <c r="D41" i="28" s="1"/>
  <c r="C13" i="27"/>
  <c r="D13" i="28" s="1"/>
  <c r="C44" i="27"/>
  <c r="D44" i="28" s="1"/>
  <c r="C33" i="27"/>
  <c r="D33" i="28" s="1"/>
  <c r="C17" i="27"/>
  <c r="D17" i="28" s="1"/>
  <c r="C7" i="27"/>
  <c r="D7" i="28" s="1"/>
  <c r="C50" i="27"/>
  <c r="D50" i="28" s="1"/>
  <c r="C27" i="27"/>
  <c r="D27" i="28" s="1"/>
  <c r="C23" i="27"/>
  <c r="D23" i="28" s="1"/>
  <c r="C19" i="27"/>
  <c r="D19" i="28" s="1"/>
  <c r="C36" i="27"/>
  <c r="D36" i="28" s="1"/>
  <c r="C16" i="27"/>
  <c r="D16" i="28" s="1"/>
  <c r="C52" i="27"/>
  <c r="D52" i="28" s="1"/>
  <c r="C40" i="27"/>
  <c r="D40" i="28" s="1"/>
  <c r="C21" i="27"/>
  <c r="D21" i="28" s="1"/>
  <c r="C31" i="27"/>
  <c r="D31" i="28" s="1"/>
  <c r="C14" i="27"/>
  <c r="D14" i="28" s="1"/>
  <c r="C26" i="27"/>
  <c r="D26" i="28" s="1"/>
  <c r="C22" i="27"/>
  <c r="D22" i="28" s="1"/>
  <c r="C18" i="27"/>
  <c r="D18" i="28" s="1"/>
  <c r="C8" i="27"/>
  <c r="D8" i="28" s="1"/>
  <c r="C32" i="27"/>
  <c r="D32" i="28" s="1"/>
  <c r="C15" i="27"/>
  <c r="D15" i="28" s="1"/>
  <c r="C51" i="27"/>
  <c r="D51" i="28" s="1"/>
  <c r="C47" i="27"/>
  <c r="D47" i="28" s="1"/>
  <c r="C43" i="27"/>
  <c r="D43" i="28" s="1"/>
  <c r="C39" i="27"/>
  <c r="D39" i="28" s="1"/>
  <c r="C29" i="27"/>
  <c r="D29" i="28" s="1"/>
  <c r="C12" i="27"/>
  <c r="D12" i="28" s="1"/>
  <c r="C42" i="27"/>
  <c r="D42" i="28" s="1"/>
  <c r="K54" i="24"/>
  <c r="J54" i="24"/>
  <c r="C46" i="27" l="1"/>
  <c r="D46" i="28" s="1"/>
  <c r="C48" i="27"/>
  <c r="D48" i="28" s="1"/>
  <c r="C9" i="27"/>
  <c r="D9" i="28" s="1"/>
  <c r="C38" i="27"/>
  <c r="D38" i="28" s="1"/>
  <c r="C25" i="27"/>
  <c r="D25" i="28" s="1"/>
  <c r="C34" i="27"/>
  <c r="D34" i="28" s="1"/>
  <c r="C5" i="27"/>
  <c r="D5" i="28" s="1"/>
  <c r="C20" i="27"/>
  <c r="D20" i="28" s="1"/>
  <c r="D56" i="28" s="1"/>
  <c r="C30" i="27"/>
  <c r="D30" i="28" s="1"/>
  <c r="E54" i="24"/>
  <c r="K55" i="24"/>
  <c r="G62" i="24" s="1"/>
  <c r="H69" i="24" s="1"/>
  <c r="H71" i="24" s="1"/>
  <c r="C21" i="28" l="1"/>
  <c r="D21" i="29" s="1"/>
  <c r="C50" i="28"/>
  <c r="D50" i="29" s="1"/>
  <c r="C30" i="28"/>
  <c r="D30" i="29" s="1"/>
  <c r="C24" i="28"/>
  <c r="D24" i="29" s="1"/>
  <c r="C29" i="28"/>
  <c r="D29" i="29" s="1"/>
  <c r="C12" i="28"/>
  <c r="D12" i="29" s="1"/>
  <c r="C18" i="28"/>
  <c r="D18" i="29" s="1"/>
  <c r="C27" i="28"/>
  <c r="D27" i="29" s="1"/>
  <c r="C36" i="28"/>
  <c r="D36" i="29" s="1"/>
  <c r="C40" i="28"/>
  <c r="D40" i="29" s="1"/>
  <c r="C8" i="28"/>
  <c r="D8" i="29" s="1"/>
  <c r="C16" i="28"/>
  <c r="D16" i="29" s="1"/>
  <c r="C23" i="28"/>
  <c r="D23" i="29" s="1"/>
  <c r="C33" i="28"/>
  <c r="D33" i="29" s="1"/>
  <c r="C25" i="28"/>
  <c r="D25" i="29" s="1"/>
  <c r="C31" i="28"/>
  <c r="D31" i="29" s="1"/>
  <c r="C6" i="28"/>
  <c r="D6" i="29" s="1"/>
  <c r="C32" i="28"/>
  <c r="D32" i="29" s="1"/>
  <c r="C22" i="28"/>
  <c r="D22" i="29" s="1"/>
  <c r="C17" i="28"/>
  <c r="D17" i="29" s="1"/>
  <c r="C46" i="28"/>
  <c r="D46" i="29" s="1"/>
  <c r="C13" i="28"/>
  <c r="D13" i="29" s="1"/>
  <c r="C20" i="28"/>
  <c r="D20" i="29" s="1"/>
  <c r="C49" i="28"/>
  <c r="D49" i="29" s="1"/>
  <c r="C51" i="28"/>
  <c r="D51" i="29" s="1"/>
  <c r="C52" i="28"/>
  <c r="D52" i="29" s="1"/>
  <c r="C34" i="28"/>
  <c r="D34" i="29" s="1"/>
  <c r="C14" i="28"/>
  <c r="D14" i="29" s="1"/>
  <c r="C26" i="28"/>
  <c r="D26" i="29" s="1"/>
  <c r="C44" i="28"/>
  <c r="D44" i="29" s="1"/>
  <c r="C7" i="28"/>
  <c r="D7" i="29" s="1"/>
  <c r="C42" i="28"/>
  <c r="D42" i="29" s="1"/>
  <c r="C47" i="28"/>
  <c r="D47" i="29" s="1"/>
  <c r="C10" i="28"/>
  <c r="D10" i="29" s="1"/>
  <c r="C45" i="28"/>
  <c r="D45" i="29" s="1"/>
  <c r="C5" i="28"/>
  <c r="D5" i="29" s="1"/>
  <c r="C43" i="28"/>
  <c r="D43" i="29" s="1"/>
  <c r="C19" i="28"/>
  <c r="D19" i="29" s="1"/>
  <c r="C48" i="28"/>
  <c r="D48" i="29" s="1"/>
  <c r="C15" i="28"/>
  <c r="D15" i="29" s="1"/>
  <c r="C39" i="28"/>
  <c r="D39" i="29" s="1"/>
  <c r="C38" i="28"/>
  <c r="D38" i="29" s="1"/>
  <c r="C41" i="28"/>
  <c r="D41" i="29" s="1"/>
  <c r="C9" i="28"/>
  <c r="D9" i="29" s="1"/>
  <c r="C56" i="27"/>
  <c r="D56" i="29" l="1"/>
  <c r="C8" i="29" s="1"/>
  <c r="D8" i="30" s="1"/>
  <c r="C56" i="28"/>
  <c r="C47" i="29"/>
  <c r="D47" i="30" s="1"/>
  <c r="C32" i="29"/>
  <c r="D32" i="30" s="1"/>
  <c r="C17" i="29"/>
  <c r="D17" i="30" s="1"/>
  <c r="C13" i="29"/>
  <c r="D13" i="30" s="1"/>
  <c r="C42" i="29"/>
  <c r="D42" i="30" s="1"/>
  <c r="C38" i="29"/>
  <c r="D38" i="30" s="1"/>
  <c r="C24" i="29"/>
  <c r="D24" i="30" s="1"/>
  <c r="C20" i="29"/>
  <c r="D20" i="30" s="1"/>
  <c r="C10" i="29"/>
  <c r="D10" i="30" s="1"/>
  <c r="C6" i="29"/>
  <c r="D6" i="30" s="1"/>
  <c r="C12" i="29"/>
  <c r="D12" i="30" s="1"/>
  <c r="C49" i="29"/>
  <c r="D49" i="30" s="1"/>
  <c r="C45" i="29"/>
  <c r="D45" i="30" s="1"/>
  <c r="C41" i="29"/>
  <c r="D41" i="30" s="1"/>
  <c r="C34" i="29"/>
  <c r="D34" i="30" s="1"/>
  <c r="C30" i="29"/>
  <c r="D30" i="30" s="1"/>
  <c r="C5" i="29"/>
  <c r="C9" i="29"/>
  <c r="D9" i="30" s="1"/>
  <c r="C44" i="29"/>
  <c r="D44" i="30" s="1"/>
  <c r="C27" i="29"/>
  <c r="D27" i="30" s="1"/>
  <c r="C15" i="29"/>
  <c r="D15" i="30" s="1"/>
  <c r="C40" i="29"/>
  <c r="D40" i="30" s="1"/>
  <c r="C48" i="29"/>
  <c r="D48" i="30" s="1"/>
  <c r="C23" i="29"/>
  <c r="D23" i="30" s="1"/>
  <c r="C52" i="29"/>
  <c r="D52" i="30" s="1"/>
  <c r="C33" i="29"/>
  <c r="D33" i="30" s="1"/>
  <c r="C19" i="29"/>
  <c r="D19" i="30" s="1"/>
  <c r="C36" i="29"/>
  <c r="D36" i="30" s="1"/>
  <c r="C16" i="29" l="1"/>
  <c r="D16" i="30" s="1"/>
  <c r="C46" i="29"/>
  <c r="D46" i="30" s="1"/>
  <c r="C21" i="29"/>
  <c r="D21" i="30" s="1"/>
  <c r="C18" i="29"/>
  <c r="D18" i="30" s="1"/>
  <c r="C31" i="29"/>
  <c r="D31" i="30" s="1"/>
  <c r="C50" i="29"/>
  <c r="D50" i="30" s="1"/>
  <c r="C25" i="29"/>
  <c r="D25" i="30" s="1"/>
  <c r="C22" i="29"/>
  <c r="D22" i="30" s="1"/>
  <c r="C39" i="29"/>
  <c r="D39" i="30" s="1"/>
  <c r="C7" i="29"/>
  <c r="D7" i="30" s="1"/>
  <c r="C29" i="29"/>
  <c r="D29" i="30" s="1"/>
  <c r="C51" i="29"/>
  <c r="D51" i="30" s="1"/>
  <c r="C26" i="29"/>
  <c r="D26" i="30" s="1"/>
  <c r="C14" i="29"/>
  <c r="D14" i="30" s="1"/>
  <c r="C43" i="29"/>
  <c r="D43" i="30" s="1"/>
  <c r="D5" i="30"/>
  <c r="C56" i="29" l="1"/>
  <c r="D56" i="30"/>
  <c r="C25" i="30" s="1"/>
  <c r="D25" i="31" s="1"/>
  <c r="C39" i="30"/>
  <c r="D39" i="31" s="1"/>
  <c r="C30" i="30" l="1"/>
  <c r="D30" i="31" s="1"/>
  <c r="C19" i="30"/>
  <c r="D19" i="31" s="1"/>
  <c r="C36" i="30"/>
  <c r="D36" i="31" s="1"/>
  <c r="C47" i="30"/>
  <c r="D47" i="31" s="1"/>
  <c r="C44" i="30"/>
  <c r="D44" i="31" s="1"/>
  <c r="C27" i="30"/>
  <c r="D27" i="31" s="1"/>
  <c r="C15" i="30"/>
  <c r="D15" i="31" s="1"/>
  <c r="C16" i="30"/>
  <c r="D16" i="31" s="1"/>
  <c r="C52" i="30"/>
  <c r="D52" i="31" s="1"/>
  <c r="C51" i="30"/>
  <c r="D51" i="31" s="1"/>
  <c r="C22" i="30"/>
  <c r="D22" i="31" s="1"/>
  <c r="C34" i="30"/>
  <c r="D34" i="31" s="1"/>
  <c r="C18" i="30"/>
  <c r="D18" i="31" s="1"/>
  <c r="C31" i="30"/>
  <c r="D31" i="31" s="1"/>
  <c r="C50" i="30"/>
  <c r="D50" i="31" s="1"/>
  <c r="C10" i="30"/>
  <c r="D10" i="31" s="1"/>
  <c r="C7" i="30"/>
  <c r="D7" i="31" s="1"/>
  <c r="C45" i="30"/>
  <c r="D45" i="31" s="1"/>
  <c r="C42" i="30"/>
  <c r="D42" i="31" s="1"/>
  <c r="C26" i="30"/>
  <c r="D26" i="31" s="1"/>
  <c r="C48" i="30"/>
  <c r="D48" i="31" s="1"/>
  <c r="C9" i="30"/>
  <c r="D9" i="31" s="1"/>
  <c r="C43" i="30"/>
  <c r="D43" i="31" s="1"/>
  <c r="C12" i="30"/>
  <c r="D12" i="31" s="1"/>
  <c r="C49" i="30"/>
  <c r="D49" i="31" s="1"/>
  <c r="C24" i="30"/>
  <c r="D24" i="31" s="1"/>
  <c r="C46" i="30"/>
  <c r="D46" i="31" s="1"/>
  <c r="C17" i="30"/>
  <c r="D17" i="31" s="1"/>
  <c r="C8" i="30"/>
  <c r="D8" i="31" s="1"/>
  <c r="C40" i="30"/>
  <c r="D40" i="31" s="1"/>
  <c r="C29" i="30"/>
  <c r="D29" i="31" s="1"/>
  <c r="C23" i="30"/>
  <c r="D23" i="31" s="1"/>
  <c r="C33" i="30"/>
  <c r="D33" i="31" s="1"/>
  <c r="C41" i="30"/>
  <c r="D41" i="31" s="1"/>
  <c r="C6" i="30"/>
  <c r="D6" i="31" s="1"/>
  <c r="C13" i="30"/>
  <c r="D13" i="31" s="1"/>
  <c r="C32" i="30"/>
  <c r="D32" i="31" s="1"/>
  <c r="C5" i="30"/>
  <c r="D5" i="31" s="1"/>
  <c r="C20" i="30"/>
  <c r="D20" i="31" s="1"/>
  <c r="C38" i="30"/>
  <c r="D38" i="31" s="1"/>
  <c r="C14" i="30"/>
  <c r="D14" i="31" s="1"/>
  <c r="C21" i="30"/>
  <c r="D21" i="31" s="1"/>
  <c r="D56" i="31" l="1"/>
  <c r="C40" i="31" s="1"/>
  <c r="D40" i="32" s="1"/>
  <c r="C56" i="30"/>
  <c r="C44" i="31"/>
  <c r="D44" i="32" s="1"/>
  <c r="C21" i="31"/>
  <c r="D21" i="32" s="1"/>
  <c r="C13" i="31"/>
  <c r="D13" i="32" s="1"/>
  <c r="C47" i="31"/>
  <c r="D47" i="32" s="1"/>
  <c r="C43" i="31"/>
  <c r="D43" i="32" s="1"/>
  <c r="C10" i="31"/>
  <c r="D10" i="32" s="1"/>
  <c r="C24" i="31"/>
  <c r="D24" i="32" s="1"/>
  <c r="C32" i="31"/>
  <c r="D32" i="32" s="1"/>
  <c r="C12" i="31"/>
  <c r="D12" i="32" s="1"/>
  <c r="C22" i="31"/>
  <c r="D22" i="32" s="1"/>
  <c r="C50" i="31"/>
  <c r="D50" i="32" s="1"/>
  <c r="C42" i="31"/>
  <c r="D42" i="32" s="1"/>
  <c r="C38" i="31"/>
  <c r="D38" i="32" s="1"/>
  <c r="C19" i="31"/>
  <c r="D19" i="32" s="1"/>
  <c r="C23" i="31"/>
  <c r="D23" i="32" s="1"/>
  <c r="C31" i="31"/>
  <c r="D31" i="32" s="1"/>
  <c r="C15" i="31"/>
  <c r="D15" i="32" s="1"/>
  <c r="C7" i="31"/>
  <c r="D7" i="32" s="1"/>
  <c r="C45" i="31"/>
  <c r="D45" i="32" s="1"/>
  <c r="C8" i="31"/>
  <c r="D8" i="32" s="1"/>
  <c r="C27" i="31"/>
  <c r="D27" i="32" s="1"/>
  <c r="C41" i="31"/>
  <c r="D41" i="32" s="1"/>
  <c r="C34" i="31"/>
  <c r="D34" i="32" s="1"/>
  <c r="C6" i="31"/>
  <c r="D6" i="32" s="1"/>
  <c r="C18" i="31"/>
  <c r="D18" i="32" s="1"/>
  <c r="C26" i="31"/>
  <c r="D26" i="32" s="1"/>
  <c r="C30" i="31"/>
  <c r="D30" i="32" s="1"/>
  <c r="C49" i="31"/>
  <c r="D49" i="32" s="1"/>
  <c r="C14" i="31"/>
  <c r="D14" i="32" s="1"/>
  <c r="C39" i="31" l="1"/>
  <c r="D39" i="32" s="1"/>
  <c r="C29" i="31"/>
  <c r="D29" i="32" s="1"/>
  <c r="C48" i="31"/>
  <c r="D48" i="32" s="1"/>
  <c r="C36" i="31"/>
  <c r="D36" i="32" s="1"/>
  <c r="C5" i="31"/>
  <c r="C9" i="31"/>
  <c r="D9" i="32" s="1"/>
  <c r="C46" i="31"/>
  <c r="D46" i="32" s="1"/>
  <c r="C16" i="31"/>
  <c r="D16" i="32" s="1"/>
  <c r="C20" i="31"/>
  <c r="D20" i="32" s="1"/>
  <c r="C25" i="31"/>
  <c r="D25" i="32" s="1"/>
  <c r="C17" i="31"/>
  <c r="D17" i="32" s="1"/>
  <c r="C52" i="31"/>
  <c r="D52" i="32" s="1"/>
  <c r="C51" i="31"/>
  <c r="D51" i="32" s="1"/>
  <c r="C33" i="31"/>
  <c r="D33" i="32" s="1"/>
  <c r="D5" i="32"/>
  <c r="C56" i="31" l="1"/>
  <c r="D56" i="32"/>
  <c r="C21" i="32" s="1"/>
  <c r="D21" i="33" s="1"/>
  <c r="C14" i="32"/>
  <c r="D14" i="33" s="1"/>
  <c r="C30" i="32"/>
  <c r="D30" i="33" s="1"/>
  <c r="C13" i="32"/>
  <c r="D13" i="33" s="1"/>
  <c r="C33" i="32"/>
  <c r="D33" i="33" s="1"/>
  <c r="C27" i="32"/>
  <c r="D27" i="33" s="1"/>
  <c r="C19" i="32"/>
  <c r="D19" i="33" s="1"/>
  <c r="C16" i="32"/>
  <c r="D16" i="33" s="1"/>
  <c r="C50" i="32"/>
  <c r="D50" i="33" s="1"/>
  <c r="C42" i="32"/>
  <c r="D42" i="33" s="1"/>
  <c r="C32" i="32"/>
  <c r="D32" i="33" s="1"/>
  <c r="C49" i="32"/>
  <c r="D49" i="33" s="1"/>
  <c r="C31" i="32"/>
  <c r="D31" i="33" s="1"/>
  <c r="C8" i="32"/>
  <c r="D8" i="33" s="1"/>
  <c r="C22" i="32"/>
  <c r="D22" i="33" s="1"/>
  <c r="C36" i="32"/>
  <c r="D36" i="33" s="1"/>
  <c r="C26" i="32"/>
  <c r="D26" i="33" s="1"/>
  <c r="C41" i="32"/>
  <c r="D41" i="33" s="1"/>
  <c r="C5" i="32"/>
  <c r="C20" i="32" l="1"/>
  <c r="D20" i="33" s="1"/>
  <c r="C17" i="32"/>
  <c r="D17" i="33" s="1"/>
  <c r="C43" i="32"/>
  <c r="D43" i="33" s="1"/>
  <c r="C44" i="32"/>
  <c r="D44" i="33" s="1"/>
  <c r="C15" i="32"/>
  <c r="D15" i="33" s="1"/>
  <c r="C45" i="32"/>
  <c r="D45" i="33" s="1"/>
  <c r="C18" i="32"/>
  <c r="D18" i="33" s="1"/>
  <c r="C46" i="32"/>
  <c r="D46" i="33" s="1"/>
  <c r="C9" i="32"/>
  <c r="D9" i="33" s="1"/>
  <c r="C29" i="32"/>
  <c r="D29" i="33" s="1"/>
  <c r="C51" i="32"/>
  <c r="D51" i="33" s="1"/>
  <c r="C24" i="32"/>
  <c r="D24" i="33" s="1"/>
  <c r="C48" i="32"/>
  <c r="D48" i="33" s="1"/>
  <c r="C25" i="32"/>
  <c r="D25" i="33" s="1"/>
  <c r="C38" i="32"/>
  <c r="D38" i="33" s="1"/>
  <c r="C12" i="32"/>
  <c r="D12" i="33" s="1"/>
  <c r="C23" i="32"/>
  <c r="D23" i="33" s="1"/>
  <c r="C39" i="32"/>
  <c r="D39" i="33" s="1"/>
  <c r="C6" i="32"/>
  <c r="D6" i="33" s="1"/>
  <c r="C40" i="32"/>
  <c r="D40" i="33" s="1"/>
  <c r="C7" i="32"/>
  <c r="D7" i="33" s="1"/>
  <c r="C47" i="32"/>
  <c r="D47" i="33" s="1"/>
  <c r="C10" i="32"/>
  <c r="D10" i="33" s="1"/>
  <c r="C34" i="32"/>
  <c r="D34" i="33" s="1"/>
  <c r="C52" i="32"/>
  <c r="D52" i="33" s="1"/>
  <c r="D5" i="33"/>
  <c r="C56" i="32" l="1"/>
  <c r="D56" i="33"/>
  <c r="C26" i="33" s="1"/>
  <c r="D26" i="34" s="1"/>
  <c r="C14" i="33"/>
  <c r="D14" i="34" s="1"/>
  <c r="C7" i="33"/>
  <c r="D7" i="34" s="1"/>
  <c r="C12" i="33"/>
  <c r="D12" i="34" s="1"/>
  <c r="C10" i="33"/>
  <c r="D10" i="34" s="1"/>
  <c r="C41" i="33"/>
  <c r="D41" i="34" s="1"/>
  <c r="C13" i="33"/>
  <c r="D13" i="34" s="1"/>
  <c r="C52" i="33"/>
  <c r="D52" i="34" s="1"/>
  <c r="C48" i="33"/>
  <c r="D48" i="34" s="1"/>
  <c r="C19" i="33"/>
  <c r="D19" i="34" s="1"/>
  <c r="C31" i="33"/>
  <c r="D31" i="34" s="1"/>
  <c r="C36" i="33" l="1"/>
  <c r="D36" i="34" s="1"/>
  <c r="C27" i="33"/>
  <c r="D27" i="34" s="1"/>
  <c r="C49" i="33"/>
  <c r="D49" i="34" s="1"/>
  <c r="C46" i="33"/>
  <c r="D46" i="34" s="1"/>
  <c r="C43" i="33"/>
  <c r="D43" i="34" s="1"/>
  <c r="C44" i="33"/>
  <c r="D44" i="34" s="1"/>
  <c r="C23" i="33"/>
  <c r="D23" i="34" s="1"/>
  <c r="C5" i="33"/>
  <c r="D5" i="34" s="1"/>
  <c r="C24" i="33"/>
  <c r="D24" i="34" s="1"/>
  <c r="C25" i="33"/>
  <c r="D25" i="34" s="1"/>
  <c r="C8" i="33"/>
  <c r="D8" i="34" s="1"/>
  <c r="C40" i="33"/>
  <c r="D40" i="34" s="1"/>
  <c r="C9" i="33"/>
  <c r="D9" i="34" s="1"/>
  <c r="C15" i="33"/>
  <c r="D15" i="34" s="1"/>
  <c r="C32" i="33"/>
  <c r="D32" i="34" s="1"/>
  <c r="C45" i="33"/>
  <c r="D45" i="34" s="1"/>
  <c r="C20" i="33"/>
  <c r="D20" i="34" s="1"/>
  <c r="C38" i="33"/>
  <c r="D38" i="34" s="1"/>
  <c r="C21" i="33"/>
  <c r="D21" i="34" s="1"/>
  <c r="C39" i="33"/>
  <c r="D39" i="34" s="1"/>
  <c r="C18" i="33"/>
  <c r="D18" i="34" s="1"/>
  <c r="C16" i="33"/>
  <c r="D16" i="34" s="1"/>
  <c r="C6" i="33"/>
  <c r="D6" i="34" s="1"/>
  <c r="C33" i="33"/>
  <c r="D33" i="34" s="1"/>
  <c r="C50" i="33"/>
  <c r="D50" i="34" s="1"/>
  <c r="C30" i="33"/>
  <c r="D30" i="34" s="1"/>
  <c r="C51" i="33"/>
  <c r="D51" i="34" s="1"/>
  <c r="C29" i="33"/>
  <c r="D29" i="34" s="1"/>
  <c r="C42" i="33"/>
  <c r="D42" i="34" s="1"/>
  <c r="C17" i="33"/>
  <c r="D17" i="34" s="1"/>
  <c r="C34" i="33"/>
  <c r="D34" i="34" s="1"/>
  <c r="C47" i="33"/>
  <c r="D47" i="34" s="1"/>
  <c r="C22" i="33"/>
  <c r="D22" i="34" s="1"/>
  <c r="C56" i="33" l="1"/>
  <c r="D56" i="34"/>
  <c r="C27" i="34" s="1"/>
  <c r="D27" i="35" s="1"/>
  <c r="C6" i="34" l="1"/>
  <c r="D6" i="35" s="1"/>
  <c r="C16" i="34"/>
  <c r="D16" i="35" s="1"/>
  <c r="C49" i="34"/>
  <c r="D49" i="35" s="1"/>
  <c r="C32" i="34"/>
  <c r="D32" i="35" s="1"/>
  <c r="C24" i="34"/>
  <c r="D24" i="35" s="1"/>
  <c r="C12" i="34"/>
  <c r="D12" i="35" s="1"/>
  <c r="C5" i="34"/>
  <c r="C46" i="34"/>
  <c r="D46" i="35" s="1"/>
  <c r="C21" i="34"/>
  <c r="D21" i="35" s="1"/>
  <c r="C39" i="34"/>
  <c r="D39" i="35" s="1"/>
  <c r="C22" i="34"/>
  <c r="D22" i="35" s="1"/>
  <c r="C40" i="34"/>
  <c r="D40" i="35" s="1"/>
  <c r="C20" i="34"/>
  <c r="D20" i="35" s="1"/>
  <c r="C45" i="34"/>
  <c r="D45" i="35" s="1"/>
  <c r="C41" i="34"/>
  <c r="D41" i="35" s="1"/>
  <c r="C29" i="34"/>
  <c r="D29" i="35" s="1"/>
  <c r="C50" i="34"/>
  <c r="D50" i="35" s="1"/>
  <c r="C25" i="34"/>
  <c r="D25" i="35" s="1"/>
  <c r="C47" i="34"/>
  <c r="D47" i="35" s="1"/>
  <c r="C26" i="34"/>
  <c r="D26" i="35" s="1"/>
  <c r="C44" i="34"/>
  <c r="D44" i="35" s="1"/>
  <c r="C15" i="34"/>
  <c r="D15" i="35" s="1"/>
  <c r="C33" i="34"/>
  <c r="D33" i="35" s="1"/>
  <c r="C10" i="34"/>
  <c r="D10" i="35" s="1"/>
  <c r="C38" i="34"/>
  <c r="D38" i="35" s="1"/>
  <c r="C7" i="34"/>
  <c r="D7" i="35" s="1"/>
  <c r="C13" i="34"/>
  <c r="D13" i="35" s="1"/>
  <c r="C51" i="34"/>
  <c r="D51" i="35" s="1"/>
  <c r="C36" i="34"/>
  <c r="D36" i="35" s="1"/>
  <c r="C9" i="34"/>
  <c r="D9" i="35" s="1"/>
  <c r="C42" i="34"/>
  <c r="D42" i="35" s="1"/>
  <c r="C17" i="34"/>
  <c r="D17" i="35" s="1"/>
  <c r="C30" i="34"/>
  <c r="D30" i="35" s="1"/>
  <c r="C8" i="34"/>
  <c r="D8" i="35" s="1"/>
  <c r="C31" i="34"/>
  <c r="D31" i="35" s="1"/>
  <c r="C19" i="34"/>
  <c r="D19" i="35" s="1"/>
  <c r="C34" i="34"/>
  <c r="D34" i="35" s="1"/>
  <c r="C43" i="34"/>
  <c r="D43" i="35" s="1"/>
  <c r="C18" i="34"/>
  <c r="D18" i="35" s="1"/>
  <c r="C14" i="34"/>
  <c r="D14" i="35" s="1"/>
  <c r="C48" i="34"/>
  <c r="D48" i="35" s="1"/>
  <c r="C23" i="34"/>
  <c r="D23" i="35" s="1"/>
  <c r="C52" i="34"/>
  <c r="D52" i="35" s="1"/>
  <c r="D5" i="35"/>
  <c r="D56" i="35" l="1"/>
  <c r="C6" i="35" s="1"/>
  <c r="D6" i="36" s="1"/>
  <c r="C56" i="34"/>
  <c r="C46" i="35"/>
  <c r="D46" i="36" s="1"/>
  <c r="C42" i="35"/>
  <c r="D42" i="36" s="1"/>
  <c r="C41" i="35"/>
  <c r="D41" i="36" s="1"/>
  <c r="C34" i="35"/>
  <c r="D34" i="36" s="1"/>
  <c r="C29" i="35"/>
  <c r="D29" i="36" s="1"/>
  <c r="C7" i="35"/>
  <c r="D7" i="36" s="1"/>
  <c r="C47" i="35"/>
  <c r="D47" i="36" s="1"/>
  <c r="C26" i="35"/>
  <c r="D26" i="36" s="1"/>
  <c r="C18" i="35"/>
  <c r="D18" i="36" s="1"/>
  <c r="C8" i="35"/>
  <c r="D8" i="36" s="1"/>
  <c r="C52" i="35"/>
  <c r="D52" i="36" s="1"/>
  <c r="C44" i="35"/>
  <c r="D44" i="36" s="1"/>
  <c r="C40" i="35"/>
  <c r="D40" i="36" s="1"/>
  <c r="C14" i="35"/>
  <c r="D14" i="36" s="1"/>
  <c r="C16" i="35"/>
  <c r="D16" i="36" s="1"/>
  <c r="C17" i="35"/>
  <c r="D17" i="36" s="1"/>
  <c r="C51" i="35"/>
  <c r="D51" i="36" s="1"/>
  <c r="C5" i="35"/>
  <c r="C21" i="35"/>
  <c r="D21" i="36" s="1"/>
  <c r="C32" i="35"/>
  <c r="D32" i="36" s="1"/>
  <c r="C39" i="35"/>
  <c r="D39" i="36" s="1"/>
  <c r="C43" i="35"/>
  <c r="D43" i="36" s="1"/>
  <c r="C13" i="35"/>
  <c r="D13" i="36" s="1"/>
  <c r="C9" i="35" l="1"/>
  <c r="D9" i="36" s="1"/>
  <c r="C10" i="35"/>
  <c r="D10" i="36" s="1"/>
  <c r="C19" i="35"/>
  <c r="D19" i="36" s="1"/>
  <c r="C12" i="35"/>
  <c r="D12" i="36" s="1"/>
  <c r="C33" i="35"/>
  <c r="D33" i="36" s="1"/>
  <c r="C48" i="35"/>
  <c r="D48" i="36" s="1"/>
  <c r="C22" i="35"/>
  <c r="D22" i="36" s="1"/>
  <c r="C25" i="35"/>
  <c r="D25" i="36" s="1"/>
  <c r="C45" i="35"/>
  <c r="D45" i="36" s="1"/>
  <c r="C30" i="35"/>
  <c r="D30" i="36" s="1"/>
  <c r="C20" i="35"/>
  <c r="D20" i="36" s="1"/>
  <c r="C49" i="35"/>
  <c r="D49" i="36" s="1"/>
  <c r="C23" i="35"/>
  <c r="D23" i="36" s="1"/>
  <c r="C36" i="35"/>
  <c r="D36" i="36" s="1"/>
  <c r="C50" i="35"/>
  <c r="D50" i="36" s="1"/>
  <c r="C24" i="35"/>
  <c r="D24" i="36" s="1"/>
  <c r="C15" i="35"/>
  <c r="D15" i="36" s="1"/>
  <c r="C31" i="35"/>
  <c r="D31" i="36" s="1"/>
  <c r="C27" i="35"/>
  <c r="D27" i="36" s="1"/>
  <c r="C38" i="35"/>
  <c r="D38" i="36" s="1"/>
  <c r="D5" i="36"/>
  <c r="C56" i="35" l="1"/>
  <c r="D56" i="36"/>
  <c r="C51" i="36" s="1"/>
  <c r="C34" i="36"/>
  <c r="C27" i="36" l="1"/>
  <c r="C42" i="36"/>
  <c r="C52" i="36"/>
  <c r="C45" i="36"/>
  <c r="C18" i="36"/>
  <c r="C21" i="36"/>
  <c r="C40" i="36"/>
  <c r="C31" i="36"/>
  <c r="C16" i="36"/>
  <c r="C25" i="36"/>
  <c r="C7" i="36"/>
  <c r="C6" i="36"/>
  <c r="C14" i="36"/>
  <c r="C24" i="36"/>
  <c r="C43" i="36"/>
  <c r="C26" i="36"/>
  <c r="C15" i="36"/>
  <c r="C41" i="36"/>
  <c r="C8" i="36"/>
  <c r="C9" i="36"/>
  <c r="C29" i="36"/>
  <c r="C10" i="36"/>
  <c r="C44" i="36"/>
  <c r="C5" i="36"/>
  <c r="C20" i="36"/>
  <c r="C49" i="36"/>
  <c r="C48" i="36"/>
  <c r="C32" i="36"/>
  <c r="C50" i="36"/>
  <c r="C33" i="36"/>
  <c r="C47" i="36"/>
  <c r="C30" i="36"/>
  <c r="C12" i="36"/>
  <c r="C38" i="36"/>
  <c r="C23" i="36"/>
  <c r="C39" i="36"/>
  <c r="C19" i="36"/>
  <c r="C22" i="36"/>
  <c r="C17" i="36"/>
  <c r="C46" i="36"/>
  <c r="C13" i="36"/>
  <c r="C36" i="36"/>
  <c r="C56" i="36" l="1"/>
  <c r="S56" i="23" l="1"/>
  <c r="T56" i="23"/>
  <c r="I16" i="23"/>
  <c r="R56" i="23"/>
  <c r="Q56" i="23"/>
  <c r="O56" i="23"/>
  <c r="N56" i="23"/>
  <c r="M56" i="23"/>
  <c r="E64" i="23" s="1"/>
  <c r="L56" i="23"/>
  <c r="E63" i="23" s="1"/>
  <c r="K56" i="23"/>
  <c r="E60" i="23" s="1"/>
  <c r="J56" i="23"/>
  <c r="E61" i="23" s="1"/>
  <c r="E56" i="23"/>
  <c r="G52" i="23"/>
  <c r="F52" i="23"/>
  <c r="I52" i="23" s="1"/>
  <c r="B52" i="23"/>
  <c r="G51" i="23"/>
  <c r="F51" i="23"/>
  <c r="I51" i="23" s="1"/>
  <c r="B51" i="23"/>
  <c r="G50" i="23"/>
  <c r="F50" i="23"/>
  <c r="I50" i="23" s="1"/>
  <c r="B50" i="23"/>
  <c r="G49" i="23"/>
  <c r="F49" i="23"/>
  <c r="I49" i="23" s="1"/>
  <c r="B49" i="23"/>
  <c r="G48" i="23"/>
  <c r="F48" i="23"/>
  <c r="I48" i="23" s="1"/>
  <c r="B48" i="23"/>
  <c r="G47" i="23"/>
  <c r="F47" i="23"/>
  <c r="I47" i="23" s="1"/>
  <c r="B47" i="23"/>
  <c r="G46" i="23"/>
  <c r="F46" i="23"/>
  <c r="I46" i="23" s="1"/>
  <c r="B46" i="23"/>
  <c r="G45" i="23"/>
  <c r="F45" i="23"/>
  <c r="I45" i="23" s="1"/>
  <c r="B45" i="23"/>
  <c r="G44" i="23"/>
  <c r="F44" i="23"/>
  <c r="I44" i="23" s="1"/>
  <c r="B44" i="23"/>
  <c r="G43" i="23"/>
  <c r="F43" i="23"/>
  <c r="I43" i="23" s="1"/>
  <c r="B43" i="23"/>
  <c r="G42" i="23"/>
  <c r="F42" i="23"/>
  <c r="I42" i="23" s="1"/>
  <c r="B42" i="23"/>
  <c r="G41" i="23"/>
  <c r="F41" i="23"/>
  <c r="I41" i="23" s="1"/>
  <c r="B41" i="23"/>
  <c r="G40" i="23"/>
  <c r="F40" i="23"/>
  <c r="I40" i="23" s="1"/>
  <c r="B40" i="23"/>
  <c r="G39" i="23"/>
  <c r="F39" i="23"/>
  <c r="I39" i="23" s="1"/>
  <c r="B39" i="23"/>
  <c r="G38" i="23"/>
  <c r="F38" i="23"/>
  <c r="I38" i="23" s="1"/>
  <c r="B38" i="23"/>
  <c r="G36" i="23"/>
  <c r="F36" i="23"/>
  <c r="I36" i="23" s="1"/>
  <c r="B36" i="23"/>
  <c r="G34" i="23"/>
  <c r="F34" i="23"/>
  <c r="I34" i="23" s="1"/>
  <c r="B34" i="23"/>
  <c r="G33" i="23"/>
  <c r="F33" i="23"/>
  <c r="I33" i="23" s="1"/>
  <c r="B33" i="23"/>
  <c r="G32" i="23"/>
  <c r="F32" i="23"/>
  <c r="I32" i="23" s="1"/>
  <c r="B32" i="23"/>
  <c r="G31" i="23"/>
  <c r="F31" i="23"/>
  <c r="I31" i="23" s="1"/>
  <c r="B31" i="23"/>
  <c r="G30" i="23"/>
  <c r="F30" i="23"/>
  <c r="I30" i="23" s="1"/>
  <c r="B30" i="23"/>
  <c r="G29" i="23"/>
  <c r="F29" i="23"/>
  <c r="I29" i="23" s="1"/>
  <c r="B29" i="23"/>
  <c r="G27" i="23"/>
  <c r="F27" i="23"/>
  <c r="I27" i="23" s="1"/>
  <c r="B27" i="23"/>
  <c r="G26" i="23"/>
  <c r="F26" i="23"/>
  <c r="I26" i="23" s="1"/>
  <c r="B26" i="23"/>
  <c r="G25" i="23"/>
  <c r="F25" i="23"/>
  <c r="I25" i="23" s="1"/>
  <c r="B25" i="23"/>
  <c r="G24" i="23"/>
  <c r="F24" i="23"/>
  <c r="I24" i="23" s="1"/>
  <c r="B24" i="23"/>
  <c r="G23" i="23"/>
  <c r="F23" i="23"/>
  <c r="I23" i="23" s="1"/>
  <c r="B23" i="23"/>
  <c r="G22" i="23"/>
  <c r="F22" i="23"/>
  <c r="I22" i="23" s="1"/>
  <c r="B22" i="23"/>
  <c r="G21" i="23"/>
  <c r="F21" i="23"/>
  <c r="I21" i="23" s="1"/>
  <c r="B21" i="23"/>
  <c r="G20" i="23"/>
  <c r="F20" i="23"/>
  <c r="I20" i="23" s="1"/>
  <c r="B20" i="23"/>
  <c r="G19" i="23"/>
  <c r="F19" i="23"/>
  <c r="I19" i="23" s="1"/>
  <c r="B19" i="23"/>
  <c r="G18" i="23"/>
  <c r="F18" i="23"/>
  <c r="I18" i="23" s="1"/>
  <c r="B18" i="23"/>
  <c r="G17" i="23"/>
  <c r="F17" i="23"/>
  <c r="I17" i="23" s="1"/>
  <c r="B17" i="23"/>
  <c r="G16" i="23"/>
  <c r="B16" i="23"/>
  <c r="G15" i="23"/>
  <c r="F15" i="23"/>
  <c r="I15" i="23" s="1"/>
  <c r="B15" i="23"/>
  <c r="G14" i="23"/>
  <c r="F14" i="23"/>
  <c r="I14" i="23" s="1"/>
  <c r="B14" i="23"/>
  <c r="G13" i="23"/>
  <c r="F13" i="23"/>
  <c r="I13" i="23" s="1"/>
  <c r="B13" i="23"/>
  <c r="G12" i="23"/>
  <c r="F12" i="23"/>
  <c r="I12" i="23" s="1"/>
  <c r="B12" i="23"/>
  <c r="G10" i="23"/>
  <c r="F10" i="23"/>
  <c r="I10" i="23" s="1"/>
  <c r="B10" i="23"/>
  <c r="G9" i="23"/>
  <c r="F9" i="23"/>
  <c r="I9" i="23" s="1"/>
  <c r="B9" i="23"/>
  <c r="G8" i="23"/>
  <c r="F8" i="23"/>
  <c r="I8" i="23" s="1"/>
  <c r="B8" i="23"/>
  <c r="G7" i="23"/>
  <c r="F7" i="23"/>
  <c r="I7" i="23" s="1"/>
  <c r="B7" i="23"/>
  <c r="P6" i="23"/>
  <c r="P56" i="23" s="1"/>
  <c r="G6" i="23"/>
  <c r="F6" i="23"/>
  <c r="I6" i="23" s="1"/>
  <c r="B6" i="23"/>
  <c r="B5" i="23"/>
  <c r="G56" i="23" l="1"/>
  <c r="I56" i="23"/>
  <c r="F56" i="23"/>
  <c r="E65" i="23" s="1"/>
  <c r="E68" i="23" s="1"/>
  <c r="K16" i="20"/>
  <c r="K50" i="20"/>
  <c r="I7" i="20"/>
  <c r="I8" i="20"/>
  <c r="I9" i="20"/>
  <c r="I10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9" i="20"/>
  <c r="I30" i="20"/>
  <c r="I31" i="20"/>
  <c r="I32" i="20"/>
  <c r="I33" i="20"/>
  <c r="I34" i="20"/>
  <c r="I36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6" i="20"/>
  <c r="I56" i="20" l="1"/>
  <c r="H50" i="20" l="1"/>
  <c r="H51" i="20"/>
  <c r="K51" i="20" s="1"/>
  <c r="H52" i="20"/>
  <c r="K52" i="20" s="1"/>
  <c r="H7" i="20"/>
  <c r="K7" i="20" s="1"/>
  <c r="H8" i="20"/>
  <c r="K8" i="20" s="1"/>
  <c r="H9" i="20"/>
  <c r="K9" i="20" s="1"/>
  <c r="H10" i="20"/>
  <c r="K10" i="20" s="1"/>
  <c r="H12" i="20"/>
  <c r="K12" i="20" s="1"/>
  <c r="H13" i="20"/>
  <c r="K13" i="20" s="1"/>
  <c r="H14" i="20"/>
  <c r="K14" i="20" s="1"/>
  <c r="H15" i="20"/>
  <c r="K15" i="20" s="1"/>
  <c r="H17" i="20"/>
  <c r="K17" i="20" s="1"/>
  <c r="H18" i="20"/>
  <c r="K18" i="20" s="1"/>
  <c r="H19" i="20"/>
  <c r="K19" i="20" s="1"/>
  <c r="H20" i="20"/>
  <c r="K20" i="20" s="1"/>
  <c r="H21" i="20"/>
  <c r="K21" i="20" s="1"/>
  <c r="H22" i="20"/>
  <c r="K22" i="20" s="1"/>
  <c r="H23" i="20"/>
  <c r="K23" i="20" s="1"/>
  <c r="H24" i="20"/>
  <c r="K24" i="20" s="1"/>
  <c r="H25" i="20"/>
  <c r="K25" i="20" s="1"/>
  <c r="H26" i="20"/>
  <c r="K26" i="20" s="1"/>
  <c r="H27" i="20"/>
  <c r="K27" i="20" s="1"/>
  <c r="H29" i="20"/>
  <c r="K29" i="20" s="1"/>
  <c r="H30" i="20"/>
  <c r="K30" i="20" s="1"/>
  <c r="H31" i="20"/>
  <c r="K31" i="20" s="1"/>
  <c r="H32" i="20"/>
  <c r="K32" i="20" s="1"/>
  <c r="H33" i="20"/>
  <c r="K33" i="20" s="1"/>
  <c r="H34" i="20"/>
  <c r="K34" i="20" s="1"/>
  <c r="H36" i="20"/>
  <c r="K36" i="20" s="1"/>
  <c r="H38" i="20"/>
  <c r="K38" i="20" s="1"/>
  <c r="H39" i="20"/>
  <c r="K39" i="20" s="1"/>
  <c r="H40" i="20"/>
  <c r="K40" i="20" s="1"/>
  <c r="H41" i="20"/>
  <c r="K41" i="20" s="1"/>
  <c r="H42" i="20"/>
  <c r="K42" i="20" s="1"/>
  <c r="H43" i="20"/>
  <c r="K43" i="20" s="1"/>
  <c r="H44" i="20"/>
  <c r="K44" i="20" s="1"/>
  <c r="H45" i="20"/>
  <c r="K45" i="20" s="1"/>
  <c r="H46" i="20"/>
  <c r="K46" i="20" s="1"/>
  <c r="H47" i="20"/>
  <c r="K47" i="20" s="1"/>
  <c r="H48" i="20"/>
  <c r="K48" i="20" s="1"/>
  <c r="H49" i="20"/>
  <c r="K49" i="20" s="1"/>
  <c r="H6" i="20"/>
  <c r="K6" i="20" s="1"/>
  <c r="M56" i="20"/>
  <c r="R6" i="20"/>
  <c r="R56" i="20" s="1"/>
  <c r="T56" i="20"/>
  <c r="S56" i="20"/>
  <c r="Q56" i="20"/>
  <c r="P56" i="20"/>
  <c r="O56" i="20"/>
  <c r="N56" i="20"/>
  <c r="L56" i="20"/>
  <c r="G56" i="20"/>
  <c r="D56" i="20"/>
  <c r="C52" i="20"/>
  <c r="B52" i="20"/>
  <c r="C51" i="20"/>
  <c r="B51" i="20"/>
  <c r="C50" i="20"/>
  <c r="B50" i="20"/>
  <c r="C49" i="20"/>
  <c r="B49" i="20"/>
  <c r="C48" i="20"/>
  <c r="B48" i="20"/>
  <c r="C47" i="20"/>
  <c r="B47" i="20"/>
  <c r="C46" i="20"/>
  <c r="B46" i="20"/>
  <c r="C45" i="20"/>
  <c r="B45" i="20"/>
  <c r="C44" i="20"/>
  <c r="B44" i="20"/>
  <c r="C43" i="20"/>
  <c r="B43" i="20"/>
  <c r="C42" i="20"/>
  <c r="B42" i="20"/>
  <c r="C41" i="20"/>
  <c r="B41" i="20"/>
  <c r="C40" i="20"/>
  <c r="B40" i="20"/>
  <c r="C39" i="20"/>
  <c r="B39" i="20"/>
  <c r="C38" i="20"/>
  <c r="B38" i="20"/>
  <c r="C36" i="20"/>
  <c r="B36" i="20"/>
  <c r="C34" i="20"/>
  <c r="B34" i="20"/>
  <c r="C33" i="20"/>
  <c r="B33" i="20"/>
  <c r="C32" i="20"/>
  <c r="B32" i="20"/>
  <c r="C31" i="20"/>
  <c r="B31" i="20"/>
  <c r="C30" i="20"/>
  <c r="B30" i="20"/>
  <c r="C29" i="20"/>
  <c r="B29" i="20"/>
  <c r="C27" i="20"/>
  <c r="B27" i="20"/>
  <c r="C26" i="20"/>
  <c r="B26" i="20"/>
  <c r="C25" i="20"/>
  <c r="B25" i="20"/>
  <c r="C24" i="20"/>
  <c r="B24" i="20"/>
  <c r="C23" i="20"/>
  <c r="B23" i="20"/>
  <c r="C22" i="20"/>
  <c r="B22" i="20"/>
  <c r="C21" i="20"/>
  <c r="B21" i="20"/>
  <c r="C20" i="20"/>
  <c r="B20" i="20"/>
  <c r="C19" i="20"/>
  <c r="B19" i="20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0" i="20"/>
  <c r="B10" i="20"/>
  <c r="C9" i="20"/>
  <c r="B9" i="20"/>
  <c r="C8" i="20"/>
  <c r="B8" i="20"/>
  <c r="C7" i="20"/>
  <c r="B7" i="20"/>
  <c r="C6" i="20"/>
  <c r="B6" i="20"/>
  <c r="C5" i="20"/>
  <c r="B5" i="20"/>
  <c r="K56" i="20" l="1"/>
  <c r="H56" i="20"/>
  <c r="C56" i="20"/>
  <c r="D12" i="2" l="1"/>
  <c r="D54" i="16"/>
  <c r="E54" i="16"/>
  <c r="F54" i="16"/>
  <c r="G54" i="16"/>
  <c r="H54" i="16"/>
  <c r="I54" i="16"/>
  <c r="J54" i="16"/>
  <c r="K54" i="16"/>
  <c r="L54" i="16"/>
  <c r="M54" i="16"/>
  <c r="N54" i="16"/>
  <c r="C52" i="2" l="1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D55" i="2"/>
  <c r="H55" i="2"/>
  <c r="U55" i="2"/>
  <c r="B5" i="2"/>
  <c r="B5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4" i="2"/>
  <c r="S6" i="2"/>
  <c r="J54" i="2"/>
  <c r="K54" i="2"/>
  <c r="L54" i="2"/>
  <c r="M54" i="2"/>
  <c r="N54" i="2"/>
  <c r="P54" i="2"/>
  <c r="R54" i="2"/>
  <c r="T54" i="2"/>
  <c r="R51" i="2"/>
  <c r="R52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6" i="2"/>
  <c r="T27" i="2"/>
  <c r="T28" i="2"/>
  <c r="T29" i="2"/>
  <c r="T30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6" i="2"/>
  <c r="J52" i="2"/>
  <c r="L52" i="2"/>
  <c r="M52" i="2"/>
  <c r="N52" i="2"/>
  <c r="O52" i="2"/>
  <c r="P52" i="2"/>
  <c r="J51" i="2"/>
  <c r="L51" i="2"/>
  <c r="M51" i="2"/>
  <c r="N51" i="2"/>
  <c r="O51" i="2"/>
  <c r="P51" i="2"/>
  <c r="J7" i="2"/>
  <c r="L7" i="2"/>
  <c r="M7" i="2"/>
  <c r="N7" i="2"/>
  <c r="O7" i="2"/>
  <c r="P7" i="2"/>
  <c r="R7" i="2"/>
  <c r="J8" i="2"/>
  <c r="L8" i="2"/>
  <c r="M8" i="2"/>
  <c r="N8" i="2"/>
  <c r="O8" i="2"/>
  <c r="P8" i="2"/>
  <c r="R8" i="2"/>
  <c r="J9" i="2"/>
  <c r="L9" i="2"/>
  <c r="M9" i="2"/>
  <c r="N9" i="2"/>
  <c r="O9" i="2"/>
  <c r="P9" i="2"/>
  <c r="R9" i="2"/>
  <c r="J10" i="2"/>
  <c r="L10" i="2"/>
  <c r="M10" i="2"/>
  <c r="N10" i="2"/>
  <c r="O10" i="2"/>
  <c r="P10" i="2"/>
  <c r="R10" i="2"/>
  <c r="J11" i="2"/>
  <c r="L11" i="2"/>
  <c r="M11" i="2"/>
  <c r="N11" i="2"/>
  <c r="O11" i="2"/>
  <c r="P11" i="2"/>
  <c r="R11" i="2"/>
  <c r="J12" i="2"/>
  <c r="L12" i="2"/>
  <c r="M12" i="2"/>
  <c r="N12" i="2"/>
  <c r="O12" i="2"/>
  <c r="P12" i="2"/>
  <c r="R12" i="2"/>
  <c r="J13" i="2"/>
  <c r="L13" i="2"/>
  <c r="M13" i="2"/>
  <c r="N13" i="2"/>
  <c r="O13" i="2"/>
  <c r="P13" i="2"/>
  <c r="R13" i="2"/>
  <c r="J14" i="2"/>
  <c r="L14" i="2"/>
  <c r="M14" i="2"/>
  <c r="N14" i="2"/>
  <c r="O14" i="2"/>
  <c r="P14" i="2"/>
  <c r="R14" i="2"/>
  <c r="J15" i="2"/>
  <c r="L15" i="2"/>
  <c r="M15" i="2"/>
  <c r="N15" i="2"/>
  <c r="O15" i="2"/>
  <c r="P15" i="2"/>
  <c r="R15" i="2"/>
  <c r="J16" i="2"/>
  <c r="L16" i="2"/>
  <c r="M16" i="2"/>
  <c r="N16" i="2"/>
  <c r="O16" i="2"/>
  <c r="P16" i="2"/>
  <c r="R16" i="2"/>
  <c r="J17" i="2"/>
  <c r="L17" i="2"/>
  <c r="M17" i="2"/>
  <c r="N17" i="2"/>
  <c r="O17" i="2"/>
  <c r="P17" i="2"/>
  <c r="R17" i="2"/>
  <c r="J18" i="2"/>
  <c r="L18" i="2"/>
  <c r="M18" i="2"/>
  <c r="N18" i="2"/>
  <c r="O18" i="2"/>
  <c r="P18" i="2"/>
  <c r="R18" i="2"/>
  <c r="J19" i="2"/>
  <c r="L19" i="2"/>
  <c r="M19" i="2"/>
  <c r="N19" i="2"/>
  <c r="O19" i="2"/>
  <c r="P19" i="2"/>
  <c r="R19" i="2"/>
  <c r="J20" i="2"/>
  <c r="L20" i="2"/>
  <c r="M20" i="2"/>
  <c r="N20" i="2"/>
  <c r="O20" i="2"/>
  <c r="P20" i="2"/>
  <c r="R20" i="2"/>
  <c r="J21" i="2"/>
  <c r="L21" i="2"/>
  <c r="M21" i="2"/>
  <c r="N21" i="2"/>
  <c r="O21" i="2"/>
  <c r="P21" i="2"/>
  <c r="R21" i="2"/>
  <c r="J22" i="2"/>
  <c r="L22" i="2"/>
  <c r="M22" i="2"/>
  <c r="N22" i="2"/>
  <c r="O22" i="2"/>
  <c r="P22" i="2"/>
  <c r="R22" i="2"/>
  <c r="J23" i="2"/>
  <c r="L23" i="2"/>
  <c r="M23" i="2"/>
  <c r="N23" i="2"/>
  <c r="O23" i="2"/>
  <c r="P23" i="2"/>
  <c r="R23" i="2"/>
  <c r="J24" i="2"/>
  <c r="L24" i="2"/>
  <c r="M24" i="2"/>
  <c r="N24" i="2"/>
  <c r="O24" i="2"/>
  <c r="P24" i="2"/>
  <c r="R24" i="2"/>
  <c r="J25" i="2"/>
  <c r="L25" i="2"/>
  <c r="M25" i="2"/>
  <c r="N25" i="2"/>
  <c r="O25" i="2"/>
  <c r="P25" i="2"/>
  <c r="R25" i="2"/>
  <c r="J26" i="2"/>
  <c r="L26" i="2"/>
  <c r="M26" i="2"/>
  <c r="N26" i="2"/>
  <c r="O26" i="2"/>
  <c r="P26" i="2"/>
  <c r="R26" i="2"/>
  <c r="J27" i="2"/>
  <c r="L27" i="2"/>
  <c r="M27" i="2"/>
  <c r="N27" i="2"/>
  <c r="O27" i="2"/>
  <c r="P27" i="2"/>
  <c r="R27" i="2"/>
  <c r="J28" i="2"/>
  <c r="L28" i="2"/>
  <c r="M28" i="2"/>
  <c r="N28" i="2"/>
  <c r="O28" i="2"/>
  <c r="P28" i="2"/>
  <c r="R28" i="2"/>
  <c r="J29" i="2"/>
  <c r="L29" i="2"/>
  <c r="M29" i="2"/>
  <c r="N29" i="2"/>
  <c r="O29" i="2"/>
  <c r="P29" i="2"/>
  <c r="R29" i="2"/>
  <c r="J30" i="2"/>
  <c r="L30" i="2"/>
  <c r="M30" i="2"/>
  <c r="N30" i="2"/>
  <c r="O30" i="2"/>
  <c r="P30" i="2"/>
  <c r="R30" i="2"/>
  <c r="J31" i="2"/>
  <c r="L31" i="2"/>
  <c r="M31" i="2"/>
  <c r="N31" i="2"/>
  <c r="O31" i="2"/>
  <c r="P31" i="2"/>
  <c r="R31" i="2"/>
  <c r="J32" i="2"/>
  <c r="L32" i="2"/>
  <c r="M32" i="2"/>
  <c r="N32" i="2"/>
  <c r="O32" i="2"/>
  <c r="P32" i="2"/>
  <c r="R32" i="2"/>
  <c r="J33" i="2"/>
  <c r="L33" i="2"/>
  <c r="M33" i="2"/>
  <c r="N33" i="2"/>
  <c r="O33" i="2"/>
  <c r="P33" i="2"/>
  <c r="R33" i="2"/>
  <c r="J34" i="2"/>
  <c r="L34" i="2"/>
  <c r="M34" i="2"/>
  <c r="N34" i="2"/>
  <c r="O34" i="2"/>
  <c r="P34" i="2"/>
  <c r="R34" i="2"/>
  <c r="J35" i="2"/>
  <c r="L35" i="2"/>
  <c r="M35" i="2"/>
  <c r="N35" i="2"/>
  <c r="O35" i="2"/>
  <c r="P35" i="2"/>
  <c r="R35" i="2"/>
  <c r="J36" i="2"/>
  <c r="L36" i="2"/>
  <c r="M36" i="2"/>
  <c r="N36" i="2"/>
  <c r="O36" i="2"/>
  <c r="P36" i="2"/>
  <c r="R36" i="2"/>
  <c r="J37" i="2"/>
  <c r="L37" i="2"/>
  <c r="M37" i="2"/>
  <c r="N37" i="2"/>
  <c r="O37" i="2"/>
  <c r="P37" i="2"/>
  <c r="R37" i="2"/>
  <c r="J38" i="2"/>
  <c r="L38" i="2"/>
  <c r="M38" i="2"/>
  <c r="N38" i="2"/>
  <c r="O38" i="2"/>
  <c r="P38" i="2"/>
  <c r="R38" i="2"/>
  <c r="J39" i="2"/>
  <c r="L39" i="2"/>
  <c r="M39" i="2"/>
  <c r="N39" i="2"/>
  <c r="O39" i="2"/>
  <c r="P39" i="2"/>
  <c r="R39" i="2"/>
  <c r="J40" i="2"/>
  <c r="L40" i="2"/>
  <c r="M40" i="2"/>
  <c r="N40" i="2"/>
  <c r="O40" i="2"/>
  <c r="P40" i="2"/>
  <c r="R40" i="2"/>
  <c r="J41" i="2"/>
  <c r="L41" i="2"/>
  <c r="M41" i="2"/>
  <c r="N41" i="2"/>
  <c r="O41" i="2"/>
  <c r="P41" i="2"/>
  <c r="R41" i="2"/>
  <c r="J42" i="2"/>
  <c r="L42" i="2"/>
  <c r="M42" i="2"/>
  <c r="N42" i="2"/>
  <c r="O42" i="2"/>
  <c r="P42" i="2"/>
  <c r="R42" i="2"/>
  <c r="J43" i="2"/>
  <c r="L43" i="2"/>
  <c r="M43" i="2"/>
  <c r="N43" i="2"/>
  <c r="O43" i="2"/>
  <c r="P43" i="2"/>
  <c r="R43" i="2"/>
  <c r="J44" i="2"/>
  <c r="L44" i="2"/>
  <c r="M44" i="2"/>
  <c r="N44" i="2"/>
  <c r="O44" i="2"/>
  <c r="P44" i="2"/>
  <c r="R44" i="2"/>
  <c r="J45" i="2"/>
  <c r="L45" i="2"/>
  <c r="M45" i="2"/>
  <c r="N45" i="2"/>
  <c r="O45" i="2"/>
  <c r="P45" i="2"/>
  <c r="R45" i="2"/>
  <c r="J46" i="2"/>
  <c r="L46" i="2"/>
  <c r="M46" i="2"/>
  <c r="N46" i="2"/>
  <c r="O46" i="2"/>
  <c r="P46" i="2"/>
  <c r="R46" i="2"/>
  <c r="J47" i="2"/>
  <c r="L47" i="2"/>
  <c r="M47" i="2"/>
  <c r="N47" i="2"/>
  <c r="O47" i="2"/>
  <c r="P47" i="2"/>
  <c r="R47" i="2"/>
  <c r="J48" i="2"/>
  <c r="L48" i="2"/>
  <c r="M48" i="2"/>
  <c r="N48" i="2"/>
  <c r="O48" i="2"/>
  <c r="P48" i="2"/>
  <c r="R48" i="2"/>
  <c r="J49" i="2"/>
  <c r="L49" i="2"/>
  <c r="M49" i="2"/>
  <c r="N49" i="2"/>
  <c r="O49" i="2"/>
  <c r="P49" i="2"/>
  <c r="R49" i="2"/>
  <c r="J50" i="2"/>
  <c r="L50" i="2"/>
  <c r="M50" i="2"/>
  <c r="N50" i="2"/>
  <c r="O50" i="2"/>
  <c r="P50" i="2"/>
  <c r="R50" i="2"/>
  <c r="R6" i="2"/>
  <c r="L6" i="2"/>
  <c r="M6" i="2"/>
  <c r="N6" i="2"/>
  <c r="O6" i="2"/>
  <c r="P6" i="2"/>
  <c r="J6" i="2"/>
  <c r="O54" i="2" l="1"/>
  <c r="I54" i="2" s="1"/>
  <c r="Q6" i="2"/>
  <c r="C55" i="2"/>
  <c r="N55" i="2"/>
  <c r="M55" i="2"/>
  <c r="P55" i="2"/>
  <c r="L55" i="2"/>
  <c r="J55" i="2"/>
  <c r="O55" i="2"/>
  <c r="R55" i="2"/>
  <c r="T55" i="2"/>
  <c r="K55" i="2"/>
  <c r="S55" i="2"/>
  <c r="Q54" i="2"/>
  <c r="Q49" i="2"/>
  <c r="Q45" i="2"/>
  <c r="Q41" i="2"/>
  <c r="Q37" i="2"/>
  <c r="Q33" i="2"/>
  <c r="Q29" i="2"/>
  <c r="Q25" i="2"/>
  <c r="Q21" i="2"/>
  <c r="Q17" i="2"/>
  <c r="Q13" i="2"/>
  <c r="Q9" i="2"/>
  <c r="Q51" i="2"/>
  <c r="Q28" i="2"/>
  <c r="Q24" i="2"/>
  <c r="Q20" i="2"/>
  <c r="Q16" i="2"/>
  <c r="Q12" i="2"/>
  <c r="Q8" i="2"/>
  <c r="Q52" i="2"/>
  <c r="Q7" i="2"/>
  <c r="Q32" i="2"/>
  <c r="Q36" i="2"/>
  <c r="Q40" i="2"/>
  <c r="Q44" i="2"/>
  <c r="Q48" i="2"/>
  <c r="Q11" i="2"/>
  <c r="Q15" i="2"/>
  <c r="Q19" i="2"/>
  <c r="Q23" i="2"/>
  <c r="Q27" i="2"/>
  <c r="Q31" i="2"/>
  <c r="Q35" i="2"/>
  <c r="Q39" i="2"/>
  <c r="Q47" i="2"/>
  <c r="Q10" i="2"/>
  <c r="Q14" i="2"/>
  <c r="Q18" i="2"/>
  <c r="Q22" i="2"/>
  <c r="Q26" i="2"/>
  <c r="Q30" i="2"/>
  <c r="Q34" i="2"/>
  <c r="Q38" i="2"/>
  <c r="Q42" i="2"/>
  <c r="Q46" i="2"/>
  <c r="Q50" i="2"/>
  <c r="Q43" i="2"/>
  <c r="I6" i="2"/>
  <c r="I51" i="2"/>
  <c r="I52" i="2"/>
  <c r="I50" i="2"/>
  <c r="I49" i="2"/>
  <c r="I48" i="2"/>
  <c r="I47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46" i="2"/>
  <c r="F56" i="20" l="1"/>
  <c r="Q55" i="2"/>
  <c r="I55" i="2"/>
  <c r="E45" i="20" l="1"/>
  <c r="E8" i="20"/>
  <c r="E40" i="20"/>
  <c r="E25" i="20"/>
  <c r="E10" i="20"/>
  <c r="E42" i="20"/>
  <c r="E43" i="20"/>
  <c r="E22" i="20"/>
  <c r="E7" i="20"/>
  <c r="E39" i="20"/>
  <c r="E20" i="20"/>
  <c r="E13" i="20"/>
  <c r="E17" i="20"/>
  <c r="E34" i="20"/>
  <c r="E46" i="20"/>
  <c r="E16" i="20"/>
  <c r="E48" i="20"/>
  <c r="E33" i="20"/>
  <c r="E18" i="20"/>
  <c r="E50" i="20"/>
  <c r="E51" i="20"/>
  <c r="E30" i="20"/>
  <c r="E15" i="20"/>
  <c r="E47" i="20"/>
  <c r="E36" i="20"/>
  <c r="E21" i="20"/>
  <c r="E49" i="20"/>
  <c r="E14" i="20"/>
  <c r="E12" i="20"/>
  <c r="E24" i="20"/>
  <c r="E9" i="20"/>
  <c r="E41" i="20"/>
  <c r="E26" i="20"/>
  <c r="E19" i="20"/>
  <c r="E6" i="20"/>
  <c r="E38" i="20"/>
  <c r="E23" i="20"/>
  <c r="E5" i="20"/>
  <c r="E44" i="20"/>
  <c r="E29" i="20"/>
  <c r="E32" i="20"/>
  <c r="E27" i="20"/>
  <c r="E31" i="20"/>
  <c r="E52" i="20"/>
  <c r="E56" i="20" l="1"/>
  <c r="D56" i="23" l="1"/>
  <c r="C14" i="23" s="1"/>
  <c r="C32" i="23" l="1"/>
  <c r="C33" i="23"/>
  <c r="C46" i="23"/>
  <c r="C48" i="23"/>
  <c r="C51" i="23"/>
  <c r="C49" i="23"/>
  <c r="C40" i="23"/>
  <c r="C27" i="23"/>
  <c r="C25" i="23"/>
  <c r="C42" i="23"/>
  <c r="C19" i="23"/>
  <c r="C41" i="23"/>
  <c r="C45" i="23"/>
  <c r="C23" i="23"/>
  <c r="C36" i="23"/>
  <c r="C16" i="23"/>
  <c r="C21" i="23"/>
  <c r="C24" i="23"/>
  <c r="C18" i="23"/>
  <c r="C50" i="23"/>
  <c r="C12" i="23"/>
  <c r="C17" i="23"/>
  <c r="C9" i="23"/>
  <c r="C34" i="23"/>
  <c r="C43" i="23"/>
  <c r="C7" i="23"/>
  <c r="C8" i="23"/>
  <c r="C22" i="23"/>
  <c r="C13" i="23"/>
  <c r="C5" i="23"/>
  <c r="C29" i="23"/>
  <c r="C44" i="23"/>
  <c r="C38" i="23"/>
  <c r="C30" i="23"/>
  <c r="C6" i="23"/>
  <c r="C31" i="23"/>
  <c r="C20" i="23"/>
  <c r="C10" i="23"/>
  <c r="C39" i="23"/>
  <c r="C47" i="23"/>
  <c r="C52" i="23"/>
  <c r="C26" i="23"/>
  <c r="C15" i="23"/>
  <c r="C56" i="23" l="1"/>
</calcChain>
</file>

<file path=xl/sharedStrings.xml><?xml version="1.0" encoding="utf-8"?>
<sst xmlns="http://schemas.openxmlformats.org/spreadsheetml/2006/main" count="2174" uniqueCount="235">
  <si>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</si>
  <si>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</si>
  <si>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</si>
  <si>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</si>
  <si>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</si>
  <si>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</si>
  <si>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</si>
  <si>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</si>
  <si>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</si>
  <si>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</si>
  <si>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</si>
  <si>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</si>
  <si>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</si>
  <si>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</si>
  <si>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</si>
  <si>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</si>
  <si>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</si>
  <si>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</si>
  <si>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</si>
  <si>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</si>
  <si>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</si>
  <si>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</si>
  <si>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</si>
  <si>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</si>
  <si>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</si>
  <si>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</si>
  <si>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</si>
  <si>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</si>
  <si>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</si>
  <si>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</si>
  <si>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</si>
  <si>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</si>
  <si>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</si>
  <si>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</si>
  <si>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</si>
  <si>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</si>
  <si>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</si>
  <si>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</si>
  <si>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</si>
  <si>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</si>
  <si>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</si>
  <si>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</si>
  <si>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</si>
  <si>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</si>
  <si>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</si>
  <si>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</si>
  <si>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</si>
  <si>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</si>
  <si>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</si>
  <si>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</si>
  <si>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</si>
  <si>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</si>
  <si>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</si>
  <si>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</si>
  <si>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</si>
  <si>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</si>
  <si>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</si>
  <si>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</si>
  <si>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</si>
  <si>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</si>
  <si>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</si>
  <si>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</si>
  <si>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</si>
  <si>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</si>
  <si>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</si>
  <si>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</si>
  <si>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</si>
  <si>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</si>
  <si>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</si>
  <si>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</si>
  <si>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</si>
  <si>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</si>
  <si>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DJOUKWE GUY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</si>
  <si>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</si>
  <si>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</si>
  <si>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</si>
  <si>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</si>
  <si>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</si>
  <si>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</si>
  <si>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</si>
  <si>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</si>
  <si>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</si>
  <si>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</si>
  <si>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</si>
  <si>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</si>
  <si>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</si>
  <si>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</si>
  <si>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</si>
  <si>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</si>
  <si>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</si>
  <si>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</si>
  <si>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</si>
  <si>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</si>
  <si>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</si>
  <si>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</si>
  <si>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</si>
  <si>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</si>
  <si>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</si>
  <si>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</si>
  <si>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</si>
  <si>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</si>
  <si>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</si>
  <si>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</si>
  <si>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</si>
  <si>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</si>
  <si>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</si>
  <si>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</si>
  <si>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</si>
  <si>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</si>
  <si>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</si>
  <si>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</si>
  <si>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</si>
  <si>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</si>
  <si>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</si>
  <si>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</si>
  <si>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</si>
  <si>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</si>
  <si>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</si>
  <si>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</si>
  <si>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</si>
  <si>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</si>
  <si>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</si>
  <si>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</si>
  <si>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</si>
  <si>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</si>
  <si>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</si>
  <si>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</si>
  <si>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</si>
  <si>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</si>
  <si>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</si>
  <si>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</si>
  <si>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</si>
  <si>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</si>
  <si>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</si>
  <si>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</si>
  <si>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</si>
  <si>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</si>
  <si>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</si>
  <si>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</si>
  <si>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</si>
  <si>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</si>
  <si>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</si>
  <si>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</si>
  <si>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</si>
  <si>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</si>
  <si>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</si>
  <si>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</si>
  <si>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</si>
  <si>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</si>
  <si>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</si>
  <si>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</si>
  <si>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</si>
  <si>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</si>
  <si>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</si>
  <si>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</si>
  <si>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</si>
  <si>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</si>
  <si>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</si>
  <si>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</si>
  <si>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</si>
  <si>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</si>
  <si>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</si>
  <si>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</si>
  <si>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</si>
  <si>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</si>
  <si>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</si>
  <si>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</si>
  <si>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</si>
  <si>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</si>
  <si>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</si>
  <si>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</si>
  <si>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</si>
  <si>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</si>
  <si>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</si>
  <si>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</si>
  <si>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</si>
  <si>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</si>
  <si>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</si>
  <si>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</si>
  <si>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</si>
  <si>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</si>
  <si>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</si>
  <si>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</si>
  <si>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</si>
  <si>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</si>
  <si>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</si>
  <si>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</si>
  <si>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</si>
  <si>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</si>
  <si>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</si>
  <si>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</si>
  <si>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</si>
  <si>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</si>
  <si>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</si>
  <si>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</si>
  <si>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</si>
  <si>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</si>
  <si>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</si>
  <si>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</si>
  <si>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</si>
  <si>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</si>
  <si>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</si>
  <si>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</si>
  <si>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</si>
  <si>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</si>
  <si>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</si>
  <si>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</si>
  <si>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</si>
  <si>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</si>
  <si>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</si>
  <si>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</si>
  <si>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</si>
  <si>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</si>
  <si>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</si>
  <si>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</si>
  <si>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</si>
  <si>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</si>
  <si>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ECHEC</t>
  </si>
  <si>
    <t>BANQUE</t>
  </si>
  <si>
    <t>MONTANT TONTINE</t>
  </si>
  <si>
    <t>PENALITE</t>
  </si>
  <si>
    <t>MODE VERSEMENT</t>
  </si>
  <si>
    <t>RELIQUAT 2016</t>
  </si>
  <si>
    <t>AVALISTE</t>
  </si>
  <si>
    <t>ESPECES</t>
  </si>
  <si>
    <t>DJOUOKEP SAMUEL</t>
  </si>
  <si>
    <t>KOUATCHO</t>
  </si>
  <si>
    <t>FRAIS EXCEPTIONNELS</t>
  </si>
  <si>
    <t>DETAIL</t>
  </si>
  <si>
    <t>MONTANT EFFECTIVEMENT VERSE</t>
  </si>
  <si>
    <t>SORTIE</t>
  </si>
  <si>
    <t>FONDS DISTRIBUE</t>
  </si>
  <si>
    <t>FRAIS DE TAXI</t>
  </si>
  <si>
    <t>CAPITAL EFFECTIVEMENT DISTRIBUE</t>
  </si>
  <si>
    <t>RETOUR BANQUE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</si>
</sst>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name val="Castellar"/>
      <family val="1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2"/>
      <color theme="1"/>
      <name val="Britannic Bold"/>
      <family val="2"/>
    </font>
    <font>
      <sz val="10"/>
      <color theme="1"/>
      <name val="Britannic Bold"/>
      <family val="2"/>
    </font>
    <font>
      <sz val="1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8" fillId="0" borderId="0" xfId="0" applyFont="1"/>
    <xf numFmtId="3" fontId="9" fillId="0" borderId="0" xfId="0" applyNumberFormat="1" applyFont="1"/>
    <xf numFmtId="0" fontId="7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17" fontId="0" fillId="0" borderId="3" xfId="0" applyNumberFormat="1" applyBorder="1"/>
    <xf numFmtId="0" fontId="0" fillId="0" borderId="12" xfId="0" applyBorder="1"/>
    <xf numFmtId="0" fontId="0" fillId="0" borderId="7" xfId="0" applyFill="1" applyBorder="1"/>
    <xf numFmtId="0" fontId="0" fillId="0" borderId="8" xfId="0" applyBorder="1"/>
    <xf numFmtId="3" fontId="5" fillId="0" borderId="0" xfId="0" applyNumberFormat="1" applyFont="1"/>
    <xf numFmtId="3" fontId="0" fillId="0" borderId="0" xfId="0" applyNumberFormat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3" fontId="8" fillId="0" borderId="0" xfId="0" applyNumberFormat="1" applyFont="1"/>
    <xf numFmtId="0" fontId="12" fillId="0" borderId="0" xfId="0" applyFont="1"/>
    <xf numFmtId="3" fontId="12" fillId="0" borderId="0" xfId="0" applyNumberFormat="1" applyFont="1"/>
    <xf numFmtId="0" fontId="13" fillId="0" borderId="0" xfId="0" applyFont="1"/>
    <xf numFmtId="0" fontId="14" fillId="0" borderId="0" xfId="0" applyFont="1"/>
    <xf numFmtId="3" fontId="14" fillId="0" borderId="0" xfId="0" applyNumberFormat="1" applyFont="1"/>
    <xf numFmtId="3" fontId="13" fillId="0" borderId="0" xfId="0" applyNumberFormat="1" applyFont="1"/>
    <xf numFmtId="0" fontId="14" fillId="0" borderId="0" xfId="0" applyFont="1" applyAlignment="1">
      <alignment horizontal="center"/>
    </xf>
    <xf numFmtId="3" fontId="15" fillId="0" borderId="0" xfId="0" applyNumberFormat="1" applyFont="1"/>
    <xf numFmtId="3" fontId="7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ONTINE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C52" sqref="C52"/>
    </sheetView>
  </sheetViews>
  <sheetFormatPr baseColWidth="10" defaultRowHeight="15" x14ac:dyDescent="0.2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 x14ac:dyDescent="0.3">
      <c r="A1" s="12" t="s">
        <v>1</v>
      </c>
    </row>
    <row r="2" spans="1:8" ht="18.75" x14ac:dyDescent="0.3">
      <c r="A2" s="12" t="s">
        <v>108</v>
      </c>
    </row>
    <row r="3" spans="1:8" ht="19.5" thickBot="1" x14ac:dyDescent="0.35">
      <c r="A3" s="12"/>
    </row>
    <row r="4" spans="1:8" ht="16.5" thickTop="1" thickBot="1" x14ac:dyDescent="0.3">
      <c r="A4" s="22" t="s">
        <v>109</v>
      </c>
      <c r="B4" s="23" t="s">
        <v>110</v>
      </c>
      <c r="C4" s="23" t="s">
        <v>111</v>
      </c>
      <c r="D4" s="23" t="s">
        <v>112</v>
      </c>
      <c r="E4" s="23" t="s">
        <v>113</v>
      </c>
      <c r="F4" s="23" t="s">
        <v>114</v>
      </c>
      <c r="G4" s="23" t="s">
        <v>115</v>
      </c>
      <c r="H4" s="24" t="s">
        <v>116</v>
      </c>
    </row>
    <row r="5" spans="1:8" ht="15.75" thickTop="1" x14ac:dyDescent="0.25">
      <c r="A5" s="13" t="s">
        <v>11</v>
      </c>
      <c r="B5" s="14" t="s">
        <v>68</v>
      </c>
      <c r="C5" s="14" t="s">
        <v>117</v>
      </c>
      <c r="D5" s="14"/>
      <c r="E5" s="14">
        <v>677841881</v>
      </c>
      <c r="F5" s="14"/>
      <c r="G5" s="14" t="s">
        <v>118</v>
      </c>
      <c r="H5" s="25">
        <v>42887</v>
      </c>
    </row>
    <row r="6" spans="1:8" x14ac:dyDescent="0.25">
      <c r="A6" s="15" t="s">
        <v>12</v>
      </c>
      <c r="B6" s="16" t="s">
        <v>69</v>
      </c>
      <c r="C6" s="16" t="s">
        <v>119</v>
      </c>
      <c r="D6" s="16"/>
      <c r="E6" s="16">
        <v>677704694</v>
      </c>
      <c r="F6" s="16"/>
      <c r="G6" s="16" t="s">
        <v>120</v>
      </c>
      <c r="H6" s="17">
        <v>43191</v>
      </c>
    </row>
    <row r="7" spans="1:8" x14ac:dyDescent="0.25">
      <c r="A7" s="15" t="s">
        <v>13</v>
      </c>
      <c r="B7" s="16" t="s">
        <v>70</v>
      </c>
      <c r="C7" s="16" t="s">
        <v>119</v>
      </c>
      <c r="D7" s="16"/>
      <c r="E7" s="16">
        <v>677881912</v>
      </c>
      <c r="F7" s="16"/>
      <c r="G7" s="16" t="s">
        <v>121</v>
      </c>
      <c r="H7" s="17">
        <v>43466</v>
      </c>
    </row>
    <row r="8" spans="1:8" x14ac:dyDescent="0.25">
      <c r="A8" s="15" t="s">
        <v>14</v>
      </c>
      <c r="B8" s="16" t="s">
        <v>71</v>
      </c>
      <c r="C8" s="16" t="s">
        <v>122</v>
      </c>
      <c r="D8" s="16"/>
      <c r="E8" s="16">
        <v>677986676</v>
      </c>
      <c r="F8" s="16"/>
      <c r="G8" s="16" t="s">
        <v>123</v>
      </c>
      <c r="H8" s="17">
        <v>43132</v>
      </c>
    </row>
    <row r="9" spans="1:8" x14ac:dyDescent="0.25">
      <c r="A9" s="15" t="s">
        <v>15</v>
      </c>
      <c r="B9" s="16" t="s">
        <v>72</v>
      </c>
      <c r="C9" s="16" t="s">
        <v>124</v>
      </c>
      <c r="D9" s="16"/>
      <c r="E9" s="16">
        <v>675250451</v>
      </c>
      <c r="F9" s="16"/>
      <c r="G9" s="16" t="s">
        <v>123</v>
      </c>
      <c r="H9" s="17">
        <v>43313</v>
      </c>
    </row>
    <row r="10" spans="1:8" x14ac:dyDescent="0.25">
      <c r="A10" s="15" t="s">
        <v>16</v>
      </c>
      <c r="B10" s="16" t="s">
        <v>179</v>
      </c>
      <c r="C10" s="16" t="s">
        <v>124</v>
      </c>
      <c r="D10" s="16"/>
      <c r="E10" s="16">
        <v>675250451</v>
      </c>
      <c r="F10" s="16"/>
      <c r="G10" s="16" t="s">
        <v>123</v>
      </c>
      <c r="H10" s="17">
        <v>43313</v>
      </c>
    </row>
    <row r="11" spans="1:8" x14ac:dyDescent="0.25">
      <c r="A11" s="15" t="s">
        <v>17</v>
      </c>
      <c r="B11" s="16" t="s">
        <v>73</v>
      </c>
      <c r="C11" s="16" t="s">
        <v>125</v>
      </c>
      <c r="D11" s="16"/>
      <c r="E11" s="16">
        <v>697103557</v>
      </c>
      <c r="F11" s="16"/>
      <c r="G11" s="16" t="s">
        <v>126</v>
      </c>
      <c r="H11" s="17">
        <v>42401</v>
      </c>
    </row>
    <row r="12" spans="1:8" x14ac:dyDescent="0.25">
      <c r="A12" s="15" t="s">
        <v>18</v>
      </c>
      <c r="B12" s="16" t="s">
        <v>74</v>
      </c>
      <c r="C12" s="16" t="s">
        <v>127</v>
      </c>
      <c r="D12" s="16"/>
      <c r="E12" s="16">
        <v>677501239</v>
      </c>
      <c r="F12" s="16">
        <v>699324095</v>
      </c>
      <c r="G12" s="16" t="s">
        <v>128</v>
      </c>
      <c r="H12" s="17">
        <v>43647</v>
      </c>
    </row>
    <row r="13" spans="1:8" x14ac:dyDescent="0.25">
      <c r="A13" s="15" t="s">
        <v>19</v>
      </c>
      <c r="B13" s="16" t="s">
        <v>75</v>
      </c>
      <c r="C13" s="16" t="s">
        <v>129</v>
      </c>
      <c r="D13" s="16"/>
      <c r="E13" s="16">
        <v>699908065</v>
      </c>
      <c r="F13" s="16"/>
      <c r="G13" s="16" t="s">
        <v>130</v>
      </c>
      <c r="H13" s="17">
        <v>42979</v>
      </c>
    </row>
    <row r="14" spans="1:8" x14ac:dyDescent="0.25">
      <c r="A14" s="15" t="s">
        <v>20</v>
      </c>
      <c r="B14" s="16" t="s">
        <v>76</v>
      </c>
      <c r="C14" s="16" t="s">
        <v>131</v>
      </c>
      <c r="D14" s="16"/>
      <c r="E14" s="16">
        <v>677910278</v>
      </c>
      <c r="F14" s="16"/>
      <c r="G14" s="16" t="s">
        <v>132</v>
      </c>
      <c r="H14" s="17">
        <v>43344</v>
      </c>
    </row>
    <row r="15" spans="1:8" x14ac:dyDescent="0.25">
      <c r="A15" s="15" t="s">
        <v>21</v>
      </c>
      <c r="B15" s="16" t="s">
        <v>77</v>
      </c>
      <c r="C15" s="16" t="s">
        <v>133</v>
      </c>
      <c r="D15" s="16"/>
      <c r="E15" s="16">
        <v>694468080</v>
      </c>
      <c r="F15" s="16"/>
      <c r="G15" s="16" t="s">
        <v>128</v>
      </c>
      <c r="H15" s="17">
        <v>42583</v>
      </c>
    </row>
    <row r="16" spans="1:8" x14ac:dyDescent="0.25">
      <c r="A16" s="15" t="s">
        <v>22</v>
      </c>
      <c r="B16" s="16" t="s">
        <v>78</v>
      </c>
      <c r="C16" s="16" t="s">
        <v>134</v>
      </c>
      <c r="D16" s="16"/>
      <c r="E16" s="16">
        <v>675291170</v>
      </c>
      <c r="F16" s="16"/>
      <c r="G16" s="16" t="s">
        <v>135</v>
      </c>
      <c r="H16" s="17">
        <v>43009</v>
      </c>
    </row>
    <row r="17" spans="1:8" x14ac:dyDescent="0.25">
      <c r="A17" s="15" t="s">
        <v>23</v>
      </c>
      <c r="B17" s="16" t="s">
        <v>79</v>
      </c>
      <c r="C17" s="16" t="s">
        <v>136</v>
      </c>
      <c r="D17" s="16"/>
      <c r="E17" s="16">
        <v>699956355</v>
      </c>
      <c r="F17" s="16"/>
      <c r="G17" s="16" t="s">
        <v>137</v>
      </c>
      <c r="H17" s="17">
        <v>42614</v>
      </c>
    </row>
    <row r="18" spans="1:8" x14ac:dyDescent="0.25">
      <c r="A18" s="15" t="s">
        <v>24</v>
      </c>
      <c r="B18" s="16" t="s">
        <v>80</v>
      </c>
      <c r="C18" s="16" t="s">
        <v>119</v>
      </c>
      <c r="D18" s="16"/>
      <c r="E18" s="16">
        <v>677053815</v>
      </c>
      <c r="F18" s="16"/>
      <c r="G18" s="16" t="s">
        <v>128</v>
      </c>
      <c r="H18" s="17">
        <v>43374</v>
      </c>
    </row>
    <row r="19" spans="1:8" x14ac:dyDescent="0.25">
      <c r="A19" s="15" t="s">
        <v>25</v>
      </c>
      <c r="B19" s="16" t="s">
        <v>81</v>
      </c>
      <c r="C19" s="16" t="s">
        <v>138</v>
      </c>
      <c r="D19" s="16"/>
      <c r="E19" s="16">
        <v>699528700</v>
      </c>
      <c r="F19" s="16"/>
      <c r="G19" s="16" t="s">
        <v>139</v>
      </c>
      <c r="H19" s="17">
        <v>43405</v>
      </c>
    </row>
    <row r="20" spans="1:8" x14ac:dyDescent="0.25">
      <c r="A20" s="15" t="s">
        <v>26</v>
      </c>
      <c r="B20" s="16" t="s">
        <v>82</v>
      </c>
      <c r="C20" s="16" t="s">
        <v>119</v>
      </c>
      <c r="D20" s="16"/>
      <c r="E20" s="16">
        <v>699335584</v>
      </c>
      <c r="F20" s="16"/>
      <c r="G20" s="16" t="s">
        <v>141</v>
      </c>
      <c r="H20" s="17">
        <v>42795</v>
      </c>
    </row>
    <row r="21" spans="1:8" x14ac:dyDescent="0.25">
      <c r="A21" s="15" t="s">
        <v>27</v>
      </c>
      <c r="B21" s="16" t="s">
        <v>83</v>
      </c>
      <c r="C21" s="16" t="s">
        <v>142</v>
      </c>
      <c r="D21" s="16"/>
      <c r="E21" s="16">
        <v>675836725</v>
      </c>
      <c r="F21" s="16"/>
      <c r="G21" s="16" t="s">
        <v>137</v>
      </c>
      <c r="H21" s="17">
        <v>42370</v>
      </c>
    </row>
    <row r="22" spans="1:8" x14ac:dyDescent="0.25">
      <c r="A22" s="15" t="s">
        <v>28</v>
      </c>
      <c r="B22" s="16" t="s">
        <v>84</v>
      </c>
      <c r="C22" s="16" t="s">
        <v>143</v>
      </c>
      <c r="D22" s="16"/>
      <c r="E22" s="16">
        <v>696564847</v>
      </c>
      <c r="F22" s="16"/>
      <c r="G22" s="16" t="s">
        <v>128</v>
      </c>
      <c r="H22" s="17">
        <v>43617</v>
      </c>
    </row>
    <row r="23" spans="1:8" x14ac:dyDescent="0.25">
      <c r="A23" s="15" t="s">
        <v>29</v>
      </c>
      <c r="B23" s="16" t="s">
        <v>144</v>
      </c>
      <c r="C23" s="16" t="s">
        <v>145</v>
      </c>
      <c r="D23" s="16"/>
      <c r="E23" s="16">
        <v>677735778</v>
      </c>
      <c r="F23" s="16"/>
      <c r="G23" s="16" t="s">
        <v>121</v>
      </c>
      <c r="H23" s="17">
        <v>42644</v>
      </c>
    </row>
    <row r="24" spans="1:8" x14ac:dyDescent="0.25">
      <c r="A24" s="15" t="s">
        <v>30</v>
      </c>
      <c r="B24" s="16" t="s">
        <v>67</v>
      </c>
      <c r="C24" s="16" t="s">
        <v>177</v>
      </c>
      <c r="D24" s="16"/>
      <c r="E24" s="16"/>
      <c r="F24" s="16"/>
      <c r="G24" s="16"/>
      <c r="H24" s="17"/>
    </row>
    <row r="25" spans="1:8" x14ac:dyDescent="0.25">
      <c r="A25" s="15" t="s">
        <v>31</v>
      </c>
      <c r="B25" s="16" t="s">
        <v>85</v>
      </c>
      <c r="C25" s="16" t="s">
        <v>147</v>
      </c>
      <c r="D25" s="16"/>
      <c r="E25" s="16">
        <v>693055118</v>
      </c>
      <c r="F25" s="16"/>
      <c r="G25" s="16" t="s">
        <v>137</v>
      </c>
      <c r="H25" s="17">
        <v>43678</v>
      </c>
    </row>
    <row r="26" spans="1:8" x14ac:dyDescent="0.25">
      <c r="A26" s="15" t="s">
        <v>32</v>
      </c>
      <c r="B26" s="16" t="s">
        <v>86</v>
      </c>
      <c r="C26" s="16" t="s">
        <v>136</v>
      </c>
      <c r="D26" s="16"/>
      <c r="E26" s="16">
        <v>677553702</v>
      </c>
      <c r="F26" s="16"/>
      <c r="G26" s="16" t="s">
        <v>141</v>
      </c>
      <c r="H26" s="17">
        <v>42705</v>
      </c>
    </row>
    <row r="27" spans="1:8" x14ac:dyDescent="0.25">
      <c r="A27" s="15" t="s">
        <v>33</v>
      </c>
      <c r="B27" s="16" t="s">
        <v>87</v>
      </c>
      <c r="C27" s="16" t="s">
        <v>148</v>
      </c>
      <c r="D27" s="16"/>
      <c r="E27" s="16">
        <v>699358350</v>
      </c>
      <c r="F27" s="16"/>
      <c r="G27" s="16" t="s">
        <v>149</v>
      </c>
      <c r="H27" s="17">
        <v>42767</v>
      </c>
    </row>
    <row r="28" spans="1:8" x14ac:dyDescent="0.25">
      <c r="A28" s="15" t="s">
        <v>34</v>
      </c>
      <c r="B28" s="16" t="s">
        <v>88</v>
      </c>
      <c r="C28" s="16" t="s">
        <v>150</v>
      </c>
      <c r="D28" s="16"/>
      <c r="E28" s="16">
        <v>675249207</v>
      </c>
      <c r="F28" s="16"/>
      <c r="G28" s="16" t="s">
        <v>151</v>
      </c>
      <c r="H28" s="17">
        <v>43070</v>
      </c>
    </row>
    <row r="29" spans="1:8" x14ac:dyDescent="0.25">
      <c r="A29" s="15" t="s">
        <v>35</v>
      </c>
      <c r="B29" s="16" t="s">
        <v>89</v>
      </c>
      <c r="C29" s="16" t="s">
        <v>152</v>
      </c>
      <c r="D29" s="16"/>
      <c r="E29" s="16">
        <v>677766503</v>
      </c>
      <c r="F29" s="16"/>
      <c r="G29" s="16" t="s">
        <v>123</v>
      </c>
      <c r="H29" s="17">
        <v>42491</v>
      </c>
    </row>
    <row r="30" spans="1:8" x14ac:dyDescent="0.25">
      <c r="A30" s="15" t="s">
        <v>36</v>
      </c>
      <c r="B30" s="16" t="s">
        <v>90</v>
      </c>
      <c r="C30" s="16" t="s">
        <v>153</v>
      </c>
      <c r="D30" s="16"/>
      <c r="E30" s="16">
        <v>677068360</v>
      </c>
      <c r="F30" s="16"/>
      <c r="G30" s="16" t="s">
        <v>154</v>
      </c>
      <c r="H30" s="17">
        <v>43101</v>
      </c>
    </row>
    <row r="31" spans="1:8" x14ac:dyDescent="0.25">
      <c r="A31" s="15" t="s">
        <v>37</v>
      </c>
      <c r="B31" s="16" t="s">
        <v>91</v>
      </c>
      <c r="C31" s="16" t="s">
        <v>119</v>
      </c>
      <c r="D31" s="16"/>
      <c r="E31" s="16">
        <v>670909070</v>
      </c>
      <c r="F31" s="16"/>
      <c r="G31" s="16" t="s">
        <v>155</v>
      </c>
      <c r="H31" s="17">
        <v>43586</v>
      </c>
    </row>
    <row r="32" spans="1:8" x14ac:dyDescent="0.25">
      <c r="A32" s="15" t="s">
        <v>38</v>
      </c>
      <c r="B32" s="16" t="s">
        <v>92</v>
      </c>
      <c r="C32" s="16" t="s">
        <v>156</v>
      </c>
      <c r="D32" s="16"/>
      <c r="E32" s="16">
        <v>676659191</v>
      </c>
      <c r="F32" s="16"/>
      <c r="G32" s="16" t="s">
        <v>155</v>
      </c>
      <c r="H32" s="17">
        <v>43497</v>
      </c>
    </row>
    <row r="33" spans="1:8" x14ac:dyDescent="0.25">
      <c r="A33" s="15" t="s">
        <v>39</v>
      </c>
      <c r="B33" s="16" t="s">
        <v>93</v>
      </c>
      <c r="C33" s="16" t="s">
        <v>119</v>
      </c>
      <c r="D33" s="16"/>
      <c r="E33" s="16">
        <v>677575366</v>
      </c>
      <c r="F33" s="16"/>
      <c r="G33" s="16" t="s">
        <v>157</v>
      </c>
      <c r="H33" s="17">
        <v>42917</v>
      </c>
    </row>
    <row r="34" spans="1:8" x14ac:dyDescent="0.25">
      <c r="A34" s="15" t="s">
        <v>40</v>
      </c>
      <c r="B34" s="16" t="s">
        <v>107</v>
      </c>
      <c r="C34" s="16" t="s">
        <v>140</v>
      </c>
      <c r="D34" s="16"/>
      <c r="E34" s="16">
        <v>699843118</v>
      </c>
      <c r="F34" s="16"/>
      <c r="G34" s="16" t="s">
        <v>126</v>
      </c>
      <c r="H34" s="17">
        <v>42522</v>
      </c>
    </row>
    <row r="35" spans="1:8" x14ac:dyDescent="0.25">
      <c r="A35" s="15" t="s">
        <v>41</v>
      </c>
      <c r="B35" s="16" t="s">
        <v>94</v>
      </c>
      <c r="C35" s="16" t="s">
        <v>119</v>
      </c>
      <c r="D35" s="16"/>
      <c r="E35" s="16">
        <v>677377251</v>
      </c>
      <c r="F35" s="16"/>
      <c r="G35" s="16" t="s">
        <v>141</v>
      </c>
      <c r="H35" s="17">
        <v>43282</v>
      </c>
    </row>
    <row r="36" spans="1:8" x14ac:dyDescent="0.25">
      <c r="A36" s="15" t="s">
        <v>42</v>
      </c>
      <c r="B36" s="16" t="s">
        <v>158</v>
      </c>
      <c r="C36" s="16" t="s">
        <v>159</v>
      </c>
      <c r="D36" s="16"/>
      <c r="E36" s="16">
        <v>677867173</v>
      </c>
      <c r="F36" s="16"/>
      <c r="G36" s="16" t="s">
        <v>126</v>
      </c>
      <c r="H36" s="17">
        <v>42461</v>
      </c>
    </row>
    <row r="37" spans="1:8" x14ac:dyDescent="0.25">
      <c r="A37" s="15" t="s">
        <v>43</v>
      </c>
      <c r="B37" s="16" t="s">
        <v>95</v>
      </c>
      <c r="C37" s="16" t="s">
        <v>160</v>
      </c>
      <c r="D37" s="16"/>
      <c r="E37" s="16">
        <v>699995086</v>
      </c>
      <c r="F37" s="16"/>
      <c r="G37" s="16" t="s">
        <v>161</v>
      </c>
      <c r="H37" s="17">
        <v>43525</v>
      </c>
    </row>
    <row r="38" spans="1:8" x14ac:dyDescent="0.25">
      <c r="A38" s="15" t="s">
        <v>44</v>
      </c>
      <c r="B38" s="16" t="s">
        <v>96</v>
      </c>
      <c r="C38" s="16" t="s">
        <v>119</v>
      </c>
      <c r="D38" s="16"/>
      <c r="E38" s="16">
        <v>677054646</v>
      </c>
      <c r="F38" s="16"/>
      <c r="G38" s="16" t="s">
        <v>120</v>
      </c>
      <c r="H38" s="17">
        <v>43160</v>
      </c>
    </row>
    <row r="39" spans="1:8" x14ac:dyDescent="0.25">
      <c r="A39" s="15" t="s">
        <v>45</v>
      </c>
      <c r="B39" s="16" t="s">
        <v>97</v>
      </c>
      <c r="C39" s="16" t="s">
        <v>119</v>
      </c>
      <c r="D39" s="16"/>
      <c r="E39" s="16">
        <v>699549665</v>
      </c>
      <c r="F39" s="16"/>
      <c r="G39" s="16" t="s">
        <v>162</v>
      </c>
      <c r="H39" s="17">
        <v>43556</v>
      </c>
    </row>
    <row r="40" spans="1:8" x14ac:dyDescent="0.25">
      <c r="A40" s="15" t="s">
        <v>46</v>
      </c>
      <c r="B40" s="16" t="s">
        <v>98</v>
      </c>
      <c r="C40" s="16" t="s">
        <v>131</v>
      </c>
      <c r="D40" s="16"/>
      <c r="E40" s="16">
        <v>699350133</v>
      </c>
      <c r="F40" s="16"/>
      <c r="G40" s="16" t="s">
        <v>137</v>
      </c>
      <c r="H40" s="17">
        <v>43435</v>
      </c>
    </row>
    <row r="41" spans="1:8" x14ac:dyDescent="0.25">
      <c r="A41" s="15" t="s">
        <v>47</v>
      </c>
      <c r="B41" s="16" t="s">
        <v>99</v>
      </c>
      <c r="C41" s="16" t="s">
        <v>152</v>
      </c>
      <c r="D41" s="16"/>
      <c r="E41" s="16">
        <v>677477649</v>
      </c>
      <c r="F41" s="16"/>
      <c r="G41" s="16" t="s">
        <v>163</v>
      </c>
      <c r="H41" s="17">
        <v>42948</v>
      </c>
    </row>
    <row r="42" spans="1:8" x14ac:dyDescent="0.25">
      <c r="A42" s="15" t="s">
        <v>48</v>
      </c>
      <c r="B42" s="16" t="s">
        <v>100</v>
      </c>
      <c r="C42" s="16" t="s">
        <v>164</v>
      </c>
      <c r="D42" s="16"/>
      <c r="E42" s="16">
        <v>677546060</v>
      </c>
      <c r="F42" s="16"/>
      <c r="G42" s="16" t="s">
        <v>132</v>
      </c>
      <c r="H42" s="17">
        <v>42736</v>
      </c>
    </row>
    <row r="43" spans="1:8" x14ac:dyDescent="0.25">
      <c r="A43" s="15" t="s">
        <v>49</v>
      </c>
      <c r="B43" s="16" t="s">
        <v>176</v>
      </c>
      <c r="C43" s="16" t="s">
        <v>146</v>
      </c>
      <c r="D43" s="16"/>
      <c r="E43" s="16">
        <v>677648306</v>
      </c>
      <c r="F43" s="16"/>
      <c r="G43" s="16" t="s">
        <v>123</v>
      </c>
      <c r="H43" s="17">
        <v>43040</v>
      </c>
    </row>
    <row r="44" spans="1:8" x14ac:dyDescent="0.25">
      <c r="A44" s="15" t="s">
        <v>50</v>
      </c>
      <c r="B44" s="16" t="s">
        <v>165</v>
      </c>
      <c r="C44" s="16" t="s">
        <v>134</v>
      </c>
      <c r="D44" s="16"/>
      <c r="E44" s="16">
        <v>677780149</v>
      </c>
      <c r="F44" s="16"/>
      <c r="G44" s="16" t="s">
        <v>128</v>
      </c>
      <c r="H44" s="17">
        <v>42552</v>
      </c>
    </row>
    <row r="45" spans="1:8" x14ac:dyDescent="0.25">
      <c r="A45" s="15" t="s">
        <v>51</v>
      </c>
      <c r="B45" s="16" t="s">
        <v>166</v>
      </c>
      <c r="C45" s="16" t="s">
        <v>167</v>
      </c>
      <c r="D45" s="16"/>
      <c r="E45" s="16">
        <v>699778906</v>
      </c>
      <c r="F45" s="16"/>
      <c r="G45" s="16" t="s">
        <v>155</v>
      </c>
      <c r="H45" s="17">
        <v>43709</v>
      </c>
    </row>
    <row r="46" spans="1:8" x14ac:dyDescent="0.25">
      <c r="A46" s="15" t="s">
        <v>52</v>
      </c>
      <c r="B46" s="16" t="s">
        <v>101</v>
      </c>
      <c r="C46" s="16" t="s">
        <v>147</v>
      </c>
      <c r="D46" s="16"/>
      <c r="E46" s="16">
        <v>678639806</v>
      </c>
      <c r="F46" s="16"/>
      <c r="G46" s="16" t="s">
        <v>155</v>
      </c>
      <c r="H46" s="17">
        <v>43252</v>
      </c>
    </row>
    <row r="47" spans="1:8" x14ac:dyDescent="0.25">
      <c r="A47" s="15" t="s">
        <v>53</v>
      </c>
      <c r="B47" s="16" t="s">
        <v>102</v>
      </c>
      <c r="C47" s="16" t="s">
        <v>119</v>
      </c>
      <c r="D47" s="16"/>
      <c r="E47" s="16">
        <v>677775940</v>
      </c>
      <c r="F47" s="16"/>
      <c r="G47" s="16" t="s">
        <v>168</v>
      </c>
      <c r="H47" s="17">
        <v>43221</v>
      </c>
    </row>
    <row r="48" spans="1:8" x14ac:dyDescent="0.25">
      <c r="A48" s="15" t="s">
        <v>54</v>
      </c>
      <c r="B48" s="16" t="s">
        <v>103</v>
      </c>
      <c r="C48" s="16" t="s">
        <v>169</v>
      </c>
      <c r="D48" s="16"/>
      <c r="E48" s="16">
        <v>677508603</v>
      </c>
      <c r="F48" s="16"/>
      <c r="G48" s="16" t="s">
        <v>170</v>
      </c>
      <c r="H48" s="17">
        <v>42856</v>
      </c>
    </row>
    <row r="49" spans="1:8" x14ac:dyDescent="0.25">
      <c r="A49" s="15" t="s">
        <v>55</v>
      </c>
      <c r="B49" s="16" t="s">
        <v>104</v>
      </c>
      <c r="C49" s="16" t="s">
        <v>171</v>
      </c>
      <c r="D49" s="16"/>
      <c r="E49" s="16">
        <v>677726329</v>
      </c>
      <c r="F49" s="16"/>
      <c r="G49" s="16" t="s">
        <v>126</v>
      </c>
      <c r="H49" s="17">
        <v>42430</v>
      </c>
    </row>
    <row r="50" spans="1:8" x14ac:dyDescent="0.25">
      <c r="A50" s="15" t="s">
        <v>66</v>
      </c>
      <c r="B50" s="16" t="s">
        <v>105</v>
      </c>
      <c r="C50" s="16" t="s">
        <v>172</v>
      </c>
      <c r="D50" s="16"/>
      <c r="E50" s="16">
        <v>699663416</v>
      </c>
      <c r="F50" s="16"/>
      <c r="G50" s="16" t="s">
        <v>173</v>
      </c>
      <c r="H50" s="17">
        <v>42826</v>
      </c>
    </row>
    <row r="51" spans="1:8" x14ac:dyDescent="0.25">
      <c r="A51" s="15" t="s">
        <v>178</v>
      </c>
      <c r="B51" s="16" t="s">
        <v>106</v>
      </c>
      <c r="C51" s="16" t="s">
        <v>174</v>
      </c>
      <c r="D51" s="16"/>
      <c r="E51" s="16">
        <v>677547311</v>
      </c>
      <c r="F51" s="16"/>
      <c r="G51" s="16" t="s">
        <v>175</v>
      </c>
      <c r="H51" s="17">
        <v>42675</v>
      </c>
    </row>
    <row r="52" spans="1:8" ht="15.75" thickBot="1" x14ac:dyDescent="0.3">
      <c r="A52" s="26" t="s">
        <v>184</v>
      </c>
      <c r="B52" s="27" t="s">
        <v>1</v>
      </c>
      <c r="C52" s="27" t="s">
        <v>193</v>
      </c>
      <c r="D52" s="18"/>
      <c r="E52" s="18"/>
      <c r="F52" s="18"/>
      <c r="G52" s="18"/>
      <c r="H52" s="28"/>
    </row>
    <row r="53" spans="1:8" ht="15.75" thickTop="1" x14ac:dyDescent="0.25"/>
  </sheetData>
  <autoFilter ref="A4:H51">
    <sortState ref="A5:H50">
      <sortCondition ref="B4:B50"/>
    </sortState>
  </autoFilter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workbookViewId="0">
      <pane xSplit="2" ySplit="4" topLeftCell="C53" activePane="bottomRight" state="frozen"/>
      <selection pane="topRight" activeCell="C1" sqref="C1"/>
      <selection pane="bottomLeft" activeCell="A6" sqref="A6"/>
      <selection pane="bottomRight" activeCell="F8" sqref="F8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2" bestFit="1" customWidth="1"/>
    <col min="4" max="5" width="15.28515625" customWidth="1"/>
    <col min="6" max="6" width="16.85546875" bestFit="1" customWidth="1"/>
    <col min="7" max="7" width="17" bestFit="1" customWidth="1"/>
    <col min="8" max="10" width="17.140625" customWidth="1"/>
    <col min="11" max="13" width="17.28515625" customWidth="1"/>
    <col min="14" max="14" width="13.140625" customWidth="1"/>
    <col min="15" max="15" width="16.28515625" customWidth="1"/>
    <col min="16" max="16" width="13.140625" customWidth="1"/>
    <col min="17" max="17" width="17" style="2" bestFit="1" customWidth="1"/>
    <col min="18" max="18" width="15.140625" bestFit="1" customWidth="1"/>
    <col min="19" max="19" width="17.7109375" style="4" bestFit="1" customWidth="1"/>
    <col min="20" max="20" width="15.7109375" style="2" customWidth="1"/>
    <col min="21" max="21" width="15.140625" style="2" bestFit="1" customWidth="1"/>
    <col min="22" max="22" width="18.28515625" style="2" bestFit="1" customWidth="1"/>
    <col min="23" max="28" width="18.140625" customWidth="1"/>
    <col min="29" max="29" width="21.42578125" style="2" bestFit="1" customWidth="1"/>
    <col min="30" max="30" width="19" bestFit="1" customWidth="1"/>
  </cols>
  <sheetData>
    <row r="1" spans="1:30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0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0" ht="42" customHeight="1" x14ac:dyDescent="0.25">
      <c r="A4" s="1" t="s">
        <v>6</v>
      </c>
      <c r="B4" s="1" t="s">
        <v>7</v>
      </c>
      <c r="C4" s="5" t="s">
        <v>187</v>
      </c>
      <c r="D4" s="5" t="s">
        <v>182</v>
      </c>
      <c r="E4" s="5" t="s">
        <v>222</v>
      </c>
      <c r="F4" s="5" t="s">
        <v>189</v>
      </c>
      <c r="G4" s="5" t="s">
        <v>185</v>
      </c>
      <c r="H4" s="5" t="s">
        <v>190</v>
      </c>
      <c r="I4" s="5" t="s">
        <v>213</v>
      </c>
      <c r="J4" s="5" t="s">
        <v>214</v>
      </c>
      <c r="K4" s="5" t="s">
        <v>215</v>
      </c>
      <c r="L4" s="5" t="s">
        <v>229</v>
      </c>
      <c r="M4" s="5" t="s">
        <v>210</v>
      </c>
      <c r="N4" s="5" t="s">
        <v>183</v>
      </c>
      <c r="O4" s="5" t="s">
        <v>207</v>
      </c>
      <c r="P4" s="5" t="s">
        <v>191</v>
      </c>
      <c r="Q4" s="5" t="s">
        <v>65</v>
      </c>
      <c r="R4" s="5" t="s">
        <v>57</v>
      </c>
      <c r="S4" s="5" t="s">
        <v>58</v>
      </c>
      <c r="T4" s="5" t="s">
        <v>59</v>
      </c>
      <c r="U4" s="5" t="s">
        <v>60</v>
      </c>
      <c r="V4" s="5" t="s">
        <v>61</v>
      </c>
      <c r="W4" s="5" t="s">
        <v>62</v>
      </c>
      <c r="X4" s="5" t="s">
        <v>63</v>
      </c>
      <c r="Y4" s="5" t="s">
        <v>64</v>
      </c>
      <c r="Z4" s="5" t="s">
        <v>8</v>
      </c>
      <c r="AA4" s="5" t="s">
        <v>181</v>
      </c>
      <c r="AB4" s="5" t="s">
        <v>180</v>
      </c>
      <c r="AC4" s="6" t="s">
        <v>9</v>
      </c>
      <c r="AD4" s="1" t="s">
        <v>10</v>
      </c>
    </row>
    <row r="5" spans="1:30" x14ac:dyDescent="0.25">
      <c r="A5" s="1" t="s">
        <v>184</v>
      </c>
      <c r="B5" s="1" t="str">
        <f>VLOOKUP(A5,[2]LISTADHERENT!A$5:H$52,2,0)</f>
        <v>ASELBY</v>
      </c>
      <c r="C5" s="6">
        <v>0</v>
      </c>
      <c r="D5" s="6">
        <v>318145</v>
      </c>
      <c r="E5" s="6">
        <v>355097</v>
      </c>
      <c r="F5" s="6">
        <v>318145</v>
      </c>
      <c r="G5" s="6">
        <v>36952</v>
      </c>
      <c r="H5" s="6">
        <v>355097.51531966974</v>
      </c>
      <c r="I5" s="6">
        <v>355097</v>
      </c>
      <c r="J5" s="6">
        <v>0</v>
      </c>
      <c r="K5" s="6">
        <v>355097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30" x14ac:dyDescent="0.25">
      <c r="A6" s="1" t="s">
        <v>11</v>
      </c>
      <c r="B6" s="1" t="str">
        <f>VLOOKUP(A6,[2]LISTADHERENT!A$5:H$52,2,0)</f>
        <v>BAKOP ACHILLE</v>
      </c>
      <c r="C6" s="6">
        <v>390000</v>
      </c>
      <c r="D6" s="6">
        <v>33536</v>
      </c>
      <c r="E6" s="6">
        <v>51993</v>
      </c>
      <c r="F6" s="6">
        <v>453536</v>
      </c>
      <c r="G6" s="6">
        <v>51457</v>
      </c>
      <c r="H6" s="6">
        <v>504993.98315681884</v>
      </c>
      <c r="I6" s="6">
        <v>114993</v>
      </c>
      <c r="J6" s="6">
        <v>63000</v>
      </c>
      <c r="K6" s="6">
        <v>51993</v>
      </c>
      <c r="L6" s="6">
        <v>0</v>
      </c>
      <c r="M6" s="6">
        <v>30000</v>
      </c>
      <c r="N6" s="6"/>
      <c r="O6" s="6">
        <v>25000</v>
      </c>
      <c r="P6" s="6">
        <v>8000</v>
      </c>
      <c r="Q6" s="7">
        <v>225000</v>
      </c>
      <c r="R6" s="7">
        <v>30000</v>
      </c>
      <c r="S6" s="7">
        <v>5000</v>
      </c>
      <c r="T6" s="7">
        <v>10000</v>
      </c>
      <c r="U6" s="7">
        <v>25000</v>
      </c>
      <c r="V6" s="7">
        <v>25000</v>
      </c>
      <c r="W6" s="7">
        <v>130000</v>
      </c>
      <c r="X6" s="7">
        <v>500000</v>
      </c>
      <c r="Y6" s="7">
        <v>15000</v>
      </c>
      <c r="Z6" s="7">
        <v>0</v>
      </c>
      <c r="AA6" s="7">
        <v>0</v>
      </c>
      <c r="AB6" s="7">
        <v>0</v>
      </c>
      <c r="AC6" s="7">
        <v>0</v>
      </c>
    </row>
    <row r="7" spans="1:30" x14ac:dyDescent="0.25">
      <c r="A7" s="1" t="s">
        <v>12</v>
      </c>
      <c r="B7" s="1" t="str">
        <f>VLOOKUP(A7,[2]LISTADHERENT!A$5:H$52,2,0)</f>
        <v>BOUTCHOUANG WILLIAM</v>
      </c>
      <c r="C7" s="6">
        <v>390000</v>
      </c>
      <c r="D7" s="6">
        <v>1704</v>
      </c>
      <c r="E7" s="6">
        <v>2720</v>
      </c>
      <c r="F7" s="6">
        <v>427704</v>
      </c>
      <c r="G7" s="6">
        <v>48016</v>
      </c>
      <c r="H7" s="6">
        <v>475720.56235860521</v>
      </c>
      <c r="I7" s="6">
        <v>85720</v>
      </c>
      <c r="J7" s="6">
        <v>80000</v>
      </c>
      <c r="K7" s="6">
        <v>5720</v>
      </c>
      <c r="L7" s="6">
        <v>3000</v>
      </c>
      <c r="M7" s="6">
        <v>30000</v>
      </c>
      <c r="N7" s="6"/>
      <c r="O7" s="6">
        <v>50000</v>
      </c>
      <c r="P7" s="6">
        <v>0</v>
      </c>
      <c r="Q7" s="7">
        <v>240000</v>
      </c>
      <c r="R7" s="7">
        <v>36000</v>
      </c>
      <c r="S7" s="7">
        <v>6000</v>
      </c>
      <c r="T7" s="7">
        <v>12000</v>
      </c>
      <c r="U7" s="7">
        <v>30000</v>
      </c>
      <c r="V7" s="7">
        <v>0</v>
      </c>
      <c r="W7" s="7">
        <v>156000</v>
      </c>
      <c r="X7" s="7">
        <v>1700000</v>
      </c>
      <c r="Y7" s="7">
        <v>124000</v>
      </c>
      <c r="Z7" s="7">
        <v>1000000</v>
      </c>
      <c r="AA7" s="7">
        <v>0</v>
      </c>
      <c r="AB7" s="7">
        <v>0</v>
      </c>
      <c r="AC7" s="7">
        <v>0</v>
      </c>
    </row>
    <row r="8" spans="1:30" x14ac:dyDescent="0.25">
      <c r="A8" s="1" t="s">
        <v>13</v>
      </c>
      <c r="B8" s="1" t="str">
        <f>VLOOKUP(A8,[2]LISTADHERENT!A$5:H$52,2,0)</f>
        <v>CHINGUE FABRICE</v>
      </c>
      <c r="C8" s="6">
        <v>390000</v>
      </c>
      <c r="D8" s="6">
        <v>1842</v>
      </c>
      <c r="E8" s="6">
        <v>5874</v>
      </c>
      <c r="F8" s="6">
        <v>427842</v>
      </c>
      <c r="G8" s="6">
        <v>48032</v>
      </c>
      <c r="H8" s="6">
        <v>475874.59104714065</v>
      </c>
      <c r="I8" s="6">
        <v>85874</v>
      </c>
      <c r="J8" s="6">
        <v>80000</v>
      </c>
      <c r="K8" s="6">
        <v>5874</v>
      </c>
      <c r="L8" s="6">
        <v>0</v>
      </c>
      <c r="M8" s="6">
        <v>30000</v>
      </c>
      <c r="N8" s="6"/>
      <c r="O8" s="6">
        <v>50000</v>
      </c>
      <c r="P8" s="6">
        <v>0</v>
      </c>
      <c r="Q8" s="7">
        <v>240000</v>
      </c>
      <c r="R8" s="7">
        <v>36000</v>
      </c>
      <c r="S8" s="7">
        <v>6000</v>
      </c>
      <c r="T8" s="7">
        <v>12000</v>
      </c>
      <c r="U8" s="7">
        <v>30000</v>
      </c>
      <c r="V8" s="7">
        <v>0</v>
      </c>
      <c r="W8" s="7">
        <v>156000</v>
      </c>
      <c r="X8" s="7">
        <v>2000000</v>
      </c>
      <c r="Y8" s="7">
        <v>180000</v>
      </c>
      <c r="Z8" s="7">
        <v>1000000</v>
      </c>
      <c r="AA8" s="7">
        <v>0</v>
      </c>
      <c r="AB8" s="7">
        <v>0</v>
      </c>
      <c r="AC8" s="7">
        <v>0</v>
      </c>
    </row>
    <row r="9" spans="1:30" x14ac:dyDescent="0.25">
      <c r="A9" s="1" t="s">
        <v>14</v>
      </c>
      <c r="B9" s="1" t="str">
        <f>VLOOKUP(A9,[2]LISTADHERENT!A$5:H$52,2,0)</f>
        <v xml:space="preserve">DJOMO JEAN PAUL </v>
      </c>
      <c r="C9" s="6">
        <v>390000</v>
      </c>
      <c r="D9" s="6">
        <v>8156</v>
      </c>
      <c r="E9" s="6">
        <v>2570</v>
      </c>
      <c r="F9" s="6">
        <v>441156</v>
      </c>
      <c r="G9" s="6">
        <v>48914</v>
      </c>
      <c r="H9" s="6">
        <v>490070.35585907887</v>
      </c>
      <c r="I9" s="6">
        <v>100070</v>
      </c>
      <c r="J9" s="6">
        <v>80000</v>
      </c>
      <c r="K9" s="6">
        <v>20070</v>
      </c>
      <c r="L9" s="6">
        <v>17500</v>
      </c>
      <c r="M9" s="6">
        <v>30000</v>
      </c>
      <c r="N9" s="6"/>
      <c r="O9" s="6">
        <v>50000</v>
      </c>
      <c r="P9" s="6">
        <v>0</v>
      </c>
      <c r="Q9" s="7">
        <v>247000</v>
      </c>
      <c r="R9" s="7">
        <v>43000</v>
      </c>
      <c r="S9" s="7">
        <v>6000</v>
      </c>
      <c r="T9" s="7">
        <v>12000</v>
      </c>
      <c r="U9" s="7">
        <v>30000</v>
      </c>
      <c r="V9" s="7">
        <v>0</v>
      </c>
      <c r="W9" s="7">
        <v>156000</v>
      </c>
      <c r="X9" s="7">
        <v>200000</v>
      </c>
      <c r="Y9" s="7">
        <v>6000</v>
      </c>
      <c r="Z9" s="7">
        <v>0</v>
      </c>
      <c r="AA9" s="7">
        <v>0</v>
      </c>
      <c r="AB9" s="7">
        <v>0</v>
      </c>
      <c r="AC9" s="7">
        <v>0</v>
      </c>
    </row>
    <row r="10" spans="1:30" x14ac:dyDescent="0.25">
      <c r="A10" s="1" t="s">
        <v>15</v>
      </c>
      <c r="B10" s="1" t="str">
        <f>VLOOKUP(A10,[2]LISTADHERENT!A$5:H$52,2,0)</f>
        <v>DJOUKWE GUY</v>
      </c>
      <c r="C10" s="6">
        <v>390000</v>
      </c>
      <c r="D10" s="6">
        <v>5905</v>
      </c>
      <c r="E10" s="6">
        <v>2697</v>
      </c>
      <c r="F10" s="6">
        <v>471905</v>
      </c>
      <c r="G10" s="6">
        <v>51792</v>
      </c>
      <c r="H10" s="6">
        <v>523697.04973564367</v>
      </c>
      <c r="I10" s="6">
        <v>133697</v>
      </c>
      <c r="J10" s="6">
        <v>80000</v>
      </c>
      <c r="K10" s="6">
        <v>53697</v>
      </c>
      <c r="L10" s="6">
        <v>51000</v>
      </c>
      <c r="M10" s="6">
        <v>30000</v>
      </c>
      <c r="N10" s="6"/>
      <c r="O10" s="6">
        <v>50000</v>
      </c>
      <c r="P10" s="6">
        <v>0</v>
      </c>
      <c r="Q10" s="7">
        <v>280000</v>
      </c>
      <c r="R10" s="7">
        <v>76000</v>
      </c>
      <c r="S10" s="7">
        <v>6000</v>
      </c>
      <c r="T10" s="7">
        <v>12000</v>
      </c>
      <c r="U10" s="7">
        <v>30000</v>
      </c>
      <c r="V10" s="7">
        <v>0</v>
      </c>
      <c r="W10" s="7">
        <v>156000</v>
      </c>
      <c r="X10" s="7">
        <v>250000</v>
      </c>
      <c r="Y10" s="7">
        <v>7500</v>
      </c>
      <c r="Z10" s="7">
        <v>0</v>
      </c>
      <c r="AA10" s="7">
        <v>0</v>
      </c>
      <c r="AB10" s="7">
        <v>0</v>
      </c>
      <c r="AC10" s="7">
        <v>0</v>
      </c>
    </row>
    <row r="11" spans="1:30" s="21" customFormat="1" x14ac:dyDescent="0.25">
      <c r="A11" s="19" t="s">
        <v>16</v>
      </c>
      <c r="B11" s="19" t="str">
        <f>VLOOKUP(A11,[2]LISTADHERENT!A$5:H$52,2,0)</f>
        <v>DJOSSEU JOSUE</v>
      </c>
      <c r="C11" s="33"/>
      <c r="D11" s="33"/>
      <c r="E11" s="6">
        <v>0</v>
      </c>
      <c r="F11" s="33"/>
      <c r="G11" s="6"/>
      <c r="H11" s="33"/>
      <c r="I11" s="33"/>
      <c r="J11" s="33"/>
      <c r="K11" s="33"/>
      <c r="L11" s="33"/>
      <c r="M11" s="33"/>
      <c r="N11" s="33"/>
      <c r="O11" s="33"/>
      <c r="P11" s="33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30" x14ac:dyDescent="0.25">
      <c r="A12" s="1" t="s">
        <v>17</v>
      </c>
      <c r="B12" s="1" t="str">
        <f>VLOOKUP(A12,[2]LISTADHERENT!A$5:H$52,2,0)</f>
        <v>DJOUNKEP SAMUEL</v>
      </c>
      <c r="C12" s="6">
        <v>390000</v>
      </c>
      <c r="D12" s="6">
        <v>1055294</v>
      </c>
      <c r="E12" s="6">
        <v>635540</v>
      </c>
      <c r="F12" s="6">
        <v>2001294</v>
      </c>
      <c r="G12" s="6">
        <v>204246</v>
      </c>
      <c r="H12" s="6">
        <v>2135835.732900281</v>
      </c>
      <c r="I12" s="6">
        <v>1815540</v>
      </c>
      <c r="J12" s="6">
        <v>80000</v>
      </c>
      <c r="K12" s="6">
        <v>1735540</v>
      </c>
      <c r="L12" s="6">
        <v>1100000</v>
      </c>
      <c r="M12" s="6">
        <v>30000</v>
      </c>
      <c r="N12" s="6"/>
      <c r="O12" s="6">
        <v>50000</v>
      </c>
      <c r="P12" s="6">
        <v>0</v>
      </c>
      <c r="Q12" s="7">
        <v>760000</v>
      </c>
      <c r="R12" s="7">
        <v>556000</v>
      </c>
      <c r="S12" s="7">
        <v>6000</v>
      </c>
      <c r="T12" s="7">
        <v>12000</v>
      </c>
      <c r="U12" s="7">
        <v>30000</v>
      </c>
      <c r="V12" s="7">
        <v>0</v>
      </c>
      <c r="W12" s="7">
        <v>156000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</row>
    <row r="13" spans="1:30" x14ac:dyDescent="0.25">
      <c r="A13" s="1" t="s">
        <v>18</v>
      </c>
      <c r="B13" s="1" t="str">
        <f>VLOOKUP(A13,[2]LISTADHERENT!A$5:H$52,2,0)</f>
        <v>DJUOMBESSY ANTOINE</v>
      </c>
      <c r="C13" s="6">
        <v>390000</v>
      </c>
      <c r="D13" s="6">
        <v>0</v>
      </c>
      <c r="E13" s="6">
        <v>2746</v>
      </c>
      <c r="F13" s="6">
        <v>457560</v>
      </c>
      <c r="G13" s="6">
        <v>43186</v>
      </c>
      <c r="H13" s="6">
        <v>500746.2480208117</v>
      </c>
      <c r="I13" s="6">
        <v>110746</v>
      </c>
      <c r="J13" s="6">
        <v>80000</v>
      </c>
      <c r="K13" s="6">
        <v>30746</v>
      </c>
      <c r="L13" s="6">
        <v>28000</v>
      </c>
      <c r="M13" s="6">
        <v>30000</v>
      </c>
      <c r="N13" s="6"/>
      <c r="O13" s="6">
        <v>50000</v>
      </c>
      <c r="P13" s="6">
        <v>0</v>
      </c>
      <c r="Q13" s="7">
        <v>271560</v>
      </c>
      <c r="R13" s="7">
        <v>67560</v>
      </c>
      <c r="S13" s="7">
        <v>6000</v>
      </c>
      <c r="T13" s="7">
        <v>12000</v>
      </c>
      <c r="U13" s="7">
        <v>30000</v>
      </c>
      <c r="V13" s="7">
        <v>0</v>
      </c>
      <c r="W13" s="7">
        <v>156000</v>
      </c>
      <c r="X13" s="7">
        <v>700000</v>
      </c>
      <c r="Y13" s="7">
        <v>84000</v>
      </c>
      <c r="Z13" s="7">
        <v>0</v>
      </c>
      <c r="AA13" s="7">
        <v>0</v>
      </c>
      <c r="AB13" s="7">
        <v>48440</v>
      </c>
      <c r="AC13" s="7">
        <v>0</v>
      </c>
    </row>
    <row r="14" spans="1:30" x14ac:dyDescent="0.25">
      <c r="A14" s="1" t="s">
        <v>19</v>
      </c>
      <c r="B14" s="1" t="str">
        <f>VLOOKUP(A14,[2]LISTADHERENT!A$5:H$52,2,0)</f>
        <v>DONHOU DAVID</v>
      </c>
      <c r="C14" s="6">
        <v>390000</v>
      </c>
      <c r="D14" s="6">
        <v>44734</v>
      </c>
      <c r="E14" s="6">
        <v>53748</v>
      </c>
      <c r="F14" s="6">
        <v>470734</v>
      </c>
      <c r="G14" s="6">
        <v>53014</v>
      </c>
      <c r="H14" s="6">
        <v>523748.4932838293</v>
      </c>
      <c r="I14" s="6">
        <v>133748</v>
      </c>
      <c r="J14" s="6">
        <v>80000</v>
      </c>
      <c r="K14" s="6">
        <v>53748</v>
      </c>
      <c r="L14" s="6">
        <v>0</v>
      </c>
      <c r="M14" s="6">
        <v>30000</v>
      </c>
      <c r="N14" s="6"/>
      <c r="O14" s="6">
        <v>50000</v>
      </c>
      <c r="P14" s="6">
        <v>0</v>
      </c>
      <c r="Q14" s="7">
        <v>240000</v>
      </c>
      <c r="R14" s="7">
        <v>36000</v>
      </c>
      <c r="S14" s="7">
        <v>6000</v>
      </c>
      <c r="T14" s="7">
        <v>12000</v>
      </c>
      <c r="U14" s="7">
        <v>30000</v>
      </c>
      <c r="V14" s="7">
        <v>0</v>
      </c>
      <c r="W14" s="7">
        <v>156000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2"/>
    </row>
    <row r="15" spans="1:30" x14ac:dyDescent="0.25">
      <c r="A15" s="1" t="s">
        <v>20</v>
      </c>
      <c r="B15" s="1" t="str">
        <f>VLOOKUP(A15,[2]LISTADHERENT!A$5:H$52,2,0)</f>
        <v>FOTSO THOMAS</v>
      </c>
      <c r="C15" s="6">
        <v>390000</v>
      </c>
      <c r="D15" s="6">
        <v>3318</v>
      </c>
      <c r="E15" s="6">
        <v>2522</v>
      </c>
      <c r="F15" s="6">
        <v>429318</v>
      </c>
      <c r="G15" s="6">
        <v>48204</v>
      </c>
      <c r="H15" s="6">
        <v>477522.02832452004</v>
      </c>
      <c r="I15" s="6">
        <v>87522</v>
      </c>
      <c r="J15" s="6">
        <v>80000</v>
      </c>
      <c r="K15" s="6">
        <v>7522</v>
      </c>
      <c r="L15" s="6">
        <v>5000</v>
      </c>
      <c r="M15" s="6">
        <v>30000</v>
      </c>
      <c r="N15" s="6"/>
      <c r="O15" s="6">
        <v>50000</v>
      </c>
      <c r="P15" s="6">
        <v>0</v>
      </c>
      <c r="Q15" s="7">
        <v>240000</v>
      </c>
      <c r="R15" s="7">
        <v>36000</v>
      </c>
      <c r="S15" s="7">
        <v>6000</v>
      </c>
      <c r="T15" s="7">
        <v>12000</v>
      </c>
      <c r="U15" s="7">
        <v>30000</v>
      </c>
      <c r="V15" s="7">
        <v>0</v>
      </c>
      <c r="W15" s="7">
        <v>156000</v>
      </c>
      <c r="X15" s="7">
        <v>1000000</v>
      </c>
      <c r="Y15" s="7">
        <v>120000</v>
      </c>
      <c r="Z15" s="7">
        <v>0</v>
      </c>
      <c r="AA15" s="7">
        <v>0</v>
      </c>
      <c r="AB15" s="7">
        <v>0</v>
      </c>
      <c r="AC15" s="7">
        <v>0</v>
      </c>
      <c r="AD15" s="2"/>
    </row>
    <row r="16" spans="1:30" x14ac:dyDescent="0.25">
      <c r="A16" s="1" t="s">
        <v>21</v>
      </c>
      <c r="B16" s="1" t="str">
        <f>VLOOKUP(A16,[2]LISTADHERENT!A$5:H$52,2,0)</f>
        <v>HENGUE PAUL OMER</v>
      </c>
      <c r="C16" s="6">
        <v>390000</v>
      </c>
      <c r="D16" s="6"/>
      <c r="E16" s="6">
        <v>-10298</v>
      </c>
      <c r="F16" s="6">
        <v>420000</v>
      </c>
      <c r="G16" s="6">
        <v>47702</v>
      </c>
      <c r="H16" s="6">
        <v>467702.04132519802</v>
      </c>
      <c r="I16" s="6">
        <v>77702</v>
      </c>
      <c r="J16" s="6">
        <v>88000</v>
      </c>
      <c r="K16" s="6">
        <v>-10298</v>
      </c>
      <c r="L16" s="6">
        <v>0</v>
      </c>
      <c r="M16" s="6">
        <v>30000</v>
      </c>
      <c r="N16" s="6"/>
      <c r="O16" s="6">
        <v>50000</v>
      </c>
      <c r="P16" s="6">
        <v>8000</v>
      </c>
      <c r="Q16" s="7">
        <v>200000</v>
      </c>
      <c r="R16" s="7">
        <v>30000</v>
      </c>
      <c r="S16" s="7">
        <v>5000</v>
      </c>
      <c r="T16" s="7">
        <v>10000</v>
      </c>
      <c r="U16" s="7">
        <v>25000</v>
      </c>
      <c r="V16" s="7">
        <v>0</v>
      </c>
      <c r="W16" s="7">
        <v>130000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2"/>
    </row>
    <row r="17" spans="1:30" x14ac:dyDescent="0.25">
      <c r="A17" s="1" t="s">
        <v>22</v>
      </c>
      <c r="B17" s="1" t="str">
        <f>VLOOKUP(A17,[2]LISTADHERENT!A$5:H$52,2,0)</f>
        <v>HODIEP JULES</v>
      </c>
      <c r="C17" s="6">
        <v>50000</v>
      </c>
      <c r="D17" s="6">
        <v>0</v>
      </c>
      <c r="E17" s="6">
        <v>260</v>
      </c>
      <c r="F17" s="6">
        <v>58100</v>
      </c>
      <c r="G17" s="6">
        <v>6252</v>
      </c>
      <c r="H17" s="6">
        <v>92252.382130280748</v>
      </c>
      <c r="I17" s="6">
        <v>14352</v>
      </c>
      <c r="J17" s="6">
        <v>14092</v>
      </c>
      <c r="K17" s="6">
        <v>260</v>
      </c>
      <c r="L17" s="6">
        <v>0</v>
      </c>
      <c r="M17" s="6"/>
      <c r="N17" s="6"/>
      <c r="O17" s="6">
        <v>14092</v>
      </c>
      <c r="P17" s="6">
        <v>0</v>
      </c>
      <c r="Q17" s="7">
        <v>240000</v>
      </c>
      <c r="R17" s="7">
        <v>8100</v>
      </c>
      <c r="S17" s="7">
        <v>6000</v>
      </c>
      <c r="T17" s="7">
        <v>12000</v>
      </c>
      <c r="U17" s="7">
        <v>30000</v>
      </c>
      <c r="V17" s="7">
        <v>0</v>
      </c>
      <c r="W17" s="7">
        <v>156000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2"/>
    </row>
    <row r="18" spans="1:30" x14ac:dyDescent="0.25">
      <c r="A18" s="1" t="s">
        <v>23</v>
      </c>
      <c r="B18" s="1" t="str">
        <f>VLOOKUP(A18,[2]LISTADHERENT!A$5:H$52,2,0)</f>
        <v>HOTCHO BENJAMIN</v>
      </c>
      <c r="C18" s="6">
        <v>390000</v>
      </c>
      <c r="D18" s="6">
        <v>8723</v>
      </c>
      <c r="E18" s="6">
        <v>112685</v>
      </c>
      <c r="F18" s="6">
        <v>482723</v>
      </c>
      <c r="G18" s="6">
        <v>49962</v>
      </c>
      <c r="H18" s="6">
        <v>532685.37627619994</v>
      </c>
      <c r="I18" s="6">
        <v>142685</v>
      </c>
      <c r="J18" s="6">
        <v>30000</v>
      </c>
      <c r="K18" s="6">
        <v>112685</v>
      </c>
      <c r="L18" s="6">
        <v>0</v>
      </c>
      <c r="M18" s="6">
        <v>30000</v>
      </c>
      <c r="N18" s="6"/>
      <c r="O18" s="6">
        <v>0</v>
      </c>
      <c r="P18" s="6">
        <v>0</v>
      </c>
      <c r="Q18" s="7">
        <v>338000</v>
      </c>
      <c r="R18" s="7">
        <v>84000</v>
      </c>
      <c r="S18" s="7">
        <v>6000</v>
      </c>
      <c r="T18" s="7">
        <v>12000</v>
      </c>
      <c r="U18" s="7">
        <v>30000</v>
      </c>
      <c r="V18" s="7">
        <v>50000</v>
      </c>
      <c r="W18" s="7">
        <v>156000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2"/>
    </row>
    <row r="19" spans="1:30" x14ac:dyDescent="0.25">
      <c r="A19" s="1" t="s">
        <v>24</v>
      </c>
      <c r="B19" s="1" t="str">
        <f>VLOOKUP(A19,[2]LISTADHERENT!A$5:H$52,2,0)</f>
        <v>KEPHE DAVID</v>
      </c>
      <c r="C19" s="6">
        <v>0</v>
      </c>
      <c r="D19" s="6">
        <v>12795</v>
      </c>
      <c r="E19" s="6">
        <v>177</v>
      </c>
      <c r="F19" s="6">
        <v>18000</v>
      </c>
      <c r="G19" s="6">
        <v>4006</v>
      </c>
      <c r="H19" s="6">
        <v>52801.313486987739</v>
      </c>
      <c r="I19" s="6">
        <v>22006</v>
      </c>
      <c r="J19" s="6">
        <v>21829</v>
      </c>
      <c r="K19" s="6">
        <v>177</v>
      </c>
      <c r="L19" s="6">
        <v>0</v>
      </c>
      <c r="M19" s="6"/>
      <c r="N19" s="6"/>
      <c r="O19" s="6">
        <v>21829</v>
      </c>
      <c r="P19" s="6">
        <v>0</v>
      </c>
      <c r="Q19" s="7">
        <v>240000</v>
      </c>
      <c r="R19" s="7">
        <v>5205</v>
      </c>
      <c r="S19" s="7">
        <v>6000</v>
      </c>
      <c r="T19" s="7">
        <v>12000</v>
      </c>
      <c r="U19" s="7">
        <v>30000</v>
      </c>
      <c r="V19" s="7">
        <v>0</v>
      </c>
      <c r="W19" s="7">
        <v>156000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2"/>
    </row>
    <row r="20" spans="1:30" x14ac:dyDescent="0.25">
      <c r="A20" s="1" t="s">
        <v>25</v>
      </c>
      <c r="B20" s="1" t="str">
        <f>VLOOKUP(A20,[2]LISTADHERENT!A$5:H$52,2,0)</f>
        <v>KEPSEU FRANCIS</v>
      </c>
      <c r="C20" s="6">
        <v>390000</v>
      </c>
      <c r="D20" s="6">
        <v>186997</v>
      </c>
      <c r="E20" s="6">
        <v>705425</v>
      </c>
      <c r="F20" s="6">
        <v>1128997</v>
      </c>
      <c r="G20" s="6">
        <v>117428</v>
      </c>
      <c r="H20" s="6">
        <v>1246425.7981045675</v>
      </c>
      <c r="I20" s="6">
        <v>856425</v>
      </c>
      <c r="J20" s="6">
        <v>80000</v>
      </c>
      <c r="K20" s="6">
        <v>776425</v>
      </c>
      <c r="L20" s="6">
        <v>71000</v>
      </c>
      <c r="M20" s="6">
        <v>30000</v>
      </c>
      <c r="N20" s="6"/>
      <c r="O20" s="6">
        <v>50000</v>
      </c>
      <c r="P20" s="6">
        <v>0</v>
      </c>
      <c r="Q20" s="7">
        <v>756000</v>
      </c>
      <c r="R20" s="7">
        <v>552000</v>
      </c>
      <c r="S20" s="7">
        <v>6000</v>
      </c>
      <c r="T20" s="7">
        <v>12000</v>
      </c>
      <c r="U20" s="7">
        <v>30000</v>
      </c>
      <c r="V20" s="7">
        <v>0</v>
      </c>
      <c r="W20" s="7">
        <v>156000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2"/>
    </row>
    <row r="21" spans="1:30" x14ac:dyDescent="0.25">
      <c r="A21" s="1" t="s">
        <v>26</v>
      </c>
      <c r="B21" s="1" t="str">
        <f>VLOOKUP(A21,[2]LISTADHERENT!A$5:H$52,2,0)</f>
        <v>KOUAMOU EMMANUEL</v>
      </c>
      <c r="C21" s="6">
        <v>390000</v>
      </c>
      <c r="D21" s="6">
        <v>2723</v>
      </c>
      <c r="E21" s="6">
        <v>2357</v>
      </c>
      <c r="F21" s="6">
        <v>428723</v>
      </c>
      <c r="G21" s="6">
        <v>48134</v>
      </c>
      <c r="H21" s="6">
        <v>476857.91912395041</v>
      </c>
      <c r="I21" s="6">
        <v>86857</v>
      </c>
      <c r="J21" s="6">
        <v>80000</v>
      </c>
      <c r="K21" s="6">
        <v>6857</v>
      </c>
      <c r="L21" s="6">
        <v>4500</v>
      </c>
      <c r="M21" s="6">
        <v>30000</v>
      </c>
      <c r="N21" s="6"/>
      <c r="O21" s="6">
        <v>50000</v>
      </c>
      <c r="P21" s="6">
        <v>0</v>
      </c>
      <c r="Q21" s="7">
        <v>240000</v>
      </c>
      <c r="R21" s="7">
        <v>36000</v>
      </c>
      <c r="S21" s="7">
        <v>6000</v>
      </c>
      <c r="T21" s="7">
        <v>12000</v>
      </c>
      <c r="U21" s="7">
        <v>30000</v>
      </c>
      <c r="V21" s="7">
        <v>0</v>
      </c>
      <c r="W21" s="7">
        <v>156000</v>
      </c>
      <c r="X21" s="7">
        <v>1000000</v>
      </c>
      <c r="Y21" s="7">
        <v>120000</v>
      </c>
      <c r="Z21" s="7">
        <v>0</v>
      </c>
      <c r="AA21" s="7">
        <v>0</v>
      </c>
      <c r="AB21" s="7">
        <v>0</v>
      </c>
      <c r="AC21" s="7">
        <v>0</v>
      </c>
      <c r="AD21" s="2"/>
    </row>
    <row r="22" spans="1:30" ht="12.75" customHeight="1" x14ac:dyDescent="0.25">
      <c r="A22" s="1" t="s">
        <v>27</v>
      </c>
      <c r="B22" s="1" t="str">
        <f>VLOOKUP(A22,[2]LISTADHERENT!A$5:H$52,2,0)</f>
        <v>KOUAMOU MOISE</v>
      </c>
      <c r="C22" s="6">
        <v>390000</v>
      </c>
      <c r="D22" s="6">
        <v>2099</v>
      </c>
      <c r="E22" s="6">
        <v>3048</v>
      </c>
      <c r="F22" s="6">
        <v>428099</v>
      </c>
      <c r="G22" s="6">
        <v>44949</v>
      </c>
      <c r="H22" s="6">
        <v>473048.50805201381</v>
      </c>
      <c r="I22" s="6">
        <v>83048</v>
      </c>
      <c r="J22" s="6">
        <v>80000</v>
      </c>
      <c r="K22" s="6">
        <v>3048</v>
      </c>
      <c r="L22" s="6">
        <v>0</v>
      </c>
      <c r="M22" s="6">
        <v>30000</v>
      </c>
      <c r="N22" s="6"/>
      <c r="O22" s="6">
        <v>50000</v>
      </c>
      <c r="P22" s="6">
        <v>0</v>
      </c>
      <c r="Q22" s="7">
        <v>240000</v>
      </c>
      <c r="R22" s="7">
        <v>36000</v>
      </c>
      <c r="S22" s="7">
        <v>6000</v>
      </c>
      <c r="T22" s="7">
        <v>12000</v>
      </c>
      <c r="U22" s="7">
        <v>30000</v>
      </c>
      <c r="V22" s="7">
        <v>0</v>
      </c>
      <c r="W22" s="7">
        <v>156000</v>
      </c>
      <c r="X22" s="7">
        <v>860000</v>
      </c>
      <c r="Y22" s="7">
        <v>97800</v>
      </c>
      <c r="Z22" s="7">
        <v>0</v>
      </c>
      <c r="AA22" s="7">
        <v>0</v>
      </c>
      <c r="AB22" s="7">
        <v>0</v>
      </c>
      <c r="AC22" s="7">
        <v>0</v>
      </c>
      <c r="AD22" s="2"/>
    </row>
    <row r="23" spans="1:30" x14ac:dyDescent="0.25">
      <c r="A23" s="1" t="s">
        <v>28</v>
      </c>
      <c r="B23" s="1" t="str">
        <f>VLOOKUP(A23,[2]LISTADHERENT!A$5:H$52,2,0)</f>
        <v>KOUAMOU VICTOR PEGUY</v>
      </c>
      <c r="C23" s="6">
        <v>390000</v>
      </c>
      <c r="D23" s="6">
        <v>36629</v>
      </c>
      <c r="E23" s="6">
        <v>2686</v>
      </c>
      <c r="F23" s="6">
        <v>461629</v>
      </c>
      <c r="G23" s="6">
        <v>52057</v>
      </c>
      <c r="H23" s="6">
        <v>513686.78429989645</v>
      </c>
      <c r="I23" s="6">
        <v>123686</v>
      </c>
      <c r="J23" s="6">
        <v>80000</v>
      </c>
      <c r="K23" s="6">
        <v>43686</v>
      </c>
      <c r="L23" s="6">
        <v>41000</v>
      </c>
      <c r="M23" s="6">
        <v>30000</v>
      </c>
      <c r="N23" s="6"/>
      <c r="O23" s="6">
        <v>50000</v>
      </c>
      <c r="P23" s="6">
        <v>0</v>
      </c>
      <c r="Q23" s="7">
        <v>239000</v>
      </c>
      <c r="R23" s="7">
        <v>35000</v>
      </c>
      <c r="S23" s="7">
        <v>6000</v>
      </c>
      <c r="T23" s="7">
        <v>12000</v>
      </c>
      <c r="U23" s="7">
        <v>30000</v>
      </c>
      <c r="V23" s="7">
        <v>0</v>
      </c>
      <c r="W23" s="7">
        <v>156000</v>
      </c>
      <c r="X23" s="7">
        <v>1800000</v>
      </c>
      <c r="Y23" s="7">
        <v>128000</v>
      </c>
      <c r="Z23" s="7">
        <v>1000000</v>
      </c>
      <c r="AA23" s="7">
        <v>0</v>
      </c>
      <c r="AB23" s="7">
        <v>0</v>
      </c>
      <c r="AC23" s="7">
        <v>0</v>
      </c>
      <c r="AD23" s="2"/>
    </row>
    <row r="24" spans="1:30" x14ac:dyDescent="0.25">
      <c r="A24" s="1" t="s">
        <v>29</v>
      </c>
      <c r="B24" s="1" t="str">
        <f>VLOOKUP(A24,[2]LISTADHERENT!A$5:H$52,2,0)</f>
        <v>KOUATCHO MESSACK</v>
      </c>
      <c r="C24" s="6">
        <v>390000</v>
      </c>
      <c r="D24" s="6">
        <v>0</v>
      </c>
      <c r="E24" s="6">
        <v>3818</v>
      </c>
      <c r="F24" s="6">
        <v>426000</v>
      </c>
      <c r="G24" s="6">
        <v>47818</v>
      </c>
      <c r="H24" s="6">
        <v>473818.64290016744</v>
      </c>
      <c r="I24" s="6">
        <v>83818</v>
      </c>
      <c r="J24" s="6">
        <v>80000</v>
      </c>
      <c r="K24" s="6">
        <v>3818</v>
      </c>
      <c r="L24" s="6">
        <v>0</v>
      </c>
      <c r="M24" s="6">
        <v>30000</v>
      </c>
      <c r="N24" s="6"/>
      <c r="O24" s="6">
        <v>50000</v>
      </c>
      <c r="P24" s="6">
        <v>0</v>
      </c>
      <c r="Q24" s="7">
        <v>240000</v>
      </c>
      <c r="R24" s="7">
        <v>36000</v>
      </c>
      <c r="S24" s="7">
        <v>6000</v>
      </c>
      <c r="T24" s="7">
        <v>12000</v>
      </c>
      <c r="U24" s="7">
        <v>30000</v>
      </c>
      <c r="V24" s="7">
        <v>0</v>
      </c>
      <c r="W24" s="7">
        <v>156000</v>
      </c>
      <c r="X24" s="7">
        <v>1600000</v>
      </c>
      <c r="Y24" s="7">
        <v>192000</v>
      </c>
      <c r="Z24" s="7">
        <v>0</v>
      </c>
      <c r="AA24" s="7">
        <v>0</v>
      </c>
      <c r="AB24" s="7">
        <v>0</v>
      </c>
      <c r="AC24" s="7">
        <v>0</v>
      </c>
      <c r="AD24" s="2"/>
    </row>
    <row r="25" spans="1:30" x14ac:dyDescent="0.25">
      <c r="A25" s="1" t="s">
        <v>30</v>
      </c>
      <c r="B25" s="1" t="str">
        <f>VLOOKUP(A25,[2]LISTADHERENT!A$5:H$52,2,0)</f>
        <v>LOWE JEAN</v>
      </c>
      <c r="C25" s="6">
        <v>390000</v>
      </c>
      <c r="D25" s="6">
        <v>4331</v>
      </c>
      <c r="E25" s="6">
        <v>2652</v>
      </c>
      <c r="F25" s="6">
        <v>430331</v>
      </c>
      <c r="G25" s="6">
        <v>48321</v>
      </c>
      <c r="H25" s="6">
        <v>478652.6881903637</v>
      </c>
      <c r="I25" s="6">
        <v>88652</v>
      </c>
      <c r="J25" s="6">
        <v>80000</v>
      </c>
      <c r="K25" s="6">
        <v>8652</v>
      </c>
      <c r="L25" s="6">
        <v>6000</v>
      </c>
      <c r="M25" s="6">
        <v>30000</v>
      </c>
      <c r="N25" s="6"/>
      <c r="O25" s="6">
        <v>50000</v>
      </c>
      <c r="P25" s="6">
        <v>0</v>
      </c>
      <c r="Q25" s="7">
        <v>240000</v>
      </c>
      <c r="R25" s="7">
        <v>36000</v>
      </c>
      <c r="S25" s="7">
        <v>6000</v>
      </c>
      <c r="T25" s="7">
        <v>12000</v>
      </c>
      <c r="U25" s="7">
        <v>30000</v>
      </c>
      <c r="V25" s="7">
        <v>0</v>
      </c>
      <c r="W25" s="7">
        <v>156000</v>
      </c>
      <c r="X25" s="7">
        <v>240000</v>
      </c>
      <c r="Y25" s="7">
        <v>7200</v>
      </c>
      <c r="Z25" s="7">
        <v>160000</v>
      </c>
      <c r="AA25" s="7">
        <v>0</v>
      </c>
      <c r="AB25" s="7">
        <v>0</v>
      </c>
      <c r="AC25" s="7">
        <v>0</v>
      </c>
      <c r="AD25" s="2"/>
    </row>
    <row r="26" spans="1:30" x14ac:dyDescent="0.25">
      <c r="A26" s="1" t="s">
        <v>31</v>
      </c>
      <c r="B26" s="1" t="str">
        <f>VLOOKUP(A26,[2]LISTADHERENT!A$5:H$52,2,0)</f>
        <v>NANKAM APPOLINAIRE</v>
      </c>
      <c r="C26" s="6">
        <v>390000</v>
      </c>
      <c r="D26" s="6">
        <v>4411</v>
      </c>
      <c r="E26" s="6">
        <v>2741</v>
      </c>
      <c r="F26" s="6">
        <v>430411</v>
      </c>
      <c r="G26" s="6">
        <v>48330</v>
      </c>
      <c r="H26" s="6">
        <v>478741.98018371756</v>
      </c>
      <c r="I26" s="6">
        <v>88741</v>
      </c>
      <c r="J26" s="6">
        <v>80000</v>
      </c>
      <c r="K26" s="6">
        <v>8741</v>
      </c>
      <c r="L26" s="6">
        <v>6000</v>
      </c>
      <c r="M26" s="6">
        <v>30000</v>
      </c>
      <c r="N26" s="6"/>
      <c r="O26" s="6">
        <v>50000</v>
      </c>
      <c r="P26" s="6">
        <v>0</v>
      </c>
      <c r="Q26" s="7">
        <v>240000</v>
      </c>
      <c r="R26" s="7">
        <v>36000</v>
      </c>
      <c r="S26" s="7">
        <v>6000</v>
      </c>
      <c r="T26" s="7">
        <v>12000</v>
      </c>
      <c r="U26" s="7">
        <v>30000</v>
      </c>
      <c r="V26" s="7">
        <v>0</v>
      </c>
      <c r="W26" s="7">
        <v>156000</v>
      </c>
      <c r="X26" s="7">
        <v>1000000</v>
      </c>
      <c r="Y26" s="7">
        <v>120000</v>
      </c>
      <c r="Z26" s="7">
        <v>0</v>
      </c>
      <c r="AA26" s="7">
        <v>0</v>
      </c>
      <c r="AB26" s="7">
        <v>0</v>
      </c>
      <c r="AC26" s="7">
        <v>0</v>
      </c>
      <c r="AD26" s="2"/>
    </row>
    <row r="27" spans="1:30" x14ac:dyDescent="0.25">
      <c r="A27" s="1" t="s">
        <v>32</v>
      </c>
      <c r="B27" s="1" t="str">
        <f>VLOOKUP(A27,[2]LISTADHERENT!A$5:H$52,2,0)</f>
        <v>NDJOMO ETIENNE</v>
      </c>
      <c r="C27" s="6">
        <v>390000</v>
      </c>
      <c r="D27" s="6">
        <v>2060</v>
      </c>
      <c r="E27" s="6">
        <v>2818</v>
      </c>
      <c r="F27" s="6">
        <v>488060</v>
      </c>
      <c r="G27" s="6">
        <v>52258</v>
      </c>
      <c r="H27" s="6">
        <v>540318.20389561309</v>
      </c>
      <c r="I27" s="6">
        <v>150318</v>
      </c>
      <c r="J27" s="6">
        <v>80000</v>
      </c>
      <c r="K27" s="6">
        <v>70318</v>
      </c>
      <c r="L27" s="6">
        <v>67500</v>
      </c>
      <c r="M27" s="6">
        <v>30000</v>
      </c>
      <c r="N27" s="6"/>
      <c r="O27" s="6">
        <v>50000</v>
      </c>
      <c r="P27" s="6">
        <v>0</v>
      </c>
      <c r="Q27" s="7">
        <v>300000</v>
      </c>
      <c r="R27" s="7">
        <v>96000</v>
      </c>
      <c r="S27" s="7">
        <v>6000</v>
      </c>
      <c r="T27" s="7">
        <v>12000</v>
      </c>
      <c r="U27" s="7">
        <v>30000</v>
      </c>
      <c r="V27" s="7">
        <v>0</v>
      </c>
      <c r="W27" s="7">
        <v>156000</v>
      </c>
      <c r="X27" s="7">
        <v>1600000</v>
      </c>
      <c r="Y27" s="7">
        <v>48000</v>
      </c>
      <c r="Z27" s="7">
        <v>1200000</v>
      </c>
      <c r="AA27" s="7">
        <v>0</v>
      </c>
      <c r="AB27" s="7">
        <v>0</v>
      </c>
      <c r="AC27" s="7">
        <v>0</v>
      </c>
      <c r="AD27" s="2"/>
    </row>
    <row r="28" spans="1:30" ht="0.75" customHeight="1" x14ac:dyDescent="0.25">
      <c r="A28" s="1" t="s">
        <v>33</v>
      </c>
      <c r="B28" s="1" t="str">
        <f>VLOOKUP(A28,[2]LISTADHERENT!A$5:H$52,2,0)</f>
        <v>NDOMBOU JEAN CLAUDE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/>
      <c r="M28" s="6"/>
      <c r="N28" s="6"/>
      <c r="O28" s="6"/>
      <c r="P28" s="6"/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2"/>
    </row>
    <row r="29" spans="1:30" x14ac:dyDescent="0.25">
      <c r="A29" s="1" t="s">
        <v>34</v>
      </c>
      <c r="B29" s="1" t="str">
        <f>VLOOKUP(A29,[2]LISTADHERENT!A$5:H$52,2,0)</f>
        <v>NGONDIEP CLAUDE</v>
      </c>
      <c r="C29" s="6">
        <v>390000</v>
      </c>
      <c r="D29" s="6">
        <v>179574</v>
      </c>
      <c r="E29" s="6">
        <v>3250</v>
      </c>
      <c r="F29" s="6">
        <v>605574</v>
      </c>
      <c r="G29" s="6">
        <v>68676</v>
      </c>
      <c r="H29" s="6">
        <v>674250.14808181231</v>
      </c>
      <c r="I29" s="6">
        <v>284250</v>
      </c>
      <c r="J29" s="6">
        <v>80000</v>
      </c>
      <c r="K29" s="6">
        <v>204250</v>
      </c>
      <c r="L29" s="6">
        <v>201000</v>
      </c>
      <c r="M29" s="6">
        <v>30000</v>
      </c>
      <c r="N29" s="6"/>
      <c r="O29" s="6">
        <v>50000</v>
      </c>
      <c r="P29" s="6">
        <v>0</v>
      </c>
      <c r="Q29" s="7">
        <v>240000</v>
      </c>
      <c r="R29" s="7">
        <v>36000</v>
      </c>
      <c r="S29" s="7">
        <v>6000</v>
      </c>
      <c r="T29" s="7">
        <v>12000</v>
      </c>
      <c r="U29" s="7">
        <v>30000</v>
      </c>
      <c r="V29" s="7">
        <v>0</v>
      </c>
      <c r="W29" s="7">
        <v>156000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2"/>
    </row>
    <row r="30" spans="1:30" x14ac:dyDescent="0.25">
      <c r="A30" s="1" t="s">
        <v>35</v>
      </c>
      <c r="B30" s="1" t="str">
        <f>VLOOKUP(A30,[2]LISTADHERENT!A$5:H$52,2,0)</f>
        <v>NGONGANG JEAN THEODORE</v>
      </c>
      <c r="C30" s="6">
        <v>0</v>
      </c>
      <c r="D30" s="6">
        <v>0</v>
      </c>
      <c r="E30" s="6">
        <v>106</v>
      </c>
      <c r="F30" s="6">
        <v>17782</v>
      </c>
      <c r="G30" s="6">
        <v>2520</v>
      </c>
      <c r="H30" s="6">
        <v>38520.175299949828</v>
      </c>
      <c r="I30" s="6">
        <v>20302</v>
      </c>
      <c r="J30" s="6">
        <v>20196</v>
      </c>
      <c r="K30" s="6">
        <v>106</v>
      </c>
      <c r="L30" s="6">
        <v>0</v>
      </c>
      <c r="M30" s="6"/>
      <c r="N30" s="6"/>
      <c r="O30" s="6">
        <v>20196</v>
      </c>
      <c r="P30" s="6">
        <v>0</v>
      </c>
      <c r="Q30" s="7">
        <v>240000</v>
      </c>
      <c r="R30" s="7">
        <v>17782</v>
      </c>
      <c r="S30" s="7">
        <v>6000</v>
      </c>
      <c r="T30" s="7">
        <v>12000</v>
      </c>
      <c r="U30" s="7">
        <v>30000</v>
      </c>
      <c r="V30" s="7">
        <v>0</v>
      </c>
      <c r="W30" s="7">
        <v>156000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2"/>
    </row>
    <row r="31" spans="1:30" x14ac:dyDescent="0.25">
      <c r="A31" s="1" t="s">
        <v>36</v>
      </c>
      <c r="B31" s="1" t="str">
        <f>VLOOKUP(A31,[2]LISTADHERENT!A$5:H$52,2,0)</f>
        <v>NGUIEMEGNI MATHIEU BLAISE</v>
      </c>
      <c r="C31" s="6">
        <v>390000</v>
      </c>
      <c r="D31" s="6">
        <v>0</v>
      </c>
      <c r="E31" s="6">
        <v>565188</v>
      </c>
      <c r="F31" s="6">
        <v>945945</v>
      </c>
      <c r="G31" s="6">
        <v>39243</v>
      </c>
      <c r="H31" s="6">
        <v>985188.08962026308</v>
      </c>
      <c r="I31" s="6">
        <v>595188</v>
      </c>
      <c r="J31" s="6">
        <v>30000</v>
      </c>
      <c r="K31" s="6">
        <v>565188</v>
      </c>
      <c r="L31" s="6">
        <v>0</v>
      </c>
      <c r="M31" s="6">
        <v>30000</v>
      </c>
      <c r="N31" s="6"/>
      <c r="O31" s="6">
        <v>0</v>
      </c>
      <c r="P31" s="6">
        <v>0</v>
      </c>
      <c r="Q31" s="7">
        <v>860000</v>
      </c>
      <c r="R31" s="7">
        <v>555945</v>
      </c>
      <c r="S31" s="7">
        <v>6000</v>
      </c>
      <c r="T31" s="7">
        <v>12000</v>
      </c>
      <c r="U31" s="7">
        <v>30000</v>
      </c>
      <c r="V31" s="7">
        <v>50000</v>
      </c>
      <c r="W31" s="7">
        <v>156000</v>
      </c>
      <c r="X31" s="7">
        <v>0</v>
      </c>
      <c r="Y31" s="7">
        <v>0</v>
      </c>
      <c r="Z31" s="7">
        <v>0</v>
      </c>
      <c r="AA31" s="7">
        <v>0</v>
      </c>
      <c r="AB31" s="7">
        <v>50055</v>
      </c>
      <c r="AC31" s="7">
        <v>0</v>
      </c>
      <c r="AD31" s="2"/>
    </row>
    <row r="32" spans="1:30" x14ac:dyDescent="0.25">
      <c r="A32" s="1" t="s">
        <v>37</v>
      </c>
      <c r="B32" s="1" t="str">
        <f>VLOOKUP(A32,[2]LISTADHERENT!A$5:H$52,2,0)</f>
        <v>NJEPDJIO MBOUKAM DELUXE</v>
      </c>
      <c r="C32" s="6">
        <v>390000</v>
      </c>
      <c r="D32" s="6">
        <v>1734</v>
      </c>
      <c r="E32" s="6">
        <v>2773</v>
      </c>
      <c r="F32" s="6">
        <v>443734</v>
      </c>
      <c r="G32" s="6">
        <v>49539</v>
      </c>
      <c r="H32" s="6">
        <v>493273.71322255593</v>
      </c>
      <c r="I32" s="6">
        <v>103273</v>
      </c>
      <c r="J32" s="6">
        <v>80000</v>
      </c>
      <c r="K32" s="6">
        <v>23273</v>
      </c>
      <c r="L32" s="6">
        <v>20500</v>
      </c>
      <c r="M32" s="6">
        <v>30000</v>
      </c>
      <c r="N32" s="6"/>
      <c r="O32" s="6">
        <v>50000</v>
      </c>
      <c r="P32" s="6">
        <v>0</v>
      </c>
      <c r="Q32" s="7">
        <v>256000</v>
      </c>
      <c r="R32" s="7">
        <v>52000</v>
      </c>
      <c r="S32" s="7">
        <v>6000</v>
      </c>
      <c r="T32" s="7">
        <v>12000</v>
      </c>
      <c r="U32" s="7">
        <v>30000</v>
      </c>
      <c r="V32" s="7">
        <v>0</v>
      </c>
      <c r="W32" s="7">
        <v>156000</v>
      </c>
      <c r="X32" s="7">
        <v>2000000</v>
      </c>
      <c r="Y32" s="7">
        <v>150000</v>
      </c>
      <c r="Z32" s="7">
        <v>1000000</v>
      </c>
      <c r="AA32" s="7">
        <v>0</v>
      </c>
      <c r="AB32" s="7">
        <v>0</v>
      </c>
      <c r="AC32" s="7">
        <v>0</v>
      </c>
      <c r="AD32" s="2"/>
    </row>
    <row r="33" spans="1:30" x14ac:dyDescent="0.25">
      <c r="A33" s="1" t="s">
        <v>38</v>
      </c>
      <c r="B33" s="1" t="str">
        <f>VLOOKUP(A33,[2]LISTADHERENT!A$5:H$52,2,0)</f>
        <v>NKAMGANG JUSTIN DEJOLIE</v>
      </c>
      <c r="C33" s="6">
        <v>372800</v>
      </c>
      <c r="D33" s="6">
        <v>0</v>
      </c>
      <c r="E33" s="6">
        <v>14208</v>
      </c>
      <c r="F33" s="6">
        <v>444800</v>
      </c>
      <c r="G33" s="6">
        <v>22208</v>
      </c>
      <c r="H33" s="6">
        <v>539008.01502058154</v>
      </c>
      <c r="I33" s="6">
        <v>94208</v>
      </c>
      <c r="J33" s="6">
        <v>80000</v>
      </c>
      <c r="K33" s="6">
        <v>14208</v>
      </c>
      <c r="L33" s="6">
        <v>0</v>
      </c>
      <c r="M33" s="6">
        <v>30000</v>
      </c>
      <c r="N33" s="6"/>
      <c r="O33" s="6">
        <v>50000</v>
      </c>
      <c r="P33" s="6">
        <v>0</v>
      </c>
      <c r="Q33" s="7">
        <v>648800</v>
      </c>
      <c r="R33" s="7">
        <v>72000</v>
      </c>
      <c r="S33" s="7">
        <v>6000</v>
      </c>
      <c r="T33" s="7">
        <v>12000</v>
      </c>
      <c r="U33" s="7">
        <v>30000</v>
      </c>
      <c r="V33" s="7">
        <v>0</v>
      </c>
      <c r="W33" s="7">
        <v>156000</v>
      </c>
      <c r="X33" s="7">
        <v>1000000</v>
      </c>
      <c r="Y33" s="7">
        <v>120000</v>
      </c>
      <c r="Z33" s="7">
        <v>0</v>
      </c>
      <c r="AA33" s="7">
        <v>0</v>
      </c>
      <c r="AB33" s="7">
        <v>0</v>
      </c>
      <c r="AC33" s="7">
        <v>0</v>
      </c>
      <c r="AD33" s="2"/>
    </row>
    <row r="34" spans="1:30" x14ac:dyDescent="0.25">
      <c r="A34" s="1" t="s">
        <v>39</v>
      </c>
      <c r="B34" s="1" t="str">
        <f>VLOOKUP(A34,[2]LISTADHERENT!A$5:H$52,2,0)</f>
        <v>NKEPSEU DIEUDONNE</v>
      </c>
      <c r="C34" s="6">
        <v>390000</v>
      </c>
      <c r="D34" s="6">
        <v>8739</v>
      </c>
      <c r="E34" s="6">
        <v>2772</v>
      </c>
      <c r="F34" s="6">
        <v>494739</v>
      </c>
      <c r="G34" s="6">
        <v>53033</v>
      </c>
      <c r="H34" s="6">
        <v>547772.96919074608</v>
      </c>
      <c r="I34" s="6">
        <v>157772</v>
      </c>
      <c r="J34" s="6">
        <v>30000</v>
      </c>
      <c r="K34" s="6">
        <v>127772</v>
      </c>
      <c r="L34" s="6">
        <v>125000</v>
      </c>
      <c r="M34" s="6">
        <v>30000</v>
      </c>
      <c r="N34" s="6"/>
      <c r="O34" s="6">
        <v>0</v>
      </c>
      <c r="P34" s="6">
        <v>0</v>
      </c>
      <c r="Q34" s="7">
        <v>350000</v>
      </c>
      <c r="R34" s="7">
        <v>96000</v>
      </c>
      <c r="S34" s="7">
        <v>6000</v>
      </c>
      <c r="T34" s="7">
        <v>12000</v>
      </c>
      <c r="U34" s="7">
        <v>30000</v>
      </c>
      <c r="V34" s="7">
        <v>50000</v>
      </c>
      <c r="W34" s="7">
        <v>156000</v>
      </c>
      <c r="X34" s="7">
        <v>600000</v>
      </c>
      <c r="Y34" s="7">
        <v>72000</v>
      </c>
      <c r="Z34" s="7">
        <v>0</v>
      </c>
      <c r="AA34" s="7">
        <v>0</v>
      </c>
      <c r="AB34" s="7">
        <v>0</v>
      </c>
      <c r="AC34" s="7">
        <v>0</v>
      </c>
      <c r="AD34" s="2"/>
    </row>
    <row r="35" spans="1:30" s="21" customFormat="1" x14ac:dyDescent="0.25">
      <c r="A35" s="19" t="s">
        <v>40</v>
      </c>
      <c r="B35" s="19" t="str">
        <f>VLOOKUP(A35,[2]LISTADHERENT!A$5:H$52,2,0)</f>
        <v>NKEPSEU HENANG RENE</v>
      </c>
      <c r="C35" s="33"/>
      <c r="D35" s="33"/>
      <c r="E35" s="6">
        <v>0</v>
      </c>
      <c r="F35" s="33"/>
      <c r="G35" s="6"/>
      <c r="H35" s="33"/>
      <c r="I35" s="33"/>
      <c r="J35" s="33"/>
      <c r="K35" s="33"/>
      <c r="L35" s="33"/>
      <c r="M35" s="33"/>
      <c r="N35" s="33"/>
      <c r="O35" s="33"/>
      <c r="P35" s="33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42"/>
    </row>
    <row r="36" spans="1:30" x14ac:dyDescent="0.25">
      <c r="A36" s="1" t="s">
        <v>41</v>
      </c>
      <c r="B36" s="1" t="str">
        <f>VLOOKUP(A36,[2]LISTADHERENT!A$5:H$52,2,0)</f>
        <v>NTEPDIE TUEMAC MZ</v>
      </c>
      <c r="C36" s="6">
        <v>0</v>
      </c>
      <c r="D36" s="6">
        <v>0</v>
      </c>
      <c r="E36" s="6">
        <v>-12105</v>
      </c>
      <c r="F36" s="6">
        <v>15000</v>
      </c>
      <c r="G36" s="6">
        <v>895</v>
      </c>
      <c r="H36" s="6">
        <v>15895.449275630095</v>
      </c>
      <c r="I36" s="6">
        <v>15895</v>
      </c>
      <c r="J36" s="6">
        <v>28000</v>
      </c>
      <c r="K36" s="6">
        <v>-12105</v>
      </c>
      <c r="L36" s="6">
        <v>0</v>
      </c>
      <c r="M36" s="6"/>
      <c r="N36" s="6"/>
      <c r="O36" s="6"/>
      <c r="P36" s="6">
        <v>28000</v>
      </c>
      <c r="Q36" s="7">
        <v>100000</v>
      </c>
      <c r="R36" s="7">
        <v>15000</v>
      </c>
      <c r="S36" s="7">
        <v>2500</v>
      </c>
      <c r="T36" s="7">
        <v>5000</v>
      </c>
      <c r="U36" s="7">
        <v>12500</v>
      </c>
      <c r="V36" s="7">
        <v>0</v>
      </c>
      <c r="W36" s="7">
        <v>65000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2"/>
    </row>
    <row r="37" spans="1:30" s="21" customFormat="1" x14ac:dyDescent="0.25">
      <c r="A37" s="19" t="s">
        <v>42</v>
      </c>
      <c r="B37" s="19" t="str">
        <f>VLOOKUP(A37,[2]LISTADHERENT!A$5:H$52,2,0)</f>
        <v>NTOMBOU ADOLPHE</v>
      </c>
      <c r="C37" s="33"/>
      <c r="D37" s="33"/>
      <c r="E37" s="6">
        <v>0</v>
      </c>
      <c r="F37" s="33"/>
      <c r="G37" s="6"/>
      <c r="H37" s="33"/>
      <c r="I37" s="6"/>
      <c r="J37" s="6"/>
      <c r="K37" s="6"/>
      <c r="L37" s="6"/>
      <c r="M37" s="33"/>
      <c r="N37" s="33"/>
      <c r="O37" s="33"/>
      <c r="P37" s="33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42"/>
    </row>
    <row r="38" spans="1:30" x14ac:dyDescent="0.25">
      <c r="A38" s="1" t="s">
        <v>43</v>
      </c>
      <c r="B38" s="1" t="str">
        <f>VLOOKUP(A38,[2]LISTADHERENT!A$5:H$52,2,0)</f>
        <v>PATEGO NJOSSU GUSTAVE</v>
      </c>
      <c r="C38" s="6">
        <v>390000</v>
      </c>
      <c r="D38" s="6">
        <v>140</v>
      </c>
      <c r="E38" s="6">
        <v>2474</v>
      </c>
      <c r="F38" s="6">
        <v>426140</v>
      </c>
      <c r="G38" s="6">
        <v>47834</v>
      </c>
      <c r="H38" s="6">
        <v>473974.90388853668</v>
      </c>
      <c r="I38" s="6">
        <v>83974</v>
      </c>
      <c r="J38" s="6">
        <v>80000</v>
      </c>
      <c r="K38" s="6">
        <v>3974</v>
      </c>
      <c r="L38" s="6">
        <v>1500</v>
      </c>
      <c r="M38" s="6">
        <v>30000</v>
      </c>
      <c r="N38" s="6"/>
      <c r="O38" s="6">
        <v>50000</v>
      </c>
      <c r="P38" s="6">
        <v>0</v>
      </c>
      <c r="Q38" s="7">
        <v>240000</v>
      </c>
      <c r="R38" s="7">
        <v>36000</v>
      </c>
      <c r="S38" s="7">
        <v>6000</v>
      </c>
      <c r="T38" s="7">
        <v>12000</v>
      </c>
      <c r="U38" s="7">
        <v>30000</v>
      </c>
      <c r="V38" s="7">
        <v>0</v>
      </c>
      <c r="W38" s="7">
        <v>156000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2"/>
    </row>
    <row r="39" spans="1:30" x14ac:dyDescent="0.25">
      <c r="A39" s="1" t="s">
        <v>44</v>
      </c>
      <c r="B39" s="1" t="str">
        <f>VLOOKUP(A39,[2]LISTADHERENT!A$5:H$52,2,0)</f>
        <v>SEUNOU RICHELOT</v>
      </c>
      <c r="C39" s="6">
        <v>390000</v>
      </c>
      <c r="D39" s="6">
        <v>2632</v>
      </c>
      <c r="E39" s="6">
        <v>6756</v>
      </c>
      <c r="F39" s="6">
        <v>428632</v>
      </c>
      <c r="G39" s="6">
        <v>48124</v>
      </c>
      <c r="H39" s="6">
        <v>476756.34948151035</v>
      </c>
      <c r="I39" s="6">
        <v>86756</v>
      </c>
      <c r="J39" s="6">
        <v>80000</v>
      </c>
      <c r="K39" s="6">
        <v>6756</v>
      </c>
      <c r="L39" s="6">
        <v>0</v>
      </c>
      <c r="M39" s="6">
        <v>30000</v>
      </c>
      <c r="N39" s="6"/>
      <c r="O39" s="6">
        <v>50000</v>
      </c>
      <c r="P39" s="6">
        <v>0</v>
      </c>
      <c r="Q39" s="7">
        <v>240000</v>
      </c>
      <c r="R39" s="7">
        <v>36000</v>
      </c>
      <c r="S39" s="7">
        <v>6000</v>
      </c>
      <c r="T39" s="7">
        <v>12000</v>
      </c>
      <c r="U39" s="7">
        <v>30000</v>
      </c>
      <c r="V39" s="7">
        <v>0</v>
      </c>
      <c r="W39" s="7">
        <v>156000</v>
      </c>
      <c r="X39" s="7">
        <v>1000000</v>
      </c>
      <c r="Y39" s="7">
        <v>120000</v>
      </c>
      <c r="Z39" s="7">
        <v>0</v>
      </c>
      <c r="AA39" s="7">
        <v>0</v>
      </c>
      <c r="AB39" s="7">
        <v>0</v>
      </c>
      <c r="AC39" s="7">
        <v>0</v>
      </c>
      <c r="AD39" s="2"/>
    </row>
    <row r="40" spans="1:30" x14ac:dyDescent="0.25">
      <c r="A40" s="1" t="s">
        <v>45</v>
      </c>
      <c r="B40" s="1" t="str">
        <f>VLOOKUP(A40,[2]LISTADHERENT!A$5:H$52,2,0)</f>
        <v>SIME ABEL</v>
      </c>
      <c r="C40" s="6">
        <v>390000</v>
      </c>
      <c r="D40" s="6">
        <v>0</v>
      </c>
      <c r="E40" s="6">
        <v>488</v>
      </c>
      <c r="F40" s="6">
        <v>398873</v>
      </c>
      <c r="G40" s="6">
        <v>15621</v>
      </c>
      <c r="H40" s="6">
        <v>441621.34748316335</v>
      </c>
      <c r="I40" s="6">
        <v>24494</v>
      </c>
      <c r="J40" s="6">
        <v>24006</v>
      </c>
      <c r="K40" s="6">
        <v>488</v>
      </c>
      <c r="L40" s="6">
        <v>0</v>
      </c>
      <c r="M40" s="6"/>
      <c r="N40" s="6"/>
      <c r="O40" s="6">
        <v>24006</v>
      </c>
      <c r="P40" s="6">
        <v>0</v>
      </c>
      <c r="Q40" s="7">
        <v>240000</v>
      </c>
      <c r="R40" s="7">
        <v>8873</v>
      </c>
      <c r="S40" s="7">
        <v>6000</v>
      </c>
      <c r="T40" s="7">
        <v>12000</v>
      </c>
      <c r="U40" s="7">
        <v>30000</v>
      </c>
      <c r="V40" s="7">
        <v>0</v>
      </c>
      <c r="W40" s="7">
        <v>156000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2"/>
    </row>
    <row r="41" spans="1:30" x14ac:dyDescent="0.25">
      <c r="A41" s="1" t="s">
        <v>46</v>
      </c>
      <c r="B41" s="1" t="str">
        <f>VLOOKUP(A41,[2]LISTADHERENT!A$5:H$52,2,0)</f>
        <v>SIME FONGANG ERIC</v>
      </c>
      <c r="C41" s="6">
        <v>390000</v>
      </c>
      <c r="D41" s="6">
        <v>982</v>
      </c>
      <c r="E41" s="6">
        <v>4914</v>
      </c>
      <c r="F41" s="6">
        <v>426982</v>
      </c>
      <c r="G41" s="6">
        <v>47932</v>
      </c>
      <c r="H41" s="6">
        <v>474914.7021185864</v>
      </c>
      <c r="I41" s="6">
        <v>84914</v>
      </c>
      <c r="J41" s="6">
        <v>80000</v>
      </c>
      <c r="K41" s="6">
        <v>4914</v>
      </c>
      <c r="L41" s="6">
        <v>0</v>
      </c>
      <c r="M41" s="6">
        <v>30000</v>
      </c>
      <c r="N41" s="6"/>
      <c r="O41" s="6">
        <v>50000</v>
      </c>
      <c r="P41" s="6">
        <v>0</v>
      </c>
      <c r="Q41" s="7">
        <v>240000</v>
      </c>
      <c r="R41" s="7">
        <v>36000</v>
      </c>
      <c r="S41" s="7">
        <v>6000</v>
      </c>
      <c r="T41" s="7">
        <v>12000</v>
      </c>
      <c r="U41" s="7">
        <v>30000</v>
      </c>
      <c r="V41" s="7">
        <v>0</v>
      </c>
      <c r="W41" s="7">
        <v>156000</v>
      </c>
      <c r="X41" s="7">
        <v>1000000</v>
      </c>
      <c r="Y41" s="7">
        <v>120000</v>
      </c>
      <c r="Z41" s="7">
        <v>0</v>
      </c>
      <c r="AA41" s="7">
        <v>0</v>
      </c>
      <c r="AB41" s="7">
        <v>0</v>
      </c>
      <c r="AC41" s="7">
        <v>0</v>
      </c>
      <c r="AD41" s="2"/>
    </row>
    <row r="42" spans="1:30" x14ac:dyDescent="0.25">
      <c r="A42" s="1" t="s">
        <v>47</v>
      </c>
      <c r="B42" s="1" t="str">
        <f>VLOOKUP(A42,[2]LISTADHERENT!A$5:H$52,2,0)</f>
        <v>SIME MATHIEU</v>
      </c>
      <c r="C42" s="6">
        <v>390000</v>
      </c>
      <c r="D42" s="6">
        <v>636</v>
      </c>
      <c r="E42" s="6">
        <v>4528</v>
      </c>
      <c r="F42" s="6">
        <v>426636</v>
      </c>
      <c r="G42" s="6">
        <v>47892</v>
      </c>
      <c r="H42" s="6">
        <v>474528.51424733078</v>
      </c>
      <c r="I42" s="6">
        <v>84528</v>
      </c>
      <c r="J42" s="6">
        <v>80000</v>
      </c>
      <c r="K42" s="6">
        <v>4528</v>
      </c>
      <c r="L42" s="6">
        <v>0</v>
      </c>
      <c r="M42" s="6">
        <v>30000</v>
      </c>
      <c r="N42" s="6"/>
      <c r="O42" s="6">
        <v>50000</v>
      </c>
      <c r="P42" s="6">
        <v>0</v>
      </c>
      <c r="Q42" s="7">
        <v>240000</v>
      </c>
      <c r="R42" s="7">
        <v>36000</v>
      </c>
      <c r="S42" s="7">
        <v>6000</v>
      </c>
      <c r="T42" s="7">
        <v>12000</v>
      </c>
      <c r="U42" s="7">
        <v>30000</v>
      </c>
      <c r="V42" s="7">
        <v>0</v>
      </c>
      <c r="W42" s="7">
        <v>156000</v>
      </c>
      <c r="X42" s="7">
        <v>800000</v>
      </c>
      <c r="Y42" s="7">
        <v>96000</v>
      </c>
      <c r="Z42" s="7">
        <v>0</v>
      </c>
      <c r="AA42" s="7">
        <v>0</v>
      </c>
      <c r="AB42" s="7">
        <v>0</v>
      </c>
      <c r="AC42" s="7">
        <v>0</v>
      </c>
      <c r="AD42" s="2"/>
    </row>
    <row r="43" spans="1:30" s="11" customFormat="1" x14ac:dyDescent="0.25">
      <c r="A43" s="34" t="s">
        <v>48</v>
      </c>
      <c r="B43" s="34" t="str">
        <f>VLOOKUP(A43,[2]LISTADHERENT!A$5:H$52,2,0)</f>
        <v>SIME PIERRE</v>
      </c>
      <c r="C43" s="35">
        <v>390000</v>
      </c>
      <c r="D43" s="35">
        <v>146079</v>
      </c>
      <c r="E43" s="6">
        <v>105975</v>
      </c>
      <c r="F43" s="35">
        <v>1147306</v>
      </c>
      <c r="G43" s="6">
        <v>121669</v>
      </c>
      <c r="H43" s="35">
        <v>1268975.8529808545</v>
      </c>
      <c r="I43" s="6">
        <v>878975</v>
      </c>
      <c r="J43" s="6">
        <v>80000</v>
      </c>
      <c r="K43" s="6">
        <v>798975</v>
      </c>
      <c r="L43" s="6">
        <v>693000</v>
      </c>
      <c r="M43" s="6">
        <v>30000</v>
      </c>
      <c r="N43" s="35"/>
      <c r="O43" s="35">
        <v>50000</v>
      </c>
      <c r="P43" s="35">
        <v>0</v>
      </c>
      <c r="Q43" s="10">
        <v>1130000</v>
      </c>
      <c r="R43" s="10">
        <v>611227</v>
      </c>
      <c r="S43" s="10">
        <v>6000</v>
      </c>
      <c r="T43" s="10">
        <v>12000</v>
      </c>
      <c r="U43" s="10">
        <v>30000</v>
      </c>
      <c r="V43" s="10">
        <v>10000</v>
      </c>
      <c r="W43" s="10">
        <v>156000</v>
      </c>
      <c r="X43" s="10">
        <v>1110000</v>
      </c>
      <c r="Y43" s="10">
        <v>84600</v>
      </c>
      <c r="Z43" s="10">
        <v>540000</v>
      </c>
      <c r="AA43" s="10">
        <v>0</v>
      </c>
      <c r="AB43" s="10">
        <v>0</v>
      </c>
      <c r="AC43" s="10">
        <v>0</v>
      </c>
      <c r="AD43" s="29"/>
    </row>
    <row r="44" spans="1:30" x14ac:dyDescent="0.25">
      <c r="A44" s="1" t="s">
        <v>49</v>
      </c>
      <c r="B44" s="1" t="str">
        <f>VLOOKUP(A44,[2]LISTADHERENT!A$5:H$52,2,0)</f>
        <v>TAGNE NANGUEN MARTIN</v>
      </c>
      <c r="C44" s="6">
        <v>390000</v>
      </c>
      <c r="D44" s="6">
        <v>0</v>
      </c>
      <c r="E44" s="6">
        <v>1621</v>
      </c>
      <c r="F44" s="6">
        <v>426000</v>
      </c>
      <c r="G44" s="6">
        <v>15621</v>
      </c>
      <c r="H44" s="6">
        <v>441621.34748316335</v>
      </c>
      <c r="I44" s="6">
        <v>51621</v>
      </c>
      <c r="J44" s="6">
        <v>50000</v>
      </c>
      <c r="K44" s="6">
        <v>1621</v>
      </c>
      <c r="L44" s="6">
        <v>0</v>
      </c>
      <c r="M44" s="6"/>
      <c r="N44" s="6"/>
      <c r="O44" s="6">
        <v>50000</v>
      </c>
      <c r="P44" s="6">
        <v>0</v>
      </c>
      <c r="Q44" s="7">
        <v>240000</v>
      </c>
      <c r="R44" s="7">
        <v>36000</v>
      </c>
      <c r="S44" s="7">
        <v>6000</v>
      </c>
      <c r="T44" s="7">
        <v>12000</v>
      </c>
      <c r="U44" s="7">
        <v>30000</v>
      </c>
      <c r="V44" s="7">
        <v>0</v>
      </c>
      <c r="W44" s="7">
        <v>156000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2"/>
    </row>
    <row r="45" spans="1:30" s="11" customFormat="1" x14ac:dyDescent="0.25">
      <c r="A45" s="34" t="s">
        <v>50</v>
      </c>
      <c r="B45" s="34" t="str">
        <f>VLOOKUP(A45,[2]LISTADHERENT!A$5:H$52,2,0)</f>
        <v>TCHOUAMOU JEAN PAUL</v>
      </c>
      <c r="C45" s="35">
        <v>0</v>
      </c>
      <c r="D45" s="35">
        <v>0</v>
      </c>
      <c r="E45" s="6">
        <v>106</v>
      </c>
      <c r="F45" s="35">
        <v>12323</v>
      </c>
      <c r="G45" s="6">
        <v>2520</v>
      </c>
      <c r="H45" s="35">
        <v>38520.175299949828</v>
      </c>
      <c r="I45" s="35">
        <v>14843</v>
      </c>
      <c r="J45" s="35">
        <v>14737</v>
      </c>
      <c r="K45" s="35">
        <v>106</v>
      </c>
      <c r="L45" s="35">
        <v>0</v>
      </c>
      <c r="M45" s="35"/>
      <c r="N45" s="35"/>
      <c r="O45" s="35">
        <v>14737</v>
      </c>
      <c r="P45" s="35">
        <v>0</v>
      </c>
      <c r="Q45" s="10">
        <v>290000</v>
      </c>
      <c r="R45" s="10">
        <v>12323</v>
      </c>
      <c r="S45" s="10">
        <v>6000</v>
      </c>
      <c r="T45" s="10">
        <v>12000</v>
      </c>
      <c r="U45" s="10">
        <v>30000</v>
      </c>
      <c r="V45" s="10">
        <v>50000</v>
      </c>
      <c r="W45" s="10">
        <v>156000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9"/>
    </row>
    <row r="46" spans="1:30" x14ac:dyDescent="0.25">
      <c r="A46" s="1" t="s">
        <v>51</v>
      </c>
      <c r="B46" s="1" t="str">
        <f>VLOOKUP(A46,[2]LISTADHERENT!A$5:H$52,2,0)</f>
        <v>TCHOUAMOU MATHIEU</v>
      </c>
      <c r="C46" s="6">
        <v>390000</v>
      </c>
      <c r="D46" s="6">
        <v>3437</v>
      </c>
      <c r="E46" s="6">
        <v>2654</v>
      </c>
      <c r="F46" s="6">
        <v>429437</v>
      </c>
      <c r="G46" s="6">
        <v>48217</v>
      </c>
      <c r="H46" s="6">
        <v>477654.85016463388</v>
      </c>
      <c r="I46" s="6">
        <v>87654</v>
      </c>
      <c r="J46" s="6">
        <v>80000</v>
      </c>
      <c r="K46" s="6">
        <v>7654</v>
      </c>
      <c r="L46" s="6">
        <v>5000</v>
      </c>
      <c r="M46" s="6">
        <v>30000</v>
      </c>
      <c r="N46" s="6"/>
      <c r="O46" s="6">
        <v>50000</v>
      </c>
      <c r="P46" s="6">
        <v>0</v>
      </c>
      <c r="Q46" s="7">
        <v>240000</v>
      </c>
      <c r="R46" s="7">
        <v>36000</v>
      </c>
      <c r="S46" s="7">
        <v>6000</v>
      </c>
      <c r="T46" s="7">
        <v>12000</v>
      </c>
      <c r="U46" s="7">
        <v>30000</v>
      </c>
      <c r="V46" s="7">
        <v>0</v>
      </c>
      <c r="W46" s="7">
        <v>156000</v>
      </c>
      <c r="X46" s="7">
        <v>1500000</v>
      </c>
      <c r="Y46" s="7">
        <v>45000</v>
      </c>
      <c r="Z46" s="7">
        <v>1000000</v>
      </c>
      <c r="AA46" s="7">
        <v>94825</v>
      </c>
      <c r="AB46" s="7">
        <v>0</v>
      </c>
      <c r="AC46" s="7">
        <v>0</v>
      </c>
      <c r="AD46" s="2"/>
    </row>
    <row r="47" spans="1:30" x14ac:dyDescent="0.25">
      <c r="A47" s="1" t="s">
        <v>52</v>
      </c>
      <c r="B47" s="1" t="str">
        <f>VLOOKUP(A47,[2]LISTADHERENT!A$5:H$52,2,0)</f>
        <v>TCHOUANTE FRANCOIS</v>
      </c>
      <c r="C47" s="6">
        <v>325719</v>
      </c>
      <c r="D47" s="6">
        <v>4925</v>
      </c>
      <c r="E47" s="6">
        <v>25832</v>
      </c>
      <c r="F47" s="6">
        <v>393644</v>
      </c>
      <c r="G47" s="6">
        <v>37907</v>
      </c>
      <c r="H47" s="6">
        <v>431551.07044236845</v>
      </c>
      <c r="I47" s="6">
        <v>105832</v>
      </c>
      <c r="J47" s="6">
        <v>80000</v>
      </c>
      <c r="K47" s="6">
        <v>25832</v>
      </c>
      <c r="L47" s="6">
        <v>0</v>
      </c>
      <c r="M47" s="6">
        <v>30000</v>
      </c>
      <c r="N47" s="6"/>
      <c r="O47" s="6">
        <v>50000</v>
      </c>
      <c r="P47" s="6">
        <v>0</v>
      </c>
      <c r="Q47" s="7">
        <v>267000</v>
      </c>
      <c r="R47" s="7">
        <v>63000</v>
      </c>
      <c r="S47" s="7">
        <v>6000</v>
      </c>
      <c r="T47" s="7">
        <v>12000</v>
      </c>
      <c r="U47" s="7">
        <v>30000</v>
      </c>
      <c r="V47" s="7">
        <v>0</v>
      </c>
      <c r="W47" s="7">
        <v>156000</v>
      </c>
      <c r="X47" s="7">
        <v>1250000</v>
      </c>
      <c r="Y47" s="7">
        <v>105000</v>
      </c>
      <c r="Z47" s="7">
        <v>0</v>
      </c>
      <c r="AA47" s="7">
        <v>0</v>
      </c>
      <c r="AB47" s="7">
        <v>0</v>
      </c>
      <c r="AC47" s="7">
        <v>0</v>
      </c>
      <c r="AD47" s="2"/>
    </row>
    <row r="48" spans="1:30" x14ac:dyDescent="0.25">
      <c r="A48" s="1" t="s">
        <v>53</v>
      </c>
      <c r="B48" s="1" t="str">
        <f>VLOOKUP(A48,[2]LISTADHERENT!A$5:H$52,2,0)</f>
        <v>TCHOUTOU NANA CLAUDE</v>
      </c>
      <c r="C48" s="6">
        <v>0</v>
      </c>
      <c r="D48" s="6">
        <v>0</v>
      </c>
      <c r="E48" s="6">
        <v>-437</v>
      </c>
      <c r="F48" s="6">
        <v>14126</v>
      </c>
      <c r="G48" s="6">
        <v>1437</v>
      </c>
      <c r="H48" s="6">
        <v>25437.042836931963</v>
      </c>
      <c r="I48" s="6">
        <v>15563</v>
      </c>
      <c r="J48" s="6">
        <v>16000</v>
      </c>
      <c r="K48" s="6">
        <v>-437</v>
      </c>
      <c r="L48" s="6">
        <v>0</v>
      </c>
      <c r="M48" s="6"/>
      <c r="N48" s="6"/>
      <c r="O48" s="6"/>
      <c r="P48" s="6">
        <v>16000</v>
      </c>
      <c r="Q48" s="7">
        <v>160000</v>
      </c>
      <c r="R48" s="7">
        <v>14126</v>
      </c>
      <c r="S48" s="7">
        <v>4000</v>
      </c>
      <c r="T48" s="7">
        <v>8000</v>
      </c>
      <c r="U48" s="7">
        <v>20000</v>
      </c>
      <c r="V48" s="7">
        <v>0</v>
      </c>
      <c r="W48" s="7">
        <v>104000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2"/>
    </row>
    <row r="49" spans="1:30" x14ac:dyDescent="0.25">
      <c r="A49" s="1" t="s">
        <v>54</v>
      </c>
      <c r="B49" s="1" t="str">
        <f>VLOOKUP(A49,[2]LISTADHERENT!A$5:H$52,2,0)</f>
        <v>TIEYAM ERNEST</v>
      </c>
      <c r="C49" s="6">
        <v>390000</v>
      </c>
      <c r="D49" s="6">
        <v>804</v>
      </c>
      <c r="E49" s="6">
        <v>2593</v>
      </c>
      <c r="F49" s="6">
        <v>426804</v>
      </c>
      <c r="G49" s="6">
        <v>47789</v>
      </c>
      <c r="H49" s="6">
        <v>474593.28926784825</v>
      </c>
      <c r="I49" s="6">
        <v>84593</v>
      </c>
      <c r="J49" s="6">
        <v>80000</v>
      </c>
      <c r="K49" s="6">
        <v>4593</v>
      </c>
      <c r="L49" s="6">
        <v>2000</v>
      </c>
      <c r="M49" s="6">
        <v>30000</v>
      </c>
      <c r="N49" s="6"/>
      <c r="O49" s="6">
        <v>50000</v>
      </c>
      <c r="P49" s="6">
        <v>0</v>
      </c>
      <c r="Q49" s="7">
        <v>240000</v>
      </c>
      <c r="R49" s="7">
        <v>36000</v>
      </c>
      <c r="S49" s="7">
        <v>6000</v>
      </c>
      <c r="T49" s="7">
        <v>12000</v>
      </c>
      <c r="U49" s="7">
        <v>30000</v>
      </c>
      <c r="V49" s="7">
        <v>0</v>
      </c>
      <c r="W49" s="7">
        <v>156000</v>
      </c>
      <c r="X49" s="7">
        <v>1000000</v>
      </c>
      <c r="Y49" s="7">
        <v>120000</v>
      </c>
      <c r="Z49" s="7">
        <v>0</v>
      </c>
      <c r="AA49" s="7">
        <v>0</v>
      </c>
      <c r="AB49" s="7">
        <v>0</v>
      </c>
      <c r="AC49" s="7">
        <v>0</v>
      </c>
      <c r="AD49" s="2"/>
    </row>
    <row r="50" spans="1:30" x14ac:dyDescent="0.25">
      <c r="A50" s="1" t="s">
        <v>55</v>
      </c>
      <c r="B50" s="1" t="str">
        <f>VLOOKUP(A50,[2]LISTADHERENT!A$5:H$52,2,0)</f>
        <v>TUGMA PIERRE LOTI</v>
      </c>
      <c r="C50" s="6">
        <v>390000</v>
      </c>
      <c r="D50" s="6">
        <v>17636</v>
      </c>
      <c r="E50" s="6">
        <v>2503</v>
      </c>
      <c r="F50" s="6">
        <v>443636</v>
      </c>
      <c r="G50" s="6">
        <v>49867</v>
      </c>
      <c r="H50" s="6">
        <v>493503.06283503259</v>
      </c>
      <c r="I50" s="6">
        <v>103503</v>
      </c>
      <c r="J50" s="6">
        <v>80000</v>
      </c>
      <c r="K50" s="6">
        <v>23503</v>
      </c>
      <c r="L50" s="6">
        <v>21000</v>
      </c>
      <c r="M50" s="6">
        <v>30000</v>
      </c>
      <c r="N50" s="6"/>
      <c r="O50" s="6">
        <v>50000</v>
      </c>
      <c r="P50" s="6">
        <v>0</v>
      </c>
      <c r="Q50" s="7">
        <v>240000</v>
      </c>
      <c r="R50" s="7">
        <v>36000</v>
      </c>
      <c r="S50" s="7">
        <v>6000</v>
      </c>
      <c r="T50" s="7">
        <v>12000</v>
      </c>
      <c r="U50" s="7">
        <v>30000</v>
      </c>
      <c r="V50" s="7">
        <v>0</v>
      </c>
      <c r="W50" s="7">
        <v>156000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2"/>
    </row>
    <row r="51" spans="1:30" x14ac:dyDescent="0.25">
      <c r="A51" s="1" t="s">
        <v>66</v>
      </c>
      <c r="B51" s="1" t="str">
        <f>VLOOKUP(A51,[2]LISTADHERENT!A$5:H$52,2,0)</f>
        <v>YEPMOU JEAN JACQUES</v>
      </c>
      <c r="C51" s="6">
        <v>390000</v>
      </c>
      <c r="D51" s="6">
        <v>421237</v>
      </c>
      <c r="E51" s="6">
        <v>393982</v>
      </c>
      <c r="F51" s="6">
        <v>847237</v>
      </c>
      <c r="G51" s="6">
        <v>96745</v>
      </c>
      <c r="H51" s="6">
        <v>943982.28545532853</v>
      </c>
      <c r="I51" s="6">
        <v>553982</v>
      </c>
      <c r="J51" s="6">
        <v>80000</v>
      </c>
      <c r="K51" s="6">
        <v>473982</v>
      </c>
      <c r="L51" s="6">
        <v>80000</v>
      </c>
      <c r="M51" s="6">
        <v>30000</v>
      </c>
      <c r="N51" s="6"/>
      <c r="O51" s="6">
        <v>50000</v>
      </c>
      <c r="P51" s="6">
        <v>0</v>
      </c>
      <c r="Q51" s="7">
        <v>240000</v>
      </c>
      <c r="R51" s="7">
        <v>36000</v>
      </c>
      <c r="S51" s="7">
        <v>6000</v>
      </c>
      <c r="T51" s="7">
        <v>12000</v>
      </c>
      <c r="U51" s="7">
        <v>30000</v>
      </c>
      <c r="V51" s="7">
        <v>0</v>
      </c>
      <c r="W51" s="7">
        <v>156000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2"/>
    </row>
    <row r="52" spans="1:30" x14ac:dyDescent="0.25">
      <c r="A52" s="1" t="s">
        <v>178</v>
      </c>
      <c r="B52" s="1" t="str">
        <f>VLOOKUP(A52,[2]LISTADHERENT!A$5:H$52,2,0)</f>
        <v>YOUMBI EMMANUEL</v>
      </c>
      <c r="C52" s="6">
        <v>390000</v>
      </c>
      <c r="D52" s="6">
        <v>1003279</v>
      </c>
      <c r="E52" s="6">
        <v>883628</v>
      </c>
      <c r="F52" s="6">
        <v>1429279</v>
      </c>
      <c r="G52" s="6">
        <v>164349</v>
      </c>
      <c r="H52" s="6">
        <v>1593628.4154013947</v>
      </c>
      <c r="I52" s="6">
        <v>1203628</v>
      </c>
      <c r="J52" s="6">
        <v>80000</v>
      </c>
      <c r="K52" s="6">
        <v>1123628</v>
      </c>
      <c r="L52" s="6">
        <v>240000</v>
      </c>
      <c r="M52" s="6">
        <v>30000</v>
      </c>
      <c r="N52" s="6"/>
      <c r="O52" s="6">
        <v>50000</v>
      </c>
      <c r="P52" s="6">
        <v>0</v>
      </c>
      <c r="Q52" s="7">
        <v>240000</v>
      </c>
      <c r="R52" s="7">
        <v>36000</v>
      </c>
      <c r="S52" s="7">
        <v>6000</v>
      </c>
      <c r="T52" s="7">
        <v>12000</v>
      </c>
      <c r="U52" s="7">
        <v>30000</v>
      </c>
      <c r="V52" s="7">
        <v>0</v>
      </c>
      <c r="W52" s="7">
        <v>156000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2"/>
    </row>
    <row r="53" spans="1:30" x14ac:dyDescent="0.25">
      <c r="A53" s="1"/>
      <c r="B53" s="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2"/>
    </row>
    <row r="54" spans="1:30" ht="18" x14ac:dyDescent="0.25">
      <c r="A54" s="8" t="s">
        <v>56</v>
      </c>
      <c r="B54" s="8"/>
      <c r="C54" s="9">
        <f t="shared" ref="C54:AC54" si="0">SUM(C5:C53)</f>
        <v>14398519</v>
      </c>
      <c r="D54" s="9">
        <f t="shared" si="0"/>
        <v>3525236</v>
      </c>
      <c r="E54" s="9">
        <f t="shared" si="0"/>
        <v>3957685</v>
      </c>
      <c r="F54" s="9">
        <f t="shared" si="0"/>
        <v>21744896</v>
      </c>
      <c r="G54" s="9">
        <f t="shared" si="0"/>
        <v>2230668</v>
      </c>
      <c r="H54" s="9">
        <f t="shared" si="0"/>
        <v>24115469.967073526</v>
      </c>
      <c r="I54" s="9">
        <f t="shared" si="0"/>
        <v>9577045</v>
      </c>
      <c r="J54" s="9">
        <f t="shared" si="0"/>
        <v>2829860</v>
      </c>
      <c r="K54" s="9">
        <f t="shared" si="0"/>
        <v>6747185</v>
      </c>
      <c r="L54" s="9">
        <f t="shared" si="0"/>
        <v>2789500</v>
      </c>
      <c r="M54" s="9">
        <f t="shared" si="0"/>
        <v>1050000</v>
      </c>
      <c r="N54" s="9">
        <f t="shared" si="0"/>
        <v>0</v>
      </c>
      <c r="O54" s="9">
        <f t="shared" si="0"/>
        <v>1719860</v>
      </c>
      <c r="P54" s="9">
        <f t="shared" si="0"/>
        <v>60000</v>
      </c>
      <c r="Q54" s="9">
        <f t="shared" si="0"/>
        <v>13438360</v>
      </c>
      <c r="R54" s="9">
        <f t="shared" si="0"/>
        <v>3821141</v>
      </c>
      <c r="S54" s="9">
        <f t="shared" si="0"/>
        <v>250500</v>
      </c>
      <c r="T54" s="9">
        <f t="shared" si="0"/>
        <v>501000</v>
      </c>
      <c r="U54" s="9">
        <f t="shared" si="0"/>
        <v>1252500</v>
      </c>
      <c r="V54" s="9">
        <f t="shared" si="0"/>
        <v>235000</v>
      </c>
      <c r="W54" s="9">
        <f t="shared" si="0"/>
        <v>6513000</v>
      </c>
      <c r="X54" s="9">
        <f t="shared" si="0"/>
        <v>25710000</v>
      </c>
      <c r="Y54" s="9">
        <f t="shared" si="0"/>
        <v>2282100</v>
      </c>
      <c r="Z54" s="9">
        <f t="shared" si="0"/>
        <v>6900000</v>
      </c>
      <c r="AA54" s="9">
        <f t="shared" si="0"/>
        <v>94825</v>
      </c>
      <c r="AB54" s="9">
        <f t="shared" si="0"/>
        <v>98495</v>
      </c>
      <c r="AC54" s="9">
        <f t="shared" si="0"/>
        <v>0</v>
      </c>
      <c r="AD54" s="2"/>
    </row>
    <row r="55" spans="1:30" s="37" customFormat="1" ht="18" x14ac:dyDescent="0.25">
      <c r="A55" s="36" t="s">
        <v>211</v>
      </c>
      <c r="C55" s="38"/>
      <c r="K55" s="39">
        <f>K5+K6+K7+K8+K9+K10+K12+K13+K14+K15+K17+K18+K19+K20+K21+K22+K23+K24+K25+K26+K27+K29+K30+K31+K32+K33+K34+K38+K39+K40+K41+K42+K43+K44+K45+K46+K47+K49+K50+K51+K52</f>
        <v>6770025</v>
      </c>
      <c r="L55" s="39"/>
      <c r="Q55" s="38"/>
      <c r="S55" s="40"/>
      <c r="T55" s="38"/>
      <c r="U55" s="38"/>
      <c r="V55" s="38"/>
      <c r="AB55" s="39"/>
      <c r="AC55" s="38"/>
    </row>
    <row r="56" spans="1:30" ht="18" x14ac:dyDescent="0.25">
      <c r="K56" s="41">
        <f>K16+K36+K48</f>
        <v>-22840</v>
      </c>
      <c r="L56" s="41"/>
    </row>
    <row r="57" spans="1:30" ht="18" x14ac:dyDescent="0.25">
      <c r="B57" s="9" t="s">
        <v>192</v>
      </c>
      <c r="H57" s="9">
        <f>F58+F59+F60</f>
        <v>9577045</v>
      </c>
      <c r="I57" s="9"/>
      <c r="J57" s="9"/>
    </row>
    <row r="58" spans="1:30" ht="15.75" x14ac:dyDescent="0.25">
      <c r="D58" s="32" t="s">
        <v>182</v>
      </c>
      <c r="E58" s="32"/>
      <c r="F58" s="31">
        <f>D54</f>
        <v>3525236</v>
      </c>
      <c r="K58" t="s">
        <v>230</v>
      </c>
      <c r="L58" s="2">
        <v>8000000</v>
      </c>
    </row>
    <row r="59" spans="1:30" ht="15.75" x14ac:dyDescent="0.25">
      <c r="D59" s="32" t="s">
        <v>194</v>
      </c>
      <c r="E59" s="32"/>
      <c r="F59" s="31">
        <f>+G54</f>
        <v>2230668</v>
      </c>
      <c r="K59" t="s">
        <v>231</v>
      </c>
      <c r="L59" s="2">
        <f>L54</f>
        <v>2789500</v>
      </c>
    </row>
    <row r="60" spans="1:30" ht="15.75" x14ac:dyDescent="0.25">
      <c r="D60" s="32" t="s">
        <v>216</v>
      </c>
      <c r="E60" s="32"/>
      <c r="F60" s="31">
        <f>R54</f>
        <v>3821141</v>
      </c>
      <c r="K60" t="s">
        <v>62</v>
      </c>
      <c r="L60" s="2">
        <v>914500</v>
      </c>
    </row>
    <row r="61" spans="1:30" ht="15.75" x14ac:dyDescent="0.25">
      <c r="D61" s="32"/>
      <c r="E61" s="32"/>
      <c r="F61" s="31"/>
      <c r="K61" t="s">
        <v>232</v>
      </c>
      <c r="L61" s="2">
        <v>9000</v>
      </c>
    </row>
    <row r="62" spans="1:30" ht="18" x14ac:dyDescent="0.25">
      <c r="B62" s="9" t="s">
        <v>192</v>
      </c>
      <c r="G62" s="9">
        <f>K55</f>
        <v>6770025</v>
      </c>
      <c r="H62" s="9"/>
      <c r="L62" s="2"/>
    </row>
    <row r="63" spans="1:30" ht="18" x14ac:dyDescent="0.25">
      <c r="B63" s="9" t="s">
        <v>233</v>
      </c>
      <c r="G63" s="9">
        <f>L54</f>
        <v>2789500</v>
      </c>
      <c r="H63" s="9"/>
      <c r="K63" t="s">
        <v>234</v>
      </c>
      <c r="L63" s="2">
        <f>L58-L59-L60-L61</f>
        <v>4287000</v>
      </c>
    </row>
    <row r="64" spans="1:30" ht="18" x14ac:dyDescent="0.25">
      <c r="B64" s="9" t="s">
        <v>208</v>
      </c>
      <c r="G64" s="9">
        <f>O54</f>
        <v>1719860</v>
      </c>
      <c r="H64" s="9"/>
      <c r="L64" s="2">
        <f>L63-3934000</f>
        <v>353000</v>
      </c>
    </row>
    <row r="65" spans="2:10" ht="18" x14ac:dyDescent="0.25">
      <c r="B65" s="9" t="s">
        <v>210</v>
      </c>
      <c r="G65" s="9">
        <f>M54</f>
        <v>1050000</v>
      </c>
      <c r="H65" s="9"/>
    </row>
    <row r="66" spans="2:10" ht="18" x14ac:dyDescent="0.25">
      <c r="B66" s="9" t="s">
        <v>195</v>
      </c>
      <c r="G66" s="9">
        <f>P54</f>
        <v>60000</v>
      </c>
      <c r="H66" s="9"/>
    </row>
    <row r="67" spans="2:10" ht="18" x14ac:dyDescent="0.25">
      <c r="B67" s="9" t="s">
        <v>183</v>
      </c>
      <c r="G67" s="9">
        <f>N54</f>
        <v>0</v>
      </c>
      <c r="H67" s="9"/>
    </row>
    <row r="69" spans="2:10" ht="18" x14ac:dyDescent="0.25">
      <c r="B69" s="9" t="s">
        <v>56</v>
      </c>
      <c r="H69" s="9">
        <f>G62+G64+G65+G66+G67</f>
        <v>9599885</v>
      </c>
      <c r="I69" s="9"/>
      <c r="J69" s="9"/>
    </row>
    <row r="71" spans="2:10" ht="18" x14ac:dyDescent="0.25">
      <c r="B71" s="9" t="s">
        <v>212</v>
      </c>
      <c r="H71" s="41">
        <f>H57-H69</f>
        <v>-22840</v>
      </c>
      <c r="I71" s="41"/>
      <c r="J71" s="41"/>
    </row>
  </sheetData>
  <autoFilter ref="A4:AD50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12" sqref="J12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209</v>
      </c>
      <c r="D4" s="1" t="s">
        <v>196</v>
      </c>
      <c r="E4" s="1" t="s">
        <v>197</v>
      </c>
      <c r="F4" s="1" t="s">
        <v>198</v>
      </c>
      <c r="G4" s="1" t="s">
        <v>199</v>
      </c>
      <c r="H4" s="1" t="s">
        <v>200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205</v>
      </c>
      <c r="N4" s="1" t="s">
        <v>206</v>
      </c>
    </row>
    <row r="5" spans="1:14" x14ac:dyDescent="0.25">
      <c r="A5" s="1" t="s">
        <v>184</v>
      </c>
      <c r="B5" s="1" t="str">
        <f>VLOOKUP(A5,LISTADHERENT!A$5:H$52,2,0)</f>
        <v>ASELBY</v>
      </c>
      <c r="C5" s="6"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420000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420000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420000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420000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1" t="s">
        <v>15</v>
      </c>
      <c r="B10" s="1" t="str">
        <f>VLOOKUP(A10,LISTADHERENT!A$5:H$52,2,0)</f>
        <v>DJOUKWE GUY</v>
      </c>
      <c r="C10" s="6">
        <v>420000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21" customFormat="1" x14ac:dyDescent="0.25">
      <c r="A11" s="19" t="s">
        <v>16</v>
      </c>
      <c r="B11" s="19" t="str">
        <f>VLOOKUP(A11,LISTADHERENT!A$5:H$52,2,0)</f>
        <v>DJOSSEU JOSUE</v>
      </c>
      <c r="C11" s="6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6"/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420000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v>420000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420000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420000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420000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50000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420000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420000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420000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v>420000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1" t="s">
        <v>28</v>
      </c>
      <c r="B23" s="1" t="str">
        <f>VLOOKUP(A23,LISTADHERENT!A$5:H$52,2,0)</f>
        <v>KOUAMOU VICTOR PEGUY</v>
      </c>
      <c r="C23" s="6">
        <v>420000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420000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420000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420000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420000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s="21" customFormat="1" x14ac:dyDescent="0.25">
      <c r="A28" s="19" t="s">
        <v>33</v>
      </c>
      <c r="B28" s="19" t="str">
        <f>VLOOKUP(A28,LISTADHERENT!A$5:H$52,2,0)</f>
        <v>NDOMBOU JEAN CLAUDE</v>
      </c>
      <c r="C28" s="6"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6"/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420000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v>420000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420000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102800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420000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21" customFormat="1" x14ac:dyDescent="0.25">
      <c r="A37" s="19" t="s">
        <v>42</v>
      </c>
      <c r="B37" s="19" t="str">
        <f>VLOOKUP(A37,LISTADHERENT!A$5:H$52,2,0)</f>
        <v>NTOMBOU ADOLPHE</v>
      </c>
      <c r="C37" s="6"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6"/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420000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420000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390000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420000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420000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420000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1" t="s">
        <v>49</v>
      </c>
      <c r="B44" s="1" t="str">
        <f>VLOOKUP(A44,LISTADHERENT!A$5:H$52,2,0)</f>
        <v>TAGNE NANGUEN MARTIN</v>
      </c>
      <c r="C44" s="6">
        <v>390000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420000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v>355719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420000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420000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420000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1" t="s">
        <v>178</v>
      </c>
      <c r="B52" s="1" t="str">
        <f>VLOOKUP(A52,LISTADHERENT!A$5:H$52,2,0)</f>
        <v>YOUMBI EMMANUEL</v>
      </c>
      <c r="C52" s="6">
        <v>420000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v>15538519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0</v>
      </c>
      <c r="J54" s="9">
        <f t="shared" si="0"/>
        <v>0</v>
      </c>
      <c r="K54" s="9">
        <f t="shared" si="0"/>
        <v>0</v>
      </c>
      <c r="L54" s="9">
        <f t="shared" si="0"/>
        <v>0</v>
      </c>
      <c r="M54" s="9">
        <f t="shared" si="0"/>
        <v>0</v>
      </c>
      <c r="N54" s="9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pane xSplit="2" ySplit="4" topLeftCell="C8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10" width="13" customWidth="1"/>
    <col min="11" max="11" width="15" style="2" bestFit="1" customWidth="1"/>
    <col min="12" max="12" width="15" bestFit="1" customWidth="1"/>
    <col min="13" max="13" width="17.5703125" style="4" bestFit="1" customWidth="1"/>
    <col min="14" max="14" width="15.7109375" style="2" customWidth="1"/>
    <col min="15" max="15" width="12.42578125" style="2" customWidth="1"/>
    <col min="16" max="16" width="9.7109375" style="2" customWidth="1"/>
    <col min="17" max="17" width="15" bestFit="1" customWidth="1"/>
    <col min="18" max="18" width="12.5703125" bestFit="1" customWidth="1"/>
    <col min="19" max="19" width="18.140625" customWidth="1"/>
  </cols>
  <sheetData>
    <row r="1" spans="1:2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24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</row>
    <row r="3" spans="1:24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</row>
    <row r="4" spans="1:24" ht="29.25" x14ac:dyDescent="0.25">
      <c r="A4" s="1" t="s">
        <v>6</v>
      </c>
      <c r="B4" s="1" t="s">
        <v>7</v>
      </c>
      <c r="C4" s="6" t="s">
        <v>187</v>
      </c>
      <c r="D4" s="1" t="s">
        <v>222</v>
      </c>
      <c r="E4" s="5" t="s">
        <v>185</v>
      </c>
      <c r="F4" s="5" t="s">
        <v>186</v>
      </c>
      <c r="G4" s="1" t="s">
        <v>183</v>
      </c>
      <c r="H4" s="5" t="s">
        <v>219</v>
      </c>
      <c r="I4" s="1" t="s">
        <v>220</v>
      </c>
      <c r="J4" s="43" t="s">
        <v>221</v>
      </c>
      <c r="K4" s="5" t="s">
        <v>65</v>
      </c>
      <c r="L4" s="1" t="s">
        <v>57</v>
      </c>
      <c r="M4" s="5" t="s">
        <v>58</v>
      </c>
      <c r="N4" s="5" t="s">
        <v>59</v>
      </c>
      <c r="O4" s="5" t="s">
        <v>60</v>
      </c>
      <c r="P4" s="5" t="s">
        <v>61</v>
      </c>
      <c r="Q4" s="5" t="s">
        <v>63</v>
      </c>
      <c r="R4" s="5" t="s">
        <v>64</v>
      </c>
      <c r="S4" s="5" t="s">
        <v>8</v>
      </c>
      <c r="T4" s="5" t="s">
        <v>181</v>
      </c>
      <c r="U4" s="5" t="s">
        <v>180</v>
      </c>
      <c r="V4" s="6" t="s">
        <v>9</v>
      </c>
      <c r="W4" s="1" t="s">
        <v>10</v>
      </c>
      <c r="X4" s="5" t="s">
        <v>223</v>
      </c>
    </row>
    <row r="5" spans="1:24" x14ac:dyDescent="0.25">
      <c r="A5" s="1" t="s">
        <v>184</v>
      </c>
      <c r="B5" s="1" t="str">
        <f>VLOOKUP(A5,LISTADHERENT!A$5:H$52,2,0)</f>
        <v>ASELBY</v>
      </c>
      <c r="C5" s="6">
        <f>VLOOKUP(A5,FONDSDECAISSE!A$5:C$52,3,0)</f>
        <v>0</v>
      </c>
      <c r="D5" s="6">
        <v>355097</v>
      </c>
      <c r="E5" s="6">
        <f>$R$56/$F$56*F5</f>
        <v>0</v>
      </c>
      <c r="F5" s="6">
        <f>C5+D5+L5</f>
        <v>355097</v>
      </c>
      <c r="G5" s="6"/>
      <c r="H5" s="7"/>
      <c r="I5" s="7"/>
      <c r="J5" s="4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X5" s="1"/>
    </row>
    <row r="6" spans="1:24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420000</v>
      </c>
      <c r="D6" s="6">
        <v>51993</v>
      </c>
      <c r="E6" s="6">
        <f>$R$56/$F$56*F6</f>
        <v>0</v>
      </c>
      <c r="F6" s="6">
        <f t="shared" ref="F6:F52" si="0">C6+D6+L6</f>
        <v>471993</v>
      </c>
      <c r="G6" s="6"/>
      <c r="H6" s="7">
        <f>IF(J6="ECHEC",0,13000)</f>
        <v>0</v>
      </c>
      <c r="I6" s="7">
        <f>IF(J6="ESPECES",1000,0)</f>
        <v>0</v>
      </c>
      <c r="J6" s="43" t="s">
        <v>217</v>
      </c>
      <c r="K6" s="7">
        <f>IF(H6=0,0,L6+M6+N6+O6+P6+#REF!)</f>
        <v>0</v>
      </c>
      <c r="L6" s="7"/>
      <c r="M6" s="7"/>
      <c r="N6" s="7"/>
      <c r="O6" s="7"/>
      <c r="P6" s="7"/>
      <c r="Q6" s="7"/>
      <c r="R6" s="7">
        <f>IF(Q6&lt;=500000,(Q6*1*3/100),(Q6*12/100))</f>
        <v>0</v>
      </c>
      <c r="S6" s="7">
        <f>Q6+R6</f>
        <v>0</v>
      </c>
      <c r="T6" s="2"/>
      <c r="U6" s="2"/>
      <c r="V6" s="7"/>
      <c r="X6" s="1"/>
    </row>
    <row r="7" spans="1:24" x14ac:dyDescent="0.25">
      <c r="A7" s="1" t="s">
        <v>12</v>
      </c>
      <c r="B7" s="1" t="str">
        <f>VLOOKUP(A7,LISTADHERENT!A$5:H$51,2)</f>
        <v>BOUTCHOUANG WILLIAM</v>
      </c>
      <c r="C7" s="6">
        <f>VLOOKUP(A7,FONDSDECAISSE!A$5:C$52,3,0)</f>
        <v>420000</v>
      </c>
      <c r="D7" s="6">
        <v>2720</v>
      </c>
      <c r="E7" s="6">
        <f>$R$56/$F$56*F7</f>
        <v>0</v>
      </c>
      <c r="F7" s="6">
        <f t="shared" si="0"/>
        <v>425720</v>
      </c>
      <c r="G7" s="6"/>
      <c r="H7" s="7">
        <f t="shared" ref="H7:H52" si="1">IF(J7="ECHEC",0,13000)</f>
        <v>13000</v>
      </c>
      <c r="I7" s="7">
        <f t="shared" ref="I7:I52" si="2">IF(J7="ESPECES",1000,0)</f>
        <v>1000</v>
      </c>
      <c r="J7" s="43" t="s">
        <v>224</v>
      </c>
      <c r="K7" s="7">
        <f>IF(H7=0,0,H7+L7+M7+N7+O7+P7)</f>
        <v>20000</v>
      </c>
      <c r="L7" s="7">
        <v>3000</v>
      </c>
      <c r="M7" s="7">
        <v>500</v>
      </c>
      <c r="N7" s="7">
        <v>1000</v>
      </c>
      <c r="O7" s="7">
        <v>2500</v>
      </c>
      <c r="P7" s="7"/>
      <c r="Q7" s="7"/>
      <c r="R7" s="7">
        <f t="shared" ref="R7:R52" si="3">IF(Q7&lt;=500000,(Q7*1*3/100),(Q7*12/100))</f>
        <v>0</v>
      </c>
      <c r="S7" s="7">
        <f t="shared" ref="S7:S52" si="4">Q7+R7</f>
        <v>0</v>
      </c>
      <c r="T7" s="2"/>
      <c r="U7" s="2"/>
      <c r="V7" s="7"/>
      <c r="X7" s="1"/>
    </row>
    <row r="8" spans="1:24" x14ac:dyDescent="0.25">
      <c r="A8" s="1" t="s">
        <v>13</v>
      </c>
      <c r="B8" s="1" t="str">
        <f>VLOOKUP(A8,LISTADHERENT!A$5:H$51,2)</f>
        <v>CHINGUE FABRICE</v>
      </c>
      <c r="C8" s="6">
        <f>VLOOKUP(A8,FONDSDECAISSE!A$5:C$52,3,0)</f>
        <v>420000</v>
      </c>
      <c r="D8" s="6">
        <v>5874</v>
      </c>
      <c r="E8" s="6">
        <f>$R$56/$F$56*F8</f>
        <v>0</v>
      </c>
      <c r="F8" s="6">
        <f t="shared" si="0"/>
        <v>428874</v>
      </c>
      <c r="G8" s="6"/>
      <c r="H8" s="7">
        <f t="shared" si="1"/>
        <v>13000</v>
      </c>
      <c r="I8" s="7">
        <f t="shared" si="2"/>
        <v>1000</v>
      </c>
      <c r="J8" s="43" t="s">
        <v>224</v>
      </c>
      <c r="K8" s="7">
        <f t="shared" ref="K8:K52" si="5">IF(H8=0,0,H8+L8+M8+N8+O8+P8)</f>
        <v>20000</v>
      </c>
      <c r="L8" s="7">
        <v>3000</v>
      </c>
      <c r="M8" s="7">
        <v>500</v>
      </c>
      <c r="N8" s="7">
        <v>1000</v>
      </c>
      <c r="O8" s="7">
        <v>2500</v>
      </c>
      <c r="P8" s="7"/>
      <c r="Q8" s="2"/>
      <c r="R8" s="7">
        <f t="shared" si="3"/>
        <v>0</v>
      </c>
      <c r="S8" s="7">
        <f t="shared" si="4"/>
        <v>0</v>
      </c>
      <c r="T8" s="2"/>
      <c r="U8" s="2"/>
      <c r="V8" s="7"/>
      <c r="X8" s="1"/>
    </row>
    <row r="9" spans="1:24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VLOOKUP(A9,FONDSDECAISSE!A$5:C$52,3,0)</f>
        <v>420000</v>
      </c>
      <c r="D9" s="6">
        <v>2570</v>
      </c>
      <c r="E9" s="6">
        <f>$R$56/$F$56*F9</f>
        <v>0</v>
      </c>
      <c r="F9" s="6">
        <f t="shared" si="0"/>
        <v>425570</v>
      </c>
      <c r="G9" s="6"/>
      <c r="H9" s="7">
        <f t="shared" si="1"/>
        <v>13000</v>
      </c>
      <c r="I9" s="7">
        <f t="shared" si="2"/>
        <v>0</v>
      </c>
      <c r="J9" s="43" t="s">
        <v>218</v>
      </c>
      <c r="K9" s="7">
        <f t="shared" si="5"/>
        <v>20000</v>
      </c>
      <c r="L9" s="7">
        <v>3000</v>
      </c>
      <c r="M9" s="7">
        <v>500</v>
      </c>
      <c r="N9" s="7">
        <v>1000</v>
      </c>
      <c r="O9" s="7">
        <v>2500</v>
      </c>
      <c r="P9" s="7"/>
      <c r="Q9" s="2"/>
      <c r="R9" s="7">
        <f t="shared" si="3"/>
        <v>0</v>
      </c>
      <c r="S9" s="7">
        <f t="shared" si="4"/>
        <v>0</v>
      </c>
      <c r="T9" s="2"/>
      <c r="U9" s="2"/>
      <c r="V9" s="7">
        <v>11000</v>
      </c>
      <c r="X9" s="1" t="s">
        <v>84</v>
      </c>
    </row>
    <row r="10" spans="1:24" x14ac:dyDescent="0.25">
      <c r="A10" s="1" t="s">
        <v>15</v>
      </c>
      <c r="B10" s="1" t="str">
        <f>VLOOKUP(A10,LISTADHERENT!A$5:H$51,2)</f>
        <v>DJOUKWE GUY</v>
      </c>
      <c r="C10" s="6">
        <f>VLOOKUP(A10,FONDSDECAISSE!A$5:C$52,3,0)</f>
        <v>420000</v>
      </c>
      <c r="D10" s="6">
        <v>2697</v>
      </c>
      <c r="E10" s="6">
        <f>$R$56/$F$56*F10</f>
        <v>0</v>
      </c>
      <c r="F10" s="6">
        <f t="shared" si="0"/>
        <v>425697</v>
      </c>
      <c r="G10" s="6"/>
      <c r="H10" s="7">
        <f t="shared" si="1"/>
        <v>13000</v>
      </c>
      <c r="I10" s="7">
        <f t="shared" si="2"/>
        <v>0</v>
      </c>
      <c r="J10" s="43" t="s">
        <v>218</v>
      </c>
      <c r="K10" s="7">
        <f t="shared" si="5"/>
        <v>20000</v>
      </c>
      <c r="L10" s="7">
        <v>3000</v>
      </c>
      <c r="M10" s="7">
        <v>500</v>
      </c>
      <c r="N10" s="7">
        <v>1000</v>
      </c>
      <c r="O10" s="7">
        <v>2500</v>
      </c>
      <c r="P10" s="7"/>
      <c r="Q10" s="2"/>
      <c r="R10" s="7">
        <f t="shared" si="3"/>
        <v>0</v>
      </c>
      <c r="S10" s="7">
        <f t="shared" si="4"/>
        <v>0</v>
      </c>
      <c r="T10" s="2"/>
      <c r="U10" s="2"/>
      <c r="V10" s="7"/>
      <c r="X10" s="1"/>
    </row>
    <row r="11" spans="1:24" x14ac:dyDescent="0.25">
      <c r="A11" s="1"/>
      <c r="B11" s="1"/>
      <c r="C11" s="6"/>
      <c r="D11" s="6">
        <v>0</v>
      </c>
      <c r="E11" s="6"/>
      <c r="F11" s="6">
        <f t="shared" si="0"/>
        <v>0</v>
      </c>
      <c r="G11" s="6"/>
      <c r="H11" s="7"/>
      <c r="I11" s="7"/>
      <c r="J11" s="43"/>
      <c r="K11" s="7"/>
      <c r="L11" s="7"/>
      <c r="M11" s="7"/>
      <c r="N11" s="7"/>
      <c r="O11" s="7"/>
      <c r="P11" s="7"/>
      <c r="Q11" s="2"/>
      <c r="R11" s="7">
        <f t="shared" si="3"/>
        <v>0</v>
      </c>
      <c r="S11" s="7">
        <f t="shared" si="4"/>
        <v>0</v>
      </c>
      <c r="T11" s="2"/>
      <c r="U11" s="2"/>
      <c r="V11" s="7"/>
      <c r="X11" s="1"/>
    </row>
    <row r="12" spans="1:24" x14ac:dyDescent="0.25">
      <c r="A12" s="1" t="s">
        <v>17</v>
      </c>
      <c r="B12" s="1" t="str">
        <f>VLOOKUP(A12,LISTADHERENT!A$5:H$51,2)</f>
        <v>DJOUNKEP SAMUEL</v>
      </c>
      <c r="C12" s="6">
        <f>VLOOKUP(A12,FONDSDECAISSE!A$5:C$52,3,0)</f>
        <v>420000</v>
      </c>
      <c r="D12" s="6">
        <v>635540</v>
      </c>
      <c r="E12" s="6">
        <f>$R$56/$F$56*F12</f>
        <v>0</v>
      </c>
      <c r="F12" s="6">
        <f t="shared" si="0"/>
        <v>1058540</v>
      </c>
      <c r="G12" s="6"/>
      <c r="H12" s="7">
        <f t="shared" si="1"/>
        <v>13000</v>
      </c>
      <c r="I12" s="7">
        <f t="shared" si="2"/>
        <v>0</v>
      </c>
      <c r="J12" s="43" t="s">
        <v>218</v>
      </c>
      <c r="K12" s="7">
        <f t="shared" si="5"/>
        <v>20000</v>
      </c>
      <c r="L12" s="7">
        <v>3000</v>
      </c>
      <c r="M12" s="7">
        <v>500</v>
      </c>
      <c r="N12" s="7">
        <v>1000</v>
      </c>
      <c r="O12" s="7">
        <v>2500</v>
      </c>
      <c r="P12" s="7"/>
      <c r="Q12" s="2"/>
      <c r="R12" s="7">
        <f t="shared" si="3"/>
        <v>0</v>
      </c>
      <c r="S12" s="7">
        <f t="shared" si="4"/>
        <v>0</v>
      </c>
      <c r="T12" s="2"/>
      <c r="U12" s="2"/>
      <c r="V12" s="7"/>
      <c r="X12" s="1"/>
    </row>
    <row r="13" spans="1:24" x14ac:dyDescent="0.25">
      <c r="A13" s="1" t="s">
        <v>18</v>
      </c>
      <c r="B13" s="1" t="str">
        <f>VLOOKUP(A13,LISTADHERENT!A$5:H$51,2)</f>
        <v>DJUOMBESSY ANTOINE</v>
      </c>
      <c r="C13" s="6">
        <f>VLOOKUP(A13,FONDSDECAISSE!A$5:C$52,3,0)</f>
        <v>420000</v>
      </c>
      <c r="D13" s="6">
        <v>2746</v>
      </c>
      <c r="E13" s="6">
        <f>$R$56/$F$56*F13</f>
        <v>0</v>
      </c>
      <c r="F13" s="6">
        <f t="shared" si="0"/>
        <v>425746</v>
      </c>
      <c r="G13" s="6"/>
      <c r="H13" s="7">
        <f t="shared" si="1"/>
        <v>13000</v>
      </c>
      <c r="I13" s="7">
        <f t="shared" si="2"/>
        <v>0</v>
      </c>
      <c r="J13" s="43" t="s">
        <v>218</v>
      </c>
      <c r="K13" s="7">
        <f t="shared" si="5"/>
        <v>20000</v>
      </c>
      <c r="L13" s="7">
        <v>3000</v>
      </c>
      <c r="M13" s="7">
        <v>500</v>
      </c>
      <c r="N13" s="7">
        <v>1000</v>
      </c>
      <c r="O13" s="7">
        <v>2500</v>
      </c>
      <c r="P13" s="7"/>
      <c r="Q13" s="2"/>
      <c r="R13" s="7">
        <f t="shared" si="3"/>
        <v>0</v>
      </c>
      <c r="S13" s="7">
        <f t="shared" si="4"/>
        <v>0</v>
      </c>
      <c r="T13" s="2"/>
      <c r="U13" s="2"/>
      <c r="V13" s="7"/>
      <c r="X13" s="1"/>
    </row>
    <row r="14" spans="1:24" x14ac:dyDescent="0.25">
      <c r="A14" s="1" t="s">
        <v>19</v>
      </c>
      <c r="B14" s="1" t="str">
        <f>VLOOKUP(A14,LISTADHERENT!A$5:H$51,2)</f>
        <v>DONHOU DAVID</v>
      </c>
      <c r="C14" s="6">
        <f>VLOOKUP(A14,FONDSDECAISSE!A$5:C$52,3,0)</f>
        <v>420000</v>
      </c>
      <c r="D14" s="6">
        <v>53748</v>
      </c>
      <c r="E14" s="6">
        <f>$R$56/$F$56*F14</f>
        <v>0</v>
      </c>
      <c r="F14" s="6">
        <f t="shared" si="0"/>
        <v>476748</v>
      </c>
      <c r="G14" s="6"/>
      <c r="H14" s="7">
        <f t="shared" si="1"/>
        <v>13000</v>
      </c>
      <c r="I14" s="7">
        <f t="shared" si="2"/>
        <v>1000</v>
      </c>
      <c r="J14" s="43" t="s">
        <v>224</v>
      </c>
      <c r="K14" s="7">
        <f t="shared" si="5"/>
        <v>20000</v>
      </c>
      <c r="L14" s="7">
        <v>3000</v>
      </c>
      <c r="M14" s="7">
        <v>500</v>
      </c>
      <c r="N14" s="7">
        <v>1000</v>
      </c>
      <c r="O14" s="7">
        <v>2500</v>
      </c>
      <c r="P14" s="7"/>
      <c r="Q14" s="2"/>
      <c r="R14" s="7">
        <f t="shared" si="3"/>
        <v>0</v>
      </c>
      <c r="S14" s="7">
        <f t="shared" si="4"/>
        <v>0</v>
      </c>
      <c r="T14" s="2"/>
      <c r="U14" s="2"/>
      <c r="V14" s="7"/>
      <c r="X14" s="1"/>
    </row>
    <row r="15" spans="1:24" x14ac:dyDescent="0.25">
      <c r="A15" s="1" t="s">
        <v>20</v>
      </c>
      <c r="B15" s="1" t="str">
        <f>VLOOKUP(A15,LISTADHERENT!A$5:H$51,2)</f>
        <v>FOTSO THOMAS</v>
      </c>
      <c r="C15" s="6">
        <f>VLOOKUP(A15,FONDSDECAISSE!A$5:C$52,3,0)</f>
        <v>420000</v>
      </c>
      <c r="D15" s="6">
        <v>2522</v>
      </c>
      <c r="E15" s="6">
        <f>$R$56/$F$56*F15</f>
        <v>0</v>
      </c>
      <c r="F15" s="6">
        <f t="shared" si="0"/>
        <v>425522</v>
      </c>
      <c r="G15" s="6"/>
      <c r="H15" s="7">
        <f t="shared" si="1"/>
        <v>13000</v>
      </c>
      <c r="I15" s="7">
        <f t="shared" si="2"/>
        <v>1000</v>
      </c>
      <c r="J15" s="43" t="s">
        <v>224</v>
      </c>
      <c r="K15" s="7">
        <f t="shared" si="5"/>
        <v>20000</v>
      </c>
      <c r="L15" s="7">
        <v>3000</v>
      </c>
      <c r="M15" s="7">
        <v>500</v>
      </c>
      <c r="N15" s="7">
        <v>1000</v>
      </c>
      <c r="O15" s="7">
        <v>2500</v>
      </c>
      <c r="P15" s="7"/>
      <c r="Q15" s="2"/>
      <c r="R15" s="7">
        <f t="shared" si="3"/>
        <v>0</v>
      </c>
      <c r="S15" s="7">
        <f t="shared" si="4"/>
        <v>0</v>
      </c>
      <c r="T15" s="2"/>
      <c r="U15" s="2"/>
      <c r="V15" s="7"/>
      <c r="X15" s="1"/>
    </row>
    <row r="16" spans="1:24" x14ac:dyDescent="0.25">
      <c r="A16" s="1" t="s">
        <v>21</v>
      </c>
      <c r="B16" s="1" t="str">
        <f>VLOOKUP(A16,LISTADHERENT!A$5:H$51,2)</f>
        <v>HENGUE PAUL OMER</v>
      </c>
      <c r="C16" s="6">
        <f>VLOOKUP(A16,FONDSDECAISSE!A$5:C$52,3,0)</f>
        <v>420000</v>
      </c>
      <c r="D16" s="6">
        <v>-10298</v>
      </c>
      <c r="E16" s="6">
        <f>$R$56/$F$56*F16</f>
        <v>0</v>
      </c>
      <c r="F16" s="6">
        <f t="shared" si="0"/>
        <v>478702</v>
      </c>
      <c r="G16" s="6"/>
      <c r="H16" s="7">
        <v>39000</v>
      </c>
      <c r="I16" s="7">
        <f t="shared" si="2"/>
        <v>0</v>
      </c>
      <c r="J16" s="43" t="s">
        <v>218</v>
      </c>
      <c r="K16" s="7">
        <f t="shared" si="5"/>
        <v>120000</v>
      </c>
      <c r="L16" s="7">
        <v>69000</v>
      </c>
      <c r="M16" s="7">
        <v>1500</v>
      </c>
      <c r="N16" s="7">
        <v>3000</v>
      </c>
      <c r="O16" s="7">
        <v>7500</v>
      </c>
      <c r="P16" s="7"/>
      <c r="Q16" s="2"/>
      <c r="R16" s="7">
        <f t="shared" si="3"/>
        <v>0</v>
      </c>
      <c r="S16" s="7">
        <f t="shared" si="4"/>
        <v>0</v>
      </c>
      <c r="T16" s="2"/>
      <c r="U16" s="2"/>
      <c r="V16" s="7"/>
      <c r="X16" s="1"/>
    </row>
    <row r="17" spans="1:24" x14ac:dyDescent="0.25">
      <c r="A17" s="1" t="s">
        <v>22</v>
      </c>
      <c r="B17" s="1" t="str">
        <f>VLOOKUP(A17,LISTADHERENT!A$5:H$51,2)</f>
        <v>HODIEP JULES</v>
      </c>
      <c r="C17" s="6">
        <f>VLOOKUP(A17,FONDSDECAISSE!A$5:C$52,3,0)</f>
        <v>50000</v>
      </c>
      <c r="D17" s="6">
        <v>260</v>
      </c>
      <c r="E17" s="6">
        <f>$R$56/$F$56*F17</f>
        <v>0</v>
      </c>
      <c r="F17" s="6">
        <f t="shared" si="0"/>
        <v>50260</v>
      </c>
      <c r="G17" s="6"/>
      <c r="H17" s="7">
        <f t="shared" si="1"/>
        <v>0</v>
      </c>
      <c r="I17" s="7">
        <f t="shared" si="2"/>
        <v>0</v>
      </c>
      <c r="J17" s="43" t="s">
        <v>217</v>
      </c>
      <c r="K17" s="7">
        <f t="shared" si="5"/>
        <v>0</v>
      </c>
      <c r="L17" s="7"/>
      <c r="M17" s="7"/>
      <c r="N17" s="7"/>
      <c r="O17" s="7"/>
      <c r="P17" s="7"/>
      <c r="Q17" s="2"/>
      <c r="R17" s="7">
        <f t="shared" si="3"/>
        <v>0</v>
      </c>
      <c r="S17" s="7">
        <f t="shared" si="4"/>
        <v>0</v>
      </c>
      <c r="T17" s="2"/>
      <c r="U17" s="2"/>
      <c r="V17" s="7"/>
      <c r="X17" s="1"/>
    </row>
    <row r="18" spans="1:24" x14ac:dyDescent="0.25">
      <c r="A18" s="1" t="s">
        <v>23</v>
      </c>
      <c r="B18" s="1" t="str">
        <f>VLOOKUP(A18,LISTADHERENT!A$5:H$51,2)</f>
        <v>HOTCHO BENJAMIN</v>
      </c>
      <c r="C18" s="6">
        <f>VLOOKUP(A18,FONDSDECAISSE!A$5:C$52,3,0)</f>
        <v>420000</v>
      </c>
      <c r="D18" s="6">
        <v>112685</v>
      </c>
      <c r="E18" s="6">
        <f>$R$56/$F$56*F18</f>
        <v>0</v>
      </c>
      <c r="F18" s="6">
        <f t="shared" si="0"/>
        <v>535685</v>
      </c>
      <c r="G18" s="6"/>
      <c r="H18" s="7">
        <f t="shared" si="1"/>
        <v>13000</v>
      </c>
      <c r="I18" s="7">
        <f t="shared" si="2"/>
        <v>0</v>
      </c>
      <c r="J18" s="43" t="s">
        <v>218</v>
      </c>
      <c r="K18" s="7">
        <f t="shared" si="5"/>
        <v>20000</v>
      </c>
      <c r="L18" s="7">
        <v>3000</v>
      </c>
      <c r="M18" s="7">
        <v>500</v>
      </c>
      <c r="N18" s="7">
        <v>1000</v>
      </c>
      <c r="O18" s="7">
        <v>2500</v>
      </c>
      <c r="P18" s="7"/>
      <c r="Q18" s="2"/>
      <c r="R18" s="7">
        <f t="shared" si="3"/>
        <v>0</v>
      </c>
      <c r="S18" s="7">
        <f t="shared" si="4"/>
        <v>0</v>
      </c>
      <c r="T18" s="2"/>
      <c r="U18" s="2"/>
      <c r="V18" s="7"/>
      <c r="X18" s="1"/>
    </row>
    <row r="19" spans="1:24" x14ac:dyDescent="0.25">
      <c r="A19" s="1" t="s">
        <v>24</v>
      </c>
      <c r="B19" s="1" t="str">
        <f>VLOOKUP(A19,LISTADHERENT!A$5:H$51,2)</f>
        <v>KEPHE DAVID</v>
      </c>
      <c r="C19" s="6">
        <f>VLOOKUP(A19,FONDSDECAISSE!A$5:C$52,3,0)</f>
        <v>0</v>
      </c>
      <c r="D19" s="6">
        <v>177</v>
      </c>
      <c r="E19" s="6">
        <f>$R$56/$F$56*F19</f>
        <v>0</v>
      </c>
      <c r="F19" s="6">
        <f t="shared" si="0"/>
        <v>3177</v>
      </c>
      <c r="G19" s="6"/>
      <c r="H19" s="7">
        <f t="shared" si="1"/>
        <v>13000</v>
      </c>
      <c r="I19" s="7">
        <f t="shared" si="2"/>
        <v>0</v>
      </c>
      <c r="J19" s="43" t="s">
        <v>218</v>
      </c>
      <c r="K19" s="7">
        <f t="shared" si="5"/>
        <v>20000</v>
      </c>
      <c r="L19" s="7">
        <v>3000</v>
      </c>
      <c r="M19" s="7">
        <v>500</v>
      </c>
      <c r="N19" s="7">
        <v>1000</v>
      </c>
      <c r="O19" s="7">
        <v>2500</v>
      </c>
      <c r="P19" s="7"/>
      <c r="Q19" s="2"/>
      <c r="R19" s="7">
        <f t="shared" si="3"/>
        <v>0</v>
      </c>
      <c r="S19" s="7">
        <f t="shared" si="4"/>
        <v>0</v>
      </c>
      <c r="T19" s="2"/>
      <c r="U19" s="2"/>
      <c r="V19" s="7"/>
      <c r="X19" s="1"/>
    </row>
    <row r="20" spans="1:24" x14ac:dyDescent="0.25">
      <c r="A20" s="1" t="s">
        <v>25</v>
      </c>
      <c r="B20" s="1" t="str">
        <f>VLOOKUP(A20,LISTADHERENT!A$5:H$51,2)</f>
        <v>KEPSEU FRANCIS</v>
      </c>
      <c r="C20" s="6">
        <f>VLOOKUP(A20,FONDSDECAISSE!A$5:C$52,3,0)</f>
        <v>420000</v>
      </c>
      <c r="D20" s="6">
        <v>705425</v>
      </c>
      <c r="E20" s="6">
        <f>$R$56/$F$56*F20</f>
        <v>0</v>
      </c>
      <c r="F20" s="6">
        <f t="shared" si="0"/>
        <v>2131425</v>
      </c>
      <c r="G20" s="6"/>
      <c r="H20" s="7">
        <f t="shared" si="1"/>
        <v>13000</v>
      </c>
      <c r="I20" s="7">
        <f t="shared" si="2"/>
        <v>0</v>
      </c>
      <c r="J20" s="43" t="s">
        <v>218</v>
      </c>
      <c r="K20" s="7">
        <f t="shared" si="5"/>
        <v>1023000</v>
      </c>
      <c r="L20" s="7">
        <v>1006000</v>
      </c>
      <c r="M20" s="7">
        <v>500</v>
      </c>
      <c r="N20" s="7">
        <v>1000</v>
      </c>
      <c r="O20" s="7">
        <v>2500</v>
      </c>
      <c r="P20" s="7"/>
      <c r="Q20" s="2"/>
      <c r="R20" s="7">
        <f t="shared" si="3"/>
        <v>0</v>
      </c>
      <c r="S20" s="7">
        <f t="shared" si="4"/>
        <v>0</v>
      </c>
      <c r="T20" s="2"/>
      <c r="U20" s="2"/>
      <c r="V20" s="7"/>
      <c r="X20" s="1"/>
    </row>
    <row r="21" spans="1:24" x14ac:dyDescent="0.25">
      <c r="A21" s="1" t="s">
        <v>26</v>
      </c>
      <c r="B21" s="1" t="str">
        <f>VLOOKUP(A21,LISTADHERENT!A$5:H$51,2)</f>
        <v>KOUAMOU EMMANUEL</v>
      </c>
      <c r="C21" s="6">
        <f>VLOOKUP(A21,FONDSDECAISSE!A$5:C$52,3,0)</f>
        <v>420000</v>
      </c>
      <c r="D21" s="6">
        <v>2357</v>
      </c>
      <c r="E21" s="6">
        <f>$R$56/$F$56*F21</f>
        <v>0</v>
      </c>
      <c r="F21" s="6">
        <f t="shared" si="0"/>
        <v>425357</v>
      </c>
      <c r="G21" s="6"/>
      <c r="H21" s="7">
        <f t="shared" si="1"/>
        <v>13000</v>
      </c>
      <c r="I21" s="7">
        <f t="shared" si="2"/>
        <v>0</v>
      </c>
      <c r="J21" s="43" t="s">
        <v>218</v>
      </c>
      <c r="K21" s="7">
        <f t="shared" si="5"/>
        <v>20000</v>
      </c>
      <c r="L21" s="7">
        <v>3000</v>
      </c>
      <c r="M21" s="7">
        <v>500</v>
      </c>
      <c r="N21" s="7">
        <v>1000</v>
      </c>
      <c r="O21" s="7">
        <v>2500</v>
      </c>
      <c r="P21" s="7"/>
      <c r="Q21" s="2"/>
      <c r="R21" s="7">
        <f t="shared" si="3"/>
        <v>0</v>
      </c>
      <c r="S21" s="7">
        <f t="shared" si="4"/>
        <v>0</v>
      </c>
      <c r="T21" s="2"/>
      <c r="U21" s="2"/>
      <c r="V21" s="7"/>
      <c r="X21" s="1"/>
    </row>
    <row r="22" spans="1:24" x14ac:dyDescent="0.25">
      <c r="A22" s="1" t="s">
        <v>27</v>
      </c>
      <c r="B22" s="1" t="str">
        <f>VLOOKUP(A22,LISTADHERENT!A$5:H$51,2)</f>
        <v>KOUAMOU MOISE</v>
      </c>
      <c r="C22" s="6">
        <f>VLOOKUP(A22,FONDSDECAISSE!A$5:C$52,3,0)</f>
        <v>420000</v>
      </c>
      <c r="D22" s="6">
        <v>3048</v>
      </c>
      <c r="E22" s="6">
        <f>$R$56/$F$56*F22</f>
        <v>0</v>
      </c>
      <c r="F22" s="6">
        <f t="shared" si="0"/>
        <v>426048</v>
      </c>
      <c r="G22" s="6"/>
      <c r="H22" s="7">
        <f t="shared" si="1"/>
        <v>13000</v>
      </c>
      <c r="I22" s="7">
        <f t="shared" si="2"/>
        <v>1000</v>
      </c>
      <c r="J22" s="43" t="s">
        <v>224</v>
      </c>
      <c r="K22" s="7">
        <f t="shared" si="5"/>
        <v>20000</v>
      </c>
      <c r="L22" s="7">
        <v>3000</v>
      </c>
      <c r="M22" s="7">
        <v>500</v>
      </c>
      <c r="N22" s="7">
        <v>1000</v>
      </c>
      <c r="O22" s="7">
        <v>2500</v>
      </c>
      <c r="P22" s="7"/>
      <c r="Q22" s="2"/>
      <c r="R22" s="7">
        <f t="shared" si="3"/>
        <v>0</v>
      </c>
      <c r="S22" s="7">
        <f t="shared" si="4"/>
        <v>0</v>
      </c>
      <c r="T22" s="2"/>
      <c r="U22" s="2"/>
      <c r="V22" s="7">
        <v>12000</v>
      </c>
      <c r="X22" s="1" t="s">
        <v>103</v>
      </c>
    </row>
    <row r="23" spans="1:24" x14ac:dyDescent="0.25">
      <c r="A23" s="1" t="s">
        <v>28</v>
      </c>
      <c r="B23" s="1" t="str">
        <f>VLOOKUP(A23,LISTADHERENT!A$5:H$51,2)</f>
        <v>KOUAMOU VICTOR PEGUY</v>
      </c>
      <c r="C23" s="6">
        <f>VLOOKUP(A23,FONDSDECAISSE!A$5:C$52,3,0)</f>
        <v>420000</v>
      </c>
      <c r="D23" s="6">
        <v>2686</v>
      </c>
      <c r="E23" s="6">
        <f>$R$56/$F$56*F23</f>
        <v>0</v>
      </c>
      <c r="F23" s="6">
        <f t="shared" si="0"/>
        <v>425686</v>
      </c>
      <c r="G23" s="6"/>
      <c r="H23" s="7">
        <f t="shared" si="1"/>
        <v>13000</v>
      </c>
      <c r="I23" s="7">
        <f t="shared" si="2"/>
        <v>1000</v>
      </c>
      <c r="J23" s="43" t="s">
        <v>224</v>
      </c>
      <c r="K23" s="7">
        <f t="shared" si="5"/>
        <v>20000</v>
      </c>
      <c r="L23" s="7">
        <v>3000</v>
      </c>
      <c r="M23" s="7">
        <v>500</v>
      </c>
      <c r="N23" s="7">
        <v>1000</v>
      </c>
      <c r="O23" s="7">
        <v>2500</v>
      </c>
      <c r="P23" s="7"/>
      <c r="Q23" s="2"/>
      <c r="R23" s="7">
        <f t="shared" si="3"/>
        <v>0</v>
      </c>
      <c r="S23" s="7">
        <f t="shared" si="4"/>
        <v>0</v>
      </c>
      <c r="T23" s="2"/>
      <c r="U23" s="2"/>
      <c r="V23" s="7">
        <v>12000</v>
      </c>
      <c r="X23" s="1" t="s">
        <v>85</v>
      </c>
    </row>
    <row r="24" spans="1:24" x14ac:dyDescent="0.25">
      <c r="A24" s="1" t="s">
        <v>29</v>
      </c>
      <c r="B24" s="1" t="str">
        <f>VLOOKUP(A24,LISTADHERENT!A$5:H$51,2)</f>
        <v>KOUATCHO MESSACK</v>
      </c>
      <c r="C24" s="6">
        <f>VLOOKUP(A24,FONDSDECAISSE!A$5:C$52,3,0)</f>
        <v>420000</v>
      </c>
      <c r="D24" s="6">
        <v>3818</v>
      </c>
      <c r="E24" s="6">
        <f>$R$56/$F$56*F24</f>
        <v>0</v>
      </c>
      <c r="F24" s="6">
        <f t="shared" si="0"/>
        <v>426818</v>
      </c>
      <c r="G24" s="6"/>
      <c r="H24" s="7">
        <f t="shared" si="1"/>
        <v>13000</v>
      </c>
      <c r="I24" s="7">
        <f t="shared" si="2"/>
        <v>1000</v>
      </c>
      <c r="J24" s="43" t="s">
        <v>224</v>
      </c>
      <c r="K24" s="7">
        <f t="shared" si="5"/>
        <v>20000</v>
      </c>
      <c r="L24" s="7">
        <v>3000</v>
      </c>
      <c r="M24" s="7">
        <v>500</v>
      </c>
      <c r="N24" s="7">
        <v>1000</v>
      </c>
      <c r="O24" s="7">
        <v>2500</v>
      </c>
      <c r="P24" s="7"/>
      <c r="Q24" s="7"/>
      <c r="R24" s="7">
        <f t="shared" si="3"/>
        <v>0</v>
      </c>
      <c r="S24" s="7">
        <f t="shared" si="4"/>
        <v>0</v>
      </c>
      <c r="T24" s="2"/>
      <c r="U24" s="2"/>
      <c r="V24" s="7"/>
      <c r="X24" s="1"/>
    </row>
    <row r="25" spans="1:24" x14ac:dyDescent="0.25">
      <c r="A25" s="1" t="s">
        <v>30</v>
      </c>
      <c r="B25" s="1" t="str">
        <f>VLOOKUP(A25,LISTADHERENT!A$5:H$51,2)</f>
        <v>LOWE JEAN</v>
      </c>
      <c r="C25" s="6">
        <f>VLOOKUP(A25,FONDSDECAISSE!A$5:C$52,3,0)</f>
        <v>420000</v>
      </c>
      <c r="D25" s="6">
        <v>2652</v>
      </c>
      <c r="E25" s="6">
        <f>$R$56/$F$56*F25</f>
        <v>0</v>
      </c>
      <c r="F25" s="6">
        <f t="shared" si="0"/>
        <v>425652</v>
      </c>
      <c r="G25" s="6"/>
      <c r="H25" s="7">
        <f t="shared" si="1"/>
        <v>13000</v>
      </c>
      <c r="I25" s="7">
        <f t="shared" si="2"/>
        <v>0</v>
      </c>
      <c r="J25" s="43" t="s">
        <v>218</v>
      </c>
      <c r="K25" s="7">
        <f t="shared" si="5"/>
        <v>20000</v>
      </c>
      <c r="L25" s="7">
        <v>3000</v>
      </c>
      <c r="M25" s="7">
        <v>500</v>
      </c>
      <c r="N25" s="7">
        <v>1000</v>
      </c>
      <c r="O25" s="7">
        <v>2500</v>
      </c>
      <c r="P25" s="7"/>
      <c r="Q25" s="2"/>
      <c r="R25" s="7">
        <f t="shared" si="3"/>
        <v>0</v>
      </c>
      <c r="S25" s="7">
        <f t="shared" si="4"/>
        <v>0</v>
      </c>
      <c r="T25" s="2"/>
      <c r="U25" s="2"/>
      <c r="V25" s="7"/>
      <c r="X25" s="1"/>
    </row>
    <row r="26" spans="1:24" x14ac:dyDescent="0.25">
      <c r="A26" s="1" t="s">
        <v>31</v>
      </c>
      <c r="B26" s="1" t="str">
        <f>VLOOKUP(A26,LISTADHERENT!A$5:H$51,2)</f>
        <v>NANKAM APPOLINAIRE</v>
      </c>
      <c r="C26" s="6">
        <f>VLOOKUP(A26,FONDSDECAISSE!A$5:C$52,3,0)</f>
        <v>420000</v>
      </c>
      <c r="D26" s="6">
        <v>2741</v>
      </c>
      <c r="E26" s="6">
        <f>$R$56/$F$56*F26</f>
        <v>0</v>
      </c>
      <c r="F26" s="6">
        <f t="shared" si="0"/>
        <v>425741</v>
      </c>
      <c r="G26" s="6"/>
      <c r="H26" s="7">
        <f t="shared" si="1"/>
        <v>13000</v>
      </c>
      <c r="I26" s="7">
        <f t="shared" si="2"/>
        <v>0</v>
      </c>
      <c r="J26" s="43" t="s">
        <v>218</v>
      </c>
      <c r="K26" s="7">
        <f t="shared" si="5"/>
        <v>20000</v>
      </c>
      <c r="L26" s="7">
        <v>3000</v>
      </c>
      <c r="M26" s="7">
        <v>500</v>
      </c>
      <c r="N26" s="7">
        <v>1000</v>
      </c>
      <c r="O26" s="7">
        <v>2500</v>
      </c>
      <c r="P26" s="7"/>
      <c r="Q26" s="2"/>
      <c r="R26" s="7">
        <f t="shared" si="3"/>
        <v>0</v>
      </c>
      <c r="S26" s="7">
        <f t="shared" si="4"/>
        <v>0</v>
      </c>
      <c r="T26" s="2"/>
      <c r="U26" s="2"/>
      <c r="V26" s="7"/>
      <c r="X26" s="1"/>
    </row>
    <row r="27" spans="1:24" x14ac:dyDescent="0.25">
      <c r="A27" s="1" t="s">
        <v>32</v>
      </c>
      <c r="B27" s="1" t="str">
        <f>VLOOKUP(A27,LISTADHERENT!A$5:H$51,2)</f>
        <v>NDJOMO ETIENNE</v>
      </c>
      <c r="C27" s="6">
        <f>VLOOKUP(A27,FONDSDECAISSE!A$5:C$52,3,0)</f>
        <v>420000</v>
      </c>
      <c r="D27" s="6">
        <v>2818</v>
      </c>
      <c r="E27" s="6">
        <f>$R$56/$F$56*F27</f>
        <v>0</v>
      </c>
      <c r="F27" s="6">
        <f t="shared" si="0"/>
        <v>430818</v>
      </c>
      <c r="G27" s="6"/>
      <c r="H27" s="7">
        <f t="shared" si="1"/>
        <v>13000</v>
      </c>
      <c r="I27" s="7">
        <f t="shared" si="2"/>
        <v>0</v>
      </c>
      <c r="J27" s="43" t="s">
        <v>218</v>
      </c>
      <c r="K27" s="7">
        <f t="shared" si="5"/>
        <v>25000</v>
      </c>
      <c r="L27" s="7">
        <v>8000</v>
      </c>
      <c r="M27" s="7">
        <v>500</v>
      </c>
      <c r="N27" s="7">
        <v>1000</v>
      </c>
      <c r="O27" s="7">
        <v>2500</v>
      </c>
      <c r="P27" s="7"/>
      <c r="Q27" s="7"/>
      <c r="R27" s="7">
        <f t="shared" si="3"/>
        <v>0</v>
      </c>
      <c r="S27" s="7">
        <f t="shared" si="4"/>
        <v>0</v>
      </c>
      <c r="T27" s="2"/>
      <c r="U27" s="2"/>
      <c r="V27" s="7"/>
      <c r="X27" s="1"/>
    </row>
    <row r="28" spans="1:24" x14ac:dyDescent="0.25">
      <c r="A28" s="1"/>
      <c r="B28" s="1"/>
      <c r="C28" s="6"/>
      <c r="D28" s="6">
        <v>0</v>
      </c>
      <c r="E28" s="6"/>
      <c r="F28" s="6">
        <f t="shared" si="0"/>
        <v>0</v>
      </c>
      <c r="G28" s="6"/>
      <c r="H28" s="7"/>
      <c r="I28" s="7"/>
      <c r="J28" s="43"/>
      <c r="K28" s="7"/>
      <c r="L28" s="7"/>
      <c r="M28" s="7"/>
      <c r="N28" s="7"/>
      <c r="O28" s="7"/>
      <c r="P28" s="7"/>
      <c r="Q28" s="7"/>
      <c r="R28" s="7">
        <f t="shared" si="3"/>
        <v>0</v>
      </c>
      <c r="S28" s="7">
        <f t="shared" si="4"/>
        <v>0</v>
      </c>
      <c r="T28" s="2"/>
      <c r="U28" s="2"/>
      <c r="V28" s="7"/>
      <c r="X28" s="1"/>
    </row>
    <row r="29" spans="1:24" x14ac:dyDescent="0.25">
      <c r="A29" s="1" t="s">
        <v>34</v>
      </c>
      <c r="B29" s="1" t="str">
        <f>VLOOKUP(A29,LISTADHERENT!A$5:H$51,2)</f>
        <v>NGONDIEP CLAUDE</v>
      </c>
      <c r="C29" s="6">
        <f>VLOOKUP(A29,FONDSDECAISSE!A$5:C$52,3,0)</f>
        <v>420000</v>
      </c>
      <c r="D29" s="6">
        <v>3250</v>
      </c>
      <c r="E29" s="6">
        <f>$R$56/$F$56*F29</f>
        <v>0</v>
      </c>
      <c r="F29" s="6">
        <f t="shared" si="0"/>
        <v>426250</v>
      </c>
      <c r="G29" s="6"/>
      <c r="H29" s="7">
        <f t="shared" si="1"/>
        <v>13000</v>
      </c>
      <c r="I29" s="7">
        <f t="shared" si="2"/>
        <v>0</v>
      </c>
      <c r="J29" s="43" t="s">
        <v>218</v>
      </c>
      <c r="K29" s="7">
        <f t="shared" si="5"/>
        <v>20000</v>
      </c>
      <c r="L29" s="7">
        <v>3000</v>
      </c>
      <c r="M29" s="7">
        <v>500</v>
      </c>
      <c r="N29" s="7">
        <v>1000</v>
      </c>
      <c r="O29" s="7">
        <v>2500</v>
      </c>
      <c r="P29" s="7"/>
      <c r="Q29" s="2"/>
      <c r="R29" s="7">
        <f t="shared" si="3"/>
        <v>0</v>
      </c>
      <c r="S29" s="7">
        <f t="shared" si="4"/>
        <v>0</v>
      </c>
      <c r="T29" s="2"/>
      <c r="U29" s="2"/>
      <c r="V29" s="7"/>
      <c r="X29" s="1"/>
    </row>
    <row r="30" spans="1:24" x14ac:dyDescent="0.25">
      <c r="A30" s="1" t="s">
        <v>35</v>
      </c>
      <c r="B30" s="1" t="str">
        <f>VLOOKUP(A30,LISTADHERENT!A$5:H$51,2)</f>
        <v>NGONGANG JEAN THEODORE</v>
      </c>
      <c r="C30" s="6">
        <f>VLOOKUP(A30,FONDSDECAISSE!A$5:C$52,3,0)</f>
        <v>0</v>
      </c>
      <c r="D30" s="6">
        <v>106</v>
      </c>
      <c r="E30" s="6">
        <f>$R$56/$F$56*F30</f>
        <v>0</v>
      </c>
      <c r="F30" s="6">
        <f t="shared" si="0"/>
        <v>3106</v>
      </c>
      <c r="G30" s="6"/>
      <c r="H30" s="7">
        <f t="shared" si="1"/>
        <v>13000</v>
      </c>
      <c r="I30" s="7">
        <f t="shared" si="2"/>
        <v>0</v>
      </c>
      <c r="J30" s="43" t="s">
        <v>218</v>
      </c>
      <c r="K30" s="7">
        <f t="shared" si="5"/>
        <v>20000</v>
      </c>
      <c r="L30" s="7">
        <v>3000</v>
      </c>
      <c r="M30" s="7">
        <v>500</v>
      </c>
      <c r="N30" s="7">
        <v>1000</v>
      </c>
      <c r="O30" s="7">
        <v>2500</v>
      </c>
      <c r="P30" s="7"/>
      <c r="Q30" s="2"/>
      <c r="R30" s="7">
        <f t="shared" si="3"/>
        <v>0</v>
      </c>
      <c r="S30" s="7">
        <f t="shared" si="4"/>
        <v>0</v>
      </c>
      <c r="T30" s="2"/>
      <c r="U30" s="2"/>
      <c r="V30" s="7"/>
      <c r="X30" s="1"/>
    </row>
    <row r="31" spans="1:24" x14ac:dyDescent="0.25">
      <c r="A31" s="1" t="s">
        <v>36</v>
      </c>
      <c r="B31" s="1" t="str">
        <f>VLOOKUP(A31,LISTADHERENT!A$5:H$51,2)</f>
        <v>NGUIEMEGNI MATHIEU BLAISE</v>
      </c>
      <c r="C31" s="6">
        <f>VLOOKUP(A31,FONDSDECAISSE!A$5:C$52,3,0)</f>
        <v>420000</v>
      </c>
      <c r="D31" s="6">
        <v>565188</v>
      </c>
      <c r="E31" s="6">
        <f>$R$56/$F$56*F31</f>
        <v>0</v>
      </c>
      <c r="F31" s="6">
        <f t="shared" si="0"/>
        <v>988188</v>
      </c>
      <c r="G31" s="6"/>
      <c r="H31" s="7">
        <f t="shared" si="1"/>
        <v>13000</v>
      </c>
      <c r="I31" s="7">
        <f t="shared" si="2"/>
        <v>0</v>
      </c>
      <c r="J31" s="43" t="s">
        <v>218</v>
      </c>
      <c r="K31" s="7">
        <f t="shared" si="5"/>
        <v>20000</v>
      </c>
      <c r="L31" s="7">
        <v>3000</v>
      </c>
      <c r="M31" s="7">
        <v>500</v>
      </c>
      <c r="N31" s="7">
        <v>1000</v>
      </c>
      <c r="O31" s="7">
        <v>2500</v>
      </c>
      <c r="P31" s="7"/>
      <c r="Q31" s="2"/>
      <c r="R31" s="7">
        <f t="shared" si="3"/>
        <v>0</v>
      </c>
      <c r="S31" s="7">
        <f t="shared" si="4"/>
        <v>0</v>
      </c>
      <c r="T31" s="2"/>
      <c r="U31" s="2"/>
      <c r="V31" s="7"/>
      <c r="X31" s="1"/>
    </row>
    <row r="32" spans="1:24" x14ac:dyDescent="0.25">
      <c r="A32" s="1" t="s">
        <v>37</v>
      </c>
      <c r="B32" s="1" t="str">
        <f>VLOOKUP(A32,LISTADHERENT!A$5:H$51,2)</f>
        <v>NJEPDJIO MBOUKAM DELUXE</v>
      </c>
      <c r="C32" s="6">
        <f>VLOOKUP(A32,FONDSDECAISSE!A$5:C$52,3,0)</f>
        <v>420000</v>
      </c>
      <c r="D32" s="6">
        <v>2773</v>
      </c>
      <c r="E32" s="6">
        <f>$R$56/$F$56*F32</f>
        <v>0</v>
      </c>
      <c r="F32" s="6">
        <f t="shared" si="0"/>
        <v>425773</v>
      </c>
      <c r="G32" s="6"/>
      <c r="H32" s="7">
        <f t="shared" si="1"/>
        <v>13000</v>
      </c>
      <c r="I32" s="7">
        <f t="shared" si="2"/>
        <v>0</v>
      </c>
      <c r="J32" s="43" t="s">
        <v>218</v>
      </c>
      <c r="K32" s="7">
        <f t="shared" si="5"/>
        <v>20000</v>
      </c>
      <c r="L32" s="7">
        <v>3000</v>
      </c>
      <c r="M32" s="7">
        <v>500</v>
      </c>
      <c r="N32" s="7">
        <v>1000</v>
      </c>
      <c r="O32" s="7">
        <v>2500</v>
      </c>
      <c r="P32" s="7"/>
      <c r="Q32" s="2"/>
      <c r="R32" s="7">
        <f t="shared" si="3"/>
        <v>0</v>
      </c>
      <c r="S32" s="7">
        <f t="shared" si="4"/>
        <v>0</v>
      </c>
      <c r="T32" s="2"/>
      <c r="U32" s="2"/>
      <c r="V32" s="7"/>
      <c r="X32" s="1"/>
    </row>
    <row r="33" spans="1:24" x14ac:dyDescent="0.25">
      <c r="A33" s="1" t="s">
        <v>38</v>
      </c>
      <c r="B33" s="1" t="str">
        <f>VLOOKUP(A33,LISTADHERENT!A$5:H$51,2)</f>
        <v>NKAMGANG JUSTIN DEJOLIE</v>
      </c>
      <c r="C33" s="6">
        <f>VLOOKUP(A33,FONDSDECAISSE!A$5:C$52,3,0)</f>
        <v>102800</v>
      </c>
      <c r="D33" s="6">
        <v>14208</v>
      </c>
      <c r="E33" s="6">
        <f>$R$56/$F$56*F33</f>
        <v>0</v>
      </c>
      <c r="F33" s="6">
        <f t="shared" si="0"/>
        <v>123008</v>
      </c>
      <c r="G33" s="6"/>
      <c r="H33" s="7">
        <f t="shared" si="1"/>
        <v>13000</v>
      </c>
      <c r="I33" s="7">
        <f t="shared" si="2"/>
        <v>1000</v>
      </c>
      <c r="J33" s="43" t="s">
        <v>224</v>
      </c>
      <c r="K33" s="7">
        <f t="shared" si="5"/>
        <v>23000</v>
      </c>
      <c r="L33" s="7">
        <v>6000</v>
      </c>
      <c r="M33" s="7">
        <v>500</v>
      </c>
      <c r="N33" s="7">
        <v>1000</v>
      </c>
      <c r="O33" s="7">
        <v>2500</v>
      </c>
      <c r="P33" s="7"/>
      <c r="Q33" s="29"/>
      <c r="R33" s="7">
        <f t="shared" si="3"/>
        <v>0</v>
      </c>
      <c r="S33" s="7">
        <f t="shared" si="4"/>
        <v>0</v>
      </c>
      <c r="T33" s="2"/>
      <c r="U33" s="2"/>
      <c r="V33" s="7"/>
      <c r="X33" s="1"/>
    </row>
    <row r="34" spans="1:24" s="11" customFormat="1" x14ac:dyDescent="0.25">
      <c r="A34" s="1" t="s">
        <v>39</v>
      </c>
      <c r="B34" s="1" t="str">
        <f>VLOOKUP(A34,LISTADHERENT!A$5:H$51,2)</f>
        <v>NKEPSEU DIEUDONNE</v>
      </c>
      <c r="C34" s="6">
        <f>VLOOKUP(A34,FONDSDECAISSE!A$5:C$52,3,0)</f>
        <v>420000</v>
      </c>
      <c r="D34" s="6">
        <v>2772</v>
      </c>
      <c r="E34" s="6">
        <f>$R$56/$F$56*F34</f>
        <v>0</v>
      </c>
      <c r="F34" s="6">
        <f t="shared" si="0"/>
        <v>530772</v>
      </c>
      <c r="G34" s="6"/>
      <c r="H34" s="7">
        <f t="shared" si="1"/>
        <v>13000</v>
      </c>
      <c r="I34" s="7">
        <f t="shared" si="2"/>
        <v>1000</v>
      </c>
      <c r="J34" s="43" t="s">
        <v>224</v>
      </c>
      <c r="K34" s="7">
        <f t="shared" si="5"/>
        <v>125000</v>
      </c>
      <c r="L34" s="7">
        <v>108000</v>
      </c>
      <c r="M34" s="7">
        <v>500</v>
      </c>
      <c r="N34" s="7">
        <v>1000</v>
      </c>
      <c r="O34" s="7">
        <v>2500</v>
      </c>
      <c r="P34" s="7"/>
      <c r="Q34" s="2"/>
      <c r="R34" s="7">
        <f t="shared" si="3"/>
        <v>0</v>
      </c>
      <c r="S34" s="7">
        <f t="shared" si="4"/>
        <v>0</v>
      </c>
      <c r="T34" s="29"/>
      <c r="U34" s="29"/>
      <c r="V34" s="7"/>
      <c r="X34" s="1"/>
    </row>
    <row r="35" spans="1:24" s="11" customFormat="1" x14ac:dyDescent="0.25">
      <c r="A35" s="1"/>
      <c r="B35" s="1"/>
      <c r="C35" s="6"/>
      <c r="D35" s="6">
        <v>0</v>
      </c>
      <c r="E35" s="6"/>
      <c r="F35" s="6">
        <f t="shared" si="0"/>
        <v>0</v>
      </c>
      <c r="G35" s="6"/>
      <c r="H35" s="7"/>
      <c r="I35" s="7"/>
      <c r="J35" s="43"/>
      <c r="K35" s="7"/>
      <c r="L35" s="7"/>
      <c r="M35" s="7"/>
      <c r="N35" s="7"/>
      <c r="O35" s="7"/>
      <c r="P35" s="7"/>
      <c r="Q35" s="2"/>
      <c r="R35" s="7">
        <f t="shared" si="3"/>
        <v>0</v>
      </c>
      <c r="S35" s="7">
        <f t="shared" si="4"/>
        <v>0</v>
      </c>
      <c r="T35" s="29"/>
      <c r="U35" s="29"/>
      <c r="V35" s="7"/>
      <c r="X35" s="1"/>
    </row>
    <row r="36" spans="1:24" x14ac:dyDescent="0.25">
      <c r="A36" s="1" t="s">
        <v>41</v>
      </c>
      <c r="B36" s="1" t="str">
        <f>VLOOKUP(A36,LISTADHERENT!A$5:H$51,2)</f>
        <v>NTEPDIE TUEMAC MZ</v>
      </c>
      <c r="C36" s="6">
        <f>VLOOKUP(A36,FONDSDECAISSE!A$5:C$52,3,0)</f>
        <v>0</v>
      </c>
      <c r="D36" s="6">
        <v>-12105</v>
      </c>
      <c r="E36" s="6">
        <f>$R$56/$F$56*F36</f>
        <v>0</v>
      </c>
      <c r="F36" s="6">
        <f t="shared" si="0"/>
        <v>-12105</v>
      </c>
      <c r="G36" s="6"/>
      <c r="H36" s="7">
        <f t="shared" si="1"/>
        <v>0</v>
      </c>
      <c r="I36" s="7">
        <f t="shared" si="2"/>
        <v>0</v>
      </c>
      <c r="J36" s="43" t="s">
        <v>217</v>
      </c>
      <c r="K36" s="7">
        <f t="shared" si="5"/>
        <v>0</v>
      </c>
      <c r="L36" s="7"/>
      <c r="M36" s="7"/>
      <c r="N36" s="7"/>
      <c r="O36" s="7"/>
      <c r="P36" s="7"/>
      <c r="Q36" s="2"/>
      <c r="R36" s="7">
        <f t="shared" si="3"/>
        <v>0</v>
      </c>
      <c r="S36" s="7">
        <f t="shared" si="4"/>
        <v>0</v>
      </c>
      <c r="T36" s="2"/>
      <c r="U36" s="2"/>
      <c r="V36" s="7"/>
      <c r="X36" s="1"/>
    </row>
    <row r="37" spans="1:24" x14ac:dyDescent="0.25">
      <c r="A37" s="1"/>
      <c r="B37" s="1"/>
      <c r="C37" s="6"/>
      <c r="D37" s="6">
        <v>0</v>
      </c>
      <c r="E37" s="6"/>
      <c r="F37" s="6">
        <f t="shared" si="0"/>
        <v>0</v>
      </c>
      <c r="G37" s="6"/>
      <c r="H37" s="7"/>
      <c r="I37" s="7"/>
      <c r="J37" s="43"/>
      <c r="K37" s="7"/>
      <c r="L37" s="7"/>
      <c r="M37" s="7"/>
      <c r="N37" s="7"/>
      <c r="O37" s="7"/>
      <c r="P37" s="7"/>
      <c r="Q37" s="2"/>
      <c r="R37" s="7">
        <f t="shared" si="3"/>
        <v>0</v>
      </c>
      <c r="S37" s="7">
        <f t="shared" si="4"/>
        <v>0</v>
      </c>
      <c r="T37" s="2"/>
      <c r="U37" s="2"/>
      <c r="V37" s="7"/>
      <c r="X37" s="1"/>
    </row>
    <row r="38" spans="1:24" x14ac:dyDescent="0.25">
      <c r="A38" s="1" t="s">
        <v>43</v>
      </c>
      <c r="B38" s="1" t="str">
        <f>VLOOKUP(A38,LISTADHERENT!A$5:H$51,2)</f>
        <v>PATEGO NJOSSU GUSTAVE</v>
      </c>
      <c r="C38" s="6">
        <f>VLOOKUP(A38,FONDSDECAISSE!A$5:C$52,3,0)</f>
        <v>420000</v>
      </c>
      <c r="D38" s="6">
        <v>2474</v>
      </c>
      <c r="E38" s="6">
        <f>$R$56/$F$56*F38</f>
        <v>0</v>
      </c>
      <c r="F38" s="6">
        <f t="shared" si="0"/>
        <v>425474</v>
      </c>
      <c r="G38" s="6"/>
      <c r="H38" s="7">
        <f t="shared" si="1"/>
        <v>13000</v>
      </c>
      <c r="I38" s="7">
        <f t="shared" si="2"/>
        <v>0</v>
      </c>
      <c r="J38" s="43" t="s">
        <v>218</v>
      </c>
      <c r="K38" s="7">
        <f t="shared" si="5"/>
        <v>20000</v>
      </c>
      <c r="L38" s="7">
        <v>3000</v>
      </c>
      <c r="M38" s="7">
        <v>500</v>
      </c>
      <c r="N38" s="7">
        <v>1000</v>
      </c>
      <c r="O38" s="7">
        <v>2500</v>
      </c>
      <c r="P38" s="7"/>
      <c r="Q38" s="2"/>
      <c r="R38" s="7">
        <f t="shared" si="3"/>
        <v>0</v>
      </c>
      <c r="S38" s="7">
        <f t="shared" si="4"/>
        <v>0</v>
      </c>
      <c r="T38" s="2"/>
      <c r="U38" s="2"/>
      <c r="V38" s="7"/>
      <c r="X38" s="1"/>
    </row>
    <row r="39" spans="1:24" x14ac:dyDescent="0.25">
      <c r="A39" s="1" t="s">
        <v>44</v>
      </c>
      <c r="B39" s="1" t="str">
        <f>VLOOKUP(A39,LISTADHERENT!A$5:H$51,2)</f>
        <v>SEUNOU RICHELOT</v>
      </c>
      <c r="C39" s="6">
        <f>VLOOKUP(A39,FONDSDECAISSE!A$5:C$52,3,0)</f>
        <v>420000</v>
      </c>
      <c r="D39" s="6">
        <v>6756</v>
      </c>
      <c r="E39" s="6">
        <f>$R$56/$F$56*F39</f>
        <v>0</v>
      </c>
      <c r="F39" s="6">
        <f t="shared" si="0"/>
        <v>429756</v>
      </c>
      <c r="G39" s="6"/>
      <c r="H39" s="7">
        <f t="shared" si="1"/>
        <v>13000</v>
      </c>
      <c r="I39" s="7">
        <f t="shared" si="2"/>
        <v>1000</v>
      </c>
      <c r="J39" s="43" t="s">
        <v>224</v>
      </c>
      <c r="K39" s="7">
        <f t="shared" si="5"/>
        <v>20000</v>
      </c>
      <c r="L39" s="7">
        <v>3000</v>
      </c>
      <c r="M39" s="7">
        <v>500</v>
      </c>
      <c r="N39" s="7">
        <v>1000</v>
      </c>
      <c r="O39" s="7">
        <v>2500</v>
      </c>
      <c r="P39" s="7"/>
      <c r="Q39" s="2"/>
      <c r="R39" s="7">
        <f t="shared" si="3"/>
        <v>0</v>
      </c>
      <c r="S39" s="7">
        <f t="shared" si="4"/>
        <v>0</v>
      </c>
      <c r="T39" s="2"/>
      <c r="U39" s="2"/>
      <c r="V39" s="7">
        <v>12000</v>
      </c>
      <c r="X39" s="1" t="s">
        <v>86</v>
      </c>
    </row>
    <row r="40" spans="1:24" x14ac:dyDescent="0.25">
      <c r="A40" s="1" t="s">
        <v>45</v>
      </c>
      <c r="B40" s="1" t="str">
        <f>VLOOKUP(A40,LISTADHERENT!A$5:H$51,2)</f>
        <v>SIME ABEL</v>
      </c>
      <c r="C40" s="6">
        <f>VLOOKUP(A40,FONDSDECAISSE!A$5:C$52,3,0)</f>
        <v>390000</v>
      </c>
      <c r="D40" s="6">
        <v>488</v>
      </c>
      <c r="E40" s="6">
        <f>$R$56/$F$56*F40</f>
        <v>0</v>
      </c>
      <c r="F40" s="6">
        <f t="shared" si="0"/>
        <v>393488</v>
      </c>
      <c r="G40" s="6"/>
      <c r="H40" s="7">
        <f t="shared" si="1"/>
        <v>13000</v>
      </c>
      <c r="I40" s="7">
        <f t="shared" si="2"/>
        <v>1000</v>
      </c>
      <c r="J40" s="43" t="s">
        <v>224</v>
      </c>
      <c r="K40" s="7">
        <f t="shared" si="5"/>
        <v>20000</v>
      </c>
      <c r="L40" s="7">
        <v>3000</v>
      </c>
      <c r="M40" s="7">
        <v>500</v>
      </c>
      <c r="N40" s="7">
        <v>1000</v>
      </c>
      <c r="O40" s="7">
        <v>2500</v>
      </c>
      <c r="P40" s="7"/>
      <c r="Q40" s="2"/>
      <c r="R40" s="7">
        <f t="shared" si="3"/>
        <v>0</v>
      </c>
      <c r="S40" s="7">
        <f t="shared" si="4"/>
        <v>0</v>
      </c>
      <c r="T40" s="2"/>
      <c r="U40" s="2"/>
      <c r="V40" s="7"/>
      <c r="X40" s="1"/>
    </row>
    <row r="41" spans="1:24" x14ac:dyDescent="0.25">
      <c r="A41" s="1" t="s">
        <v>46</v>
      </c>
      <c r="B41" s="1" t="str">
        <f>VLOOKUP(A41,LISTADHERENT!A$5:H$51,2)</f>
        <v>SIME FONGANG ERIC</v>
      </c>
      <c r="C41" s="6">
        <f>VLOOKUP(A41,FONDSDECAISSE!A$5:C$52,3,0)</f>
        <v>420000</v>
      </c>
      <c r="D41" s="6">
        <v>4914</v>
      </c>
      <c r="E41" s="6">
        <f>$R$56/$F$56*F41</f>
        <v>0</v>
      </c>
      <c r="F41" s="6">
        <f t="shared" si="0"/>
        <v>427914</v>
      </c>
      <c r="G41" s="6"/>
      <c r="H41" s="7">
        <f t="shared" si="1"/>
        <v>13000</v>
      </c>
      <c r="I41" s="7">
        <f t="shared" si="2"/>
        <v>0</v>
      </c>
      <c r="J41" s="43" t="s">
        <v>218</v>
      </c>
      <c r="K41" s="7">
        <f t="shared" si="5"/>
        <v>20000</v>
      </c>
      <c r="L41" s="7">
        <v>3000</v>
      </c>
      <c r="M41" s="7">
        <v>500</v>
      </c>
      <c r="N41" s="7">
        <v>1000</v>
      </c>
      <c r="O41" s="7">
        <v>2500</v>
      </c>
      <c r="P41" s="7"/>
      <c r="Q41" s="2"/>
      <c r="R41" s="7">
        <f t="shared" si="3"/>
        <v>0</v>
      </c>
      <c r="S41" s="7">
        <f t="shared" si="4"/>
        <v>0</v>
      </c>
      <c r="T41" s="2"/>
      <c r="U41" s="2"/>
      <c r="V41" s="7"/>
      <c r="X41" s="1"/>
    </row>
    <row r="42" spans="1:24" x14ac:dyDescent="0.25">
      <c r="A42" s="1" t="s">
        <v>47</v>
      </c>
      <c r="B42" s="1" t="str">
        <f>VLOOKUP(A42,LISTADHERENT!A$5:H$51,2)</f>
        <v>SIME MATHIEU</v>
      </c>
      <c r="C42" s="6">
        <f>VLOOKUP(A42,FONDSDECAISSE!A$5:C$52,3,0)</f>
        <v>420000</v>
      </c>
      <c r="D42" s="6">
        <v>4528</v>
      </c>
      <c r="E42" s="6">
        <f>$R$56/$F$56*F42</f>
        <v>0</v>
      </c>
      <c r="F42" s="6">
        <f t="shared" si="0"/>
        <v>427528</v>
      </c>
      <c r="G42" s="6"/>
      <c r="H42" s="7">
        <f t="shared" si="1"/>
        <v>13000</v>
      </c>
      <c r="I42" s="7">
        <f t="shared" si="2"/>
        <v>1000</v>
      </c>
      <c r="J42" s="43" t="s">
        <v>224</v>
      </c>
      <c r="K42" s="7">
        <f t="shared" si="5"/>
        <v>20000</v>
      </c>
      <c r="L42" s="7">
        <v>3000</v>
      </c>
      <c r="M42" s="7">
        <v>500</v>
      </c>
      <c r="N42" s="7">
        <v>1000</v>
      </c>
      <c r="O42" s="7">
        <v>2500</v>
      </c>
      <c r="P42" s="7"/>
      <c r="Q42" s="2"/>
      <c r="R42" s="7">
        <f t="shared" si="3"/>
        <v>0</v>
      </c>
      <c r="S42" s="7">
        <f t="shared" si="4"/>
        <v>0</v>
      </c>
      <c r="T42" s="2"/>
      <c r="U42" s="2"/>
      <c r="V42" s="7"/>
      <c r="X42" s="1"/>
    </row>
    <row r="43" spans="1:24" x14ac:dyDescent="0.25">
      <c r="A43" s="1" t="s">
        <v>48</v>
      </c>
      <c r="B43" s="1" t="str">
        <f>VLOOKUP(A43,LISTADHERENT!A$5:H$51,2)</f>
        <v>SIME PIERRE</v>
      </c>
      <c r="C43" s="6">
        <f>VLOOKUP(A43,FONDSDECAISSE!A$5:C$52,3,0)</f>
        <v>420000</v>
      </c>
      <c r="D43" s="6">
        <v>105975</v>
      </c>
      <c r="E43" s="6">
        <f>$R$56/$F$56*F43</f>
        <v>0</v>
      </c>
      <c r="F43" s="6">
        <f t="shared" si="0"/>
        <v>533975</v>
      </c>
      <c r="G43" s="6"/>
      <c r="H43" s="7">
        <f t="shared" si="1"/>
        <v>13000</v>
      </c>
      <c r="I43" s="7">
        <f t="shared" si="2"/>
        <v>0</v>
      </c>
      <c r="J43" s="43" t="s">
        <v>218</v>
      </c>
      <c r="K43" s="7">
        <f t="shared" si="5"/>
        <v>25000</v>
      </c>
      <c r="L43" s="7">
        <v>8000</v>
      </c>
      <c r="M43" s="7">
        <v>500</v>
      </c>
      <c r="N43" s="7">
        <v>1000</v>
      </c>
      <c r="O43" s="7">
        <v>2500</v>
      </c>
      <c r="P43" s="7"/>
      <c r="Q43" s="2"/>
      <c r="R43" s="7">
        <f t="shared" si="3"/>
        <v>0</v>
      </c>
      <c r="S43" s="7">
        <f t="shared" si="4"/>
        <v>0</v>
      </c>
      <c r="T43" s="2"/>
      <c r="U43" s="2"/>
      <c r="V43" s="7"/>
      <c r="X43" s="1"/>
    </row>
    <row r="44" spans="1:24" x14ac:dyDescent="0.25">
      <c r="A44" s="1" t="s">
        <v>49</v>
      </c>
      <c r="B44" s="1" t="str">
        <f>VLOOKUP(A44,LISTADHERENT!A$5:H$51,2)</f>
        <v>TAGNE NANGUEN MARTIN</v>
      </c>
      <c r="C44" s="6">
        <f>VLOOKUP(A44,FONDSDECAISSE!A$5:C$52,3,0)</f>
        <v>390000</v>
      </c>
      <c r="D44" s="6">
        <v>1621</v>
      </c>
      <c r="E44" s="6">
        <f>$R$56/$F$56*F44</f>
        <v>0</v>
      </c>
      <c r="F44" s="6">
        <f t="shared" si="0"/>
        <v>394621</v>
      </c>
      <c r="G44" s="6"/>
      <c r="H44" s="7">
        <f t="shared" si="1"/>
        <v>13000</v>
      </c>
      <c r="I44" s="7">
        <f t="shared" si="2"/>
        <v>0</v>
      </c>
      <c r="J44" s="43" t="s">
        <v>218</v>
      </c>
      <c r="K44" s="7">
        <f t="shared" si="5"/>
        <v>20000</v>
      </c>
      <c r="L44" s="7">
        <v>3000</v>
      </c>
      <c r="M44" s="7">
        <v>500</v>
      </c>
      <c r="N44" s="7">
        <v>1000</v>
      </c>
      <c r="O44" s="7">
        <v>2500</v>
      </c>
      <c r="P44" s="7"/>
      <c r="Q44" s="2"/>
      <c r="R44" s="7">
        <f t="shared" si="3"/>
        <v>0</v>
      </c>
      <c r="S44" s="7">
        <f t="shared" si="4"/>
        <v>0</v>
      </c>
      <c r="T44" s="2"/>
      <c r="U44" s="2"/>
      <c r="V44" s="7"/>
      <c r="X44" s="1"/>
    </row>
    <row r="45" spans="1:24" x14ac:dyDescent="0.25">
      <c r="A45" s="1" t="s">
        <v>50</v>
      </c>
      <c r="B45" s="1" t="str">
        <f>VLOOKUP(A45,LISTADHERENT!A$5:H$51,2)</f>
        <v>TCHOUAMOU JEAN PAUL</v>
      </c>
      <c r="C45" s="6">
        <f>VLOOKUP(A45,FONDSDECAISSE!A$5:C$52,3,0)</f>
        <v>0</v>
      </c>
      <c r="D45" s="6">
        <v>106</v>
      </c>
      <c r="E45" s="6">
        <f>$R$56/$F$56*F45</f>
        <v>0</v>
      </c>
      <c r="F45" s="6">
        <f t="shared" si="0"/>
        <v>3106</v>
      </c>
      <c r="G45" s="6"/>
      <c r="H45" s="7">
        <f t="shared" si="1"/>
        <v>13000</v>
      </c>
      <c r="I45" s="7">
        <f t="shared" si="2"/>
        <v>0</v>
      </c>
      <c r="J45" s="43" t="s">
        <v>218</v>
      </c>
      <c r="K45" s="7">
        <f t="shared" si="5"/>
        <v>20000</v>
      </c>
      <c r="L45" s="7">
        <v>3000</v>
      </c>
      <c r="M45" s="7">
        <v>500</v>
      </c>
      <c r="N45" s="7">
        <v>1000</v>
      </c>
      <c r="O45" s="7">
        <v>2500</v>
      </c>
      <c r="P45" s="7"/>
      <c r="Q45" s="2"/>
      <c r="R45" s="7">
        <f t="shared" si="3"/>
        <v>0</v>
      </c>
      <c r="S45" s="7">
        <f t="shared" si="4"/>
        <v>0</v>
      </c>
      <c r="T45" s="2"/>
      <c r="U45" s="2"/>
      <c r="V45" s="7"/>
      <c r="X45" s="1"/>
    </row>
    <row r="46" spans="1:24" x14ac:dyDescent="0.25">
      <c r="A46" s="1" t="s">
        <v>51</v>
      </c>
      <c r="B46" s="1" t="str">
        <f>VLOOKUP(A46,LISTADHERENT!A$5:H$51,2)</f>
        <v>TCHOUAMOU MATHIEU</v>
      </c>
      <c r="C46" s="6">
        <f>VLOOKUP(A46,FONDSDECAISSE!A$5:C$52,3,0)</f>
        <v>420000</v>
      </c>
      <c r="D46" s="6">
        <v>2654</v>
      </c>
      <c r="E46" s="6">
        <f>$R$56/$F$56*F46</f>
        <v>0</v>
      </c>
      <c r="F46" s="6">
        <f t="shared" si="0"/>
        <v>425654</v>
      </c>
      <c r="G46" s="6"/>
      <c r="H46" s="7">
        <f t="shared" si="1"/>
        <v>13000</v>
      </c>
      <c r="I46" s="7">
        <f t="shared" si="2"/>
        <v>0</v>
      </c>
      <c r="J46" s="43" t="s">
        <v>218</v>
      </c>
      <c r="K46" s="7">
        <f t="shared" si="5"/>
        <v>20000</v>
      </c>
      <c r="L46" s="7">
        <v>3000</v>
      </c>
      <c r="M46" s="7">
        <v>500</v>
      </c>
      <c r="N46" s="7">
        <v>1000</v>
      </c>
      <c r="O46" s="7">
        <v>2500</v>
      </c>
      <c r="P46" s="7"/>
      <c r="Q46" s="7"/>
      <c r="R46" s="7">
        <f t="shared" si="3"/>
        <v>0</v>
      </c>
      <c r="S46" s="7">
        <f t="shared" si="4"/>
        <v>0</v>
      </c>
      <c r="T46" s="2"/>
      <c r="U46" s="2"/>
      <c r="V46" s="7"/>
      <c r="X46" s="1"/>
    </row>
    <row r="47" spans="1:24" x14ac:dyDescent="0.25">
      <c r="A47" s="1" t="s">
        <v>52</v>
      </c>
      <c r="B47" s="1" t="str">
        <f>VLOOKUP(A47,LISTADHERENT!A$5:H$51,2)</f>
        <v>TCHOUANTE FRANCOIS</v>
      </c>
      <c r="C47" s="6">
        <f>VLOOKUP(A47,FONDSDECAISSE!A$5:C$52,3,0)</f>
        <v>355719</v>
      </c>
      <c r="D47" s="6">
        <v>25832</v>
      </c>
      <c r="E47" s="6">
        <f>$R$56/$F$56*F47</f>
        <v>0</v>
      </c>
      <c r="F47" s="6">
        <f t="shared" si="0"/>
        <v>384551</v>
      </c>
      <c r="G47" s="6"/>
      <c r="H47" s="7">
        <f t="shared" si="1"/>
        <v>13000</v>
      </c>
      <c r="I47" s="7">
        <f t="shared" si="2"/>
        <v>1000</v>
      </c>
      <c r="J47" s="43" t="s">
        <v>224</v>
      </c>
      <c r="K47" s="7">
        <f t="shared" si="5"/>
        <v>20000</v>
      </c>
      <c r="L47" s="7">
        <v>3000</v>
      </c>
      <c r="M47" s="7">
        <v>500</v>
      </c>
      <c r="N47" s="7">
        <v>1000</v>
      </c>
      <c r="O47" s="7">
        <v>2500</v>
      </c>
      <c r="P47" s="7"/>
      <c r="Q47" s="2"/>
      <c r="R47" s="7">
        <f t="shared" si="3"/>
        <v>0</v>
      </c>
      <c r="S47" s="7">
        <f t="shared" si="4"/>
        <v>0</v>
      </c>
      <c r="T47" s="2"/>
      <c r="U47" s="2"/>
      <c r="V47" s="7"/>
      <c r="X47" s="1"/>
    </row>
    <row r="48" spans="1:24" x14ac:dyDescent="0.25">
      <c r="A48" s="1" t="s">
        <v>53</v>
      </c>
      <c r="B48" s="1" t="str">
        <f>VLOOKUP(A48,LISTADHERENT!A$5:H$51,2)</f>
        <v>TCHOUTOU NANA CLAUDE</v>
      </c>
      <c r="C48" s="6">
        <f>VLOOKUP(A48,FONDSDECAISSE!A$5:C$52,3,0)</f>
        <v>0</v>
      </c>
      <c r="D48" s="6">
        <v>-437</v>
      </c>
      <c r="E48" s="6">
        <f>$R$56/$F$56*F48</f>
        <v>0</v>
      </c>
      <c r="F48" s="6">
        <f t="shared" si="0"/>
        <v>2563</v>
      </c>
      <c r="G48" s="6"/>
      <c r="H48" s="7">
        <f t="shared" si="1"/>
        <v>13000</v>
      </c>
      <c r="I48" s="7">
        <f t="shared" si="2"/>
        <v>1000</v>
      </c>
      <c r="J48" s="43" t="s">
        <v>224</v>
      </c>
      <c r="K48" s="7">
        <f t="shared" si="5"/>
        <v>20000</v>
      </c>
      <c r="L48" s="7">
        <v>3000</v>
      </c>
      <c r="M48" s="7">
        <v>500</v>
      </c>
      <c r="N48" s="7">
        <v>1000</v>
      </c>
      <c r="O48" s="7">
        <v>2500</v>
      </c>
      <c r="P48" s="7"/>
      <c r="Q48" s="2"/>
      <c r="R48" s="7">
        <f t="shared" si="3"/>
        <v>0</v>
      </c>
      <c r="S48" s="7">
        <f t="shared" si="4"/>
        <v>0</v>
      </c>
      <c r="T48" s="2"/>
      <c r="U48" s="2"/>
      <c r="V48" s="7"/>
      <c r="X48" s="1"/>
    </row>
    <row r="49" spans="1:24" x14ac:dyDescent="0.25">
      <c r="A49" s="1" t="s">
        <v>54</v>
      </c>
      <c r="B49" s="1" t="str">
        <f>VLOOKUP(A49,LISTADHERENT!A$5:H$51,2)</f>
        <v>TIEYAM ERNEST</v>
      </c>
      <c r="C49" s="6">
        <f>VLOOKUP(A49,FONDSDECAISSE!A$5:C$52,3,0)</f>
        <v>420000</v>
      </c>
      <c r="D49" s="6">
        <v>2593</v>
      </c>
      <c r="E49" s="6">
        <f>$R$56/$F$56*F49</f>
        <v>0</v>
      </c>
      <c r="F49" s="6">
        <f t="shared" si="0"/>
        <v>425593</v>
      </c>
      <c r="G49" s="6"/>
      <c r="H49" s="7">
        <f t="shared" si="1"/>
        <v>13000</v>
      </c>
      <c r="I49" s="7">
        <f t="shared" si="2"/>
        <v>0</v>
      </c>
      <c r="J49" s="43" t="s">
        <v>218</v>
      </c>
      <c r="K49" s="7">
        <f t="shared" si="5"/>
        <v>20000</v>
      </c>
      <c r="L49" s="7">
        <v>3000</v>
      </c>
      <c r="M49" s="7">
        <v>500</v>
      </c>
      <c r="N49" s="7">
        <v>1000</v>
      </c>
      <c r="O49" s="7">
        <v>2500</v>
      </c>
      <c r="P49" s="7"/>
      <c r="Q49" s="2"/>
      <c r="R49" s="7">
        <f>IF(Q49&lt;=500000,(Q49*1*3/100),(Q49*12/100))</f>
        <v>0</v>
      </c>
      <c r="S49" s="7">
        <f t="shared" si="4"/>
        <v>0</v>
      </c>
      <c r="T49" s="2"/>
      <c r="U49" s="2"/>
      <c r="V49" s="7"/>
      <c r="X49" s="1"/>
    </row>
    <row r="50" spans="1:24" x14ac:dyDescent="0.25">
      <c r="A50" s="1" t="s">
        <v>55</v>
      </c>
      <c r="B50" s="1" t="str">
        <f>VLOOKUP(A50,LISTADHERENT!A$5:H$51,2)</f>
        <v>TUGMA PIERRE LOTI</v>
      </c>
      <c r="C50" s="6">
        <f>VLOOKUP(A50,FONDSDECAISSE!A$5:C$52,3,0)</f>
        <v>420000</v>
      </c>
      <c r="D50" s="6">
        <v>2503</v>
      </c>
      <c r="E50" s="6">
        <f>$R$56/$F$56*F50</f>
        <v>0</v>
      </c>
      <c r="F50" s="6">
        <f t="shared" si="0"/>
        <v>425503</v>
      </c>
      <c r="G50" s="6"/>
      <c r="H50" s="7">
        <f>IF(J50="ECHEC",0,13000)</f>
        <v>13000</v>
      </c>
      <c r="I50" s="7">
        <f t="shared" si="2"/>
        <v>0</v>
      </c>
      <c r="J50" s="43" t="s">
        <v>218</v>
      </c>
      <c r="K50" s="7">
        <f t="shared" si="5"/>
        <v>20000</v>
      </c>
      <c r="L50" s="7">
        <v>3000</v>
      </c>
      <c r="M50" s="7">
        <v>500</v>
      </c>
      <c r="N50" s="7">
        <v>1000</v>
      </c>
      <c r="O50" s="7">
        <v>2500</v>
      </c>
      <c r="P50" s="7"/>
      <c r="Q50" s="2"/>
      <c r="R50" s="7">
        <f t="shared" si="3"/>
        <v>0</v>
      </c>
      <c r="S50" s="7">
        <f t="shared" si="4"/>
        <v>0</v>
      </c>
      <c r="T50" s="2"/>
      <c r="U50" s="2"/>
      <c r="V50" s="7"/>
      <c r="X50" s="1"/>
    </row>
    <row r="51" spans="1:24" ht="18" x14ac:dyDescent="0.25">
      <c r="A51" s="1" t="s">
        <v>66</v>
      </c>
      <c r="B51" s="1" t="str">
        <f>VLOOKUP(A51,LISTADHERENT!A$5:H$51,2)</f>
        <v>YEPMOU JEAN JACQUES</v>
      </c>
      <c r="C51" s="6">
        <f>VLOOKUP(A51,FONDSDECAISSE!A$5:C$52,3,0)</f>
        <v>420000</v>
      </c>
      <c r="D51" s="6">
        <v>393982</v>
      </c>
      <c r="E51" s="6">
        <f>$R$56/$F$56*F51</f>
        <v>0</v>
      </c>
      <c r="F51" s="6">
        <f t="shared" si="0"/>
        <v>816982</v>
      </c>
      <c r="G51" s="6"/>
      <c r="H51" s="7">
        <f t="shared" si="1"/>
        <v>13000</v>
      </c>
      <c r="I51" s="7">
        <f t="shared" si="2"/>
        <v>1000</v>
      </c>
      <c r="J51" s="43" t="s">
        <v>224</v>
      </c>
      <c r="K51" s="7">
        <f t="shared" si="5"/>
        <v>20000</v>
      </c>
      <c r="L51" s="7">
        <v>3000</v>
      </c>
      <c r="M51" s="7">
        <v>500</v>
      </c>
      <c r="N51" s="7">
        <v>1000</v>
      </c>
      <c r="O51" s="7">
        <v>2500</v>
      </c>
      <c r="P51" s="7"/>
      <c r="Q51" s="9"/>
      <c r="R51" s="7">
        <f t="shared" si="3"/>
        <v>0</v>
      </c>
      <c r="S51" s="7">
        <f t="shared" si="4"/>
        <v>0</v>
      </c>
      <c r="T51" s="2"/>
      <c r="U51" s="2"/>
      <c r="V51" s="7"/>
      <c r="X51" s="1"/>
    </row>
    <row r="52" spans="1:24" x14ac:dyDescent="0.25">
      <c r="A52" s="1" t="s">
        <v>178</v>
      </c>
      <c r="B52" s="1" t="str">
        <f>VLOOKUP(A52,LISTADHERENT!A$5:H$51,2)</f>
        <v>YOUMBI EMMANUEL</v>
      </c>
      <c r="C52" s="6">
        <f>VLOOKUP(A52,FONDSDECAISSE!A$5:C$52,3,0)</f>
        <v>420000</v>
      </c>
      <c r="D52" s="6">
        <v>883628</v>
      </c>
      <c r="E52" s="6">
        <f>$R$56/$F$56*F52</f>
        <v>0</v>
      </c>
      <c r="F52" s="6">
        <f t="shared" si="0"/>
        <v>1306628</v>
      </c>
      <c r="G52" s="6"/>
      <c r="H52" s="7">
        <f t="shared" si="1"/>
        <v>13000</v>
      </c>
      <c r="I52" s="7">
        <f t="shared" si="2"/>
        <v>1000</v>
      </c>
      <c r="J52" s="43" t="s">
        <v>224</v>
      </c>
      <c r="K52" s="7">
        <f t="shared" si="5"/>
        <v>20000</v>
      </c>
      <c r="L52" s="7">
        <v>3000</v>
      </c>
      <c r="M52" s="7">
        <v>500</v>
      </c>
      <c r="N52" s="7">
        <v>1000</v>
      </c>
      <c r="O52" s="7">
        <v>2500</v>
      </c>
      <c r="Q52" s="2"/>
      <c r="R52" s="7">
        <f t="shared" si="3"/>
        <v>0</v>
      </c>
      <c r="S52" s="7">
        <f t="shared" si="4"/>
        <v>0</v>
      </c>
      <c r="T52" s="2"/>
      <c r="U52" s="2"/>
      <c r="V52" s="7"/>
      <c r="X52" s="1"/>
    </row>
    <row r="53" spans="1:24" x14ac:dyDescent="0.25">
      <c r="A53" s="1"/>
      <c r="B53" s="1"/>
      <c r="C53" s="6"/>
      <c r="D53" s="6"/>
      <c r="E53" s="6"/>
      <c r="F53" s="6"/>
      <c r="G53" s="6"/>
      <c r="H53" s="6"/>
      <c r="I53" s="6"/>
      <c r="J53" s="6"/>
      <c r="K53" s="7"/>
      <c r="L53" s="7"/>
      <c r="M53" s="7"/>
      <c r="N53" s="7"/>
      <c r="O53" s="7"/>
      <c r="Q53" s="2"/>
      <c r="R53" s="7"/>
      <c r="S53" s="2"/>
      <c r="T53" s="2"/>
      <c r="U53" s="2"/>
    </row>
    <row r="54" spans="1:24" x14ac:dyDescent="0.25">
      <c r="A54" s="1"/>
      <c r="B54" s="1"/>
      <c r="C54" s="6"/>
      <c r="D54" s="6"/>
      <c r="E54" s="6"/>
      <c r="F54" s="6"/>
      <c r="G54" s="6"/>
      <c r="H54" s="6"/>
      <c r="I54" s="6"/>
      <c r="J54" s="6"/>
      <c r="L54" s="2"/>
      <c r="M54" s="30"/>
      <c r="Q54" s="2"/>
      <c r="R54" s="7"/>
      <c r="S54" s="2"/>
      <c r="T54" s="2"/>
      <c r="U54" s="2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24" ht="18" x14ac:dyDescent="0.25">
      <c r="A56" s="1" t="s">
        <v>56</v>
      </c>
      <c r="B56" s="1"/>
      <c r="C56" s="9">
        <f>SUM(C5:C52)</f>
        <v>15148519</v>
      </c>
      <c r="D56" s="9">
        <f t="shared" ref="D56:T56" si="6">SUM(D5:D52)</f>
        <v>3957685</v>
      </c>
      <c r="E56" s="9">
        <f t="shared" si="6"/>
        <v>0</v>
      </c>
      <c r="F56" s="9">
        <f t="shared" si="6"/>
        <v>20413204</v>
      </c>
      <c r="G56" s="9">
        <f t="shared" si="6"/>
        <v>0</v>
      </c>
      <c r="H56" s="9">
        <f t="shared" si="6"/>
        <v>546000</v>
      </c>
      <c r="I56" s="9">
        <f t="shared" si="6"/>
        <v>16000</v>
      </c>
      <c r="J56" s="9"/>
      <c r="K56" s="9">
        <f t="shared" si="6"/>
        <v>2021000</v>
      </c>
      <c r="L56" s="9">
        <f t="shared" si="6"/>
        <v>1307000</v>
      </c>
      <c r="M56" s="9">
        <f t="shared" si="6"/>
        <v>21000</v>
      </c>
      <c r="N56" s="9">
        <f t="shared" si="6"/>
        <v>42000</v>
      </c>
      <c r="O56" s="9">
        <f t="shared" si="6"/>
        <v>105000</v>
      </c>
      <c r="P56" s="9">
        <f t="shared" si="6"/>
        <v>0</v>
      </c>
      <c r="Q56" s="9">
        <f t="shared" si="6"/>
        <v>0</v>
      </c>
      <c r="R56" s="9">
        <f t="shared" si="6"/>
        <v>0</v>
      </c>
      <c r="S56" s="9">
        <f t="shared" si="6"/>
        <v>0</v>
      </c>
      <c r="T56" s="9">
        <f t="shared" si="6"/>
        <v>0</v>
      </c>
    </row>
  </sheetData>
  <autoFilter ref="A4:S49">
    <sortState ref="A5:L48">
      <sortCondition ref="B5:B48"/>
    </sortState>
  </autoFilter>
  <dataValidations count="1">
    <dataValidation type="list" allowBlank="1" showInputMessage="1" showErrorMessage="1" sqref="J5:J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D5" sqref="D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TONT20000DEC2016!F5+TONT20000DEC2016!E5+TONT20000JANV2017!J5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TONT20000DEC2016!F6+TONT20000DEC2016!E6+TONT20000JANV2017!J6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TONT20000DEC2016!F7+TONT20000DEC2016!E7+TONT20000JANV2017!J7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1000</v>
      </c>
      <c r="H7" s="43" t="s">
        <v>224</v>
      </c>
      <c r="I7" s="7">
        <f>IF(F7=0,0,F7+J7+K7+L7+M7+N7)</f>
        <v>20000</v>
      </c>
      <c r="J7" s="7">
        <v>3000</v>
      </c>
      <c r="K7" s="7">
        <v>500</v>
      </c>
      <c r="L7" s="7">
        <v>1000</v>
      </c>
      <c r="M7" s="7">
        <v>2500</v>
      </c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TONT20000DEC2016!F8+TONT20000DEC2016!E8+TONT20000JANV2017!J8</f>
        <v>431874</v>
      </c>
      <c r="E8" s="6"/>
      <c r="F8" s="7">
        <f t="shared" si="0"/>
        <v>13000</v>
      </c>
      <c r="G8" s="7">
        <f t="shared" si="1"/>
        <v>1000</v>
      </c>
      <c r="H8" s="43" t="s">
        <v>224</v>
      </c>
      <c r="I8" s="7">
        <f t="shared" ref="I8:I52" si="4">IF(F8=0,0,F8+J8+K8+L8+M8+N8)</f>
        <v>20000</v>
      </c>
      <c r="J8" s="7">
        <v>3000</v>
      </c>
      <c r="K8" s="7">
        <v>500</v>
      </c>
      <c r="L8" s="7">
        <v>1000</v>
      </c>
      <c r="M8" s="7">
        <v>2500</v>
      </c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TONT20000DEC2016!F9+TONT20000DEC2016!E9+TONT20000JANV2017!J9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20000</v>
      </c>
      <c r="J9" s="7">
        <v>3000</v>
      </c>
      <c r="K9" s="7">
        <v>500</v>
      </c>
      <c r="L9" s="7">
        <v>1000</v>
      </c>
      <c r="M9" s="7">
        <v>2500</v>
      </c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 t="s">
        <v>84</v>
      </c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TONT20000DEC2016!F10+TONT20000DEC2016!E10+TONT20000JANV2017!J10</f>
        <v>428697</v>
      </c>
      <c r="E10" s="6"/>
      <c r="F10" s="7">
        <f t="shared" si="0"/>
        <v>13000</v>
      </c>
      <c r="G10" s="7">
        <f t="shared" si="1"/>
        <v>1000</v>
      </c>
      <c r="H10" s="43" t="s">
        <v>224</v>
      </c>
      <c r="I10" s="7">
        <f t="shared" si="4"/>
        <v>20000</v>
      </c>
      <c r="J10" s="7">
        <v>3000</v>
      </c>
      <c r="K10" s="7">
        <v>500</v>
      </c>
      <c r="L10" s="7">
        <v>1000</v>
      </c>
      <c r="M10" s="7">
        <v>2500</v>
      </c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TONT20000DEC2016!F11+TONT20000DEC2016!E11+TONT20000JANV2017!J11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/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TONT20000DEC2016!F12+TONT20000DEC2016!E12+TONT20000JANV2017!J12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20000</v>
      </c>
      <c r="J12" s="7">
        <v>3000</v>
      </c>
      <c r="K12" s="7">
        <v>500</v>
      </c>
      <c r="L12" s="7">
        <v>1000</v>
      </c>
      <c r="M12" s="7">
        <v>2500</v>
      </c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TONT20000DEC2016!F13+TONT20000DEC2016!E13+TONT20000JANV2017!J13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20000</v>
      </c>
      <c r="J13" s="7">
        <v>3000</v>
      </c>
      <c r="K13" s="7">
        <v>500</v>
      </c>
      <c r="L13" s="7">
        <v>1000</v>
      </c>
      <c r="M13" s="7">
        <v>2500</v>
      </c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TONT20000DEC2016!F14+TONT20000DEC2016!E14+TONT20000JANV2017!J14</f>
        <v>479748</v>
      </c>
      <c r="E14" s="6"/>
      <c r="F14" s="7">
        <f t="shared" si="0"/>
        <v>13000</v>
      </c>
      <c r="G14" s="7">
        <f t="shared" si="1"/>
        <v>1000</v>
      </c>
      <c r="H14" s="43" t="s">
        <v>224</v>
      </c>
      <c r="I14" s="7">
        <f t="shared" si="4"/>
        <v>20000</v>
      </c>
      <c r="J14" s="7">
        <v>3000</v>
      </c>
      <c r="K14" s="7">
        <v>500</v>
      </c>
      <c r="L14" s="7">
        <v>1000</v>
      </c>
      <c r="M14" s="7">
        <v>2500</v>
      </c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TONT20000DEC2016!F15+TONT20000DEC2016!E15+TONT20000JANV2017!J15</f>
        <v>428522</v>
      </c>
      <c r="E15" s="6"/>
      <c r="F15" s="7">
        <f t="shared" si="0"/>
        <v>13000</v>
      </c>
      <c r="G15" s="7">
        <f t="shared" si="1"/>
        <v>1000</v>
      </c>
      <c r="H15" s="43" t="s">
        <v>224</v>
      </c>
      <c r="I15" s="7">
        <f t="shared" si="4"/>
        <v>20000</v>
      </c>
      <c r="J15" s="7">
        <v>3000</v>
      </c>
      <c r="K15" s="7">
        <v>500</v>
      </c>
      <c r="L15" s="7">
        <v>1000</v>
      </c>
      <c r="M15" s="7">
        <v>2500</v>
      </c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TONT20000DEC2016!F16+TONT20000DEC2016!E16+TONT20000JANV2017!J16</f>
        <v>481702</v>
      </c>
      <c r="E16" s="6"/>
      <c r="F16" s="7">
        <v>13000</v>
      </c>
      <c r="G16" s="7">
        <f t="shared" si="1"/>
        <v>1000</v>
      </c>
      <c r="H16" s="43" t="s">
        <v>224</v>
      </c>
      <c r="I16" s="7">
        <f t="shared" si="4"/>
        <v>20000</v>
      </c>
      <c r="J16" s="7">
        <v>3000</v>
      </c>
      <c r="K16" s="7">
        <v>500</v>
      </c>
      <c r="L16" s="7">
        <v>1000</v>
      </c>
      <c r="M16" s="7">
        <v>2500</v>
      </c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TONT20000DEC2016!F17+TONT20000DEC2016!E17+TONT20000JANV2017!J17</f>
        <v>50260</v>
      </c>
      <c r="E17" s="6"/>
      <c r="F17" s="7">
        <f t="shared" si="0"/>
        <v>0</v>
      </c>
      <c r="G17" s="7">
        <f t="shared" si="1"/>
        <v>0</v>
      </c>
      <c r="H17" s="43" t="s">
        <v>217</v>
      </c>
      <c r="I17" s="7">
        <f t="shared" si="4"/>
        <v>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TONT20000DEC2016!F18+TONT20000DEC2016!E18+TONT20000JANV2017!J18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20000</v>
      </c>
      <c r="J18" s="7">
        <v>3000</v>
      </c>
      <c r="K18" s="7">
        <v>500</v>
      </c>
      <c r="L18" s="7">
        <v>1000</v>
      </c>
      <c r="M18" s="7">
        <v>2500</v>
      </c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TONT20000DEC2016!F19+TONT20000DEC2016!E19+TONT20000JANV2017!J19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20000</v>
      </c>
      <c r="J19" s="7">
        <v>3000</v>
      </c>
      <c r="K19" s="7">
        <v>500</v>
      </c>
      <c r="L19" s="7">
        <v>1000</v>
      </c>
      <c r="M19" s="7">
        <v>2500</v>
      </c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TONT20000DEC2016!F20+TONT20000DEC2016!E20+TONT20000JANV2017!J20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23000</v>
      </c>
      <c r="J20" s="7">
        <v>6000</v>
      </c>
      <c r="K20" s="7">
        <v>500</v>
      </c>
      <c r="L20" s="7">
        <v>1000</v>
      </c>
      <c r="M20" s="7">
        <v>2500</v>
      </c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>
        <v>10000</v>
      </c>
      <c r="V20" s="1" t="s">
        <v>86</v>
      </c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TONT20000DEC2016!F21+TONT20000DEC2016!E21+TONT20000JANV2017!J21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20000</v>
      </c>
      <c r="J21" s="7">
        <v>3000</v>
      </c>
      <c r="K21" s="7">
        <v>500</v>
      </c>
      <c r="L21" s="7">
        <v>1000</v>
      </c>
      <c r="M21" s="7">
        <v>2500</v>
      </c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TONT20000DEC2016!F22+TONT20000DEC2016!E22+TONT20000JANV2017!J22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20000</v>
      </c>
      <c r="J22" s="7">
        <v>3000</v>
      </c>
      <c r="K22" s="7">
        <v>500</v>
      </c>
      <c r="L22" s="7">
        <v>1000</v>
      </c>
      <c r="M22" s="7">
        <v>2500</v>
      </c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 t="s">
        <v>103</v>
      </c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TONT20000DEC2016!F23+TONT20000DEC2016!E23+TONT20000JANV2017!J23</f>
        <v>428686</v>
      </c>
      <c r="E23" s="6"/>
      <c r="F23" s="7">
        <f t="shared" si="0"/>
        <v>13000</v>
      </c>
      <c r="G23" s="7">
        <f t="shared" si="1"/>
        <v>1000</v>
      </c>
      <c r="H23" s="43" t="s">
        <v>224</v>
      </c>
      <c r="I23" s="7">
        <f t="shared" si="4"/>
        <v>20000</v>
      </c>
      <c r="J23" s="7">
        <v>3000</v>
      </c>
      <c r="K23" s="7">
        <v>500</v>
      </c>
      <c r="L23" s="7">
        <v>1000</v>
      </c>
      <c r="M23" s="7">
        <v>2500</v>
      </c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 t="s">
        <v>85</v>
      </c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TONT20000DEC2016!F24+TONT20000DEC2016!E24+TONT20000JANV2017!J24</f>
        <v>429818</v>
      </c>
      <c r="E24" s="6"/>
      <c r="F24" s="7">
        <f t="shared" si="0"/>
        <v>13000</v>
      </c>
      <c r="G24" s="7">
        <f t="shared" si="1"/>
        <v>1000</v>
      </c>
      <c r="H24" s="43" t="s">
        <v>224</v>
      </c>
      <c r="I24" s="7">
        <f t="shared" si="4"/>
        <v>20000</v>
      </c>
      <c r="J24" s="7">
        <v>3000</v>
      </c>
      <c r="K24" s="7">
        <v>500</v>
      </c>
      <c r="L24" s="7">
        <v>1000</v>
      </c>
      <c r="M24" s="7">
        <v>2500</v>
      </c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TONT20000DEC2016!F25+TONT20000DEC2016!E25+TONT20000JANV2017!J25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20000</v>
      </c>
      <c r="J25" s="7">
        <v>3000</v>
      </c>
      <c r="K25" s="7">
        <v>500</v>
      </c>
      <c r="L25" s="7">
        <v>1000</v>
      </c>
      <c r="M25" s="7">
        <v>2500</v>
      </c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TONT20000DEC2016!F26+TONT20000DEC2016!E26+TONT20000JANV2017!J26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20000</v>
      </c>
      <c r="J26" s="7">
        <v>3000</v>
      </c>
      <c r="K26" s="7">
        <v>500</v>
      </c>
      <c r="L26" s="7">
        <v>1000</v>
      </c>
      <c r="M26" s="7">
        <v>2500</v>
      </c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TONT20000DEC2016!F27+TONT20000DEC2016!E27+TONT20000JANV2017!J27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25000</v>
      </c>
      <c r="J27" s="7">
        <v>8000</v>
      </c>
      <c r="K27" s="7">
        <v>500</v>
      </c>
      <c r="L27" s="7">
        <v>1000</v>
      </c>
      <c r="M27" s="7">
        <v>2500</v>
      </c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>
        <v>10000</v>
      </c>
      <c r="V27" s="1" t="s">
        <v>226</v>
      </c>
    </row>
    <row r="28" spans="1:22" x14ac:dyDescent="0.25">
      <c r="A28" s="1"/>
      <c r="B28" s="1"/>
      <c r="C28" s="6"/>
      <c r="D28" s="6">
        <f>TONT20000DEC2016!F28+TONT20000DEC2016!E28+TONT20000JANV2017!J28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/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TONT20000DEC2016!F29+TONT20000DEC2016!E29+TONT20000JANV2017!J29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29000</v>
      </c>
      <c r="J29" s="7">
        <v>12000</v>
      </c>
      <c r="K29" s="7">
        <v>500</v>
      </c>
      <c r="L29" s="7">
        <v>1000</v>
      </c>
      <c r="M29" s="7">
        <v>2500</v>
      </c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TONT20000DEC2016!F30+TONT20000DEC2016!E30+TONT20000JANV2017!J30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TONT20000DEC2016!F31+TONT20000DEC2016!E31+TONT20000JANV2017!J31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20000</v>
      </c>
      <c r="J31" s="7">
        <v>3000</v>
      </c>
      <c r="K31" s="7">
        <v>500</v>
      </c>
      <c r="L31" s="7">
        <v>1000</v>
      </c>
      <c r="M31" s="7">
        <v>2500</v>
      </c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TONT20000DEC2016!F32+TONT20000DEC2016!E32+TONT20000JANV2017!J32</f>
        <v>433773</v>
      </c>
      <c r="E32" s="6"/>
      <c r="F32" s="7">
        <f t="shared" si="0"/>
        <v>13000</v>
      </c>
      <c r="G32" s="7">
        <f t="shared" si="1"/>
        <v>1000</v>
      </c>
      <c r="H32" s="43" t="s">
        <v>224</v>
      </c>
      <c r="I32" s="7">
        <f t="shared" si="4"/>
        <v>25000</v>
      </c>
      <c r="J32" s="7">
        <v>8000</v>
      </c>
      <c r="K32" s="7">
        <v>500</v>
      </c>
      <c r="L32" s="7">
        <v>1000</v>
      </c>
      <c r="M32" s="7">
        <v>2500</v>
      </c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TONT20000DEC2016!F33+TONT20000DEC2016!E33+TONT20000JANV2017!J33</f>
        <v>131008</v>
      </c>
      <c r="E33" s="6"/>
      <c r="F33" s="7">
        <f t="shared" si="0"/>
        <v>13000</v>
      </c>
      <c r="G33" s="7">
        <f t="shared" si="1"/>
        <v>1000</v>
      </c>
      <c r="H33" s="43" t="s">
        <v>224</v>
      </c>
      <c r="I33" s="7">
        <f t="shared" si="4"/>
        <v>25000</v>
      </c>
      <c r="J33" s="7">
        <v>8000</v>
      </c>
      <c r="K33" s="7">
        <v>500</v>
      </c>
      <c r="L33" s="7">
        <v>1000</v>
      </c>
      <c r="M33" s="7">
        <v>2500</v>
      </c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TONT20000DEC2016!F34+TONT20000DEC2016!E34+TONT20000JANV2017!J34</f>
        <v>538772</v>
      </c>
      <c r="E34" s="6"/>
      <c r="F34" s="7">
        <f t="shared" si="0"/>
        <v>13000</v>
      </c>
      <c r="G34" s="7">
        <f t="shared" si="1"/>
        <v>1000</v>
      </c>
      <c r="H34" s="43" t="s">
        <v>224</v>
      </c>
      <c r="I34" s="7">
        <f t="shared" si="4"/>
        <v>25000</v>
      </c>
      <c r="J34" s="7">
        <v>8000</v>
      </c>
      <c r="K34" s="7">
        <v>500</v>
      </c>
      <c r="L34" s="7">
        <v>1000</v>
      </c>
      <c r="M34" s="7">
        <v>2500</v>
      </c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TONT20000DEC2016!F35+TONT20000DEC2016!E35+TONT20000JANV2017!J35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/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TONT20000DEC2016!F36+TONT20000DEC2016!E36+TONT20000JANV2017!J36</f>
        <v>-12105</v>
      </c>
      <c r="E36" s="6"/>
      <c r="F36" s="7">
        <f t="shared" si="0"/>
        <v>0</v>
      </c>
      <c r="G36" s="7">
        <f t="shared" si="1"/>
        <v>0</v>
      </c>
      <c r="H36" s="43" t="s">
        <v>217</v>
      </c>
      <c r="I36" s="7">
        <f t="shared" si="4"/>
        <v>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TONT20000DEC2016!F37+TONT20000DEC2016!E37+TONT20000JANV2017!J37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/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TONT20000DEC2016!F38+TONT20000DEC2016!E38+TONT20000JANV2017!J38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20000</v>
      </c>
      <c r="J38" s="7">
        <v>3000</v>
      </c>
      <c r="K38" s="7">
        <v>500</v>
      </c>
      <c r="L38" s="7">
        <v>1000</v>
      </c>
      <c r="M38" s="7">
        <v>2500</v>
      </c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TONT20000DEC2016!F39+TONT20000DEC2016!E39+TONT20000JANV2017!J39</f>
        <v>432756</v>
      </c>
      <c r="E39" s="6"/>
      <c r="F39" s="7">
        <f t="shared" si="0"/>
        <v>13000</v>
      </c>
      <c r="G39" s="7">
        <f t="shared" si="1"/>
        <v>1000</v>
      </c>
      <c r="H39" s="43" t="s">
        <v>224</v>
      </c>
      <c r="I39" s="7">
        <f t="shared" si="4"/>
        <v>20000</v>
      </c>
      <c r="J39" s="7">
        <v>3000</v>
      </c>
      <c r="K39" s="7">
        <v>500</v>
      </c>
      <c r="L39" s="7">
        <v>1000</v>
      </c>
      <c r="M39" s="7">
        <v>2500</v>
      </c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 t="s">
        <v>86</v>
      </c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TONT20000DEC2016!F40+TONT20000DEC2016!E40+TONT20000JANV2017!J40</f>
        <v>396488</v>
      </c>
      <c r="E40" s="6"/>
      <c r="F40" s="7">
        <f t="shared" si="0"/>
        <v>13000</v>
      </c>
      <c r="G40" s="7">
        <f t="shared" si="1"/>
        <v>1000</v>
      </c>
      <c r="H40" s="43" t="s">
        <v>224</v>
      </c>
      <c r="I40" s="7">
        <f t="shared" si="4"/>
        <v>20000</v>
      </c>
      <c r="J40" s="7">
        <v>3000</v>
      </c>
      <c r="K40" s="7">
        <v>500</v>
      </c>
      <c r="L40" s="7">
        <v>1000</v>
      </c>
      <c r="M40" s="7">
        <v>2500</v>
      </c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TONT20000DEC2016!F41+TONT20000DEC2016!E41+TONT20000JANV2017!J41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20000</v>
      </c>
      <c r="J41" s="7">
        <v>3000</v>
      </c>
      <c r="K41" s="7">
        <v>500</v>
      </c>
      <c r="L41" s="7">
        <v>1000</v>
      </c>
      <c r="M41" s="7">
        <v>2500</v>
      </c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TONT20000DEC2016!F42+TONT20000DEC2016!E42+TONT20000JANV2017!J42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20000</v>
      </c>
      <c r="J42" s="7">
        <v>3000</v>
      </c>
      <c r="K42" s="7">
        <v>500</v>
      </c>
      <c r="L42" s="7">
        <v>1000</v>
      </c>
      <c r="M42" s="7">
        <v>2500</v>
      </c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TONT20000DEC2016!F43+TONT20000DEC2016!E43+TONT20000JANV2017!J43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30000</v>
      </c>
      <c r="J43" s="7">
        <v>13000</v>
      </c>
      <c r="K43" s="7">
        <v>500</v>
      </c>
      <c r="L43" s="7">
        <v>1000</v>
      </c>
      <c r="M43" s="7">
        <v>2500</v>
      </c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TONT20000DEC2016!F44+TONT20000DEC2016!E44+TONT20000JANV2017!J44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20000</v>
      </c>
      <c r="J44" s="7">
        <v>3000</v>
      </c>
      <c r="K44" s="7">
        <v>500</v>
      </c>
      <c r="L44" s="7">
        <v>1000</v>
      </c>
      <c r="M44" s="7">
        <v>2500</v>
      </c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TONT20000DEC2016!F45+TONT20000DEC2016!E45+TONT20000JANV2017!J45</f>
        <v>3106</v>
      </c>
      <c r="E45" s="6"/>
      <c r="F45" s="7">
        <f t="shared" si="0"/>
        <v>0</v>
      </c>
      <c r="G45" s="7">
        <f t="shared" si="1"/>
        <v>0</v>
      </c>
      <c r="H45" s="43" t="s">
        <v>217</v>
      </c>
      <c r="I45" s="7">
        <f t="shared" si="4"/>
        <v>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TONT20000DEC2016!F46+TONT20000DEC2016!E46+TONT20000JANV2017!J46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20000</v>
      </c>
      <c r="J46" s="7">
        <v>3000</v>
      </c>
      <c r="K46" s="7">
        <v>500</v>
      </c>
      <c r="L46" s="7">
        <v>1000</v>
      </c>
      <c r="M46" s="7">
        <v>2500</v>
      </c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TONT20000DEC2016!F47+TONT20000DEC2016!E47+TONT20000JANV2017!J47</f>
        <v>427551</v>
      </c>
      <c r="E47" s="6"/>
      <c r="F47" s="7">
        <f t="shared" si="0"/>
        <v>13000</v>
      </c>
      <c r="G47" s="7">
        <f t="shared" si="1"/>
        <v>1000</v>
      </c>
      <c r="H47" s="43" t="s">
        <v>224</v>
      </c>
      <c r="I47" s="7">
        <f t="shared" si="4"/>
        <v>60000</v>
      </c>
      <c r="J47" s="7">
        <v>43000</v>
      </c>
      <c r="K47" s="7">
        <v>500</v>
      </c>
      <c r="L47" s="7">
        <v>1000</v>
      </c>
      <c r="M47" s="7">
        <v>2500</v>
      </c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TONT20000DEC2016!F48+TONT20000DEC2016!E48+TONT20000JANV2017!J48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20000</v>
      </c>
      <c r="J48" s="7">
        <v>3000</v>
      </c>
      <c r="K48" s="7">
        <v>500</v>
      </c>
      <c r="L48" s="7">
        <v>1000</v>
      </c>
      <c r="M48" s="7">
        <v>2500</v>
      </c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TONT20000DEC2016!F49+TONT20000DEC2016!E49+TONT20000JANV2017!J49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20000</v>
      </c>
      <c r="J49" s="7">
        <v>3000</v>
      </c>
      <c r="K49" s="7">
        <v>500</v>
      </c>
      <c r="L49" s="7">
        <v>1000</v>
      </c>
      <c r="M49" s="7">
        <v>2500</v>
      </c>
      <c r="N49" s="7"/>
      <c r="O49" s="2"/>
      <c r="P49" s="7">
        <f>IF(O49&lt;=500000,(O49*1*3/100),(O49*12/100))</f>
        <v>0</v>
      </c>
      <c r="Q49" s="7">
        <f>O49+P49</f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TONT20000DEC2016!F50+TONT20000DEC2016!E50+TONT20000JANV2017!J50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20000</v>
      </c>
      <c r="J50" s="7">
        <v>3000</v>
      </c>
      <c r="K50" s="7">
        <v>500</v>
      </c>
      <c r="L50" s="7">
        <v>1000</v>
      </c>
      <c r="M50" s="7">
        <v>2500</v>
      </c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>
        <v>10000</v>
      </c>
      <c r="V50" s="1" t="s">
        <v>225</v>
      </c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TONT20000DEC2016!F51+TONT20000DEC2016!E51+TONT20000JANV2017!J51</f>
        <v>819982</v>
      </c>
      <c r="E51" s="6"/>
      <c r="F51" s="7">
        <f t="shared" si="0"/>
        <v>13000</v>
      </c>
      <c r="G51" s="7">
        <f t="shared" si="1"/>
        <v>1000</v>
      </c>
      <c r="H51" s="43" t="s">
        <v>224</v>
      </c>
      <c r="I51" s="7">
        <f t="shared" si="4"/>
        <v>20000</v>
      </c>
      <c r="J51" s="7">
        <v>3000</v>
      </c>
      <c r="K51" s="7">
        <v>500</v>
      </c>
      <c r="L51" s="7">
        <v>1000</v>
      </c>
      <c r="M51" s="7">
        <v>2500</v>
      </c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TONT20000DEC2016!F52+TONT20000DEC2016!E52+TONT20000JANV2017!J52</f>
        <v>1509628</v>
      </c>
      <c r="E52" s="6"/>
      <c r="F52" s="7">
        <f t="shared" si="0"/>
        <v>13000</v>
      </c>
      <c r="G52" s="7">
        <f t="shared" si="1"/>
        <v>1000</v>
      </c>
      <c r="H52" s="43" t="s">
        <v>224</v>
      </c>
      <c r="I52" s="7">
        <f t="shared" si="4"/>
        <v>220000</v>
      </c>
      <c r="J52" s="7">
        <v>203000</v>
      </c>
      <c r="K52" s="7">
        <v>500</v>
      </c>
      <c r="L52" s="7">
        <v>1000</v>
      </c>
      <c r="M52" s="7">
        <v>2500</v>
      </c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494000</v>
      </c>
      <c r="G56" s="9">
        <f>SUM(G5:G52)</f>
        <v>16000</v>
      </c>
      <c r="H56" s="9"/>
      <c r="I56" s="9">
        <f>SUM(I5:I52)</f>
        <v>1042000</v>
      </c>
      <c r="J56" s="9">
        <f>SUM(J5:J52)</f>
        <v>396000</v>
      </c>
      <c r="K56" s="9">
        <f>SUM(K5:K52)</f>
        <v>19000</v>
      </c>
      <c r="L56" s="9">
        <f>SUM(L5:L52)</f>
        <v>38000</v>
      </c>
      <c r="M56" s="9">
        <f>SUM(M5:M52)</f>
        <v>95000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30000</v>
      </c>
    </row>
    <row r="60" spans="1:22" ht="18" x14ac:dyDescent="0.25">
      <c r="D60" s="9" t="s">
        <v>58</v>
      </c>
      <c r="E60" s="9">
        <f>+K56</f>
        <v>19000</v>
      </c>
    </row>
    <row r="61" spans="1:22" ht="18" x14ac:dyDescent="0.25">
      <c r="D61" s="9" t="s">
        <v>57</v>
      </c>
      <c r="E61" s="9">
        <f>+J56</f>
        <v>396000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38000</v>
      </c>
    </row>
    <row r="64" spans="1:22" ht="18" x14ac:dyDescent="0.25">
      <c r="D64" s="9" t="s">
        <v>60</v>
      </c>
      <c r="E64" s="9">
        <f>+M56</f>
        <v>95000</v>
      </c>
    </row>
    <row r="65" spans="4:6" ht="18" x14ac:dyDescent="0.25">
      <c r="D65" s="9" t="s">
        <v>62</v>
      </c>
      <c r="E65" s="9">
        <f>+F56</f>
        <v>494000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1054500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disablePrompts="1"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E4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TONT20000JANV2017!C5+TONT20000JANV2017!D5+TONT20000FEV2017!J5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TONT20000JANV2017!C6+TONT20000JANV2017!D6+TONT20000FEV2017!J6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TONT20000JANV2017!C7+TONT20000JANV2017!D7+TONT20000FEV2017!J7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TONT20000JANV2017!C8+TONT20000JANV2017!D8+TONT20000FEV2017!J8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TONT20000JANV2017!C9+TONT20000JANV2017!D9+TONT20000FEV2017!J9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TONT20000JANV2017!C10+TONT20000JANV2017!D10+TONT20000FEV2017!J10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TONT20000JANV2017!C11+TONT20000JANV2017!D11+TONT20000FEV2017!J11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TONT20000JANV2017!C12+TONT20000JANV2017!D12+TONT20000FEV2017!J12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TONT20000JANV2017!C13+TONT20000JANV2017!D13+TONT20000FEV2017!J13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TONT20000JANV2017!C14+TONT20000JANV2017!D14+TONT20000FEV2017!J14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TONT20000JANV2017!C15+TONT20000JANV2017!D15+TONT20000FEV2017!J15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TONT20000JANV2017!C16+TONT20000JANV2017!D16+TONT20000FEV2017!J16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TONT20000JANV2017!C17+TONT20000JANV2017!D17+TONT20000FEV2017!J17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TONT20000JANV2017!C18+TONT20000JANV2017!D18+TONT20000FEV2017!J18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TONT20000JANV2017!C19+TONT20000JANV2017!D19+TONT20000FEV2017!J19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TONT20000JANV2017!C20+TONT20000JANV2017!D20+TONT20000FEV2017!J20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TONT20000JANV2017!C21+TONT20000JANV2017!D21+TONT20000FEV2017!J21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TONT20000JANV2017!C22+TONT20000JANV2017!D22+TONT20000FEV2017!J22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TONT20000JANV2017!C23+TONT20000JANV2017!D23+TONT20000FEV2017!J23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TONT20000JANV2017!C24+TONT20000JANV2017!D24+TONT20000FEV2017!J24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TONT20000JANV2017!C25+TONT20000JANV2017!D25+TONT20000FEV2017!J25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TONT20000JANV2017!C26+TONT20000JANV2017!D26+TONT20000FEV2017!J26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TONT20000JANV2017!C27+TONT20000JANV2017!D27+TONT20000FEV2017!J27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TONT20000JANV2017!C28+TONT20000JANV2017!D28+TONT20000FEV2017!J28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TONT20000JANV2017!C29+TONT20000JANV2017!D29+TONT20000FEV2017!J29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TONT20000JANV2017!C30+TONT20000JANV2017!D30+TONT20000FEV2017!J30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TONT20000JANV2017!C31+TONT20000JANV2017!D31+TONT20000FEV2017!J31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TONT20000JANV2017!C32+TONT20000JANV2017!D32+TONT20000FEV2017!J32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TONT20000JANV2017!C33+TONT20000JANV2017!D33+TONT20000FEV2017!J33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TONT20000JANV2017!C34+TONT20000JANV2017!D34+TONT20000FEV2017!J34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TONT20000JANV2017!C35+TONT20000JANV2017!D35+TONT20000FEV2017!J35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TONT20000JANV2017!C36+TONT20000JANV2017!D36+TONT20000FEV2017!J36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TONT20000JANV2017!C37+TONT20000JANV2017!D37+TONT20000FEV2017!J37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TONT20000JANV2017!C38+TONT20000JANV2017!D38+TONT20000FEV2017!J38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TONT20000JANV2017!C39+TONT20000JANV2017!D39+TONT20000FEV2017!J39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TONT20000JANV2017!C40+TONT20000JANV2017!D40+TONT20000FEV2017!J40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TONT20000JANV2017!C41+TONT20000JANV2017!D41+TONT20000FEV2017!J41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TONT20000JANV2017!C42+TONT20000JANV2017!D42+TONT20000FEV2017!J42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TONT20000JANV2017!C43+TONT20000JANV2017!D43+TONT20000FEV2017!J43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TONT20000JANV2017!C44+TONT20000JANV2017!D44+TONT20000FEV2017!J44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TONT20000JANV2017!C45+TONT20000JANV2017!D45+TONT20000FEV2017!J45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TONT20000JANV2017!C46+TONT20000JANV2017!D46+TONT20000FEV2017!J46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TONT20000JANV2017!C47+TONT20000JANV2017!D47+TONT20000FEV2017!J47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TONT20000JANV2017!C48+TONT20000JANV2017!D48+TONT20000FEV2017!J48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TONT20000JANV2017!C49+TONT20000JANV2017!D49+TONT20000FEV2017!J49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TONT20000JANV2017!C50+TONT20000JANV2017!D50+TONT20000FEV2017!J50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TONT20000JANV2017!C51+TONT20000JANV2017!D51+TONT20000FEV2017!J51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TONT20000JANV2017!C52+TONT20000JANV2017!D52+TONT20000FEV2017!J52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D44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TONT20000FEV2017!C5+TONT20000FEV2017!D5+TONT20000MARS2017!J5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TONT20000FEV2017!C6+TONT20000FEV2017!D6+TONT20000MARS2017!J6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TONT20000FEV2017!C7+TONT20000FEV2017!D7+TONT20000MARS2017!J7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TONT20000FEV2017!C8+TONT20000FEV2017!D8+TONT20000MARS2017!J8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TONT20000FEV2017!C9+TONT20000FEV2017!D9+TONT20000MARS2017!J9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TONT20000FEV2017!C10+TONT20000FEV2017!D10+TONT20000MARS2017!J10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TONT20000FEV2017!C11+TONT20000FEV2017!D11+TONT20000MARS2017!J11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TONT20000FEV2017!C12+TONT20000FEV2017!D12+TONT20000MARS2017!J12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TONT20000FEV2017!C13+TONT20000FEV2017!D13+TONT20000MARS2017!J13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TONT20000FEV2017!C14+TONT20000FEV2017!D14+TONT20000MARS2017!J14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TONT20000FEV2017!C15+TONT20000FEV2017!D15+TONT20000MARS2017!J15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TONT20000FEV2017!C16+TONT20000FEV2017!D16+TONT20000MARS2017!J16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TONT20000FEV2017!C17+TONT20000FEV2017!D17+TONT20000MARS2017!J17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TONT20000FEV2017!C18+TONT20000FEV2017!D18+TONT20000MARS2017!J18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TONT20000FEV2017!C19+TONT20000FEV2017!D19+TONT20000MARS2017!J19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TONT20000FEV2017!C20+TONT20000FEV2017!D20+TONT20000MARS2017!J20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TONT20000FEV2017!C21+TONT20000FEV2017!D21+TONT20000MARS2017!J21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TONT20000FEV2017!C22+TONT20000FEV2017!D22+TONT20000MARS2017!J22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TONT20000FEV2017!C23+TONT20000FEV2017!D23+TONT20000MARS2017!J23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TONT20000FEV2017!C24+TONT20000FEV2017!D24+TONT20000MARS2017!J24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TONT20000FEV2017!C25+TONT20000FEV2017!D25+TONT20000MARS2017!J25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TONT20000FEV2017!C26+TONT20000FEV2017!D26+TONT20000MARS2017!J26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TONT20000FEV2017!C27+TONT20000FEV2017!D27+TONT20000MARS2017!J27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TONT20000FEV2017!C28+TONT20000FEV2017!D28+TONT20000MARS2017!J28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TONT20000FEV2017!C29+TONT20000FEV2017!D29+TONT20000MARS2017!J29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TONT20000FEV2017!C30+TONT20000FEV2017!D30+TONT20000MARS2017!J30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TONT20000FEV2017!C31+TONT20000FEV2017!D31+TONT20000MARS2017!J31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TONT20000FEV2017!C32+TONT20000FEV2017!D32+TONT20000MARS2017!J32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TONT20000FEV2017!C33+TONT20000FEV2017!D33+TONT20000MARS2017!J33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TONT20000FEV2017!C34+TONT20000FEV2017!D34+TONT20000MARS2017!J34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TONT20000FEV2017!C35+TONT20000FEV2017!D35+TONT20000MARS2017!J35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TONT20000FEV2017!C36+TONT20000FEV2017!D36+TONT20000MARS2017!J36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TONT20000FEV2017!C37+TONT20000FEV2017!D37+TONT20000MARS2017!J37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TONT20000FEV2017!C38+TONT20000FEV2017!D38+TONT20000MARS2017!J38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TONT20000FEV2017!C39+TONT20000FEV2017!D39+TONT20000MARS2017!J39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TONT20000FEV2017!C40+TONT20000FEV2017!D40+TONT20000MARS2017!J40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TONT20000FEV2017!C41+TONT20000FEV2017!D41+TONT20000MARS2017!J41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TONT20000FEV2017!C42+TONT20000FEV2017!D42+TONT20000MARS2017!J42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TONT20000FEV2017!C43+TONT20000FEV2017!D43+TONT20000MARS2017!J43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TONT20000FEV2017!C44+TONT20000FEV2017!D44+TONT20000MARS2017!J44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TONT20000FEV2017!C45+TONT20000FEV2017!D45+TONT20000MARS2017!J45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TONT20000FEV2017!C46+TONT20000FEV2017!D46+TONT20000MARS2017!J46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TONT20000FEV2017!C47+TONT20000FEV2017!D47+TONT20000MARS2017!J47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TONT20000FEV2017!C48+TONT20000FEV2017!D48+TONT20000MARS2017!J48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TONT20000FEV2017!C49+TONT20000FEV2017!D49+TONT20000MARS2017!J49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TONT20000FEV2017!C50+TONT20000FEV2017!D50+TONT20000MARS2017!J50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TONT20000FEV2017!C51+TONT20000FEV2017!D51+TONT20000MARS2017!J51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TONT20000FEV2017!C52+TONT20000FEV2017!D52+TONT20000MARS2017!J52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TONT20000MARS2017!C5+TONT20000MARS2017!D5+TONT20000AVRIL2017!J5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TONT20000MARS2017!C6+TONT20000MARS2017!D6+TONT20000AVRIL2017!J6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TONT20000MARS2017!C7+TONT20000MARS2017!D7+TONT20000AVRIL2017!J7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TONT20000MARS2017!C8+TONT20000MARS2017!D8+TONT20000AVRIL2017!J8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TONT20000MARS2017!C9+TONT20000MARS2017!D9+TONT20000AVRIL2017!J9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TONT20000MARS2017!C10+TONT20000MARS2017!D10+TONT20000AVRIL2017!J10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TONT20000MARS2017!C11+TONT20000MARS2017!D11+TONT20000AVRIL2017!J11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TONT20000MARS2017!C12+TONT20000MARS2017!D12+TONT20000AVRIL2017!J12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TONT20000MARS2017!C13+TONT20000MARS2017!D13+TONT20000AVRIL2017!J13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TONT20000MARS2017!C14+TONT20000MARS2017!D14+TONT20000AVRIL2017!J14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TONT20000MARS2017!C15+TONT20000MARS2017!D15+TONT20000AVRIL2017!J15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TONT20000MARS2017!C16+TONT20000MARS2017!D16+TONT20000AVRIL2017!J16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TONT20000MARS2017!C17+TONT20000MARS2017!D17+TONT20000AVRIL2017!J17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TONT20000MARS2017!C18+TONT20000MARS2017!D18+TONT20000AVRIL2017!J18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TONT20000MARS2017!C19+TONT20000MARS2017!D19+TONT20000AVRIL2017!J19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TONT20000MARS2017!C20+TONT20000MARS2017!D20+TONT20000AVRIL2017!J20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TONT20000MARS2017!C21+TONT20000MARS2017!D21+TONT20000AVRIL2017!J21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TONT20000MARS2017!C22+TONT20000MARS2017!D22+TONT20000AVRIL2017!J22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TONT20000MARS2017!C23+TONT20000MARS2017!D23+TONT20000AVRIL2017!J23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TONT20000MARS2017!C24+TONT20000MARS2017!D24+TONT20000AVRIL2017!J24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TONT20000MARS2017!C25+TONT20000MARS2017!D25+TONT20000AVRIL2017!J25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TONT20000MARS2017!C26+TONT20000MARS2017!D26+TONT20000AVRIL2017!J26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TONT20000MARS2017!C27+TONT20000MARS2017!D27+TONT20000AVRIL2017!J27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TONT20000MARS2017!C28+TONT20000MARS2017!D28+TONT20000AVRIL2017!J28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TONT20000MARS2017!C29+TONT20000MARS2017!D29+TONT20000AVRIL2017!J29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TONT20000MARS2017!C30+TONT20000MARS2017!D30+TONT20000AVRIL2017!J30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TONT20000MARS2017!C31+TONT20000MARS2017!D31+TONT20000AVRIL2017!J31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TONT20000MARS2017!C32+TONT20000MARS2017!D32+TONT20000AVRIL2017!J32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TONT20000MARS2017!C33+TONT20000MARS2017!D33+TONT20000AVRIL2017!J33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TONT20000MARS2017!C34+TONT20000MARS2017!D34+TONT20000AVRIL2017!J34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TONT20000MARS2017!C35+TONT20000MARS2017!D35+TONT20000AVRIL2017!J35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TONT20000MARS2017!C36+TONT20000MARS2017!D36+TONT20000AVRIL2017!J36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TONT20000MARS2017!C37+TONT20000MARS2017!D37+TONT20000AVRIL2017!J37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TONT20000MARS2017!C38+TONT20000MARS2017!D38+TONT20000AVRIL2017!J38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TONT20000MARS2017!C39+TONT20000MARS2017!D39+TONT20000AVRIL2017!J39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TONT20000MARS2017!C40+TONT20000MARS2017!D40+TONT20000AVRIL2017!J40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TONT20000MARS2017!C41+TONT20000MARS2017!D41+TONT20000AVRIL2017!J41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TONT20000MARS2017!C42+TONT20000MARS2017!D42+TONT20000AVRIL2017!J42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TONT20000MARS2017!C43+TONT20000MARS2017!D43+TONT20000AVRIL2017!J43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TONT20000MARS2017!C44+TONT20000MARS2017!D44+TONT20000AVRIL2017!J44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TONT20000MARS2017!C45+TONT20000MARS2017!D45+TONT20000AVRIL2017!J45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TONT20000MARS2017!C46+TONT20000MARS2017!D46+TONT20000AVRIL2017!J46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TONT20000MARS2017!C47+TONT20000MARS2017!D47+TONT20000AVRIL2017!J47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TONT20000MARS2017!C48+TONT20000MARS2017!D48+TONT20000AVRIL2017!J48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TONT20000MARS2017!C49+TONT20000MARS2017!D49+TONT20000AVRIL2017!J49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TONT20000MARS2017!C50+TONT20000MARS2017!D50+TONT20000AVRIL2017!J50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TONT20000MARS2017!C51+TONT20000MARS2017!D51+TONT20000AVRIL2017!J51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TONT20000MARS2017!C52+TONT20000MARS2017!D52+TONT20000AVRIL2017!J52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TONT20000AVRIL2017!C5+TONT20000AVRIL2017!D5+TONT20000MAI2017!J5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TONT20000AVRIL2017!C6+TONT20000AVRIL2017!D6+TONT20000MAI2017!J6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TONT20000AVRIL2017!C7+TONT20000AVRIL2017!D7+TONT20000MAI2017!J7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TONT20000AVRIL2017!C8+TONT20000AVRIL2017!D8+TONT20000MAI2017!J8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TONT20000AVRIL2017!C9+TONT20000AVRIL2017!D9+TONT20000MAI2017!J9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TONT20000AVRIL2017!C10+TONT20000AVRIL2017!D10+TONT20000MAI2017!J10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TONT20000AVRIL2017!C11+TONT20000AVRIL2017!D11+TONT20000MAI2017!J11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TONT20000AVRIL2017!C12+TONT20000AVRIL2017!D12+TONT20000MAI2017!J12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TONT20000AVRIL2017!C13+TONT20000AVRIL2017!D13+TONT20000MAI2017!J13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TONT20000AVRIL2017!C14+TONT20000AVRIL2017!D14+TONT20000MAI2017!J14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TONT20000AVRIL2017!C15+TONT20000AVRIL2017!D15+TONT20000MAI2017!J15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TONT20000AVRIL2017!C16+TONT20000AVRIL2017!D16+TONT20000MAI2017!J16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TONT20000AVRIL2017!C17+TONT20000AVRIL2017!D17+TONT20000MAI2017!J17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TONT20000AVRIL2017!C18+TONT20000AVRIL2017!D18+TONT20000MAI2017!J18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TONT20000AVRIL2017!C19+TONT20000AVRIL2017!D19+TONT20000MAI2017!J19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TONT20000AVRIL2017!C20+TONT20000AVRIL2017!D20+TONT20000MAI2017!J20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TONT20000AVRIL2017!C21+TONT20000AVRIL2017!D21+TONT20000MAI2017!J21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TONT20000AVRIL2017!C22+TONT20000AVRIL2017!D22+TONT20000MAI2017!J22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TONT20000AVRIL2017!C23+TONT20000AVRIL2017!D23+TONT20000MAI2017!J23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TONT20000AVRIL2017!C24+TONT20000AVRIL2017!D24+TONT20000MAI2017!J24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TONT20000AVRIL2017!C25+TONT20000AVRIL2017!D25+TONT20000MAI2017!J25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TONT20000AVRIL2017!C26+TONT20000AVRIL2017!D26+TONT20000MAI2017!J26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TONT20000AVRIL2017!C27+TONT20000AVRIL2017!D27+TONT20000MAI2017!J27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TONT20000AVRIL2017!C28+TONT20000AVRIL2017!D28+TONT20000MAI2017!J28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TONT20000AVRIL2017!C29+TONT20000AVRIL2017!D29+TONT20000MAI2017!J29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TONT20000AVRIL2017!C30+TONT20000AVRIL2017!D30+TONT20000MAI2017!J30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TONT20000AVRIL2017!C31+TONT20000AVRIL2017!D31+TONT20000MAI2017!J31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TONT20000AVRIL2017!C32+TONT20000AVRIL2017!D32+TONT20000MAI2017!J32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TONT20000AVRIL2017!C33+TONT20000AVRIL2017!D33+TONT20000MAI2017!J33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TONT20000AVRIL2017!C34+TONT20000AVRIL2017!D34+TONT20000MAI2017!J34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TONT20000AVRIL2017!C35+TONT20000AVRIL2017!D35+TONT20000MAI2017!J35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TONT20000AVRIL2017!C36+TONT20000AVRIL2017!D36+TONT20000MAI2017!J36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TONT20000AVRIL2017!C37+TONT20000AVRIL2017!D37+TONT20000MAI2017!J37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TONT20000AVRIL2017!C38+TONT20000AVRIL2017!D38+TONT20000MAI2017!J38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TONT20000AVRIL2017!C39+TONT20000AVRIL2017!D39+TONT20000MAI2017!J39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TONT20000AVRIL2017!C40+TONT20000AVRIL2017!D40+TONT20000MAI2017!J40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TONT20000AVRIL2017!C41+TONT20000AVRIL2017!D41+TONT20000MAI2017!J41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TONT20000AVRIL2017!C42+TONT20000AVRIL2017!D42+TONT20000MAI2017!J42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TONT20000AVRIL2017!C43+TONT20000AVRIL2017!D43+TONT20000MAI2017!J43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TONT20000AVRIL2017!C44+TONT20000AVRIL2017!D44+TONT20000MAI2017!J44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TONT20000AVRIL2017!C45+TONT20000AVRIL2017!D45+TONT20000MAI2017!J45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TONT20000AVRIL2017!C46+TONT20000AVRIL2017!D46+TONT20000MAI2017!J46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TONT20000AVRIL2017!C47+TONT20000AVRIL2017!D47+TONT20000MAI2017!J47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TONT20000AVRIL2017!C48+TONT20000AVRIL2017!D48+TONT20000MAI2017!J48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TONT20000AVRIL2017!C49+TONT20000AVRIL2017!D49+TONT20000MAI2017!J49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TONT20000AVRIL2017!C50+TONT20000AVRIL2017!D50+TONT20000MAI2017!J50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TONT20000AVRIL2017!C51+TONT20000AVRIL2017!D51+TONT20000MAI2017!J51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TONT20000AVRIL2017!C52+TONT20000AVRIL2017!D52+TONT20000MAI2017!J52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TONT20000MAI2017!C5+TONT20000MAI2017!D5+TONT20000JUIN2017!J5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TONT20000MAI2017!C6+TONT20000MAI2017!D6+TONT20000JUIN2017!J6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TONT20000MAI2017!C7+TONT20000MAI2017!D7+TONT20000JUIN2017!J7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TONT20000MAI2017!C8+TONT20000MAI2017!D8+TONT20000JUIN2017!J8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TONT20000MAI2017!C9+TONT20000MAI2017!D9+TONT20000JUIN2017!J9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TONT20000MAI2017!C10+TONT20000MAI2017!D10+TONT20000JUIN2017!J10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TONT20000MAI2017!C11+TONT20000MAI2017!D11+TONT20000JUIN2017!J11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TONT20000MAI2017!C12+TONT20000MAI2017!D12+TONT20000JUIN2017!J12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TONT20000MAI2017!C13+TONT20000MAI2017!D13+TONT20000JUIN2017!J13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TONT20000MAI2017!C14+TONT20000MAI2017!D14+TONT20000JUIN2017!J14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TONT20000MAI2017!C15+TONT20000MAI2017!D15+TONT20000JUIN2017!J15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TONT20000MAI2017!C16+TONT20000MAI2017!D16+TONT20000JUIN2017!J16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TONT20000MAI2017!C17+TONT20000MAI2017!D17+TONT20000JUIN2017!J17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TONT20000MAI2017!C18+TONT20000MAI2017!D18+TONT20000JUIN2017!J18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TONT20000MAI2017!C19+TONT20000MAI2017!D19+TONT20000JUIN2017!J19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TONT20000MAI2017!C20+TONT20000MAI2017!D20+TONT20000JUIN2017!J20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TONT20000MAI2017!C21+TONT20000MAI2017!D21+TONT20000JUIN2017!J21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TONT20000MAI2017!C22+TONT20000MAI2017!D22+TONT20000JUIN2017!J22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TONT20000MAI2017!C23+TONT20000MAI2017!D23+TONT20000JUIN2017!J23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TONT20000MAI2017!C24+TONT20000MAI2017!D24+TONT20000JUIN2017!J24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TONT20000MAI2017!C25+TONT20000MAI2017!D25+TONT20000JUIN2017!J25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TONT20000MAI2017!C26+TONT20000MAI2017!D26+TONT20000JUIN2017!J26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TONT20000MAI2017!C27+TONT20000MAI2017!D27+TONT20000JUIN2017!J27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TONT20000MAI2017!C28+TONT20000MAI2017!D28+TONT20000JUIN2017!J28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TONT20000MAI2017!C29+TONT20000MAI2017!D29+TONT20000JUIN2017!J29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TONT20000MAI2017!C30+TONT20000MAI2017!D30+TONT20000JUIN2017!J30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TONT20000MAI2017!C31+TONT20000MAI2017!D31+TONT20000JUIN2017!J31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TONT20000MAI2017!C32+TONT20000MAI2017!D32+TONT20000JUIN2017!J32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TONT20000MAI2017!C33+TONT20000MAI2017!D33+TONT20000JUIN2017!J33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TONT20000MAI2017!C34+TONT20000MAI2017!D34+TONT20000JUIN2017!J34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TONT20000MAI2017!C35+TONT20000MAI2017!D35+TONT20000JUIN2017!J35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TONT20000MAI2017!C36+TONT20000MAI2017!D36+TONT20000JUIN2017!J36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TONT20000MAI2017!C37+TONT20000MAI2017!D37+TONT20000JUIN2017!J37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TONT20000MAI2017!C38+TONT20000MAI2017!D38+TONT20000JUIN2017!J38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TONT20000MAI2017!C39+TONT20000MAI2017!D39+TONT20000JUIN2017!J39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TONT20000MAI2017!C40+TONT20000MAI2017!D40+TONT20000JUIN2017!J40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TONT20000MAI2017!C41+TONT20000MAI2017!D41+TONT20000JUIN2017!J41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TONT20000MAI2017!C42+TONT20000MAI2017!D42+TONT20000JUIN2017!J42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TONT20000MAI2017!C43+TONT20000MAI2017!D43+TONT20000JUIN2017!J43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TONT20000MAI2017!C44+TONT20000MAI2017!D44+TONT20000JUIN2017!J44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TONT20000MAI2017!C45+TONT20000MAI2017!D45+TONT20000JUIN2017!J45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TONT20000MAI2017!C46+TONT20000MAI2017!D46+TONT20000JUIN2017!J46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TONT20000MAI2017!C47+TONT20000MAI2017!D47+TONT20000JUIN2017!J47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TONT20000MAI2017!C48+TONT20000MAI2017!D48+TONT20000JUIN2017!J48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TONT20000MAI2017!C49+TONT20000MAI2017!D49+TONT20000JUIN2017!J49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TONT20000MAI2017!C50+TONT20000MAI2017!D50+TONT20000JUIN2017!J50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TONT20000MAI2017!C51+TONT20000MAI2017!D51+TONT20000JUIN2017!J51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TONT20000MAI2017!C52+TONT20000MAI2017!D52+TONT20000JUIN2017!J52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TONT20000JUIN2017!C5+TONT20000JUIN2017!D5+TONT20000JUIL2017!J5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TONT20000JUIN2017!C6+TONT20000JUIN2017!D6+TONT20000JUIL2017!J6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TONT20000JUIN2017!C7+TONT20000JUIN2017!D7+TONT20000JUIL2017!J7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TONT20000JUIN2017!C8+TONT20000JUIN2017!D8+TONT20000JUIL2017!J8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TONT20000JUIN2017!C9+TONT20000JUIN2017!D9+TONT20000JUIL2017!J9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TONT20000JUIN2017!C10+TONT20000JUIN2017!D10+TONT20000JUIL2017!J10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TONT20000JUIN2017!C11+TONT20000JUIN2017!D11+TONT20000JUIL2017!J11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TONT20000JUIN2017!C12+TONT20000JUIN2017!D12+TONT20000JUIL2017!J12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TONT20000JUIN2017!C13+TONT20000JUIN2017!D13+TONT20000JUIL2017!J13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TONT20000JUIN2017!C14+TONT20000JUIN2017!D14+TONT20000JUIL2017!J14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TONT20000JUIN2017!C15+TONT20000JUIN2017!D15+TONT20000JUIL2017!J15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TONT20000JUIN2017!C16+TONT20000JUIN2017!D16+TONT20000JUIL2017!J16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TONT20000JUIN2017!C17+TONT20000JUIN2017!D17+TONT20000JUIL2017!J17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TONT20000JUIN2017!C18+TONT20000JUIN2017!D18+TONT20000JUIL2017!J18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TONT20000JUIN2017!C19+TONT20000JUIN2017!D19+TONT20000JUIL2017!J19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TONT20000JUIN2017!C20+TONT20000JUIN2017!D20+TONT20000JUIL2017!J20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TONT20000JUIN2017!C21+TONT20000JUIN2017!D21+TONT20000JUIL2017!J21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TONT20000JUIN2017!C22+TONT20000JUIN2017!D22+TONT20000JUIL2017!J22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TONT20000JUIN2017!C23+TONT20000JUIN2017!D23+TONT20000JUIL2017!J23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TONT20000JUIN2017!C24+TONT20000JUIN2017!D24+TONT20000JUIL2017!J24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TONT20000JUIN2017!C25+TONT20000JUIN2017!D25+TONT20000JUIL2017!J25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TONT20000JUIN2017!C26+TONT20000JUIN2017!D26+TONT20000JUIL2017!J26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TONT20000JUIN2017!C27+TONT20000JUIN2017!D27+TONT20000JUIL2017!J27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TONT20000JUIN2017!C28+TONT20000JUIN2017!D28+TONT20000JUIL2017!J28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TONT20000JUIN2017!C29+TONT20000JUIN2017!D29+TONT20000JUIL2017!J29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TONT20000JUIN2017!C30+TONT20000JUIN2017!D30+TONT20000JUIL2017!J30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TONT20000JUIN2017!C31+TONT20000JUIN2017!D31+TONT20000JUIL2017!J31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TONT20000JUIN2017!C32+TONT20000JUIN2017!D32+TONT20000JUIL2017!J32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TONT20000JUIN2017!C33+TONT20000JUIN2017!D33+TONT20000JUIL2017!J33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TONT20000JUIN2017!C34+TONT20000JUIN2017!D34+TONT20000JUIL2017!J34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TONT20000JUIN2017!C35+TONT20000JUIN2017!D35+TONT20000JUIL2017!J35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TONT20000JUIN2017!C36+TONT20000JUIN2017!D36+TONT20000JUIL2017!J36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TONT20000JUIN2017!C37+TONT20000JUIN2017!D37+TONT20000JUIL2017!J37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TONT20000JUIN2017!C38+TONT20000JUIN2017!D38+TONT20000JUIL2017!J38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TONT20000JUIN2017!C39+TONT20000JUIN2017!D39+TONT20000JUIL2017!J39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TONT20000JUIN2017!C40+TONT20000JUIN2017!D40+TONT20000JUIL2017!J40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TONT20000JUIN2017!C41+TONT20000JUIN2017!D41+TONT20000JUIL2017!J41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TONT20000JUIN2017!C42+TONT20000JUIN2017!D42+TONT20000JUIL2017!J42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TONT20000JUIN2017!C43+TONT20000JUIN2017!D43+TONT20000JUIL2017!J43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TONT20000JUIN2017!C44+TONT20000JUIN2017!D44+TONT20000JUIL2017!J44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TONT20000JUIN2017!C45+TONT20000JUIN2017!D45+TONT20000JUIL2017!J45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TONT20000JUIN2017!C46+TONT20000JUIN2017!D46+TONT20000JUIL2017!J46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TONT20000JUIN2017!C47+TONT20000JUIN2017!D47+TONT20000JUIL2017!J47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TONT20000JUIN2017!C48+TONT20000JUIN2017!D48+TONT20000JUIL2017!J48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TONT20000JUIN2017!C49+TONT20000JUIN2017!D49+TONT20000JUIL2017!J49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TONT20000JUIN2017!C50+TONT20000JUIN2017!D50+TONT20000JUIL2017!J50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TONT20000JUIN2017!C51+TONT20000JUIN2017!D51+TONT20000JUIL2017!J51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TONT20000JUIN2017!C52+TONT20000JUIN2017!D52+TONT20000JUIL2017!J52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TONT20000JUIL2017!C5+TONT20000JUIL2017!D5+TONT20000AOUT2017!J5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TONT20000JUIL2017!C6+TONT20000JUIL2017!D6+TONT20000AOUT2017!J6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TONT20000JUIL2017!C7+TONT20000JUIL2017!D7+TONT20000AOUT2017!J7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TONT20000JUIL2017!C8+TONT20000JUIL2017!D8+TONT20000AOUT2017!J8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TONT20000JUIL2017!C9+TONT20000JUIL2017!D9+TONT20000AOUT2017!J9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TONT20000JUIL2017!C10+TONT20000JUIL2017!D10+TONT20000AOUT2017!J10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TONT20000JUIL2017!C11+TONT20000JUIL2017!D11+TONT20000AOUT2017!J11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TONT20000JUIL2017!C12+TONT20000JUIL2017!D12+TONT20000AOUT2017!J12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TONT20000JUIL2017!C13+TONT20000JUIL2017!D13+TONT20000AOUT2017!J13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TONT20000JUIL2017!C14+TONT20000JUIL2017!D14+TONT20000AOUT2017!J14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TONT20000JUIL2017!C15+TONT20000JUIL2017!D15+TONT20000AOUT2017!J15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TONT20000JUIL2017!C16+TONT20000JUIL2017!D16+TONT20000AOUT2017!J16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TONT20000JUIL2017!C17+TONT20000JUIL2017!D17+TONT20000AOUT2017!J17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TONT20000JUIL2017!C18+TONT20000JUIL2017!D18+TONT20000AOUT2017!J18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TONT20000JUIL2017!C19+TONT20000JUIL2017!D19+TONT20000AOUT2017!J19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TONT20000JUIL2017!C20+TONT20000JUIL2017!D20+TONT20000AOUT2017!J20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TONT20000JUIL2017!C21+TONT20000JUIL2017!D21+TONT20000AOUT2017!J21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TONT20000JUIL2017!C22+TONT20000JUIL2017!D22+TONT20000AOUT2017!J22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TONT20000JUIL2017!C23+TONT20000JUIL2017!D23+TONT20000AOUT2017!J23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TONT20000JUIL2017!C24+TONT20000JUIL2017!D24+TONT20000AOUT2017!J24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TONT20000JUIL2017!C25+TONT20000JUIL2017!D25+TONT20000AOUT2017!J25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TONT20000JUIL2017!C26+TONT20000JUIL2017!D26+TONT20000AOUT2017!J26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TONT20000JUIL2017!C27+TONT20000JUIL2017!D27+TONT20000AOUT2017!J27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TONT20000JUIL2017!C28+TONT20000JUIL2017!D28+TONT20000AOUT2017!J28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TONT20000JUIL2017!C29+TONT20000JUIL2017!D29+TONT20000AOUT2017!J29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TONT20000JUIL2017!C30+TONT20000JUIL2017!D30+TONT20000AOUT2017!J30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TONT20000JUIL2017!C31+TONT20000JUIL2017!D31+TONT20000AOUT2017!J31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TONT20000JUIL2017!C32+TONT20000JUIL2017!D32+TONT20000AOUT2017!J32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TONT20000JUIL2017!C33+TONT20000JUIL2017!D33+TONT20000AOUT2017!J33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TONT20000JUIL2017!C34+TONT20000JUIL2017!D34+TONT20000AOUT2017!J34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TONT20000JUIL2017!C35+TONT20000JUIL2017!D35+TONT20000AOUT2017!J35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TONT20000JUIL2017!C36+TONT20000JUIL2017!D36+TONT20000AOUT2017!J36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TONT20000JUIL2017!C37+TONT20000JUIL2017!D37+TONT20000AOUT2017!J37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TONT20000JUIL2017!C38+TONT20000JUIL2017!D38+TONT20000AOUT2017!J38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TONT20000JUIL2017!C39+TONT20000JUIL2017!D39+TONT20000AOUT2017!J39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TONT20000JUIL2017!C40+TONT20000JUIL2017!D40+TONT20000AOUT2017!J40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TONT20000JUIL2017!C41+TONT20000JUIL2017!D41+TONT20000AOUT2017!J41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TONT20000JUIL2017!C42+TONT20000JUIL2017!D42+TONT20000AOUT2017!J42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TONT20000JUIL2017!C43+TONT20000JUIL2017!D43+TONT20000AOUT2017!J43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TONT20000JUIL2017!C44+TONT20000JUIL2017!D44+TONT20000AOUT2017!J44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TONT20000JUIL2017!C45+TONT20000JUIL2017!D45+TONT20000AOUT2017!J45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TONT20000JUIL2017!C46+TONT20000JUIL2017!D46+TONT20000AOUT2017!J46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TONT20000JUIL2017!C47+TONT20000JUIL2017!D47+TONT20000AOUT2017!J47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TONT20000JUIL2017!C48+TONT20000JUIL2017!D48+TONT20000AOUT2017!J48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TONT20000JUIL2017!C49+TONT20000JUIL2017!D49+TONT20000AOUT2017!J49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TONT20000JUIL2017!C50+TONT20000JUIL2017!D50+TONT20000AOUT2017!J50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TONT20000JUIL2017!C51+TONT20000JUIL2017!D51+TONT20000AOUT2017!J51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TONT20000JUIL2017!C52+TONT20000JUIL2017!D52+TONT20000AOUT2017!J52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TONT20000AOUT2017!C5+TONT20000AOUT2017!D5+TONT20000SEPT2017!J5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TONT20000AOUT2017!C6+TONT20000AOUT2017!D6+TONT20000SEPT2017!J6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TONT20000AOUT2017!C7+TONT20000AOUT2017!D7+TONT20000SEPT2017!J7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TONT20000AOUT2017!C8+TONT20000AOUT2017!D8+TONT20000SEPT2017!J8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TONT20000AOUT2017!C9+TONT20000AOUT2017!D9+TONT20000SEPT2017!J9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TONT20000AOUT2017!C10+TONT20000AOUT2017!D10+TONT20000SEPT2017!J10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TONT20000AOUT2017!C11+TONT20000AOUT2017!D11+TONT20000SEPT2017!J11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TONT20000AOUT2017!C12+TONT20000AOUT2017!D12+TONT20000SEPT2017!J12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TONT20000AOUT2017!C13+TONT20000AOUT2017!D13+TONT20000SEPT2017!J13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TONT20000AOUT2017!C14+TONT20000AOUT2017!D14+TONT20000SEPT2017!J14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TONT20000AOUT2017!C15+TONT20000AOUT2017!D15+TONT20000SEPT2017!J15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TONT20000AOUT2017!C16+TONT20000AOUT2017!D16+TONT20000SEPT2017!J16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TONT20000AOUT2017!C17+TONT20000AOUT2017!D17+TONT20000SEPT2017!J17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TONT20000AOUT2017!C18+TONT20000AOUT2017!D18+TONT20000SEPT2017!J18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TONT20000AOUT2017!C19+TONT20000AOUT2017!D19+TONT20000SEPT2017!J19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TONT20000AOUT2017!C20+TONT20000AOUT2017!D20+TONT20000SEPT2017!J20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TONT20000AOUT2017!C21+TONT20000AOUT2017!D21+TONT20000SEPT2017!J21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TONT20000AOUT2017!C22+TONT20000AOUT2017!D22+TONT20000SEPT2017!J22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TONT20000AOUT2017!C23+TONT20000AOUT2017!D23+TONT20000SEPT2017!J23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TONT20000AOUT2017!C24+TONT20000AOUT2017!D24+TONT20000SEPT2017!J24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TONT20000AOUT2017!C25+TONT20000AOUT2017!D25+TONT20000SEPT2017!J25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TONT20000AOUT2017!C26+TONT20000AOUT2017!D26+TONT20000SEPT2017!J26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TONT20000AOUT2017!C27+TONT20000AOUT2017!D27+TONT20000SEPT2017!J27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TONT20000AOUT2017!C28+TONT20000AOUT2017!D28+TONT20000SEPT2017!J28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TONT20000AOUT2017!C29+TONT20000AOUT2017!D29+TONT20000SEPT2017!J29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TONT20000AOUT2017!C30+TONT20000AOUT2017!D30+TONT20000SEPT2017!J30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TONT20000AOUT2017!C31+TONT20000AOUT2017!D31+TONT20000SEPT2017!J31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TONT20000AOUT2017!C32+TONT20000AOUT2017!D32+TONT20000SEPT2017!J32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TONT20000AOUT2017!C33+TONT20000AOUT2017!D33+TONT20000SEPT2017!J33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TONT20000AOUT2017!C34+TONT20000AOUT2017!D34+TONT20000SEPT2017!J34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TONT20000AOUT2017!C35+TONT20000AOUT2017!D35+TONT20000SEPT2017!J35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TONT20000AOUT2017!C36+TONT20000AOUT2017!D36+TONT20000SEPT2017!J36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TONT20000AOUT2017!C37+TONT20000AOUT2017!D37+TONT20000SEPT2017!J37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TONT20000AOUT2017!C38+TONT20000AOUT2017!D38+TONT20000SEPT2017!J38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TONT20000AOUT2017!C39+TONT20000AOUT2017!D39+TONT20000SEPT2017!J39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TONT20000AOUT2017!C40+TONT20000AOUT2017!D40+TONT20000SEPT2017!J40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TONT20000AOUT2017!C41+TONT20000AOUT2017!D41+TONT20000SEPT2017!J41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TONT20000AOUT2017!C42+TONT20000AOUT2017!D42+TONT20000SEPT2017!J42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TONT20000AOUT2017!C43+TONT20000AOUT2017!D43+TONT20000SEPT2017!J43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TONT20000AOUT2017!C44+TONT20000AOUT2017!D44+TONT20000SEPT2017!J44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TONT20000AOUT2017!C45+TONT20000AOUT2017!D45+TONT20000SEPT2017!J45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TONT20000AOUT2017!C46+TONT20000AOUT2017!D46+TONT20000SEPT2017!J46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TONT20000AOUT2017!C47+TONT20000AOUT2017!D47+TONT20000SEPT2017!J47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TONT20000AOUT2017!C48+TONT20000AOUT2017!D48+TONT20000SEPT2017!J48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TONT20000AOUT2017!C49+TONT20000AOUT2017!D49+TONT20000SEPT2017!J49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TONT20000AOUT2017!C50+TONT20000AOUT2017!D50+TONT20000SEPT2017!J50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TONT20000AOUT2017!C51+TONT20000AOUT2017!D51+TONT20000SEPT2017!J51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TONT20000AOUT2017!C52+TONT20000AOUT2017!D52+TONT20000SEPT2017!J52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TONT20000SEPT2017!C5+TONT20000SEPT2017!D5+TONT20000OCT2017!J5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TONT20000SEPT2017!C6+TONT20000SEPT2017!D6+TONT20000OCT2017!J6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TONT20000SEPT2017!C7+TONT20000SEPT2017!D7+TONT20000OCT2017!J7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TONT20000SEPT2017!C8+TONT20000SEPT2017!D8+TONT20000OCT2017!J8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TONT20000SEPT2017!C9+TONT20000SEPT2017!D9+TONT20000OCT2017!J9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TONT20000SEPT2017!C10+TONT20000SEPT2017!D10+TONT20000OCT2017!J10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TONT20000SEPT2017!C11+TONT20000SEPT2017!D11+TONT20000OCT2017!J11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TONT20000SEPT2017!C12+TONT20000SEPT2017!D12+TONT20000OCT2017!J12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TONT20000SEPT2017!C13+TONT20000SEPT2017!D13+TONT20000OCT2017!J13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TONT20000SEPT2017!C14+TONT20000SEPT2017!D14+TONT20000OCT2017!J14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TONT20000SEPT2017!C15+TONT20000SEPT2017!D15+TONT20000OCT2017!J15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TONT20000SEPT2017!C16+TONT20000SEPT2017!D16+TONT20000OCT2017!J16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TONT20000SEPT2017!C17+TONT20000SEPT2017!D17+TONT20000OCT2017!J17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TONT20000SEPT2017!C18+TONT20000SEPT2017!D18+TONT20000OCT2017!J18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TONT20000SEPT2017!C19+TONT20000SEPT2017!D19+TONT20000OCT2017!J19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TONT20000SEPT2017!C20+TONT20000SEPT2017!D20+TONT20000OCT2017!J20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TONT20000SEPT2017!C21+TONT20000SEPT2017!D21+TONT20000OCT2017!J21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TONT20000SEPT2017!C22+TONT20000SEPT2017!D22+TONT20000OCT2017!J22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TONT20000SEPT2017!C23+TONT20000SEPT2017!D23+TONT20000OCT2017!J23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TONT20000SEPT2017!C24+TONT20000SEPT2017!D24+TONT20000OCT2017!J24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TONT20000SEPT2017!C25+TONT20000SEPT2017!D25+TONT20000OCT2017!J25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TONT20000SEPT2017!C26+TONT20000SEPT2017!D26+TONT20000OCT2017!J26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TONT20000SEPT2017!C27+TONT20000SEPT2017!D27+TONT20000OCT2017!J27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TONT20000SEPT2017!C28+TONT20000SEPT2017!D28+TONT20000OCT2017!J28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TONT20000SEPT2017!C29+TONT20000SEPT2017!D29+TONT20000OCT2017!J29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TONT20000SEPT2017!C30+TONT20000SEPT2017!D30+TONT20000OCT2017!J30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TONT20000SEPT2017!C31+TONT20000SEPT2017!D31+TONT20000OCT2017!J31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TONT20000SEPT2017!C32+TONT20000SEPT2017!D32+TONT20000OCT2017!J32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TONT20000SEPT2017!C33+TONT20000SEPT2017!D33+TONT20000OCT2017!J33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TONT20000SEPT2017!C34+TONT20000SEPT2017!D34+TONT20000OCT2017!J34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TONT20000SEPT2017!C35+TONT20000SEPT2017!D35+TONT20000OCT2017!J35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TONT20000SEPT2017!C36+TONT20000SEPT2017!D36+TONT20000OCT2017!J36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TONT20000SEPT2017!C37+TONT20000SEPT2017!D37+TONT20000OCT2017!J37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TONT20000SEPT2017!C38+TONT20000SEPT2017!D38+TONT20000OCT2017!J38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TONT20000SEPT2017!C39+TONT20000SEPT2017!D39+TONT20000OCT2017!J39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TONT20000SEPT2017!C40+TONT20000SEPT2017!D40+TONT20000OCT2017!J40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TONT20000SEPT2017!C41+TONT20000SEPT2017!D41+TONT20000OCT2017!J41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TONT20000SEPT2017!C42+TONT20000SEPT2017!D42+TONT20000OCT2017!J42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TONT20000SEPT2017!C43+TONT20000SEPT2017!D43+TONT20000OCT2017!J43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TONT20000SEPT2017!C44+TONT20000SEPT2017!D44+TONT20000OCT2017!J44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TONT20000SEPT2017!C45+TONT20000SEPT2017!D45+TONT20000OCT2017!J45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TONT20000SEPT2017!C46+TONT20000SEPT2017!D46+TONT20000OCT2017!J46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TONT20000SEPT2017!C47+TONT20000SEPT2017!D47+TONT20000OCT2017!J47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TONT20000SEPT2017!C48+TONT20000SEPT2017!D48+TONT20000OCT2017!J48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TONT20000SEPT2017!C49+TONT20000SEPT2017!D49+TONT20000OCT2017!J49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TONT20000SEPT2017!C50+TONT20000SEPT2017!D50+TONT20000OCT2017!J50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TONT20000SEPT2017!C51+TONT20000SEPT2017!D51+TONT20000OCT2017!J51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TONT20000SEPT2017!C52+TONT20000SEPT2017!D52+TONT20000OCT2017!J52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6" sqref="H6:H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TONT20000OCT2017!C5+TONT20000OCT2017!D5+TONT20000NOV2017!J5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TONT20000OCT2017!C6+TONT20000OCT2017!D6+TONT20000NOV2017!J6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TONT20000OCT2017!C7+TONT20000OCT2017!D7+TONT20000NOV2017!J7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TONT20000OCT2017!C8+TONT20000OCT2017!D8+TONT20000NOV2017!J8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TONT20000OCT2017!C9+TONT20000OCT2017!D9+TONT20000NOV2017!J9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TONT20000OCT2017!C10+TONT20000OCT2017!D10+TONT20000NOV2017!J10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TONT20000OCT2017!C11+TONT20000OCT2017!D11+TONT20000NOV2017!J11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TONT20000OCT2017!C12+TONT20000OCT2017!D12+TONT20000NOV2017!J12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TONT20000OCT2017!C13+TONT20000OCT2017!D13+TONT20000NOV2017!J13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TONT20000OCT2017!C14+TONT20000OCT2017!D14+TONT20000NOV2017!J14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TONT20000OCT2017!C15+TONT20000OCT2017!D15+TONT20000NOV2017!J15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TONT20000OCT2017!C16+TONT20000OCT2017!D16+TONT20000NOV2017!J16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TONT20000OCT2017!C17+TONT20000OCT2017!D17+TONT20000NOV2017!J17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TONT20000OCT2017!C18+TONT20000OCT2017!D18+TONT20000NOV2017!J18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TONT20000OCT2017!C19+TONT20000OCT2017!D19+TONT20000NOV2017!J19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TONT20000OCT2017!C20+TONT20000OCT2017!D20+TONT20000NOV2017!J20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TONT20000OCT2017!C21+TONT20000OCT2017!D21+TONT20000NOV2017!J21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TONT20000OCT2017!C22+TONT20000OCT2017!D22+TONT20000NOV2017!J22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TONT20000OCT2017!C23+TONT20000OCT2017!D23+TONT20000NOV2017!J23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TONT20000OCT2017!C24+TONT20000OCT2017!D24+TONT20000NOV2017!J24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TONT20000OCT2017!C25+TONT20000OCT2017!D25+TONT20000NOV2017!J25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TONT20000OCT2017!C26+TONT20000OCT2017!D26+TONT20000NOV2017!J26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TONT20000OCT2017!C27+TONT20000OCT2017!D27+TONT20000NOV2017!J27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TONT20000OCT2017!C28+TONT20000OCT2017!D28+TONT20000NOV2017!J28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TONT20000OCT2017!C29+TONT20000OCT2017!D29+TONT20000NOV2017!J29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TONT20000OCT2017!C30+TONT20000OCT2017!D30+TONT20000NOV2017!J30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TONT20000OCT2017!C31+TONT20000OCT2017!D31+TONT20000NOV2017!J31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TONT20000OCT2017!C32+TONT20000OCT2017!D32+TONT20000NOV2017!J32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TONT20000OCT2017!C33+TONT20000OCT2017!D33+TONT20000NOV2017!J33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TONT20000OCT2017!C34+TONT20000OCT2017!D34+TONT20000NOV2017!J34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TONT20000OCT2017!C35+TONT20000OCT2017!D35+TONT20000NOV2017!J35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TONT20000OCT2017!C36+TONT20000OCT2017!D36+TONT20000NOV2017!J36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TONT20000OCT2017!C37+TONT20000OCT2017!D37+TONT20000NOV2017!J37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TONT20000OCT2017!C38+TONT20000OCT2017!D38+TONT20000NOV2017!J38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TONT20000OCT2017!C39+TONT20000OCT2017!D39+TONT20000NOV2017!J39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TONT20000OCT2017!C40+TONT20000OCT2017!D40+TONT20000NOV2017!J40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TONT20000OCT2017!C41+TONT20000OCT2017!D41+TONT20000NOV2017!J41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TONT20000OCT2017!C42+TONT20000OCT2017!D42+TONT20000NOV2017!J42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TONT20000OCT2017!C43+TONT20000OCT2017!D43+TONT20000NOV2017!J43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TONT20000OCT2017!C44+TONT20000OCT2017!D44+TONT20000NOV2017!J44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TONT20000OCT2017!C45+TONT20000OCT2017!D45+TONT20000NOV2017!J45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TONT20000OCT2017!C46+TONT20000OCT2017!D46+TONT20000NOV2017!J46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TONT20000OCT2017!C47+TONT20000OCT2017!D47+TONT20000NOV2017!J47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TONT20000OCT2017!C48+TONT20000OCT2017!D48+TONT20000NOV2017!J48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TONT20000OCT2017!C49+TONT20000OCT2017!D49+TONT20000NOV2017!J49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TONT20000OCT2017!C50+TONT20000OCT2017!D50+TONT20000NOV2017!J50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TONT20000OCT2017!C51+TONT20000OCT2017!D51+TONT20000NOV2017!J51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TONT20000OCT2017!C52+TONT20000OCT2017!D52+TONT20000NOV2017!J52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tabSelected="1"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I7" sqref="I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185</v>
      </c>
      <c r="D4" s="5" t="s">
        <v>186</v>
      </c>
      <c r="E4" s="1" t="s">
        <v>183</v>
      </c>
      <c r="F4" s="5" t="s">
        <v>219</v>
      </c>
      <c r="G4" s="1" t="s">
        <v>220</v>
      </c>
      <c r="H4" s="43" t="s">
        <v>221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181</v>
      </c>
      <c r="S4" s="5" t="s">
        <v>180</v>
      </c>
      <c r="T4" s="6" t="s">
        <v>9</v>
      </c>
      <c r="U4" s="1" t="s">
        <v>10</v>
      </c>
      <c r="V4" s="5" t="s">
        <v>223</v>
      </c>
    </row>
    <row r="5" spans="1:22" x14ac:dyDescent="0.25">
      <c r="A5" s="1" t="s">
        <v>184</v>
      </c>
      <c r="B5" s="1" t="str">
        <f>VLOOKUP(A5,LISTADHERENT!A$5:H$52,2,0)</f>
        <v>ASELBY</v>
      </c>
      <c r="C5" s="6">
        <f>$P$56/$D$56*D5</f>
        <v>0</v>
      </c>
      <c r="D5" s="6">
        <f>TONT20000NOV2017!C5+TONT20000NOV2017!D5+TONT20000DEC2017!J5</f>
        <v>355097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$P$56/$D$56*D6</f>
        <v>0</v>
      </c>
      <c r="D6" s="6">
        <f>TONT20000NOV2017!C6+TONT20000NOV2017!D6+TONT20000DEC2017!J6</f>
        <v>471993</v>
      </c>
      <c r="E6" s="6"/>
      <c r="F6" s="7">
        <f>IF(H6="ECHEC",0,13000)</f>
        <v>0</v>
      </c>
      <c r="G6" s="7">
        <f>IF(H6="ESPECES",1000,0)</f>
        <v>0</v>
      </c>
      <c r="H6" s="43" t="s">
        <v>217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>
        <f>O6+P6</f>
        <v>0</v>
      </c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$P$56/$D$56*D7</f>
        <v>0</v>
      </c>
      <c r="D7" s="6">
        <f>TONT20000NOV2017!C7+TONT20000NOV2017!D7+TONT20000DEC2017!J7</f>
        <v>428720</v>
      </c>
      <c r="E7" s="6"/>
      <c r="F7" s="7">
        <f t="shared" ref="F7:F52" si="0">IF(H7="ECHEC",0,13000)</f>
        <v>13000</v>
      </c>
      <c r="G7" s="7">
        <f t="shared" ref="G7:G52" si="1">IF(H7="ESPECES",1000,0)</f>
        <v>0</v>
      </c>
      <c r="H7" s="43" t="s">
        <v>218</v>
      </c>
      <c r="I7" s="7">
        <f>IF(F7=0,0,F7+J7+K7+L7+M7+N7)</f>
        <v>13000</v>
      </c>
      <c r="J7" s="7"/>
      <c r="K7" s="7"/>
      <c r="L7" s="7"/>
      <c r="M7" s="7"/>
      <c r="N7" s="7"/>
      <c r="O7" s="7"/>
      <c r="P7" s="7">
        <f t="shared" ref="P7:P52" si="2">IF(O7&lt;=500000,(O7*1*3/100),(O7*12/100))</f>
        <v>0</v>
      </c>
      <c r="Q7" s="7">
        <f t="shared" ref="Q7:Q52" si="3">O7+P7</f>
        <v>0</v>
      </c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$P$56/$D$56*D8</f>
        <v>0</v>
      </c>
      <c r="D8" s="6">
        <f>TONT20000NOV2017!C8+TONT20000NOV2017!D8+TONT20000DEC2017!J8</f>
        <v>431874</v>
      </c>
      <c r="E8" s="6"/>
      <c r="F8" s="7">
        <f t="shared" si="0"/>
        <v>13000</v>
      </c>
      <c r="G8" s="7">
        <f t="shared" si="1"/>
        <v>0</v>
      </c>
      <c r="H8" s="43" t="s">
        <v>218</v>
      </c>
      <c r="I8" s="7">
        <f t="shared" ref="I8:I52" si="4">IF(F8=0,0,F8+J8+K8+L8+M8+N8)</f>
        <v>13000</v>
      </c>
      <c r="J8" s="7"/>
      <c r="K8" s="7"/>
      <c r="L8" s="7"/>
      <c r="M8" s="7"/>
      <c r="N8" s="7"/>
      <c r="O8" s="2"/>
      <c r="P8" s="7">
        <f t="shared" si="2"/>
        <v>0</v>
      </c>
      <c r="Q8" s="7">
        <f t="shared" si="3"/>
        <v>0</v>
      </c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$P$56/$D$56*D9</f>
        <v>0</v>
      </c>
      <c r="D9" s="6">
        <f>TONT20000NOV2017!C9+TONT20000NOV2017!D9+TONT20000DEC2017!J9</f>
        <v>428570</v>
      </c>
      <c r="E9" s="6"/>
      <c r="F9" s="7">
        <f t="shared" si="0"/>
        <v>13000</v>
      </c>
      <c r="G9" s="7">
        <f t="shared" si="1"/>
        <v>0</v>
      </c>
      <c r="H9" s="43" t="s">
        <v>218</v>
      </c>
      <c r="I9" s="7">
        <f t="shared" si="4"/>
        <v>13000</v>
      </c>
      <c r="J9" s="7"/>
      <c r="K9" s="7"/>
      <c r="L9" s="7"/>
      <c r="M9" s="7"/>
      <c r="N9" s="7"/>
      <c r="O9" s="2"/>
      <c r="P9" s="7">
        <f t="shared" si="2"/>
        <v>0</v>
      </c>
      <c r="Q9" s="7">
        <f t="shared" si="3"/>
        <v>0</v>
      </c>
      <c r="R9" s="2"/>
      <c r="S9" s="2"/>
      <c r="T9" s="7"/>
      <c r="V9" s="1"/>
    </row>
    <row r="10" spans="1:22" x14ac:dyDescent="0.25">
      <c r="A10" s="1" t="s">
        <v>15</v>
      </c>
      <c r="B10" s="1" t="str">
        <f>VLOOKUP(A10,LISTADHERENT!A$5:H$51,2)</f>
        <v>DJOUKWE GUY</v>
      </c>
      <c r="C10" s="6">
        <f>$P$56/$D$56*D10</f>
        <v>0</v>
      </c>
      <c r="D10" s="6">
        <f>TONT20000NOV2017!C10+TONT20000NOV2017!D10+TONT20000DEC2017!J10</f>
        <v>428697</v>
      </c>
      <c r="E10" s="6"/>
      <c r="F10" s="7">
        <f t="shared" si="0"/>
        <v>13000</v>
      </c>
      <c r="G10" s="7">
        <f t="shared" si="1"/>
        <v>0</v>
      </c>
      <c r="H10" s="43" t="s">
        <v>218</v>
      </c>
      <c r="I10" s="7">
        <f t="shared" si="4"/>
        <v>13000</v>
      </c>
      <c r="J10" s="7"/>
      <c r="K10" s="7"/>
      <c r="L10" s="7"/>
      <c r="M10" s="7"/>
      <c r="N10" s="7"/>
      <c r="O10" s="2"/>
      <c r="P10" s="7">
        <f t="shared" si="2"/>
        <v>0</v>
      </c>
      <c r="Q10" s="7">
        <f t="shared" si="3"/>
        <v>0</v>
      </c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TONT20000NOV2017!C11+TONT20000NOV2017!D11+TONT20000DEC2017!J11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>
        <f t="shared" si="2"/>
        <v>0</v>
      </c>
      <c r="Q11" s="7">
        <f t="shared" si="3"/>
        <v>0</v>
      </c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$P$56/$D$56*D12</f>
        <v>0</v>
      </c>
      <c r="D12" s="6">
        <f>TONT20000NOV2017!C12+TONT20000NOV2017!D12+TONT20000DEC2017!J12</f>
        <v>1061540</v>
      </c>
      <c r="E12" s="6"/>
      <c r="F12" s="7">
        <f t="shared" si="0"/>
        <v>13000</v>
      </c>
      <c r="G12" s="7">
        <f t="shared" si="1"/>
        <v>0</v>
      </c>
      <c r="H12" s="43" t="s">
        <v>218</v>
      </c>
      <c r="I12" s="7">
        <f t="shared" si="4"/>
        <v>13000</v>
      </c>
      <c r="J12" s="7"/>
      <c r="K12" s="7"/>
      <c r="L12" s="7"/>
      <c r="M12" s="7"/>
      <c r="N12" s="7"/>
      <c r="O12" s="2"/>
      <c r="P12" s="7">
        <f t="shared" si="2"/>
        <v>0</v>
      </c>
      <c r="Q12" s="7">
        <f t="shared" si="3"/>
        <v>0</v>
      </c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$P$56/$D$56*D13</f>
        <v>0</v>
      </c>
      <c r="D13" s="6">
        <f>TONT20000NOV2017!C13+TONT20000NOV2017!D13+TONT20000DEC2017!J13</f>
        <v>428746</v>
      </c>
      <c r="E13" s="6"/>
      <c r="F13" s="7">
        <f t="shared" si="0"/>
        <v>13000</v>
      </c>
      <c r="G13" s="7">
        <f t="shared" si="1"/>
        <v>0</v>
      </c>
      <c r="H13" s="43" t="s">
        <v>218</v>
      </c>
      <c r="I13" s="7">
        <f t="shared" si="4"/>
        <v>13000</v>
      </c>
      <c r="J13" s="7"/>
      <c r="K13" s="7"/>
      <c r="L13" s="7"/>
      <c r="M13" s="7"/>
      <c r="N13" s="7"/>
      <c r="O13" s="2"/>
      <c r="P13" s="7">
        <f t="shared" si="2"/>
        <v>0</v>
      </c>
      <c r="Q13" s="7">
        <f t="shared" si="3"/>
        <v>0</v>
      </c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$P$56/$D$56*D14</f>
        <v>0</v>
      </c>
      <c r="D14" s="6">
        <f>TONT20000NOV2017!C14+TONT20000NOV2017!D14+TONT20000DEC2017!J14</f>
        <v>479748</v>
      </c>
      <c r="E14" s="6"/>
      <c r="F14" s="7">
        <f t="shared" si="0"/>
        <v>13000</v>
      </c>
      <c r="G14" s="7">
        <f t="shared" si="1"/>
        <v>0</v>
      </c>
      <c r="H14" s="43" t="s">
        <v>218</v>
      </c>
      <c r="I14" s="7">
        <f t="shared" si="4"/>
        <v>13000</v>
      </c>
      <c r="J14" s="7"/>
      <c r="K14" s="7"/>
      <c r="L14" s="7"/>
      <c r="M14" s="7"/>
      <c r="N14" s="7"/>
      <c r="O14" s="2"/>
      <c r="P14" s="7">
        <f t="shared" si="2"/>
        <v>0</v>
      </c>
      <c r="Q14" s="7">
        <f t="shared" si="3"/>
        <v>0</v>
      </c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$P$56/$D$56*D15</f>
        <v>0</v>
      </c>
      <c r="D15" s="6">
        <f>TONT20000NOV2017!C15+TONT20000NOV2017!D15+TONT20000DEC2017!J15</f>
        <v>428522</v>
      </c>
      <c r="E15" s="6"/>
      <c r="F15" s="7">
        <f t="shared" si="0"/>
        <v>13000</v>
      </c>
      <c r="G15" s="7">
        <f t="shared" si="1"/>
        <v>0</v>
      </c>
      <c r="H15" s="43" t="s">
        <v>218</v>
      </c>
      <c r="I15" s="7">
        <f t="shared" si="4"/>
        <v>13000</v>
      </c>
      <c r="J15" s="7"/>
      <c r="K15" s="7"/>
      <c r="L15" s="7"/>
      <c r="M15" s="7"/>
      <c r="N15" s="7"/>
      <c r="O15" s="2"/>
      <c r="P15" s="7">
        <f t="shared" si="2"/>
        <v>0</v>
      </c>
      <c r="Q15" s="7">
        <f t="shared" si="3"/>
        <v>0</v>
      </c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$P$56/$D$56*D16</f>
        <v>0</v>
      </c>
      <c r="D16" s="6">
        <f>TONT20000NOV2017!C16+TONT20000NOV2017!D16+TONT20000DEC2017!J16</f>
        <v>481702</v>
      </c>
      <c r="E16" s="6"/>
      <c r="F16" s="7">
        <v>13000</v>
      </c>
      <c r="G16" s="7">
        <f t="shared" si="1"/>
        <v>0</v>
      </c>
      <c r="H16" s="43" t="s">
        <v>218</v>
      </c>
      <c r="I16" s="7">
        <f t="shared" si="4"/>
        <v>13000</v>
      </c>
      <c r="J16" s="7"/>
      <c r="K16" s="7"/>
      <c r="L16" s="7"/>
      <c r="M16" s="7"/>
      <c r="N16" s="7"/>
      <c r="O16" s="2"/>
      <c r="P16" s="7">
        <f t="shared" si="2"/>
        <v>0</v>
      </c>
      <c r="Q16" s="7">
        <f t="shared" si="3"/>
        <v>0</v>
      </c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>$P$56/$D$56*D17</f>
        <v>0</v>
      </c>
      <c r="D17" s="6">
        <f>TONT20000NOV2017!C17+TONT20000NOV2017!D17+TONT20000DEC2017!J17</f>
        <v>50260</v>
      </c>
      <c r="E17" s="6"/>
      <c r="F17" s="7">
        <f t="shared" si="0"/>
        <v>13000</v>
      </c>
      <c r="G17" s="7">
        <f t="shared" si="1"/>
        <v>0</v>
      </c>
      <c r="H17" s="43" t="s">
        <v>218</v>
      </c>
      <c r="I17" s="7">
        <f t="shared" si="4"/>
        <v>13000</v>
      </c>
      <c r="J17" s="7"/>
      <c r="K17" s="7"/>
      <c r="L17" s="7"/>
      <c r="M17" s="7"/>
      <c r="N17" s="7"/>
      <c r="O17" s="2"/>
      <c r="P17" s="7">
        <f t="shared" si="2"/>
        <v>0</v>
      </c>
      <c r="Q17" s="7">
        <f t="shared" si="3"/>
        <v>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>$P$56/$D$56*D18</f>
        <v>0</v>
      </c>
      <c r="D18" s="6">
        <f>TONT20000NOV2017!C18+TONT20000NOV2017!D18+TONT20000DEC2017!J18</f>
        <v>538685</v>
      </c>
      <c r="E18" s="6"/>
      <c r="F18" s="7">
        <f t="shared" si="0"/>
        <v>13000</v>
      </c>
      <c r="G18" s="7">
        <f t="shared" si="1"/>
        <v>0</v>
      </c>
      <c r="H18" s="43" t="s">
        <v>218</v>
      </c>
      <c r="I18" s="7">
        <f t="shared" si="4"/>
        <v>13000</v>
      </c>
      <c r="J18" s="7"/>
      <c r="K18" s="7"/>
      <c r="L18" s="7"/>
      <c r="M18" s="7"/>
      <c r="N18" s="7"/>
      <c r="O18" s="2"/>
      <c r="P18" s="7">
        <f t="shared" si="2"/>
        <v>0</v>
      </c>
      <c r="Q18" s="7">
        <f t="shared" si="3"/>
        <v>0</v>
      </c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>$P$56/$D$56*D19</f>
        <v>0</v>
      </c>
      <c r="D19" s="6">
        <f>TONT20000NOV2017!C19+TONT20000NOV2017!D19+TONT20000DEC2017!J19</f>
        <v>6177</v>
      </c>
      <c r="E19" s="6"/>
      <c r="F19" s="7">
        <f t="shared" si="0"/>
        <v>13000</v>
      </c>
      <c r="G19" s="7">
        <f t="shared" si="1"/>
        <v>0</v>
      </c>
      <c r="H19" s="43" t="s">
        <v>218</v>
      </c>
      <c r="I19" s="7">
        <f t="shared" si="4"/>
        <v>13000</v>
      </c>
      <c r="J19" s="7"/>
      <c r="K19" s="7"/>
      <c r="L19" s="7"/>
      <c r="M19" s="7"/>
      <c r="N19" s="7"/>
      <c r="O19" s="2"/>
      <c r="P19" s="7">
        <f t="shared" si="2"/>
        <v>0</v>
      </c>
      <c r="Q19" s="7">
        <f t="shared" si="3"/>
        <v>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>$P$56/$D$56*D20</f>
        <v>0</v>
      </c>
      <c r="D20" s="6">
        <f>TONT20000NOV2017!C20+TONT20000NOV2017!D20+TONT20000DEC2017!J20</f>
        <v>2137425</v>
      </c>
      <c r="E20" s="6"/>
      <c r="F20" s="7">
        <f t="shared" si="0"/>
        <v>13000</v>
      </c>
      <c r="G20" s="7">
        <f t="shared" si="1"/>
        <v>0</v>
      </c>
      <c r="H20" s="43" t="s">
        <v>218</v>
      </c>
      <c r="I20" s="7">
        <f t="shared" si="4"/>
        <v>13000</v>
      </c>
      <c r="J20" s="7"/>
      <c r="K20" s="7"/>
      <c r="L20" s="7"/>
      <c r="M20" s="7"/>
      <c r="N20" s="7"/>
      <c r="O20" s="2"/>
      <c r="P20" s="7">
        <f t="shared" si="2"/>
        <v>0</v>
      </c>
      <c r="Q20" s="7">
        <f t="shared" si="3"/>
        <v>0</v>
      </c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>$P$56/$D$56*D21</f>
        <v>0</v>
      </c>
      <c r="D21" s="6">
        <f>TONT20000NOV2017!C21+TONT20000NOV2017!D21+TONT20000DEC2017!J21</f>
        <v>428357</v>
      </c>
      <c r="E21" s="6"/>
      <c r="F21" s="7">
        <f t="shared" si="0"/>
        <v>13000</v>
      </c>
      <c r="G21" s="7">
        <f t="shared" si="1"/>
        <v>0</v>
      </c>
      <c r="H21" s="43" t="s">
        <v>218</v>
      </c>
      <c r="I21" s="7">
        <f t="shared" si="4"/>
        <v>13000</v>
      </c>
      <c r="J21" s="7"/>
      <c r="K21" s="7"/>
      <c r="L21" s="7"/>
      <c r="M21" s="7"/>
      <c r="N21" s="7"/>
      <c r="O21" s="2"/>
      <c r="P21" s="7">
        <f t="shared" si="2"/>
        <v>0</v>
      </c>
      <c r="Q21" s="7">
        <f t="shared" si="3"/>
        <v>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>$P$56/$D$56*D22</f>
        <v>0</v>
      </c>
      <c r="D22" s="6">
        <f>TONT20000NOV2017!C22+TONT20000NOV2017!D22+TONT20000DEC2017!J22</f>
        <v>429048</v>
      </c>
      <c r="E22" s="6"/>
      <c r="F22" s="7">
        <f t="shared" si="0"/>
        <v>13000</v>
      </c>
      <c r="G22" s="7">
        <f t="shared" si="1"/>
        <v>0</v>
      </c>
      <c r="H22" s="43" t="s">
        <v>218</v>
      </c>
      <c r="I22" s="7">
        <f t="shared" si="4"/>
        <v>13000</v>
      </c>
      <c r="J22" s="7"/>
      <c r="K22" s="7"/>
      <c r="L22" s="7"/>
      <c r="M22" s="7"/>
      <c r="N22" s="7"/>
      <c r="O22" s="2"/>
      <c r="P22" s="7">
        <f t="shared" si="2"/>
        <v>0</v>
      </c>
      <c r="Q22" s="7">
        <f t="shared" si="3"/>
        <v>0</v>
      </c>
      <c r="R22" s="2"/>
      <c r="S22" s="2"/>
      <c r="T22" s="7"/>
      <c r="V22" s="1"/>
    </row>
    <row r="23" spans="1:22" x14ac:dyDescent="0.25">
      <c r="A23" s="1" t="s">
        <v>28</v>
      </c>
      <c r="B23" s="1" t="str">
        <f>VLOOKUP(A23,LISTADHERENT!A$5:H$51,2)</f>
        <v>KOUAMOU VICTOR PEGUY</v>
      </c>
      <c r="C23" s="6">
        <f>$P$56/$D$56*D23</f>
        <v>0</v>
      </c>
      <c r="D23" s="6">
        <f>TONT20000NOV2017!C23+TONT20000NOV2017!D23+TONT20000DEC2017!J23</f>
        <v>428686</v>
      </c>
      <c r="E23" s="6"/>
      <c r="F23" s="7">
        <f t="shared" si="0"/>
        <v>13000</v>
      </c>
      <c r="G23" s="7">
        <f t="shared" si="1"/>
        <v>0</v>
      </c>
      <c r="H23" s="43" t="s">
        <v>218</v>
      </c>
      <c r="I23" s="7">
        <f t="shared" si="4"/>
        <v>13000</v>
      </c>
      <c r="J23" s="7"/>
      <c r="K23" s="7"/>
      <c r="L23" s="7"/>
      <c r="M23" s="7"/>
      <c r="N23" s="7"/>
      <c r="O23" s="2"/>
      <c r="P23" s="7">
        <f t="shared" si="2"/>
        <v>0</v>
      </c>
      <c r="Q23" s="7">
        <f t="shared" si="3"/>
        <v>0</v>
      </c>
      <c r="R23" s="2"/>
      <c r="S23" s="2"/>
      <c r="T23" s="7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>$P$56/$D$56*D24</f>
        <v>0</v>
      </c>
      <c r="D24" s="6">
        <f>TONT20000NOV2017!C24+TONT20000NOV2017!D24+TONT20000DEC2017!J24</f>
        <v>429818</v>
      </c>
      <c r="E24" s="6"/>
      <c r="F24" s="7">
        <f t="shared" si="0"/>
        <v>13000</v>
      </c>
      <c r="G24" s="7">
        <f t="shared" si="1"/>
        <v>0</v>
      </c>
      <c r="H24" s="43" t="s">
        <v>218</v>
      </c>
      <c r="I24" s="7">
        <f t="shared" si="4"/>
        <v>13000</v>
      </c>
      <c r="J24" s="7"/>
      <c r="K24" s="7"/>
      <c r="L24" s="7"/>
      <c r="M24" s="7"/>
      <c r="N24" s="7"/>
      <c r="O24" s="7"/>
      <c r="P24" s="7">
        <f t="shared" si="2"/>
        <v>0</v>
      </c>
      <c r="Q24" s="7">
        <f t="shared" si="3"/>
        <v>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>$P$56/$D$56*D25</f>
        <v>0</v>
      </c>
      <c r="D25" s="6">
        <f>TONT20000NOV2017!C25+TONT20000NOV2017!D25+TONT20000DEC2017!J25</f>
        <v>428652</v>
      </c>
      <c r="E25" s="6"/>
      <c r="F25" s="7">
        <f t="shared" si="0"/>
        <v>13000</v>
      </c>
      <c r="G25" s="7">
        <f t="shared" si="1"/>
        <v>0</v>
      </c>
      <c r="H25" s="43" t="s">
        <v>218</v>
      </c>
      <c r="I25" s="7">
        <f t="shared" si="4"/>
        <v>13000</v>
      </c>
      <c r="J25" s="7"/>
      <c r="K25" s="7"/>
      <c r="L25" s="7"/>
      <c r="M25" s="7"/>
      <c r="N25" s="7"/>
      <c r="O25" s="2"/>
      <c r="P25" s="7">
        <f t="shared" si="2"/>
        <v>0</v>
      </c>
      <c r="Q25" s="7">
        <f t="shared" si="3"/>
        <v>0</v>
      </c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>$P$56/$D$56*D26</f>
        <v>0</v>
      </c>
      <c r="D26" s="6">
        <f>TONT20000NOV2017!C26+TONT20000NOV2017!D26+TONT20000DEC2017!J26</f>
        <v>428741</v>
      </c>
      <c r="E26" s="6"/>
      <c r="F26" s="7">
        <f t="shared" si="0"/>
        <v>13000</v>
      </c>
      <c r="G26" s="7">
        <f t="shared" si="1"/>
        <v>0</v>
      </c>
      <c r="H26" s="43" t="s">
        <v>218</v>
      </c>
      <c r="I26" s="7">
        <f t="shared" si="4"/>
        <v>13000</v>
      </c>
      <c r="J26" s="7"/>
      <c r="K26" s="7"/>
      <c r="L26" s="7"/>
      <c r="M26" s="7"/>
      <c r="N26" s="7"/>
      <c r="O26" s="2"/>
      <c r="P26" s="7">
        <f t="shared" si="2"/>
        <v>0</v>
      </c>
      <c r="Q26" s="7">
        <f t="shared" si="3"/>
        <v>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>$P$56/$D$56*D27</f>
        <v>0</v>
      </c>
      <c r="D27" s="6">
        <f>TONT20000NOV2017!C27+TONT20000NOV2017!D27+TONT20000DEC2017!J27</f>
        <v>438818</v>
      </c>
      <c r="E27" s="6"/>
      <c r="F27" s="7">
        <f t="shared" si="0"/>
        <v>13000</v>
      </c>
      <c r="G27" s="7">
        <f t="shared" si="1"/>
        <v>0</v>
      </c>
      <c r="H27" s="43" t="s">
        <v>218</v>
      </c>
      <c r="I27" s="7">
        <f t="shared" si="4"/>
        <v>13000</v>
      </c>
      <c r="J27" s="7"/>
      <c r="K27" s="7"/>
      <c r="L27" s="7"/>
      <c r="M27" s="7"/>
      <c r="N27" s="7"/>
      <c r="O27" s="7"/>
      <c r="P27" s="7">
        <f t="shared" si="2"/>
        <v>0</v>
      </c>
      <c r="Q27" s="7">
        <f t="shared" si="3"/>
        <v>0</v>
      </c>
      <c r="R27" s="2"/>
      <c r="S27" s="2"/>
      <c r="T27" s="7"/>
      <c r="V27" s="1"/>
    </row>
    <row r="28" spans="1:22" x14ac:dyDescent="0.25">
      <c r="A28" s="1"/>
      <c r="B28" s="1"/>
      <c r="C28" s="6"/>
      <c r="D28" s="6">
        <f>TONT20000NOV2017!C28+TONT20000NOV2017!D28+TONT20000DEC2017!J28</f>
        <v>0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2"/>
        <v>0</v>
      </c>
      <c r="Q28" s="7">
        <f t="shared" si="3"/>
        <v>0</v>
      </c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>$P$56/$D$56*D29</f>
        <v>0</v>
      </c>
      <c r="D29" s="6">
        <f>TONT20000NOV2017!C29+TONT20000NOV2017!D29+TONT20000DEC2017!J29</f>
        <v>438250</v>
      </c>
      <c r="E29" s="6"/>
      <c r="F29" s="7">
        <f t="shared" si="0"/>
        <v>13000</v>
      </c>
      <c r="G29" s="7">
        <f t="shared" si="1"/>
        <v>0</v>
      </c>
      <c r="H29" s="43" t="s">
        <v>218</v>
      </c>
      <c r="I29" s="7">
        <f t="shared" si="4"/>
        <v>13000</v>
      </c>
      <c r="J29" s="7"/>
      <c r="K29" s="7"/>
      <c r="L29" s="7"/>
      <c r="M29" s="7"/>
      <c r="N29" s="7"/>
      <c r="O29" s="2"/>
      <c r="P29" s="7">
        <f t="shared" si="2"/>
        <v>0</v>
      </c>
      <c r="Q29" s="7">
        <f t="shared" si="3"/>
        <v>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>$P$56/$D$56*D30</f>
        <v>0</v>
      </c>
      <c r="D30" s="6">
        <f>TONT20000NOV2017!C30+TONT20000NOV2017!D30+TONT20000DEC2017!J30</f>
        <v>3106</v>
      </c>
      <c r="E30" s="6"/>
      <c r="F30" s="7">
        <f t="shared" si="0"/>
        <v>0</v>
      </c>
      <c r="G30" s="7">
        <f t="shared" si="1"/>
        <v>0</v>
      </c>
      <c r="H30" s="43" t="s">
        <v>217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2"/>
        <v>0</v>
      </c>
      <c r="Q30" s="7">
        <f t="shared" si="3"/>
        <v>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>$P$56/$D$56*D31</f>
        <v>0</v>
      </c>
      <c r="D31" s="6">
        <f>TONT20000NOV2017!C31+TONT20000NOV2017!D31+TONT20000DEC2017!J31</f>
        <v>991188</v>
      </c>
      <c r="E31" s="6"/>
      <c r="F31" s="7">
        <f t="shared" si="0"/>
        <v>13000</v>
      </c>
      <c r="G31" s="7">
        <f t="shared" si="1"/>
        <v>0</v>
      </c>
      <c r="H31" s="43" t="s">
        <v>218</v>
      </c>
      <c r="I31" s="7">
        <f t="shared" si="4"/>
        <v>13000</v>
      </c>
      <c r="J31" s="7"/>
      <c r="K31" s="7"/>
      <c r="L31" s="7"/>
      <c r="M31" s="7"/>
      <c r="N31" s="7"/>
      <c r="O31" s="2"/>
      <c r="P31" s="7">
        <f t="shared" si="2"/>
        <v>0</v>
      </c>
      <c r="Q31" s="7">
        <f t="shared" si="3"/>
        <v>0</v>
      </c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>$P$56/$D$56*D32</f>
        <v>0</v>
      </c>
      <c r="D32" s="6">
        <f>TONT20000NOV2017!C32+TONT20000NOV2017!D32+TONT20000DEC2017!J32</f>
        <v>433773</v>
      </c>
      <c r="E32" s="6"/>
      <c r="F32" s="7">
        <f t="shared" si="0"/>
        <v>13000</v>
      </c>
      <c r="G32" s="7">
        <f t="shared" si="1"/>
        <v>0</v>
      </c>
      <c r="H32" s="43" t="s">
        <v>218</v>
      </c>
      <c r="I32" s="7">
        <f t="shared" si="4"/>
        <v>13000</v>
      </c>
      <c r="J32" s="7"/>
      <c r="K32" s="7"/>
      <c r="L32" s="7"/>
      <c r="M32" s="7"/>
      <c r="N32" s="7"/>
      <c r="O32" s="2"/>
      <c r="P32" s="7">
        <f t="shared" si="2"/>
        <v>0</v>
      </c>
      <c r="Q32" s="7">
        <f t="shared" si="3"/>
        <v>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$P$56/$D$56*D33</f>
        <v>0</v>
      </c>
      <c r="D33" s="6">
        <f>TONT20000NOV2017!C33+TONT20000NOV2017!D33+TONT20000DEC2017!J33</f>
        <v>131008</v>
      </c>
      <c r="E33" s="6"/>
      <c r="F33" s="7">
        <f t="shared" si="0"/>
        <v>13000</v>
      </c>
      <c r="G33" s="7">
        <f t="shared" si="1"/>
        <v>0</v>
      </c>
      <c r="H33" s="43" t="s">
        <v>218</v>
      </c>
      <c r="I33" s="7">
        <f t="shared" si="4"/>
        <v>13000</v>
      </c>
      <c r="J33" s="7"/>
      <c r="K33" s="7"/>
      <c r="L33" s="7"/>
      <c r="M33" s="7"/>
      <c r="N33" s="7"/>
      <c r="O33" s="29"/>
      <c r="P33" s="7">
        <f t="shared" si="2"/>
        <v>0</v>
      </c>
      <c r="Q33" s="7">
        <f t="shared" si="3"/>
        <v>0</v>
      </c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$P$56/$D$56*D34</f>
        <v>0</v>
      </c>
      <c r="D34" s="6">
        <f>TONT20000NOV2017!C34+TONT20000NOV2017!D34+TONT20000DEC2017!J34</f>
        <v>538772</v>
      </c>
      <c r="E34" s="6"/>
      <c r="F34" s="7">
        <f t="shared" si="0"/>
        <v>13000</v>
      </c>
      <c r="G34" s="7">
        <f t="shared" si="1"/>
        <v>0</v>
      </c>
      <c r="H34" s="43" t="s">
        <v>218</v>
      </c>
      <c r="I34" s="7">
        <f t="shared" si="4"/>
        <v>13000</v>
      </c>
      <c r="J34" s="7"/>
      <c r="K34" s="7"/>
      <c r="L34" s="7"/>
      <c r="M34" s="7"/>
      <c r="N34" s="7"/>
      <c r="O34" s="2"/>
      <c r="P34" s="7">
        <f t="shared" si="2"/>
        <v>0</v>
      </c>
      <c r="Q34" s="7">
        <f t="shared" si="3"/>
        <v>0</v>
      </c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TONT20000NOV2017!C35+TONT20000NOV2017!D35+TONT20000DEC2017!J35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>
        <f t="shared" si="2"/>
        <v>0</v>
      </c>
      <c r="Q35" s="7">
        <f t="shared" si="3"/>
        <v>0</v>
      </c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TONT20000NOV2017!C36+TONT20000NOV2017!D36+TONT20000DEC2017!J36</f>
        <v>-12105</v>
      </c>
      <c r="E36" s="6"/>
      <c r="F36" s="7">
        <f t="shared" si="0"/>
        <v>13000</v>
      </c>
      <c r="G36" s="7">
        <f t="shared" si="1"/>
        <v>0</v>
      </c>
      <c r="H36" s="43" t="s">
        <v>218</v>
      </c>
      <c r="I36" s="7">
        <f t="shared" si="4"/>
        <v>13000</v>
      </c>
      <c r="J36" s="7"/>
      <c r="K36" s="7"/>
      <c r="L36" s="7"/>
      <c r="M36" s="7"/>
      <c r="N36" s="7"/>
      <c r="O36" s="2"/>
      <c r="P36" s="7">
        <f t="shared" si="2"/>
        <v>0</v>
      </c>
      <c r="Q36" s="7">
        <f t="shared" si="3"/>
        <v>0</v>
      </c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TONT20000NOV2017!C37+TONT20000NOV2017!D37+TONT20000DEC2017!J37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>
        <f t="shared" si="2"/>
        <v>0</v>
      </c>
      <c r="Q37" s="7">
        <f t="shared" si="3"/>
        <v>0</v>
      </c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$P$56/$D$56*D38</f>
        <v>0</v>
      </c>
      <c r="D38" s="6">
        <f>TONT20000NOV2017!C38+TONT20000NOV2017!D38+TONT20000DEC2017!J38</f>
        <v>428474</v>
      </c>
      <c r="E38" s="6"/>
      <c r="F38" s="7">
        <f t="shared" si="0"/>
        <v>13000</v>
      </c>
      <c r="G38" s="7">
        <f t="shared" si="1"/>
        <v>0</v>
      </c>
      <c r="H38" s="43" t="s">
        <v>218</v>
      </c>
      <c r="I38" s="7">
        <f t="shared" si="4"/>
        <v>13000</v>
      </c>
      <c r="J38" s="7"/>
      <c r="K38" s="7"/>
      <c r="L38" s="7"/>
      <c r="M38" s="7"/>
      <c r="N38" s="7"/>
      <c r="O38" s="2"/>
      <c r="P38" s="7">
        <f t="shared" si="2"/>
        <v>0</v>
      </c>
      <c r="Q38" s="7">
        <f t="shared" si="3"/>
        <v>0</v>
      </c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$P$56/$D$56*D39</f>
        <v>0</v>
      </c>
      <c r="D39" s="6">
        <f>TONT20000NOV2017!C39+TONT20000NOV2017!D39+TONT20000DEC2017!J39</f>
        <v>432756</v>
      </c>
      <c r="E39" s="6"/>
      <c r="F39" s="7">
        <f t="shared" si="0"/>
        <v>13000</v>
      </c>
      <c r="G39" s="7">
        <f t="shared" si="1"/>
        <v>0</v>
      </c>
      <c r="H39" s="43" t="s">
        <v>218</v>
      </c>
      <c r="I39" s="7">
        <f t="shared" si="4"/>
        <v>13000</v>
      </c>
      <c r="J39" s="7"/>
      <c r="K39" s="7"/>
      <c r="L39" s="7"/>
      <c r="M39" s="7"/>
      <c r="N39" s="7"/>
      <c r="O39" s="2"/>
      <c r="P39" s="7">
        <f t="shared" si="2"/>
        <v>0</v>
      </c>
      <c r="Q39" s="7">
        <f t="shared" si="3"/>
        <v>0</v>
      </c>
      <c r="R39" s="2"/>
      <c r="S39" s="2"/>
      <c r="T39" s="7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$P$56/$D$56*D40</f>
        <v>0</v>
      </c>
      <c r="D40" s="6">
        <f>TONT20000NOV2017!C40+TONT20000NOV2017!D40+TONT20000DEC2017!J40</f>
        <v>396488</v>
      </c>
      <c r="E40" s="6"/>
      <c r="F40" s="7">
        <f t="shared" si="0"/>
        <v>13000</v>
      </c>
      <c r="G40" s="7">
        <f t="shared" si="1"/>
        <v>0</v>
      </c>
      <c r="H40" s="43" t="s">
        <v>218</v>
      </c>
      <c r="I40" s="7">
        <f t="shared" si="4"/>
        <v>13000</v>
      </c>
      <c r="J40" s="7"/>
      <c r="K40" s="7"/>
      <c r="L40" s="7"/>
      <c r="M40" s="7"/>
      <c r="N40" s="7"/>
      <c r="O40" s="2"/>
      <c r="P40" s="7">
        <f t="shared" si="2"/>
        <v>0</v>
      </c>
      <c r="Q40" s="7">
        <f t="shared" si="3"/>
        <v>0</v>
      </c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$P$56/$D$56*D41</f>
        <v>0</v>
      </c>
      <c r="D41" s="6">
        <f>TONT20000NOV2017!C41+TONT20000NOV2017!D41+TONT20000DEC2017!J41</f>
        <v>430914</v>
      </c>
      <c r="E41" s="6"/>
      <c r="F41" s="7">
        <f t="shared" si="0"/>
        <v>13000</v>
      </c>
      <c r="G41" s="7">
        <f t="shared" si="1"/>
        <v>0</v>
      </c>
      <c r="H41" s="43" t="s">
        <v>218</v>
      </c>
      <c r="I41" s="7">
        <f t="shared" si="4"/>
        <v>13000</v>
      </c>
      <c r="J41" s="7"/>
      <c r="K41" s="7"/>
      <c r="L41" s="7"/>
      <c r="M41" s="7"/>
      <c r="N41" s="7"/>
      <c r="O41" s="2"/>
      <c r="P41" s="7">
        <f t="shared" si="2"/>
        <v>0</v>
      </c>
      <c r="Q41" s="7">
        <f t="shared" si="3"/>
        <v>0</v>
      </c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$P$56/$D$56*D42</f>
        <v>0</v>
      </c>
      <c r="D42" s="6">
        <f>TONT20000NOV2017!C42+TONT20000NOV2017!D42+TONT20000DEC2017!J42</f>
        <v>430528</v>
      </c>
      <c r="E42" s="6"/>
      <c r="F42" s="7">
        <f t="shared" si="0"/>
        <v>13000</v>
      </c>
      <c r="G42" s="7">
        <f t="shared" si="1"/>
        <v>0</v>
      </c>
      <c r="H42" s="43" t="s">
        <v>218</v>
      </c>
      <c r="I42" s="7">
        <f t="shared" si="4"/>
        <v>13000</v>
      </c>
      <c r="J42" s="7"/>
      <c r="K42" s="7"/>
      <c r="L42" s="7"/>
      <c r="M42" s="7"/>
      <c r="N42" s="7"/>
      <c r="O42" s="2"/>
      <c r="P42" s="7">
        <f t="shared" si="2"/>
        <v>0</v>
      </c>
      <c r="Q42" s="7">
        <f t="shared" si="3"/>
        <v>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$P$56/$D$56*D43</f>
        <v>0</v>
      </c>
      <c r="D43" s="6">
        <f>TONT20000NOV2017!C43+TONT20000NOV2017!D43+TONT20000DEC2017!J43</f>
        <v>546975</v>
      </c>
      <c r="E43" s="6"/>
      <c r="F43" s="7">
        <f t="shared" si="0"/>
        <v>13000</v>
      </c>
      <c r="G43" s="7">
        <f t="shared" si="1"/>
        <v>0</v>
      </c>
      <c r="H43" s="43" t="s">
        <v>218</v>
      </c>
      <c r="I43" s="7">
        <f t="shared" si="4"/>
        <v>13000</v>
      </c>
      <c r="J43" s="7"/>
      <c r="K43" s="7"/>
      <c r="L43" s="7"/>
      <c r="M43" s="7"/>
      <c r="N43" s="7"/>
      <c r="O43" s="2"/>
      <c r="P43" s="7">
        <f t="shared" si="2"/>
        <v>0</v>
      </c>
      <c r="Q43" s="7">
        <f t="shared" si="3"/>
        <v>0</v>
      </c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$P$56/$D$56*D44</f>
        <v>0</v>
      </c>
      <c r="D44" s="6">
        <f>TONT20000NOV2017!C44+TONT20000NOV2017!D44+TONT20000DEC2017!J44</f>
        <v>397621</v>
      </c>
      <c r="E44" s="6"/>
      <c r="F44" s="7">
        <f t="shared" si="0"/>
        <v>13000</v>
      </c>
      <c r="G44" s="7">
        <f t="shared" si="1"/>
        <v>0</v>
      </c>
      <c r="H44" s="43" t="s">
        <v>218</v>
      </c>
      <c r="I44" s="7">
        <f t="shared" si="4"/>
        <v>13000</v>
      </c>
      <c r="J44" s="7"/>
      <c r="K44" s="7"/>
      <c r="L44" s="7"/>
      <c r="M44" s="7"/>
      <c r="N44" s="7"/>
      <c r="O44" s="2"/>
      <c r="P44" s="7">
        <f t="shared" si="2"/>
        <v>0</v>
      </c>
      <c r="Q44" s="7">
        <f t="shared" si="3"/>
        <v>0</v>
      </c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$P$56/$D$56*D45</f>
        <v>0</v>
      </c>
      <c r="D45" s="6">
        <f>TONT20000NOV2017!C45+TONT20000NOV2017!D45+TONT20000DEC2017!J45</f>
        <v>3106</v>
      </c>
      <c r="E45" s="6"/>
      <c r="F45" s="7">
        <f t="shared" si="0"/>
        <v>13000</v>
      </c>
      <c r="G45" s="7">
        <f t="shared" si="1"/>
        <v>0</v>
      </c>
      <c r="H45" s="43" t="s">
        <v>218</v>
      </c>
      <c r="I45" s="7">
        <f t="shared" si="4"/>
        <v>13000</v>
      </c>
      <c r="J45" s="7"/>
      <c r="K45" s="7"/>
      <c r="L45" s="7"/>
      <c r="M45" s="7"/>
      <c r="N45" s="7"/>
      <c r="O45" s="2"/>
      <c r="P45" s="7">
        <f t="shared" si="2"/>
        <v>0</v>
      </c>
      <c r="Q45" s="7">
        <f t="shared" si="3"/>
        <v>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$P$56/$D$56*D46</f>
        <v>0</v>
      </c>
      <c r="D46" s="6">
        <f>TONT20000NOV2017!C46+TONT20000NOV2017!D46+TONT20000DEC2017!J46</f>
        <v>428654</v>
      </c>
      <c r="E46" s="6"/>
      <c r="F46" s="7">
        <f t="shared" si="0"/>
        <v>13000</v>
      </c>
      <c r="G46" s="7">
        <f t="shared" si="1"/>
        <v>0</v>
      </c>
      <c r="H46" s="43" t="s">
        <v>218</v>
      </c>
      <c r="I46" s="7">
        <f t="shared" si="4"/>
        <v>13000</v>
      </c>
      <c r="J46" s="7"/>
      <c r="K46" s="7"/>
      <c r="L46" s="7"/>
      <c r="M46" s="7"/>
      <c r="N46" s="7"/>
      <c r="O46" s="7"/>
      <c r="P46" s="7">
        <f t="shared" si="2"/>
        <v>0</v>
      </c>
      <c r="Q46" s="7">
        <f t="shared" si="3"/>
        <v>0</v>
      </c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$P$56/$D$56*D47</f>
        <v>0</v>
      </c>
      <c r="D47" s="6">
        <f>TONT20000NOV2017!C47+TONT20000NOV2017!D47+TONT20000DEC2017!J47</f>
        <v>427551</v>
      </c>
      <c r="E47" s="6"/>
      <c r="F47" s="7">
        <f t="shared" si="0"/>
        <v>13000</v>
      </c>
      <c r="G47" s="7">
        <f t="shared" si="1"/>
        <v>0</v>
      </c>
      <c r="H47" s="43" t="s">
        <v>218</v>
      </c>
      <c r="I47" s="7">
        <f t="shared" si="4"/>
        <v>13000</v>
      </c>
      <c r="J47" s="7"/>
      <c r="K47" s="7"/>
      <c r="L47" s="7"/>
      <c r="M47" s="7"/>
      <c r="N47" s="7"/>
      <c r="O47" s="2"/>
      <c r="P47" s="7">
        <f t="shared" si="2"/>
        <v>0</v>
      </c>
      <c r="Q47" s="7">
        <f t="shared" si="3"/>
        <v>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$P$56/$D$56*D48</f>
        <v>0</v>
      </c>
      <c r="D48" s="6">
        <f>TONT20000NOV2017!C48+TONT20000NOV2017!D48+TONT20000DEC2017!J48</f>
        <v>5563</v>
      </c>
      <c r="E48" s="6"/>
      <c r="F48" s="7">
        <f t="shared" si="0"/>
        <v>13000</v>
      </c>
      <c r="G48" s="7">
        <f t="shared" si="1"/>
        <v>0</v>
      </c>
      <c r="H48" s="43" t="s">
        <v>218</v>
      </c>
      <c r="I48" s="7">
        <f t="shared" si="4"/>
        <v>13000</v>
      </c>
      <c r="J48" s="7"/>
      <c r="K48" s="7"/>
      <c r="L48" s="7"/>
      <c r="M48" s="7"/>
      <c r="N48" s="7"/>
      <c r="O48" s="2"/>
      <c r="P48" s="7">
        <f t="shared" si="2"/>
        <v>0</v>
      </c>
      <c r="Q48" s="7">
        <f t="shared" si="3"/>
        <v>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$P$56/$D$56*D49</f>
        <v>0</v>
      </c>
      <c r="D49" s="6">
        <f>TONT20000NOV2017!C49+TONT20000NOV2017!D49+TONT20000DEC2017!J49</f>
        <v>428593</v>
      </c>
      <c r="E49" s="6"/>
      <c r="F49" s="7">
        <f t="shared" si="0"/>
        <v>13000</v>
      </c>
      <c r="G49" s="7">
        <f t="shared" si="1"/>
        <v>0</v>
      </c>
      <c r="H49" s="43" t="s">
        <v>218</v>
      </c>
      <c r="I49" s="7">
        <f t="shared" si="4"/>
        <v>13000</v>
      </c>
      <c r="J49" s="7"/>
      <c r="K49" s="7"/>
      <c r="L49" s="7"/>
      <c r="M49" s="7"/>
      <c r="N49" s="7"/>
      <c r="O49" s="2"/>
      <c r="P49" s="7">
        <f t="shared" si="2"/>
        <v>0</v>
      </c>
      <c r="Q49" s="7">
        <f t="shared" si="3"/>
        <v>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$P$56/$D$56*D50</f>
        <v>0</v>
      </c>
      <c r="D50" s="6">
        <f>TONT20000NOV2017!C50+TONT20000NOV2017!D50+TONT20000DEC2017!J50</f>
        <v>428503</v>
      </c>
      <c r="E50" s="6"/>
      <c r="F50" s="7">
        <f>IF(H50="ECHEC",0,13000)</f>
        <v>13000</v>
      </c>
      <c r="G50" s="7">
        <f t="shared" si="1"/>
        <v>0</v>
      </c>
      <c r="H50" s="43" t="s">
        <v>218</v>
      </c>
      <c r="I50" s="7">
        <f t="shared" si="4"/>
        <v>13000</v>
      </c>
      <c r="J50" s="7"/>
      <c r="K50" s="7"/>
      <c r="L50" s="7"/>
      <c r="M50" s="7"/>
      <c r="N50" s="7"/>
      <c r="O50" s="2"/>
      <c r="P50" s="7">
        <f t="shared" si="2"/>
        <v>0</v>
      </c>
      <c r="Q50" s="7">
        <f t="shared" si="3"/>
        <v>0</v>
      </c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>$P$56/$D$56*D51</f>
        <v>0</v>
      </c>
      <c r="D51" s="6">
        <f>TONT20000NOV2017!C51+TONT20000NOV2017!D51+TONT20000DEC2017!J51</f>
        <v>819982</v>
      </c>
      <c r="E51" s="6"/>
      <c r="F51" s="7">
        <f t="shared" si="0"/>
        <v>13000</v>
      </c>
      <c r="G51" s="7">
        <f t="shared" si="1"/>
        <v>0</v>
      </c>
      <c r="H51" s="43" t="s">
        <v>218</v>
      </c>
      <c r="I51" s="7">
        <f t="shared" si="4"/>
        <v>13000</v>
      </c>
      <c r="J51" s="7"/>
      <c r="K51" s="7"/>
      <c r="L51" s="7"/>
      <c r="M51" s="7"/>
      <c r="N51" s="7"/>
      <c r="O51" s="9"/>
      <c r="P51" s="7">
        <f t="shared" si="2"/>
        <v>0</v>
      </c>
      <c r="Q51" s="7">
        <f t="shared" si="3"/>
        <v>0</v>
      </c>
      <c r="R51" s="2"/>
      <c r="S51" s="2"/>
      <c r="T51" s="7"/>
      <c r="V51" s="1"/>
    </row>
    <row r="52" spans="1:22" x14ac:dyDescent="0.25">
      <c r="A52" s="1" t="s">
        <v>178</v>
      </c>
      <c r="B52" s="1" t="str">
        <f>VLOOKUP(A52,LISTADHERENT!A$5:H$51,2)</f>
        <v>YOUMBI EMMANUEL</v>
      </c>
      <c r="C52" s="6">
        <f>$P$56/$D$56*D52</f>
        <v>0</v>
      </c>
      <c r="D52" s="6">
        <f>TONT20000NOV2017!C52+TONT20000NOV2017!D52+TONT20000DEC2017!J52</f>
        <v>1509628</v>
      </c>
      <c r="E52" s="6"/>
      <c r="F52" s="7">
        <f t="shared" si="0"/>
        <v>13000</v>
      </c>
      <c r="G52" s="7">
        <f t="shared" si="1"/>
        <v>0</v>
      </c>
      <c r="H52" s="43" t="s">
        <v>218</v>
      </c>
      <c r="I52" s="7">
        <f t="shared" si="4"/>
        <v>13000</v>
      </c>
      <c r="J52" s="7"/>
      <c r="K52" s="7"/>
      <c r="L52" s="7"/>
      <c r="M52" s="7"/>
      <c r="O52" s="2"/>
      <c r="P52" s="7">
        <f t="shared" si="2"/>
        <v>0</v>
      </c>
      <c r="Q52" s="7">
        <f t="shared" si="3"/>
        <v>0</v>
      </c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20809204</v>
      </c>
      <c r="E56" s="9">
        <f>SUM(E5:E52)</f>
        <v>0</v>
      </c>
      <c r="F56" s="9">
        <f>SUM(F5:F52)</f>
        <v>533000</v>
      </c>
      <c r="G56" s="9">
        <f>SUM(G5:G52)</f>
        <v>0</v>
      </c>
      <c r="H56" s="9"/>
      <c r="I56" s="9">
        <f>SUM(I5:I52)</f>
        <v>533000</v>
      </c>
      <c r="J56" s="9">
        <f>SUM(J5:J52)</f>
        <v>0</v>
      </c>
      <c r="K56" s="9">
        <f>SUM(K5:K52)</f>
        <v>0</v>
      </c>
      <c r="L56" s="9">
        <f>SUM(L5:L52)</f>
        <v>0</v>
      </c>
      <c r="M56" s="9">
        <f>SUM(M5:M52)</f>
        <v>0</v>
      </c>
      <c r="N56" s="9">
        <f>SUM(N5:N52)</f>
        <v>0</v>
      </c>
      <c r="O56" s="9">
        <f>SUM(O5:O52)</f>
        <v>0</v>
      </c>
      <c r="P56" s="9">
        <f>SUM(P5:P52)</f>
        <v>0</v>
      </c>
      <c r="Q56" s="9">
        <f>SUM(Q5:Q52)</f>
        <v>0</v>
      </c>
      <c r="R56" s="9">
        <f>SUM(R5:R52)</f>
        <v>0</v>
      </c>
      <c r="S56" s="9">
        <f>SUM(S5:S52)</f>
        <v>0</v>
      </c>
      <c r="T56" s="9">
        <f>SUM(T5:T52)</f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227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6" ht="18" x14ac:dyDescent="0.25">
      <c r="D65" s="9" t="s">
        <v>62</v>
      </c>
      <c r="E65" s="9">
        <f>+F56</f>
        <v>533000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SUM(E60:E66)</f>
        <v>545500</v>
      </c>
    </row>
    <row r="70" spans="4:6" ht="18" x14ac:dyDescent="0.25">
      <c r="D70" s="9" t="s">
        <v>228</v>
      </c>
    </row>
    <row r="71" spans="4:6" ht="18" x14ac:dyDescent="0.25">
      <c r="E71" s="9" t="s">
        <v>224</v>
      </c>
      <c r="F71" s="9">
        <v>587500</v>
      </c>
    </row>
    <row r="72" spans="4:6" ht="18" x14ac:dyDescent="0.25">
      <c r="E72" s="9" t="s">
        <v>218</v>
      </c>
      <c r="F72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218</v>
      </c>
    </row>
    <row r="2" spans="1:1" x14ac:dyDescent="0.25">
      <c r="A2" t="s">
        <v>224</v>
      </c>
    </row>
    <row r="3" spans="1:1" x14ac:dyDescent="0.25">
      <c r="A3" t="s">
        <v>217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workbookViewId="0">
      <pane xSplit="2" ySplit="4" topLeftCell="C5" activePane="bottomRight" state="frozen"/>
      <selection activeCell="D25" sqref="D25"/>
      <selection pane="topRight" activeCell="D25" sqref="D25"/>
      <selection pane="bottomLeft" activeCell="D25" sqref="D25"/>
      <selection pane="bottomRight" activeCell="D25" sqref="D2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.28515625" style="2" customWidth="1"/>
    <col min="4" max="7" width="17.28515625" customWidth="1"/>
    <col min="8" max="8" width="13.140625" customWidth="1"/>
    <col min="9" max="9" width="16.85546875" style="2" bestFit="1" customWidth="1"/>
    <col min="10" max="10" width="15" bestFit="1" customWidth="1"/>
    <col min="11" max="11" width="17.5703125" style="3" bestFit="1" customWidth="1"/>
    <col min="12" max="12" width="15.7109375" style="2" customWidth="1"/>
    <col min="13" max="13" width="15" style="2" bestFit="1" customWidth="1"/>
    <col min="14" max="14" width="18.140625" style="2" bestFit="1" customWidth="1"/>
    <col min="15" max="20" width="18.140625" customWidth="1"/>
    <col min="21" max="21" width="21.28515625" style="2" bestFit="1" customWidth="1"/>
    <col min="22" max="22" width="19" bestFit="1" customWidth="1"/>
  </cols>
  <sheetData>
    <row r="1" spans="1:22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</row>
    <row r="4" spans="1:22" ht="43.5" x14ac:dyDescent="0.25">
      <c r="A4" s="1" t="s">
        <v>6</v>
      </c>
      <c r="B4" s="1" t="s">
        <v>7</v>
      </c>
      <c r="C4" s="5" t="s">
        <v>187</v>
      </c>
      <c r="D4" s="5" t="s">
        <v>182</v>
      </c>
      <c r="E4" s="5" t="s">
        <v>185</v>
      </c>
      <c r="F4" s="5" t="s">
        <v>186</v>
      </c>
      <c r="G4" s="5" t="s">
        <v>188</v>
      </c>
      <c r="H4" s="5" t="s">
        <v>183</v>
      </c>
      <c r="I4" s="5" t="s">
        <v>65</v>
      </c>
      <c r="J4" s="5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62</v>
      </c>
      <c r="P4" s="5" t="s">
        <v>63</v>
      </c>
      <c r="Q4" s="5" t="s">
        <v>64</v>
      </c>
      <c r="R4" s="5" t="s">
        <v>8</v>
      </c>
      <c r="S4" s="5" t="s">
        <v>181</v>
      </c>
      <c r="T4" s="5" t="s">
        <v>180</v>
      </c>
      <c r="U4" s="6" t="s">
        <v>9</v>
      </c>
      <c r="V4" s="1" t="s">
        <v>10</v>
      </c>
    </row>
    <row r="5" spans="1:22" x14ac:dyDescent="0.25">
      <c r="A5" s="1" t="s">
        <v>184</v>
      </c>
      <c r="B5" s="1" t="str">
        <f>VLOOKUP(A5,LISTADHERENT!A$5:H$52,2,0)</f>
        <v>ASELBY</v>
      </c>
      <c r="C5" s="1">
        <f>VLOOKUP(A5,FONDSDECAISSE!A$5:C$52,3,0)</f>
        <v>0</v>
      </c>
      <c r="D5" s="1">
        <v>318145</v>
      </c>
      <c r="E5" s="1"/>
      <c r="F5" s="1"/>
      <c r="G5" s="1"/>
      <c r="H5" s="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2" x14ac:dyDescent="0.25">
      <c r="A6" s="1" t="s">
        <v>11</v>
      </c>
      <c r="B6" s="1" t="str">
        <f>VLOOKUP(A6,LISTADHERENT!A$5:H$52,2,0)</f>
        <v>BAKOP ACHILLE</v>
      </c>
      <c r="C6" s="1">
        <f>VLOOKUP(A6,FONDSDECAISSE!A$5:C$52,3,0)</f>
        <v>420000</v>
      </c>
      <c r="D6" s="6">
        <v>33536</v>
      </c>
      <c r="E6" s="6"/>
      <c r="F6" s="6"/>
      <c r="G6" s="6"/>
      <c r="H6" s="6"/>
      <c r="I6" s="7" t="e">
        <f>J6+K6+L6+M6+N6+O6+T6</f>
        <v>#REF!</v>
      </c>
      <c r="J6" s="7" t="e">
        <f>#REF!+#REF!+#REF!+#REF!+#REF!+#REF!+#REF!+#REF!+#REF!+#REF!+#REF!+#REF!</f>
        <v>#REF!</v>
      </c>
      <c r="K6" s="7" t="e">
        <f>#REF!+#REF!+#REF!+#REF!+#REF!+#REF!+#REF!+#REF!+#REF!+#REF!+#REF!+#REF!</f>
        <v>#REF!</v>
      </c>
      <c r="L6" s="7" t="e">
        <f>#REF!+#REF!+#REF!+#REF!+#REF!+#REF!+#REF!+#REF!+#REF!+#REF!+#REF!+#REF!</f>
        <v>#REF!</v>
      </c>
      <c r="M6" s="7" t="e">
        <f>#REF!+#REF!+#REF!+#REF!+#REF!+#REF!+#REF!+#REF!+#REF!+#REF!+#REF!+#REF!</f>
        <v>#REF!</v>
      </c>
      <c r="N6" s="7" t="e">
        <f>#REF!+#REF!+#REF!+#REF!+#REF!+#REF!+#REF!+#REF!+#REF!+#REF!+#REF!+#REF!</f>
        <v>#REF!</v>
      </c>
      <c r="O6" s="7" t="e">
        <f>#REF!+#REF!+#REF!+#REF!+#REF!+#REF!+#REF!+#REF!+#REF!+#REF!+#REF!+#REF!</f>
        <v>#REF!</v>
      </c>
      <c r="P6" s="7" t="e">
        <f>#REF!+#REF!+#REF!+#REF!+#REF!+#REF!+#REF!+#REF!+#REF!+#REF!+#REF!+#REF!</f>
        <v>#REF!</v>
      </c>
      <c r="Q6" s="7" t="e">
        <f>#REF!+#REF!+#REF!+#REF!+#REF!+#REF!+#REF!+#REF!+#REF!+#REF!+#REF!+#REF!</f>
        <v>#REF!</v>
      </c>
      <c r="R6" s="7" t="e">
        <f>#REF!+#REF!+#REF!+#REF!+#REF!+#REF!+#REF!+#REF!+#REF!+#REF!+#REF!+#REF!</f>
        <v>#REF!</v>
      </c>
      <c r="S6" s="7" t="e">
        <f>#REF!+#REF!+#REF!+#REF!+#REF!+#REF!+#REF!+#REF!+#REF!+#REF!+#REF!+#REF!</f>
        <v>#REF!</v>
      </c>
      <c r="T6" s="7" t="e">
        <f>#REF!+#REF!+#REF!+#REF!+#REF!+#REF!+#REF!+#REF!+#REF!+#REF!+#REF!+#REF!</f>
        <v>#REF!</v>
      </c>
      <c r="U6" s="7"/>
    </row>
    <row r="7" spans="1:22" x14ac:dyDescent="0.25">
      <c r="A7" s="1" t="s">
        <v>12</v>
      </c>
      <c r="B7" s="1" t="str">
        <f>VLOOKUP(A7,LISTADHERENT!A$5:H$52,2,0)</f>
        <v>BOUTCHOUANG WILLIAM</v>
      </c>
      <c r="C7" s="1">
        <f>VLOOKUP(A7,FONDSDECAISSE!A$5:C$52,3,0)</f>
        <v>420000</v>
      </c>
      <c r="D7" s="6">
        <v>1704</v>
      </c>
      <c r="E7" s="6"/>
      <c r="F7" s="6"/>
      <c r="G7" s="6"/>
      <c r="H7" s="6"/>
      <c r="I7" s="7" t="e">
        <f t="shared" ref="I7:I54" si="0">J7+K7+L7+M7+N7+O7+T7</f>
        <v>#REF!</v>
      </c>
      <c r="J7" s="7" t="e">
        <f>#REF!+#REF!+#REF!+#REF!+#REF!+#REF!+#REF!+#REF!+#REF!+#REF!+#REF!+#REF!</f>
        <v>#REF!</v>
      </c>
      <c r="K7" s="7" t="e">
        <f>#REF!+#REF!+#REF!+#REF!+#REF!+#REF!+#REF!+#REF!+#REF!+#REF!+#REF!+#REF!</f>
        <v>#REF!</v>
      </c>
      <c r="L7" s="7" t="e">
        <f>#REF!+#REF!+#REF!+#REF!+#REF!+#REF!+#REF!+#REF!+#REF!+#REF!+#REF!+#REF!</f>
        <v>#REF!</v>
      </c>
      <c r="M7" s="7" t="e">
        <f>#REF!+#REF!+#REF!+#REF!+#REF!+#REF!+#REF!+#REF!+#REF!+#REF!+#REF!+#REF!</f>
        <v>#REF!</v>
      </c>
      <c r="N7" s="7" t="e">
        <f>#REF!+#REF!+#REF!+#REF!+#REF!+#REF!+#REF!+#REF!+#REF!+#REF!+#REF!+#REF!</f>
        <v>#REF!</v>
      </c>
      <c r="O7" s="7" t="e">
        <f>#REF!+#REF!+#REF!+#REF!+#REF!+#REF!+#REF!+#REF!+#REF!+#REF!+#REF!+#REF!</f>
        <v>#REF!</v>
      </c>
      <c r="P7" s="7" t="e">
        <f>#REF!+#REF!+#REF!+#REF!+#REF!+#REF!+#REF!+#REF!+#REF!+#REF!+#REF!+#REF!</f>
        <v>#REF!</v>
      </c>
      <c r="Q7" s="7" t="e">
        <f>#REF!+#REF!+#REF!+#REF!+#REF!+#REF!+#REF!+#REF!+#REF!+#REF!+#REF!+#REF!</f>
        <v>#REF!</v>
      </c>
      <c r="R7" s="7" t="e">
        <f>#REF!+#REF!+#REF!+#REF!+#REF!+#REF!+#REF!+#REF!+#REF!+#REF!+#REF!+#REF!</f>
        <v>#REF!</v>
      </c>
      <c r="S7" s="7" t="e">
        <f>#REF!+#REF!+#REF!+#REF!+#REF!+#REF!+#REF!+#REF!+#REF!+#REF!+#REF!+#REF!</f>
        <v>#REF!</v>
      </c>
      <c r="T7" s="7" t="e">
        <f>#REF!+#REF!+#REF!+#REF!+#REF!+#REF!+#REF!+#REF!+#REF!+#REF!+#REF!+#REF!</f>
        <v>#REF!</v>
      </c>
      <c r="U7" s="7"/>
    </row>
    <row r="8" spans="1:22" x14ac:dyDescent="0.25">
      <c r="A8" s="1" t="s">
        <v>13</v>
      </c>
      <c r="B8" s="1" t="str">
        <f>VLOOKUP(A8,LISTADHERENT!A$5:H$52,2,0)</f>
        <v>CHINGUE FABRICE</v>
      </c>
      <c r="C8" s="1">
        <f>VLOOKUP(A8,FONDSDECAISSE!A$5:C$52,3,0)</f>
        <v>420000</v>
      </c>
      <c r="D8" s="6">
        <v>1842</v>
      </c>
      <c r="E8" s="6"/>
      <c r="F8" s="6"/>
      <c r="G8" s="6"/>
      <c r="H8" s="6"/>
      <c r="I8" s="7" t="e">
        <f t="shared" si="0"/>
        <v>#REF!</v>
      </c>
      <c r="J8" s="7" t="e">
        <f>#REF!+#REF!+#REF!+#REF!+#REF!+#REF!+#REF!+#REF!+#REF!+#REF!+#REF!+#REF!</f>
        <v>#REF!</v>
      </c>
      <c r="K8" s="7" t="e">
        <f>#REF!+#REF!+#REF!+#REF!+#REF!+#REF!+#REF!+#REF!+#REF!+#REF!+#REF!+#REF!</f>
        <v>#REF!</v>
      </c>
      <c r="L8" s="7" t="e">
        <f>#REF!+#REF!+#REF!+#REF!+#REF!+#REF!+#REF!+#REF!+#REF!+#REF!+#REF!+#REF!</f>
        <v>#REF!</v>
      </c>
      <c r="M8" s="7" t="e">
        <f>#REF!+#REF!+#REF!+#REF!+#REF!+#REF!+#REF!+#REF!+#REF!+#REF!+#REF!+#REF!</f>
        <v>#REF!</v>
      </c>
      <c r="N8" s="7" t="e">
        <f>#REF!+#REF!+#REF!+#REF!+#REF!+#REF!+#REF!+#REF!+#REF!+#REF!+#REF!+#REF!</f>
        <v>#REF!</v>
      </c>
      <c r="O8" s="7" t="e">
        <f>#REF!+#REF!+#REF!+#REF!+#REF!+#REF!+#REF!+#REF!+#REF!+#REF!+#REF!+#REF!</f>
        <v>#REF!</v>
      </c>
      <c r="P8" s="7" t="e">
        <f>#REF!+#REF!+#REF!+#REF!+#REF!+#REF!+#REF!+#REF!+#REF!+#REF!+#REF!+#REF!</f>
        <v>#REF!</v>
      </c>
      <c r="Q8" s="7" t="e">
        <f>#REF!+#REF!+#REF!+#REF!+#REF!+#REF!+#REF!+#REF!+#REF!+#REF!+#REF!+#REF!</f>
        <v>#REF!</v>
      </c>
      <c r="R8" s="7" t="e">
        <f>#REF!+#REF!+#REF!+#REF!+#REF!+#REF!+#REF!+#REF!+#REF!+#REF!+#REF!+#REF!</f>
        <v>#REF!</v>
      </c>
      <c r="S8" s="7" t="e">
        <f>#REF!+#REF!+#REF!+#REF!+#REF!+#REF!+#REF!+#REF!+#REF!+#REF!+#REF!+#REF!</f>
        <v>#REF!</v>
      </c>
      <c r="T8" s="7" t="e">
        <f>#REF!+#REF!+#REF!+#REF!+#REF!+#REF!+#REF!+#REF!+#REF!+#REF!+#REF!+#REF!</f>
        <v>#REF!</v>
      </c>
      <c r="U8" s="7"/>
    </row>
    <row r="9" spans="1:22" x14ac:dyDescent="0.25">
      <c r="A9" s="1" t="s">
        <v>14</v>
      </c>
      <c r="B9" s="1" t="str">
        <f>VLOOKUP(A9,LISTADHERENT!A$5:H$52,2,0)</f>
        <v xml:space="preserve">DJOMO JEAN PAUL </v>
      </c>
      <c r="C9" s="1">
        <f>VLOOKUP(A9,FONDSDECAISSE!A$5:C$52,3,0)</f>
        <v>420000</v>
      </c>
      <c r="D9" s="6">
        <v>8156</v>
      </c>
      <c r="E9" s="6"/>
      <c r="F9" s="6"/>
      <c r="G9" s="6"/>
      <c r="H9" s="6"/>
      <c r="I9" s="7" t="e">
        <f t="shared" si="0"/>
        <v>#REF!</v>
      </c>
      <c r="J9" s="7" t="e">
        <f>#REF!+#REF!+#REF!+#REF!+#REF!+#REF!+#REF!+#REF!+#REF!+#REF!+#REF!+#REF!</f>
        <v>#REF!</v>
      </c>
      <c r="K9" s="7" t="e">
        <f>#REF!+#REF!+#REF!+#REF!+#REF!+#REF!+#REF!+#REF!+#REF!+#REF!+#REF!+#REF!</f>
        <v>#REF!</v>
      </c>
      <c r="L9" s="7" t="e">
        <f>#REF!+#REF!+#REF!+#REF!+#REF!+#REF!+#REF!+#REF!+#REF!+#REF!+#REF!+#REF!</f>
        <v>#REF!</v>
      </c>
      <c r="M9" s="7" t="e">
        <f>#REF!+#REF!+#REF!+#REF!+#REF!+#REF!+#REF!+#REF!+#REF!+#REF!+#REF!+#REF!</f>
        <v>#REF!</v>
      </c>
      <c r="N9" s="7" t="e">
        <f>#REF!+#REF!+#REF!+#REF!+#REF!+#REF!+#REF!+#REF!+#REF!+#REF!+#REF!+#REF!</f>
        <v>#REF!</v>
      </c>
      <c r="O9" s="7" t="e">
        <f>#REF!+#REF!+#REF!+#REF!+#REF!+#REF!+#REF!+#REF!+#REF!+#REF!+#REF!+#REF!</f>
        <v>#REF!</v>
      </c>
      <c r="P9" s="7" t="e">
        <f>#REF!+#REF!+#REF!+#REF!+#REF!+#REF!+#REF!+#REF!+#REF!+#REF!+#REF!+#REF!</f>
        <v>#REF!</v>
      </c>
      <c r="Q9" s="7" t="e">
        <f>#REF!+#REF!+#REF!+#REF!+#REF!+#REF!+#REF!+#REF!+#REF!+#REF!+#REF!+#REF!</f>
        <v>#REF!</v>
      </c>
      <c r="R9" s="7" t="e">
        <f>#REF!+#REF!+#REF!+#REF!+#REF!+#REF!+#REF!+#REF!+#REF!+#REF!+#REF!+#REF!</f>
        <v>#REF!</v>
      </c>
      <c r="S9" s="7" t="e">
        <f>#REF!+#REF!+#REF!+#REF!+#REF!+#REF!+#REF!+#REF!+#REF!+#REF!+#REF!+#REF!</f>
        <v>#REF!</v>
      </c>
      <c r="T9" s="7" t="e">
        <f>#REF!+#REF!+#REF!+#REF!+#REF!+#REF!+#REF!+#REF!+#REF!+#REF!+#REF!+#REF!</f>
        <v>#REF!</v>
      </c>
      <c r="U9" s="7"/>
    </row>
    <row r="10" spans="1:22" x14ac:dyDescent="0.25">
      <c r="A10" s="1" t="s">
        <v>15</v>
      </c>
      <c r="B10" s="1" t="str">
        <f>VLOOKUP(A10,LISTADHERENT!A$5:H$52,2,0)</f>
        <v>DJOUKWE GUY</v>
      </c>
      <c r="C10" s="1">
        <f>VLOOKUP(A10,FONDSDECAISSE!A$5:C$52,3,0)</f>
        <v>420000</v>
      </c>
      <c r="D10" s="6">
        <v>5905</v>
      </c>
      <c r="E10" s="6"/>
      <c r="F10" s="6"/>
      <c r="G10" s="6"/>
      <c r="H10" s="6"/>
      <c r="I10" s="7" t="e">
        <f t="shared" si="0"/>
        <v>#REF!</v>
      </c>
      <c r="J10" s="7" t="e">
        <f>#REF!+#REF!+#REF!+#REF!+#REF!+#REF!+#REF!+#REF!+#REF!+#REF!+#REF!+#REF!</f>
        <v>#REF!</v>
      </c>
      <c r="K10" s="7" t="e">
        <f>#REF!+#REF!+#REF!+#REF!+#REF!+#REF!+#REF!+#REF!+#REF!+#REF!+#REF!+#REF!</f>
        <v>#REF!</v>
      </c>
      <c r="L10" s="7" t="e">
        <f>#REF!+#REF!+#REF!+#REF!+#REF!+#REF!+#REF!+#REF!+#REF!+#REF!+#REF!+#REF!</f>
        <v>#REF!</v>
      </c>
      <c r="M10" s="7" t="e">
        <f>#REF!+#REF!+#REF!+#REF!+#REF!+#REF!+#REF!+#REF!+#REF!+#REF!+#REF!+#REF!</f>
        <v>#REF!</v>
      </c>
      <c r="N10" s="7" t="e">
        <f>#REF!+#REF!+#REF!+#REF!+#REF!+#REF!+#REF!+#REF!+#REF!+#REF!+#REF!+#REF!</f>
        <v>#REF!</v>
      </c>
      <c r="O10" s="7" t="e">
        <f>#REF!+#REF!+#REF!+#REF!+#REF!+#REF!+#REF!+#REF!+#REF!+#REF!+#REF!+#REF!</f>
        <v>#REF!</v>
      </c>
      <c r="P10" s="7" t="e">
        <f>#REF!+#REF!+#REF!+#REF!+#REF!+#REF!+#REF!+#REF!+#REF!+#REF!+#REF!+#REF!</f>
        <v>#REF!</v>
      </c>
      <c r="Q10" s="7" t="e">
        <f>#REF!+#REF!+#REF!+#REF!+#REF!+#REF!+#REF!+#REF!+#REF!+#REF!+#REF!+#REF!</f>
        <v>#REF!</v>
      </c>
      <c r="R10" s="7" t="e">
        <f>#REF!+#REF!+#REF!+#REF!+#REF!+#REF!+#REF!+#REF!+#REF!+#REF!+#REF!+#REF!</f>
        <v>#REF!</v>
      </c>
      <c r="S10" s="7" t="e">
        <f>#REF!+#REF!+#REF!+#REF!+#REF!+#REF!+#REF!+#REF!+#REF!+#REF!+#REF!+#REF!</f>
        <v>#REF!</v>
      </c>
      <c r="T10" s="7" t="e">
        <f>#REF!+#REF!+#REF!+#REF!+#REF!+#REF!+#REF!+#REF!+#REF!+#REF!+#REF!+#REF!</f>
        <v>#REF!</v>
      </c>
      <c r="U10" s="7"/>
    </row>
    <row r="11" spans="1:22" x14ac:dyDescent="0.25">
      <c r="A11" s="1" t="s">
        <v>16</v>
      </c>
      <c r="B11" s="1" t="str">
        <f>VLOOKUP(A11,LISTADHERENT!A$5:H$52,2,0)</f>
        <v>DJOSSEU JOSUE</v>
      </c>
      <c r="C11" s="1">
        <f>VLOOKUP(A11,FONDSDECAISSE!A$5:C$52,3,0)</f>
        <v>0</v>
      </c>
      <c r="D11" s="6">
        <v>0</v>
      </c>
      <c r="E11" s="6"/>
      <c r="F11" s="6"/>
      <c r="G11" s="6"/>
      <c r="H11" s="6"/>
      <c r="I11" s="7" t="e">
        <f t="shared" si="0"/>
        <v>#REF!</v>
      </c>
      <c r="J11" s="7" t="e">
        <f>#REF!+#REF!+#REF!+#REF!+#REF!+#REF!+#REF!+#REF!+#REF!+#REF!+#REF!+#REF!</f>
        <v>#REF!</v>
      </c>
      <c r="K11" s="7" t="e">
        <f>#REF!+#REF!+#REF!+#REF!+#REF!+#REF!+#REF!+#REF!+#REF!+#REF!+#REF!+#REF!</f>
        <v>#REF!</v>
      </c>
      <c r="L11" s="7" t="e">
        <f>#REF!+#REF!+#REF!+#REF!+#REF!+#REF!+#REF!+#REF!+#REF!+#REF!+#REF!+#REF!</f>
        <v>#REF!</v>
      </c>
      <c r="M11" s="7" t="e">
        <f>#REF!+#REF!+#REF!+#REF!+#REF!+#REF!+#REF!+#REF!+#REF!+#REF!+#REF!+#REF!</f>
        <v>#REF!</v>
      </c>
      <c r="N11" s="7" t="e">
        <f>#REF!+#REF!+#REF!+#REF!+#REF!+#REF!+#REF!+#REF!+#REF!+#REF!+#REF!+#REF!</f>
        <v>#REF!</v>
      </c>
      <c r="O11" s="7" t="e">
        <f>#REF!+#REF!+#REF!+#REF!+#REF!+#REF!+#REF!+#REF!+#REF!+#REF!+#REF!+#REF!</f>
        <v>#REF!</v>
      </c>
      <c r="P11" s="7" t="e">
        <f>#REF!+#REF!+#REF!+#REF!+#REF!+#REF!+#REF!+#REF!+#REF!+#REF!+#REF!+#REF!</f>
        <v>#REF!</v>
      </c>
      <c r="Q11" s="7" t="e">
        <f>#REF!+#REF!+#REF!+#REF!+#REF!+#REF!+#REF!+#REF!+#REF!+#REF!+#REF!+#REF!</f>
        <v>#REF!</v>
      </c>
      <c r="R11" s="7" t="e">
        <f>#REF!+#REF!+#REF!+#REF!+#REF!+#REF!+#REF!+#REF!+#REF!+#REF!+#REF!+#REF!</f>
        <v>#REF!</v>
      </c>
      <c r="S11" s="7" t="e">
        <f>#REF!+#REF!+#REF!+#REF!+#REF!+#REF!+#REF!+#REF!+#REF!+#REF!+#REF!+#REF!</f>
        <v>#REF!</v>
      </c>
      <c r="T11" s="7" t="e">
        <f>#REF!+#REF!+#REF!+#REF!+#REF!+#REF!+#REF!+#REF!+#REF!+#REF!+#REF!+#REF!</f>
        <v>#REF!</v>
      </c>
      <c r="U11" s="7"/>
    </row>
    <row r="12" spans="1:22" x14ac:dyDescent="0.25">
      <c r="A12" s="1" t="s">
        <v>17</v>
      </c>
      <c r="B12" s="1" t="str">
        <f>VLOOKUP(A12,LISTADHERENT!A$5:H$52,2,0)</f>
        <v>DJOUNKEP SAMUEL</v>
      </c>
      <c r="C12" s="1">
        <f>VLOOKUP(A12,FONDSDECAISSE!A$5:C$52,3,0)</f>
        <v>420000</v>
      </c>
      <c r="D12" s="6">
        <f>1055294-69705</f>
        <v>985589</v>
      </c>
      <c r="E12" s="6"/>
      <c r="F12" s="6"/>
      <c r="G12" s="6"/>
      <c r="H12" s="6"/>
      <c r="I12" s="7" t="e">
        <f t="shared" si="0"/>
        <v>#REF!</v>
      </c>
      <c r="J12" s="7" t="e">
        <f>#REF!+#REF!+#REF!+#REF!+#REF!+#REF!+#REF!+#REF!+#REF!+#REF!+#REF!+#REF!</f>
        <v>#REF!</v>
      </c>
      <c r="K12" s="7" t="e">
        <f>#REF!+#REF!+#REF!+#REF!+#REF!+#REF!+#REF!+#REF!+#REF!+#REF!+#REF!+#REF!</f>
        <v>#REF!</v>
      </c>
      <c r="L12" s="7" t="e">
        <f>#REF!+#REF!+#REF!+#REF!+#REF!+#REF!+#REF!+#REF!+#REF!+#REF!+#REF!+#REF!</f>
        <v>#REF!</v>
      </c>
      <c r="M12" s="7" t="e">
        <f>#REF!+#REF!+#REF!+#REF!+#REF!+#REF!+#REF!+#REF!+#REF!+#REF!+#REF!+#REF!</f>
        <v>#REF!</v>
      </c>
      <c r="N12" s="7" t="e">
        <f>#REF!+#REF!+#REF!+#REF!+#REF!+#REF!+#REF!+#REF!+#REF!+#REF!+#REF!+#REF!</f>
        <v>#REF!</v>
      </c>
      <c r="O12" s="7" t="e">
        <f>#REF!+#REF!+#REF!+#REF!+#REF!+#REF!+#REF!+#REF!+#REF!+#REF!+#REF!+#REF!</f>
        <v>#REF!</v>
      </c>
      <c r="P12" s="7" t="e">
        <f>#REF!+#REF!+#REF!+#REF!+#REF!+#REF!+#REF!+#REF!+#REF!+#REF!+#REF!+#REF!</f>
        <v>#REF!</v>
      </c>
      <c r="Q12" s="7" t="e">
        <f>#REF!+#REF!+#REF!+#REF!+#REF!+#REF!+#REF!+#REF!+#REF!+#REF!+#REF!+#REF!</f>
        <v>#REF!</v>
      </c>
      <c r="R12" s="7" t="e">
        <f>#REF!+#REF!+#REF!+#REF!+#REF!+#REF!+#REF!+#REF!+#REF!+#REF!+#REF!+#REF!</f>
        <v>#REF!</v>
      </c>
      <c r="S12" s="7" t="e">
        <f>#REF!+#REF!+#REF!+#REF!+#REF!+#REF!+#REF!+#REF!+#REF!+#REF!+#REF!+#REF!</f>
        <v>#REF!</v>
      </c>
      <c r="T12" s="7" t="e">
        <f>#REF!+#REF!+#REF!+#REF!+#REF!+#REF!+#REF!+#REF!+#REF!+#REF!+#REF!+#REF!</f>
        <v>#REF!</v>
      </c>
      <c r="U12" s="7"/>
    </row>
    <row r="13" spans="1:22" x14ac:dyDescent="0.25">
      <c r="A13" s="1" t="s">
        <v>18</v>
      </c>
      <c r="B13" s="1" t="str">
        <f>VLOOKUP(A13,LISTADHERENT!A$5:H$52,2,0)</f>
        <v>DJUOMBESSY ANTOINE</v>
      </c>
      <c r="C13" s="1">
        <f>VLOOKUP(A13,FONDSDECAISSE!A$5:C$52,3,0)</f>
        <v>420000</v>
      </c>
      <c r="D13" s="6">
        <v>0</v>
      </c>
      <c r="E13" s="6"/>
      <c r="F13" s="6"/>
      <c r="G13" s="6"/>
      <c r="H13" s="6"/>
      <c r="I13" s="7" t="e">
        <f t="shared" si="0"/>
        <v>#REF!</v>
      </c>
      <c r="J13" s="7" t="e">
        <f>#REF!+#REF!+#REF!+#REF!+#REF!+#REF!+#REF!+#REF!+#REF!+#REF!+#REF!+#REF!</f>
        <v>#REF!</v>
      </c>
      <c r="K13" s="7" t="e">
        <f>#REF!+#REF!+#REF!+#REF!+#REF!+#REF!+#REF!+#REF!+#REF!+#REF!+#REF!+#REF!</f>
        <v>#REF!</v>
      </c>
      <c r="L13" s="7" t="e">
        <f>#REF!+#REF!+#REF!+#REF!+#REF!+#REF!+#REF!+#REF!+#REF!+#REF!+#REF!+#REF!</f>
        <v>#REF!</v>
      </c>
      <c r="M13" s="7" t="e">
        <f>#REF!+#REF!+#REF!+#REF!+#REF!+#REF!+#REF!+#REF!+#REF!+#REF!+#REF!+#REF!</f>
        <v>#REF!</v>
      </c>
      <c r="N13" s="7" t="e">
        <f>#REF!+#REF!+#REF!+#REF!+#REF!+#REF!+#REF!+#REF!+#REF!+#REF!+#REF!+#REF!</f>
        <v>#REF!</v>
      </c>
      <c r="O13" s="7" t="e">
        <f>#REF!+#REF!+#REF!+#REF!+#REF!+#REF!+#REF!+#REF!+#REF!+#REF!+#REF!+#REF!</f>
        <v>#REF!</v>
      </c>
      <c r="P13" s="7" t="e">
        <f>#REF!+#REF!+#REF!+#REF!+#REF!+#REF!+#REF!+#REF!+#REF!+#REF!+#REF!+#REF!</f>
        <v>#REF!</v>
      </c>
      <c r="Q13" s="7" t="e">
        <f>#REF!+#REF!+#REF!+#REF!+#REF!+#REF!+#REF!+#REF!+#REF!+#REF!+#REF!+#REF!</f>
        <v>#REF!</v>
      </c>
      <c r="R13" s="7" t="e">
        <f>#REF!+#REF!+#REF!+#REF!+#REF!+#REF!+#REF!+#REF!+#REF!+#REF!+#REF!+#REF!</f>
        <v>#REF!</v>
      </c>
      <c r="S13" s="7" t="e">
        <f>#REF!+#REF!+#REF!+#REF!+#REF!+#REF!+#REF!+#REF!+#REF!+#REF!+#REF!+#REF!</f>
        <v>#REF!</v>
      </c>
      <c r="T13" s="7" t="e">
        <f>#REF!+#REF!+#REF!+#REF!+#REF!+#REF!+#REF!+#REF!+#REF!+#REF!+#REF!+#REF!</f>
        <v>#REF!</v>
      </c>
      <c r="U13" s="7"/>
    </row>
    <row r="14" spans="1:22" x14ac:dyDescent="0.25">
      <c r="A14" s="1" t="s">
        <v>19</v>
      </c>
      <c r="B14" s="1" t="str">
        <f>VLOOKUP(A14,LISTADHERENT!A$5:H$52,2,0)</f>
        <v>DONHOU DAVID</v>
      </c>
      <c r="C14" s="1">
        <f>VLOOKUP(A14,FONDSDECAISSE!A$5:C$52,3,0)</f>
        <v>420000</v>
      </c>
      <c r="D14" s="6">
        <v>44734</v>
      </c>
      <c r="E14" s="6"/>
      <c r="F14" s="6"/>
      <c r="G14" s="6"/>
      <c r="H14" s="6"/>
      <c r="I14" s="7" t="e">
        <f t="shared" si="0"/>
        <v>#REF!</v>
      </c>
      <c r="J14" s="7" t="e">
        <f>#REF!+#REF!+#REF!+#REF!+#REF!+#REF!+#REF!+#REF!+#REF!+#REF!+#REF!+#REF!</f>
        <v>#REF!</v>
      </c>
      <c r="K14" s="7" t="e">
        <f>#REF!+#REF!+#REF!+#REF!+#REF!+#REF!+#REF!+#REF!+#REF!+#REF!+#REF!+#REF!</f>
        <v>#REF!</v>
      </c>
      <c r="L14" s="7" t="e">
        <f>#REF!+#REF!+#REF!+#REF!+#REF!+#REF!+#REF!+#REF!+#REF!+#REF!+#REF!+#REF!</f>
        <v>#REF!</v>
      </c>
      <c r="M14" s="7" t="e">
        <f>#REF!+#REF!+#REF!+#REF!+#REF!+#REF!+#REF!+#REF!+#REF!+#REF!+#REF!+#REF!</f>
        <v>#REF!</v>
      </c>
      <c r="N14" s="7" t="e">
        <f>#REF!+#REF!+#REF!+#REF!+#REF!+#REF!+#REF!+#REF!+#REF!+#REF!+#REF!+#REF!</f>
        <v>#REF!</v>
      </c>
      <c r="O14" s="7" t="e">
        <f>#REF!+#REF!+#REF!+#REF!+#REF!+#REF!+#REF!+#REF!+#REF!+#REF!+#REF!+#REF!</f>
        <v>#REF!</v>
      </c>
      <c r="P14" s="7" t="e">
        <f>#REF!+#REF!+#REF!+#REF!+#REF!+#REF!+#REF!+#REF!+#REF!+#REF!+#REF!+#REF!</f>
        <v>#REF!</v>
      </c>
      <c r="Q14" s="7" t="e">
        <f>#REF!+#REF!+#REF!+#REF!+#REF!+#REF!+#REF!+#REF!+#REF!+#REF!+#REF!+#REF!</f>
        <v>#REF!</v>
      </c>
      <c r="R14" s="7" t="e">
        <f>#REF!+#REF!+#REF!+#REF!+#REF!+#REF!+#REF!+#REF!+#REF!+#REF!+#REF!+#REF!</f>
        <v>#REF!</v>
      </c>
      <c r="S14" s="7" t="e">
        <f>#REF!+#REF!+#REF!+#REF!+#REF!+#REF!+#REF!+#REF!+#REF!+#REF!+#REF!+#REF!</f>
        <v>#REF!</v>
      </c>
      <c r="T14" s="7" t="e">
        <f>#REF!+#REF!+#REF!+#REF!+#REF!+#REF!+#REF!+#REF!+#REF!+#REF!+#REF!+#REF!</f>
        <v>#REF!</v>
      </c>
      <c r="U14" s="7"/>
    </row>
    <row r="15" spans="1:22" x14ac:dyDescent="0.25">
      <c r="A15" s="1" t="s">
        <v>20</v>
      </c>
      <c r="B15" s="1" t="str">
        <f>VLOOKUP(A15,LISTADHERENT!A$5:H$52,2,0)</f>
        <v>FOTSO THOMAS</v>
      </c>
      <c r="C15" s="1">
        <f>VLOOKUP(A15,FONDSDECAISSE!A$5:C$52,3,0)</f>
        <v>420000</v>
      </c>
      <c r="D15" s="6">
        <v>3318</v>
      </c>
      <c r="E15" s="6"/>
      <c r="F15" s="6"/>
      <c r="G15" s="6"/>
      <c r="H15" s="6"/>
      <c r="I15" s="7" t="e">
        <f t="shared" si="0"/>
        <v>#REF!</v>
      </c>
      <c r="J15" s="7" t="e">
        <f>#REF!+#REF!+#REF!+#REF!+#REF!+#REF!+#REF!+#REF!+#REF!+#REF!+#REF!+#REF!</f>
        <v>#REF!</v>
      </c>
      <c r="K15" s="7" t="e">
        <f>#REF!+#REF!+#REF!+#REF!+#REF!+#REF!+#REF!+#REF!+#REF!+#REF!+#REF!+#REF!</f>
        <v>#REF!</v>
      </c>
      <c r="L15" s="7" t="e">
        <f>#REF!+#REF!+#REF!+#REF!+#REF!+#REF!+#REF!+#REF!+#REF!+#REF!+#REF!+#REF!</f>
        <v>#REF!</v>
      </c>
      <c r="M15" s="7" t="e">
        <f>#REF!+#REF!+#REF!+#REF!+#REF!+#REF!+#REF!+#REF!+#REF!+#REF!+#REF!+#REF!</f>
        <v>#REF!</v>
      </c>
      <c r="N15" s="7" t="e">
        <f>#REF!+#REF!+#REF!+#REF!+#REF!+#REF!+#REF!+#REF!+#REF!+#REF!+#REF!+#REF!</f>
        <v>#REF!</v>
      </c>
      <c r="O15" s="7" t="e">
        <f>#REF!+#REF!+#REF!+#REF!+#REF!+#REF!+#REF!+#REF!+#REF!+#REF!+#REF!+#REF!</f>
        <v>#REF!</v>
      </c>
      <c r="P15" s="7" t="e">
        <f>#REF!+#REF!+#REF!+#REF!+#REF!+#REF!+#REF!+#REF!+#REF!+#REF!+#REF!+#REF!</f>
        <v>#REF!</v>
      </c>
      <c r="Q15" s="7" t="e">
        <f>#REF!+#REF!+#REF!+#REF!+#REF!+#REF!+#REF!+#REF!+#REF!+#REF!+#REF!+#REF!</f>
        <v>#REF!</v>
      </c>
      <c r="R15" s="7" t="e">
        <f>#REF!+#REF!+#REF!+#REF!+#REF!+#REF!+#REF!+#REF!+#REF!+#REF!+#REF!+#REF!</f>
        <v>#REF!</v>
      </c>
      <c r="S15" s="7" t="e">
        <f>#REF!+#REF!+#REF!+#REF!+#REF!+#REF!+#REF!+#REF!+#REF!+#REF!+#REF!+#REF!</f>
        <v>#REF!</v>
      </c>
      <c r="T15" s="7" t="e">
        <f>#REF!+#REF!+#REF!+#REF!+#REF!+#REF!+#REF!+#REF!+#REF!+#REF!+#REF!+#REF!</f>
        <v>#REF!</v>
      </c>
      <c r="U15" s="7"/>
    </row>
    <row r="16" spans="1:22" x14ac:dyDescent="0.25">
      <c r="A16" s="1" t="s">
        <v>21</v>
      </c>
      <c r="B16" s="1" t="str">
        <f>VLOOKUP(A16,LISTADHERENT!A$5:H$52,2,0)</f>
        <v>HENGUE PAUL OMER</v>
      </c>
      <c r="C16" s="1">
        <f>VLOOKUP(A16,FONDSDECAISSE!A$5:C$52,3,0)</f>
        <v>420000</v>
      </c>
      <c r="D16" s="6">
        <v>1083990</v>
      </c>
      <c r="E16" s="6"/>
      <c r="F16" s="6"/>
      <c r="G16" s="6"/>
      <c r="H16" s="6"/>
      <c r="I16" s="7" t="e">
        <f t="shared" si="0"/>
        <v>#REF!</v>
      </c>
      <c r="J16" s="7" t="e">
        <f>#REF!+#REF!+#REF!+#REF!+#REF!+#REF!+#REF!+#REF!+#REF!+#REF!+#REF!+#REF!</f>
        <v>#REF!</v>
      </c>
      <c r="K16" s="7" t="e">
        <f>#REF!+#REF!+#REF!+#REF!+#REF!+#REF!+#REF!+#REF!+#REF!+#REF!+#REF!+#REF!</f>
        <v>#REF!</v>
      </c>
      <c r="L16" s="7" t="e">
        <f>#REF!+#REF!+#REF!+#REF!+#REF!+#REF!+#REF!+#REF!+#REF!+#REF!+#REF!+#REF!</f>
        <v>#REF!</v>
      </c>
      <c r="M16" s="7" t="e">
        <f>#REF!+#REF!+#REF!+#REF!+#REF!+#REF!+#REF!+#REF!+#REF!+#REF!+#REF!+#REF!</f>
        <v>#REF!</v>
      </c>
      <c r="N16" s="7" t="e">
        <f>#REF!+#REF!+#REF!+#REF!+#REF!+#REF!+#REF!+#REF!+#REF!+#REF!+#REF!+#REF!</f>
        <v>#REF!</v>
      </c>
      <c r="O16" s="7" t="e">
        <f>#REF!+#REF!+#REF!+#REF!+#REF!+#REF!+#REF!+#REF!+#REF!+#REF!+#REF!+#REF!</f>
        <v>#REF!</v>
      </c>
      <c r="P16" s="7" t="e">
        <f>#REF!+#REF!+#REF!+#REF!+#REF!+#REF!+#REF!+#REF!+#REF!+#REF!+#REF!+#REF!</f>
        <v>#REF!</v>
      </c>
      <c r="Q16" s="7" t="e">
        <f>#REF!+#REF!+#REF!+#REF!+#REF!+#REF!+#REF!+#REF!+#REF!+#REF!+#REF!+#REF!</f>
        <v>#REF!</v>
      </c>
      <c r="R16" s="7" t="e">
        <f>#REF!+#REF!+#REF!+#REF!+#REF!+#REF!+#REF!+#REF!+#REF!+#REF!+#REF!+#REF!</f>
        <v>#REF!</v>
      </c>
      <c r="S16" s="7" t="e">
        <f>#REF!+#REF!+#REF!+#REF!+#REF!+#REF!+#REF!+#REF!+#REF!+#REF!+#REF!+#REF!</f>
        <v>#REF!</v>
      </c>
      <c r="T16" s="7" t="e">
        <f>#REF!+#REF!+#REF!+#REF!+#REF!+#REF!+#REF!+#REF!+#REF!+#REF!+#REF!+#REF!</f>
        <v>#REF!</v>
      </c>
      <c r="U16" s="7"/>
    </row>
    <row r="17" spans="1:21" x14ac:dyDescent="0.25">
      <c r="A17" s="1" t="s">
        <v>22</v>
      </c>
      <c r="B17" s="1" t="str">
        <f>VLOOKUP(A17,LISTADHERENT!A$5:H$52,2,0)</f>
        <v>HODIEP JULES</v>
      </c>
      <c r="C17" s="1">
        <f>VLOOKUP(A17,FONDSDECAISSE!A$5:C$52,3,0)</f>
        <v>50000</v>
      </c>
      <c r="D17" s="6">
        <v>0</v>
      </c>
      <c r="E17" s="6"/>
      <c r="F17" s="6"/>
      <c r="G17" s="6"/>
      <c r="H17" s="6"/>
      <c r="I17" s="7" t="e">
        <f t="shared" si="0"/>
        <v>#REF!</v>
      </c>
      <c r="J17" s="7" t="e">
        <f>#REF!+#REF!+#REF!+#REF!+#REF!+#REF!+#REF!+#REF!+#REF!+#REF!+#REF!+#REF!</f>
        <v>#REF!</v>
      </c>
      <c r="K17" s="7" t="e">
        <f>#REF!+#REF!+#REF!+#REF!+#REF!+#REF!+#REF!+#REF!+#REF!+#REF!+#REF!+#REF!</f>
        <v>#REF!</v>
      </c>
      <c r="L17" s="7" t="e">
        <f>#REF!+#REF!+#REF!+#REF!+#REF!+#REF!+#REF!+#REF!+#REF!+#REF!+#REF!+#REF!</f>
        <v>#REF!</v>
      </c>
      <c r="M17" s="7" t="e">
        <f>#REF!+#REF!+#REF!+#REF!+#REF!+#REF!+#REF!+#REF!+#REF!+#REF!+#REF!+#REF!</f>
        <v>#REF!</v>
      </c>
      <c r="N17" s="7" t="e">
        <f>#REF!+#REF!+#REF!+#REF!+#REF!+#REF!+#REF!+#REF!+#REF!+#REF!+#REF!+#REF!</f>
        <v>#REF!</v>
      </c>
      <c r="O17" s="7" t="e">
        <f>#REF!+#REF!+#REF!+#REF!+#REF!+#REF!+#REF!+#REF!+#REF!+#REF!+#REF!+#REF!</f>
        <v>#REF!</v>
      </c>
      <c r="P17" s="7" t="e">
        <f>#REF!+#REF!+#REF!+#REF!+#REF!+#REF!+#REF!+#REF!+#REF!+#REF!+#REF!+#REF!</f>
        <v>#REF!</v>
      </c>
      <c r="Q17" s="7" t="e">
        <f>#REF!+#REF!+#REF!+#REF!+#REF!+#REF!+#REF!+#REF!+#REF!+#REF!+#REF!+#REF!</f>
        <v>#REF!</v>
      </c>
      <c r="R17" s="7" t="e">
        <f>#REF!+#REF!+#REF!+#REF!+#REF!+#REF!+#REF!+#REF!+#REF!+#REF!+#REF!+#REF!</f>
        <v>#REF!</v>
      </c>
      <c r="S17" s="7" t="e">
        <f>#REF!+#REF!+#REF!+#REF!+#REF!+#REF!+#REF!+#REF!+#REF!+#REF!+#REF!+#REF!</f>
        <v>#REF!</v>
      </c>
      <c r="T17" s="7" t="e">
        <f>#REF!+#REF!+#REF!+#REF!+#REF!+#REF!+#REF!+#REF!+#REF!+#REF!+#REF!+#REF!</f>
        <v>#REF!</v>
      </c>
      <c r="U17" s="7"/>
    </row>
    <row r="18" spans="1:21" x14ac:dyDescent="0.25">
      <c r="A18" s="1" t="s">
        <v>23</v>
      </c>
      <c r="B18" s="1" t="str">
        <f>VLOOKUP(A18,LISTADHERENT!A$5:H$52,2,0)</f>
        <v>HOTCHO BENJAMIN</v>
      </c>
      <c r="C18" s="1">
        <f>VLOOKUP(A18,FONDSDECAISSE!A$5:C$52,3,0)</f>
        <v>420000</v>
      </c>
      <c r="D18" s="6">
        <v>8723</v>
      </c>
      <c r="E18" s="6"/>
      <c r="F18" s="6"/>
      <c r="G18" s="6"/>
      <c r="H18" s="6"/>
      <c r="I18" s="7" t="e">
        <f t="shared" si="0"/>
        <v>#REF!</v>
      </c>
      <c r="J18" s="7" t="e">
        <f>#REF!+#REF!+#REF!+#REF!+#REF!+#REF!+#REF!+#REF!+#REF!+#REF!+#REF!+#REF!</f>
        <v>#REF!</v>
      </c>
      <c r="K18" s="7" t="e">
        <f>#REF!+#REF!+#REF!+#REF!+#REF!+#REF!+#REF!+#REF!+#REF!+#REF!+#REF!+#REF!</f>
        <v>#REF!</v>
      </c>
      <c r="L18" s="7" t="e">
        <f>#REF!+#REF!+#REF!+#REF!+#REF!+#REF!+#REF!+#REF!+#REF!+#REF!+#REF!+#REF!</f>
        <v>#REF!</v>
      </c>
      <c r="M18" s="7" t="e">
        <f>#REF!+#REF!+#REF!+#REF!+#REF!+#REF!+#REF!+#REF!+#REF!+#REF!+#REF!+#REF!</f>
        <v>#REF!</v>
      </c>
      <c r="N18" s="7" t="e">
        <f>#REF!+#REF!+#REF!+#REF!+#REF!+#REF!+#REF!+#REF!+#REF!+#REF!+#REF!+#REF!</f>
        <v>#REF!</v>
      </c>
      <c r="O18" s="7" t="e">
        <f>#REF!+#REF!+#REF!+#REF!+#REF!+#REF!+#REF!+#REF!+#REF!+#REF!+#REF!+#REF!</f>
        <v>#REF!</v>
      </c>
      <c r="P18" s="7" t="e">
        <f>#REF!+#REF!+#REF!+#REF!+#REF!+#REF!+#REF!+#REF!+#REF!+#REF!+#REF!+#REF!</f>
        <v>#REF!</v>
      </c>
      <c r="Q18" s="7" t="e">
        <f>#REF!+#REF!+#REF!+#REF!+#REF!+#REF!+#REF!+#REF!+#REF!+#REF!+#REF!+#REF!</f>
        <v>#REF!</v>
      </c>
      <c r="R18" s="7" t="e">
        <f>#REF!+#REF!+#REF!+#REF!+#REF!+#REF!+#REF!+#REF!+#REF!+#REF!+#REF!+#REF!</f>
        <v>#REF!</v>
      </c>
      <c r="S18" s="7" t="e">
        <f>#REF!+#REF!+#REF!+#REF!+#REF!+#REF!+#REF!+#REF!+#REF!+#REF!+#REF!+#REF!</f>
        <v>#REF!</v>
      </c>
      <c r="T18" s="7" t="e">
        <f>#REF!+#REF!+#REF!+#REF!+#REF!+#REF!+#REF!+#REF!+#REF!+#REF!+#REF!+#REF!</f>
        <v>#REF!</v>
      </c>
      <c r="U18" s="7"/>
    </row>
    <row r="19" spans="1:21" x14ac:dyDescent="0.25">
      <c r="A19" s="1" t="s">
        <v>24</v>
      </c>
      <c r="B19" s="1" t="str">
        <f>VLOOKUP(A19,LISTADHERENT!A$5:H$52,2,0)</f>
        <v>KEPHE DAVID</v>
      </c>
      <c r="C19" s="1">
        <f>VLOOKUP(A19,FONDSDECAISSE!A$5:C$52,3,0)</f>
        <v>0</v>
      </c>
      <c r="D19" s="6">
        <v>12795</v>
      </c>
      <c r="E19" s="6"/>
      <c r="F19" s="6"/>
      <c r="G19" s="6"/>
      <c r="H19" s="6"/>
      <c r="I19" s="7" t="e">
        <f t="shared" si="0"/>
        <v>#REF!</v>
      </c>
      <c r="J19" s="7" t="e">
        <f>#REF!+#REF!+#REF!+#REF!+#REF!+#REF!+#REF!+#REF!+#REF!+#REF!+#REF!+#REF!</f>
        <v>#REF!</v>
      </c>
      <c r="K19" s="7" t="e">
        <f>#REF!+#REF!+#REF!+#REF!+#REF!+#REF!+#REF!+#REF!+#REF!+#REF!+#REF!+#REF!</f>
        <v>#REF!</v>
      </c>
      <c r="L19" s="7" t="e">
        <f>#REF!+#REF!+#REF!+#REF!+#REF!+#REF!+#REF!+#REF!+#REF!+#REF!+#REF!+#REF!</f>
        <v>#REF!</v>
      </c>
      <c r="M19" s="7" t="e">
        <f>#REF!+#REF!+#REF!+#REF!+#REF!+#REF!+#REF!+#REF!+#REF!+#REF!+#REF!+#REF!</f>
        <v>#REF!</v>
      </c>
      <c r="N19" s="7" t="e">
        <f>#REF!+#REF!+#REF!+#REF!+#REF!+#REF!+#REF!+#REF!+#REF!+#REF!+#REF!+#REF!</f>
        <v>#REF!</v>
      </c>
      <c r="O19" s="7" t="e">
        <f>#REF!+#REF!+#REF!+#REF!+#REF!+#REF!+#REF!+#REF!+#REF!+#REF!+#REF!+#REF!</f>
        <v>#REF!</v>
      </c>
      <c r="P19" s="7" t="e">
        <f>#REF!+#REF!+#REF!+#REF!+#REF!+#REF!+#REF!+#REF!+#REF!+#REF!+#REF!+#REF!</f>
        <v>#REF!</v>
      </c>
      <c r="Q19" s="7" t="e">
        <f>#REF!+#REF!+#REF!+#REF!+#REF!+#REF!+#REF!+#REF!+#REF!+#REF!+#REF!+#REF!</f>
        <v>#REF!</v>
      </c>
      <c r="R19" s="7" t="e">
        <f>#REF!+#REF!+#REF!+#REF!+#REF!+#REF!+#REF!+#REF!+#REF!+#REF!+#REF!+#REF!</f>
        <v>#REF!</v>
      </c>
      <c r="S19" s="7" t="e">
        <f>#REF!+#REF!+#REF!+#REF!+#REF!+#REF!+#REF!+#REF!+#REF!+#REF!+#REF!+#REF!</f>
        <v>#REF!</v>
      </c>
      <c r="T19" s="7" t="e">
        <f>#REF!+#REF!+#REF!+#REF!+#REF!+#REF!+#REF!+#REF!+#REF!+#REF!+#REF!+#REF!</f>
        <v>#REF!</v>
      </c>
      <c r="U19" s="7"/>
    </row>
    <row r="20" spans="1:21" x14ac:dyDescent="0.25">
      <c r="A20" s="1" t="s">
        <v>25</v>
      </c>
      <c r="B20" s="1" t="str">
        <f>VLOOKUP(A20,LISTADHERENT!A$5:H$52,2,0)</f>
        <v>KEPSEU FRANCIS</v>
      </c>
      <c r="C20" s="1">
        <f>VLOOKUP(A20,FONDSDECAISSE!A$5:C$52,3,0)</f>
        <v>420000</v>
      </c>
      <c r="D20" s="6">
        <v>186997</v>
      </c>
      <c r="E20" s="6"/>
      <c r="F20" s="6"/>
      <c r="G20" s="6"/>
      <c r="H20" s="6"/>
      <c r="I20" s="7" t="e">
        <f t="shared" si="0"/>
        <v>#REF!</v>
      </c>
      <c r="J20" s="7" t="e">
        <f>#REF!+#REF!+#REF!+#REF!+#REF!+#REF!+#REF!+#REF!+#REF!+#REF!+#REF!+#REF!</f>
        <v>#REF!</v>
      </c>
      <c r="K20" s="7" t="e">
        <f>#REF!+#REF!+#REF!+#REF!+#REF!+#REF!+#REF!+#REF!+#REF!+#REF!+#REF!+#REF!</f>
        <v>#REF!</v>
      </c>
      <c r="L20" s="7" t="e">
        <f>#REF!+#REF!+#REF!+#REF!+#REF!+#REF!+#REF!+#REF!+#REF!+#REF!+#REF!+#REF!</f>
        <v>#REF!</v>
      </c>
      <c r="M20" s="7" t="e">
        <f>#REF!+#REF!+#REF!+#REF!+#REF!+#REF!+#REF!+#REF!+#REF!+#REF!+#REF!+#REF!</f>
        <v>#REF!</v>
      </c>
      <c r="N20" s="7" t="e">
        <f>#REF!+#REF!+#REF!+#REF!+#REF!+#REF!+#REF!+#REF!+#REF!+#REF!+#REF!+#REF!</f>
        <v>#REF!</v>
      </c>
      <c r="O20" s="7" t="e">
        <f>#REF!+#REF!+#REF!+#REF!+#REF!+#REF!+#REF!+#REF!+#REF!+#REF!+#REF!+#REF!</f>
        <v>#REF!</v>
      </c>
      <c r="P20" s="7" t="e">
        <f>#REF!+#REF!+#REF!+#REF!+#REF!+#REF!+#REF!+#REF!+#REF!+#REF!+#REF!+#REF!</f>
        <v>#REF!</v>
      </c>
      <c r="Q20" s="7" t="e">
        <f>#REF!+#REF!+#REF!+#REF!+#REF!+#REF!+#REF!+#REF!+#REF!+#REF!+#REF!+#REF!</f>
        <v>#REF!</v>
      </c>
      <c r="R20" s="7" t="e">
        <f>#REF!+#REF!+#REF!+#REF!+#REF!+#REF!+#REF!+#REF!+#REF!+#REF!+#REF!+#REF!</f>
        <v>#REF!</v>
      </c>
      <c r="S20" s="7" t="e">
        <f>#REF!+#REF!+#REF!+#REF!+#REF!+#REF!+#REF!+#REF!+#REF!+#REF!+#REF!+#REF!</f>
        <v>#REF!</v>
      </c>
      <c r="T20" s="7" t="e">
        <f>#REF!+#REF!+#REF!+#REF!+#REF!+#REF!+#REF!+#REF!+#REF!+#REF!+#REF!+#REF!</f>
        <v>#REF!</v>
      </c>
      <c r="U20" s="7"/>
    </row>
    <row r="21" spans="1:21" x14ac:dyDescent="0.25">
      <c r="A21" s="1" t="s">
        <v>26</v>
      </c>
      <c r="B21" s="1" t="str">
        <f>VLOOKUP(A21,LISTADHERENT!A$5:H$52,2,0)</f>
        <v>KOUAMOU EMMANUEL</v>
      </c>
      <c r="C21" s="1">
        <f>VLOOKUP(A21,FONDSDECAISSE!A$5:C$52,3,0)</f>
        <v>420000</v>
      </c>
      <c r="D21" s="6">
        <v>2723</v>
      </c>
      <c r="E21" s="6"/>
      <c r="F21" s="6"/>
      <c r="G21" s="6"/>
      <c r="H21" s="6"/>
      <c r="I21" s="7" t="e">
        <f t="shared" si="0"/>
        <v>#REF!</v>
      </c>
      <c r="J21" s="7" t="e">
        <f>#REF!+#REF!+#REF!+#REF!+#REF!+#REF!+#REF!+#REF!+#REF!+#REF!+#REF!+#REF!</f>
        <v>#REF!</v>
      </c>
      <c r="K21" s="7" t="e">
        <f>#REF!+#REF!+#REF!+#REF!+#REF!+#REF!+#REF!+#REF!+#REF!+#REF!+#REF!+#REF!</f>
        <v>#REF!</v>
      </c>
      <c r="L21" s="7" t="e">
        <f>#REF!+#REF!+#REF!+#REF!+#REF!+#REF!+#REF!+#REF!+#REF!+#REF!+#REF!+#REF!</f>
        <v>#REF!</v>
      </c>
      <c r="M21" s="7" t="e">
        <f>#REF!+#REF!+#REF!+#REF!+#REF!+#REF!+#REF!+#REF!+#REF!+#REF!+#REF!+#REF!</f>
        <v>#REF!</v>
      </c>
      <c r="N21" s="7" t="e">
        <f>#REF!+#REF!+#REF!+#REF!+#REF!+#REF!+#REF!+#REF!+#REF!+#REF!+#REF!+#REF!</f>
        <v>#REF!</v>
      </c>
      <c r="O21" s="7" t="e">
        <f>#REF!+#REF!+#REF!+#REF!+#REF!+#REF!+#REF!+#REF!+#REF!+#REF!+#REF!+#REF!</f>
        <v>#REF!</v>
      </c>
      <c r="P21" s="7" t="e">
        <f>#REF!+#REF!+#REF!+#REF!+#REF!+#REF!+#REF!+#REF!+#REF!+#REF!+#REF!+#REF!</f>
        <v>#REF!</v>
      </c>
      <c r="Q21" s="7" t="e">
        <f>#REF!+#REF!+#REF!+#REF!+#REF!+#REF!+#REF!+#REF!+#REF!+#REF!+#REF!+#REF!</f>
        <v>#REF!</v>
      </c>
      <c r="R21" s="7" t="e">
        <f>#REF!+#REF!+#REF!+#REF!+#REF!+#REF!+#REF!+#REF!+#REF!+#REF!+#REF!+#REF!</f>
        <v>#REF!</v>
      </c>
      <c r="S21" s="7" t="e">
        <f>#REF!+#REF!+#REF!+#REF!+#REF!+#REF!+#REF!+#REF!+#REF!+#REF!+#REF!+#REF!</f>
        <v>#REF!</v>
      </c>
      <c r="T21" s="7" t="e">
        <f>#REF!+#REF!+#REF!+#REF!+#REF!+#REF!+#REF!+#REF!+#REF!+#REF!+#REF!+#REF!</f>
        <v>#REF!</v>
      </c>
      <c r="U21" s="7"/>
    </row>
    <row r="22" spans="1:21" ht="12.75" customHeight="1" x14ac:dyDescent="0.25">
      <c r="A22" s="1" t="s">
        <v>27</v>
      </c>
      <c r="B22" s="1" t="str">
        <f>VLOOKUP(A22,LISTADHERENT!A$5:H$52,2,0)</f>
        <v>KOUAMOU MOISE</v>
      </c>
      <c r="C22" s="1">
        <f>VLOOKUP(A22,FONDSDECAISSE!A$5:C$52,3,0)</f>
        <v>420000</v>
      </c>
      <c r="D22" s="6">
        <v>2099</v>
      </c>
      <c r="E22" s="6"/>
      <c r="F22" s="6"/>
      <c r="G22" s="6"/>
      <c r="H22" s="6"/>
      <c r="I22" s="7" t="e">
        <f t="shared" si="0"/>
        <v>#REF!</v>
      </c>
      <c r="J22" s="7" t="e">
        <f>#REF!+#REF!+#REF!+#REF!+#REF!+#REF!+#REF!+#REF!+#REF!+#REF!+#REF!+#REF!</f>
        <v>#REF!</v>
      </c>
      <c r="K22" s="7" t="e">
        <f>#REF!+#REF!+#REF!+#REF!+#REF!+#REF!+#REF!+#REF!+#REF!+#REF!+#REF!+#REF!</f>
        <v>#REF!</v>
      </c>
      <c r="L22" s="7" t="e">
        <f>#REF!+#REF!+#REF!+#REF!+#REF!+#REF!+#REF!+#REF!+#REF!+#REF!+#REF!+#REF!</f>
        <v>#REF!</v>
      </c>
      <c r="M22" s="7" t="e">
        <f>#REF!+#REF!+#REF!+#REF!+#REF!+#REF!+#REF!+#REF!+#REF!+#REF!+#REF!+#REF!</f>
        <v>#REF!</v>
      </c>
      <c r="N22" s="7" t="e">
        <f>#REF!+#REF!+#REF!+#REF!+#REF!+#REF!+#REF!+#REF!+#REF!+#REF!+#REF!+#REF!</f>
        <v>#REF!</v>
      </c>
      <c r="O22" s="7" t="e">
        <f>#REF!+#REF!+#REF!+#REF!+#REF!+#REF!+#REF!+#REF!+#REF!+#REF!+#REF!+#REF!</f>
        <v>#REF!</v>
      </c>
      <c r="P22" s="7" t="e">
        <f>#REF!+#REF!+#REF!+#REF!+#REF!+#REF!+#REF!+#REF!+#REF!+#REF!+#REF!+#REF!</f>
        <v>#REF!</v>
      </c>
      <c r="Q22" s="7" t="e">
        <f>#REF!+#REF!+#REF!+#REF!+#REF!+#REF!+#REF!+#REF!+#REF!+#REF!+#REF!+#REF!</f>
        <v>#REF!</v>
      </c>
      <c r="R22" s="7" t="e">
        <f>#REF!+#REF!+#REF!+#REF!+#REF!+#REF!+#REF!+#REF!+#REF!+#REF!+#REF!+#REF!</f>
        <v>#REF!</v>
      </c>
      <c r="S22" s="7" t="e">
        <f>#REF!+#REF!+#REF!+#REF!+#REF!+#REF!+#REF!+#REF!+#REF!+#REF!+#REF!+#REF!</f>
        <v>#REF!</v>
      </c>
      <c r="T22" s="7" t="e">
        <f>#REF!+#REF!+#REF!+#REF!+#REF!+#REF!+#REF!+#REF!+#REF!+#REF!+#REF!+#REF!</f>
        <v>#REF!</v>
      </c>
      <c r="U22" s="7"/>
    </row>
    <row r="23" spans="1:21" x14ac:dyDescent="0.25">
      <c r="A23" s="1" t="s">
        <v>28</v>
      </c>
      <c r="B23" s="1" t="str">
        <f>VLOOKUP(A23,LISTADHERENT!A$5:H$52,2,0)</f>
        <v>KOUAMOU VICTOR PEGUY</v>
      </c>
      <c r="C23" s="1">
        <f>VLOOKUP(A23,FONDSDECAISSE!A$5:C$52,3,0)</f>
        <v>420000</v>
      </c>
      <c r="D23" s="6">
        <v>36629</v>
      </c>
      <c r="E23" s="6"/>
      <c r="F23" s="6"/>
      <c r="G23" s="6"/>
      <c r="H23" s="6"/>
      <c r="I23" s="7" t="e">
        <f t="shared" si="0"/>
        <v>#REF!</v>
      </c>
      <c r="J23" s="7" t="e">
        <f>#REF!+#REF!+#REF!+#REF!+#REF!+#REF!+#REF!+#REF!+#REF!+#REF!+#REF!+#REF!</f>
        <v>#REF!</v>
      </c>
      <c r="K23" s="7" t="e">
        <f>#REF!+#REF!+#REF!+#REF!+#REF!+#REF!+#REF!+#REF!+#REF!+#REF!+#REF!+#REF!</f>
        <v>#REF!</v>
      </c>
      <c r="L23" s="7" t="e">
        <f>#REF!+#REF!+#REF!+#REF!+#REF!+#REF!+#REF!+#REF!+#REF!+#REF!+#REF!+#REF!</f>
        <v>#REF!</v>
      </c>
      <c r="M23" s="7" t="e">
        <f>#REF!+#REF!+#REF!+#REF!+#REF!+#REF!+#REF!+#REF!+#REF!+#REF!+#REF!+#REF!</f>
        <v>#REF!</v>
      </c>
      <c r="N23" s="7" t="e">
        <f>#REF!+#REF!+#REF!+#REF!+#REF!+#REF!+#REF!+#REF!+#REF!+#REF!+#REF!+#REF!</f>
        <v>#REF!</v>
      </c>
      <c r="O23" s="7" t="e">
        <f>#REF!+#REF!+#REF!+#REF!+#REF!+#REF!+#REF!+#REF!+#REF!+#REF!+#REF!+#REF!</f>
        <v>#REF!</v>
      </c>
      <c r="P23" s="7" t="e">
        <f>#REF!+#REF!+#REF!+#REF!+#REF!+#REF!+#REF!+#REF!+#REF!+#REF!+#REF!+#REF!</f>
        <v>#REF!</v>
      </c>
      <c r="Q23" s="7" t="e">
        <f>#REF!+#REF!+#REF!+#REF!+#REF!+#REF!+#REF!+#REF!+#REF!+#REF!+#REF!+#REF!</f>
        <v>#REF!</v>
      </c>
      <c r="R23" s="7" t="e">
        <f>#REF!+#REF!+#REF!+#REF!+#REF!+#REF!+#REF!+#REF!+#REF!+#REF!+#REF!+#REF!</f>
        <v>#REF!</v>
      </c>
      <c r="S23" s="7" t="e">
        <f>#REF!+#REF!+#REF!+#REF!+#REF!+#REF!+#REF!+#REF!+#REF!+#REF!+#REF!+#REF!</f>
        <v>#REF!</v>
      </c>
      <c r="T23" s="7" t="e">
        <f>#REF!+#REF!+#REF!+#REF!+#REF!+#REF!+#REF!+#REF!+#REF!+#REF!+#REF!+#REF!</f>
        <v>#REF!</v>
      </c>
      <c r="U23" s="7"/>
    </row>
    <row r="24" spans="1:21" x14ac:dyDescent="0.25">
      <c r="A24" s="1" t="s">
        <v>29</v>
      </c>
      <c r="B24" s="1" t="str">
        <f>VLOOKUP(A24,LISTADHERENT!A$5:H$52,2,0)</f>
        <v>KOUATCHO MESSACK</v>
      </c>
      <c r="C24" s="1">
        <f>VLOOKUP(A24,FONDSDECAISSE!A$5:C$52,3,0)</f>
        <v>420000</v>
      </c>
      <c r="D24" s="6">
        <v>0</v>
      </c>
      <c r="E24" s="6"/>
      <c r="F24" s="6"/>
      <c r="G24" s="6"/>
      <c r="H24" s="6"/>
      <c r="I24" s="7" t="e">
        <f t="shared" si="0"/>
        <v>#REF!</v>
      </c>
      <c r="J24" s="7" t="e">
        <f>#REF!+#REF!+#REF!+#REF!+#REF!+#REF!+#REF!+#REF!+#REF!+#REF!+#REF!+#REF!</f>
        <v>#REF!</v>
      </c>
      <c r="K24" s="7" t="e">
        <f>#REF!+#REF!+#REF!+#REF!+#REF!+#REF!+#REF!+#REF!+#REF!+#REF!+#REF!+#REF!</f>
        <v>#REF!</v>
      </c>
      <c r="L24" s="7" t="e">
        <f>#REF!+#REF!+#REF!+#REF!+#REF!+#REF!+#REF!+#REF!+#REF!+#REF!+#REF!+#REF!</f>
        <v>#REF!</v>
      </c>
      <c r="M24" s="7" t="e">
        <f>#REF!+#REF!+#REF!+#REF!+#REF!+#REF!+#REF!+#REF!+#REF!+#REF!+#REF!+#REF!</f>
        <v>#REF!</v>
      </c>
      <c r="N24" s="7" t="e">
        <f>#REF!+#REF!+#REF!+#REF!+#REF!+#REF!+#REF!+#REF!+#REF!+#REF!+#REF!+#REF!</f>
        <v>#REF!</v>
      </c>
      <c r="O24" s="7" t="e">
        <f>#REF!+#REF!+#REF!+#REF!+#REF!+#REF!+#REF!+#REF!+#REF!+#REF!+#REF!+#REF!</f>
        <v>#REF!</v>
      </c>
      <c r="P24" s="7" t="e">
        <f>#REF!+#REF!+#REF!+#REF!+#REF!+#REF!+#REF!+#REF!+#REF!+#REF!+#REF!+#REF!</f>
        <v>#REF!</v>
      </c>
      <c r="Q24" s="7" t="e">
        <f>#REF!+#REF!+#REF!+#REF!+#REF!+#REF!+#REF!+#REF!+#REF!+#REF!+#REF!+#REF!</f>
        <v>#REF!</v>
      </c>
      <c r="R24" s="7" t="e">
        <f>#REF!+#REF!+#REF!+#REF!+#REF!+#REF!+#REF!+#REF!+#REF!+#REF!+#REF!+#REF!</f>
        <v>#REF!</v>
      </c>
      <c r="S24" s="7" t="e">
        <f>#REF!+#REF!+#REF!+#REF!+#REF!+#REF!+#REF!+#REF!+#REF!+#REF!+#REF!+#REF!</f>
        <v>#REF!</v>
      </c>
      <c r="T24" s="7" t="e">
        <f>#REF!+#REF!+#REF!+#REF!+#REF!+#REF!+#REF!+#REF!+#REF!+#REF!+#REF!+#REF!</f>
        <v>#REF!</v>
      </c>
      <c r="U24" s="7"/>
    </row>
    <row r="25" spans="1:21" x14ac:dyDescent="0.25">
      <c r="A25" s="1" t="s">
        <v>30</v>
      </c>
      <c r="B25" s="1" t="str">
        <f>VLOOKUP(A25,LISTADHERENT!A$5:H$52,2,0)</f>
        <v>LOWE JEAN</v>
      </c>
      <c r="C25" s="1">
        <f>VLOOKUP(A25,FONDSDECAISSE!A$5:C$52,3,0)</f>
        <v>420000</v>
      </c>
      <c r="D25" s="6">
        <v>4331</v>
      </c>
      <c r="E25" s="6"/>
      <c r="F25" s="6"/>
      <c r="G25" s="6"/>
      <c r="H25" s="6"/>
      <c r="I25" s="7" t="e">
        <f t="shared" si="0"/>
        <v>#REF!</v>
      </c>
      <c r="J25" s="7" t="e">
        <f>#REF!+#REF!+#REF!+#REF!+#REF!+#REF!+#REF!+#REF!+#REF!+#REF!+#REF!+#REF!</f>
        <v>#REF!</v>
      </c>
      <c r="K25" s="7" t="e">
        <f>#REF!+#REF!+#REF!+#REF!+#REF!+#REF!+#REF!+#REF!+#REF!+#REF!+#REF!+#REF!</f>
        <v>#REF!</v>
      </c>
      <c r="L25" s="7" t="e">
        <f>#REF!+#REF!+#REF!+#REF!+#REF!+#REF!+#REF!+#REF!+#REF!+#REF!+#REF!+#REF!</f>
        <v>#REF!</v>
      </c>
      <c r="M25" s="7" t="e">
        <f>#REF!+#REF!+#REF!+#REF!+#REF!+#REF!+#REF!+#REF!+#REF!+#REF!+#REF!+#REF!</f>
        <v>#REF!</v>
      </c>
      <c r="N25" s="7" t="e">
        <f>#REF!+#REF!+#REF!+#REF!+#REF!+#REF!+#REF!+#REF!+#REF!+#REF!+#REF!+#REF!</f>
        <v>#REF!</v>
      </c>
      <c r="O25" s="7" t="e">
        <f>#REF!+#REF!+#REF!+#REF!+#REF!+#REF!+#REF!+#REF!+#REF!+#REF!+#REF!+#REF!</f>
        <v>#REF!</v>
      </c>
      <c r="P25" s="7" t="e">
        <f>#REF!+#REF!+#REF!+#REF!+#REF!+#REF!+#REF!+#REF!+#REF!+#REF!+#REF!+#REF!</f>
        <v>#REF!</v>
      </c>
      <c r="Q25" s="7" t="e">
        <f>#REF!+#REF!+#REF!+#REF!+#REF!+#REF!+#REF!+#REF!+#REF!+#REF!+#REF!+#REF!</f>
        <v>#REF!</v>
      </c>
      <c r="R25" s="7" t="e">
        <f>#REF!+#REF!+#REF!+#REF!+#REF!+#REF!+#REF!+#REF!+#REF!+#REF!+#REF!+#REF!</f>
        <v>#REF!</v>
      </c>
      <c r="S25" s="7" t="e">
        <f>#REF!+#REF!+#REF!+#REF!+#REF!+#REF!+#REF!+#REF!+#REF!+#REF!+#REF!+#REF!</f>
        <v>#REF!</v>
      </c>
      <c r="T25" s="7" t="e">
        <f>#REF!+#REF!+#REF!+#REF!+#REF!+#REF!+#REF!+#REF!+#REF!+#REF!+#REF!+#REF!</f>
        <v>#REF!</v>
      </c>
      <c r="U25" s="7"/>
    </row>
    <row r="26" spans="1:21" x14ac:dyDescent="0.25">
      <c r="A26" s="1" t="s">
        <v>31</v>
      </c>
      <c r="B26" s="1" t="str">
        <f>VLOOKUP(A26,LISTADHERENT!A$5:H$52,2,0)</f>
        <v>NANKAM APPOLINAIRE</v>
      </c>
      <c r="C26" s="1">
        <f>VLOOKUP(A26,FONDSDECAISSE!A$5:C$52,3,0)</f>
        <v>420000</v>
      </c>
      <c r="D26" s="6">
        <v>4411</v>
      </c>
      <c r="E26" s="6"/>
      <c r="F26" s="6"/>
      <c r="G26" s="6"/>
      <c r="H26" s="6"/>
      <c r="I26" s="7" t="e">
        <f t="shared" si="0"/>
        <v>#REF!</v>
      </c>
      <c r="J26" s="7" t="e">
        <f>#REF!+#REF!+#REF!+#REF!+#REF!+#REF!+#REF!+#REF!+#REF!+#REF!+#REF!+#REF!</f>
        <v>#REF!</v>
      </c>
      <c r="K26" s="7" t="e">
        <f>#REF!+#REF!+#REF!+#REF!+#REF!+#REF!+#REF!+#REF!+#REF!+#REF!+#REF!+#REF!</f>
        <v>#REF!</v>
      </c>
      <c r="L26" s="7" t="e">
        <f>#REF!+#REF!+#REF!+#REF!+#REF!+#REF!+#REF!+#REF!+#REF!+#REF!+#REF!+#REF!</f>
        <v>#REF!</v>
      </c>
      <c r="M26" s="7" t="e">
        <f>#REF!+#REF!+#REF!+#REF!+#REF!+#REF!+#REF!+#REF!+#REF!+#REF!+#REF!+#REF!</f>
        <v>#REF!</v>
      </c>
      <c r="N26" s="7" t="e">
        <f>#REF!+#REF!+#REF!+#REF!+#REF!+#REF!+#REF!+#REF!+#REF!+#REF!+#REF!+#REF!</f>
        <v>#REF!</v>
      </c>
      <c r="O26" s="7" t="e">
        <f>#REF!+#REF!+#REF!+#REF!+#REF!+#REF!+#REF!+#REF!+#REF!+#REF!+#REF!+#REF!</f>
        <v>#REF!</v>
      </c>
      <c r="P26" s="7" t="e">
        <f>#REF!+#REF!+#REF!+#REF!+#REF!+#REF!+#REF!+#REF!+#REF!+#REF!+#REF!+#REF!</f>
        <v>#REF!</v>
      </c>
      <c r="Q26" s="7" t="e">
        <f>#REF!+#REF!+#REF!+#REF!+#REF!+#REF!+#REF!+#REF!+#REF!+#REF!+#REF!+#REF!</f>
        <v>#REF!</v>
      </c>
      <c r="R26" s="7" t="e">
        <f>#REF!+#REF!+#REF!+#REF!+#REF!+#REF!+#REF!+#REF!+#REF!+#REF!+#REF!+#REF!</f>
        <v>#REF!</v>
      </c>
      <c r="S26" s="7" t="e">
        <f>#REF!+#REF!+#REF!+#REF!+#REF!+#REF!+#REF!+#REF!+#REF!+#REF!+#REF!+#REF!</f>
        <v>#REF!</v>
      </c>
      <c r="T26" s="7" t="e">
        <f>#REF!+#REF!+#REF!+#REF!+#REF!+#REF!+#REF!+#REF!+#REF!+#REF!+#REF!+#REF!</f>
        <v>#REF!</v>
      </c>
      <c r="U26" s="7"/>
    </row>
    <row r="27" spans="1:21" x14ac:dyDescent="0.25">
      <c r="A27" s="1" t="s">
        <v>32</v>
      </c>
      <c r="B27" s="1" t="str">
        <f>VLOOKUP(A27,LISTADHERENT!A$5:H$52,2,0)</f>
        <v>NDJOMO ETIENNE</v>
      </c>
      <c r="C27" s="1">
        <f>VLOOKUP(A27,FONDSDECAISSE!A$5:C$52,3,0)</f>
        <v>420000</v>
      </c>
      <c r="D27" s="6">
        <v>2060</v>
      </c>
      <c r="E27" s="6"/>
      <c r="F27" s="6"/>
      <c r="G27" s="6"/>
      <c r="H27" s="6"/>
      <c r="I27" s="7" t="e">
        <f t="shared" si="0"/>
        <v>#REF!</v>
      </c>
      <c r="J27" s="7" t="e">
        <f>#REF!+#REF!+#REF!+#REF!+#REF!+#REF!+#REF!+#REF!+#REF!+#REF!+#REF!+#REF!</f>
        <v>#REF!</v>
      </c>
      <c r="K27" s="7" t="e">
        <f>#REF!+#REF!+#REF!+#REF!+#REF!+#REF!+#REF!+#REF!+#REF!+#REF!+#REF!+#REF!</f>
        <v>#REF!</v>
      </c>
      <c r="L27" s="7" t="e">
        <f>#REF!+#REF!+#REF!+#REF!+#REF!+#REF!+#REF!+#REF!+#REF!+#REF!+#REF!+#REF!</f>
        <v>#REF!</v>
      </c>
      <c r="M27" s="7" t="e">
        <f>#REF!+#REF!+#REF!+#REF!+#REF!+#REF!+#REF!+#REF!+#REF!+#REF!+#REF!+#REF!</f>
        <v>#REF!</v>
      </c>
      <c r="N27" s="7" t="e">
        <f>#REF!+#REF!+#REF!+#REF!+#REF!+#REF!+#REF!+#REF!+#REF!+#REF!+#REF!+#REF!</f>
        <v>#REF!</v>
      </c>
      <c r="O27" s="7" t="e">
        <f>#REF!+#REF!+#REF!+#REF!+#REF!+#REF!+#REF!+#REF!+#REF!+#REF!+#REF!+#REF!</f>
        <v>#REF!</v>
      </c>
      <c r="P27" s="7" t="e">
        <f>#REF!+#REF!+#REF!+#REF!+#REF!+#REF!+#REF!+#REF!+#REF!+#REF!+#REF!+#REF!</f>
        <v>#REF!</v>
      </c>
      <c r="Q27" s="7" t="e">
        <f>#REF!+#REF!+#REF!+#REF!+#REF!+#REF!+#REF!+#REF!+#REF!+#REF!+#REF!+#REF!</f>
        <v>#REF!</v>
      </c>
      <c r="R27" s="7" t="e">
        <f>#REF!+#REF!+#REF!+#REF!+#REF!+#REF!+#REF!+#REF!+#REF!+#REF!+#REF!+#REF!</f>
        <v>#REF!</v>
      </c>
      <c r="S27" s="7" t="e">
        <f>#REF!+#REF!+#REF!+#REF!+#REF!+#REF!+#REF!+#REF!+#REF!+#REF!+#REF!+#REF!</f>
        <v>#REF!</v>
      </c>
      <c r="T27" s="7" t="e">
        <f>#REF!+#REF!+#REF!+#REF!+#REF!+#REF!+#REF!+#REF!+#REF!+#REF!+#REF!+#REF!</f>
        <v>#REF!</v>
      </c>
      <c r="U27" s="7"/>
    </row>
    <row r="28" spans="1:21" x14ac:dyDescent="0.25">
      <c r="A28" s="1" t="s">
        <v>33</v>
      </c>
      <c r="B28" s="1" t="str">
        <f>VLOOKUP(A28,LISTADHERENT!A$5:H$52,2,0)</f>
        <v>NDOMBOU JEAN CLAUDE</v>
      </c>
      <c r="C28" s="1">
        <f>VLOOKUP(A28,FONDSDECAISSE!A$5:C$52,3,0)</f>
        <v>0</v>
      </c>
      <c r="D28" s="6">
        <v>0</v>
      </c>
      <c r="E28" s="6"/>
      <c r="F28" s="6"/>
      <c r="G28" s="6"/>
      <c r="H28" s="6"/>
      <c r="I28" s="7" t="e">
        <f t="shared" si="0"/>
        <v>#REF!</v>
      </c>
      <c r="J28" s="7" t="e">
        <f>#REF!+#REF!+#REF!+#REF!+#REF!+#REF!+#REF!+#REF!+#REF!+#REF!+#REF!+#REF!</f>
        <v>#REF!</v>
      </c>
      <c r="K28" s="7" t="e">
        <f>#REF!+#REF!+#REF!+#REF!+#REF!+#REF!+#REF!+#REF!+#REF!+#REF!+#REF!+#REF!</f>
        <v>#REF!</v>
      </c>
      <c r="L28" s="7" t="e">
        <f>#REF!+#REF!+#REF!+#REF!+#REF!+#REF!+#REF!+#REF!+#REF!+#REF!+#REF!+#REF!</f>
        <v>#REF!</v>
      </c>
      <c r="M28" s="7" t="e">
        <f>#REF!+#REF!+#REF!+#REF!+#REF!+#REF!+#REF!+#REF!+#REF!+#REF!+#REF!+#REF!</f>
        <v>#REF!</v>
      </c>
      <c r="N28" s="7" t="e">
        <f>#REF!+#REF!+#REF!+#REF!+#REF!+#REF!+#REF!+#REF!+#REF!+#REF!+#REF!+#REF!</f>
        <v>#REF!</v>
      </c>
      <c r="O28" s="7" t="e">
        <f>#REF!+#REF!+#REF!+#REF!+#REF!+#REF!+#REF!+#REF!+#REF!+#REF!+#REF!+#REF!</f>
        <v>#REF!</v>
      </c>
      <c r="P28" s="7" t="e">
        <f>#REF!+#REF!+#REF!+#REF!+#REF!+#REF!+#REF!+#REF!+#REF!+#REF!+#REF!+#REF!</f>
        <v>#REF!</v>
      </c>
      <c r="Q28" s="7" t="e">
        <f>#REF!+#REF!+#REF!+#REF!+#REF!+#REF!+#REF!+#REF!+#REF!+#REF!+#REF!+#REF!</f>
        <v>#REF!</v>
      </c>
      <c r="R28" s="7" t="e">
        <f>#REF!+#REF!+#REF!+#REF!+#REF!+#REF!+#REF!+#REF!+#REF!+#REF!+#REF!+#REF!</f>
        <v>#REF!</v>
      </c>
      <c r="S28" s="7" t="e">
        <f>#REF!+#REF!+#REF!+#REF!+#REF!+#REF!+#REF!+#REF!+#REF!+#REF!+#REF!+#REF!</f>
        <v>#REF!</v>
      </c>
      <c r="T28" s="7" t="e">
        <f>#REF!+#REF!+#REF!+#REF!+#REF!+#REF!+#REF!+#REF!+#REF!+#REF!+#REF!+#REF!</f>
        <v>#REF!</v>
      </c>
      <c r="U28" s="7"/>
    </row>
    <row r="29" spans="1:21" x14ac:dyDescent="0.25">
      <c r="A29" s="1" t="s">
        <v>34</v>
      </c>
      <c r="B29" s="1" t="str">
        <f>VLOOKUP(A29,LISTADHERENT!A$5:H$52,2,0)</f>
        <v>NGONDIEP CLAUDE</v>
      </c>
      <c r="C29" s="1">
        <f>VLOOKUP(A29,FONDSDECAISSE!A$5:C$52,3,0)</f>
        <v>420000</v>
      </c>
      <c r="D29" s="6">
        <v>179574</v>
      </c>
      <c r="E29" s="6"/>
      <c r="F29" s="6"/>
      <c r="G29" s="6"/>
      <c r="H29" s="6"/>
      <c r="I29" s="7" t="e">
        <f t="shared" si="0"/>
        <v>#REF!</v>
      </c>
      <c r="J29" s="7" t="e">
        <f>#REF!+#REF!+#REF!+#REF!+#REF!+#REF!+#REF!+#REF!+#REF!+#REF!+#REF!+#REF!</f>
        <v>#REF!</v>
      </c>
      <c r="K29" s="7" t="e">
        <f>#REF!+#REF!+#REF!+#REF!+#REF!+#REF!+#REF!+#REF!+#REF!+#REF!+#REF!+#REF!</f>
        <v>#REF!</v>
      </c>
      <c r="L29" s="7" t="e">
        <f>#REF!+#REF!+#REF!+#REF!+#REF!+#REF!+#REF!+#REF!+#REF!+#REF!+#REF!+#REF!</f>
        <v>#REF!</v>
      </c>
      <c r="M29" s="7" t="e">
        <f>#REF!+#REF!+#REF!+#REF!+#REF!+#REF!+#REF!+#REF!+#REF!+#REF!+#REF!+#REF!</f>
        <v>#REF!</v>
      </c>
      <c r="N29" s="7" t="e">
        <f>#REF!+#REF!+#REF!+#REF!+#REF!+#REF!+#REF!+#REF!+#REF!+#REF!+#REF!+#REF!</f>
        <v>#REF!</v>
      </c>
      <c r="O29" s="7" t="e">
        <f>#REF!+#REF!+#REF!+#REF!+#REF!+#REF!+#REF!+#REF!+#REF!+#REF!+#REF!+#REF!</f>
        <v>#REF!</v>
      </c>
      <c r="P29" s="7" t="e">
        <f>#REF!+#REF!+#REF!+#REF!+#REF!+#REF!+#REF!+#REF!+#REF!+#REF!+#REF!+#REF!</f>
        <v>#REF!</v>
      </c>
      <c r="Q29" s="7" t="e">
        <f>#REF!+#REF!+#REF!+#REF!+#REF!+#REF!+#REF!+#REF!+#REF!+#REF!+#REF!+#REF!</f>
        <v>#REF!</v>
      </c>
      <c r="R29" s="7" t="e">
        <f>#REF!+#REF!+#REF!+#REF!+#REF!+#REF!+#REF!+#REF!+#REF!+#REF!+#REF!+#REF!</f>
        <v>#REF!</v>
      </c>
      <c r="S29" s="7" t="e">
        <f>#REF!+#REF!+#REF!+#REF!+#REF!+#REF!+#REF!+#REF!+#REF!+#REF!+#REF!+#REF!</f>
        <v>#REF!</v>
      </c>
      <c r="T29" s="7" t="e">
        <f>#REF!+#REF!+#REF!+#REF!+#REF!+#REF!+#REF!+#REF!+#REF!+#REF!+#REF!+#REF!</f>
        <v>#REF!</v>
      </c>
      <c r="U29" s="7"/>
    </row>
    <row r="30" spans="1:21" x14ac:dyDescent="0.25">
      <c r="A30" s="1" t="s">
        <v>35</v>
      </c>
      <c r="B30" s="1" t="str">
        <f>VLOOKUP(A30,LISTADHERENT!A$5:H$52,2,0)</f>
        <v>NGONGANG JEAN THEODORE</v>
      </c>
      <c r="C30" s="1">
        <f>VLOOKUP(A30,FONDSDECAISSE!A$5:C$52,3,0)</f>
        <v>0</v>
      </c>
      <c r="D30" s="6">
        <v>0</v>
      </c>
      <c r="E30" s="6"/>
      <c r="F30" s="6"/>
      <c r="G30" s="6"/>
      <c r="H30" s="6"/>
      <c r="I30" s="7" t="e">
        <f t="shared" si="0"/>
        <v>#REF!</v>
      </c>
      <c r="J30" s="7" t="e">
        <f>#REF!+#REF!+#REF!+#REF!+#REF!+#REF!+#REF!+#REF!+#REF!+#REF!+#REF!+#REF!</f>
        <v>#REF!</v>
      </c>
      <c r="K30" s="7" t="e">
        <f>#REF!+#REF!+#REF!+#REF!+#REF!+#REF!+#REF!+#REF!+#REF!+#REF!+#REF!+#REF!</f>
        <v>#REF!</v>
      </c>
      <c r="L30" s="7" t="e">
        <f>#REF!+#REF!+#REF!+#REF!+#REF!+#REF!+#REF!+#REF!+#REF!+#REF!+#REF!+#REF!</f>
        <v>#REF!</v>
      </c>
      <c r="M30" s="7" t="e">
        <f>#REF!+#REF!+#REF!+#REF!+#REF!+#REF!+#REF!+#REF!+#REF!+#REF!+#REF!+#REF!</f>
        <v>#REF!</v>
      </c>
      <c r="N30" s="7" t="e">
        <f>#REF!+#REF!+#REF!+#REF!+#REF!+#REF!+#REF!+#REF!+#REF!+#REF!+#REF!+#REF!</f>
        <v>#REF!</v>
      </c>
      <c r="O30" s="7" t="e">
        <f>#REF!+#REF!+#REF!+#REF!+#REF!+#REF!+#REF!+#REF!+#REF!+#REF!+#REF!+#REF!</f>
        <v>#REF!</v>
      </c>
      <c r="P30" s="7" t="e">
        <f>#REF!+#REF!+#REF!+#REF!+#REF!+#REF!+#REF!+#REF!+#REF!+#REF!+#REF!+#REF!</f>
        <v>#REF!</v>
      </c>
      <c r="Q30" s="7" t="e">
        <f>#REF!+#REF!+#REF!+#REF!+#REF!+#REF!+#REF!+#REF!+#REF!+#REF!+#REF!+#REF!</f>
        <v>#REF!</v>
      </c>
      <c r="R30" s="7" t="e">
        <f>#REF!+#REF!+#REF!+#REF!+#REF!+#REF!+#REF!+#REF!+#REF!+#REF!+#REF!+#REF!</f>
        <v>#REF!</v>
      </c>
      <c r="S30" s="7" t="e">
        <f>#REF!+#REF!+#REF!+#REF!+#REF!+#REF!+#REF!+#REF!+#REF!+#REF!+#REF!+#REF!</f>
        <v>#REF!</v>
      </c>
      <c r="T30" s="7" t="e">
        <f>#REF!+#REF!+#REF!+#REF!+#REF!+#REF!+#REF!+#REF!+#REF!+#REF!+#REF!+#REF!</f>
        <v>#REF!</v>
      </c>
      <c r="U30" s="7"/>
    </row>
    <row r="31" spans="1:21" x14ac:dyDescent="0.25">
      <c r="A31" s="1" t="s">
        <v>36</v>
      </c>
      <c r="B31" s="1" t="str">
        <f>VLOOKUP(A31,LISTADHERENT!A$5:H$52,2,0)</f>
        <v>NGUIEMEGNI MATHIEU BLAISE</v>
      </c>
      <c r="C31" s="1">
        <f>VLOOKUP(A31,FONDSDECAISSE!A$5:C$52,3,0)</f>
        <v>420000</v>
      </c>
      <c r="D31" s="6">
        <v>0</v>
      </c>
      <c r="E31" s="6"/>
      <c r="F31" s="6"/>
      <c r="G31" s="6"/>
      <c r="H31" s="6"/>
      <c r="I31" s="7" t="e">
        <f t="shared" si="0"/>
        <v>#REF!</v>
      </c>
      <c r="J31" s="7" t="e">
        <f>#REF!+#REF!+#REF!+#REF!+#REF!+#REF!+#REF!+#REF!+#REF!+#REF!+#REF!+#REF!</f>
        <v>#REF!</v>
      </c>
      <c r="K31" s="7" t="e">
        <f>#REF!+#REF!+#REF!+#REF!+#REF!+#REF!+#REF!+#REF!+#REF!+#REF!+#REF!+#REF!</f>
        <v>#REF!</v>
      </c>
      <c r="L31" s="7" t="e">
        <f>#REF!+#REF!+#REF!+#REF!+#REF!+#REF!+#REF!+#REF!+#REF!+#REF!+#REF!+#REF!</f>
        <v>#REF!</v>
      </c>
      <c r="M31" s="7" t="e">
        <f>#REF!+#REF!+#REF!+#REF!+#REF!+#REF!+#REF!+#REF!+#REF!+#REF!+#REF!+#REF!</f>
        <v>#REF!</v>
      </c>
      <c r="N31" s="7" t="e">
        <f>#REF!+#REF!+#REF!+#REF!+#REF!+#REF!+#REF!+#REF!+#REF!+#REF!+#REF!+#REF!</f>
        <v>#REF!</v>
      </c>
      <c r="O31" s="7" t="e">
        <f>#REF!+#REF!+#REF!+#REF!+#REF!+#REF!+#REF!+#REF!+#REF!+#REF!+#REF!+#REF!</f>
        <v>#REF!</v>
      </c>
      <c r="P31" s="7" t="e">
        <f>#REF!+#REF!+#REF!+#REF!+#REF!+#REF!+#REF!+#REF!+#REF!+#REF!+#REF!+#REF!</f>
        <v>#REF!</v>
      </c>
      <c r="Q31" s="7" t="e">
        <f>#REF!+#REF!+#REF!+#REF!+#REF!+#REF!+#REF!+#REF!+#REF!+#REF!+#REF!+#REF!</f>
        <v>#REF!</v>
      </c>
      <c r="R31" s="7" t="e">
        <f>#REF!+#REF!+#REF!+#REF!+#REF!+#REF!+#REF!+#REF!+#REF!+#REF!+#REF!+#REF!</f>
        <v>#REF!</v>
      </c>
      <c r="S31" s="7" t="e">
        <f>#REF!+#REF!+#REF!+#REF!+#REF!+#REF!+#REF!+#REF!+#REF!+#REF!+#REF!+#REF!</f>
        <v>#REF!</v>
      </c>
      <c r="T31" s="7" t="e">
        <f>#REF!+#REF!+#REF!+#REF!+#REF!+#REF!+#REF!+#REF!+#REF!+#REF!+#REF!+#REF!</f>
        <v>#REF!</v>
      </c>
      <c r="U31" s="7"/>
    </row>
    <row r="32" spans="1:21" x14ac:dyDescent="0.25">
      <c r="A32" s="1" t="s">
        <v>37</v>
      </c>
      <c r="B32" s="1" t="str">
        <f>VLOOKUP(A32,LISTADHERENT!A$5:H$52,2,0)</f>
        <v>NJEPDJIO MBOUKAM DELUXE</v>
      </c>
      <c r="C32" s="1">
        <f>VLOOKUP(A32,FONDSDECAISSE!A$5:C$52,3,0)</f>
        <v>420000</v>
      </c>
      <c r="D32" s="6">
        <v>1734</v>
      </c>
      <c r="E32" s="6"/>
      <c r="F32" s="6"/>
      <c r="G32" s="6"/>
      <c r="H32" s="6"/>
      <c r="I32" s="7" t="e">
        <f t="shared" si="0"/>
        <v>#REF!</v>
      </c>
      <c r="J32" s="7" t="e">
        <f>#REF!+#REF!+#REF!+#REF!+#REF!+#REF!+#REF!+#REF!+#REF!+#REF!+#REF!+#REF!</f>
        <v>#REF!</v>
      </c>
      <c r="K32" s="7" t="e">
        <f>#REF!+#REF!+#REF!+#REF!+#REF!+#REF!+#REF!+#REF!+#REF!+#REF!+#REF!+#REF!</f>
        <v>#REF!</v>
      </c>
      <c r="L32" s="7" t="e">
        <f>#REF!+#REF!+#REF!+#REF!+#REF!+#REF!+#REF!+#REF!+#REF!+#REF!+#REF!+#REF!</f>
        <v>#REF!</v>
      </c>
      <c r="M32" s="7" t="e">
        <f>#REF!+#REF!+#REF!+#REF!+#REF!+#REF!+#REF!+#REF!+#REF!+#REF!+#REF!+#REF!</f>
        <v>#REF!</v>
      </c>
      <c r="N32" s="7" t="e">
        <f>#REF!+#REF!+#REF!+#REF!+#REF!+#REF!+#REF!+#REF!+#REF!+#REF!+#REF!+#REF!</f>
        <v>#REF!</v>
      </c>
      <c r="O32" s="7" t="e">
        <f>#REF!+#REF!+#REF!+#REF!+#REF!+#REF!+#REF!+#REF!+#REF!+#REF!+#REF!+#REF!</f>
        <v>#REF!</v>
      </c>
      <c r="P32" s="7" t="e">
        <f>#REF!+#REF!+#REF!+#REF!+#REF!+#REF!+#REF!+#REF!+#REF!+#REF!+#REF!+#REF!</f>
        <v>#REF!</v>
      </c>
      <c r="Q32" s="7" t="e">
        <f>#REF!+#REF!+#REF!+#REF!+#REF!+#REF!+#REF!+#REF!+#REF!+#REF!+#REF!+#REF!</f>
        <v>#REF!</v>
      </c>
      <c r="R32" s="7" t="e">
        <f>#REF!+#REF!+#REF!+#REF!+#REF!+#REF!+#REF!+#REF!+#REF!+#REF!+#REF!+#REF!</f>
        <v>#REF!</v>
      </c>
      <c r="S32" s="7" t="e">
        <f>#REF!+#REF!+#REF!+#REF!+#REF!+#REF!+#REF!+#REF!+#REF!+#REF!+#REF!+#REF!</f>
        <v>#REF!</v>
      </c>
      <c r="T32" s="7" t="e">
        <f>#REF!+#REF!+#REF!+#REF!+#REF!+#REF!+#REF!+#REF!+#REF!+#REF!+#REF!+#REF!</f>
        <v>#REF!</v>
      </c>
      <c r="U32" s="7"/>
    </row>
    <row r="33" spans="1:21" x14ac:dyDescent="0.25">
      <c r="A33" s="1" t="s">
        <v>38</v>
      </c>
      <c r="B33" s="1" t="str">
        <f>VLOOKUP(A33,LISTADHERENT!A$5:H$52,2,0)</f>
        <v>NKAMGANG JUSTIN DEJOLIE</v>
      </c>
      <c r="C33" s="1">
        <f>VLOOKUP(A33,FONDSDECAISSE!A$5:C$52,3,0)</f>
        <v>102800</v>
      </c>
      <c r="D33" s="6">
        <v>0</v>
      </c>
      <c r="E33" s="6"/>
      <c r="F33" s="6"/>
      <c r="G33" s="6"/>
      <c r="H33" s="6"/>
      <c r="I33" s="7" t="e">
        <f t="shared" si="0"/>
        <v>#REF!</v>
      </c>
      <c r="J33" s="7" t="e">
        <f>#REF!+#REF!+#REF!+#REF!+#REF!+#REF!+#REF!+#REF!+#REF!+#REF!+#REF!+#REF!</f>
        <v>#REF!</v>
      </c>
      <c r="K33" s="7" t="e">
        <f>#REF!+#REF!+#REF!+#REF!+#REF!+#REF!+#REF!+#REF!+#REF!+#REF!+#REF!+#REF!</f>
        <v>#REF!</v>
      </c>
      <c r="L33" s="7" t="e">
        <f>#REF!+#REF!+#REF!+#REF!+#REF!+#REF!+#REF!+#REF!+#REF!+#REF!+#REF!+#REF!</f>
        <v>#REF!</v>
      </c>
      <c r="M33" s="7" t="e">
        <f>#REF!+#REF!+#REF!+#REF!+#REF!+#REF!+#REF!+#REF!+#REF!+#REF!+#REF!+#REF!</f>
        <v>#REF!</v>
      </c>
      <c r="N33" s="7" t="e">
        <f>#REF!+#REF!+#REF!+#REF!+#REF!+#REF!+#REF!+#REF!+#REF!+#REF!+#REF!+#REF!</f>
        <v>#REF!</v>
      </c>
      <c r="O33" s="7" t="e">
        <f>#REF!+#REF!+#REF!+#REF!+#REF!+#REF!+#REF!+#REF!+#REF!+#REF!+#REF!+#REF!</f>
        <v>#REF!</v>
      </c>
      <c r="P33" s="7" t="e">
        <f>#REF!+#REF!+#REF!+#REF!+#REF!+#REF!+#REF!+#REF!+#REF!+#REF!+#REF!+#REF!</f>
        <v>#REF!</v>
      </c>
      <c r="Q33" s="7" t="e">
        <f>#REF!+#REF!+#REF!+#REF!+#REF!+#REF!+#REF!+#REF!+#REF!+#REF!+#REF!+#REF!</f>
        <v>#REF!</v>
      </c>
      <c r="R33" s="7" t="e">
        <f>#REF!+#REF!+#REF!+#REF!+#REF!+#REF!+#REF!+#REF!+#REF!+#REF!+#REF!+#REF!</f>
        <v>#REF!</v>
      </c>
      <c r="S33" s="7" t="e">
        <f>#REF!+#REF!+#REF!+#REF!+#REF!+#REF!+#REF!+#REF!+#REF!+#REF!+#REF!+#REF!</f>
        <v>#REF!</v>
      </c>
      <c r="T33" s="7" t="e">
        <f>#REF!+#REF!+#REF!+#REF!+#REF!+#REF!+#REF!+#REF!+#REF!+#REF!+#REF!+#REF!</f>
        <v>#REF!</v>
      </c>
      <c r="U33" s="7"/>
    </row>
    <row r="34" spans="1:21" x14ac:dyDescent="0.25">
      <c r="A34" s="1" t="s">
        <v>39</v>
      </c>
      <c r="B34" s="1" t="str">
        <f>VLOOKUP(A34,LISTADHERENT!A$5:H$52,2,0)</f>
        <v>NKEPSEU DIEUDONNE</v>
      </c>
      <c r="C34" s="1">
        <f>VLOOKUP(A34,FONDSDECAISSE!A$5:C$52,3,0)</f>
        <v>420000</v>
      </c>
      <c r="D34" s="6">
        <v>8739</v>
      </c>
      <c r="E34" s="6"/>
      <c r="F34" s="6"/>
      <c r="G34" s="6"/>
      <c r="H34" s="6"/>
      <c r="I34" s="7" t="e">
        <f t="shared" si="0"/>
        <v>#REF!</v>
      </c>
      <c r="J34" s="7" t="e">
        <f>#REF!+#REF!+#REF!+#REF!+#REF!+#REF!+#REF!+#REF!+#REF!+#REF!+#REF!+#REF!</f>
        <v>#REF!</v>
      </c>
      <c r="K34" s="7" t="e">
        <f>#REF!+#REF!+#REF!+#REF!+#REF!+#REF!+#REF!+#REF!+#REF!+#REF!+#REF!+#REF!</f>
        <v>#REF!</v>
      </c>
      <c r="L34" s="7" t="e">
        <f>#REF!+#REF!+#REF!+#REF!+#REF!+#REF!+#REF!+#REF!+#REF!+#REF!+#REF!+#REF!</f>
        <v>#REF!</v>
      </c>
      <c r="M34" s="7" t="e">
        <f>#REF!+#REF!+#REF!+#REF!+#REF!+#REF!+#REF!+#REF!+#REF!+#REF!+#REF!+#REF!</f>
        <v>#REF!</v>
      </c>
      <c r="N34" s="7" t="e">
        <f>#REF!+#REF!+#REF!+#REF!+#REF!+#REF!+#REF!+#REF!+#REF!+#REF!+#REF!+#REF!</f>
        <v>#REF!</v>
      </c>
      <c r="O34" s="7" t="e">
        <f>#REF!+#REF!+#REF!+#REF!+#REF!+#REF!+#REF!+#REF!+#REF!+#REF!+#REF!+#REF!</f>
        <v>#REF!</v>
      </c>
      <c r="P34" s="7" t="e">
        <f>#REF!+#REF!+#REF!+#REF!+#REF!+#REF!+#REF!+#REF!+#REF!+#REF!+#REF!+#REF!</f>
        <v>#REF!</v>
      </c>
      <c r="Q34" s="7" t="e">
        <f>#REF!+#REF!+#REF!+#REF!+#REF!+#REF!+#REF!+#REF!+#REF!+#REF!+#REF!+#REF!</f>
        <v>#REF!</v>
      </c>
      <c r="R34" s="7" t="e">
        <f>#REF!+#REF!+#REF!+#REF!+#REF!+#REF!+#REF!+#REF!+#REF!+#REF!+#REF!+#REF!</f>
        <v>#REF!</v>
      </c>
      <c r="S34" s="7" t="e">
        <f>#REF!+#REF!+#REF!+#REF!+#REF!+#REF!+#REF!+#REF!+#REF!+#REF!+#REF!+#REF!</f>
        <v>#REF!</v>
      </c>
      <c r="T34" s="7" t="e">
        <f>#REF!+#REF!+#REF!+#REF!+#REF!+#REF!+#REF!+#REF!+#REF!+#REF!+#REF!+#REF!</f>
        <v>#REF!</v>
      </c>
      <c r="U34" s="7"/>
    </row>
    <row r="35" spans="1:21" x14ac:dyDescent="0.25">
      <c r="A35" s="1" t="s">
        <v>40</v>
      </c>
      <c r="B35" s="1" t="str">
        <f>VLOOKUP(A35,LISTADHERENT!A$5:H$52,2,0)</f>
        <v>NKEPSEU HENANG RENE</v>
      </c>
      <c r="C35" s="1">
        <f>VLOOKUP(A35,FONDSDECAISSE!A$5:C$52,3,0)</f>
        <v>390000</v>
      </c>
      <c r="D35" s="6">
        <v>7983</v>
      </c>
      <c r="E35" s="6"/>
      <c r="F35" s="6"/>
      <c r="G35" s="6"/>
      <c r="H35" s="6"/>
      <c r="I35" s="7" t="e">
        <f t="shared" si="0"/>
        <v>#REF!</v>
      </c>
      <c r="J35" s="7" t="e">
        <f>#REF!+#REF!+#REF!+#REF!+#REF!+#REF!+#REF!+#REF!+#REF!+#REF!+#REF!+#REF!</f>
        <v>#REF!</v>
      </c>
      <c r="K35" s="7" t="e">
        <f>#REF!+#REF!+#REF!+#REF!+#REF!+#REF!+#REF!+#REF!+#REF!+#REF!+#REF!+#REF!</f>
        <v>#REF!</v>
      </c>
      <c r="L35" s="7" t="e">
        <f>#REF!+#REF!+#REF!+#REF!+#REF!+#REF!+#REF!+#REF!+#REF!+#REF!+#REF!+#REF!</f>
        <v>#REF!</v>
      </c>
      <c r="M35" s="7" t="e">
        <f>#REF!+#REF!+#REF!+#REF!+#REF!+#REF!+#REF!+#REF!+#REF!+#REF!+#REF!+#REF!</f>
        <v>#REF!</v>
      </c>
      <c r="N35" s="7" t="e">
        <f>#REF!+#REF!+#REF!+#REF!+#REF!+#REF!+#REF!+#REF!+#REF!+#REF!+#REF!+#REF!</f>
        <v>#REF!</v>
      </c>
      <c r="O35" s="7" t="e">
        <f>#REF!+#REF!+#REF!+#REF!+#REF!+#REF!+#REF!+#REF!+#REF!+#REF!+#REF!+#REF!</f>
        <v>#REF!</v>
      </c>
      <c r="P35" s="7" t="e">
        <f>#REF!+#REF!+#REF!+#REF!+#REF!+#REF!+#REF!+#REF!+#REF!+#REF!+#REF!+#REF!</f>
        <v>#REF!</v>
      </c>
      <c r="Q35" s="7" t="e">
        <f>#REF!+#REF!+#REF!+#REF!+#REF!+#REF!+#REF!+#REF!+#REF!+#REF!+#REF!+#REF!</f>
        <v>#REF!</v>
      </c>
      <c r="R35" s="7" t="e">
        <f>#REF!+#REF!+#REF!+#REF!+#REF!+#REF!+#REF!+#REF!+#REF!+#REF!+#REF!+#REF!</f>
        <v>#REF!</v>
      </c>
      <c r="S35" s="7" t="e">
        <f>#REF!+#REF!+#REF!+#REF!+#REF!+#REF!+#REF!+#REF!+#REF!+#REF!+#REF!+#REF!</f>
        <v>#REF!</v>
      </c>
      <c r="T35" s="7" t="e">
        <f>#REF!+#REF!+#REF!+#REF!+#REF!+#REF!+#REF!+#REF!+#REF!+#REF!+#REF!+#REF!</f>
        <v>#REF!</v>
      </c>
      <c r="U35" s="7"/>
    </row>
    <row r="36" spans="1:21" x14ac:dyDescent="0.25">
      <c r="A36" s="1" t="s">
        <v>41</v>
      </c>
      <c r="B36" s="1" t="str">
        <f>VLOOKUP(A36,LISTADHERENT!A$5:H$52,2,0)</f>
        <v>NTEPDIE TUEMAC MZ</v>
      </c>
      <c r="C36" s="1">
        <f>VLOOKUP(A36,FONDSDECAISSE!A$5:C$52,3,0)</f>
        <v>0</v>
      </c>
      <c r="D36" s="6">
        <v>0</v>
      </c>
      <c r="E36" s="6"/>
      <c r="F36" s="6"/>
      <c r="G36" s="6"/>
      <c r="H36" s="6"/>
      <c r="I36" s="7" t="e">
        <f t="shared" si="0"/>
        <v>#REF!</v>
      </c>
      <c r="J36" s="7" t="e">
        <f>#REF!+#REF!+#REF!+#REF!+#REF!+#REF!+#REF!+#REF!+#REF!+#REF!+#REF!+#REF!</f>
        <v>#REF!</v>
      </c>
      <c r="K36" s="7" t="e">
        <f>#REF!+#REF!+#REF!+#REF!+#REF!+#REF!+#REF!+#REF!+#REF!+#REF!+#REF!+#REF!</f>
        <v>#REF!</v>
      </c>
      <c r="L36" s="7" t="e">
        <f>#REF!+#REF!+#REF!+#REF!+#REF!+#REF!+#REF!+#REF!+#REF!+#REF!+#REF!+#REF!</f>
        <v>#REF!</v>
      </c>
      <c r="M36" s="7" t="e">
        <f>#REF!+#REF!+#REF!+#REF!+#REF!+#REF!+#REF!+#REF!+#REF!+#REF!+#REF!+#REF!</f>
        <v>#REF!</v>
      </c>
      <c r="N36" s="7" t="e">
        <f>#REF!+#REF!+#REF!+#REF!+#REF!+#REF!+#REF!+#REF!+#REF!+#REF!+#REF!+#REF!</f>
        <v>#REF!</v>
      </c>
      <c r="O36" s="7" t="e">
        <f>#REF!+#REF!+#REF!+#REF!+#REF!+#REF!+#REF!+#REF!+#REF!+#REF!+#REF!+#REF!</f>
        <v>#REF!</v>
      </c>
      <c r="P36" s="7" t="e">
        <f>#REF!+#REF!+#REF!+#REF!+#REF!+#REF!+#REF!+#REF!+#REF!+#REF!+#REF!+#REF!</f>
        <v>#REF!</v>
      </c>
      <c r="Q36" s="7" t="e">
        <f>#REF!+#REF!+#REF!+#REF!+#REF!+#REF!+#REF!+#REF!+#REF!+#REF!+#REF!+#REF!</f>
        <v>#REF!</v>
      </c>
      <c r="R36" s="7" t="e">
        <f>#REF!+#REF!+#REF!+#REF!+#REF!+#REF!+#REF!+#REF!+#REF!+#REF!+#REF!+#REF!</f>
        <v>#REF!</v>
      </c>
      <c r="S36" s="7" t="e">
        <f>#REF!+#REF!+#REF!+#REF!+#REF!+#REF!+#REF!+#REF!+#REF!+#REF!+#REF!+#REF!</f>
        <v>#REF!</v>
      </c>
      <c r="T36" s="7" t="e">
        <f>#REF!+#REF!+#REF!+#REF!+#REF!+#REF!+#REF!+#REF!+#REF!+#REF!+#REF!+#REF!</f>
        <v>#REF!</v>
      </c>
      <c r="U36" s="7"/>
    </row>
    <row r="37" spans="1:21" x14ac:dyDescent="0.25">
      <c r="A37" s="1" t="s">
        <v>42</v>
      </c>
      <c r="B37" s="1" t="str">
        <f>VLOOKUP(A37,LISTADHERENT!A$5:H$52,2,0)</f>
        <v>NTOMBOU ADOLPHE</v>
      </c>
      <c r="C37" s="1">
        <f>VLOOKUP(A37,FONDSDECAISSE!A$5:C$52,3,0)</f>
        <v>0</v>
      </c>
      <c r="D37" s="6">
        <v>0</v>
      </c>
      <c r="E37" s="6"/>
      <c r="F37" s="6"/>
      <c r="G37" s="6"/>
      <c r="H37" s="6"/>
      <c r="I37" s="7" t="e">
        <f t="shared" si="0"/>
        <v>#REF!</v>
      </c>
      <c r="J37" s="7" t="e">
        <f>#REF!+#REF!+#REF!+#REF!+#REF!+#REF!+#REF!+#REF!+#REF!+#REF!+#REF!+#REF!</f>
        <v>#REF!</v>
      </c>
      <c r="K37" s="7" t="e">
        <f>#REF!+#REF!+#REF!+#REF!+#REF!+#REF!+#REF!+#REF!+#REF!+#REF!+#REF!+#REF!</f>
        <v>#REF!</v>
      </c>
      <c r="L37" s="7" t="e">
        <f>#REF!+#REF!+#REF!+#REF!+#REF!+#REF!+#REF!+#REF!+#REF!+#REF!+#REF!+#REF!</f>
        <v>#REF!</v>
      </c>
      <c r="M37" s="7" t="e">
        <f>#REF!+#REF!+#REF!+#REF!+#REF!+#REF!+#REF!+#REF!+#REF!+#REF!+#REF!+#REF!</f>
        <v>#REF!</v>
      </c>
      <c r="N37" s="7" t="e">
        <f>#REF!+#REF!+#REF!+#REF!+#REF!+#REF!+#REF!+#REF!+#REF!+#REF!+#REF!+#REF!</f>
        <v>#REF!</v>
      </c>
      <c r="O37" s="7" t="e">
        <f>#REF!+#REF!+#REF!+#REF!+#REF!+#REF!+#REF!+#REF!+#REF!+#REF!+#REF!+#REF!</f>
        <v>#REF!</v>
      </c>
      <c r="P37" s="7" t="e">
        <f>#REF!+#REF!+#REF!+#REF!+#REF!+#REF!+#REF!+#REF!+#REF!+#REF!+#REF!+#REF!</f>
        <v>#REF!</v>
      </c>
      <c r="Q37" s="7" t="e">
        <f>#REF!+#REF!+#REF!+#REF!+#REF!+#REF!+#REF!+#REF!+#REF!+#REF!+#REF!+#REF!</f>
        <v>#REF!</v>
      </c>
      <c r="R37" s="7" t="e">
        <f>#REF!+#REF!+#REF!+#REF!+#REF!+#REF!+#REF!+#REF!+#REF!+#REF!+#REF!+#REF!</f>
        <v>#REF!</v>
      </c>
      <c r="S37" s="7" t="e">
        <f>#REF!+#REF!+#REF!+#REF!+#REF!+#REF!+#REF!+#REF!+#REF!+#REF!+#REF!+#REF!</f>
        <v>#REF!</v>
      </c>
      <c r="T37" s="7" t="e">
        <f>#REF!+#REF!+#REF!+#REF!+#REF!+#REF!+#REF!+#REF!+#REF!+#REF!+#REF!+#REF!</f>
        <v>#REF!</v>
      </c>
      <c r="U37" s="7"/>
    </row>
    <row r="38" spans="1:21" x14ac:dyDescent="0.25">
      <c r="A38" s="1" t="s">
        <v>43</v>
      </c>
      <c r="B38" s="1" t="str">
        <f>VLOOKUP(A38,LISTADHERENT!A$5:H$52,2,0)</f>
        <v>PATEGO NJOSSU GUSTAVE</v>
      </c>
      <c r="C38" s="1">
        <f>VLOOKUP(A38,FONDSDECAISSE!A$5:C$52,3,0)</f>
        <v>420000</v>
      </c>
      <c r="D38" s="6">
        <v>140</v>
      </c>
      <c r="E38" s="6"/>
      <c r="F38" s="6"/>
      <c r="G38" s="6"/>
      <c r="H38" s="6"/>
      <c r="I38" s="7" t="e">
        <f t="shared" si="0"/>
        <v>#REF!</v>
      </c>
      <c r="J38" s="7" t="e">
        <f>#REF!+#REF!+#REF!+#REF!+#REF!+#REF!+#REF!+#REF!+#REF!+#REF!+#REF!+#REF!</f>
        <v>#REF!</v>
      </c>
      <c r="K38" s="7" t="e">
        <f>#REF!+#REF!+#REF!+#REF!+#REF!+#REF!+#REF!+#REF!+#REF!+#REF!+#REF!+#REF!</f>
        <v>#REF!</v>
      </c>
      <c r="L38" s="7" t="e">
        <f>#REF!+#REF!+#REF!+#REF!+#REF!+#REF!+#REF!+#REF!+#REF!+#REF!+#REF!+#REF!</f>
        <v>#REF!</v>
      </c>
      <c r="M38" s="7" t="e">
        <f>#REF!+#REF!+#REF!+#REF!+#REF!+#REF!+#REF!+#REF!+#REF!+#REF!+#REF!+#REF!</f>
        <v>#REF!</v>
      </c>
      <c r="N38" s="7" t="e">
        <f>#REF!+#REF!+#REF!+#REF!+#REF!+#REF!+#REF!+#REF!+#REF!+#REF!+#REF!+#REF!</f>
        <v>#REF!</v>
      </c>
      <c r="O38" s="7" t="e">
        <f>#REF!+#REF!+#REF!+#REF!+#REF!+#REF!+#REF!+#REF!+#REF!+#REF!+#REF!+#REF!</f>
        <v>#REF!</v>
      </c>
      <c r="P38" s="7" t="e">
        <f>#REF!+#REF!+#REF!+#REF!+#REF!+#REF!+#REF!+#REF!+#REF!+#REF!+#REF!+#REF!</f>
        <v>#REF!</v>
      </c>
      <c r="Q38" s="7" t="e">
        <f>#REF!+#REF!+#REF!+#REF!+#REF!+#REF!+#REF!+#REF!+#REF!+#REF!+#REF!+#REF!</f>
        <v>#REF!</v>
      </c>
      <c r="R38" s="7" t="e">
        <f>#REF!+#REF!+#REF!+#REF!+#REF!+#REF!+#REF!+#REF!+#REF!+#REF!+#REF!+#REF!</f>
        <v>#REF!</v>
      </c>
      <c r="S38" s="7" t="e">
        <f>#REF!+#REF!+#REF!+#REF!+#REF!+#REF!+#REF!+#REF!+#REF!+#REF!+#REF!+#REF!</f>
        <v>#REF!</v>
      </c>
      <c r="T38" s="7" t="e">
        <f>#REF!+#REF!+#REF!+#REF!+#REF!+#REF!+#REF!+#REF!+#REF!+#REF!+#REF!+#REF!</f>
        <v>#REF!</v>
      </c>
      <c r="U38" s="7"/>
    </row>
    <row r="39" spans="1:21" x14ac:dyDescent="0.25">
      <c r="A39" s="1" t="s">
        <v>44</v>
      </c>
      <c r="B39" s="1" t="str">
        <f>VLOOKUP(A39,LISTADHERENT!A$5:H$52,2,0)</f>
        <v>SEUNOU RICHELOT</v>
      </c>
      <c r="C39" s="1">
        <f>VLOOKUP(A39,FONDSDECAISSE!A$5:C$52,3,0)</f>
        <v>420000</v>
      </c>
      <c r="D39" s="6">
        <v>2632</v>
      </c>
      <c r="E39" s="6"/>
      <c r="F39" s="6"/>
      <c r="G39" s="6"/>
      <c r="H39" s="6"/>
      <c r="I39" s="7" t="e">
        <f t="shared" si="0"/>
        <v>#REF!</v>
      </c>
      <c r="J39" s="7" t="e">
        <f>#REF!+#REF!+#REF!+#REF!+#REF!+#REF!+#REF!+#REF!+#REF!+#REF!+#REF!+#REF!</f>
        <v>#REF!</v>
      </c>
      <c r="K39" s="7" t="e">
        <f>#REF!+#REF!+#REF!+#REF!+#REF!+#REF!+#REF!+#REF!+#REF!+#REF!+#REF!+#REF!</f>
        <v>#REF!</v>
      </c>
      <c r="L39" s="7" t="e">
        <f>#REF!+#REF!+#REF!+#REF!+#REF!+#REF!+#REF!+#REF!+#REF!+#REF!+#REF!+#REF!</f>
        <v>#REF!</v>
      </c>
      <c r="M39" s="7" t="e">
        <f>#REF!+#REF!+#REF!+#REF!+#REF!+#REF!+#REF!+#REF!+#REF!+#REF!+#REF!+#REF!</f>
        <v>#REF!</v>
      </c>
      <c r="N39" s="7" t="e">
        <f>#REF!+#REF!+#REF!+#REF!+#REF!+#REF!+#REF!+#REF!+#REF!+#REF!+#REF!+#REF!</f>
        <v>#REF!</v>
      </c>
      <c r="O39" s="7" t="e">
        <f>#REF!+#REF!+#REF!+#REF!+#REF!+#REF!+#REF!+#REF!+#REF!+#REF!+#REF!+#REF!</f>
        <v>#REF!</v>
      </c>
      <c r="P39" s="7" t="e">
        <f>#REF!+#REF!+#REF!+#REF!+#REF!+#REF!+#REF!+#REF!+#REF!+#REF!+#REF!+#REF!</f>
        <v>#REF!</v>
      </c>
      <c r="Q39" s="7" t="e">
        <f>#REF!+#REF!+#REF!+#REF!+#REF!+#REF!+#REF!+#REF!+#REF!+#REF!+#REF!+#REF!</f>
        <v>#REF!</v>
      </c>
      <c r="R39" s="7" t="e">
        <f>#REF!+#REF!+#REF!+#REF!+#REF!+#REF!+#REF!+#REF!+#REF!+#REF!+#REF!+#REF!</f>
        <v>#REF!</v>
      </c>
      <c r="S39" s="7" t="e">
        <f>#REF!+#REF!+#REF!+#REF!+#REF!+#REF!+#REF!+#REF!+#REF!+#REF!+#REF!+#REF!</f>
        <v>#REF!</v>
      </c>
      <c r="T39" s="7" t="e">
        <f>#REF!+#REF!+#REF!+#REF!+#REF!+#REF!+#REF!+#REF!+#REF!+#REF!+#REF!+#REF!</f>
        <v>#REF!</v>
      </c>
      <c r="U39" s="7"/>
    </row>
    <row r="40" spans="1:21" x14ac:dyDescent="0.25">
      <c r="A40" s="1" t="s">
        <v>45</v>
      </c>
      <c r="B40" s="1" t="str">
        <f>VLOOKUP(A40,LISTADHERENT!A$5:H$52,2,0)</f>
        <v>SIME ABEL</v>
      </c>
      <c r="C40" s="1">
        <f>VLOOKUP(A40,FONDSDECAISSE!A$5:C$52,3,0)</f>
        <v>390000</v>
      </c>
      <c r="D40" s="6">
        <v>0</v>
      </c>
      <c r="E40" s="6"/>
      <c r="F40" s="6"/>
      <c r="G40" s="6"/>
      <c r="H40" s="6"/>
      <c r="I40" s="7" t="e">
        <f t="shared" si="0"/>
        <v>#REF!</v>
      </c>
      <c r="J40" s="7" t="e">
        <f>#REF!+#REF!+#REF!+#REF!+#REF!+#REF!+#REF!+#REF!+#REF!+#REF!+#REF!+#REF!</f>
        <v>#REF!</v>
      </c>
      <c r="K40" s="7" t="e">
        <f>#REF!+#REF!+#REF!+#REF!+#REF!+#REF!+#REF!+#REF!+#REF!+#REF!+#REF!+#REF!</f>
        <v>#REF!</v>
      </c>
      <c r="L40" s="7" t="e">
        <f>#REF!+#REF!+#REF!+#REF!+#REF!+#REF!+#REF!+#REF!+#REF!+#REF!+#REF!+#REF!</f>
        <v>#REF!</v>
      </c>
      <c r="M40" s="7" t="e">
        <f>#REF!+#REF!+#REF!+#REF!+#REF!+#REF!+#REF!+#REF!+#REF!+#REF!+#REF!+#REF!</f>
        <v>#REF!</v>
      </c>
      <c r="N40" s="7" t="e">
        <f>#REF!+#REF!+#REF!+#REF!+#REF!+#REF!+#REF!+#REF!+#REF!+#REF!+#REF!+#REF!</f>
        <v>#REF!</v>
      </c>
      <c r="O40" s="7" t="e">
        <f>#REF!+#REF!+#REF!+#REF!+#REF!+#REF!+#REF!+#REF!+#REF!+#REF!+#REF!+#REF!</f>
        <v>#REF!</v>
      </c>
      <c r="P40" s="7" t="e">
        <f>#REF!+#REF!+#REF!+#REF!+#REF!+#REF!+#REF!+#REF!+#REF!+#REF!+#REF!+#REF!</f>
        <v>#REF!</v>
      </c>
      <c r="Q40" s="7" t="e">
        <f>#REF!+#REF!+#REF!+#REF!+#REF!+#REF!+#REF!+#REF!+#REF!+#REF!+#REF!+#REF!</f>
        <v>#REF!</v>
      </c>
      <c r="R40" s="7" t="e">
        <f>#REF!+#REF!+#REF!+#REF!+#REF!+#REF!+#REF!+#REF!+#REF!+#REF!+#REF!+#REF!</f>
        <v>#REF!</v>
      </c>
      <c r="S40" s="7" t="e">
        <f>#REF!+#REF!+#REF!+#REF!+#REF!+#REF!+#REF!+#REF!+#REF!+#REF!+#REF!+#REF!</f>
        <v>#REF!</v>
      </c>
      <c r="T40" s="7" t="e">
        <f>#REF!+#REF!+#REF!+#REF!+#REF!+#REF!+#REF!+#REF!+#REF!+#REF!+#REF!+#REF!</f>
        <v>#REF!</v>
      </c>
      <c r="U40" s="7"/>
    </row>
    <row r="41" spans="1:21" x14ac:dyDescent="0.25">
      <c r="A41" s="1" t="s">
        <v>46</v>
      </c>
      <c r="B41" s="1" t="str">
        <f>VLOOKUP(A41,LISTADHERENT!A$5:H$52,2,0)</f>
        <v>SIME FONGANG ERIC</v>
      </c>
      <c r="C41" s="1">
        <f>VLOOKUP(A41,FONDSDECAISSE!A$5:C$52,3,0)</f>
        <v>420000</v>
      </c>
      <c r="D41" s="6">
        <v>982</v>
      </c>
      <c r="E41" s="6"/>
      <c r="F41" s="6"/>
      <c r="G41" s="6"/>
      <c r="H41" s="6"/>
      <c r="I41" s="7" t="e">
        <f t="shared" si="0"/>
        <v>#REF!</v>
      </c>
      <c r="J41" s="7" t="e">
        <f>#REF!+#REF!+#REF!+#REF!+#REF!+#REF!+#REF!+#REF!+#REF!+#REF!+#REF!+#REF!</f>
        <v>#REF!</v>
      </c>
      <c r="K41" s="7" t="e">
        <f>#REF!+#REF!+#REF!+#REF!+#REF!+#REF!+#REF!+#REF!+#REF!+#REF!+#REF!+#REF!</f>
        <v>#REF!</v>
      </c>
      <c r="L41" s="7" t="e">
        <f>#REF!+#REF!+#REF!+#REF!+#REF!+#REF!+#REF!+#REF!+#REF!+#REF!+#REF!+#REF!</f>
        <v>#REF!</v>
      </c>
      <c r="M41" s="7" t="e">
        <f>#REF!+#REF!+#REF!+#REF!+#REF!+#REF!+#REF!+#REF!+#REF!+#REF!+#REF!+#REF!</f>
        <v>#REF!</v>
      </c>
      <c r="N41" s="7" t="e">
        <f>#REF!+#REF!+#REF!+#REF!+#REF!+#REF!+#REF!+#REF!+#REF!+#REF!+#REF!+#REF!</f>
        <v>#REF!</v>
      </c>
      <c r="O41" s="7" t="e">
        <f>#REF!+#REF!+#REF!+#REF!+#REF!+#REF!+#REF!+#REF!+#REF!+#REF!+#REF!+#REF!</f>
        <v>#REF!</v>
      </c>
      <c r="P41" s="7" t="e">
        <f>#REF!+#REF!+#REF!+#REF!+#REF!+#REF!+#REF!+#REF!+#REF!+#REF!+#REF!+#REF!</f>
        <v>#REF!</v>
      </c>
      <c r="Q41" s="7" t="e">
        <f>#REF!+#REF!+#REF!+#REF!+#REF!+#REF!+#REF!+#REF!+#REF!+#REF!+#REF!+#REF!</f>
        <v>#REF!</v>
      </c>
      <c r="R41" s="7" t="e">
        <f>#REF!+#REF!+#REF!+#REF!+#REF!+#REF!+#REF!+#REF!+#REF!+#REF!+#REF!+#REF!</f>
        <v>#REF!</v>
      </c>
      <c r="S41" s="7" t="e">
        <f>#REF!+#REF!+#REF!+#REF!+#REF!+#REF!+#REF!+#REF!+#REF!+#REF!+#REF!+#REF!</f>
        <v>#REF!</v>
      </c>
      <c r="T41" s="7" t="e">
        <f>#REF!+#REF!+#REF!+#REF!+#REF!+#REF!+#REF!+#REF!+#REF!+#REF!+#REF!+#REF!</f>
        <v>#REF!</v>
      </c>
      <c r="U41" s="7"/>
    </row>
    <row r="42" spans="1:21" x14ac:dyDescent="0.25">
      <c r="A42" s="1" t="s">
        <v>47</v>
      </c>
      <c r="B42" s="1" t="str">
        <f>VLOOKUP(A42,LISTADHERENT!A$5:H$52,2,0)</f>
        <v>SIME MATHIEU</v>
      </c>
      <c r="C42" s="1">
        <f>VLOOKUP(A42,FONDSDECAISSE!A$5:C$52,3,0)</f>
        <v>420000</v>
      </c>
      <c r="D42" s="6">
        <v>636</v>
      </c>
      <c r="E42" s="6"/>
      <c r="F42" s="6"/>
      <c r="G42" s="6"/>
      <c r="H42" s="6"/>
      <c r="I42" s="7" t="e">
        <f t="shared" si="0"/>
        <v>#REF!</v>
      </c>
      <c r="J42" s="7" t="e">
        <f>#REF!+#REF!+#REF!+#REF!+#REF!+#REF!+#REF!+#REF!+#REF!+#REF!+#REF!+#REF!</f>
        <v>#REF!</v>
      </c>
      <c r="K42" s="7" t="e">
        <f>#REF!+#REF!+#REF!+#REF!+#REF!+#REF!+#REF!+#REF!+#REF!+#REF!+#REF!+#REF!</f>
        <v>#REF!</v>
      </c>
      <c r="L42" s="7" t="e">
        <f>#REF!+#REF!+#REF!+#REF!+#REF!+#REF!+#REF!+#REF!+#REF!+#REF!+#REF!+#REF!</f>
        <v>#REF!</v>
      </c>
      <c r="M42" s="7" t="e">
        <f>#REF!+#REF!+#REF!+#REF!+#REF!+#REF!+#REF!+#REF!+#REF!+#REF!+#REF!+#REF!</f>
        <v>#REF!</v>
      </c>
      <c r="N42" s="7" t="e">
        <f>#REF!+#REF!+#REF!+#REF!+#REF!+#REF!+#REF!+#REF!+#REF!+#REF!+#REF!+#REF!</f>
        <v>#REF!</v>
      </c>
      <c r="O42" s="7" t="e">
        <f>#REF!+#REF!+#REF!+#REF!+#REF!+#REF!+#REF!+#REF!+#REF!+#REF!+#REF!+#REF!</f>
        <v>#REF!</v>
      </c>
      <c r="P42" s="7" t="e">
        <f>#REF!+#REF!+#REF!+#REF!+#REF!+#REF!+#REF!+#REF!+#REF!+#REF!+#REF!+#REF!</f>
        <v>#REF!</v>
      </c>
      <c r="Q42" s="7" t="e">
        <f>#REF!+#REF!+#REF!+#REF!+#REF!+#REF!+#REF!+#REF!+#REF!+#REF!+#REF!+#REF!</f>
        <v>#REF!</v>
      </c>
      <c r="R42" s="7" t="e">
        <f>#REF!+#REF!+#REF!+#REF!+#REF!+#REF!+#REF!+#REF!+#REF!+#REF!+#REF!+#REF!</f>
        <v>#REF!</v>
      </c>
      <c r="S42" s="7" t="e">
        <f>#REF!+#REF!+#REF!+#REF!+#REF!+#REF!+#REF!+#REF!+#REF!+#REF!+#REF!+#REF!</f>
        <v>#REF!</v>
      </c>
      <c r="T42" s="7" t="e">
        <f>#REF!+#REF!+#REF!+#REF!+#REF!+#REF!+#REF!+#REF!+#REF!+#REF!+#REF!+#REF!</f>
        <v>#REF!</v>
      </c>
      <c r="U42" s="7"/>
    </row>
    <row r="43" spans="1:21" x14ac:dyDescent="0.25">
      <c r="A43" s="1" t="s">
        <v>48</v>
      </c>
      <c r="B43" s="1" t="str">
        <f>VLOOKUP(A43,LISTADHERENT!A$5:H$52,2,0)</f>
        <v>SIME PIERRE</v>
      </c>
      <c r="C43" s="1">
        <f>VLOOKUP(A43,FONDSDECAISSE!A$5:C$52,3,0)</f>
        <v>420000</v>
      </c>
      <c r="D43" s="6">
        <v>146079</v>
      </c>
      <c r="E43" s="6"/>
      <c r="F43" s="6"/>
      <c r="G43" s="6"/>
      <c r="H43" s="6"/>
      <c r="I43" s="7" t="e">
        <f t="shared" si="0"/>
        <v>#REF!</v>
      </c>
      <c r="J43" s="7" t="e">
        <f>#REF!+#REF!+#REF!+#REF!+#REF!+#REF!+#REF!+#REF!+#REF!+#REF!+#REF!+#REF!</f>
        <v>#REF!</v>
      </c>
      <c r="K43" s="7" t="e">
        <f>#REF!+#REF!+#REF!+#REF!+#REF!+#REF!+#REF!+#REF!+#REF!+#REF!+#REF!+#REF!</f>
        <v>#REF!</v>
      </c>
      <c r="L43" s="7" t="e">
        <f>#REF!+#REF!+#REF!+#REF!+#REF!+#REF!+#REF!+#REF!+#REF!+#REF!+#REF!+#REF!</f>
        <v>#REF!</v>
      </c>
      <c r="M43" s="7" t="e">
        <f>#REF!+#REF!+#REF!+#REF!+#REF!+#REF!+#REF!+#REF!+#REF!+#REF!+#REF!+#REF!</f>
        <v>#REF!</v>
      </c>
      <c r="N43" s="7" t="e">
        <f>#REF!+#REF!+#REF!+#REF!+#REF!+#REF!+#REF!+#REF!+#REF!+#REF!+#REF!+#REF!</f>
        <v>#REF!</v>
      </c>
      <c r="O43" s="7" t="e">
        <f>#REF!+#REF!+#REF!+#REF!+#REF!+#REF!+#REF!+#REF!+#REF!+#REF!+#REF!+#REF!</f>
        <v>#REF!</v>
      </c>
      <c r="P43" s="7" t="e">
        <f>#REF!+#REF!+#REF!+#REF!+#REF!+#REF!+#REF!+#REF!+#REF!+#REF!+#REF!+#REF!</f>
        <v>#REF!</v>
      </c>
      <c r="Q43" s="7" t="e">
        <f>#REF!+#REF!+#REF!+#REF!+#REF!+#REF!+#REF!+#REF!+#REF!+#REF!+#REF!+#REF!</f>
        <v>#REF!</v>
      </c>
      <c r="R43" s="7" t="e">
        <f>#REF!+#REF!+#REF!+#REF!+#REF!+#REF!+#REF!+#REF!+#REF!+#REF!+#REF!+#REF!</f>
        <v>#REF!</v>
      </c>
      <c r="S43" s="7" t="e">
        <f>#REF!+#REF!+#REF!+#REF!+#REF!+#REF!+#REF!+#REF!+#REF!+#REF!+#REF!+#REF!</f>
        <v>#REF!</v>
      </c>
      <c r="T43" s="7" t="e">
        <f>#REF!+#REF!+#REF!+#REF!+#REF!+#REF!+#REF!+#REF!+#REF!+#REF!+#REF!+#REF!</f>
        <v>#REF!</v>
      </c>
      <c r="U43" s="7"/>
    </row>
    <row r="44" spans="1:21" x14ac:dyDescent="0.25">
      <c r="A44" s="1" t="s">
        <v>49</v>
      </c>
      <c r="B44" s="1" t="str">
        <f>VLOOKUP(A44,LISTADHERENT!A$5:H$52,2,0)</f>
        <v>TAGNE NANGUEN MARTIN</v>
      </c>
      <c r="C44" s="1">
        <f>VLOOKUP(A44,FONDSDECAISSE!A$5:C$52,3,0)</f>
        <v>390000</v>
      </c>
      <c r="D44" s="6">
        <v>0</v>
      </c>
      <c r="E44" s="6"/>
      <c r="F44" s="6"/>
      <c r="G44" s="6"/>
      <c r="H44" s="6"/>
      <c r="I44" s="7" t="e">
        <f t="shared" si="0"/>
        <v>#REF!</v>
      </c>
      <c r="J44" s="7" t="e">
        <f>#REF!+#REF!+#REF!+#REF!+#REF!+#REF!+#REF!+#REF!+#REF!+#REF!+#REF!+#REF!</f>
        <v>#REF!</v>
      </c>
      <c r="K44" s="7" t="e">
        <f>#REF!+#REF!+#REF!+#REF!+#REF!+#REF!+#REF!+#REF!+#REF!+#REF!+#REF!+#REF!</f>
        <v>#REF!</v>
      </c>
      <c r="L44" s="7" t="e">
        <f>#REF!+#REF!+#REF!+#REF!+#REF!+#REF!+#REF!+#REF!+#REF!+#REF!+#REF!+#REF!</f>
        <v>#REF!</v>
      </c>
      <c r="M44" s="7" t="e">
        <f>#REF!+#REF!+#REF!+#REF!+#REF!+#REF!+#REF!+#REF!+#REF!+#REF!+#REF!+#REF!</f>
        <v>#REF!</v>
      </c>
      <c r="N44" s="7" t="e">
        <f>#REF!+#REF!+#REF!+#REF!+#REF!+#REF!+#REF!+#REF!+#REF!+#REF!+#REF!+#REF!</f>
        <v>#REF!</v>
      </c>
      <c r="O44" s="7" t="e">
        <f>#REF!+#REF!+#REF!+#REF!+#REF!+#REF!+#REF!+#REF!+#REF!+#REF!+#REF!+#REF!</f>
        <v>#REF!</v>
      </c>
      <c r="P44" s="7" t="e">
        <f>#REF!+#REF!+#REF!+#REF!+#REF!+#REF!+#REF!+#REF!+#REF!+#REF!+#REF!+#REF!</f>
        <v>#REF!</v>
      </c>
      <c r="Q44" s="7" t="e">
        <f>#REF!+#REF!+#REF!+#REF!+#REF!+#REF!+#REF!+#REF!+#REF!+#REF!+#REF!+#REF!</f>
        <v>#REF!</v>
      </c>
      <c r="R44" s="7" t="e">
        <f>#REF!+#REF!+#REF!+#REF!+#REF!+#REF!+#REF!+#REF!+#REF!+#REF!+#REF!+#REF!</f>
        <v>#REF!</v>
      </c>
      <c r="S44" s="7" t="e">
        <f>#REF!+#REF!+#REF!+#REF!+#REF!+#REF!+#REF!+#REF!+#REF!+#REF!+#REF!+#REF!</f>
        <v>#REF!</v>
      </c>
      <c r="T44" s="7" t="e">
        <f>#REF!+#REF!+#REF!+#REF!+#REF!+#REF!+#REF!+#REF!+#REF!+#REF!+#REF!+#REF!</f>
        <v>#REF!</v>
      </c>
      <c r="U44" s="7"/>
    </row>
    <row r="45" spans="1:21" x14ac:dyDescent="0.25">
      <c r="A45" s="1" t="s">
        <v>50</v>
      </c>
      <c r="B45" s="1" t="str">
        <f>VLOOKUP(A45,LISTADHERENT!A$5:H$52,2,0)</f>
        <v>TCHOUAMOU JEAN PAUL</v>
      </c>
      <c r="C45" s="1">
        <f>VLOOKUP(A45,FONDSDECAISSE!A$5:C$52,3,0)</f>
        <v>0</v>
      </c>
      <c r="D45" s="6">
        <v>0</v>
      </c>
      <c r="E45" s="6"/>
      <c r="F45" s="6"/>
      <c r="G45" s="6"/>
      <c r="H45" s="6"/>
      <c r="I45" s="7" t="e">
        <f t="shared" si="0"/>
        <v>#REF!</v>
      </c>
      <c r="J45" s="7" t="e">
        <f>#REF!+#REF!+#REF!+#REF!+#REF!+#REF!+#REF!+#REF!+#REF!+#REF!+#REF!+#REF!</f>
        <v>#REF!</v>
      </c>
      <c r="K45" s="7" t="e">
        <f>#REF!+#REF!+#REF!+#REF!+#REF!+#REF!+#REF!+#REF!+#REF!+#REF!+#REF!+#REF!</f>
        <v>#REF!</v>
      </c>
      <c r="L45" s="7" t="e">
        <f>#REF!+#REF!+#REF!+#REF!+#REF!+#REF!+#REF!+#REF!+#REF!+#REF!+#REF!+#REF!</f>
        <v>#REF!</v>
      </c>
      <c r="M45" s="7" t="e">
        <f>#REF!+#REF!+#REF!+#REF!+#REF!+#REF!+#REF!+#REF!+#REF!+#REF!+#REF!+#REF!</f>
        <v>#REF!</v>
      </c>
      <c r="N45" s="7" t="e">
        <f>#REF!+#REF!+#REF!+#REF!+#REF!+#REF!+#REF!+#REF!+#REF!+#REF!+#REF!+#REF!</f>
        <v>#REF!</v>
      </c>
      <c r="O45" s="7" t="e">
        <f>#REF!+#REF!+#REF!+#REF!+#REF!+#REF!+#REF!+#REF!+#REF!+#REF!+#REF!+#REF!</f>
        <v>#REF!</v>
      </c>
      <c r="P45" s="7" t="e">
        <f>#REF!+#REF!+#REF!+#REF!+#REF!+#REF!+#REF!+#REF!+#REF!+#REF!+#REF!+#REF!</f>
        <v>#REF!</v>
      </c>
      <c r="Q45" s="7" t="e">
        <f>#REF!+#REF!+#REF!+#REF!+#REF!+#REF!+#REF!+#REF!+#REF!+#REF!+#REF!+#REF!</f>
        <v>#REF!</v>
      </c>
      <c r="R45" s="7" t="e">
        <f>#REF!+#REF!+#REF!+#REF!+#REF!+#REF!+#REF!+#REF!+#REF!+#REF!+#REF!+#REF!</f>
        <v>#REF!</v>
      </c>
      <c r="S45" s="7" t="e">
        <f>#REF!+#REF!+#REF!+#REF!+#REF!+#REF!+#REF!+#REF!+#REF!+#REF!+#REF!+#REF!</f>
        <v>#REF!</v>
      </c>
      <c r="T45" s="7" t="e">
        <f>#REF!+#REF!+#REF!+#REF!+#REF!+#REF!+#REF!+#REF!+#REF!+#REF!+#REF!+#REF!</f>
        <v>#REF!</v>
      </c>
      <c r="U45" s="7"/>
    </row>
    <row r="46" spans="1:21" x14ac:dyDescent="0.25">
      <c r="A46" s="1" t="s">
        <v>51</v>
      </c>
      <c r="B46" s="1" t="str">
        <f>VLOOKUP(A46,LISTADHERENT!A$5:H$52,2,0)</f>
        <v>TCHOUAMOU MATHIEU</v>
      </c>
      <c r="C46" s="1">
        <f>VLOOKUP(A46,FONDSDECAISSE!A$5:C$52,3,0)</f>
        <v>420000</v>
      </c>
      <c r="D46" s="6">
        <v>3437</v>
      </c>
      <c r="E46" s="6"/>
      <c r="F46" s="6"/>
      <c r="G46" s="6"/>
      <c r="H46" s="6"/>
      <c r="I46" s="7" t="e">
        <f t="shared" si="0"/>
        <v>#REF!</v>
      </c>
      <c r="J46" s="7" t="e">
        <f>#REF!+#REF!+#REF!+#REF!+#REF!+#REF!+#REF!+#REF!+#REF!+#REF!+#REF!+#REF!</f>
        <v>#REF!</v>
      </c>
      <c r="K46" s="7" t="e">
        <f>#REF!+#REF!+#REF!+#REF!+#REF!+#REF!+#REF!+#REF!+#REF!+#REF!+#REF!+#REF!</f>
        <v>#REF!</v>
      </c>
      <c r="L46" s="7" t="e">
        <f>#REF!+#REF!+#REF!+#REF!+#REF!+#REF!+#REF!+#REF!+#REF!+#REF!+#REF!+#REF!</f>
        <v>#REF!</v>
      </c>
      <c r="M46" s="7" t="e">
        <f>#REF!+#REF!+#REF!+#REF!+#REF!+#REF!+#REF!+#REF!+#REF!+#REF!+#REF!+#REF!</f>
        <v>#REF!</v>
      </c>
      <c r="N46" s="7" t="e">
        <f>#REF!+#REF!+#REF!+#REF!+#REF!+#REF!+#REF!+#REF!+#REF!+#REF!+#REF!+#REF!</f>
        <v>#REF!</v>
      </c>
      <c r="O46" s="7" t="e">
        <f>#REF!+#REF!+#REF!+#REF!+#REF!+#REF!+#REF!+#REF!+#REF!+#REF!+#REF!+#REF!</f>
        <v>#REF!</v>
      </c>
      <c r="P46" s="7" t="e">
        <f>#REF!+#REF!+#REF!+#REF!+#REF!+#REF!+#REF!+#REF!+#REF!+#REF!+#REF!+#REF!</f>
        <v>#REF!</v>
      </c>
      <c r="Q46" s="7" t="e">
        <f>#REF!+#REF!+#REF!+#REF!+#REF!+#REF!+#REF!+#REF!+#REF!+#REF!+#REF!+#REF!</f>
        <v>#REF!</v>
      </c>
      <c r="R46" s="7" t="e">
        <f>#REF!+#REF!+#REF!+#REF!+#REF!+#REF!+#REF!+#REF!+#REF!+#REF!+#REF!+#REF!</f>
        <v>#REF!</v>
      </c>
      <c r="S46" s="7" t="e">
        <f>#REF!+#REF!+#REF!+#REF!+#REF!+#REF!+#REF!+#REF!+#REF!+#REF!+#REF!+#REF!</f>
        <v>#REF!</v>
      </c>
      <c r="T46" s="7" t="e">
        <f>#REF!+#REF!+#REF!+#REF!+#REF!+#REF!+#REF!+#REF!+#REF!+#REF!+#REF!+#REF!</f>
        <v>#REF!</v>
      </c>
      <c r="U46" s="7"/>
    </row>
    <row r="47" spans="1:21" x14ac:dyDescent="0.25">
      <c r="A47" s="1" t="s">
        <v>52</v>
      </c>
      <c r="B47" s="1" t="str">
        <f>VLOOKUP(A47,LISTADHERENT!A$5:H$52,2,0)</f>
        <v>TCHOUANTE FRANCOIS</v>
      </c>
      <c r="C47" s="1">
        <f>VLOOKUP(A47,FONDSDECAISSE!A$5:C$52,3,0)</f>
        <v>355719</v>
      </c>
      <c r="D47" s="6">
        <v>4925</v>
      </c>
      <c r="E47" s="6"/>
      <c r="F47" s="6"/>
      <c r="G47" s="6"/>
      <c r="H47" s="6"/>
      <c r="I47" s="7" t="e">
        <f t="shared" si="0"/>
        <v>#REF!</v>
      </c>
      <c r="J47" s="7" t="e">
        <f>#REF!+#REF!+#REF!+#REF!+#REF!+#REF!+#REF!+#REF!+#REF!+#REF!+#REF!+#REF!</f>
        <v>#REF!</v>
      </c>
      <c r="K47" s="7" t="e">
        <f>#REF!+#REF!+#REF!+#REF!+#REF!+#REF!+#REF!+#REF!+#REF!+#REF!+#REF!+#REF!</f>
        <v>#REF!</v>
      </c>
      <c r="L47" s="7" t="e">
        <f>#REF!+#REF!+#REF!+#REF!+#REF!+#REF!+#REF!+#REF!+#REF!+#REF!+#REF!+#REF!</f>
        <v>#REF!</v>
      </c>
      <c r="M47" s="7" t="e">
        <f>#REF!+#REF!+#REF!+#REF!+#REF!+#REF!+#REF!+#REF!+#REF!+#REF!+#REF!+#REF!</f>
        <v>#REF!</v>
      </c>
      <c r="N47" s="7" t="e">
        <f>#REF!+#REF!+#REF!+#REF!+#REF!+#REF!+#REF!+#REF!+#REF!+#REF!+#REF!+#REF!</f>
        <v>#REF!</v>
      </c>
      <c r="O47" s="7" t="e">
        <f>#REF!+#REF!+#REF!+#REF!+#REF!+#REF!+#REF!+#REF!+#REF!+#REF!+#REF!+#REF!</f>
        <v>#REF!</v>
      </c>
      <c r="P47" s="7" t="e">
        <f>#REF!+#REF!+#REF!+#REF!+#REF!+#REF!+#REF!+#REF!+#REF!+#REF!+#REF!+#REF!</f>
        <v>#REF!</v>
      </c>
      <c r="Q47" s="7" t="e">
        <f>#REF!+#REF!+#REF!+#REF!+#REF!+#REF!+#REF!+#REF!+#REF!+#REF!+#REF!+#REF!</f>
        <v>#REF!</v>
      </c>
      <c r="R47" s="7" t="e">
        <f>#REF!+#REF!+#REF!+#REF!+#REF!+#REF!+#REF!+#REF!+#REF!+#REF!+#REF!+#REF!</f>
        <v>#REF!</v>
      </c>
      <c r="S47" s="7" t="e">
        <f>#REF!+#REF!+#REF!+#REF!+#REF!+#REF!+#REF!+#REF!+#REF!+#REF!+#REF!+#REF!</f>
        <v>#REF!</v>
      </c>
      <c r="T47" s="7" t="e">
        <f>#REF!+#REF!+#REF!+#REF!+#REF!+#REF!+#REF!+#REF!+#REF!+#REF!+#REF!+#REF!</f>
        <v>#REF!</v>
      </c>
      <c r="U47" s="7"/>
    </row>
    <row r="48" spans="1:21" x14ac:dyDescent="0.25">
      <c r="A48" s="1" t="s">
        <v>53</v>
      </c>
      <c r="B48" s="1" t="str">
        <f>VLOOKUP(A48,LISTADHERENT!A$5:H$52,2,0)</f>
        <v>TCHOUTOU NANA CLAUDE</v>
      </c>
      <c r="C48" s="1">
        <f>VLOOKUP(A48,FONDSDECAISSE!A$5:C$52,3,0)</f>
        <v>0</v>
      </c>
      <c r="D48" s="6">
        <v>0</v>
      </c>
      <c r="E48" s="6"/>
      <c r="F48" s="6"/>
      <c r="G48" s="6"/>
      <c r="H48" s="6"/>
      <c r="I48" s="7" t="e">
        <f t="shared" si="0"/>
        <v>#REF!</v>
      </c>
      <c r="J48" s="7" t="e">
        <f>#REF!+#REF!+#REF!+#REF!+#REF!+#REF!+#REF!+#REF!+#REF!+#REF!+#REF!+#REF!</f>
        <v>#REF!</v>
      </c>
      <c r="K48" s="7" t="e">
        <f>#REF!+#REF!+#REF!+#REF!+#REF!+#REF!+#REF!+#REF!+#REF!+#REF!+#REF!+#REF!</f>
        <v>#REF!</v>
      </c>
      <c r="L48" s="7" t="e">
        <f>#REF!+#REF!+#REF!+#REF!+#REF!+#REF!+#REF!+#REF!+#REF!+#REF!+#REF!+#REF!</f>
        <v>#REF!</v>
      </c>
      <c r="M48" s="7" t="e">
        <f>#REF!+#REF!+#REF!+#REF!+#REF!+#REF!+#REF!+#REF!+#REF!+#REF!+#REF!+#REF!</f>
        <v>#REF!</v>
      </c>
      <c r="N48" s="7" t="e">
        <f>#REF!+#REF!+#REF!+#REF!+#REF!+#REF!+#REF!+#REF!+#REF!+#REF!+#REF!+#REF!</f>
        <v>#REF!</v>
      </c>
      <c r="O48" s="7" t="e">
        <f>#REF!+#REF!+#REF!+#REF!+#REF!+#REF!+#REF!+#REF!+#REF!+#REF!+#REF!+#REF!</f>
        <v>#REF!</v>
      </c>
      <c r="P48" s="7" t="e">
        <f>#REF!+#REF!+#REF!+#REF!+#REF!+#REF!+#REF!+#REF!+#REF!+#REF!+#REF!+#REF!</f>
        <v>#REF!</v>
      </c>
      <c r="Q48" s="7" t="e">
        <f>#REF!+#REF!+#REF!+#REF!+#REF!+#REF!+#REF!+#REF!+#REF!+#REF!+#REF!+#REF!</f>
        <v>#REF!</v>
      </c>
      <c r="R48" s="7" t="e">
        <f>#REF!+#REF!+#REF!+#REF!+#REF!+#REF!+#REF!+#REF!+#REF!+#REF!+#REF!+#REF!</f>
        <v>#REF!</v>
      </c>
      <c r="S48" s="7" t="e">
        <f>#REF!+#REF!+#REF!+#REF!+#REF!+#REF!+#REF!+#REF!+#REF!+#REF!+#REF!+#REF!</f>
        <v>#REF!</v>
      </c>
      <c r="T48" s="7" t="e">
        <f>#REF!+#REF!+#REF!+#REF!+#REF!+#REF!+#REF!+#REF!+#REF!+#REF!+#REF!+#REF!</f>
        <v>#REF!</v>
      </c>
      <c r="U48" s="7"/>
    </row>
    <row r="49" spans="1:21" x14ac:dyDescent="0.25">
      <c r="A49" s="1" t="s">
        <v>54</v>
      </c>
      <c r="B49" s="1" t="str">
        <f>VLOOKUP(A49,LISTADHERENT!A$5:H$52,2,0)</f>
        <v>TIEYAM ERNEST</v>
      </c>
      <c r="C49" s="1">
        <f>VLOOKUP(A49,FONDSDECAISSE!A$5:C$52,3,0)</f>
        <v>420000</v>
      </c>
      <c r="D49" s="6">
        <v>804</v>
      </c>
      <c r="E49" s="6"/>
      <c r="F49" s="6"/>
      <c r="G49" s="6"/>
      <c r="H49" s="6"/>
      <c r="I49" s="7" t="e">
        <f t="shared" si="0"/>
        <v>#REF!</v>
      </c>
      <c r="J49" s="7" t="e">
        <f>#REF!+#REF!+#REF!+#REF!+#REF!+#REF!+#REF!+#REF!+#REF!+#REF!+#REF!+#REF!</f>
        <v>#REF!</v>
      </c>
      <c r="K49" s="7" t="e">
        <f>#REF!+#REF!+#REF!+#REF!+#REF!+#REF!+#REF!+#REF!+#REF!+#REF!+#REF!+#REF!</f>
        <v>#REF!</v>
      </c>
      <c r="L49" s="7" t="e">
        <f>#REF!+#REF!+#REF!+#REF!+#REF!+#REF!+#REF!+#REF!+#REF!+#REF!+#REF!+#REF!</f>
        <v>#REF!</v>
      </c>
      <c r="M49" s="7" t="e">
        <f>#REF!+#REF!+#REF!+#REF!+#REF!+#REF!+#REF!+#REF!+#REF!+#REF!+#REF!+#REF!</f>
        <v>#REF!</v>
      </c>
      <c r="N49" s="7" t="e">
        <f>#REF!+#REF!+#REF!+#REF!+#REF!+#REF!+#REF!+#REF!+#REF!+#REF!+#REF!+#REF!</f>
        <v>#REF!</v>
      </c>
      <c r="O49" s="7" t="e">
        <f>#REF!+#REF!+#REF!+#REF!+#REF!+#REF!+#REF!+#REF!+#REF!+#REF!+#REF!+#REF!</f>
        <v>#REF!</v>
      </c>
      <c r="P49" s="7" t="e">
        <f>#REF!+#REF!+#REF!+#REF!+#REF!+#REF!+#REF!+#REF!+#REF!+#REF!+#REF!+#REF!</f>
        <v>#REF!</v>
      </c>
      <c r="Q49" s="7" t="e">
        <f>#REF!+#REF!+#REF!+#REF!+#REF!+#REF!+#REF!+#REF!+#REF!+#REF!+#REF!+#REF!</f>
        <v>#REF!</v>
      </c>
      <c r="R49" s="7" t="e">
        <f>#REF!+#REF!+#REF!+#REF!+#REF!+#REF!+#REF!+#REF!+#REF!+#REF!+#REF!+#REF!</f>
        <v>#REF!</v>
      </c>
      <c r="S49" s="7" t="e">
        <f>#REF!+#REF!+#REF!+#REF!+#REF!+#REF!+#REF!+#REF!+#REF!+#REF!+#REF!+#REF!</f>
        <v>#REF!</v>
      </c>
      <c r="T49" s="7" t="e">
        <f>#REF!+#REF!+#REF!+#REF!+#REF!+#REF!+#REF!+#REF!+#REF!+#REF!+#REF!+#REF!</f>
        <v>#REF!</v>
      </c>
      <c r="U49" s="7"/>
    </row>
    <row r="50" spans="1:21" x14ac:dyDescent="0.25">
      <c r="A50" s="1" t="s">
        <v>55</v>
      </c>
      <c r="B50" s="1" t="str">
        <f>VLOOKUP(A50,LISTADHERENT!A$5:H$52,2,0)</f>
        <v>TUGMA PIERRE LOTI</v>
      </c>
      <c r="C50" s="1">
        <f>VLOOKUP(A50,FONDSDECAISSE!A$5:C$52,3,0)</f>
        <v>420000</v>
      </c>
      <c r="D50" s="6">
        <v>17636</v>
      </c>
      <c r="E50" s="6"/>
      <c r="F50" s="6"/>
      <c r="G50" s="6"/>
      <c r="H50" s="6"/>
      <c r="I50" s="7" t="e">
        <f t="shared" si="0"/>
        <v>#REF!</v>
      </c>
      <c r="J50" s="7" t="e">
        <f>#REF!+#REF!+#REF!+#REF!+#REF!+#REF!+#REF!+#REF!+#REF!+#REF!+#REF!+#REF!</f>
        <v>#REF!</v>
      </c>
      <c r="K50" s="7" t="e">
        <f>#REF!+#REF!+#REF!+#REF!+#REF!+#REF!+#REF!+#REF!+#REF!+#REF!+#REF!+#REF!</f>
        <v>#REF!</v>
      </c>
      <c r="L50" s="7" t="e">
        <f>#REF!+#REF!+#REF!+#REF!+#REF!+#REF!+#REF!+#REF!+#REF!+#REF!+#REF!+#REF!</f>
        <v>#REF!</v>
      </c>
      <c r="M50" s="7" t="e">
        <f>#REF!+#REF!+#REF!+#REF!+#REF!+#REF!+#REF!+#REF!+#REF!+#REF!+#REF!+#REF!</f>
        <v>#REF!</v>
      </c>
      <c r="N50" s="7" t="e">
        <f>#REF!+#REF!+#REF!+#REF!+#REF!+#REF!+#REF!+#REF!+#REF!+#REF!+#REF!+#REF!</f>
        <v>#REF!</v>
      </c>
      <c r="O50" s="7" t="e">
        <f>#REF!+#REF!+#REF!+#REF!+#REF!+#REF!+#REF!+#REF!+#REF!+#REF!+#REF!+#REF!</f>
        <v>#REF!</v>
      </c>
      <c r="P50" s="7" t="e">
        <f>#REF!+#REF!+#REF!+#REF!+#REF!+#REF!+#REF!+#REF!+#REF!+#REF!+#REF!+#REF!</f>
        <v>#REF!</v>
      </c>
      <c r="Q50" s="7" t="e">
        <f>#REF!+#REF!+#REF!+#REF!+#REF!+#REF!+#REF!+#REF!+#REF!+#REF!+#REF!+#REF!</f>
        <v>#REF!</v>
      </c>
      <c r="R50" s="7" t="e">
        <f>#REF!+#REF!+#REF!+#REF!+#REF!+#REF!+#REF!+#REF!+#REF!+#REF!+#REF!+#REF!</f>
        <v>#REF!</v>
      </c>
      <c r="S50" s="7" t="e">
        <f>#REF!+#REF!+#REF!+#REF!+#REF!+#REF!+#REF!+#REF!+#REF!+#REF!+#REF!+#REF!</f>
        <v>#REF!</v>
      </c>
      <c r="T50" s="7" t="e">
        <f>#REF!+#REF!+#REF!+#REF!+#REF!+#REF!+#REF!+#REF!+#REF!+#REF!+#REF!+#REF!</f>
        <v>#REF!</v>
      </c>
      <c r="U50" s="7"/>
    </row>
    <row r="51" spans="1:21" x14ac:dyDescent="0.25">
      <c r="A51" s="1" t="s">
        <v>66</v>
      </c>
      <c r="B51" s="1" t="str">
        <f>VLOOKUP(A51,LISTADHERENT!A$5:H$52,2,0)</f>
        <v>YEPMOU JEAN JACQUES</v>
      </c>
      <c r="C51" s="1">
        <f>VLOOKUP(A51,FONDSDECAISSE!A$5:C$52,3,0)</f>
        <v>420000</v>
      </c>
      <c r="D51" s="6">
        <v>421237</v>
      </c>
      <c r="E51" s="6"/>
      <c r="F51" s="6"/>
      <c r="G51" s="6"/>
      <c r="H51" s="6"/>
      <c r="I51" s="7" t="e">
        <f t="shared" si="0"/>
        <v>#REF!</v>
      </c>
      <c r="J51" s="7" t="e">
        <f>#REF!+#REF!+#REF!+#REF!+#REF!+#REF!+#REF!+#REF!+#REF!+#REF!+#REF!+#REF!</f>
        <v>#REF!</v>
      </c>
      <c r="K51" s="7" t="e">
        <f>#REF!+#REF!+#REF!+#REF!+#REF!+#REF!+#REF!+#REF!+#REF!+#REF!+#REF!+#REF!</f>
        <v>#REF!</v>
      </c>
      <c r="L51" s="7" t="e">
        <f>#REF!+#REF!+#REF!+#REF!+#REF!+#REF!+#REF!+#REF!+#REF!+#REF!+#REF!+#REF!</f>
        <v>#REF!</v>
      </c>
      <c r="M51" s="7" t="e">
        <f>#REF!+#REF!+#REF!+#REF!+#REF!+#REF!+#REF!+#REF!+#REF!+#REF!+#REF!+#REF!</f>
        <v>#REF!</v>
      </c>
      <c r="N51" s="7" t="e">
        <f>#REF!+#REF!+#REF!+#REF!+#REF!+#REF!+#REF!+#REF!+#REF!+#REF!+#REF!+#REF!</f>
        <v>#REF!</v>
      </c>
      <c r="O51" s="7" t="e">
        <f>#REF!+#REF!+#REF!+#REF!+#REF!+#REF!+#REF!+#REF!+#REF!+#REF!+#REF!+#REF!</f>
        <v>#REF!</v>
      </c>
      <c r="P51" s="7" t="e">
        <f>#REF!+#REF!+#REF!+#REF!+#REF!+#REF!+#REF!+#REF!+#REF!+#REF!+#REF!+#REF!</f>
        <v>#REF!</v>
      </c>
      <c r="Q51" s="7" t="e">
        <f>#REF!+#REF!+#REF!+#REF!+#REF!+#REF!+#REF!+#REF!+#REF!+#REF!+#REF!+#REF!</f>
        <v>#REF!</v>
      </c>
      <c r="R51" s="7" t="e">
        <f>#REF!+#REF!+#REF!+#REF!+#REF!+#REF!+#REF!+#REF!+#REF!+#REF!+#REF!+#REF!</f>
        <v>#REF!</v>
      </c>
      <c r="S51" s="7" t="e">
        <f>#REF!+#REF!+#REF!+#REF!+#REF!+#REF!+#REF!+#REF!+#REF!+#REF!+#REF!+#REF!</f>
        <v>#REF!</v>
      </c>
      <c r="T51" s="7" t="e">
        <f>#REF!+#REF!+#REF!+#REF!+#REF!+#REF!+#REF!+#REF!+#REF!+#REF!+#REF!+#REF!</f>
        <v>#REF!</v>
      </c>
    </row>
    <row r="52" spans="1:21" x14ac:dyDescent="0.25">
      <c r="A52" s="1" t="s">
        <v>178</v>
      </c>
      <c r="B52" s="1" t="str">
        <f>VLOOKUP(A52,LISTADHERENT!A$5:H$52,2,0)</f>
        <v>YOUMBI EMMANUEL</v>
      </c>
      <c r="C52" s="1">
        <f>VLOOKUP(A52,FONDSDECAISSE!A$5:C$52,3,0)</f>
        <v>420000</v>
      </c>
      <c r="D52" s="6">
        <v>1003279</v>
      </c>
      <c r="E52" s="6"/>
      <c r="F52" s="6"/>
      <c r="G52" s="6"/>
      <c r="H52" s="6"/>
      <c r="I52" s="7" t="e">
        <f t="shared" si="0"/>
        <v>#REF!</v>
      </c>
      <c r="J52" s="7" t="e">
        <f>#REF!+#REF!+#REF!+#REF!+#REF!+#REF!+#REF!+#REF!+#REF!+#REF!+#REF!+#REF!</f>
        <v>#REF!</v>
      </c>
      <c r="K52" s="7" t="e">
        <f>#REF!+#REF!+#REF!+#REF!+#REF!+#REF!+#REF!+#REF!+#REF!+#REF!+#REF!+#REF!</f>
        <v>#REF!</v>
      </c>
      <c r="L52" s="7" t="e">
        <f>#REF!+#REF!+#REF!+#REF!+#REF!+#REF!+#REF!+#REF!+#REF!+#REF!+#REF!+#REF!</f>
        <v>#REF!</v>
      </c>
      <c r="M52" s="7" t="e">
        <f>#REF!+#REF!+#REF!+#REF!+#REF!+#REF!+#REF!+#REF!+#REF!+#REF!+#REF!+#REF!</f>
        <v>#REF!</v>
      </c>
      <c r="N52" s="7" t="e">
        <f>#REF!+#REF!+#REF!+#REF!+#REF!+#REF!+#REF!+#REF!+#REF!+#REF!+#REF!+#REF!</f>
        <v>#REF!</v>
      </c>
      <c r="O52" s="7" t="e">
        <f>#REF!+#REF!+#REF!+#REF!+#REF!+#REF!+#REF!+#REF!+#REF!+#REF!+#REF!+#REF!</f>
        <v>#REF!</v>
      </c>
      <c r="P52" s="7" t="e">
        <f>#REF!+#REF!+#REF!+#REF!+#REF!+#REF!+#REF!+#REF!+#REF!+#REF!+#REF!+#REF!</f>
        <v>#REF!</v>
      </c>
      <c r="Q52" s="7" t="e">
        <f>#REF!+#REF!+#REF!+#REF!+#REF!+#REF!+#REF!+#REF!+#REF!+#REF!+#REF!+#REF!</f>
        <v>#REF!</v>
      </c>
      <c r="R52" s="7" t="e">
        <f>#REF!+#REF!+#REF!+#REF!+#REF!+#REF!+#REF!+#REF!+#REF!+#REF!+#REF!+#REF!</f>
        <v>#REF!</v>
      </c>
      <c r="S52" s="7" t="e">
        <f>#REF!+#REF!+#REF!+#REF!+#REF!+#REF!+#REF!+#REF!+#REF!+#REF!+#REF!+#REF!</f>
        <v>#REF!</v>
      </c>
      <c r="T52" s="7" t="e">
        <f>#REF!+#REF!+#REF!+#REF!+#REF!+#REF!+#REF!+#REF!+#REF!+#REF!+#REF!+#REF!</f>
        <v>#REF!</v>
      </c>
    </row>
    <row r="53" spans="1:21" x14ac:dyDescent="0.25">
      <c r="A53" s="1"/>
      <c r="B53" s="1"/>
      <c r="C53" s="6"/>
      <c r="D53" s="1"/>
      <c r="E53" s="1"/>
      <c r="F53" s="1"/>
      <c r="G53" s="1"/>
      <c r="H53" s="1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1" x14ac:dyDescent="0.25">
      <c r="A54" s="1"/>
      <c r="B54" s="1"/>
      <c r="C54" s="6"/>
      <c r="D54" s="1"/>
      <c r="E54" s="1"/>
      <c r="F54" s="1"/>
      <c r="G54" s="1"/>
      <c r="H54" s="1"/>
      <c r="I54" s="7" t="e">
        <f t="shared" si="0"/>
        <v>#REF!</v>
      </c>
      <c r="J54" s="7" t="e">
        <f>#REF!+#REF!+#REF!+#REF!+#REF!+#REF!+#REF!+#REF!+#REF!+#REF!+#REF!+#REF!</f>
        <v>#REF!</v>
      </c>
      <c r="K54" s="7" t="e">
        <f>#REF!+#REF!+#REF!+#REF!+#REF!+#REF!+#REF!+#REF!+#REF!+#REF!+#REF!+#REF!</f>
        <v>#REF!</v>
      </c>
      <c r="L54" s="7" t="e">
        <f>#REF!+#REF!+#REF!+#REF!+#REF!+#REF!+#REF!+#REF!+#REF!+#REF!+#REF!+#REF!</f>
        <v>#REF!</v>
      </c>
      <c r="M54" s="7" t="e">
        <f>#REF!+#REF!+#REF!+#REF!+#REF!+#REF!+#REF!+#REF!+#REF!+#REF!+#REF!+#REF!</f>
        <v>#REF!</v>
      </c>
      <c r="N54" s="7" t="e">
        <f>#REF!+#REF!+#REF!+#REF!+#REF!+#REF!+#REF!+#REF!+#REF!+#REF!+#REF!+#REF!</f>
        <v>#REF!</v>
      </c>
      <c r="O54" s="7" t="e">
        <f>#REF!+#REF!+#REF!+#REF!+#REF!+#REF!+#REF!+#REF!+#REF!+#REF!+#REF!+#REF!</f>
        <v>#REF!</v>
      </c>
      <c r="P54" s="7" t="e">
        <f>#REF!+#REF!+#REF!+#REF!+#REF!+#REF!+#REF!+#REF!+#REF!+#REF!+#REF!+#REF!</f>
        <v>#REF!</v>
      </c>
      <c r="Q54" s="7" t="e">
        <f>#REF!+#REF!+#REF!+#REF!+#REF!+#REF!+#REF!+#REF!+#REF!+#REF!+#REF!+#REF!</f>
        <v>#REF!</v>
      </c>
      <c r="R54" s="7" t="e">
        <f>#REF!+#REF!+#REF!+#REF!+#REF!+#REF!+#REF!+#REF!+#REF!+#REF!+#REF!+#REF!</f>
        <v>#REF!</v>
      </c>
      <c r="S54" s="7" t="e">
        <f>#REF!+#REF!+#REF!+#REF!+#REF!+#REF!+#REF!+#REF!+#REF!+#REF!+#REF!+#REF!</f>
        <v>#REF!</v>
      </c>
      <c r="T54" s="7" t="e">
        <f>#REF!+#REF!+#REF!+#REF!+#REF!+#REF!+#REF!+#REF!+#REF!+#REF!+#REF!+#REF!</f>
        <v>#REF!</v>
      </c>
      <c r="U54"/>
    </row>
    <row r="55" spans="1:21" ht="18" x14ac:dyDescent="0.25">
      <c r="A55" s="8" t="s">
        <v>56</v>
      </c>
      <c r="B55" s="8"/>
      <c r="C55" s="9">
        <f>SUM(C5:C54)</f>
        <v>15538519</v>
      </c>
      <c r="D55" s="9">
        <f t="shared" ref="D55:U55" si="1">SUM(D5:D54)</f>
        <v>4547504</v>
      </c>
      <c r="E55" s="9"/>
      <c r="F55" s="9"/>
      <c r="G55" s="9"/>
      <c r="H55" s="9">
        <f t="shared" si="1"/>
        <v>0</v>
      </c>
      <c r="I55" s="9" t="e">
        <f t="shared" si="1"/>
        <v>#REF!</v>
      </c>
      <c r="J55" s="9" t="e">
        <f t="shared" si="1"/>
        <v>#REF!</v>
      </c>
      <c r="K55" s="9" t="e">
        <f t="shared" si="1"/>
        <v>#REF!</v>
      </c>
      <c r="L55" s="9" t="e">
        <f t="shared" si="1"/>
        <v>#REF!</v>
      </c>
      <c r="M55" s="9" t="e">
        <f t="shared" si="1"/>
        <v>#REF!</v>
      </c>
      <c r="N55" s="9" t="e">
        <f t="shared" si="1"/>
        <v>#REF!</v>
      </c>
      <c r="O55" s="9" t="e">
        <f t="shared" si="1"/>
        <v>#REF!</v>
      </c>
      <c r="P55" s="9" t="e">
        <f t="shared" si="1"/>
        <v>#REF!</v>
      </c>
      <c r="Q55" s="9" t="e">
        <f t="shared" si="1"/>
        <v>#REF!</v>
      </c>
      <c r="R55" s="9" t="e">
        <f t="shared" si="1"/>
        <v>#REF!</v>
      </c>
      <c r="S55" s="9" t="e">
        <f t="shared" si="1"/>
        <v>#REF!</v>
      </c>
      <c r="T55" s="9" t="e">
        <f t="shared" si="1"/>
        <v>#REF!</v>
      </c>
      <c r="U55" s="9">
        <f t="shared" si="1"/>
        <v>0</v>
      </c>
    </row>
    <row r="56" spans="1:21" ht="18" x14ac:dyDescent="0.25">
      <c r="T56" s="9"/>
    </row>
  </sheetData>
  <autoFilter ref="A4:V50"/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G15" sqref="G15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209</v>
      </c>
      <c r="D4" s="1" t="s">
        <v>196</v>
      </c>
      <c r="E4" s="1" t="s">
        <v>197</v>
      </c>
      <c r="F4" s="1" t="s">
        <v>198</v>
      </c>
      <c r="G4" s="1" t="s">
        <v>199</v>
      </c>
      <c r="H4" s="1" t="s">
        <v>200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205</v>
      </c>
      <c r="N4" s="1" t="s">
        <v>206</v>
      </c>
    </row>
    <row r="5" spans="1:14" x14ac:dyDescent="0.25">
      <c r="A5" s="1" t="s">
        <v>184</v>
      </c>
      <c r="B5" s="1" t="str">
        <f>VLOOKUP(A5,LISTADHERENT!A$5:H$52,2,0)</f>
        <v>ASELBY</v>
      </c>
      <c r="C5" s="6">
        <f>N5+TRAVAUXINVENTAIRE!M5</f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>
        <v>0</v>
      </c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390000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v>390000</v>
      </c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390000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>
        <v>390000</v>
      </c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390000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390000</v>
      </c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390000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390000</v>
      </c>
    </row>
    <row r="10" spans="1:14" x14ac:dyDescent="0.25">
      <c r="A10" s="1" t="s">
        <v>15</v>
      </c>
      <c r="B10" s="1" t="str">
        <f>VLOOKUP(A10,LISTADHERENT!A$5:H$52,2,0)</f>
        <v>DJOUKWE GUY</v>
      </c>
      <c r="C10" s="6">
        <v>390000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390000</v>
      </c>
    </row>
    <row r="11" spans="1:14" s="21" customFormat="1" x14ac:dyDescent="0.25">
      <c r="A11" s="19" t="s">
        <v>16</v>
      </c>
      <c r="B11" s="19" t="str">
        <f>VLOOKUP(A11,LISTADHERENT!A$5:H$52,2,0)</f>
        <v>DJOSSEU JOSUE</v>
      </c>
      <c r="C11" s="33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6">
        <v>0</v>
      </c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390000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390000</v>
      </c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f>390000-70866</f>
        <v>319134</v>
      </c>
      <c r="D13" s="6"/>
      <c r="E13" s="6"/>
      <c r="F13" s="6"/>
      <c r="G13" s="6"/>
      <c r="H13" s="6"/>
      <c r="I13" s="6"/>
      <c r="J13" s="6"/>
      <c r="K13" s="6"/>
      <c r="L13" s="6">
        <f>390000-C13</f>
        <v>70866</v>
      </c>
      <c r="M13" s="6"/>
      <c r="N13" s="6">
        <v>390000</v>
      </c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390000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390000</v>
      </c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390000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390000</v>
      </c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390000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390000</v>
      </c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0</v>
      </c>
      <c r="D17" s="6"/>
      <c r="E17" s="6"/>
      <c r="F17" s="6"/>
      <c r="G17" s="6"/>
      <c r="H17" s="6"/>
      <c r="I17" s="6">
        <v>50000</v>
      </c>
      <c r="J17" s="6"/>
      <c r="K17" s="6"/>
      <c r="L17" s="6"/>
      <c r="M17" s="6"/>
      <c r="N17" s="6">
        <v>50000</v>
      </c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390000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390000</v>
      </c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0</v>
      </c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390000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v>390000</v>
      </c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390000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v>390000</v>
      </c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f>390000-75000</f>
        <v>315000</v>
      </c>
      <c r="D22" s="6"/>
      <c r="E22" s="6"/>
      <c r="F22" s="6"/>
      <c r="G22" s="6"/>
      <c r="H22" s="6"/>
      <c r="I22" s="6">
        <f>390000-C22</f>
        <v>75000</v>
      </c>
      <c r="J22" s="6"/>
      <c r="K22" s="6"/>
      <c r="L22" s="6"/>
      <c r="M22" s="6"/>
      <c r="N22" s="6">
        <v>390000</v>
      </c>
    </row>
    <row r="23" spans="1:14" x14ac:dyDescent="0.25">
      <c r="A23" s="1" t="s">
        <v>28</v>
      </c>
      <c r="B23" s="1" t="str">
        <f>VLOOKUP(A23,LISTADHERENT!A$5:H$52,2,0)</f>
        <v>KOUAMOU VICTOR PEGUY</v>
      </c>
      <c r="C23" s="6">
        <v>390000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390000</v>
      </c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390000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390000</v>
      </c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390000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390000</v>
      </c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390000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390000</v>
      </c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390000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390000</v>
      </c>
    </row>
    <row r="28" spans="1:14" s="21" customFormat="1" x14ac:dyDescent="0.25">
      <c r="A28" s="19" t="s">
        <v>33</v>
      </c>
      <c r="B28" s="19" t="str">
        <f>VLOOKUP(A28,LISTADHERENT!A$5:H$52,2,0)</f>
        <v>NDOMBOU JEAN CLAUDE</v>
      </c>
      <c r="C28" s="33"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6">
        <v>0</v>
      </c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390000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v>390000</v>
      </c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0</v>
      </c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f>390000-375111</f>
        <v>14889</v>
      </c>
      <c r="D31" s="6"/>
      <c r="E31" s="6"/>
      <c r="F31" s="6"/>
      <c r="G31" s="6"/>
      <c r="H31" s="6"/>
      <c r="I31" s="6"/>
      <c r="J31" s="6"/>
      <c r="K31" s="6"/>
      <c r="L31" s="6">
        <f>390000-C31</f>
        <v>375111</v>
      </c>
      <c r="M31" s="6"/>
      <c r="N31" s="6">
        <v>390000</v>
      </c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390000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v>390000</v>
      </c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0</v>
      </c>
      <c r="D33" s="6"/>
      <c r="E33" s="6"/>
      <c r="F33" s="6"/>
      <c r="G33" s="6"/>
      <c r="H33" s="6"/>
      <c r="I33" s="6"/>
      <c r="J33" s="6"/>
      <c r="K33" s="6">
        <v>72800</v>
      </c>
      <c r="L33" s="6"/>
      <c r="M33" s="6"/>
      <c r="N33" s="6">
        <v>72800</v>
      </c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390000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390000</v>
      </c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v>390000</v>
      </c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0</v>
      </c>
    </row>
    <row r="37" spans="1:14" s="21" customFormat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6">
        <v>0</v>
      </c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390000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>
        <v>390000</v>
      </c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390000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>
        <v>390000</v>
      </c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>
        <v>390000</v>
      </c>
      <c r="M40" s="6"/>
      <c r="N40" s="6">
        <v>390000</v>
      </c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390000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390000</v>
      </c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390000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v>390000</v>
      </c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390000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v>390000</v>
      </c>
    </row>
    <row r="44" spans="1:14" x14ac:dyDescent="0.25">
      <c r="A44" s="1" t="s">
        <v>49</v>
      </c>
      <c r="B44" s="1" t="str">
        <f>VLOOKUP(A44,LISTADHERENT!A$5:H$52,2,0)</f>
        <v>TAGNE NANGUEN MARTIN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>
        <v>390000</v>
      </c>
      <c r="M44" s="6"/>
      <c r="N44" s="6">
        <v>390000</v>
      </c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>
        <v>0</v>
      </c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390000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v>390000</v>
      </c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f>390000-132881</f>
        <v>257119</v>
      </c>
      <c r="D47" s="6"/>
      <c r="E47" s="6"/>
      <c r="F47" s="6"/>
      <c r="G47" s="6"/>
      <c r="H47" s="6"/>
      <c r="I47" s="6"/>
      <c r="J47" s="6"/>
      <c r="K47" s="6">
        <f>48100+20500</f>
        <v>68600</v>
      </c>
      <c r="L47" s="6"/>
      <c r="M47" s="6"/>
      <c r="N47" s="6">
        <v>325719</v>
      </c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0</v>
      </c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390000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v>390000</v>
      </c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390000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390000</v>
      </c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390000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>
        <v>390000</v>
      </c>
    </row>
    <row r="52" spans="1:14" x14ac:dyDescent="0.25">
      <c r="A52" s="1" t="s">
        <v>178</v>
      </c>
      <c r="B52" s="1" t="str">
        <f>VLOOKUP(A52,LISTADHERENT!A$5:H$52,2,0)</f>
        <v>YOUMBI EMMANUEL</v>
      </c>
      <c r="C52" s="6">
        <v>390000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v>390000</v>
      </c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f>SUM(C6:C53)</f>
        <v>12996142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125000</v>
      </c>
      <c r="J54" s="9">
        <f t="shared" si="0"/>
        <v>0</v>
      </c>
      <c r="K54" s="9">
        <f t="shared" si="0"/>
        <v>141400</v>
      </c>
      <c r="L54" s="9">
        <f t="shared" si="0"/>
        <v>1225977</v>
      </c>
      <c r="M54" s="9">
        <f t="shared" si="0"/>
        <v>0</v>
      </c>
      <c r="N54" s="9">
        <f t="shared" si="0"/>
        <v>14488519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15</vt:i4>
      </vt:variant>
    </vt:vector>
  </HeadingPairs>
  <TitlesOfParts>
    <vt:vector size="34" baseType="lpstr">
      <vt:lpstr>LISTADHERENT</vt:lpstr>
      <vt:lpstr>TRAVAUXINVENTAIRE</vt:lpstr>
      <vt:lpstr>FONDSDECAISSE</vt:lpstr>
      <vt:lpstr>TONT20000DEC2016</vt:lpstr>
      <vt:lpstr>TONT20000JANV2017</vt:lpstr>
      <vt:lpstr>TONT20000FEV2017</vt:lpstr>
      <vt:lpstr>TONT20000MARS2017</vt:lpstr>
      <vt:lpstr>TONT20000AVRIL2017</vt:lpstr>
      <vt:lpstr>TONT20000MAI2017</vt:lpstr>
      <vt:lpstr>TONT20000JUIN2017</vt:lpstr>
      <vt:lpstr>TONT20000JUIL2017</vt:lpstr>
      <vt:lpstr>TONT20000AOUT2017</vt:lpstr>
      <vt:lpstr>TONT20000SEPT2017</vt:lpstr>
      <vt:lpstr>TONT20000OCT2017</vt:lpstr>
      <vt:lpstr>TONT20000NOV2017</vt:lpstr>
      <vt:lpstr>TONT20000DEC2017</vt:lpstr>
      <vt:lpstr>MODEVERSEMENT</vt:lpstr>
      <vt:lpstr>RECAPTONT20000</vt:lpstr>
      <vt:lpstr>FONDSDECAISSEBACKUP</vt:lpstr>
      <vt:lpstr>LISTADHERENT!Impression_des_titres</vt:lpstr>
      <vt:lpstr>MODEVERSEMENTS</vt:lpstr>
      <vt:lpstr>TONT20000AOUT2017!MODPAID</vt:lpstr>
      <vt:lpstr>TONT20000AVRIL2017!MODPAID</vt:lpstr>
      <vt:lpstr>TONT20000DEC2017!MODPAID</vt:lpstr>
      <vt:lpstr>TONT20000FEV2017!MODPAID</vt:lpstr>
      <vt:lpstr>TONT20000JANV2017!MODPAID</vt:lpstr>
      <vt:lpstr>TONT20000JUIL2017!MODPAID</vt:lpstr>
      <vt:lpstr>TONT20000JUIN2017!MODPAID</vt:lpstr>
      <vt:lpstr>TONT20000MAI2017!MODPAID</vt:lpstr>
      <vt:lpstr>TONT20000MARS2017!MODPAID</vt:lpstr>
      <vt:lpstr>TONT20000NOV2017!MODPAID</vt:lpstr>
      <vt:lpstr>TONT20000OCT2017!MODPAID</vt:lpstr>
      <vt:lpstr>TONT20000SEPT2017!MODPAID</vt:lpstr>
      <vt:lpstr>MODPAID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Antoine Djuombessy</cp:lastModifiedBy>
  <dcterms:created xsi:type="dcterms:W3CDTF">2016-12-07T22:17:38Z</dcterms:created>
  <dcterms:modified xsi:type="dcterms:W3CDTF">2017-02-02T16:31:57Z</dcterms:modified>
</cp:coreProperties>
</file>