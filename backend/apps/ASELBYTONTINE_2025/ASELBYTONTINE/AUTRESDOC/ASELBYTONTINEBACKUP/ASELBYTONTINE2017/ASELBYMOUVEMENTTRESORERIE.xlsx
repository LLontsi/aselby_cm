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ASELBY2017UPDATE\ASELBYTONTINE2017\ASELBYTONTINEBACKUP\ASELBYTONTINE2017\"/>
    </mc:Choice>
  </mc:AlternateContent>
  <bookViews>
    <workbookView xWindow="0" yWindow="0" windowWidth="20490" windowHeight="6810"/>
  </bookViews>
  <sheets>
    <sheet name="MOUVEMENT TRESORERIE" sheetId="2" r:id="rId1"/>
    <sheet name="COMPTE TRESORERIE" sheetId="3" r:id="rId2"/>
  </sheets>
  <externalReferences>
    <externalReference r:id="rId3"/>
    <externalReference r:id="rId4"/>
    <externalReference r:id="rId5"/>
    <externalReference r:id="rId6"/>
  </externalReferences>
  <definedNames>
    <definedName name="BANQUE" localSheetId="1">#REF!</definedName>
    <definedName name="BANQUE">#REF!</definedName>
    <definedName name="MODEPAID">[1]Feuil2!$A$1:$A$3</definedName>
    <definedName name="MODEVERSEMENT" localSheetId="1">#REF!</definedName>
    <definedName name="MODEVERSEMENT">#REF!</definedName>
    <definedName name="MODEVERSEMENTS">[2]MODEVERSEMENT!$A$1:$A$3</definedName>
    <definedName name="VALMODEPAID">[4]MODEPAID!$A$1:$A$3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6" i="2" l="1"/>
  <c r="E46" i="2"/>
  <c r="I46" i="2"/>
  <c r="D7" i="3" s="1"/>
  <c r="K46" i="2"/>
  <c r="G7" i="3" s="1"/>
  <c r="B6" i="2"/>
  <c r="L6" i="2"/>
  <c r="H6" i="2"/>
  <c r="L8" i="2" l="1"/>
  <c r="H8" i="2"/>
  <c r="H9" i="2" l="1"/>
  <c r="L7" i="2" l="1"/>
  <c r="L46" i="2" s="1"/>
  <c r="H7" i="3" s="1"/>
  <c r="H7" i="2"/>
  <c r="H46" i="2" s="1"/>
  <c r="C7" i="3" s="1"/>
  <c r="G6" i="3" l="1"/>
  <c r="D6" i="3"/>
  <c r="F8" i="2"/>
  <c r="F7" i="2"/>
  <c r="F6" i="2"/>
  <c r="B8" i="2"/>
  <c r="B7" i="2"/>
  <c r="B46" i="2" l="1"/>
  <c r="C6" i="3" s="1"/>
  <c r="E6" i="3" s="1"/>
  <c r="E7" i="3" s="1"/>
  <c r="F46" i="2"/>
  <c r="H6" i="3" s="1"/>
  <c r="I6" i="3" s="1"/>
  <c r="I7" i="3" s="1"/>
</calcChain>
</file>

<file path=xl/sharedStrings.xml><?xml version="1.0" encoding="utf-8"?>
<sst xmlns="http://schemas.openxmlformats.org/spreadsheetml/2006/main" count="115" uniqueCount="65">
  <si>
    <t>DATE</t>
  </si>
  <si>
    <t>LIBELLE</t>
  </si>
  <si>
    <t>TOTAL</t>
  </si>
  <si>
    <t>ENTREE</t>
  </si>
  <si>
    <t>SORTIE</t>
  </si>
  <si>
    <t>APPERITIF DOHOU DAVID</t>
  </si>
  <si>
    <t>NKAMGANG</t>
  </si>
  <si>
    <t>SIME ABEL</t>
  </si>
  <si>
    <t>NJEPJO DELUXE</t>
  </si>
  <si>
    <t>DJOMO J P</t>
  </si>
  <si>
    <t>SEUNOU RICHELOT</t>
  </si>
  <si>
    <t>NKOUTCHO</t>
  </si>
  <si>
    <t>TYAM ERNEST</t>
  </si>
  <si>
    <t>KOUMOU MOISE</t>
  </si>
  <si>
    <t>NGONDIEP CLAUDE</t>
  </si>
  <si>
    <t>SIME MATHIEU</t>
  </si>
  <si>
    <t>DJUOMBESSY ANTOINE</t>
  </si>
  <si>
    <t>COMMISSION</t>
  </si>
  <si>
    <t>KEPSEU FRANCIS</t>
  </si>
  <si>
    <t>BUREAU</t>
  </si>
  <si>
    <t>BENEFICIAIRE T100000</t>
  </si>
  <si>
    <t>SIMO PIERRE</t>
  </si>
  <si>
    <t>HOTCHO BENJAMIN</t>
  </si>
  <si>
    <t>DJOUOKEP SAMUEL</t>
  </si>
  <si>
    <t>COMPTE CAISSE</t>
  </si>
  <si>
    <t>TONTINE 60 000</t>
  </si>
  <si>
    <t>TONTINE 100 000</t>
  </si>
  <si>
    <t>PRÊT FONDS</t>
  </si>
  <si>
    <t>MOUVEMENT TRESORERIE</t>
  </si>
  <si>
    <t>ACHAT INTERET T60 000</t>
  </si>
  <si>
    <t>INTERET T100 000</t>
  </si>
  <si>
    <t>BENEFICIAIRE T13 000</t>
  </si>
  <si>
    <t>COMPTE BANQUE</t>
  </si>
  <si>
    <t>COMPTE TRESORERIE</t>
  </si>
  <si>
    <t>REPORT</t>
  </si>
  <si>
    <t>MOUVEMENT ESPECES</t>
  </si>
  <si>
    <t>MOUVEMENT BANQUE</t>
  </si>
  <si>
    <t>SOLDE</t>
  </si>
  <si>
    <t>PENALITE RETARD</t>
  </si>
  <si>
    <t>REMBOURSEMENT</t>
  </si>
  <si>
    <t>T60 000 DJOMO JP</t>
  </si>
  <si>
    <t>NKAMGANG JD</t>
  </si>
  <si>
    <t>REMBBOURSEMENT PRÊT FONDS</t>
  </si>
  <si>
    <t>REMBOURSEMENT 60 000</t>
  </si>
  <si>
    <t>TYAMERNEST</t>
  </si>
  <si>
    <t>SIMEABEL</t>
  </si>
  <si>
    <t>SEUMOU RICHELOT</t>
  </si>
  <si>
    <t>REMBOURSEMENT 100 000</t>
  </si>
  <si>
    <t>REMBOURSEMENT 13 000</t>
  </si>
  <si>
    <t>TONTINE13 000</t>
  </si>
  <si>
    <t>TONTINE 13 000</t>
  </si>
  <si>
    <t>T13 000 CHINGUIE</t>
  </si>
  <si>
    <t>KOUAMOU MOISE</t>
  </si>
  <si>
    <t>NKAMGANG JUSTIN DEJOLIE</t>
  </si>
  <si>
    <t>TIEYAM ERNEST</t>
  </si>
  <si>
    <t>KOUAMO VICTOR PEGUY</t>
  </si>
  <si>
    <t xml:space="preserve"> CHINGUIE</t>
  </si>
  <si>
    <t>FOTSO THOMAS</t>
  </si>
  <si>
    <t>KOUATCHO MESSACK</t>
  </si>
  <si>
    <t>TCHOUANTE FRANCOIS</t>
  </si>
  <si>
    <t>PRÊT T60 000</t>
  </si>
  <si>
    <t>PRÊT T100 000</t>
  </si>
  <si>
    <t>NANKAM APPOLINAIRE</t>
  </si>
  <si>
    <t>NKAMGANG DEJOLIE(CPTEMBAKOP)</t>
  </si>
  <si>
    <t>COMPTE BANQUE 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</si>
</sst>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C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20"/>
      <color theme="1"/>
      <name val="Arial Black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3" fontId="2" fillId="0" borderId="0" xfId="0" applyNumberFormat="1" applyFont="1"/>
    <xf numFmtId="14" fontId="0" fillId="0" borderId="0" xfId="0" applyNumberFormat="1"/>
    <xf numFmtId="0" fontId="1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3" fontId="3" fillId="0" borderId="0" xfId="0" applyNumberFormat="1" applyFont="1"/>
    <xf numFmtId="3" fontId="4" fillId="0" borderId="0" xfId="0" applyNumberFormat="1" applyFont="1"/>
    <xf numFmtId="3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5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2017UPDATE/ASELBYTONTINE2017/ASELBYTONTINEBACKUP/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2017UPDATE/ASELBYTONTINE2017/ASELBYTONTINE2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2017UPDATE/ASELBYTONTINE2017/ASELBYTONTINE6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2017UPDATE/ASELBYTONTINE2017/ASELBYTONTINE10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TONT20000AOUT2017"/>
      <sheetName val="TONT20000SEPT2017"/>
      <sheetName val="TONT20000OCT2017"/>
      <sheetName val="TONT20000NOV2017"/>
      <sheetName val="TONT20000ANNUELLE"/>
      <sheetName val="TONTINVENT6MOIS"/>
      <sheetName val="DETAILVERSEMENT"/>
      <sheetName val="MODEVERSEMENT"/>
      <sheetName val="RECAPTONT20000"/>
      <sheetName val="FONDSDECAISSEBAC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2">
          <cell r="L72">
            <v>1114500</v>
          </cell>
        </row>
        <row r="73">
          <cell r="L73">
            <v>1879000</v>
          </cell>
        </row>
      </sheetData>
      <sheetData sheetId="10">
        <row r="56">
          <cell r="G56">
            <v>15000</v>
          </cell>
        </row>
        <row r="71">
          <cell r="F71">
            <v>283000</v>
          </cell>
        </row>
        <row r="72">
          <cell r="F72">
            <v>521500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MODEPAID"/>
      <sheetName val="TONTJANV"/>
      <sheetName val="TONTFEV"/>
      <sheetName val="TONTMARS"/>
      <sheetName val="TONTAVRIL"/>
      <sheetName val="TONTMAI"/>
      <sheetName val="TONTJUIN"/>
      <sheetName val="TONTJU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F36">
            <v>540000</v>
          </cell>
        </row>
        <row r="37">
          <cell r="F37">
            <v>1112000</v>
          </cell>
        </row>
      </sheetData>
      <sheetData sheetId="8">
        <row r="36">
          <cell r="C36">
            <v>600000</v>
          </cell>
        </row>
        <row r="37">
          <cell r="C37">
            <v>900000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DEC2016"/>
      <sheetName val="TONTJANV"/>
      <sheetName val="TONTFEV"/>
      <sheetName val="TONTMARS"/>
      <sheetName val="TONTAVRIL"/>
      <sheetName val="TONTMAI"/>
      <sheetName val="TONTJUIN"/>
      <sheetName val="TONTJUIL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36">
          <cell r="F36">
            <v>875000</v>
          </cell>
        </row>
        <row r="37">
          <cell r="F37">
            <v>2305000</v>
          </cell>
        </row>
      </sheetData>
      <sheetData sheetId="8">
        <row r="36">
          <cell r="C36">
            <v>900000</v>
          </cell>
        </row>
        <row r="37">
          <cell r="C37">
            <v>1700000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topLeftCell="B26" workbookViewId="0">
      <selection activeCell="F38" sqref="F38"/>
    </sheetView>
  </sheetViews>
  <sheetFormatPr baseColWidth="10" defaultRowHeight="15" x14ac:dyDescent="0.25"/>
  <cols>
    <col min="1" max="1" width="23.42578125" bestFit="1" customWidth="1"/>
    <col min="2" max="2" width="14" style="6" customWidth="1"/>
    <col min="3" max="3" width="15.42578125" style="6" customWidth="1"/>
    <col min="4" max="4" width="21.42578125" bestFit="1" customWidth="1"/>
    <col min="5" max="5" width="15.7109375" customWidth="1"/>
    <col min="6" max="6" width="15.28515625" customWidth="1"/>
    <col min="7" max="7" width="23.85546875" bestFit="1" customWidth="1"/>
    <col min="8" max="8" width="13.7109375" style="6" bestFit="1" customWidth="1"/>
    <col min="9" max="9" width="11.42578125" style="6"/>
    <col min="10" max="10" width="16.7109375" bestFit="1" customWidth="1"/>
    <col min="11" max="11" width="11.42578125" style="6"/>
    <col min="12" max="12" width="13.7109375" style="6" bestFit="1" customWidth="1"/>
  </cols>
  <sheetData>
    <row r="1" spans="1:12" ht="21" x14ac:dyDescent="0.35">
      <c r="A1" s="5" t="s">
        <v>28</v>
      </c>
    </row>
    <row r="2" spans="1:12" ht="31.5" x14ac:dyDescent="0.6">
      <c r="A2" s="5" t="s">
        <v>0</v>
      </c>
      <c r="B2" s="12">
        <v>42904</v>
      </c>
      <c r="C2" s="12"/>
      <c r="D2" s="12"/>
      <c r="E2" s="12"/>
      <c r="F2" s="12"/>
      <c r="G2" s="5" t="s">
        <v>0</v>
      </c>
      <c r="H2" s="12">
        <v>42932</v>
      </c>
      <c r="I2" s="12"/>
      <c r="J2" s="12"/>
      <c r="K2" s="12"/>
      <c r="L2" s="12"/>
    </row>
    <row r="3" spans="1:12" ht="21" x14ac:dyDescent="0.35">
      <c r="A3" s="10" t="s">
        <v>24</v>
      </c>
      <c r="B3" s="11"/>
      <c r="C3" s="11"/>
      <c r="D3" s="10" t="s">
        <v>32</v>
      </c>
      <c r="E3" s="11"/>
      <c r="F3" s="11"/>
      <c r="G3" s="10" t="s">
        <v>24</v>
      </c>
      <c r="H3" s="11"/>
      <c r="I3" s="11"/>
      <c r="J3" s="10" t="s">
        <v>64</v>
      </c>
      <c r="K3" s="11"/>
      <c r="L3" s="11"/>
    </row>
    <row r="4" spans="1:12" ht="18.75" x14ac:dyDescent="0.3">
      <c r="A4" s="1" t="s">
        <v>1</v>
      </c>
      <c r="B4" s="2" t="s">
        <v>3</v>
      </c>
      <c r="C4" s="2" t="s">
        <v>4</v>
      </c>
      <c r="D4" s="1" t="s">
        <v>1</v>
      </c>
      <c r="E4" s="2" t="s">
        <v>4</v>
      </c>
      <c r="F4" s="2" t="s">
        <v>3</v>
      </c>
      <c r="G4" s="1" t="s">
        <v>1</v>
      </c>
      <c r="H4" s="2" t="s">
        <v>3</v>
      </c>
      <c r="I4" s="2" t="s">
        <v>4</v>
      </c>
      <c r="J4" s="1" t="s">
        <v>1</v>
      </c>
      <c r="K4" s="2" t="s">
        <v>4</v>
      </c>
      <c r="L4" s="2" t="s">
        <v>3</v>
      </c>
    </row>
    <row r="5" spans="1:12" x14ac:dyDescent="0.25">
      <c r="F5" s="6"/>
    </row>
    <row r="6" spans="1:12" x14ac:dyDescent="0.25">
      <c r="A6" t="s">
        <v>49</v>
      </c>
      <c r="B6" s="6">
        <f>[2]TONT20000JUIN2017!$L$72-14000</f>
        <v>1100500</v>
      </c>
      <c r="D6" t="s">
        <v>50</v>
      </c>
      <c r="F6" s="6">
        <f>[2]TONT20000JUIN2017!$L$73</f>
        <v>1879000</v>
      </c>
      <c r="G6" t="s">
        <v>50</v>
      </c>
      <c r="H6" s="6">
        <f>[2]TONT20000JUIL2017!$F$71</f>
        <v>283000</v>
      </c>
      <c r="J6" t="s">
        <v>50</v>
      </c>
      <c r="L6" s="6">
        <f>[2]TONT20000JUIL2017!$F$72</f>
        <v>521500</v>
      </c>
    </row>
    <row r="7" spans="1:12" x14ac:dyDescent="0.25">
      <c r="A7" t="s">
        <v>25</v>
      </c>
      <c r="B7" s="6">
        <f>[3]TONTJUIN!$F$36</f>
        <v>540000</v>
      </c>
      <c r="D7" t="s">
        <v>25</v>
      </c>
      <c r="F7" s="6">
        <f>[3]TONTJUIN!$F$37</f>
        <v>1112000</v>
      </c>
      <c r="G7" t="s">
        <v>25</v>
      </c>
      <c r="H7" s="6">
        <f>[3]TONTJUIL!$C$36</f>
        <v>600000</v>
      </c>
      <c r="J7" t="s">
        <v>25</v>
      </c>
      <c r="L7" s="6">
        <f>[3]TONTJUIL!$C$37</f>
        <v>900000</v>
      </c>
    </row>
    <row r="8" spans="1:12" x14ac:dyDescent="0.25">
      <c r="A8" t="s">
        <v>26</v>
      </c>
      <c r="B8" s="6">
        <f>[4]TONTJUIN!$F$36</f>
        <v>875000</v>
      </c>
      <c r="D8" t="s">
        <v>26</v>
      </c>
      <c r="F8" s="6">
        <f>[4]TONTJUIN!$F$37</f>
        <v>2305000</v>
      </c>
      <c r="G8" t="s">
        <v>26</v>
      </c>
      <c r="H8" s="6">
        <f>+[4]TONTJUIL!$C$36</f>
        <v>900000</v>
      </c>
      <c r="J8" t="s">
        <v>26</v>
      </c>
      <c r="L8" s="6">
        <f>+[4]TONTJUIL!$C$37</f>
        <v>1700000</v>
      </c>
    </row>
    <row r="9" spans="1:12" x14ac:dyDescent="0.25">
      <c r="A9" t="s">
        <v>38</v>
      </c>
      <c r="B9" s="6">
        <v>14000</v>
      </c>
      <c r="F9" s="6"/>
      <c r="G9" t="s">
        <v>38</v>
      </c>
      <c r="H9" s="6">
        <f>[2]TONT20000JUIL2017!$G$56</f>
        <v>15000</v>
      </c>
      <c r="J9" t="s">
        <v>38</v>
      </c>
    </row>
    <row r="10" spans="1:12" x14ac:dyDescent="0.25">
      <c r="A10" t="s">
        <v>5</v>
      </c>
      <c r="C10" s="6">
        <v>100000</v>
      </c>
      <c r="G10" s="16" t="s">
        <v>42</v>
      </c>
      <c r="J10" t="s">
        <v>39</v>
      </c>
    </row>
    <row r="11" spans="1:12" x14ac:dyDescent="0.25">
      <c r="A11" s="4" t="s">
        <v>29</v>
      </c>
      <c r="D11" s="4" t="s">
        <v>27</v>
      </c>
      <c r="G11" t="s">
        <v>14</v>
      </c>
      <c r="H11" s="6">
        <v>100000</v>
      </c>
      <c r="J11" t="s">
        <v>40</v>
      </c>
      <c r="L11" s="6">
        <v>61000</v>
      </c>
    </row>
    <row r="12" spans="1:12" x14ac:dyDescent="0.25">
      <c r="A12" t="s">
        <v>6</v>
      </c>
      <c r="C12" s="6">
        <v>120000</v>
      </c>
      <c r="D12" t="s">
        <v>10</v>
      </c>
      <c r="E12" s="6">
        <v>900000</v>
      </c>
      <c r="G12" s="16" t="s">
        <v>47</v>
      </c>
      <c r="J12" t="s">
        <v>51</v>
      </c>
      <c r="L12" s="6">
        <v>20000</v>
      </c>
    </row>
    <row r="13" spans="1:12" x14ac:dyDescent="0.25">
      <c r="A13" t="s">
        <v>7</v>
      </c>
      <c r="C13" s="6">
        <v>120000</v>
      </c>
      <c r="D13" t="s">
        <v>14</v>
      </c>
      <c r="E13" s="6">
        <v>2399500</v>
      </c>
      <c r="G13" t="s">
        <v>53</v>
      </c>
      <c r="H13" s="6">
        <v>204000</v>
      </c>
      <c r="J13" s="16" t="s">
        <v>42</v>
      </c>
    </row>
    <row r="14" spans="1:12" x14ac:dyDescent="0.25">
      <c r="A14" t="s">
        <v>12</v>
      </c>
      <c r="C14" s="6">
        <v>120000</v>
      </c>
      <c r="D14" t="s">
        <v>16</v>
      </c>
      <c r="E14" s="6">
        <v>131000</v>
      </c>
      <c r="G14" t="s">
        <v>52</v>
      </c>
      <c r="H14" s="6">
        <v>31500</v>
      </c>
      <c r="J14" t="s">
        <v>14</v>
      </c>
      <c r="L14" s="6">
        <v>100000</v>
      </c>
    </row>
    <row r="15" spans="1:12" x14ac:dyDescent="0.25">
      <c r="A15" t="s">
        <v>8</v>
      </c>
      <c r="C15" s="6">
        <v>120000</v>
      </c>
      <c r="D15" t="s">
        <v>21</v>
      </c>
      <c r="E15" s="6">
        <v>400000</v>
      </c>
      <c r="G15" t="s">
        <v>54</v>
      </c>
      <c r="H15" s="6">
        <v>207000</v>
      </c>
      <c r="J15" t="s">
        <v>62</v>
      </c>
      <c r="L15" s="6">
        <v>100000</v>
      </c>
    </row>
    <row r="16" spans="1:12" x14ac:dyDescent="0.25">
      <c r="A16" t="s">
        <v>9</v>
      </c>
      <c r="C16" s="6">
        <v>120000</v>
      </c>
      <c r="D16" t="s">
        <v>22</v>
      </c>
      <c r="E16" s="6">
        <v>700000</v>
      </c>
      <c r="G16" t="s">
        <v>55</v>
      </c>
      <c r="H16" s="6">
        <v>36000</v>
      </c>
    </row>
    <row r="17" spans="1:9" x14ac:dyDescent="0.25">
      <c r="A17" t="s">
        <v>10</v>
      </c>
      <c r="C17" s="6">
        <v>32000</v>
      </c>
      <c r="D17" t="s">
        <v>23</v>
      </c>
      <c r="E17" s="6">
        <v>1000000</v>
      </c>
      <c r="G17" s="16" t="s">
        <v>48</v>
      </c>
    </row>
    <row r="18" spans="1:9" x14ac:dyDescent="0.25">
      <c r="A18" t="s">
        <v>11</v>
      </c>
      <c r="C18" s="6">
        <v>120000</v>
      </c>
      <c r="G18" t="s">
        <v>56</v>
      </c>
      <c r="H18" s="6">
        <v>4500</v>
      </c>
    </row>
    <row r="19" spans="1:9" x14ac:dyDescent="0.25">
      <c r="A19" s="4" t="s">
        <v>30</v>
      </c>
      <c r="G19" t="s">
        <v>57</v>
      </c>
      <c r="H19" s="6">
        <v>24500</v>
      </c>
    </row>
    <row r="20" spans="1:9" x14ac:dyDescent="0.25">
      <c r="A20" t="s">
        <v>12</v>
      </c>
      <c r="C20" s="6">
        <v>200000</v>
      </c>
      <c r="G20" s="16" t="s">
        <v>43</v>
      </c>
    </row>
    <row r="21" spans="1:9" x14ac:dyDescent="0.25">
      <c r="A21" t="s">
        <v>6</v>
      </c>
      <c r="C21" s="6">
        <v>200000</v>
      </c>
      <c r="G21" t="s">
        <v>44</v>
      </c>
      <c r="H21" s="6">
        <v>122500</v>
      </c>
    </row>
    <row r="22" spans="1:9" x14ac:dyDescent="0.25">
      <c r="A22" t="s">
        <v>13</v>
      </c>
      <c r="C22" s="6">
        <v>31000</v>
      </c>
      <c r="G22" t="s">
        <v>45</v>
      </c>
      <c r="H22" s="6">
        <v>122500</v>
      </c>
    </row>
    <row r="23" spans="1:9" x14ac:dyDescent="0.25">
      <c r="A23" s="4" t="s">
        <v>31</v>
      </c>
      <c r="G23" t="s">
        <v>41</v>
      </c>
      <c r="H23" s="6">
        <v>122000</v>
      </c>
    </row>
    <row r="24" spans="1:9" x14ac:dyDescent="0.25">
      <c r="A24" t="s">
        <v>14</v>
      </c>
      <c r="C24" s="6">
        <v>115500</v>
      </c>
      <c r="G24" t="s">
        <v>46</v>
      </c>
      <c r="H24" s="6">
        <v>32500</v>
      </c>
    </row>
    <row r="25" spans="1:9" x14ac:dyDescent="0.25">
      <c r="A25" t="s">
        <v>15</v>
      </c>
      <c r="C25" s="6">
        <v>140000</v>
      </c>
      <c r="G25" t="s">
        <v>58</v>
      </c>
      <c r="H25" s="6">
        <v>122000</v>
      </c>
    </row>
    <row r="26" spans="1:9" x14ac:dyDescent="0.25">
      <c r="A26" s="4" t="s">
        <v>27</v>
      </c>
      <c r="G26" t="s">
        <v>40</v>
      </c>
      <c r="H26" s="6">
        <v>61500</v>
      </c>
    </row>
    <row r="27" spans="1:9" x14ac:dyDescent="0.25">
      <c r="A27" t="s">
        <v>16</v>
      </c>
      <c r="C27" s="6">
        <v>569000</v>
      </c>
      <c r="G27" s="16" t="s">
        <v>60</v>
      </c>
    </row>
    <row r="28" spans="1:9" x14ac:dyDescent="0.25">
      <c r="A28" s="4" t="s">
        <v>17</v>
      </c>
      <c r="G28" t="s">
        <v>57</v>
      </c>
      <c r="I28" s="6">
        <v>50000</v>
      </c>
    </row>
    <row r="29" spans="1:9" x14ac:dyDescent="0.25">
      <c r="A29" t="s">
        <v>18</v>
      </c>
      <c r="C29" s="6">
        <v>15000</v>
      </c>
      <c r="G29" t="s">
        <v>7</v>
      </c>
      <c r="I29" s="6">
        <v>31000</v>
      </c>
    </row>
    <row r="30" spans="1:9" x14ac:dyDescent="0.25">
      <c r="A30" t="s">
        <v>19</v>
      </c>
      <c r="C30" s="6">
        <v>33000</v>
      </c>
      <c r="G30" t="s">
        <v>59</v>
      </c>
      <c r="I30" s="6">
        <v>100000</v>
      </c>
    </row>
    <row r="31" spans="1:9" x14ac:dyDescent="0.25">
      <c r="A31" s="4" t="s">
        <v>20</v>
      </c>
      <c r="G31" t="s">
        <v>54</v>
      </c>
      <c r="I31" s="6">
        <v>100000</v>
      </c>
    </row>
    <row r="32" spans="1:9" x14ac:dyDescent="0.25">
      <c r="A32" t="s">
        <v>18</v>
      </c>
      <c r="C32" s="6">
        <v>374000</v>
      </c>
      <c r="G32" s="16" t="s">
        <v>61</v>
      </c>
    </row>
    <row r="33" spans="1:12" x14ac:dyDescent="0.25">
      <c r="G33" t="s">
        <v>52</v>
      </c>
      <c r="I33" s="6">
        <v>100000</v>
      </c>
      <c r="K33"/>
      <c r="L33"/>
    </row>
    <row r="34" spans="1:12" x14ac:dyDescent="0.25">
      <c r="G34" t="s">
        <v>53</v>
      </c>
      <c r="I34" s="6">
        <v>100000</v>
      </c>
      <c r="K34"/>
      <c r="L34"/>
    </row>
    <row r="35" spans="1:12" x14ac:dyDescent="0.25">
      <c r="G35" t="s">
        <v>54</v>
      </c>
      <c r="I35" s="6">
        <v>100000</v>
      </c>
    </row>
    <row r="36" spans="1:12" ht="18" customHeight="1" x14ac:dyDescent="0.25">
      <c r="G36" t="s">
        <v>63</v>
      </c>
      <c r="H36" s="6">
        <v>72450</v>
      </c>
    </row>
    <row r="37" spans="1:12" ht="18" customHeight="1" x14ac:dyDescent="0.25"/>
    <row r="38" spans="1:12" ht="18" customHeight="1" x14ac:dyDescent="0.25"/>
    <row r="39" spans="1:12" ht="18" customHeight="1" x14ac:dyDescent="0.25"/>
    <row r="40" spans="1:12" ht="18" customHeight="1" x14ac:dyDescent="0.25"/>
    <row r="41" spans="1:12" ht="18" customHeight="1" x14ac:dyDescent="0.25"/>
    <row r="42" spans="1:12" ht="18" customHeight="1" x14ac:dyDescent="0.25"/>
    <row r="43" spans="1:12" ht="18" customHeight="1" x14ac:dyDescent="0.25"/>
    <row r="44" spans="1:12" ht="18" customHeight="1" x14ac:dyDescent="0.25"/>
    <row r="46" spans="1:12" ht="21" x14ac:dyDescent="0.35">
      <c r="A46" s="5" t="s">
        <v>2</v>
      </c>
      <c r="B46" s="8">
        <f>SUM(B5:B45)</f>
        <v>2529500</v>
      </c>
      <c r="C46" s="8">
        <f>SUM(C5:C45)</f>
        <v>2529500</v>
      </c>
      <c r="D46" s="8"/>
      <c r="E46" s="8">
        <f>SUM(E5:E45)</f>
        <v>5530500</v>
      </c>
      <c r="F46" s="8">
        <f>SUM(F5:F45)</f>
        <v>5296000</v>
      </c>
      <c r="G46" s="8"/>
      <c r="H46" s="8">
        <f>SUM(H5:H45)</f>
        <v>3060950</v>
      </c>
      <c r="I46" s="8">
        <f>SUM(I5:I45)</f>
        <v>581000</v>
      </c>
      <c r="J46" s="8"/>
      <c r="K46" s="8">
        <f>SUM(K5:K45)</f>
        <v>0</v>
      </c>
      <c r="L46" s="8">
        <f>SUM(L5:L45)</f>
        <v>3402500</v>
      </c>
    </row>
  </sheetData>
  <mergeCells count="6">
    <mergeCell ref="A3:C3"/>
    <mergeCell ref="D3:F3"/>
    <mergeCell ref="B2:F2"/>
    <mergeCell ref="H2:L2"/>
    <mergeCell ref="G3:I3"/>
    <mergeCell ref="J3:L3"/>
  </mergeCells>
  <dataValidations count="1">
    <dataValidation type="list" allowBlank="1" showInputMessage="1" showErrorMessage="1" sqref="J33:J34">
      <formula1>VALMODEPAID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F3" sqref="F3:I3"/>
    </sheetView>
  </sheetViews>
  <sheetFormatPr baseColWidth="10" defaultRowHeight="15" x14ac:dyDescent="0.25"/>
  <cols>
    <col min="2" max="2" width="23.42578125" bestFit="1" customWidth="1"/>
    <col min="3" max="4" width="14" style="6" customWidth="1"/>
    <col min="5" max="5" width="15.42578125" style="6" customWidth="1"/>
    <col min="6" max="6" width="21.42578125" bestFit="1" customWidth="1"/>
    <col min="7" max="8" width="15.7109375" customWidth="1"/>
    <col min="9" max="9" width="15.28515625" customWidth="1"/>
  </cols>
  <sheetData>
    <row r="1" spans="1:10" ht="21" x14ac:dyDescent="0.35">
      <c r="A1" s="15" t="s">
        <v>33</v>
      </c>
      <c r="B1" s="11"/>
      <c r="C1" s="11"/>
      <c r="D1" s="11"/>
      <c r="E1" s="11"/>
      <c r="F1" s="11"/>
      <c r="G1" s="11"/>
      <c r="H1" s="11"/>
      <c r="I1" s="11"/>
    </row>
    <row r="2" spans="1:10" ht="21" x14ac:dyDescent="0.35">
      <c r="B2" s="5"/>
    </row>
    <row r="3" spans="1:10" ht="21" x14ac:dyDescent="0.35">
      <c r="A3" s="5" t="s">
        <v>0</v>
      </c>
      <c r="B3" s="13" t="s">
        <v>24</v>
      </c>
      <c r="C3" s="14"/>
      <c r="D3" s="14"/>
      <c r="E3" s="14"/>
      <c r="F3" s="13" t="s">
        <v>64</v>
      </c>
      <c r="G3" s="14"/>
      <c r="H3" s="14"/>
      <c r="I3" s="14"/>
    </row>
    <row r="4" spans="1:10" ht="18.75" x14ac:dyDescent="0.3">
      <c r="B4" s="1" t="s">
        <v>1</v>
      </c>
      <c r="C4" s="2" t="s">
        <v>3</v>
      </c>
      <c r="D4" s="2" t="s">
        <v>4</v>
      </c>
      <c r="E4" s="2" t="s">
        <v>37</v>
      </c>
      <c r="F4" s="1" t="s">
        <v>1</v>
      </c>
      <c r="G4" s="2" t="s">
        <v>4</v>
      </c>
      <c r="H4" s="2" t="s">
        <v>3</v>
      </c>
      <c r="I4" s="2" t="s">
        <v>37</v>
      </c>
    </row>
    <row r="5" spans="1:10" ht="18.75" x14ac:dyDescent="0.3">
      <c r="A5" s="1" t="s">
        <v>34</v>
      </c>
      <c r="C5" s="9">
        <v>0</v>
      </c>
      <c r="D5" s="9"/>
      <c r="E5" s="9"/>
      <c r="F5" s="7"/>
      <c r="G5" s="9"/>
      <c r="H5" s="9">
        <v>8418637</v>
      </c>
    </row>
    <row r="6" spans="1:10" ht="18.75" x14ac:dyDescent="0.3">
      <c r="A6" s="3">
        <v>42934</v>
      </c>
      <c r="B6" t="s">
        <v>35</v>
      </c>
      <c r="C6" s="6">
        <f>'MOUVEMENT TRESORERIE'!B46</f>
        <v>2529500</v>
      </c>
      <c r="D6" s="6">
        <f>'MOUVEMENT TRESORERIE'!C46</f>
        <v>2529500</v>
      </c>
      <c r="E6" s="2">
        <f>C5+C6-D6</f>
        <v>0</v>
      </c>
      <c r="F6" t="s">
        <v>36</v>
      </c>
      <c r="G6" s="6">
        <f>'MOUVEMENT TRESORERIE'!E46</f>
        <v>5530500</v>
      </c>
      <c r="H6" s="6">
        <f>'MOUVEMENT TRESORERIE'!F46</f>
        <v>5296000</v>
      </c>
      <c r="I6" s="2">
        <f>H5+H6-G6</f>
        <v>8184137</v>
      </c>
      <c r="J6" s="6"/>
    </row>
    <row r="7" spans="1:10" ht="18.75" x14ac:dyDescent="0.3">
      <c r="A7" s="3">
        <v>42932</v>
      </c>
      <c r="B7" t="s">
        <v>35</v>
      </c>
      <c r="C7" s="6">
        <f>'MOUVEMENT TRESORERIE'!H46</f>
        <v>3060950</v>
      </c>
      <c r="D7" s="6">
        <f>'MOUVEMENT TRESORERIE'!I46</f>
        <v>581000</v>
      </c>
      <c r="E7" s="2">
        <f>E6+C7-D7</f>
        <v>2479950</v>
      </c>
      <c r="F7" t="s">
        <v>36</v>
      </c>
      <c r="G7" s="6">
        <f>'MOUVEMENT TRESORERIE'!K46</f>
        <v>0</v>
      </c>
      <c r="H7" s="6">
        <f>'MOUVEMENT TRESORERIE'!L46</f>
        <v>3402500</v>
      </c>
      <c r="I7" s="2">
        <f>I6+H7-G7</f>
        <v>11586637</v>
      </c>
    </row>
  </sheetData>
  <mergeCells count="3">
    <mergeCell ref="B3:E3"/>
    <mergeCell ref="F3:I3"/>
    <mergeCell ref="A1:I1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MOUVEMENT TRESORERIE</vt:lpstr>
      <vt:lpstr>COMPTE TRESORERIE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ASELBY</cp:lastModifiedBy>
  <dcterms:created xsi:type="dcterms:W3CDTF">2017-07-15T11:10:54Z</dcterms:created>
  <dcterms:modified xsi:type="dcterms:W3CDTF">2017-07-16T14:05:47Z</dcterms:modified>
</cp:coreProperties>
</file>