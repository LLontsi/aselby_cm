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6810" activeTab="2"/>
  </bookViews>
  <sheets>
    <sheet name="MODEVERSEMENT" sheetId="2" r:id="rId1"/>
    <sheet name="TONTAOUT" sheetId="1" r:id="rId2"/>
    <sheet name="TONTSEPT" sheetId="4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1" hidden="1">TONTAOUT!$A$4:$Q$48</definedName>
    <definedName name="_xlnm._FilterDatabase" localSheetId="2" hidden="1">TONTSEPT!$A$4:$S$48</definedName>
    <definedName name="BANQUE" localSheetId="0">#REF!</definedName>
    <definedName name="BANQUE" localSheetId="1">#REF!</definedName>
    <definedName name="BANQUE" localSheetId="2">#REF!</definedName>
    <definedName name="BANQUE">#REF!</definedName>
    <definedName name="MODEPAID">[1]Feuil2!$A$1:$A$3</definedName>
    <definedName name="MODEVERSEMENT" localSheetId="0">#REF!</definedName>
    <definedName name="MODEVERSEMENT" localSheetId="1">#REF!</definedName>
    <definedName name="MODEVERSEMENT" localSheetId="2">#REF!</definedName>
    <definedName name="MODEVERSEMENT">#REF!</definedName>
    <definedName name="MODEVERSEMENTS">MODEVERSEMENT!$A$1:$A$3</definedName>
    <definedName name="MODPAID" localSheetId="1">TONTAOUT!#REF!</definedName>
    <definedName name="MODPAID" localSheetId="2">TONTSEPT!#REF!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4" l="1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5" i="4"/>
  <c r="L48" i="4" l="1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I76" i="4" l="1"/>
  <c r="I75" i="4"/>
  <c r="P52" i="4"/>
  <c r="F62" i="4" s="1"/>
  <c r="I78" i="4" l="1"/>
  <c r="G58" i="1"/>
  <c r="F72" i="1" l="1"/>
  <c r="F71" i="1"/>
  <c r="F70" i="1"/>
  <c r="F69" i="1"/>
  <c r="F68" i="1"/>
  <c r="F63" i="1"/>
  <c r="F72" i="4"/>
  <c r="F71" i="4"/>
  <c r="F70" i="4"/>
  <c r="F69" i="4"/>
  <c r="F68" i="4"/>
  <c r="F63" i="4"/>
  <c r="G76" i="4"/>
  <c r="G75" i="4"/>
  <c r="F5" i="4"/>
  <c r="H76" i="4"/>
  <c r="J75" i="4"/>
  <c r="H75" i="4"/>
  <c r="S52" i="4"/>
  <c r="Q52" i="4"/>
  <c r="L52" i="4"/>
  <c r="F61" i="4" s="1"/>
  <c r="J52" i="4"/>
  <c r="F60" i="4" s="1"/>
  <c r="I52" i="4"/>
  <c r="F59" i="4" s="1"/>
  <c r="F48" i="4"/>
  <c r="E48" i="4"/>
  <c r="C48" i="4" s="1"/>
  <c r="B48" i="4"/>
  <c r="F47" i="4"/>
  <c r="E47" i="4"/>
  <c r="C47" i="4"/>
  <c r="B47" i="4"/>
  <c r="F46" i="4"/>
  <c r="E46" i="4"/>
  <c r="C46" i="4"/>
  <c r="B46" i="4"/>
  <c r="F45" i="4"/>
  <c r="E45" i="4"/>
  <c r="C45" i="4" s="1"/>
  <c r="B45" i="4"/>
  <c r="F44" i="4"/>
  <c r="E44" i="4"/>
  <c r="C44" i="4"/>
  <c r="B44" i="4"/>
  <c r="F43" i="4"/>
  <c r="E43" i="4"/>
  <c r="C43" i="4" s="1"/>
  <c r="B43" i="4"/>
  <c r="F42" i="4"/>
  <c r="E42" i="4"/>
  <c r="C42" i="4"/>
  <c r="B42" i="4"/>
  <c r="F41" i="4"/>
  <c r="E41" i="4"/>
  <c r="C41" i="4"/>
  <c r="B41" i="4"/>
  <c r="F40" i="4"/>
  <c r="E40" i="4"/>
  <c r="C40" i="4"/>
  <c r="B40" i="4"/>
  <c r="F39" i="4"/>
  <c r="E39" i="4"/>
  <c r="C39" i="4" s="1"/>
  <c r="B39" i="4"/>
  <c r="F38" i="4"/>
  <c r="E38" i="4"/>
  <c r="C38" i="4"/>
  <c r="B38" i="4"/>
  <c r="F37" i="4"/>
  <c r="E37" i="4"/>
  <c r="C37" i="4" s="1"/>
  <c r="B37" i="4"/>
  <c r="F36" i="4"/>
  <c r="E36" i="4"/>
  <c r="C36" i="4"/>
  <c r="B36" i="4"/>
  <c r="F35" i="4"/>
  <c r="E35" i="4"/>
  <c r="C35" i="4"/>
  <c r="B35" i="4"/>
  <c r="F34" i="4"/>
  <c r="E34" i="4"/>
  <c r="C34" i="4" s="1"/>
  <c r="B34" i="4"/>
  <c r="F33" i="4"/>
  <c r="E33" i="4"/>
  <c r="C33" i="4"/>
  <c r="B33" i="4"/>
  <c r="F32" i="4"/>
  <c r="E32" i="4"/>
  <c r="C32" i="4"/>
  <c r="B32" i="4"/>
  <c r="J76" i="4"/>
  <c r="F31" i="4"/>
  <c r="E31" i="4"/>
  <c r="C31" i="4"/>
  <c r="B31" i="4"/>
  <c r="F30" i="4"/>
  <c r="E30" i="4"/>
  <c r="C30" i="4" s="1"/>
  <c r="B30" i="4"/>
  <c r="F29" i="4"/>
  <c r="E29" i="4"/>
  <c r="C29" i="4" s="1"/>
  <c r="B29" i="4"/>
  <c r="F28" i="4"/>
  <c r="E28" i="4"/>
  <c r="C28" i="4"/>
  <c r="B28" i="4"/>
  <c r="F27" i="4"/>
  <c r="E27" i="4"/>
  <c r="C27" i="4"/>
  <c r="B27" i="4"/>
  <c r="F26" i="4"/>
  <c r="E26" i="4"/>
  <c r="C26" i="4"/>
  <c r="B26" i="4"/>
  <c r="F25" i="4"/>
  <c r="E25" i="4"/>
  <c r="C25" i="4" s="1"/>
  <c r="B25" i="4"/>
  <c r="F24" i="4"/>
  <c r="E24" i="4"/>
  <c r="C24" i="4" s="1"/>
  <c r="B24" i="4"/>
  <c r="F23" i="4"/>
  <c r="E23" i="4"/>
  <c r="C23" i="4"/>
  <c r="B23" i="4"/>
  <c r="F22" i="4"/>
  <c r="E22" i="4"/>
  <c r="C22" i="4"/>
  <c r="B22" i="4"/>
  <c r="F21" i="4"/>
  <c r="E21" i="4"/>
  <c r="C21" i="4" s="1"/>
  <c r="B21" i="4"/>
  <c r="F20" i="4"/>
  <c r="E20" i="4"/>
  <c r="C20" i="4"/>
  <c r="B20" i="4"/>
  <c r="F19" i="4"/>
  <c r="E19" i="4"/>
  <c r="C19" i="4" s="1"/>
  <c r="B19" i="4"/>
  <c r="F18" i="4"/>
  <c r="E18" i="4"/>
  <c r="C18" i="4"/>
  <c r="B18" i="4"/>
  <c r="F17" i="4"/>
  <c r="E17" i="4"/>
  <c r="C17" i="4"/>
  <c r="B17" i="4"/>
  <c r="F16" i="4"/>
  <c r="E16" i="4"/>
  <c r="C16" i="4"/>
  <c r="B16" i="4"/>
  <c r="F15" i="4"/>
  <c r="E15" i="4"/>
  <c r="C15" i="4"/>
  <c r="B15" i="4"/>
  <c r="F14" i="4"/>
  <c r="E14" i="4"/>
  <c r="C14" i="4"/>
  <c r="B14" i="4"/>
  <c r="F13" i="4"/>
  <c r="E13" i="4"/>
  <c r="C13" i="4" s="1"/>
  <c r="B13" i="4"/>
  <c r="F12" i="4"/>
  <c r="E12" i="4"/>
  <c r="C12" i="4"/>
  <c r="B12" i="4"/>
  <c r="F11" i="4"/>
  <c r="E11" i="4"/>
  <c r="C11" i="4"/>
  <c r="B11" i="4"/>
  <c r="F10" i="4"/>
  <c r="E10" i="4"/>
  <c r="C10" i="4" s="1"/>
  <c r="B10" i="4"/>
  <c r="F9" i="4"/>
  <c r="E9" i="4"/>
  <c r="C9" i="4" s="1"/>
  <c r="B9" i="4"/>
  <c r="F8" i="4"/>
  <c r="F52" i="4" s="1"/>
  <c r="F58" i="4" s="1"/>
  <c r="E8" i="4"/>
  <c r="C8" i="4"/>
  <c r="B8" i="4"/>
  <c r="O52" i="4"/>
  <c r="F7" i="4"/>
  <c r="E7" i="4"/>
  <c r="C7" i="4"/>
  <c r="B7" i="4"/>
  <c r="F6" i="4"/>
  <c r="E6" i="4"/>
  <c r="C6" i="4"/>
  <c r="B6" i="4"/>
  <c r="G78" i="4"/>
  <c r="E5" i="4"/>
  <c r="B5" i="4"/>
  <c r="I77" i="1"/>
  <c r="I79" i="1"/>
  <c r="I76" i="1"/>
  <c r="N5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31" i="1"/>
  <c r="N22" i="1"/>
  <c r="N23" i="1"/>
  <c r="N24" i="1"/>
  <c r="N25" i="1"/>
  <c r="N26" i="1"/>
  <c r="N27" i="1"/>
  <c r="N28" i="1"/>
  <c r="N29" i="1"/>
  <c r="N30" i="1"/>
  <c r="N21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6" i="1"/>
  <c r="K75" i="4" l="1"/>
  <c r="E52" i="4"/>
  <c r="J78" i="4"/>
  <c r="K76" i="4"/>
  <c r="H78" i="4"/>
  <c r="H52" i="4"/>
  <c r="C5" i="4"/>
  <c r="C52" i="4" l="1"/>
  <c r="F57" i="4"/>
  <c r="F81" i="4"/>
  <c r="K78" i="4"/>
  <c r="H77" i="1"/>
  <c r="G77" i="1"/>
  <c r="G79" i="1" s="1"/>
  <c r="H76" i="1"/>
  <c r="L58" i="1"/>
  <c r="H79" i="1" l="1"/>
  <c r="G76" i="1"/>
  <c r="H5" i="1"/>
  <c r="F58" i="1" l="1"/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5" i="1"/>
  <c r="F26" i="1" l="1"/>
  <c r="C6" i="1" l="1"/>
  <c r="C7" i="1"/>
  <c r="C8" i="1"/>
  <c r="C9" i="1"/>
  <c r="C10" i="1"/>
  <c r="C11" i="1"/>
  <c r="C12" i="1"/>
  <c r="C13" i="1"/>
  <c r="C14" i="1"/>
  <c r="C15" i="1"/>
  <c r="C16" i="1"/>
  <c r="C17" i="1"/>
  <c r="C19" i="1"/>
  <c r="C21" i="1"/>
  <c r="C22" i="1"/>
  <c r="C23" i="1"/>
  <c r="C24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4" i="1"/>
  <c r="C45" i="1"/>
  <c r="C46" i="1"/>
  <c r="C47" i="1"/>
  <c r="C48" i="1"/>
  <c r="C5" i="1" l="1"/>
  <c r="O52" i="1"/>
  <c r="F48" i="1"/>
  <c r="B48" i="1"/>
  <c r="F47" i="1"/>
  <c r="B47" i="1"/>
  <c r="F46" i="1"/>
  <c r="B46" i="1"/>
  <c r="F45" i="1"/>
  <c r="B45" i="1"/>
  <c r="F44" i="1"/>
  <c r="B44" i="1"/>
  <c r="F43" i="1"/>
  <c r="C43" i="1"/>
  <c r="B43" i="1"/>
  <c r="F42" i="1"/>
  <c r="C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5" i="1"/>
  <c r="C25" i="1"/>
  <c r="B25" i="1"/>
  <c r="F24" i="1"/>
  <c r="B24" i="1"/>
  <c r="F23" i="1"/>
  <c r="B23" i="1"/>
  <c r="F22" i="1"/>
  <c r="B22" i="1"/>
  <c r="F21" i="1"/>
  <c r="B21" i="1"/>
  <c r="F20" i="1"/>
  <c r="C20" i="1"/>
  <c r="B20" i="1"/>
  <c r="F19" i="1"/>
  <c r="B19" i="1"/>
  <c r="F18" i="1"/>
  <c r="C18" i="1"/>
  <c r="B18" i="1"/>
  <c r="F17" i="1"/>
  <c r="B17" i="1"/>
  <c r="F16" i="1"/>
  <c r="B16" i="1"/>
  <c r="F15" i="1"/>
  <c r="B15" i="1"/>
  <c r="F14" i="1"/>
  <c r="B14" i="1"/>
  <c r="F13" i="1"/>
  <c r="B13" i="1"/>
  <c r="F12" i="1"/>
  <c r="B12" i="1"/>
  <c r="F11" i="1"/>
  <c r="B11" i="1"/>
  <c r="F10" i="1"/>
  <c r="B10" i="1"/>
  <c r="F9" i="1"/>
  <c r="B9" i="1"/>
  <c r="F8" i="1"/>
  <c r="B8" i="1"/>
  <c r="F7" i="1"/>
  <c r="B7" i="1"/>
  <c r="F6" i="1"/>
  <c r="B6" i="1"/>
  <c r="B5" i="1"/>
  <c r="C52" i="1" l="1"/>
  <c r="F52" i="1"/>
  <c r="Q52" i="1"/>
  <c r="E52" i="1"/>
  <c r="F57" i="1" s="1"/>
  <c r="J57" i="1" s="1"/>
  <c r="I52" i="1" l="1"/>
  <c r="F59" i="1" s="1"/>
  <c r="K52" i="1"/>
  <c r="J52" i="1"/>
  <c r="F60" i="1" s="1"/>
  <c r="H52" i="1"/>
  <c r="F62" i="1" l="1"/>
  <c r="F61" i="1"/>
  <c r="N52" i="1" l="1"/>
  <c r="F65" i="1" l="1"/>
  <c r="F66" i="1"/>
  <c r="F65" i="4" l="1"/>
  <c r="F67" i="1"/>
  <c r="F67" i="4"/>
  <c r="F66" i="4"/>
  <c r="F64" i="1"/>
  <c r="F64" i="4" l="1"/>
</calcChain>
</file>

<file path=xl/sharedStrings.xml><?xml version="1.0" encoding="utf-8"?>
<sst xmlns="http://schemas.openxmlformats.org/spreadsheetml/2006/main" count="505" uniqueCount="110">
  <si>
    <t>ASSOCIATION</t>
  </si>
  <si>
    <t>ASELBY</t>
  </si>
  <si>
    <t>ANNEE</t>
  </si>
  <si>
    <t>2016/2017</t>
  </si>
  <si>
    <t xml:space="preserve">TONTINE </t>
  </si>
  <si>
    <t>MATRICULE</t>
  </si>
  <si>
    <t>NOM ET PRENOM</t>
  </si>
  <si>
    <t>MONTANT TONTINE</t>
  </si>
  <si>
    <t>PENALITE</t>
  </si>
  <si>
    <t>MODE VERSEMENT</t>
  </si>
  <si>
    <t>MONTANT VERSE</t>
  </si>
  <si>
    <t>INTERET ACHAT</t>
  </si>
  <si>
    <t>DATE ACHAT</t>
  </si>
  <si>
    <t>AVALISTE</t>
  </si>
  <si>
    <t>AS201601</t>
  </si>
  <si>
    <t>ECHEC</t>
  </si>
  <si>
    <t>AS201602</t>
  </si>
  <si>
    <t>AS201603</t>
  </si>
  <si>
    <t>AS201604</t>
  </si>
  <si>
    <t>AS201605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</si>
  <si>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</si>
  <si>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</si>
  <si>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</si>
  <si>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</si>
  <si>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</si>
  <si>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</si>
  <si>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</si>
  <si>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</si>
  <si>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</si>
  <si>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</si>
  <si>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</si>
  <si>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</si>
  <si>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</si>
  <si>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</si>
  <si>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</si>
  <si>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</si>
  <si>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</si>
  <si>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</si>
  <si>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</si>
  <si>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</si>
  <si>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</si>
  <si>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</si>
  <si>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</si>
  <si>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AS201631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</si>
  <si>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</si>
  <si>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</si>
  <si>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</si>
  <si>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</si>
  <si>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</si>
  <si>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</si>
  <si>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</si>
  <si>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</si>
  <si>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</si>
  <si>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</si>
  <si>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</si>
  <si>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</si>
  <si>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</si>
  <si>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</si>
  <si>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</si>
  <si>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TOTAL</t>
  </si>
  <si>
    <t>INTERET PRÊT</t>
  </si>
  <si>
    <t>RESTE</t>
  </si>
  <si>
    <t>EPARGNE</t>
  </si>
  <si>
    <t>FONDS DE ROULEMENT</t>
  </si>
  <si>
    <t>FRAIS EXCEPTIONNELS</t>
  </si>
  <si>
    <t>COLLATION</t>
  </si>
  <si>
    <t>ESPECES</t>
  </si>
  <si>
    <t>BANQUE</t>
  </si>
  <si>
    <t>TONTINE</t>
  </si>
  <si>
    <t>PRÊT LOT</t>
  </si>
  <si>
    <t>PRÊT FONDS</t>
  </si>
  <si>
    <t>INTERET FONDS</t>
  </si>
  <si>
    <t>REMBOURSEMENT PRÊT FONDS</t>
  </si>
  <si>
    <t>INTERET PRÊT LOT</t>
  </si>
  <si>
    <t>REMBOURSEMENT LOT</t>
  </si>
  <si>
    <t>EPARGNE CUMULE</t>
  </si>
  <si>
    <t>REMBOURSEMENT PRÊT LOT</t>
  </si>
  <si>
    <t>SANCTION</t>
  </si>
  <si>
    <t>MUTUELLE</t>
  </si>
  <si>
    <t>PENALITE FONDS</t>
  </si>
  <si>
    <t>PENALITE RETARD</t>
  </si>
  <si>
    <t>NKAMGANG JUSTIN DEJOLIE</t>
  </si>
  <si>
    <t>DJOUKWE NANGUEN GUY BLAISE</t>
  </si>
  <si>
    <t xml:space="preserve">DJOMO JEAN PAUL </t>
  </si>
  <si>
    <t>ACHAT LOT PRINCIPAL</t>
  </si>
  <si>
    <t>ACHAT PETIT LOT</t>
  </si>
  <si>
    <t>MONTANT VERSE TONTINE</t>
  </si>
  <si>
    <t>25 000</t>
  </si>
  <si>
    <t>MODE VERSEMENT REMBOURSEMENT</t>
  </si>
  <si>
    <t>MODE VERSEMENT TONTINE</t>
  </si>
  <si>
    <t>MONTANT PAIEMENT TONTINE</t>
  </si>
  <si>
    <t>MONTANT VERSEMENT REMBOURSEMENT</t>
  </si>
  <si>
    <t>MONTANT TONTINE BENEFICIE</t>
  </si>
  <si>
    <t>REMBOURSEMENT PETIT LOT</t>
  </si>
  <si>
    <t>MONTANT TONTINE VERSE</t>
  </si>
  <si>
    <t>MONTANT TONTINE LOT PRINCIPAL</t>
  </si>
  <si>
    <t>INTERET PETIT LOT</t>
  </si>
  <si>
    <t>MODE VERSEMENTLOT PRINCIPAL</t>
  </si>
  <si>
    <t>INTERET LOT PRINCIPAL</t>
  </si>
  <si>
    <t>INTERET LOT PRINCIPAL CUMULE</t>
  </si>
  <si>
    <t>VENTE PETIT LOT</t>
  </si>
  <si>
    <t>MODE VERSEMENT VENTE PETIT LOT</t>
  </si>
  <si>
    <t>DATE VENTE</t>
  </si>
  <si>
    <t>VENTE LOT PRINCIPAL</t>
  </si>
  <si>
    <t>SOLDE EN CAISSE</t>
  </si>
  <si>
    <t>MONTANT PETIT LOT A VENDRE</t>
  </si>
  <si>
    <t>PENALITE VERSEMENT ESPECES</t>
  </si>
  <si>
    <t>INTERET VENTE</t>
  </si>
  <si>
    <t>REMBOURSEMENT VENTE PETIT  LOT</t>
  </si>
  <si>
    <t>INTERET VENTE LOT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</si>
</sst>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Britannic Bold"/>
      <family val="2"/>
    </font>
    <font>
      <sz val="14"/>
      <color rgb="FFFF0000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3" fontId="0" fillId="0" borderId="0" xfId="0" applyNumberFormat="1" applyAlignment="1">
      <alignment horizontal="center"/>
    </xf>
    <xf numFmtId="164" fontId="1" fillId="0" borderId="0" xfId="0" applyNumberFormat="1" applyFont="1"/>
    <xf numFmtId="14" fontId="2" fillId="0" borderId="0" xfId="0" applyNumberFormat="1" applyFont="1"/>
    <xf numFmtId="3" fontId="6" fillId="0" borderId="0" xfId="0" applyNumberFormat="1" applyFont="1" applyAlignment="1">
      <alignment wrapText="1"/>
    </xf>
    <xf numFmtId="3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10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VTONT25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TONT20000AOUT2017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</sheetNames>
    <sheetDataSet>
      <sheetData sheetId="0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NANGUEN GUY BLAISE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1">
        <row r="6">
          <cell r="O6">
            <v>50000</v>
          </cell>
        </row>
      </sheetData>
      <sheetData sheetId="2">
        <row r="19">
          <cell r="K19">
            <v>100000</v>
          </cell>
        </row>
      </sheetData>
      <sheetData sheetId="3">
        <row r="5">
          <cell r="E5">
            <v>202.80994959407681</v>
          </cell>
        </row>
      </sheetData>
      <sheetData sheetId="4">
        <row r="5">
          <cell r="C5">
            <v>0</v>
          </cell>
        </row>
      </sheetData>
      <sheetData sheetId="5">
        <row r="5">
          <cell r="C5">
            <v>1975.5683466088842</v>
          </cell>
        </row>
      </sheetData>
      <sheetData sheetId="6">
        <row r="5">
          <cell r="C5">
            <v>1305.9727084661067</v>
          </cell>
        </row>
      </sheetData>
      <sheetData sheetId="7">
        <row r="5">
          <cell r="C5">
            <v>1053.7629152599034</v>
          </cell>
        </row>
      </sheetData>
      <sheetData sheetId="8">
        <row r="5">
          <cell r="C5">
            <v>2026.7640754185838</v>
          </cell>
        </row>
      </sheetData>
      <sheetData sheetId="9">
        <row r="5">
          <cell r="C5">
            <v>1222.9245356510744</v>
          </cell>
        </row>
      </sheetData>
      <sheetData sheetId="10">
        <row r="5">
          <cell r="C5">
            <v>0</v>
          </cell>
        </row>
      </sheetData>
      <sheetData sheetId="11">
        <row r="5">
          <cell r="C5">
            <v>22.721654516142401</v>
          </cell>
        </row>
      </sheetData>
      <sheetData sheetId="12">
        <row r="5">
          <cell r="C5">
            <v>0</v>
          </cell>
        </row>
      </sheetData>
      <sheetData sheetId="13">
        <row r="5">
          <cell r="C5">
            <v>0</v>
          </cell>
        </row>
      </sheetData>
      <sheetData sheetId="14">
        <row r="5">
          <cell r="C5">
            <v>0</v>
          </cell>
        </row>
      </sheetData>
      <sheetData sheetId="15">
        <row r="5">
          <cell r="C5">
            <v>7810.5241855147724</v>
          </cell>
        </row>
      </sheetData>
      <sheetData sheetId="16"/>
      <sheetData sheetId="17"/>
      <sheetData sheetId="18"/>
      <sheetData sheetId="19">
        <row r="1">
          <cell r="A1" t="str">
            <v>BANQUE</v>
          </cell>
        </row>
      </sheetData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N"/>
      <sheetName val="TONTJUIL"/>
      <sheetName val="TONTAOUT"/>
      <sheetName val="TONTSEPT"/>
    </sheetNames>
    <sheetDataSet>
      <sheetData sheetId="0" refreshError="1"/>
      <sheetData sheetId="1" refreshError="1"/>
      <sheetData sheetId="2" refreshError="1"/>
      <sheetData sheetId="3">
        <row r="33">
          <cell r="N33">
            <v>21500.000000000029</v>
          </cell>
        </row>
      </sheetData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VTAOUT2017"/>
      <sheetName val="MVTAOUT"/>
      <sheetName val="MVTSEPT"/>
    </sheetNames>
    <sheetDataSet>
      <sheetData sheetId="0"/>
      <sheetData sheetId="1"/>
      <sheetData sheetId="2">
        <row r="53">
          <cell r="F53">
            <v>0</v>
          </cell>
          <cell r="H53">
            <v>359000</v>
          </cell>
          <cell r="I53">
            <v>23000</v>
          </cell>
          <cell r="J53">
            <v>46000</v>
          </cell>
          <cell r="K53">
            <v>115000</v>
          </cell>
          <cell r="L53">
            <v>0</v>
          </cell>
          <cell r="O53">
            <v>391000</v>
          </cell>
          <cell r="S53">
            <v>0</v>
          </cell>
        </row>
      </sheetData>
      <sheetData sheetId="3">
        <row r="53">
          <cell r="F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O53">
            <v>0</v>
          </cell>
          <cell r="S5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Q5" sqref="Q5:Q52"/>
    </sheetView>
  </sheetViews>
  <sheetFormatPr baseColWidth="10" defaultRowHeight="15" x14ac:dyDescent="0.25"/>
  <sheetData>
    <row r="1" spans="1:1" x14ac:dyDescent="0.25">
      <c r="A1" t="s">
        <v>67</v>
      </c>
    </row>
    <row r="2" spans="1:1" x14ac:dyDescent="0.25">
      <c r="A2" t="s">
        <v>66</v>
      </c>
    </row>
    <row r="3" spans="1:1" x14ac:dyDescent="0.25">
      <c r="A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Views>
    <sheetView workbookViewId="0">
      <pane xSplit="2" ySplit="4" topLeftCell="F5" activePane="bottomRight" state="frozen"/>
      <selection activeCell="B22" sqref="B22"/>
      <selection pane="topRight" activeCell="B22" sqref="B22"/>
      <selection pane="bottomLeft" activeCell="B22" sqref="B22"/>
      <selection pane="bottomRight" activeCell="G58" sqref="G58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2.85546875" customWidth="1"/>
    <col min="4" max="4" width="11.42578125" customWidth="1"/>
    <col min="5" max="5" width="21" customWidth="1"/>
    <col min="6" max="6" width="13" customWidth="1"/>
    <col min="7" max="7" width="16.7109375" customWidth="1"/>
    <col min="8" max="8" width="15" style="2" bestFit="1" customWidth="1"/>
    <col min="9" max="9" width="15" bestFit="1" customWidth="1"/>
    <col min="10" max="10" width="17.5703125" style="3" bestFit="1" customWidth="1"/>
    <col min="11" max="11" width="15.7109375" style="2" customWidth="1"/>
    <col min="12" max="13" width="13" customWidth="1"/>
    <col min="14" max="15" width="18.140625" style="2" bestFit="1" customWidth="1"/>
    <col min="16" max="16" width="15" bestFit="1" customWidth="1"/>
    <col min="17" max="17" width="12.5703125" bestFit="1" customWidth="1"/>
  </cols>
  <sheetData>
    <row r="1" spans="1:17" x14ac:dyDescent="0.25">
      <c r="A1" s="1" t="s">
        <v>0</v>
      </c>
      <c r="B1" s="1" t="s">
        <v>1</v>
      </c>
      <c r="C1" s="1"/>
      <c r="D1" s="1"/>
      <c r="E1" s="1"/>
      <c r="F1" s="1"/>
      <c r="G1" s="1"/>
      <c r="L1" s="1"/>
      <c r="M1" s="1"/>
    </row>
    <row r="2" spans="1:17" x14ac:dyDescent="0.25">
      <c r="A2" s="1" t="s">
        <v>2</v>
      </c>
      <c r="B2" s="1" t="s">
        <v>3</v>
      </c>
      <c r="C2" s="1"/>
      <c r="D2" s="1"/>
      <c r="E2" s="1"/>
      <c r="F2" s="1"/>
      <c r="G2" s="1"/>
      <c r="L2" s="1"/>
      <c r="M2" s="1"/>
    </row>
    <row r="3" spans="1:17" x14ac:dyDescent="0.25">
      <c r="A3" s="1" t="s">
        <v>4</v>
      </c>
      <c r="B3" s="1" t="s">
        <v>87</v>
      </c>
      <c r="C3" s="1"/>
      <c r="D3" s="1"/>
      <c r="E3" s="1"/>
      <c r="F3" s="1"/>
      <c r="G3" s="1"/>
      <c r="L3" s="1"/>
      <c r="M3" s="1"/>
    </row>
    <row r="4" spans="1:17" ht="57.75" x14ac:dyDescent="0.25">
      <c r="A4" s="1" t="s">
        <v>5</v>
      </c>
      <c r="B4" s="1" t="s">
        <v>6</v>
      </c>
      <c r="C4" s="1" t="s">
        <v>61</v>
      </c>
      <c r="D4" s="1" t="s">
        <v>75</v>
      </c>
      <c r="E4" s="4" t="s">
        <v>7</v>
      </c>
      <c r="F4" s="1" t="s">
        <v>8</v>
      </c>
      <c r="G4" s="5" t="s">
        <v>9</v>
      </c>
      <c r="H4" s="4" t="s">
        <v>10</v>
      </c>
      <c r="I4" s="6" t="s">
        <v>69</v>
      </c>
      <c r="J4" s="4" t="s">
        <v>73</v>
      </c>
      <c r="K4" s="4" t="s">
        <v>74</v>
      </c>
      <c r="L4" s="4" t="s">
        <v>88</v>
      </c>
      <c r="M4" s="4" t="s">
        <v>89</v>
      </c>
      <c r="N4" s="4" t="s">
        <v>92</v>
      </c>
      <c r="O4" s="6" t="s">
        <v>11</v>
      </c>
      <c r="P4" s="12" t="s">
        <v>12</v>
      </c>
      <c r="Q4" s="4" t="s">
        <v>13</v>
      </c>
    </row>
    <row r="5" spans="1:17" x14ac:dyDescent="0.25">
      <c r="A5" s="1" t="s">
        <v>14</v>
      </c>
      <c r="B5" s="1" t="str">
        <f>VLOOKUP(A5,[2]LISTADHERENT!A$5:H$52,2,0)</f>
        <v>BAKOP ACHILLE</v>
      </c>
      <c r="C5" s="7">
        <f>IF(H5=0,0,H5-E5)</f>
        <v>70000</v>
      </c>
      <c r="D5" s="7"/>
      <c r="E5" s="7">
        <f>IF(G5="ECHEC",0,18000)</f>
        <v>18000</v>
      </c>
      <c r="F5" s="7">
        <v>9500</v>
      </c>
      <c r="G5" s="5" t="s">
        <v>66</v>
      </c>
      <c r="H5" s="7">
        <f>30000+5000+10000+25000+18000</f>
        <v>88000</v>
      </c>
      <c r="I5" s="7"/>
      <c r="J5" s="7"/>
      <c r="K5" s="7"/>
      <c r="L5" s="5" t="s">
        <v>15</v>
      </c>
      <c r="M5" s="5" t="s">
        <v>15</v>
      </c>
      <c r="N5" s="7">
        <f>IF(O5=0,0,($F$74-O5))</f>
        <v>0</v>
      </c>
      <c r="O5" s="7"/>
      <c r="P5" s="7"/>
      <c r="Q5" s="7"/>
    </row>
    <row r="6" spans="1:17" x14ac:dyDescent="0.25">
      <c r="A6" s="1" t="s">
        <v>16</v>
      </c>
      <c r="B6" s="1" t="str">
        <f>VLOOKUP(A6,[2]LISTADHERENT!A$5:H$51,2)</f>
        <v>BOUTCHOUANG WILLIAM</v>
      </c>
      <c r="C6" s="7">
        <f t="shared" ref="C6:C48" si="0">IF(H6=0,0,H6-E6)</f>
        <v>7000</v>
      </c>
      <c r="D6" s="7"/>
      <c r="E6" s="7">
        <f t="shared" ref="E6:E48" si="1">IF(G6="ECHEC",0,18000)</f>
        <v>18000</v>
      </c>
      <c r="F6" s="7">
        <f t="shared" ref="F6:F48" si="2">IF(G6="ESPECES",1000,0)</f>
        <v>1000</v>
      </c>
      <c r="G6" s="5" t="s">
        <v>66</v>
      </c>
      <c r="H6" s="7">
        <v>25000</v>
      </c>
      <c r="I6" s="7"/>
      <c r="J6" s="7"/>
      <c r="K6" s="7"/>
      <c r="L6" s="5" t="s">
        <v>15</v>
      </c>
      <c r="M6" s="5" t="s">
        <v>15</v>
      </c>
      <c r="N6" s="7">
        <f>IF(O6=0,0,($F$74-O6))</f>
        <v>0</v>
      </c>
      <c r="O6" s="7"/>
      <c r="P6" s="7"/>
      <c r="Q6" s="7"/>
    </row>
    <row r="7" spans="1:17" x14ac:dyDescent="0.25">
      <c r="A7" s="1" t="s">
        <v>17</v>
      </c>
      <c r="B7" s="1" t="str">
        <f>VLOOKUP(A7,[2]LISTADHERENT!A$5:H$51,2)</f>
        <v>CHINGUE FABRICE</v>
      </c>
      <c r="C7" s="7">
        <f t="shared" si="0"/>
        <v>7000</v>
      </c>
      <c r="D7" s="7"/>
      <c r="E7" s="7">
        <f t="shared" si="1"/>
        <v>18000</v>
      </c>
      <c r="F7" s="7">
        <f t="shared" si="2"/>
        <v>1000</v>
      </c>
      <c r="G7" s="5" t="s">
        <v>66</v>
      </c>
      <c r="H7" s="7">
        <v>25000</v>
      </c>
      <c r="I7" s="7"/>
      <c r="J7" s="7"/>
      <c r="K7" s="7"/>
      <c r="L7" s="5" t="s">
        <v>15</v>
      </c>
      <c r="M7" s="5" t="s">
        <v>15</v>
      </c>
      <c r="N7" s="7">
        <f t="shared" ref="N7:N48" si="3">IF(O7=0,0,($F$74-O7))</f>
        <v>0</v>
      </c>
      <c r="O7" s="7"/>
      <c r="P7" s="2"/>
      <c r="Q7" s="7"/>
    </row>
    <row r="8" spans="1:17" x14ac:dyDescent="0.25">
      <c r="A8" s="1" t="s">
        <v>18</v>
      </c>
      <c r="B8" s="1" t="str">
        <f>VLOOKUP(A8,[2]LISTADHERENT!A$5:H$51,2)</f>
        <v xml:space="preserve">DJOMO JEAN PAUL </v>
      </c>
      <c r="C8" s="7">
        <f t="shared" si="0"/>
        <v>7000</v>
      </c>
      <c r="D8" s="7"/>
      <c r="E8" s="7">
        <f t="shared" si="1"/>
        <v>18000</v>
      </c>
      <c r="F8" s="7">
        <f t="shared" si="2"/>
        <v>0</v>
      </c>
      <c r="G8" s="5" t="s">
        <v>67</v>
      </c>
      <c r="H8" s="7">
        <v>25000</v>
      </c>
      <c r="I8" s="7"/>
      <c r="J8" s="7"/>
      <c r="K8" s="7"/>
      <c r="L8" s="5" t="s">
        <v>15</v>
      </c>
      <c r="M8" s="5" t="s">
        <v>15</v>
      </c>
      <c r="N8" s="7">
        <f t="shared" si="3"/>
        <v>0</v>
      </c>
      <c r="O8" s="7"/>
      <c r="P8" s="2"/>
      <c r="Q8" s="7"/>
    </row>
    <row r="9" spans="1:17" x14ac:dyDescent="0.25">
      <c r="A9" s="1" t="s">
        <v>19</v>
      </c>
      <c r="B9" s="1" t="str">
        <f>VLOOKUP(A9,[2]LISTADHERENT!A$5:H$51,2)</f>
        <v>DJOUKWE NANGUEN GUY BLAISE</v>
      </c>
      <c r="C9" s="7">
        <f t="shared" si="0"/>
        <v>7000</v>
      </c>
      <c r="D9" s="7"/>
      <c r="E9" s="7">
        <f t="shared" si="1"/>
        <v>18000</v>
      </c>
      <c r="F9" s="7">
        <f t="shared" si="2"/>
        <v>1000</v>
      </c>
      <c r="G9" s="5" t="s">
        <v>66</v>
      </c>
      <c r="H9" s="7">
        <v>25000</v>
      </c>
      <c r="I9" s="7"/>
      <c r="J9" s="7"/>
      <c r="K9" s="7"/>
      <c r="L9" s="5" t="s">
        <v>15</v>
      </c>
      <c r="M9" s="5" t="s">
        <v>15</v>
      </c>
      <c r="N9" s="7">
        <f t="shared" si="3"/>
        <v>0</v>
      </c>
      <c r="O9" s="7"/>
      <c r="P9" s="2"/>
      <c r="Q9" s="7"/>
    </row>
    <row r="10" spans="1:17" x14ac:dyDescent="0.25">
      <c r="A10" s="1" t="s">
        <v>20</v>
      </c>
      <c r="B10" s="1" t="str">
        <f>VLOOKUP(A10,[2]LISTADHERENT!A$5:H$51,2)</f>
        <v>DJOUNKEP SAMUEL</v>
      </c>
      <c r="C10" s="7">
        <f t="shared" si="0"/>
        <v>7000</v>
      </c>
      <c r="D10" s="7"/>
      <c r="E10" s="7">
        <f t="shared" si="1"/>
        <v>18000</v>
      </c>
      <c r="F10" s="7">
        <f t="shared" si="2"/>
        <v>0</v>
      </c>
      <c r="G10" s="5" t="s">
        <v>67</v>
      </c>
      <c r="H10" s="7">
        <v>25000</v>
      </c>
      <c r="I10" s="7"/>
      <c r="J10" s="7"/>
      <c r="K10" s="7"/>
      <c r="L10" s="5" t="s">
        <v>15</v>
      </c>
      <c r="M10" s="5" t="s">
        <v>15</v>
      </c>
      <c r="N10" s="7">
        <f t="shared" si="3"/>
        <v>0</v>
      </c>
      <c r="O10" s="7"/>
      <c r="P10" s="2"/>
      <c r="Q10" s="7"/>
    </row>
    <row r="11" spans="1:17" x14ac:dyDescent="0.25">
      <c r="A11" s="1" t="s">
        <v>21</v>
      </c>
      <c r="B11" s="1" t="str">
        <f>VLOOKUP(A11,[2]LISTADHERENT!A$5:H$51,2)</f>
        <v>DJUOMBESSY ANTOINE</v>
      </c>
      <c r="C11" s="7">
        <f t="shared" si="0"/>
        <v>7000</v>
      </c>
      <c r="D11" s="7"/>
      <c r="E11" s="7">
        <f t="shared" si="1"/>
        <v>18000</v>
      </c>
      <c r="F11" s="7">
        <f t="shared" si="2"/>
        <v>0</v>
      </c>
      <c r="G11" s="5" t="s">
        <v>67</v>
      </c>
      <c r="H11" s="7">
        <v>25000</v>
      </c>
      <c r="I11" s="7"/>
      <c r="J11" s="7"/>
      <c r="K11" s="7"/>
      <c r="L11" s="5" t="s">
        <v>15</v>
      </c>
      <c r="M11" s="5" t="s">
        <v>15</v>
      </c>
      <c r="N11" s="7">
        <f t="shared" si="3"/>
        <v>0</v>
      </c>
      <c r="O11" s="7"/>
      <c r="P11" s="2"/>
      <c r="Q11" s="7"/>
    </row>
    <row r="12" spans="1:17" x14ac:dyDescent="0.25">
      <c r="A12" s="1" t="s">
        <v>22</v>
      </c>
      <c r="B12" s="1" t="str">
        <f>VLOOKUP(A12,[2]LISTADHERENT!A$5:H$51,2)</f>
        <v>DONHOU DAVID</v>
      </c>
      <c r="C12" s="7">
        <f t="shared" si="0"/>
        <v>7000</v>
      </c>
      <c r="D12" s="7"/>
      <c r="E12" s="7">
        <f t="shared" si="1"/>
        <v>18000</v>
      </c>
      <c r="F12" s="7">
        <f t="shared" si="2"/>
        <v>1000</v>
      </c>
      <c r="G12" s="5" t="s">
        <v>66</v>
      </c>
      <c r="H12" s="7">
        <v>25000</v>
      </c>
      <c r="I12" s="7"/>
      <c r="J12" s="7"/>
      <c r="K12" s="7"/>
      <c r="L12" s="5" t="s">
        <v>15</v>
      </c>
      <c r="M12" s="5" t="s">
        <v>15</v>
      </c>
      <c r="N12" s="7">
        <f t="shared" si="3"/>
        <v>0</v>
      </c>
      <c r="O12" s="7"/>
      <c r="P12" s="2"/>
      <c r="Q12" s="7"/>
    </row>
    <row r="13" spans="1:17" x14ac:dyDescent="0.25">
      <c r="A13" s="1" t="s">
        <v>23</v>
      </c>
      <c r="B13" s="1" t="str">
        <f>VLOOKUP(A13,[2]LISTADHERENT!A$5:H$51,2)</f>
        <v>FOTSO THOMAS</v>
      </c>
      <c r="C13" s="7">
        <f t="shared" si="0"/>
        <v>7000</v>
      </c>
      <c r="D13" s="7"/>
      <c r="E13" s="7">
        <f t="shared" si="1"/>
        <v>18000</v>
      </c>
      <c r="F13" s="7">
        <f t="shared" si="2"/>
        <v>1000</v>
      </c>
      <c r="G13" s="5" t="s">
        <v>66</v>
      </c>
      <c r="H13" s="7">
        <v>25000</v>
      </c>
      <c r="I13" s="7"/>
      <c r="J13" s="7"/>
      <c r="K13" s="7"/>
      <c r="L13" s="5" t="s">
        <v>15</v>
      </c>
      <c r="M13" s="5" t="s">
        <v>15</v>
      </c>
      <c r="N13" s="7">
        <f t="shared" si="3"/>
        <v>0</v>
      </c>
      <c r="O13" s="7"/>
      <c r="P13" s="2"/>
      <c r="Q13" s="7"/>
    </row>
    <row r="14" spans="1:17" x14ac:dyDescent="0.25">
      <c r="A14" s="1" t="s">
        <v>24</v>
      </c>
      <c r="B14" s="1" t="str">
        <f>VLOOKUP(A14,[2]LISTADHERENT!A$5:H$51,2)</f>
        <v>HENGUE PAUL OMER</v>
      </c>
      <c r="C14" s="7">
        <f t="shared" si="0"/>
        <v>7000</v>
      </c>
      <c r="D14" s="7"/>
      <c r="E14" s="7">
        <f t="shared" si="1"/>
        <v>18000</v>
      </c>
      <c r="F14" s="7">
        <f t="shared" si="2"/>
        <v>0</v>
      </c>
      <c r="G14" s="5" t="s">
        <v>67</v>
      </c>
      <c r="H14" s="7">
        <v>25000</v>
      </c>
      <c r="I14" s="7"/>
      <c r="J14" s="7"/>
      <c r="K14" s="7"/>
      <c r="L14" s="5" t="s">
        <v>15</v>
      </c>
      <c r="M14" s="5" t="s">
        <v>15</v>
      </c>
      <c r="N14" s="7">
        <f t="shared" si="3"/>
        <v>0</v>
      </c>
      <c r="O14" s="7"/>
      <c r="P14" s="2"/>
      <c r="Q14" s="7"/>
    </row>
    <row r="15" spans="1:17" x14ac:dyDescent="0.25">
      <c r="A15" s="1" t="s">
        <v>25</v>
      </c>
      <c r="B15" s="1" t="str">
        <f>VLOOKUP(A15,[2]LISTADHERENT!A$5:H$51,2)</f>
        <v>HODIEP JULES</v>
      </c>
      <c r="C15" s="7">
        <f t="shared" si="0"/>
        <v>0</v>
      </c>
      <c r="D15" s="7"/>
      <c r="E15" s="7">
        <f t="shared" si="1"/>
        <v>0</v>
      </c>
      <c r="F15" s="7">
        <f t="shared" si="2"/>
        <v>0</v>
      </c>
      <c r="G15" s="5" t="s">
        <v>15</v>
      </c>
      <c r="H15" s="7"/>
      <c r="I15" s="7"/>
      <c r="J15" s="7"/>
      <c r="K15" s="7"/>
      <c r="L15" s="5" t="s">
        <v>15</v>
      </c>
      <c r="M15" s="5" t="s">
        <v>15</v>
      </c>
      <c r="N15" s="7">
        <f t="shared" si="3"/>
        <v>0</v>
      </c>
      <c r="O15" s="7"/>
      <c r="P15" s="2"/>
      <c r="Q15" s="7"/>
    </row>
    <row r="16" spans="1:17" x14ac:dyDescent="0.25">
      <c r="A16" s="1" t="s">
        <v>26</v>
      </c>
      <c r="B16" s="1" t="str">
        <f>VLOOKUP(A16,[2]LISTADHERENT!A$5:H$51,2)</f>
        <v>HOTCHO BENJAMIN</v>
      </c>
      <c r="C16" s="7">
        <f t="shared" si="0"/>
        <v>7000</v>
      </c>
      <c r="D16" s="7"/>
      <c r="E16" s="7">
        <f t="shared" si="1"/>
        <v>18000</v>
      </c>
      <c r="F16" s="7">
        <f t="shared" si="2"/>
        <v>0</v>
      </c>
      <c r="G16" s="5" t="s">
        <v>67</v>
      </c>
      <c r="H16" s="7">
        <v>25000</v>
      </c>
      <c r="I16" s="7"/>
      <c r="J16" s="7"/>
      <c r="K16" s="7"/>
      <c r="L16" s="5" t="s">
        <v>15</v>
      </c>
      <c r="M16" s="5" t="s">
        <v>15</v>
      </c>
      <c r="N16" s="7">
        <f t="shared" si="3"/>
        <v>0</v>
      </c>
      <c r="O16" s="7"/>
      <c r="P16" s="2"/>
      <c r="Q16" s="7"/>
    </row>
    <row r="17" spans="1:17" x14ac:dyDescent="0.25">
      <c r="A17" s="1" t="s">
        <v>27</v>
      </c>
      <c r="B17" s="1" t="str">
        <f>VLOOKUP(A17,[2]LISTADHERENT!A$5:H$51,2)</f>
        <v>KEPHE DAVID</v>
      </c>
      <c r="C17" s="7">
        <f t="shared" si="0"/>
        <v>0</v>
      </c>
      <c r="D17" s="7"/>
      <c r="E17" s="7">
        <f t="shared" si="1"/>
        <v>0</v>
      </c>
      <c r="F17" s="7">
        <f t="shared" si="2"/>
        <v>0</v>
      </c>
      <c r="G17" s="5" t="s">
        <v>15</v>
      </c>
      <c r="H17" s="7"/>
      <c r="I17" s="7"/>
      <c r="J17" s="7"/>
      <c r="K17" s="7"/>
      <c r="L17" s="5" t="s">
        <v>15</v>
      </c>
      <c r="M17" s="5" t="s">
        <v>15</v>
      </c>
      <c r="N17" s="7">
        <f t="shared" si="3"/>
        <v>0</v>
      </c>
      <c r="O17" s="7"/>
      <c r="P17" s="2"/>
      <c r="Q17" s="7"/>
    </row>
    <row r="18" spans="1:17" x14ac:dyDescent="0.25">
      <c r="A18" s="1" t="s">
        <v>28</v>
      </c>
      <c r="B18" s="1" t="str">
        <f>VLOOKUP(A18,[2]LISTADHERENT!A$5:H$51,2)</f>
        <v>KEPSEU FRANCIS</v>
      </c>
      <c r="C18" s="7">
        <f t="shared" si="0"/>
        <v>10000</v>
      </c>
      <c r="D18" s="7"/>
      <c r="E18" s="7">
        <f t="shared" si="1"/>
        <v>18000</v>
      </c>
      <c r="F18" s="7">
        <f t="shared" si="2"/>
        <v>0</v>
      </c>
      <c r="G18" s="5" t="s">
        <v>67</v>
      </c>
      <c r="H18" s="7">
        <v>28000</v>
      </c>
      <c r="I18" s="7"/>
      <c r="J18" s="7"/>
      <c r="K18" s="7"/>
      <c r="L18" s="5" t="s">
        <v>15</v>
      </c>
      <c r="M18" s="5" t="s">
        <v>15</v>
      </c>
      <c r="N18" s="7">
        <f t="shared" si="3"/>
        <v>0</v>
      </c>
      <c r="O18" s="7"/>
      <c r="P18" s="2"/>
      <c r="Q18" s="7"/>
    </row>
    <row r="19" spans="1:17" x14ac:dyDescent="0.25">
      <c r="A19" s="1" t="s">
        <v>29</v>
      </c>
      <c r="B19" s="1" t="str">
        <f>VLOOKUP(A19,[2]LISTADHERENT!A$5:H$51,2)</f>
        <v>KOUAMOU EMMANUEL</v>
      </c>
      <c r="C19" s="7">
        <f t="shared" si="0"/>
        <v>7000</v>
      </c>
      <c r="D19" s="7"/>
      <c r="E19" s="7">
        <f t="shared" si="1"/>
        <v>18000</v>
      </c>
      <c r="F19" s="7">
        <f t="shared" si="2"/>
        <v>1000</v>
      </c>
      <c r="G19" s="5" t="s">
        <v>66</v>
      </c>
      <c r="H19" s="7">
        <v>25000</v>
      </c>
      <c r="I19" s="7"/>
      <c r="J19" s="7"/>
      <c r="K19" s="7"/>
      <c r="L19" s="5" t="s">
        <v>15</v>
      </c>
      <c r="M19" s="5" t="s">
        <v>15</v>
      </c>
      <c r="N19" s="7">
        <f t="shared" si="3"/>
        <v>0</v>
      </c>
      <c r="O19" s="7"/>
      <c r="P19" s="2"/>
      <c r="Q19" s="7"/>
    </row>
    <row r="20" spans="1:17" x14ac:dyDescent="0.25">
      <c r="A20" s="1" t="s">
        <v>30</v>
      </c>
      <c r="B20" s="1" t="str">
        <f>VLOOKUP(A20,[2]LISTADHERENT!A$5:H$51,2)</f>
        <v>KOUAMOU MOISE</v>
      </c>
      <c r="C20" s="7">
        <f t="shared" si="0"/>
        <v>7000</v>
      </c>
      <c r="D20" s="7"/>
      <c r="E20" s="7">
        <f t="shared" si="1"/>
        <v>18000</v>
      </c>
      <c r="F20" s="7">
        <f t="shared" si="2"/>
        <v>0</v>
      </c>
      <c r="G20" s="5" t="s">
        <v>67</v>
      </c>
      <c r="H20" s="7">
        <v>25000</v>
      </c>
      <c r="I20" s="7"/>
      <c r="J20" s="7"/>
      <c r="K20" s="7"/>
      <c r="L20" s="5" t="s">
        <v>15</v>
      </c>
      <c r="M20" s="5" t="s">
        <v>15</v>
      </c>
      <c r="N20" s="7">
        <f t="shared" si="3"/>
        <v>0</v>
      </c>
      <c r="O20" s="7"/>
      <c r="P20" s="2"/>
      <c r="Q20" s="7"/>
    </row>
    <row r="21" spans="1:17" x14ac:dyDescent="0.25">
      <c r="A21" s="1" t="s">
        <v>31</v>
      </c>
      <c r="B21" s="1" t="str">
        <f>VLOOKUP(A21,[2]LISTADHERENT!A$5:H$51,2)</f>
        <v>KOUAMO VICTOR PEGUY</v>
      </c>
      <c r="C21" s="7">
        <f t="shared" si="0"/>
        <v>7000</v>
      </c>
      <c r="D21" s="7"/>
      <c r="E21" s="7">
        <f t="shared" si="1"/>
        <v>18000</v>
      </c>
      <c r="F21" s="7">
        <f t="shared" si="2"/>
        <v>1000</v>
      </c>
      <c r="G21" s="5" t="s">
        <v>66</v>
      </c>
      <c r="H21" s="7">
        <v>25000</v>
      </c>
      <c r="I21" s="7">
        <v>31000</v>
      </c>
      <c r="J21" s="7">
        <v>1000</v>
      </c>
      <c r="K21" s="7"/>
      <c r="L21" s="5" t="s">
        <v>66</v>
      </c>
      <c r="M21" s="5" t="s">
        <v>67</v>
      </c>
      <c r="N21" s="7">
        <f t="shared" si="3"/>
        <v>171000</v>
      </c>
      <c r="O21" s="7">
        <v>51000</v>
      </c>
      <c r="P21" s="13">
        <v>42967</v>
      </c>
      <c r="Q21" s="7" t="s">
        <v>83</v>
      </c>
    </row>
    <row r="22" spans="1:17" x14ac:dyDescent="0.25">
      <c r="A22" s="1" t="s">
        <v>32</v>
      </c>
      <c r="B22" s="1" t="str">
        <f>VLOOKUP(A22,[2]LISTADHERENT!A$5:H$51,2)</f>
        <v>KOUATCHO MESSACK</v>
      </c>
      <c r="C22" s="7">
        <f t="shared" si="0"/>
        <v>7000</v>
      </c>
      <c r="D22" s="7"/>
      <c r="E22" s="7">
        <f t="shared" si="1"/>
        <v>18000</v>
      </c>
      <c r="F22" s="7">
        <f t="shared" si="2"/>
        <v>1000</v>
      </c>
      <c r="G22" s="5" t="s">
        <v>66</v>
      </c>
      <c r="H22" s="7">
        <v>25000</v>
      </c>
      <c r="I22" s="7"/>
      <c r="J22" s="7">
        <v>500</v>
      </c>
      <c r="K22" s="7"/>
      <c r="L22" s="5" t="s">
        <v>15</v>
      </c>
      <c r="M22" s="5" t="s">
        <v>15</v>
      </c>
      <c r="N22" s="7">
        <f t="shared" si="3"/>
        <v>0</v>
      </c>
      <c r="O22" s="7"/>
      <c r="P22" s="7"/>
      <c r="Q22" s="7"/>
    </row>
    <row r="23" spans="1:17" x14ac:dyDescent="0.25">
      <c r="A23" s="1" t="s">
        <v>33</v>
      </c>
      <c r="B23" s="1" t="str">
        <f>VLOOKUP(A23,[2]LISTADHERENT!A$5:H$51,2)</f>
        <v>LOWE JEAN</v>
      </c>
      <c r="C23" s="7">
        <f t="shared" si="0"/>
        <v>7000</v>
      </c>
      <c r="D23" s="7"/>
      <c r="E23" s="7">
        <f t="shared" si="1"/>
        <v>18000</v>
      </c>
      <c r="F23" s="7">
        <f t="shared" si="2"/>
        <v>1000</v>
      </c>
      <c r="G23" s="5" t="s">
        <v>66</v>
      </c>
      <c r="H23" s="7">
        <v>25000</v>
      </c>
      <c r="I23" s="7"/>
      <c r="J23" s="7"/>
      <c r="K23" s="7"/>
      <c r="L23" s="5" t="s">
        <v>15</v>
      </c>
      <c r="M23" s="5" t="s">
        <v>15</v>
      </c>
      <c r="N23" s="7">
        <f t="shared" si="3"/>
        <v>0</v>
      </c>
      <c r="O23" s="7"/>
      <c r="P23" s="2"/>
      <c r="Q23" s="7"/>
    </row>
    <row r="24" spans="1:17" x14ac:dyDescent="0.25">
      <c r="A24" s="1" t="s">
        <v>34</v>
      </c>
      <c r="B24" s="1" t="str">
        <f>VLOOKUP(A24,[2]LISTADHERENT!A$5:H$51,2)</f>
        <v>NANKAM APPOLINAIRE</v>
      </c>
      <c r="C24" s="7">
        <f t="shared" si="0"/>
        <v>7000</v>
      </c>
      <c r="D24" s="7"/>
      <c r="E24" s="7">
        <f t="shared" si="1"/>
        <v>18000</v>
      </c>
      <c r="F24" s="7">
        <f t="shared" si="2"/>
        <v>0</v>
      </c>
      <c r="G24" s="5" t="s">
        <v>67</v>
      </c>
      <c r="H24" s="7">
        <v>25000</v>
      </c>
      <c r="I24" s="7"/>
      <c r="J24" s="7"/>
      <c r="K24" s="7"/>
      <c r="L24" s="5" t="s">
        <v>15</v>
      </c>
      <c r="M24" s="5" t="s">
        <v>15</v>
      </c>
      <c r="N24" s="7">
        <f t="shared" si="3"/>
        <v>0</v>
      </c>
      <c r="O24" s="7"/>
      <c r="P24" s="2"/>
      <c r="Q24" s="7"/>
    </row>
    <row r="25" spans="1:17" x14ac:dyDescent="0.25">
      <c r="A25" s="1" t="s">
        <v>35</v>
      </c>
      <c r="B25" s="1" t="str">
        <f>VLOOKUP(A25,[2]LISTADHERENT!A$5:H$51,2)</f>
        <v>NDJOMO ETIENNE</v>
      </c>
      <c r="C25" s="7">
        <f t="shared" si="0"/>
        <v>12000</v>
      </c>
      <c r="D25" s="7"/>
      <c r="E25" s="7">
        <f t="shared" si="1"/>
        <v>18000</v>
      </c>
      <c r="F25" s="7">
        <f t="shared" si="2"/>
        <v>0</v>
      </c>
      <c r="G25" s="5" t="s">
        <v>67</v>
      </c>
      <c r="H25" s="7">
        <v>30000</v>
      </c>
      <c r="I25" s="7"/>
      <c r="J25" s="7"/>
      <c r="K25" s="7"/>
      <c r="L25" s="5" t="s">
        <v>15</v>
      </c>
      <c r="M25" s="5" t="s">
        <v>15</v>
      </c>
      <c r="N25" s="7">
        <f t="shared" si="3"/>
        <v>0</v>
      </c>
      <c r="O25" s="7"/>
      <c r="P25" s="7"/>
      <c r="Q25" s="7"/>
    </row>
    <row r="26" spans="1:17" x14ac:dyDescent="0.25">
      <c r="A26" s="8" t="s">
        <v>36</v>
      </c>
      <c r="B26" s="1" t="str">
        <f>VLOOKUP(A26,[2]LISTADHERENT!A$5:H$51,2)</f>
        <v>NDOMBOU JEAN CLAUDE</v>
      </c>
      <c r="C26" s="7">
        <f t="shared" si="0"/>
        <v>7000</v>
      </c>
      <c r="D26" s="7"/>
      <c r="E26" s="7">
        <f t="shared" si="1"/>
        <v>18000</v>
      </c>
      <c r="F26" s="7">
        <f t="shared" ref="F26" si="4">IF(G26="ESPECES",1000,0)</f>
        <v>0</v>
      </c>
      <c r="G26" s="5" t="s">
        <v>67</v>
      </c>
      <c r="H26" s="7">
        <v>25000</v>
      </c>
      <c r="I26" s="7"/>
      <c r="J26" s="7"/>
      <c r="K26" s="7"/>
      <c r="L26" s="5" t="s">
        <v>15</v>
      </c>
      <c r="M26" s="5" t="s">
        <v>15</v>
      </c>
      <c r="N26" s="7">
        <f t="shared" si="3"/>
        <v>0</v>
      </c>
      <c r="O26" s="7"/>
      <c r="P26" s="7"/>
      <c r="Q26" s="7"/>
    </row>
    <row r="27" spans="1:17" x14ac:dyDescent="0.25">
      <c r="A27" s="1" t="s">
        <v>37</v>
      </c>
      <c r="B27" s="1" t="str">
        <f>VLOOKUP(A27,[2]LISTADHERENT!A$5:H$51,2)</f>
        <v>NGONDIEP CLAUDE</v>
      </c>
      <c r="C27" s="7">
        <f t="shared" si="0"/>
        <v>7000</v>
      </c>
      <c r="D27" s="7"/>
      <c r="E27" s="7">
        <f t="shared" si="1"/>
        <v>18000</v>
      </c>
      <c r="F27" s="7">
        <f t="shared" si="2"/>
        <v>0</v>
      </c>
      <c r="G27" s="5" t="s">
        <v>67</v>
      </c>
      <c r="H27" s="7">
        <v>25000</v>
      </c>
      <c r="I27" s="7"/>
      <c r="J27" s="7"/>
      <c r="K27" s="7"/>
      <c r="L27" s="5" t="s">
        <v>15</v>
      </c>
      <c r="M27" s="5" t="s">
        <v>15</v>
      </c>
      <c r="N27" s="7">
        <f t="shared" si="3"/>
        <v>0</v>
      </c>
      <c r="O27" s="7"/>
      <c r="P27" s="2"/>
      <c r="Q27" s="7"/>
    </row>
    <row r="28" spans="1:17" x14ac:dyDescent="0.25">
      <c r="A28" s="1" t="s">
        <v>38</v>
      </c>
      <c r="B28" s="1" t="str">
        <f>VLOOKUP(A28,[2]LISTADHERENT!A$5:H$51,2)</f>
        <v>NGONGANG JEAN THEODORE</v>
      </c>
      <c r="C28" s="7">
        <f t="shared" si="0"/>
        <v>0</v>
      </c>
      <c r="D28" s="7"/>
      <c r="E28" s="7">
        <f t="shared" si="1"/>
        <v>0</v>
      </c>
      <c r="F28" s="7">
        <f t="shared" si="2"/>
        <v>0</v>
      </c>
      <c r="G28" s="5" t="s">
        <v>15</v>
      </c>
      <c r="H28" s="7"/>
      <c r="I28" s="7"/>
      <c r="J28" s="7"/>
      <c r="K28" s="7"/>
      <c r="L28" s="5" t="s">
        <v>15</v>
      </c>
      <c r="M28" s="5" t="s">
        <v>15</v>
      </c>
      <c r="N28" s="7">
        <f t="shared" si="3"/>
        <v>0</v>
      </c>
      <c r="O28" s="7"/>
      <c r="P28" s="2"/>
      <c r="Q28" s="7"/>
    </row>
    <row r="29" spans="1:17" x14ac:dyDescent="0.25">
      <c r="A29" s="1" t="s">
        <v>39</v>
      </c>
      <c r="B29" s="1" t="str">
        <f>VLOOKUP(A29,[2]LISTADHERENT!A$5:H$51,2)</f>
        <v>NGUIEMEGNI MATHIEU BLAISE</v>
      </c>
      <c r="C29" s="7">
        <f t="shared" si="0"/>
        <v>7000</v>
      </c>
      <c r="D29" s="7"/>
      <c r="E29" s="7">
        <f t="shared" si="1"/>
        <v>18000</v>
      </c>
      <c r="F29" s="7">
        <f t="shared" si="2"/>
        <v>1000</v>
      </c>
      <c r="G29" s="5" t="s">
        <v>66</v>
      </c>
      <c r="H29" s="7">
        <v>25000</v>
      </c>
      <c r="I29" s="7"/>
      <c r="J29" s="7"/>
      <c r="K29" s="7"/>
      <c r="L29" s="5" t="s">
        <v>15</v>
      </c>
      <c r="M29" s="5" t="s">
        <v>15</v>
      </c>
      <c r="N29" s="7">
        <f t="shared" si="3"/>
        <v>0</v>
      </c>
      <c r="O29" s="7"/>
      <c r="P29" s="2"/>
      <c r="Q29" s="7"/>
    </row>
    <row r="30" spans="1:17" x14ac:dyDescent="0.25">
      <c r="A30" s="1" t="s">
        <v>40</v>
      </c>
      <c r="B30" s="1" t="str">
        <f>VLOOKUP(A30,[2]LISTADHERENT!A$5:H$51,2)</f>
        <v>NJEPDJIO MBOUKAM DELUXE</v>
      </c>
      <c r="C30" s="7">
        <f t="shared" si="0"/>
        <v>7000</v>
      </c>
      <c r="D30" s="7"/>
      <c r="E30" s="7">
        <f t="shared" si="1"/>
        <v>18000</v>
      </c>
      <c r="F30" s="7">
        <f t="shared" si="2"/>
        <v>1000</v>
      </c>
      <c r="G30" s="5" t="s">
        <v>66</v>
      </c>
      <c r="H30" s="7">
        <v>25000</v>
      </c>
      <c r="I30" s="7"/>
      <c r="J30" s="7"/>
      <c r="K30" s="7"/>
      <c r="L30" s="5" t="s">
        <v>15</v>
      </c>
      <c r="M30" s="5" t="s">
        <v>15</v>
      </c>
      <c r="N30" s="7">
        <f t="shared" si="3"/>
        <v>0</v>
      </c>
      <c r="O30" s="7"/>
      <c r="P30" s="2"/>
      <c r="Q30" s="7"/>
    </row>
    <row r="31" spans="1:17" x14ac:dyDescent="0.25">
      <c r="A31" s="1" t="s">
        <v>41</v>
      </c>
      <c r="B31" s="1" t="str">
        <f>VLOOKUP(A31,[2]LISTADHERENT!A$5:H$51,2)</f>
        <v>NKAMGANG JUSTIN DEJOLIE</v>
      </c>
      <c r="C31" s="7">
        <f t="shared" si="0"/>
        <v>10000</v>
      </c>
      <c r="D31" s="7"/>
      <c r="E31" s="7">
        <f t="shared" si="1"/>
        <v>18000</v>
      </c>
      <c r="F31" s="7">
        <f t="shared" si="2"/>
        <v>1000</v>
      </c>
      <c r="G31" s="5" t="s">
        <v>66</v>
      </c>
      <c r="H31" s="7">
        <v>28000</v>
      </c>
      <c r="I31" s="7"/>
      <c r="J31" s="7"/>
      <c r="K31" s="7"/>
      <c r="L31" s="5" t="s">
        <v>15</v>
      </c>
      <c r="M31" s="5" t="s">
        <v>67</v>
      </c>
      <c r="N31" s="7">
        <f t="shared" si="3"/>
        <v>172000</v>
      </c>
      <c r="O31" s="7">
        <v>50000</v>
      </c>
      <c r="P31" s="13">
        <v>42967</v>
      </c>
      <c r="Q31" s="7" t="s">
        <v>82</v>
      </c>
    </row>
    <row r="32" spans="1:17" s="9" customFormat="1" x14ac:dyDescent="0.25">
      <c r="A32" s="1" t="s">
        <v>42</v>
      </c>
      <c r="B32" s="1" t="str">
        <f>VLOOKUP(A32,[2]LISTADHERENT!A$5:H$51,2)</f>
        <v>NKEPSEU DIEUDONNE</v>
      </c>
      <c r="C32" s="7">
        <f t="shared" si="0"/>
        <v>12000</v>
      </c>
      <c r="D32" s="7"/>
      <c r="E32" s="7">
        <f t="shared" si="1"/>
        <v>18000</v>
      </c>
      <c r="F32" s="7">
        <f t="shared" si="2"/>
        <v>1000</v>
      </c>
      <c r="G32" s="5" t="s">
        <v>66</v>
      </c>
      <c r="H32" s="7">
        <v>30000</v>
      </c>
      <c r="I32" s="7"/>
      <c r="J32" s="7"/>
      <c r="K32" s="7"/>
      <c r="L32" s="5" t="s">
        <v>15</v>
      </c>
      <c r="M32" s="5" t="s">
        <v>15</v>
      </c>
      <c r="N32" s="7">
        <f t="shared" si="3"/>
        <v>0</v>
      </c>
      <c r="O32" s="7"/>
      <c r="P32" s="2"/>
      <c r="Q32" s="7"/>
    </row>
    <row r="33" spans="1:17" x14ac:dyDescent="0.25">
      <c r="A33" s="1" t="s">
        <v>43</v>
      </c>
      <c r="B33" s="1" t="str">
        <f>VLOOKUP(A33,[2]LISTADHERENT!A$5:H$51,2)</f>
        <v>NTEPDIE TUEMAC MZ</v>
      </c>
      <c r="C33" s="7">
        <f t="shared" si="0"/>
        <v>0</v>
      </c>
      <c r="D33" s="7"/>
      <c r="E33" s="7">
        <f t="shared" si="1"/>
        <v>0</v>
      </c>
      <c r="F33" s="7">
        <f t="shared" si="2"/>
        <v>0</v>
      </c>
      <c r="G33" s="5" t="s">
        <v>15</v>
      </c>
      <c r="H33" s="7"/>
      <c r="I33" s="7"/>
      <c r="J33" s="7"/>
      <c r="K33" s="7"/>
      <c r="L33" s="5" t="s">
        <v>15</v>
      </c>
      <c r="M33" s="5" t="s">
        <v>15</v>
      </c>
      <c r="N33" s="7">
        <f t="shared" si="3"/>
        <v>0</v>
      </c>
      <c r="O33" s="7"/>
      <c r="P33" s="2"/>
      <c r="Q33" s="7"/>
    </row>
    <row r="34" spans="1:17" x14ac:dyDescent="0.25">
      <c r="A34" s="1" t="s">
        <v>44</v>
      </c>
      <c r="B34" s="1" t="str">
        <f>VLOOKUP(A34,[2]LISTADHERENT!A$5:H$51,2)</f>
        <v>PATEGO NJOSSU GUSTAVE</v>
      </c>
      <c r="C34" s="7">
        <f t="shared" si="0"/>
        <v>7000</v>
      </c>
      <c r="D34" s="7"/>
      <c r="E34" s="7">
        <f t="shared" si="1"/>
        <v>18000</v>
      </c>
      <c r="F34" s="7">
        <f t="shared" si="2"/>
        <v>0</v>
      </c>
      <c r="G34" s="5" t="s">
        <v>67</v>
      </c>
      <c r="H34" s="7">
        <v>25000</v>
      </c>
      <c r="I34" s="7"/>
      <c r="J34" s="7"/>
      <c r="K34" s="7"/>
      <c r="L34" s="5" t="s">
        <v>15</v>
      </c>
      <c r="M34" s="5" t="s">
        <v>15</v>
      </c>
      <c r="N34" s="7">
        <f t="shared" si="3"/>
        <v>0</v>
      </c>
      <c r="O34" s="7"/>
      <c r="P34" s="2"/>
      <c r="Q34" s="7"/>
    </row>
    <row r="35" spans="1:17" x14ac:dyDescent="0.25">
      <c r="A35" s="1" t="s">
        <v>45</v>
      </c>
      <c r="B35" s="1" t="str">
        <f>VLOOKUP(A35,[2]LISTADHERENT!A$5:H$51,2)</f>
        <v>SEUNOU RICHELOT</v>
      </c>
      <c r="C35" s="7">
        <f t="shared" si="0"/>
        <v>7000</v>
      </c>
      <c r="D35" s="7"/>
      <c r="E35" s="7">
        <f t="shared" si="1"/>
        <v>18000</v>
      </c>
      <c r="F35" s="7">
        <f t="shared" si="2"/>
        <v>1000</v>
      </c>
      <c r="G35" s="5" t="s">
        <v>66</v>
      </c>
      <c r="H35" s="7">
        <v>25000</v>
      </c>
      <c r="I35" s="7"/>
      <c r="J35" s="7"/>
      <c r="K35" s="7"/>
      <c r="L35" s="5" t="s">
        <v>15</v>
      </c>
      <c r="M35" s="5" t="s">
        <v>15</v>
      </c>
      <c r="N35" s="7">
        <f t="shared" si="3"/>
        <v>0</v>
      </c>
      <c r="O35" s="7"/>
      <c r="P35" s="2"/>
      <c r="Q35" s="7"/>
    </row>
    <row r="36" spans="1:17" x14ac:dyDescent="0.25">
      <c r="A36" s="1" t="s">
        <v>46</v>
      </c>
      <c r="B36" s="1" t="str">
        <f>VLOOKUP(A36,[2]LISTADHERENT!A$5:H$51,2)</f>
        <v>SIME ABEL</v>
      </c>
      <c r="C36" s="7">
        <f t="shared" si="0"/>
        <v>7000</v>
      </c>
      <c r="D36" s="7"/>
      <c r="E36" s="7">
        <f t="shared" si="1"/>
        <v>18000</v>
      </c>
      <c r="F36" s="7">
        <f t="shared" si="2"/>
        <v>1000</v>
      </c>
      <c r="G36" s="5" t="s">
        <v>66</v>
      </c>
      <c r="H36" s="7">
        <v>25000</v>
      </c>
      <c r="I36" s="7">
        <v>60000</v>
      </c>
      <c r="J36" s="7">
        <v>1000</v>
      </c>
      <c r="K36" s="7"/>
      <c r="L36" s="5" t="s">
        <v>66</v>
      </c>
      <c r="M36" s="5" t="s">
        <v>15</v>
      </c>
      <c r="N36" s="7">
        <f t="shared" si="3"/>
        <v>0</v>
      </c>
      <c r="O36" s="7"/>
      <c r="P36" s="2"/>
      <c r="Q36" s="7"/>
    </row>
    <row r="37" spans="1:17" x14ac:dyDescent="0.25">
      <c r="A37" s="1" t="s">
        <v>47</v>
      </c>
      <c r="B37" s="1" t="str">
        <f>VLOOKUP(A37,[2]LISTADHERENT!A$5:H$51,2)</f>
        <v>SIME FONGANG ERIC</v>
      </c>
      <c r="C37" s="7">
        <f t="shared" si="0"/>
        <v>7000</v>
      </c>
      <c r="D37" s="7"/>
      <c r="E37" s="7">
        <f t="shared" si="1"/>
        <v>18000</v>
      </c>
      <c r="F37" s="7">
        <f t="shared" si="2"/>
        <v>0</v>
      </c>
      <c r="G37" s="5" t="s">
        <v>67</v>
      </c>
      <c r="H37" s="7">
        <v>25000</v>
      </c>
      <c r="I37" s="7"/>
      <c r="J37" s="7"/>
      <c r="K37" s="7"/>
      <c r="L37" s="5" t="s">
        <v>15</v>
      </c>
      <c r="M37" s="5" t="s">
        <v>15</v>
      </c>
      <c r="N37" s="7">
        <f t="shared" si="3"/>
        <v>0</v>
      </c>
      <c r="O37" s="7"/>
      <c r="P37" s="2"/>
      <c r="Q37" s="7"/>
    </row>
    <row r="38" spans="1:17" x14ac:dyDescent="0.25">
      <c r="A38" s="1" t="s">
        <v>48</v>
      </c>
      <c r="B38" s="1" t="str">
        <f>VLOOKUP(A38,[2]LISTADHERENT!A$5:H$51,2)</f>
        <v>SIME MATHIEU</v>
      </c>
      <c r="C38" s="7">
        <f t="shared" si="0"/>
        <v>7000</v>
      </c>
      <c r="D38" s="7"/>
      <c r="E38" s="7">
        <f t="shared" si="1"/>
        <v>18000</v>
      </c>
      <c r="F38" s="7">
        <f t="shared" si="2"/>
        <v>0</v>
      </c>
      <c r="G38" s="5" t="s">
        <v>67</v>
      </c>
      <c r="H38" s="7">
        <v>25000</v>
      </c>
      <c r="I38" s="7"/>
      <c r="J38" s="7"/>
      <c r="K38" s="7"/>
      <c r="L38" s="5" t="s">
        <v>15</v>
      </c>
      <c r="M38" s="5" t="s">
        <v>15</v>
      </c>
      <c r="N38" s="7">
        <f t="shared" si="3"/>
        <v>0</v>
      </c>
      <c r="O38" s="7"/>
      <c r="P38" s="2"/>
      <c r="Q38" s="7"/>
    </row>
    <row r="39" spans="1:17" x14ac:dyDescent="0.25">
      <c r="A39" s="1" t="s">
        <v>49</v>
      </c>
      <c r="B39" s="1" t="str">
        <f>VLOOKUP(A39,[2]LISTADHERENT!A$5:H$51,2)</f>
        <v>SIME PIERRE</v>
      </c>
      <c r="C39" s="7">
        <f t="shared" si="0"/>
        <v>12000</v>
      </c>
      <c r="D39" s="7"/>
      <c r="E39" s="7">
        <f t="shared" si="1"/>
        <v>18000</v>
      </c>
      <c r="F39" s="7">
        <f t="shared" si="2"/>
        <v>0</v>
      </c>
      <c r="G39" s="5" t="s">
        <v>67</v>
      </c>
      <c r="H39" s="7">
        <v>30000</v>
      </c>
      <c r="I39" s="7"/>
      <c r="J39" s="7"/>
      <c r="K39" s="7"/>
      <c r="L39" s="5" t="s">
        <v>15</v>
      </c>
      <c r="M39" s="5" t="s">
        <v>15</v>
      </c>
      <c r="N39" s="7">
        <f t="shared" si="3"/>
        <v>0</v>
      </c>
      <c r="O39" s="7"/>
      <c r="P39" s="2"/>
      <c r="Q39" s="7"/>
    </row>
    <row r="40" spans="1:17" x14ac:dyDescent="0.25">
      <c r="A40" s="1" t="s">
        <v>50</v>
      </c>
      <c r="B40" s="1" t="str">
        <f>VLOOKUP(A40,[2]LISTADHERENT!A$5:H$51,2)</f>
        <v>TAGNE NANGUEN MARTIN</v>
      </c>
      <c r="C40" s="7">
        <f t="shared" si="0"/>
        <v>7000</v>
      </c>
      <c r="D40" s="7"/>
      <c r="E40" s="7">
        <f t="shared" si="1"/>
        <v>18000</v>
      </c>
      <c r="F40" s="7">
        <f t="shared" si="2"/>
        <v>0</v>
      </c>
      <c r="G40" s="5" t="s">
        <v>67</v>
      </c>
      <c r="H40" s="7">
        <v>25000</v>
      </c>
      <c r="I40" s="7"/>
      <c r="J40" s="7"/>
      <c r="K40" s="7"/>
      <c r="L40" s="5" t="s">
        <v>15</v>
      </c>
      <c r="M40" s="5" t="s">
        <v>15</v>
      </c>
      <c r="N40" s="7">
        <f t="shared" si="3"/>
        <v>0</v>
      </c>
      <c r="O40" s="7"/>
      <c r="P40" s="2"/>
      <c r="Q40" s="7"/>
    </row>
    <row r="41" spans="1:17" x14ac:dyDescent="0.25">
      <c r="A41" s="1" t="s">
        <v>51</v>
      </c>
      <c r="B41" s="1" t="str">
        <f>VLOOKUP(A41,[2]LISTADHERENT!A$5:H$51,2)</f>
        <v>TCHOUAMOU JEAN PAUL</v>
      </c>
      <c r="C41" s="7">
        <f t="shared" si="0"/>
        <v>0</v>
      </c>
      <c r="D41" s="7"/>
      <c r="E41" s="7">
        <f t="shared" si="1"/>
        <v>0</v>
      </c>
      <c r="F41" s="7">
        <f t="shared" si="2"/>
        <v>0</v>
      </c>
      <c r="G41" s="5" t="s">
        <v>15</v>
      </c>
      <c r="H41" s="7"/>
      <c r="I41" s="7"/>
      <c r="J41" s="7"/>
      <c r="K41" s="7"/>
      <c r="L41" s="5" t="s">
        <v>15</v>
      </c>
      <c r="M41" s="5" t="s">
        <v>15</v>
      </c>
      <c r="N41" s="7">
        <f t="shared" si="3"/>
        <v>0</v>
      </c>
      <c r="O41" s="7"/>
      <c r="P41" s="2"/>
      <c r="Q41" s="7"/>
    </row>
    <row r="42" spans="1:17" x14ac:dyDescent="0.25">
      <c r="A42" s="1" t="s">
        <v>52</v>
      </c>
      <c r="B42" s="1" t="str">
        <f>VLOOKUP(A42,[2]LISTADHERENT!A$5:H$51,2)</f>
        <v>TCHOUAMOU MATHIEU</v>
      </c>
      <c r="C42" s="7">
        <f t="shared" si="0"/>
        <v>7000</v>
      </c>
      <c r="D42" s="7"/>
      <c r="E42" s="7">
        <f t="shared" si="1"/>
        <v>18000</v>
      </c>
      <c r="F42" s="7">
        <f t="shared" si="2"/>
        <v>0</v>
      </c>
      <c r="G42" s="5" t="s">
        <v>67</v>
      </c>
      <c r="H42" s="7">
        <v>25000</v>
      </c>
      <c r="I42" s="7"/>
      <c r="J42" s="7"/>
      <c r="K42" s="7"/>
      <c r="L42" s="5" t="s">
        <v>15</v>
      </c>
      <c r="M42" s="5" t="s">
        <v>15</v>
      </c>
      <c r="N42" s="7">
        <f t="shared" si="3"/>
        <v>0</v>
      </c>
      <c r="O42" s="7"/>
      <c r="P42" s="7"/>
      <c r="Q42" s="7"/>
    </row>
    <row r="43" spans="1:17" x14ac:dyDescent="0.25">
      <c r="A43" s="1" t="s">
        <v>53</v>
      </c>
      <c r="B43" s="1" t="str">
        <f>VLOOKUP(A43,[2]LISTADHERENT!A$5:H$51,2)</f>
        <v>TCHOUANTE FRANCOIS</v>
      </c>
      <c r="C43" s="7">
        <f t="shared" si="0"/>
        <v>7000</v>
      </c>
      <c r="D43" s="7"/>
      <c r="E43" s="7">
        <f t="shared" si="1"/>
        <v>18000</v>
      </c>
      <c r="F43" s="7">
        <f t="shared" si="2"/>
        <v>1000</v>
      </c>
      <c r="G43" s="5" t="s">
        <v>66</v>
      </c>
      <c r="H43" s="7">
        <v>25000</v>
      </c>
      <c r="I43" s="7">
        <v>60000</v>
      </c>
      <c r="J43" s="7">
        <v>1500</v>
      </c>
      <c r="K43" s="7"/>
      <c r="L43" s="5" t="s">
        <v>66</v>
      </c>
      <c r="M43" s="5" t="s">
        <v>67</v>
      </c>
      <c r="N43" s="7">
        <f t="shared" si="3"/>
        <v>172000</v>
      </c>
      <c r="O43" s="7">
        <v>50000</v>
      </c>
      <c r="P43" s="13">
        <v>42967</v>
      </c>
      <c r="Q43" s="7" t="s">
        <v>81</v>
      </c>
    </row>
    <row r="44" spans="1:17" x14ac:dyDescent="0.25">
      <c r="A44" s="1" t="s">
        <v>54</v>
      </c>
      <c r="B44" s="1" t="str">
        <f>VLOOKUP(A44,[2]LISTADHERENT!A$5:H$51,2)</f>
        <v>TCHOUTOU NANA CLAUDE</v>
      </c>
      <c r="C44" s="7">
        <f t="shared" si="0"/>
        <v>0</v>
      </c>
      <c r="D44" s="7"/>
      <c r="E44" s="7">
        <f t="shared" si="1"/>
        <v>0</v>
      </c>
      <c r="F44" s="7">
        <f t="shared" si="2"/>
        <v>0</v>
      </c>
      <c r="G44" s="5" t="s">
        <v>15</v>
      </c>
      <c r="H44" s="7"/>
      <c r="I44" s="7"/>
      <c r="J44" s="7"/>
      <c r="K44" s="7"/>
      <c r="L44" s="5" t="s">
        <v>15</v>
      </c>
      <c r="M44" s="5" t="s">
        <v>15</v>
      </c>
      <c r="N44" s="7">
        <f t="shared" si="3"/>
        <v>0</v>
      </c>
      <c r="O44" s="7"/>
      <c r="P44" s="2"/>
      <c r="Q44" s="7"/>
    </row>
    <row r="45" spans="1:17" x14ac:dyDescent="0.25">
      <c r="A45" s="1" t="s">
        <v>55</v>
      </c>
      <c r="B45" s="1" t="str">
        <f>VLOOKUP(A45,[2]LISTADHERENT!A$5:H$51,2)</f>
        <v>TIEYAM ERNEST</v>
      </c>
      <c r="C45" s="7">
        <f t="shared" si="0"/>
        <v>7000</v>
      </c>
      <c r="D45" s="7"/>
      <c r="E45" s="7">
        <f t="shared" si="1"/>
        <v>18000</v>
      </c>
      <c r="F45" s="7">
        <f t="shared" si="2"/>
        <v>1000</v>
      </c>
      <c r="G45" s="5" t="s">
        <v>66</v>
      </c>
      <c r="H45" s="7">
        <v>25000</v>
      </c>
      <c r="I45" s="7"/>
      <c r="J45" s="7"/>
      <c r="K45" s="7"/>
      <c r="L45" s="5" t="s">
        <v>15</v>
      </c>
      <c r="M45" s="5" t="s">
        <v>15</v>
      </c>
      <c r="N45" s="7">
        <f t="shared" si="3"/>
        <v>0</v>
      </c>
      <c r="O45" s="7"/>
      <c r="P45" s="2"/>
      <c r="Q45" s="7"/>
    </row>
    <row r="46" spans="1:17" x14ac:dyDescent="0.25">
      <c r="A46" s="1" t="s">
        <v>56</v>
      </c>
      <c r="B46" s="1" t="str">
        <f>VLOOKUP(A46,[2]LISTADHERENT!A$5:H$51,2)</f>
        <v>TUGMA PIERRE LOTI</v>
      </c>
      <c r="C46" s="7">
        <f t="shared" si="0"/>
        <v>0</v>
      </c>
      <c r="D46" s="7"/>
      <c r="E46" s="7">
        <f t="shared" si="1"/>
        <v>0</v>
      </c>
      <c r="F46" s="7">
        <f t="shared" si="2"/>
        <v>0</v>
      </c>
      <c r="G46" s="5" t="s">
        <v>15</v>
      </c>
      <c r="H46" s="7"/>
      <c r="I46" s="7"/>
      <c r="J46" s="7"/>
      <c r="K46" s="7"/>
      <c r="L46" s="5" t="s">
        <v>15</v>
      </c>
      <c r="M46" s="5" t="s">
        <v>15</v>
      </c>
      <c r="N46" s="7">
        <f t="shared" si="3"/>
        <v>0</v>
      </c>
      <c r="O46" s="7"/>
      <c r="P46" s="2"/>
      <c r="Q46" s="7"/>
    </row>
    <row r="47" spans="1:17" ht="18" x14ac:dyDescent="0.25">
      <c r="A47" s="1" t="s">
        <v>57</v>
      </c>
      <c r="B47" s="1" t="str">
        <f>VLOOKUP(A47,[2]LISTADHERENT!A$5:H$51,2)</f>
        <v>YEPMOU JEAN JACQUES</v>
      </c>
      <c r="C47" s="7">
        <f t="shared" si="0"/>
        <v>7000</v>
      </c>
      <c r="D47" s="7"/>
      <c r="E47" s="7">
        <f t="shared" si="1"/>
        <v>18000</v>
      </c>
      <c r="F47" s="7">
        <f t="shared" si="2"/>
        <v>1000</v>
      </c>
      <c r="G47" s="5" t="s">
        <v>66</v>
      </c>
      <c r="H47" s="7">
        <v>25000</v>
      </c>
      <c r="I47" s="7"/>
      <c r="J47" s="7"/>
      <c r="K47" s="7"/>
      <c r="L47" s="5" t="s">
        <v>15</v>
      </c>
      <c r="M47" s="5" t="s">
        <v>15</v>
      </c>
      <c r="N47" s="7">
        <f t="shared" si="3"/>
        <v>0</v>
      </c>
      <c r="O47" s="7"/>
      <c r="P47" s="10"/>
      <c r="Q47" s="7"/>
    </row>
    <row r="48" spans="1:17" x14ac:dyDescent="0.25">
      <c r="A48" s="1" t="s">
        <v>58</v>
      </c>
      <c r="B48" s="1" t="str">
        <f>VLOOKUP(A48,[2]LISTADHERENT!A$5:H$51,2)</f>
        <v>YOUMBI EMMANUEL</v>
      </c>
      <c r="C48" s="7">
        <f t="shared" si="0"/>
        <v>7000</v>
      </c>
      <c r="D48" s="7"/>
      <c r="E48" s="7">
        <f t="shared" si="1"/>
        <v>18000</v>
      </c>
      <c r="F48" s="7">
        <f t="shared" si="2"/>
        <v>0</v>
      </c>
      <c r="G48" s="5" t="s">
        <v>67</v>
      </c>
      <c r="H48" s="7">
        <v>25000</v>
      </c>
      <c r="I48" s="7"/>
      <c r="J48" s="7"/>
      <c r="K48" s="7"/>
      <c r="L48" s="5" t="s">
        <v>15</v>
      </c>
      <c r="M48" s="5" t="s">
        <v>15</v>
      </c>
      <c r="N48" s="7">
        <f t="shared" si="3"/>
        <v>0</v>
      </c>
      <c r="O48" s="7"/>
      <c r="P48" s="2"/>
      <c r="Q48" s="7"/>
    </row>
    <row r="49" spans="1:17" x14ac:dyDescent="0.25">
      <c r="A49" s="1"/>
      <c r="B49" s="1"/>
      <c r="C49" s="1"/>
      <c r="D49" s="1"/>
      <c r="E49" s="6"/>
      <c r="F49" s="6"/>
      <c r="G49" s="6"/>
      <c r="H49" s="7"/>
      <c r="I49" s="7"/>
      <c r="J49" s="7"/>
      <c r="K49" s="7"/>
      <c r="L49" s="6"/>
      <c r="M49" s="6"/>
      <c r="P49" s="2"/>
      <c r="Q49" s="7"/>
    </row>
    <row r="50" spans="1:17" x14ac:dyDescent="0.25">
      <c r="A50" s="1"/>
      <c r="B50" s="1"/>
      <c r="C50" s="1"/>
      <c r="D50" s="1"/>
      <c r="E50" s="6"/>
      <c r="F50" s="6"/>
      <c r="G50" s="6"/>
      <c r="I50" s="2"/>
      <c r="J50" s="11"/>
      <c r="L50" s="6"/>
      <c r="M50" s="6"/>
      <c r="P50" s="2"/>
      <c r="Q50" s="7"/>
    </row>
    <row r="51" spans="1:17" x14ac:dyDescent="0.25">
      <c r="A51" s="1"/>
      <c r="B51" s="1"/>
      <c r="C51" s="1"/>
      <c r="D51" s="1"/>
      <c r="E51" s="1"/>
      <c r="F51" s="1"/>
      <c r="G51" s="1"/>
      <c r="L51" s="1"/>
      <c r="M51" s="1"/>
    </row>
    <row r="52" spans="1:17" ht="18" x14ac:dyDescent="0.25">
      <c r="A52" s="1" t="s">
        <v>59</v>
      </c>
      <c r="B52" s="1"/>
      <c r="C52" s="10">
        <f>SUM(C5:C48)</f>
        <v>343000</v>
      </c>
      <c r="D52" s="10"/>
      <c r="E52" s="10">
        <f>SUM(E5:E48)</f>
        <v>666000</v>
      </c>
      <c r="F52" s="10">
        <f>SUM(F5:F48)</f>
        <v>27500</v>
      </c>
      <c r="G52" s="10"/>
      <c r="H52" s="10">
        <f t="shared" ref="H52:Q52" si="5">SUM(H5:H48)</f>
        <v>1009000</v>
      </c>
      <c r="I52" s="10">
        <f t="shared" si="5"/>
        <v>151000</v>
      </c>
      <c r="J52" s="10">
        <f t="shared" si="5"/>
        <v>4000</v>
      </c>
      <c r="K52" s="10">
        <f t="shared" si="5"/>
        <v>0</v>
      </c>
      <c r="L52" s="10"/>
      <c r="M52" s="10"/>
      <c r="N52" s="10">
        <f t="shared" ref="N52" si="6">SUM(N5:N48)</f>
        <v>515000</v>
      </c>
      <c r="O52" s="10">
        <f t="shared" si="5"/>
        <v>151000</v>
      </c>
      <c r="P52" s="10"/>
      <c r="Q52" s="10">
        <f t="shared" si="5"/>
        <v>0</v>
      </c>
    </row>
    <row r="55" spans="1:17" ht="18" x14ac:dyDescent="0.25">
      <c r="J55" s="10" t="s">
        <v>84</v>
      </c>
    </row>
    <row r="56" spans="1:17" ht="18" x14ac:dyDescent="0.25">
      <c r="I56" s="10"/>
    </row>
    <row r="57" spans="1:17" ht="18" x14ac:dyDescent="0.25">
      <c r="E57" s="10" t="s">
        <v>68</v>
      </c>
      <c r="F57" s="10">
        <f>+E52</f>
        <v>666000</v>
      </c>
      <c r="J57" s="10">
        <f>F57-(O21+O31+O43)</f>
        <v>515000</v>
      </c>
    </row>
    <row r="58" spans="1:17" ht="18" x14ac:dyDescent="0.25">
      <c r="E58" s="10" t="s">
        <v>80</v>
      </c>
      <c r="F58" s="10">
        <f>G58+H58+3500</f>
        <v>52500.000000000029</v>
      </c>
      <c r="G58" s="10">
        <f>[3]TONTAOUT!$N$33</f>
        <v>21500.000000000029</v>
      </c>
      <c r="H58" s="10">
        <v>27500</v>
      </c>
      <c r="I58" s="10"/>
      <c r="L58" s="10" t="e">
        <f>#REF!</f>
        <v>#REF!</v>
      </c>
      <c r="M58" s="10"/>
    </row>
    <row r="59" spans="1:17" ht="18" x14ac:dyDescent="0.25">
      <c r="E59" s="10" t="s">
        <v>85</v>
      </c>
      <c r="F59" s="10">
        <f>+I52</f>
        <v>151000</v>
      </c>
    </row>
    <row r="60" spans="1:17" ht="18" x14ac:dyDescent="0.25">
      <c r="E60" s="10" t="s">
        <v>60</v>
      </c>
      <c r="F60" s="10">
        <f>+J52</f>
        <v>4000</v>
      </c>
    </row>
    <row r="61" spans="1:17" ht="18" x14ac:dyDescent="0.25">
      <c r="E61" s="10" t="s">
        <v>76</v>
      </c>
      <c r="F61" s="10">
        <f>+K52</f>
        <v>0</v>
      </c>
    </row>
    <row r="62" spans="1:17" ht="18" x14ac:dyDescent="0.25">
      <c r="E62" s="10" t="s">
        <v>11</v>
      </c>
      <c r="F62" s="10">
        <f>+K52</f>
        <v>0</v>
      </c>
    </row>
    <row r="63" spans="1:17" ht="18" x14ac:dyDescent="0.25">
      <c r="E63" s="10" t="s">
        <v>77</v>
      </c>
      <c r="F63" s="10">
        <f>[4]MVTAOUT!$F$53</f>
        <v>0</v>
      </c>
    </row>
    <row r="64" spans="1:17" ht="18" x14ac:dyDescent="0.25">
      <c r="E64" s="10" t="s">
        <v>62</v>
      </c>
      <c r="F64" s="10">
        <f>+[4]MVTAOUT!$H$53</f>
        <v>359000</v>
      </c>
    </row>
    <row r="65" spans="5:13" ht="18" x14ac:dyDescent="0.25">
      <c r="E65" s="10" t="s">
        <v>63</v>
      </c>
      <c r="F65" s="10">
        <f>+[4]MVTAOUT!$I$53</f>
        <v>23000</v>
      </c>
    </row>
    <row r="66" spans="5:13" ht="18" x14ac:dyDescent="0.25">
      <c r="E66" s="10" t="s">
        <v>64</v>
      </c>
      <c r="F66" s="10">
        <f>+[4]MVTAOUT!$J$53</f>
        <v>46000</v>
      </c>
    </row>
    <row r="67" spans="5:13" ht="18" x14ac:dyDescent="0.25">
      <c r="E67" s="10" t="s">
        <v>65</v>
      </c>
      <c r="F67" s="10">
        <f>+[4]MVTAOUT!$K$53</f>
        <v>115000</v>
      </c>
    </row>
    <row r="68" spans="5:13" ht="18" x14ac:dyDescent="0.25">
      <c r="E68" s="10" t="s">
        <v>78</v>
      </c>
      <c r="F68" s="10">
        <f>+[4]MVTAOUT!$L$53</f>
        <v>0</v>
      </c>
    </row>
    <row r="69" spans="5:13" ht="18" x14ac:dyDescent="0.25">
      <c r="E69" s="10" t="s">
        <v>70</v>
      </c>
      <c r="F69" s="10">
        <f>+[4]MVTAOUT!$O$53</f>
        <v>391000</v>
      </c>
    </row>
    <row r="70" spans="5:13" ht="18" x14ac:dyDescent="0.25">
      <c r="E70" s="10" t="s">
        <v>71</v>
      </c>
      <c r="F70" s="10">
        <f>+[4]MVTAOUT!$P$53</f>
        <v>0</v>
      </c>
    </row>
    <row r="71" spans="5:13" ht="18" x14ac:dyDescent="0.25">
      <c r="E71" s="10" t="s">
        <v>72</v>
      </c>
      <c r="F71" s="10">
        <f>+[4]MVTAOUT!$Q$53</f>
        <v>0</v>
      </c>
    </row>
    <row r="72" spans="5:13" ht="18" x14ac:dyDescent="0.25">
      <c r="E72" s="10" t="s">
        <v>79</v>
      </c>
      <c r="F72" s="10">
        <f>+[4]MVTAOUT!$S$53</f>
        <v>0</v>
      </c>
    </row>
    <row r="73" spans="5:13" ht="18" x14ac:dyDescent="0.25">
      <c r="E73" s="10"/>
      <c r="F73" s="10"/>
    </row>
    <row r="74" spans="5:13" ht="18" x14ac:dyDescent="0.25">
      <c r="E74" s="10" t="s">
        <v>7</v>
      </c>
      <c r="F74" s="10">
        <v>222000</v>
      </c>
    </row>
    <row r="75" spans="5:13" ht="57.75" x14ac:dyDescent="0.25">
      <c r="G75" s="4" t="s">
        <v>86</v>
      </c>
      <c r="H75" s="4" t="s">
        <v>91</v>
      </c>
      <c r="I75" s="4" t="s">
        <v>90</v>
      </c>
      <c r="L75" s="4"/>
    </row>
    <row r="76" spans="5:13" ht="18" x14ac:dyDescent="0.25">
      <c r="E76" s="10"/>
      <c r="F76" s="10" t="s">
        <v>66</v>
      </c>
      <c r="G76" s="10">
        <f>SUMIFS(H5:H48,G5:G48,"ESPECES")+10000+5000+200000</f>
        <v>761000</v>
      </c>
      <c r="H76" s="10">
        <f>SUMIFS(K5:K48,L5:L48,"ESPECES")</f>
        <v>0</v>
      </c>
      <c r="I76" s="10">
        <f>SUMIFS(N5:N48,M5:M48,"ESPECES")</f>
        <v>0</v>
      </c>
      <c r="L76" s="10"/>
      <c r="M76" s="4"/>
    </row>
    <row r="77" spans="5:13" ht="18" x14ac:dyDescent="0.25">
      <c r="E77" s="10"/>
      <c r="F77" s="10" t="s">
        <v>67</v>
      </c>
      <c r="G77" s="10">
        <f>SUMIFS(H5:H48,G5:G48,"BANQUE")-10000-5000</f>
        <v>448000</v>
      </c>
      <c r="H77" s="10">
        <f>SUMIFS(K5:K48,L5:L48,"BANQUE")</f>
        <v>0</v>
      </c>
      <c r="I77" s="10">
        <f>SUMIFS(N5:N48,M5:M48,"BANQUE")</f>
        <v>515000</v>
      </c>
      <c r="L77" s="10"/>
      <c r="M77" s="10"/>
    </row>
    <row r="78" spans="5:13" ht="18" x14ac:dyDescent="0.25">
      <c r="E78" s="10"/>
      <c r="F78" s="10"/>
      <c r="G78" s="10"/>
      <c r="H78" s="10"/>
      <c r="I78" s="10"/>
      <c r="L78" s="10"/>
      <c r="M78" s="10"/>
    </row>
    <row r="79" spans="5:13" ht="18" x14ac:dyDescent="0.25">
      <c r="F79" s="10" t="s">
        <v>59</v>
      </c>
      <c r="G79" s="10">
        <f>G76+G77</f>
        <v>1209000</v>
      </c>
      <c r="H79" s="10">
        <f>H76+H77</f>
        <v>0</v>
      </c>
      <c r="I79" s="10">
        <f>I76+I77</f>
        <v>515000</v>
      </c>
      <c r="L79" s="10"/>
      <c r="M79" s="10"/>
    </row>
    <row r="80" spans="5:13" ht="18" x14ac:dyDescent="0.25">
      <c r="M80" s="10"/>
    </row>
  </sheetData>
  <autoFilter ref="A4:Q48">
    <sortState ref="A5:L48">
      <sortCondition ref="B5:B48"/>
    </sortState>
  </autoFilter>
  <dataValidations disablePrompts="1" count="1">
    <dataValidation type="list" allowBlank="1" showInputMessage="1" showErrorMessage="1" sqref="G5:G48 L5:M48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tabSelected="1" workbookViewId="0">
      <pane xSplit="2" ySplit="4" topLeftCell="C77" activePane="bottomRight" state="frozen"/>
      <selection activeCell="B22" sqref="B22"/>
      <selection pane="topRight" activeCell="B22" sqref="B22"/>
      <selection pane="bottomLeft" activeCell="B22" sqref="B22"/>
      <selection pane="bottomRight" activeCell="A80" sqref="A80:XFD81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2.85546875" customWidth="1"/>
    <col min="4" max="4" width="11.42578125" customWidth="1"/>
    <col min="5" max="5" width="21" customWidth="1"/>
    <col min="6" max="6" width="13" customWidth="1"/>
    <col min="7" max="7" width="16.7109375" customWidth="1"/>
    <col min="8" max="8" width="15" style="2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4" width="13" customWidth="1"/>
    <col min="15" max="17" width="18.140625" style="2" bestFit="1" customWidth="1"/>
    <col min="18" max="18" width="15" bestFit="1" customWidth="1"/>
    <col min="19" max="19" width="12.5703125" bestFit="1" customWidth="1"/>
  </cols>
  <sheetData>
    <row r="1" spans="1:19" x14ac:dyDescent="0.25">
      <c r="A1" s="1" t="s">
        <v>0</v>
      </c>
      <c r="B1" s="1" t="s">
        <v>1</v>
      </c>
      <c r="C1" s="1"/>
      <c r="D1" s="1"/>
      <c r="E1" s="1"/>
      <c r="F1" s="1"/>
      <c r="G1" s="1"/>
      <c r="M1" s="1"/>
      <c r="N1" s="1"/>
    </row>
    <row r="2" spans="1:19" x14ac:dyDescent="0.25">
      <c r="A2" s="1" t="s">
        <v>2</v>
      </c>
      <c r="B2" s="1" t="s">
        <v>3</v>
      </c>
      <c r="C2" s="1"/>
      <c r="D2" s="1"/>
      <c r="E2" s="1"/>
      <c r="F2" s="1"/>
      <c r="G2" s="1"/>
      <c r="M2" s="1"/>
      <c r="N2" s="1"/>
    </row>
    <row r="3" spans="1:19" x14ac:dyDescent="0.25">
      <c r="A3" s="1" t="s">
        <v>4</v>
      </c>
      <c r="B3" s="1" t="s">
        <v>87</v>
      </c>
      <c r="C3" s="1"/>
      <c r="D3" s="1"/>
      <c r="E3" s="1"/>
      <c r="F3" s="1"/>
      <c r="G3" s="1"/>
      <c r="M3" s="1"/>
      <c r="N3" s="1"/>
    </row>
    <row r="4" spans="1:19" ht="57.75" x14ac:dyDescent="0.25">
      <c r="A4" s="1" t="s">
        <v>5</v>
      </c>
      <c r="B4" s="1" t="s">
        <v>6</v>
      </c>
      <c r="C4" s="1" t="s">
        <v>61</v>
      </c>
      <c r="D4" s="1" t="s">
        <v>75</v>
      </c>
      <c r="E4" s="4" t="s">
        <v>7</v>
      </c>
      <c r="F4" s="1" t="s">
        <v>106</v>
      </c>
      <c r="G4" s="5" t="s">
        <v>9</v>
      </c>
      <c r="H4" s="4" t="s">
        <v>10</v>
      </c>
      <c r="I4" s="6" t="s">
        <v>100</v>
      </c>
      <c r="J4" s="4" t="s">
        <v>96</v>
      </c>
      <c r="K4" s="4" t="s">
        <v>101</v>
      </c>
      <c r="L4" s="4" t="s">
        <v>93</v>
      </c>
      <c r="M4" s="4" t="s">
        <v>88</v>
      </c>
      <c r="N4" s="4" t="s">
        <v>97</v>
      </c>
      <c r="O4" s="4" t="s">
        <v>95</v>
      </c>
      <c r="P4" s="6" t="s">
        <v>98</v>
      </c>
      <c r="Q4" s="6" t="s">
        <v>99</v>
      </c>
      <c r="R4" s="12" t="s">
        <v>102</v>
      </c>
      <c r="S4" s="4" t="s">
        <v>13</v>
      </c>
    </row>
    <row r="5" spans="1:19" x14ac:dyDescent="0.25">
      <c r="A5" s="1" t="s">
        <v>14</v>
      </c>
      <c r="B5" s="1" t="str">
        <f>VLOOKUP(A5,[2]LISTADHERENT!A$5:H$52,2,0)</f>
        <v>BAKOP ACHILLE</v>
      </c>
      <c r="C5" s="7">
        <f>IF(H5=0,0,H5-E5)</f>
        <v>0</v>
      </c>
      <c r="D5" s="7"/>
      <c r="E5" s="7">
        <f>IF(G5="ECHEC",0,18000)</f>
        <v>0</v>
      </c>
      <c r="F5" s="7">
        <f t="shared" ref="F5:F48" si="0">IF(G5="ESPECES",1000,0)</f>
        <v>0</v>
      </c>
      <c r="G5" s="5" t="s">
        <v>15</v>
      </c>
      <c r="H5" s="7"/>
      <c r="I5" s="7"/>
      <c r="J5" s="7"/>
      <c r="K5" s="5" t="s">
        <v>15</v>
      </c>
      <c r="L5" s="7">
        <f>TONTAOUT!I5+TONTAOUT!J5</f>
        <v>0</v>
      </c>
      <c r="M5" s="5" t="s">
        <v>15</v>
      </c>
      <c r="N5" s="5" t="s">
        <v>15</v>
      </c>
      <c r="O5" s="7">
        <f>IF(P5=0,0,($F$80-P5))</f>
        <v>0</v>
      </c>
      <c r="P5" s="7"/>
      <c r="Q5" s="7"/>
      <c r="R5" s="7"/>
      <c r="S5" s="7"/>
    </row>
    <row r="6" spans="1:19" x14ac:dyDescent="0.25">
      <c r="A6" s="1" t="s">
        <v>16</v>
      </c>
      <c r="B6" s="1" t="str">
        <f>VLOOKUP(A6,[2]LISTADHERENT!A$5:H$51,2)</f>
        <v>BOUTCHOUANG WILLIAM</v>
      </c>
      <c r="C6" s="7">
        <f t="shared" ref="C6:C48" si="1">IF(H6=0,0,H6-E6)</f>
        <v>0</v>
      </c>
      <c r="D6" s="7"/>
      <c r="E6" s="7">
        <f t="shared" ref="E6:E48" si="2">IF(G6="ECHEC",0,18000)</f>
        <v>0</v>
      </c>
      <c r="F6" s="7">
        <f t="shared" si="0"/>
        <v>0</v>
      </c>
      <c r="G6" s="5" t="s">
        <v>15</v>
      </c>
      <c r="H6" s="7"/>
      <c r="I6" s="7"/>
      <c r="J6" s="7"/>
      <c r="K6" s="5" t="s">
        <v>15</v>
      </c>
      <c r="L6" s="7">
        <f>TONTAOUT!I6+TONTAOUT!J6</f>
        <v>0</v>
      </c>
      <c r="M6" s="5" t="s">
        <v>15</v>
      </c>
      <c r="N6" s="5" t="s">
        <v>15</v>
      </c>
      <c r="O6" s="7">
        <f>IF(P6=0,0,($F$80-P6))</f>
        <v>0</v>
      </c>
      <c r="P6" s="7"/>
      <c r="Q6" s="7"/>
      <c r="R6" s="7"/>
      <c r="S6" s="7"/>
    </row>
    <row r="7" spans="1:19" x14ac:dyDescent="0.25">
      <c r="A7" s="1" t="s">
        <v>17</v>
      </c>
      <c r="B7" s="1" t="str">
        <f>VLOOKUP(A7,[2]LISTADHERENT!A$5:H$51,2)</f>
        <v>CHINGUE FABRICE</v>
      </c>
      <c r="C7" s="7">
        <f t="shared" si="1"/>
        <v>0</v>
      </c>
      <c r="D7" s="7"/>
      <c r="E7" s="7">
        <f t="shared" si="2"/>
        <v>0</v>
      </c>
      <c r="F7" s="7">
        <f t="shared" si="0"/>
        <v>0</v>
      </c>
      <c r="G7" s="5" t="s">
        <v>15</v>
      </c>
      <c r="H7" s="7"/>
      <c r="I7" s="7"/>
      <c r="J7" s="7"/>
      <c r="K7" s="5" t="s">
        <v>15</v>
      </c>
      <c r="L7" s="7">
        <f>TONTAOUT!I7+TONTAOUT!J7</f>
        <v>0</v>
      </c>
      <c r="M7" s="5" t="s">
        <v>15</v>
      </c>
      <c r="N7" s="5" t="s">
        <v>15</v>
      </c>
      <c r="O7" s="7">
        <f>IF(P7=0,0,($F$80-P7))</f>
        <v>0</v>
      </c>
      <c r="P7" s="7"/>
      <c r="Q7" s="7"/>
      <c r="R7" s="2"/>
      <c r="S7" s="7"/>
    </row>
    <row r="8" spans="1:19" x14ac:dyDescent="0.25">
      <c r="A8" s="1" t="s">
        <v>18</v>
      </c>
      <c r="B8" s="1" t="str">
        <f>VLOOKUP(A8,[2]LISTADHERENT!A$5:H$51,2)</f>
        <v xml:space="preserve">DJOMO JEAN PAUL </v>
      </c>
      <c r="C8" s="7">
        <f t="shared" si="1"/>
        <v>0</v>
      </c>
      <c r="D8" s="7"/>
      <c r="E8" s="7">
        <f t="shared" si="2"/>
        <v>0</v>
      </c>
      <c r="F8" s="7">
        <f t="shared" si="0"/>
        <v>0</v>
      </c>
      <c r="G8" s="5" t="s">
        <v>15</v>
      </c>
      <c r="H8" s="7"/>
      <c r="I8" s="7"/>
      <c r="J8" s="7"/>
      <c r="K8" s="5" t="s">
        <v>15</v>
      </c>
      <c r="L8" s="7">
        <f>TONTAOUT!I8+TONTAOUT!J8</f>
        <v>0</v>
      </c>
      <c r="M8" s="5" t="s">
        <v>15</v>
      </c>
      <c r="N8" s="5" t="s">
        <v>15</v>
      </c>
      <c r="O8" s="7">
        <f>IF(P8=0,0,($F$80-P8))</f>
        <v>0</v>
      </c>
      <c r="P8" s="7"/>
      <c r="Q8" s="7"/>
      <c r="R8" s="2"/>
      <c r="S8" s="7"/>
    </row>
    <row r="9" spans="1:19" x14ac:dyDescent="0.25">
      <c r="A9" s="1" t="s">
        <v>19</v>
      </c>
      <c r="B9" s="1" t="str">
        <f>VLOOKUP(A9,[2]LISTADHERENT!A$5:H$51,2)</f>
        <v>DJOUKWE NANGUEN GUY BLAISE</v>
      </c>
      <c r="C9" s="7">
        <f t="shared" si="1"/>
        <v>0</v>
      </c>
      <c r="D9" s="7"/>
      <c r="E9" s="7">
        <f t="shared" si="2"/>
        <v>0</v>
      </c>
      <c r="F9" s="7">
        <f t="shared" si="0"/>
        <v>0</v>
      </c>
      <c r="G9" s="5" t="s">
        <v>15</v>
      </c>
      <c r="H9" s="7"/>
      <c r="I9" s="7"/>
      <c r="J9" s="7"/>
      <c r="K9" s="5" t="s">
        <v>15</v>
      </c>
      <c r="L9" s="7">
        <f>TONTAOUT!I9+TONTAOUT!J9</f>
        <v>0</v>
      </c>
      <c r="M9" s="5" t="s">
        <v>15</v>
      </c>
      <c r="N9" s="5" t="s">
        <v>15</v>
      </c>
      <c r="O9" s="7">
        <f>IF(P9=0,0,($F$80-P9))</f>
        <v>0</v>
      </c>
      <c r="P9" s="7"/>
      <c r="Q9" s="7"/>
      <c r="R9" s="2"/>
      <c r="S9" s="7"/>
    </row>
    <row r="10" spans="1:19" x14ac:dyDescent="0.25">
      <c r="A10" s="1" t="s">
        <v>20</v>
      </c>
      <c r="B10" s="1" t="str">
        <f>VLOOKUP(A10,[2]LISTADHERENT!A$5:H$51,2)</f>
        <v>DJOUNKEP SAMUEL</v>
      </c>
      <c r="C10" s="7">
        <f t="shared" si="1"/>
        <v>0</v>
      </c>
      <c r="D10" s="7"/>
      <c r="E10" s="7">
        <f t="shared" si="2"/>
        <v>0</v>
      </c>
      <c r="F10" s="7">
        <f t="shared" si="0"/>
        <v>0</v>
      </c>
      <c r="G10" s="5" t="s">
        <v>15</v>
      </c>
      <c r="H10" s="7"/>
      <c r="I10" s="7"/>
      <c r="J10" s="7"/>
      <c r="K10" s="5" t="s">
        <v>15</v>
      </c>
      <c r="L10" s="7">
        <f>TONTAOUT!I10+TONTAOUT!J10</f>
        <v>0</v>
      </c>
      <c r="M10" s="5" t="s">
        <v>15</v>
      </c>
      <c r="N10" s="5" t="s">
        <v>15</v>
      </c>
      <c r="O10" s="7">
        <f>IF(P10=0,0,($F$80-P10))</f>
        <v>0</v>
      </c>
      <c r="P10" s="7"/>
      <c r="Q10" s="7"/>
      <c r="R10" s="2"/>
      <c r="S10" s="7"/>
    </row>
    <row r="11" spans="1:19" x14ac:dyDescent="0.25">
      <c r="A11" s="1" t="s">
        <v>21</v>
      </c>
      <c r="B11" s="1" t="str">
        <f>VLOOKUP(A11,[2]LISTADHERENT!A$5:H$51,2)</f>
        <v>DJUOMBESSY ANTOINE</v>
      </c>
      <c r="C11" s="7">
        <f t="shared" si="1"/>
        <v>0</v>
      </c>
      <c r="D11" s="7"/>
      <c r="E11" s="7">
        <f t="shared" si="2"/>
        <v>0</v>
      </c>
      <c r="F11" s="7">
        <f t="shared" si="0"/>
        <v>0</v>
      </c>
      <c r="G11" s="5" t="s">
        <v>15</v>
      </c>
      <c r="H11" s="7"/>
      <c r="I11" s="7"/>
      <c r="J11" s="7"/>
      <c r="K11" s="5" t="s">
        <v>15</v>
      </c>
      <c r="L11" s="7">
        <f>TONTAOUT!I11+TONTAOUT!J11</f>
        <v>0</v>
      </c>
      <c r="M11" s="5" t="s">
        <v>15</v>
      </c>
      <c r="N11" s="5" t="s">
        <v>15</v>
      </c>
      <c r="O11" s="7">
        <f>IF(P11=0,0,($F$80-P11))</f>
        <v>0</v>
      </c>
      <c r="P11" s="7"/>
      <c r="Q11" s="7"/>
      <c r="R11" s="2"/>
      <c r="S11" s="7"/>
    </row>
    <row r="12" spans="1:19" x14ac:dyDescent="0.25">
      <c r="A12" s="1" t="s">
        <v>22</v>
      </c>
      <c r="B12" s="1" t="str">
        <f>VLOOKUP(A12,[2]LISTADHERENT!A$5:H$51,2)</f>
        <v>DONHOU DAVID</v>
      </c>
      <c r="C12" s="7">
        <f t="shared" si="1"/>
        <v>0</v>
      </c>
      <c r="D12" s="7"/>
      <c r="E12" s="7">
        <f t="shared" si="2"/>
        <v>0</v>
      </c>
      <c r="F12" s="7">
        <f t="shared" si="0"/>
        <v>0</v>
      </c>
      <c r="G12" s="5" t="s">
        <v>15</v>
      </c>
      <c r="H12" s="7"/>
      <c r="I12" s="7"/>
      <c r="J12" s="7"/>
      <c r="K12" s="5" t="s">
        <v>15</v>
      </c>
      <c r="L12" s="7">
        <f>TONTAOUT!I12+TONTAOUT!J12</f>
        <v>0</v>
      </c>
      <c r="M12" s="5" t="s">
        <v>15</v>
      </c>
      <c r="N12" s="5" t="s">
        <v>15</v>
      </c>
      <c r="O12" s="7">
        <f>IF(P12=0,0,($F$80-P12))</f>
        <v>0</v>
      </c>
      <c r="P12" s="7"/>
      <c r="Q12" s="7"/>
      <c r="R12" s="2"/>
      <c r="S12" s="7"/>
    </row>
    <row r="13" spans="1:19" x14ac:dyDescent="0.25">
      <c r="A13" s="1" t="s">
        <v>23</v>
      </c>
      <c r="B13" s="1" t="str">
        <f>VLOOKUP(A13,[2]LISTADHERENT!A$5:H$51,2)</f>
        <v>FOTSO THOMAS</v>
      </c>
      <c r="C13" s="7">
        <f t="shared" si="1"/>
        <v>0</v>
      </c>
      <c r="D13" s="7"/>
      <c r="E13" s="7">
        <f t="shared" si="2"/>
        <v>0</v>
      </c>
      <c r="F13" s="7">
        <f t="shared" si="0"/>
        <v>0</v>
      </c>
      <c r="G13" s="5" t="s">
        <v>15</v>
      </c>
      <c r="H13" s="7"/>
      <c r="I13" s="7"/>
      <c r="J13" s="7"/>
      <c r="K13" s="5" t="s">
        <v>15</v>
      </c>
      <c r="L13" s="7">
        <f>TONTAOUT!I13+TONTAOUT!J13</f>
        <v>0</v>
      </c>
      <c r="M13" s="5" t="s">
        <v>15</v>
      </c>
      <c r="N13" s="5" t="s">
        <v>15</v>
      </c>
      <c r="O13" s="7">
        <f>IF(P13=0,0,($F$80-P13))</f>
        <v>0</v>
      </c>
      <c r="P13" s="7"/>
      <c r="Q13" s="7"/>
      <c r="R13" s="2"/>
      <c r="S13" s="7"/>
    </row>
    <row r="14" spans="1:19" x14ac:dyDescent="0.25">
      <c r="A14" s="1" t="s">
        <v>24</v>
      </c>
      <c r="B14" s="1" t="str">
        <f>VLOOKUP(A14,[2]LISTADHERENT!A$5:H$51,2)</f>
        <v>HENGUE PAUL OMER</v>
      </c>
      <c r="C14" s="7">
        <f t="shared" si="1"/>
        <v>0</v>
      </c>
      <c r="D14" s="7"/>
      <c r="E14" s="7">
        <f t="shared" si="2"/>
        <v>0</v>
      </c>
      <c r="F14" s="7">
        <f t="shared" si="0"/>
        <v>0</v>
      </c>
      <c r="G14" s="5" t="s">
        <v>15</v>
      </c>
      <c r="H14" s="7"/>
      <c r="I14" s="7"/>
      <c r="J14" s="7"/>
      <c r="K14" s="5" t="s">
        <v>15</v>
      </c>
      <c r="L14" s="7">
        <f>TONTAOUT!I14+TONTAOUT!J14</f>
        <v>0</v>
      </c>
      <c r="M14" s="5" t="s">
        <v>15</v>
      </c>
      <c r="N14" s="5" t="s">
        <v>15</v>
      </c>
      <c r="O14" s="7">
        <f>IF(P14=0,0,($F$80-P14))</f>
        <v>0</v>
      </c>
      <c r="P14" s="7"/>
      <c r="Q14" s="7"/>
      <c r="R14" s="2"/>
      <c r="S14" s="7"/>
    </row>
    <row r="15" spans="1:19" x14ac:dyDescent="0.25">
      <c r="A15" s="1" t="s">
        <v>25</v>
      </c>
      <c r="B15" s="1" t="str">
        <f>VLOOKUP(A15,[2]LISTADHERENT!A$5:H$51,2)</f>
        <v>HODIEP JULES</v>
      </c>
      <c r="C15" s="7">
        <f t="shared" si="1"/>
        <v>0</v>
      </c>
      <c r="D15" s="7"/>
      <c r="E15" s="7">
        <f t="shared" si="2"/>
        <v>0</v>
      </c>
      <c r="F15" s="7">
        <f t="shared" si="0"/>
        <v>0</v>
      </c>
      <c r="G15" s="5" t="s">
        <v>15</v>
      </c>
      <c r="H15" s="7"/>
      <c r="I15" s="7"/>
      <c r="J15" s="7"/>
      <c r="K15" s="5" t="s">
        <v>15</v>
      </c>
      <c r="L15" s="7">
        <f>TONTAOUT!I15+TONTAOUT!J15</f>
        <v>0</v>
      </c>
      <c r="M15" s="5" t="s">
        <v>15</v>
      </c>
      <c r="N15" s="5" t="s">
        <v>15</v>
      </c>
      <c r="O15" s="7">
        <f>IF(P15=0,0,($F$80-P15))</f>
        <v>0</v>
      </c>
      <c r="P15" s="7"/>
      <c r="Q15" s="7"/>
      <c r="R15" s="2"/>
      <c r="S15" s="7"/>
    </row>
    <row r="16" spans="1:19" x14ac:dyDescent="0.25">
      <c r="A16" s="1" t="s">
        <v>26</v>
      </c>
      <c r="B16" s="1" t="str">
        <f>VLOOKUP(A16,[2]LISTADHERENT!A$5:H$51,2)</f>
        <v>HOTCHO BENJAMIN</v>
      </c>
      <c r="C16" s="7">
        <f t="shared" si="1"/>
        <v>0</v>
      </c>
      <c r="D16" s="7"/>
      <c r="E16" s="7">
        <f t="shared" si="2"/>
        <v>0</v>
      </c>
      <c r="F16" s="7">
        <f t="shared" si="0"/>
        <v>0</v>
      </c>
      <c r="G16" s="5" t="s">
        <v>15</v>
      </c>
      <c r="H16" s="7"/>
      <c r="I16" s="7"/>
      <c r="J16" s="7"/>
      <c r="K16" s="5" t="s">
        <v>15</v>
      </c>
      <c r="L16" s="7">
        <f>TONTAOUT!I16+TONTAOUT!J16</f>
        <v>0</v>
      </c>
      <c r="M16" s="5" t="s">
        <v>15</v>
      </c>
      <c r="N16" s="5" t="s">
        <v>15</v>
      </c>
      <c r="O16" s="7">
        <f>IF(P16=0,0,($F$80-P16))</f>
        <v>0</v>
      </c>
      <c r="P16" s="7"/>
      <c r="Q16" s="7"/>
      <c r="R16" s="2"/>
      <c r="S16" s="7"/>
    </row>
    <row r="17" spans="1:19" x14ac:dyDescent="0.25">
      <c r="A17" s="1" t="s">
        <v>27</v>
      </c>
      <c r="B17" s="1" t="str">
        <f>VLOOKUP(A17,[2]LISTADHERENT!A$5:H$51,2)</f>
        <v>KEPHE DAVID</v>
      </c>
      <c r="C17" s="7">
        <f t="shared" si="1"/>
        <v>0</v>
      </c>
      <c r="D17" s="7"/>
      <c r="E17" s="7">
        <f t="shared" si="2"/>
        <v>0</v>
      </c>
      <c r="F17" s="7">
        <f t="shared" si="0"/>
        <v>0</v>
      </c>
      <c r="G17" s="5" t="s">
        <v>15</v>
      </c>
      <c r="H17" s="7"/>
      <c r="I17" s="7"/>
      <c r="J17" s="7"/>
      <c r="K17" s="5" t="s">
        <v>15</v>
      </c>
      <c r="L17" s="7">
        <f>TONTAOUT!I17+TONTAOUT!J17</f>
        <v>0</v>
      </c>
      <c r="M17" s="5" t="s">
        <v>15</v>
      </c>
      <c r="N17" s="5" t="s">
        <v>15</v>
      </c>
      <c r="O17" s="7">
        <f>IF(P17=0,0,($F$80-P17))</f>
        <v>0</v>
      </c>
      <c r="P17" s="7"/>
      <c r="Q17" s="7"/>
      <c r="R17" s="2"/>
      <c r="S17" s="7"/>
    </row>
    <row r="18" spans="1:19" x14ac:dyDescent="0.25">
      <c r="A18" s="1" t="s">
        <v>28</v>
      </c>
      <c r="B18" s="1" t="str">
        <f>VLOOKUP(A18,[2]LISTADHERENT!A$5:H$51,2)</f>
        <v>KEPSEU FRANCIS</v>
      </c>
      <c r="C18" s="7">
        <f t="shared" si="1"/>
        <v>0</v>
      </c>
      <c r="D18" s="7"/>
      <c r="E18" s="7">
        <f t="shared" si="2"/>
        <v>0</v>
      </c>
      <c r="F18" s="7">
        <f t="shared" si="0"/>
        <v>0</v>
      </c>
      <c r="G18" s="5" t="s">
        <v>15</v>
      </c>
      <c r="H18" s="7"/>
      <c r="I18" s="7"/>
      <c r="J18" s="7"/>
      <c r="K18" s="5" t="s">
        <v>15</v>
      </c>
      <c r="L18" s="7">
        <f>TONTAOUT!I18+TONTAOUT!J18</f>
        <v>0</v>
      </c>
      <c r="M18" s="5" t="s">
        <v>15</v>
      </c>
      <c r="N18" s="5" t="s">
        <v>15</v>
      </c>
      <c r="O18" s="7">
        <f>IF(P18=0,0,($F$80-P18))</f>
        <v>0</v>
      </c>
      <c r="P18" s="7"/>
      <c r="Q18" s="7"/>
      <c r="R18" s="2"/>
      <c r="S18" s="7"/>
    </row>
    <row r="19" spans="1:19" x14ac:dyDescent="0.25">
      <c r="A19" s="1" t="s">
        <v>29</v>
      </c>
      <c r="B19" s="1" t="str">
        <f>VLOOKUP(A19,[2]LISTADHERENT!A$5:H$51,2)</f>
        <v>KOUAMOU EMMANUEL</v>
      </c>
      <c r="C19" s="7">
        <f t="shared" si="1"/>
        <v>0</v>
      </c>
      <c r="D19" s="7"/>
      <c r="E19" s="7">
        <f t="shared" si="2"/>
        <v>0</v>
      </c>
      <c r="F19" s="7">
        <f t="shared" si="0"/>
        <v>0</v>
      </c>
      <c r="G19" s="5" t="s">
        <v>15</v>
      </c>
      <c r="H19" s="7"/>
      <c r="I19" s="7"/>
      <c r="J19" s="7"/>
      <c r="K19" s="5" t="s">
        <v>15</v>
      </c>
      <c r="L19" s="7">
        <f>TONTAOUT!I19+TONTAOUT!J19</f>
        <v>0</v>
      </c>
      <c r="M19" s="5" t="s">
        <v>15</v>
      </c>
      <c r="N19" s="5" t="s">
        <v>15</v>
      </c>
      <c r="O19" s="7">
        <f>IF(P19=0,0,($F$80-P19))</f>
        <v>0</v>
      </c>
      <c r="P19" s="7"/>
      <c r="Q19" s="7"/>
      <c r="R19" s="2"/>
      <c r="S19" s="7"/>
    </row>
    <row r="20" spans="1:19" x14ac:dyDescent="0.25">
      <c r="A20" s="1" t="s">
        <v>30</v>
      </c>
      <c r="B20" s="1" t="str">
        <f>VLOOKUP(A20,[2]LISTADHERENT!A$5:H$51,2)</f>
        <v>KOUAMOU MOISE</v>
      </c>
      <c r="C20" s="7">
        <f t="shared" si="1"/>
        <v>0</v>
      </c>
      <c r="D20" s="7"/>
      <c r="E20" s="7">
        <f t="shared" si="2"/>
        <v>0</v>
      </c>
      <c r="F20" s="7">
        <f t="shared" si="0"/>
        <v>0</v>
      </c>
      <c r="G20" s="5" t="s">
        <v>15</v>
      </c>
      <c r="H20" s="7"/>
      <c r="I20" s="7"/>
      <c r="J20" s="7"/>
      <c r="K20" s="5" t="s">
        <v>15</v>
      </c>
      <c r="L20" s="7">
        <f>TONTAOUT!I20+TONTAOUT!J20</f>
        <v>0</v>
      </c>
      <c r="M20" s="5" t="s">
        <v>15</v>
      </c>
      <c r="N20" s="5" t="s">
        <v>15</v>
      </c>
      <c r="O20" s="7">
        <f>IF(P20=0,0,($F$80-P20))</f>
        <v>0</v>
      </c>
      <c r="P20" s="7"/>
      <c r="Q20" s="7"/>
      <c r="R20" s="2"/>
      <c r="S20" s="7"/>
    </row>
    <row r="21" spans="1:19" x14ac:dyDescent="0.25">
      <c r="A21" s="1" t="s">
        <v>31</v>
      </c>
      <c r="B21" s="1" t="str">
        <f>VLOOKUP(A21,[2]LISTADHERENT!A$5:H$51,2)</f>
        <v>KOUAMO VICTOR PEGUY</v>
      </c>
      <c r="C21" s="7">
        <f t="shared" si="1"/>
        <v>0</v>
      </c>
      <c r="D21" s="7"/>
      <c r="E21" s="7">
        <f t="shared" si="2"/>
        <v>0</v>
      </c>
      <c r="F21" s="7">
        <f t="shared" si="0"/>
        <v>0</v>
      </c>
      <c r="G21" s="5" t="s">
        <v>15</v>
      </c>
      <c r="H21" s="7"/>
      <c r="I21" s="7"/>
      <c r="J21" s="7"/>
      <c r="K21" s="5" t="s">
        <v>15</v>
      </c>
      <c r="L21" s="7">
        <f>TONTAOUT!I21+TONTAOUT!J21</f>
        <v>32000</v>
      </c>
      <c r="M21" s="5" t="s">
        <v>15</v>
      </c>
      <c r="N21" s="5" t="s">
        <v>15</v>
      </c>
      <c r="O21" s="7">
        <f>IF(P21=0,0,($F$80-P21))</f>
        <v>0</v>
      </c>
      <c r="P21" s="7"/>
      <c r="Q21" s="7">
        <v>51000</v>
      </c>
      <c r="R21" s="13">
        <v>42967</v>
      </c>
      <c r="S21" s="7" t="s">
        <v>83</v>
      </c>
    </row>
    <row r="22" spans="1:19" x14ac:dyDescent="0.25">
      <c r="A22" s="1" t="s">
        <v>32</v>
      </c>
      <c r="B22" s="1" t="str">
        <f>VLOOKUP(A22,[2]LISTADHERENT!A$5:H$51,2)</f>
        <v>KOUATCHO MESSACK</v>
      </c>
      <c r="C22" s="7">
        <f t="shared" si="1"/>
        <v>0</v>
      </c>
      <c r="D22" s="7"/>
      <c r="E22" s="7">
        <f t="shared" si="2"/>
        <v>0</v>
      </c>
      <c r="F22" s="7">
        <f t="shared" si="0"/>
        <v>0</v>
      </c>
      <c r="G22" s="5" t="s">
        <v>15</v>
      </c>
      <c r="H22" s="7"/>
      <c r="I22" s="7"/>
      <c r="J22" s="7"/>
      <c r="K22" s="5" t="s">
        <v>15</v>
      </c>
      <c r="L22" s="7">
        <f>TONTAOUT!I22+TONTAOUT!J22</f>
        <v>500</v>
      </c>
      <c r="M22" s="5" t="s">
        <v>15</v>
      </c>
      <c r="N22" s="5" t="s">
        <v>15</v>
      </c>
      <c r="O22" s="7">
        <f>IF(P22=0,0,($F$80-P22))</f>
        <v>0</v>
      </c>
      <c r="P22" s="7"/>
      <c r="Q22" s="7"/>
      <c r="R22" s="7"/>
      <c r="S22" s="7"/>
    </row>
    <row r="23" spans="1:19" x14ac:dyDescent="0.25">
      <c r="A23" s="1" t="s">
        <v>33</v>
      </c>
      <c r="B23" s="1" t="str">
        <f>VLOOKUP(A23,[2]LISTADHERENT!A$5:H$51,2)</f>
        <v>LOWE JEAN</v>
      </c>
      <c r="C23" s="7">
        <f t="shared" si="1"/>
        <v>0</v>
      </c>
      <c r="D23" s="7"/>
      <c r="E23" s="7">
        <f t="shared" si="2"/>
        <v>0</v>
      </c>
      <c r="F23" s="7">
        <f t="shared" si="0"/>
        <v>0</v>
      </c>
      <c r="G23" s="5" t="s">
        <v>15</v>
      </c>
      <c r="H23" s="7"/>
      <c r="I23" s="7"/>
      <c r="J23" s="7"/>
      <c r="K23" s="5" t="s">
        <v>15</v>
      </c>
      <c r="L23" s="7">
        <f>TONTAOUT!I23+TONTAOUT!J23</f>
        <v>0</v>
      </c>
      <c r="M23" s="5" t="s">
        <v>15</v>
      </c>
      <c r="N23" s="5" t="s">
        <v>15</v>
      </c>
      <c r="O23" s="7">
        <f>IF(P23=0,0,($F$80-P23))</f>
        <v>0</v>
      </c>
      <c r="P23" s="7"/>
      <c r="Q23" s="7"/>
      <c r="R23" s="2"/>
      <c r="S23" s="7"/>
    </row>
    <row r="24" spans="1:19" x14ac:dyDescent="0.25">
      <c r="A24" s="1" t="s">
        <v>34</v>
      </c>
      <c r="B24" s="1" t="str">
        <f>VLOOKUP(A24,[2]LISTADHERENT!A$5:H$51,2)</f>
        <v>NANKAM APPOLINAIRE</v>
      </c>
      <c r="C24" s="7">
        <f t="shared" si="1"/>
        <v>0</v>
      </c>
      <c r="D24" s="7"/>
      <c r="E24" s="7">
        <f t="shared" si="2"/>
        <v>0</v>
      </c>
      <c r="F24" s="7">
        <f t="shared" si="0"/>
        <v>0</v>
      </c>
      <c r="G24" s="5" t="s">
        <v>15</v>
      </c>
      <c r="H24" s="7"/>
      <c r="I24" s="7"/>
      <c r="J24" s="7"/>
      <c r="K24" s="5" t="s">
        <v>15</v>
      </c>
      <c r="L24" s="7">
        <f>TONTAOUT!I24+TONTAOUT!J24</f>
        <v>0</v>
      </c>
      <c r="M24" s="5" t="s">
        <v>15</v>
      </c>
      <c r="N24" s="5" t="s">
        <v>15</v>
      </c>
      <c r="O24" s="7">
        <f>IF(P24=0,0,($F$80-P24))</f>
        <v>0</v>
      </c>
      <c r="P24" s="7"/>
      <c r="Q24" s="7"/>
      <c r="R24" s="2"/>
      <c r="S24" s="7"/>
    </row>
    <row r="25" spans="1:19" x14ac:dyDescent="0.25">
      <c r="A25" s="1" t="s">
        <v>35</v>
      </c>
      <c r="B25" s="1" t="str">
        <f>VLOOKUP(A25,[2]LISTADHERENT!A$5:H$51,2)</f>
        <v>NDJOMO ETIENNE</v>
      </c>
      <c r="C25" s="7">
        <f t="shared" si="1"/>
        <v>0</v>
      </c>
      <c r="D25" s="7"/>
      <c r="E25" s="7">
        <f t="shared" si="2"/>
        <v>0</v>
      </c>
      <c r="F25" s="7">
        <f t="shared" si="0"/>
        <v>0</v>
      </c>
      <c r="G25" s="5" t="s">
        <v>15</v>
      </c>
      <c r="H25" s="7"/>
      <c r="I25" s="7"/>
      <c r="J25" s="7"/>
      <c r="K25" s="5" t="s">
        <v>15</v>
      </c>
      <c r="L25" s="7">
        <f>TONTAOUT!I25+TONTAOUT!J25</f>
        <v>0</v>
      </c>
      <c r="M25" s="5" t="s">
        <v>15</v>
      </c>
      <c r="N25" s="5" t="s">
        <v>15</v>
      </c>
      <c r="O25" s="7">
        <f>IF(P25=0,0,($F$80-P25))</f>
        <v>0</v>
      </c>
      <c r="P25" s="7"/>
      <c r="Q25" s="7"/>
      <c r="R25" s="7"/>
      <c r="S25" s="7"/>
    </row>
    <row r="26" spans="1:19" x14ac:dyDescent="0.25">
      <c r="A26" s="8" t="s">
        <v>36</v>
      </c>
      <c r="B26" s="1" t="str">
        <f>VLOOKUP(A26,[2]LISTADHERENT!A$5:H$51,2)</f>
        <v>NDOMBOU JEAN CLAUDE</v>
      </c>
      <c r="C26" s="7">
        <f t="shared" si="1"/>
        <v>0</v>
      </c>
      <c r="D26" s="7"/>
      <c r="E26" s="7">
        <f t="shared" si="2"/>
        <v>0</v>
      </c>
      <c r="F26" s="7">
        <f t="shared" si="0"/>
        <v>0</v>
      </c>
      <c r="G26" s="5" t="s">
        <v>15</v>
      </c>
      <c r="H26" s="7"/>
      <c r="I26" s="7"/>
      <c r="J26" s="7"/>
      <c r="K26" s="5" t="s">
        <v>15</v>
      </c>
      <c r="L26" s="7">
        <f>TONTAOUT!I26+TONTAOUT!J26</f>
        <v>0</v>
      </c>
      <c r="M26" s="5" t="s">
        <v>15</v>
      </c>
      <c r="N26" s="5" t="s">
        <v>15</v>
      </c>
      <c r="O26" s="7">
        <f>IF(P26=0,0,($F$80-P26))</f>
        <v>0</v>
      </c>
      <c r="P26" s="7"/>
      <c r="Q26" s="7"/>
      <c r="R26" s="7"/>
      <c r="S26" s="7"/>
    </row>
    <row r="27" spans="1:19" x14ac:dyDescent="0.25">
      <c r="A27" s="1" t="s">
        <v>37</v>
      </c>
      <c r="B27" s="1" t="str">
        <f>VLOOKUP(A27,[2]LISTADHERENT!A$5:H$51,2)</f>
        <v>NGONDIEP CLAUDE</v>
      </c>
      <c r="C27" s="7">
        <f t="shared" si="1"/>
        <v>0</v>
      </c>
      <c r="D27" s="7"/>
      <c r="E27" s="7">
        <f t="shared" si="2"/>
        <v>0</v>
      </c>
      <c r="F27" s="7">
        <f t="shared" si="0"/>
        <v>0</v>
      </c>
      <c r="G27" s="5" t="s">
        <v>15</v>
      </c>
      <c r="H27" s="7"/>
      <c r="I27" s="7"/>
      <c r="J27" s="7"/>
      <c r="K27" s="5" t="s">
        <v>15</v>
      </c>
      <c r="L27" s="7">
        <f>TONTAOUT!I27+TONTAOUT!J27</f>
        <v>0</v>
      </c>
      <c r="M27" s="5" t="s">
        <v>15</v>
      </c>
      <c r="N27" s="5" t="s">
        <v>15</v>
      </c>
      <c r="O27" s="7">
        <f>IF(P27=0,0,($F$80-P27))</f>
        <v>0</v>
      </c>
      <c r="P27" s="7"/>
      <c r="Q27" s="7"/>
      <c r="R27" s="2"/>
      <c r="S27" s="7"/>
    </row>
    <row r="28" spans="1:19" x14ac:dyDescent="0.25">
      <c r="A28" s="1" t="s">
        <v>38</v>
      </c>
      <c r="B28" s="1" t="str">
        <f>VLOOKUP(A28,[2]LISTADHERENT!A$5:H$51,2)</f>
        <v>NGONGANG JEAN THEODORE</v>
      </c>
      <c r="C28" s="7">
        <f t="shared" si="1"/>
        <v>0</v>
      </c>
      <c r="D28" s="7"/>
      <c r="E28" s="7">
        <f t="shared" si="2"/>
        <v>0</v>
      </c>
      <c r="F28" s="7">
        <f t="shared" si="0"/>
        <v>0</v>
      </c>
      <c r="G28" s="5" t="s">
        <v>15</v>
      </c>
      <c r="H28" s="7"/>
      <c r="I28" s="7"/>
      <c r="J28" s="7"/>
      <c r="K28" s="5" t="s">
        <v>15</v>
      </c>
      <c r="L28" s="7">
        <f>TONTAOUT!I28+TONTAOUT!J28</f>
        <v>0</v>
      </c>
      <c r="M28" s="5" t="s">
        <v>15</v>
      </c>
      <c r="N28" s="5" t="s">
        <v>15</v>
      </c>
      <c r="O28" s="7">
        <f>IF(P28=0,0,($F$80-P28))</f>
        <v>0</v>
      </c>
      <c r="P28" s="7"/>
      <c r="Q28" s="7"/>
      <c r="R28" s="2"/>
      <c r="S28" s="7"/>
    </row>
    <row r="29" spans="1:19" x14ac:dyDescent="0.25">
      <c r="A29" s="1" t="s">
        <v>39</v>
      </c>
      <c r="B29" s="1" t="str">
        <f>VLOOKUP(A29,[2]LISTADHERENT!A$5:H$51,2)</f>
        <v>NGUIEMEGNI MATHIEU BLAISE</v>
      </c>
      <c r="C29" s="7">
        <f t="shared" si="1"/>
        <v>0</v>
      </c>
      <c r="D29" s="7"/>
      <c r="E29" s="7">
        <f t="shared" si="2"/>
        <v>0</v>
      </c>
      <c r="F29" s="7">
        <f t="shared" si="0"/>
        <v>0</v>
      </c>
      <c r="G29" s="5" t="s">
        <v>15</v>
      </c>
      <c r="H29" s="7"/>
      <c r="I29" s="7"/>
      <c r="J29" s="7"/>
      <c r="K29" s="5" t="s">
        <v>15</v>
      </c>
      <c r="L29" s="7">
        <f>TONTAOUT!I29+TONTAOUT!J29</f>
        <v>0</v>
      </c>
      <c r="M29" s="5" t="s">
        <v>15</v>
      </c>
      <c r="N29" s="5" t="s">
        <v>15</v>
      </c>
      <c r="O29" s="7">
        <f>IF(P29=0,0,($F$80-P29))</f>
        <v>0</v>
      </c>
      <c r="P29" s="7"/>
      <c r="Q29" s="7"/>
      <c r="R29" s="2"/>
      <c r="S29" s="7"/>
    </row>
    <row r="30" spans="1:19" x14ac:dyDescent="0.25">
      <c r="A30" s="1" t="s">
        <v>40</v>
      </c>
      <c r="B30" s="1" t="str">
        <f>VLOOKUP(A30,[2]LISTADHERENT!A$5:H$51,2)</f>
        <v>NJEPDJIO MBOUKAM DELUXE</v>
      </c>
      <c r="C30" s="7">
        <f t="shared" si="1"/>
        <v>0</v>
      </c>
      <c r="D30" s="7"/>
      <c r="E30" s="7">
        <f t="shared" si="2"/>
        <v>0</v>
      </c>
      <c r="F30" s="7">
        <f t="shared" si="0"/>
        <v>0</v>
      </c>
      <c r="G30" s="5" t="s">
        <v>15</v>
      </c>
      <c r="H30" s="7"/>
      <c r="I30" s="7"/>
      <c r="J30" s="7"/>
      <c r="K30" s="5" t="s">
        <v>15</v>
      </c>
      <c r="L30" s="7">
        <f>TONTAOUT!I30+TONTAOUT!J30</f>
        <v>0</v>
      </c>
      <c r="M30" s="5" t="s">
        <v>15</v>
      </c>
      <c r="N30" s="5" t="s">
        <v>15</v>
      </c>
      <c r="O30" s="7">
        <f>IF(P30=0,0,($F$80-P30))</f>
        <v>0</v>
      </c>
      <c r="P30" s="7"/>
      <c r="Q30" s="7"/>
      <c r="R30" s="2"/>
      <c r="S30" s="7"/>
    </row>
    <row r="31" spans="1:19" x14ac:dyDescent="0.25">
      <c r="A31" s="1" t="s">
        <v>41</v>
      </c>
      <c r="B31" s="1" t="str">
        <f>VLOOKUP(A31,[2]LISTADHERENT!A$5:H$51,2)</f>
        <v>NKAMGANG JUSTIN DEJOLIE</v>
      </c>
      <c r="C31" s="7">
        <f t="shared" si="1"/>
        <v>0</v>
      </c>
      <c r="D31" s="7"/>
      <c r="E31" s="7">
        <f t="shared" si="2"/>
        <v>0</v>
      </c>
      <c r="F31" s="7">
        <f t="shared" si="0"/>
        <v>0</v>
      </c>
      <c r="G31" s="5" t="s">
        <v>15</v>
      </c>
      <c r="H31" s="7"/>
      <c r="I31" s="7"/>
      <c r="J31" s="7"/>
      <c r="K31" s="5" t="s">
        <v>15</v>
      </c>
      <c r="L31" s="7">
        <f>TONTAOUT!I31+TONTAOUT!J31</f>
        <v>0</v>
      </c>
      <c r="M31" s="5" t="s">
        <v>15</v>
      </c>
      <c r="N31" s="5" t="s">
        <v>15</v>
      </c>
      <c r="O31" s="7">
        <f>IF(P31=0,0,($F$80-P31))</f>
        <v>0</v>
      </c>
      <c r="P31" s="7"/>
      <c r="Q31" s="7">
        <v>50000</v>
      </c>
      <c r="R31" s="13">
        <v>42967</v>
      </c>
      <c r="S31" s="7" t="s">
        <v>82</v>
      </c>
    </row>
    <row r="32" spans="1:19" s="9" customFormat="1" x14ac:dyDescent="0.25">
      <c r="A32" s="1" t="s">
        <v>42</v>
      </c>
      <c r="B32" s="1" t="str">
        <f>VLOOKUP(A32,[2]LISTADHERENT!A$5:H$51,2)</f>
        <v>NKEPSEU DIEUDONNE</v>
      </c>
      <c r="C32" s="7">
        <f t="shared" si="1"/>
        <v>0</v>
      </c>
      <c r="D32" s="7"/>
      <c r="E32" s="7">
        <f t="shared" si="2"/>
        <v>0</v>
      </c>
      <c r="F32" s="7">
        <f t="shared" si="0"/>
        <v>0</v>
      </c>
      <c r="G32" s="5" t="s">
        <v>15</v>
      </c>
      <c r="H32" s="7"/>
      <c r="I32" s="7"/>
      <c r="J32" s="7"/>
      <c r="K32" s="5" t="s">
        <v>15</v>
      </c>
      <c r="L32" s="7">
        <f>TONTAOUT!I32+TONTAOUT!J32</f>
        <v>0</v>
      </c>
      <c r="M32" s="5" t="s">
        <v>15</v>
      </c>
      <c r="N32" s="5" t="s">
        <v>15</v>
      </c>
      <c r="O32" s="7">
        <f>IF(P32=0,0,($F$80-P32))</f>
        <v>0</v>
      </c>
      <c r="P32" s="7"/>
      <c r="Q32" s="7"/>
      <c r="R32" s="2"/>
      <c r="S32" s="7"/>
    </row>
    <row r="33" spans="1:19" x14ac:dyDescent="0.25">
      <c r="A33" s="1" t="s">
        <v>43</v>
      </c>
      <c r="B33" s="1" t="str">
        <f>VLOOKUP(A33,[2]LISTADHERENT!A$5:H$51,2)</f>
        <v>NTEPDIE TUEMAC MZ</v>
      </c>
      <c r="C33" s="7">
        <f t="shared" si="1"/>
        <v>0</v>
      </c>
      <c r="D33" s="7"/>
      <c r="E33" s="7">
        <f t="shared" si="2"/>
        <v>0</v>
      </c>
      <c r="F33" s="7">
        <f t="shared" si="0"/>
        <v>0</v>
      </c>
      <c r="G33" s="5" t="s">
        <v>15</v>
      </c>
      <c r="H33" s="7"/>
      <c r="I33" s="7"/>
      <c r="J33" s="7"/>
      <c r="K33" s="5" t="s">
        <v>15</v>
      </c>
      <c r="L33" s="7">
        <f>TONTAOUT!I33+TONTAOUT!J33</f>
        <v>0</v>
      </c>
      <c r="M33" s="5" t="s">
        <v>15</v>
      </c>
      <c r="N33" s="5" t="s">
        <v>15</v>
      </c>
      <c r="O33" s="7">
        <f>IF(P33=0,0,($F$80-P33))</f>
        <v>0</v>
      </c>
      <c r="P33" s="7"/>
      <c r="Q33" s="7"/>
      <c r="R33" s="2"/>
      <c r="S33" s="7"/>
    </row>
    <row r="34" spans="1:19" x14ac:dyDescent="0.25">
      <c r="A34" s="1" t="s">
        <v>44</v>
      </c>
      <c r="B34" s="1" t="str">
        <f>VLOOKUP(A34,[2]LISTADHERENT!A$5:H$51,2)</f>
        <v>PATEGO NJOSSU GUSTAVE</v>
      </c>
      <c r="C34" s="7">
        <f t="shared" si="1"/>
        <v>0</v>
      </c>
      <c r="D34" s="7"/>
      <c r="E34" s="7">
        <f t="shared" si="2"/>
        <v>0</v>
      </c>
      <c r="F34" s="7">
        <f t="shared" si="0"/>
        <v>0</v>
      </c>
      <c r="G34" s="5" t="s">
        <v>15</v>
      </c>
      <c r="H34" s="7"/>
      <c r="I34" s="7"/>
      <c r="J34" s="7"/>
      <c r="K34" s="5" t="s">
        <v>15</v>
      </c>
      <c r="L34" s="7">
        <f>TONTAOUT!I34+TONTAOUT!J34</f>
        <v>0</v>
      </c>
      <c r="M34" s="5" t="s">
        <v>15</v>
      </c>
      <c r="N34" s="5" t="s">
        <v>15</v>
      </c>
      <c r="O34" s="7">
        <f>IF(P34=0,0,($F$80-P34))</f>
        <v>0</v>
      </c>
      <c r="P34" s="7"/>
      <c r="Q34" s="7"/>
      <c r="R34" s="2"/>
      <c r="S34" s="7"/>
    </row>
    <row r="35" spans="1:19" x14ac:dyDescent="0.25">
      <c r="A35" s="1" t="s">
        <v>45</v>
      </c>
      <c r="B35" s="1" t="str">
        <f>VLOOKUP(A35,[2]LISTADHERENT!A$5:H$51,2)</f>
        <v>SEUNOU RICHELOT</v>
      </c>
      <c r="C35" s="7">
        <f t="shared" si="1"/>
        <v>0</v>
      </c>
      <c r="D35" s="7"/>
      <c r="E35" s="7">
        <f t="shared" si="2"/>
        <v>0</v>
      </c>
      <c r="F35" s="7">
        <f t="shared" si="0"/>
        <v>0</v>
      </c>
      <c r="G35" s="5" t="s">
        <v>15</v>
      </c>
      <c r="H35" s="7"/>
      <c r="I35" s="7"/>
      <c r="J35" s="7"/>
      <c r="K35" s="5" t="s">
        <v>15</v>
      </c>
      <c r="L35" s="7">
        <f>TONTAOUT!I35+TONTAOUT!J35</f>
        <v>0</v>
      </c>
      <c r="M35" s="5" t="s">
        <v>15</v>
      </c>
      <c r="N35" s="5" t="s">
        <v>15</v>
      </c>
      <c r="O35" s="7">
        <f>IF(P35=0,0,($F$80-P35))</f>
        <v>0</v>
      </c>
      <c r="P35" s="7"/>
      <c r="Q35" s="7"/>
      <c r="R35" s="2"/>
      <c r="S35" s="7"/>
    </row>
    <row r="36" spans="1:19" x14ac:dyDescent="0.25">
      <c r="A36" s="1" t="s">
        <v>46</v>
      </c>
      <c r="B36" s="1" t="str">
        <f>VLOOKUP(A36,[2]LISTADHERENT!A$5:H$51,2)</f>
        <v>SIME ABEL</v>
      </c>
      <c r="C36" s="7">
        <f t="shared" si="1"/>
        <v>0</v>
      </c>
      <c r="D36" s="7"/>
      <c r="E36" s="7">
        <f t="shared" si="2"/>
        <v>0</v>
      </c>
      <c r="F36" s="7">
        <f t="shared" si="0"/>
        <v>0</v>
      </c>
      <c r="G36" s="5" t="s">
        <v>15</v>
      </c>
      <c r="H36" s="7"/>
      <c r="I36" s="7"/>
      <c r="J36" s="7"/>
      <c r="K36" s="5" t="s">
        <v>15</v>
      </c>
      <c r="L36" s="7">
        <f>TONTAOUT!I36+TONTAOUT!J36</f>
        <v>61000</v>
      </c>
      <c r="M36" s="5" t="s">
        <v>15</v>
      </c>
      <c r="N36" s="5" t="s">
        <v>15</v>
      </c>
      <c r="O36" s="7">
        <f>IF(P36=0,0,($F$80-P36))</f>
        <v>0</v>
      </c>
      <c r="P36" s="7"/>
      <c r="Q36" s="7"/>
      <c r="R36" s="2"/>
      <c r="S36" s="7"/>
    </row>
    <row r="37" spans="1:19" x14ac:dyDescent="0.25">
      <c r="A37" s="1" t="s">
        <v>47</v>
      </c>
      <c r="B37" s="1" t="str">
        <f>VLOOKUP(A37,[2]LISTADHERENT!A$5:H$51,2)</f>
        <v>SIME FONGANG ERIC</v>
      </c>
      <c r="C37" s="7">
        <f t="shared" si="1"/>
        <v>0</v>
      </c>
      <c r="D37" s="7"/>
      <c r="E37" s="7">
        <f t="shared" si="2"/>
        <v>0</v>
      </c>
      <c r="F37" s="7">
        <f t="shared" si="0"/>
        <v>0</v>
      </c>
      <c r="G37" s="5" t="s">
        <v>15</v>
      </c>
      <c r="H37" s="7"/>
      <c r="I37" s="7"/>
      <c r="J37" s="7"/>
      <c r="K37" s="5" t="s">
        <v>15</v>
      </c>
      <c r="L37" s="7">
        <f>TONTAOUT!I37+TONTAOUT!J37</f>
        <v>0</v>
      </c>
      <c r="M37" s="5" t="s">
        <v>15</v>
      </c>
      <c r="N37" s="5" t="s">
        <v>15</v>
      </c>
      <c r="O37" s="7">
        <f>IF(P37=0,0,($F$80-P37))</f>
        <v>0</v>
      </c>
      <c r="P37" s="7"/>
      <c r="Q37" s="7"/>
      <c r="R37" s="2"/>
      <c r="S37" s="7"/>
    </row>
    <row r="38" spans="1:19" x14ac:dyDescent="0.25">
      <c r="A38" s="1" t="s">
        <v>48</v>
      </c>
      <c r="B38" s="1" t="str">
        <f>VLOOKUP(A38,[2]LISTADHERENT!A$5:H$51,2)</f>
        <v>SIME MATHIEU</v>
      </c>
      <c r="C38" s="7">
        <f t="shared" si="1"/>
        <v>0</v>
      </c>
      <c r="D38" s="7"/>
      <c r="E38" s="7">
        <f t="shared" si="2"/>
        <v>0</v>
      </c>
      <c r="F38" s="7">
        <f t="shared" si="0"/>
        <v>0</v>
      </c>
      <c r="G38" s="5" t="s">
        <v>15</v>
      </c>
      <c r="H38" s="7"/>
      <c r="I38" s="7"/>
      <c r="J38" s="7"/>
      <c r="K38" s="5" t="s">
        <v>15</v>
      </c>
      <c r="L38" s="7">
        <f>TONTAOUT!I38+TONTAOUT!J38</f>
        <v>0</v>
      </c>
      <c r="M38" s="5" t="s">
        <v>15</v>
      </c>
      <c r="N38" s="5" t="s">
        <v>15</v>
      </c>
      <c r="O38" s="7">
        <f>IF(P38=0,0,($F$80-P38))</f>
        <v>0</v>
      </c>
      <c r="P38" s="7"/>
      <c r="Q38" s="7"/>
      <c r="R38" s="2"/>
      <c r="S38" s="7"/>
    </row>
    <row r="39" spans="1:19" x14ac:dyDescent="0.25">
      <c r="A39" s="1" t="s">
        <v>49</v>
      </c>
      <c r="B39" s="1" t="str">
        <f>VLOOKUP(A39,[2]LISTADHERENT!A$5:H$51,2)</f>
        <v>SIME PIERRE</v>
      </c>
      <c r="C39" s="7">
        <f t="shared" si="1"/>
        <v>0</v>
      </c>
      <c r="D39" s="7"/>
      <c r="E39" s="7">
        <f t="shared" si="2"/>
        <v>0</v>
      </c>
      <c r="F39" s="7">
        <f t="shared" si="0"/>
        <v>0</v>
      </c>
      <c r="G39" s="5" t="s">
        <v>15</v>
      </c>
      <c r="H39" s="7"/>
      <c r="I39" s="7"/>
      <c r="J39" s="7"/>
      <c r="K39" s="5" t="s">
        <v>15</v>
      </c>
      <c r="L39" s="7">
        <f>TONTAOUT!I39+TONTAOUT!J39</f>
        <v>0</v>
      </c>
      <c r="M39" s="5" t="s">
        <v>15</v>
      </c>
      <c r="N39" s="5" t="s">
        <v>15</v>
      </c>
      <c r="O39" s="7">
        <f>IF(P39=0,0,($F$80-P39))</f>
        <v>0</v>
      </c>
      <c r="P39" s="7"/>
      <c r="Q39" s="7"/>
      <c r="R39" s="2"/>
      <c r="S39" s="7"/>
    </row>
    <row r="40" spans="1:19" x14ac:dyDescent="0.25">
      <c r="A40" s="1" t="s">
        <v>50</v>
      </c>
      <c r="B40" s="1" t="str">
        <f>VLOOKUP(A40,[2]LISTADHERENT!A$5:H$51,2)</f>
        <v>TAGNE NANGUEN MARTIN</v>
      </c>
      <c r="C40" s="7">
        <f t="shared" si="1"/>
        <v>0</v>
      </c>
      <c r="D40" s="7"/>
      <c r="E40" s="7">
        <f t="shared" si="2"/>
        <v>0</v>
      </c>
      <c r="F40" s="7">
        <f t="shared" si="0"/>
        <v>0</v>
      </c>
      <c r="G40" s="5" t="s">
        <v>15</v>
      </c>
      <c r="H40" s="7"/>
      <c r="I40" s="7"/>
      <c r="J40" s="7"/>
      <c r="K40" s="5" t="s">
        <v>15</v>
      </c>
      <c r="L40" s="7">
        <f>TONTAOUT!I40+TONTAOUT!J40</f>
        <v>0</v>
      </c>
      <c r="M40" s="5" t="s">
        <v>15</v>
      </c>
      <c r="N40" s="5" t="s">
        <v>15</v>
      </c>
      <c r="O40" s="7">
        <f>IF(P40=0,0,($F$80-P40))</f>
        <v>0</v>
      </c>
      <c r="P40" s="7"/>
      <c r="Q40" s="7"/>
      <c r="R40" s="2"/>
      <c r="S40" s="7"/>
    </row>
    <row r="41" spans="1:19" x14ac:dyDescent="0.25">
      <c r="A41" s="1" t="s">
        <v>51</v>
      </c>
      <c r="B41" s="1" t="str">
        <f>VLOOKUP(A41,[2]LISTADHERENT!A$5:H$51,2)</f>
        <v>TCHOUAMOU JEAN PAUL</v>
      </c>
      <c r="C41" s="7">
        <f t="shared" si="1"/>
        <v>0</v>
      </c>
      <c r="D41" s="7"/>
      <c r="E41" s="7">
        <f t="shared" si="2"/>
        <v>0</v>
      </c>
      <c r="F41" s="7">
        <f t="shared" si="0"/>
        <v>0</v>
      </c>
      <c r="G41" s="5" t="s">
        <v>15</v>
      </c>
      <c r="H41" s="7"/>
      <c r="I41" s="7"/>
      <c r="J41" s="7"/>
      <c r="K41" s="5" t="s">
        <v>15</v>
      </c>
      <c r="L41" s="7">
        <f>TONTAOUT!I41+TONTAOUT!J41</f>
        <v>0</v>
      </c>
      <c r="M41" s="5" t="s">
        <v>15</v>
      </c>
      <c r="N41" s="5" t="s">
        <v>15</v>
      </c>
      <c r="O41" s="7">
        <f>IF(P41=0,0,($F$80-P41))</f>
        <v>0</v>
      </c>
      <c r="P41" s="7"/>
      <c r="Q41" s="7"/>
      <c r="R41" s="2"/>
      <c r="S41" s="7"/>
    </row>
    <row r="42" spans="1:19" x14ac:dyDescent="0.25">
      <c r="A42" s="1" t="s">
        <v>52</v>
      </c>
      <c r="B42" s="1" t="str">
        <f>VLOOKUP(A42,[2]LISTADHERENT!A$5:H$51,2)</f>
        <v>TCHOUAMOU MATHIEU</v>
      </c>
      <c r="C42" s="7">
        <f t="shared" si="1"/>
        <v>0</v>
      </c>
      <c r="D42" s="7"/>
      <c r="E42" s="7">
        <f t="shared" si="2"/>
        <v>0</v>
      </c>
      <c r="F42" s="7">
        <f t="shared" si="0"/>
        <v>0</v>
      </c>
      <c r="G42" s="5" t="s">
        <v>15</v>
      </c>
      <c r="H42" s="7"/>
      <c r="I42" s="7"/>
      <c r="J42" s="7"/>
      <c r="K42" s="5" t="s">
        <v>15</v>
      </c>
      <c r="L42" s="7">
        <f>TONTAOUT!I42+TONTAOUT!J42</f>
        <v>0</v>
      </c>
      <c r="M42" s="5" t="s">
        <v>15</v>
      </c>
      <c r="N42" s="5" t="s">
        <v>15</v>
      </c>
      <c r="O42" s="7">
        <f>IF(P42=0,0,($F$80-P42))</f>
        <v>0</v>
      </c>
      <c r="P42" s="7"/>
      <c r="Q42" s="7"/>
      <c r="R42" s="7"/>
      <c r="S42" s="7"/>
    </row>
    <row r="43" spans="1:19" x14ac:dyDescent="0.25">
      <c r="A43" s="1" t="s">
        <v>53</v>
      </c>
      <c r="B43" s="1" t="str">
        <f>VLOOKUP(A43,[2]LISTADHERENT!A$5:H$51,2)</f>
        <v>TCHOUANTE FRANCOIS</v>
      </c>
      <c r="C43" s="7">
        <f t="shared" si="1"/>
        <v>0</v>
      </c>
      <c r="D43" s="7"/>
      <c r="E43" s="7">
        <f t="shared" si="2"/>
        <v>0</v>
      </c>
      <c r="F43" s="7">
        <f t="shared" si="0"/>
        <v>0</v>
      </c>
      <c r="G43" s="5" t="s">
        <v>15</v>
      </c>
      <c r="H43" s="7"/>
      <c r="I43" s="7"/>
      <c r="J43" s="7"/>
      <c r="K43" s="5" t="s">
        <v>15</v>
      </c>
      <c r="L43" s="7">
        <f>TONTAOUT!I43+TONTAOUT!J43</f>
        <v>61500</v>
      </c>
      <c r="M43" s="5" t="s">
        <v>15</v>
      </c>
      <c r="N43" s="5" t="s">
        <v>15</v>
      </c>
      <c r="O43" s="7">
        <f>IF(P43=0,0,($F$80-P43))</f>
        <v>0</v>
      </c>
      <c r="P43" s="7"/>
      <c r="Q43" s="7">
        <v>50000</v>
      </c>
      <c r="R43" s="13">
        <v>42967</v>
      </c>
      <c r="S43" s="7" t="s">
        <v>81</v>
      </c>
    </row>
    <row r="44" spans="1:19" x14ac:dyDescent="0.25">
      <c r="A44" s="1" t="s">
        <v>54</v>
      </c>
      <c r="B44" s="1" t="str">
        <f>VLOOKUP(A44,[2]LISTADHERENT!A$5:H$51,2)</f>
        <v>TCHOUTOU NANA CLAUDE</v>
      </c>
      <c r="C44" s="7">
        <f t="shared" si="1"/>
        <v>0</v>
      </c>
      <c r="D44" s="7"/>
      <c r="E44" s="7">
        <f t="shared" si="2"/>
        <v>0</v>
      </c>
      <c r="F44" s="7">
        <f t="shared" si="0"/>
        <v>0</v>
      </c>
      <c r="G44" s="5" t="s">
        <v>15</v>
      </c>
      <c r="H44" s="7"/>
      <c r="I44" s="7"/>
      <c r="J44" s="7"/>
      <c r="K44" s="5" t="s">
        <v>15</v>
      </c>
      <c r="L44" s="7">
        <f>TONTAOUT!I44+TONTAOUT!J44</f>
        <v>0</v>
      </c>
      <c r="M44" s="5" t="s">
        <v>15</v>
      </c>
      <c r="N44" s="5" t="s">
        <v>15</v>
      </c>
      <c r="O44" s="7">
        <f>IF(P44=0,0,($F$80-P44))</f>
        <v>0</v>
      </c>
      <c r="P44" s="7"/>
      <c r="Q44" s="7"/>
      <c r="R44" s="2"/>
      <c r="S44" s="7"/>
    </row>
    <row r="45" spans="1:19" x14ac:dyDescent="0.25">
      <c r="A45" s="1" t="s">
        <v>55</v>
      </c>
      <c r="B45" s="1" t="str">
        <f>VLOOKUP(A45,[2]LISTADHERENT!A$5:H$51,2)</f>
        <v>TIEYAM ERNEST</v>
      </c>
      <c r="C45" s="7">
        <f t="shared" si="1"/>
        <v>0</v>
      </c>
      <c r="D45" s="7"/>
      <c r="E45" s="7">
        <f t="shared" si="2"/>
        <v>0</v>
      </c>
      <c r="F45" s="7">
        <f t="shared" si="0"/>
        <v>0</v>
      </c>
      <c r="G45" s="5" t="s">
        <v>15</v>
      </c>
      <c r="H45" s="7"/>
      <c r="I45" s="7"/>
      <c r="J45" s="7"/>
      <c r="K45" s="5" t="s">
        <v>15</v>
      </c>
      <c r="L45" s="7">
        <f>TONTAOUT!I45+TONTAOUT!J45</f>
        <v>0</v>
      </c>
      <c r="M45" s="5" t="s">
        <v>15</v>
      </c>
      <c r="N45" s="5" t="s">
        <v>15</v>
      </c>
      <c r="O45" s="7">
        <f>IF(P45=0,0,($F$80-P45))</f>
        <v>0</v>
      </c>
      <c r="P45" s="7"/>
      <c r="Q45" s="7"/>
      <c r="R45" s="2"/>
      <c r="S45" s="7"/>
    </row>
    <row r="46" spans="1:19" x14ac:dyDescent="0.25">
      <c r="A46" s="1" t="s">
        <v>56</v>
      </c>
      <c r="B46" s="1" t="str">
        <f>VLOOKUP(A46,[2]LISTADHERENT!A$5:H$51,2)</f>
        <v>TUGMA PIERRE LOTI</v>
      </c>
      <c r="C46" s="7">
        <f t="shared" si="1"/>
        <v>0</v>
      </c>
      <c r="D46" s="7"/>
      <c r="E46" s="7">
        <f t="shared" si="2"/>
        <v>0</v>
      </c>
      <c r="F46" s="7">
        <f t="shared" si="0"/>
        <v>0</v>
      </c>
      <c r="G46" s="5" t="s">
        <v>15</v>
      </c>
      <c r="H46" s="7"/>
      <c r="I46" s="7"/>
      <c r="J46" s="7"/>
      <c r="K46" s="5" t="s">
        <v>15</v>
      </c>
      <c r="L46" s="7">
        <f>TONTAOUT!I46+TONTAOUT!J46</f>
        <v>0</v>
      </c>
      <c r="M46" s="5" t="s">
        <v>15</v>
      </c>
      <c r="N46" s="5" t="s">
        <v>15</v>
      </c>
      <c r="O46" s="7">
        <f>IF(P46=0,0,($F$80-P46))</f>
        <v>0</v>
      </c>
      <c r="P46" s="7"/>
      <c r="Q46" s="7"/>
      <c r="R46" s="2"/>
      <c r="S46" s="7"/>
    </row>
    <row r="47" spans="1:19" ht="18" x14ac:dyDescent="0.25">
      <c r="A47" s="1" t="s">
        <v>57</v>
      </c>
      <c r="B47" s="1" t="str">
        <f>VLOOKUP(A47,[2]LISTADHERENT!A$5:H$51,2)</f>
        <v>YEPMOU JEAN JACQUES</v>
      </c>
      <c r="C47" s="7">
        <f t="shared" si="1"/>
        <v>0</v>
      </c>
      <c r="D47" s="7"/>
      <c r="E47" s="7">
        <f t="shared" si="2"/>
        <v>0</v>
      </c>
      <c r="F47" s="7">
        <f t="shared" si="0"/>
        <v>0</v>
      </c>
      <c r="G47" s="5" t="s">
        <v>15</v>
      </c>
      <c r="H47" s="7"/>
      <c r="I47" s="7"/>
      <c r="J47" s="7"/>
      <c r="K47" s="5" t="s">
        <v>15</v>
      </c>
      <c r="L47" s="7">
        <f>TONTAOUT!I47+TONTAOUT!J47</f>
        <v>0</v>
      </c>
      <c r="M47" s="5" t="s">
        <v>15</v>
      </c>
      <c r="N47" s="5" t="s">
        <v>15</v>
      </c>
      <c r="O47" s="7">
        <f>IF(P47=0,0,($F$80-P47))</f>
        <v>0</v>
      </c>
      <c r="P47" s="7"/>
      <c r="Q47" s="7"/>
      <c r="R47" s="10"/>
      <c r="S47" s="7"/>
    </row>
    <row r="48" spans="1:19" x14ac:dyDescent="0.25">
      <c r="A48" s="1" t="s">
        <v>58</v>
      </c>
      <c r="B48" s="1" t="str">
        <f>VLOOKUP(A48,[2]LISTADHERENT!A$5:H$51,2)</f>
        <v>YOUMBI EMMANUEL</v>
      </c>
      <c r="C48" s="7">
        <f t="shared" si="1"/>
        <v>0</v>
      </c>
      <c r="D48" s="7"/>
      <c r="E48" s="7">
        <f t="shared" si="2"/>
        <v>0</v>
      </c>
      <c r="F48" s="7">
        <f t="shared" si="0"/>
        <v>0</v>
      </c>
      <c r="G48" s="5" t="s">
        <v>15</v>
      </c>
      <c r="H48" s="7"/>
      <c r="I48" s="7"/>
      <c r="J48" s="7"/>
      <c r="K48" s="5" t="s">
        <v>15</v>
      </c>
      <c r="L48" s="7">
        <f>TONTAOUT!I48+TONTAOUT!J48</f>
        <v>0</v>
      </c>
      <c r="M48" s="5" t="s">
        <v>15</v>
      </c>
      <c r="N48" s="5" t="s">
        <v>15</v>
      </c>
      <c r="O48" s="7">
        <f>IF(P48=0,0,($F$80-P48))</f>
        <v>0</v>
      </c>
      <c r="P48" s="7"/>
      <c r="Q48" s="7"/>
      <c r="R48" s="2"/>
      <c r="S48" s="7"/>
    </row>
    <row r="49" spans="1:19" x14ac:dyDescent="0.25">
      <c r="A49" s="1"/>
      <c r="B49" s="1"/>
      <c r="C49" s="1"/>
      <c r="D49" s="1"/>
      <c r="E49" s="6"/>
      <c r="F49" s="6"/>
      <c r="G49" s="6"/>
      <c r="H49" s="7"/>
      <c r="I49" s="7"/>
      <c r="J49" s="7"/>
      <c r="K49" s="7"/>
      <c r="L49" s="7"/>
      <c r="M49" s="6"/>
      <c r="N49" s="6"/>
      <c r="R49" s="2"/>
      <c r="S49" s="7"/>
    </row>
    <row r="50" spans="1:19" x14ac:dyDescent="0.25">
      <c r="A50" s="1"/>
      <c r="B50" s="1"/>
      <c r="C50" s="1"/>
      <c r="D50" s="1"/>
      <c r="E50" s="6"/>
      <c r="F50" s="6"/>
      <c r="G50" s="6"/>
      <c r="I50" s="2"/>
      <c r="J50" s="11"/>
      <c r="K50" s="11"/>
      <c r="M50" s="6"/>
      <c r="N50" s="6"/>
      <c r="R50" s="2"/>
      <c r="S50" s="7"/>
    </row>
    <row r="51" spans="1:19" x14ac:dyDescent="0.25">
      <c r="A51" s="1"/>
      <c r="B51" s="1"/>
      <c r="C51" s="1"/>
      <c r="D51" s="1"/>
      <c r="E51" s="1"/>
      <c r="F51" s="1"/>
      <c r="G51" s="1"/>
      <c r="M51" s="1"/>
      <c r="N51" s="1"/>
    </row>
    <row r="52" spans="1:19" ht="18" x14ac:dyDescent="0.25">
      <c r="A52" s="1" t="s">
        <v>59</v>
      </c>
      <c r="B52" s="1"/>
      <c r="C52" s="10">
        <f>SUM(C5:C48)</f>
        <v>0</v>
      </c>
      <c r="D52" s="10"/>
      <c r="E52" s="10">
        <f>SUM(E5:E48)</f>
        <v>0</v>
      </c>
      <c r="F52" s="10">
        <f>SUM(F5:F48)</f>
        <v>0</v>
      </c>
      <c r="G52" s="10"/>
      <c r="H52" s="10">
        <f t="shared" ref="H52:S52" si="3">SUM(H5:H48)</f>
        <v>0</v>
      </c>
      <c r="I52" s="10">
        <f t="shared" si="3"/>
        <v>0</v>
      </c>
      <c r="J52" s="10">
        <f t="shared" si="3"/>
        <v>0</v>
      </c>
      <c r="K52" s="10"/>
      <c r="L52" s="10">
        <f t="shared" si="3"/>
        <v>155000</v>
      </c>
      <c r="M52" s="10"/>
      <c r="N52" s="10"/>
      <c r="O52" s="10">
        <f t="shared" ref="O52:P52" si="4">SUM(O5:O48)</f>
        <v>0</v>
      </c>
      <c r="P52" s="10">
        <f t="shared" si="4"/>
        <v>0</v>
      </c>
      <c r="Q52" s="10">
        <f t="shared" si="3"/>
        <v>151000</v>
      </c>
      <c r="R52" s="10"/>
      <c r="S52" s="10">
        <f t="shared" si="3"/>
        <v>0</v>
      </c>
    </row>
    <row r="55" spans="1:19" ht="18" x14ac:dyDescent="0.25">
      <c r="J55" s="10"/>
      <c r="K55" s="10"/>
    </row>
    <row r="56" spans="1:19" ht="18" x14ac:dyDescent="0.25">
      <c r="I56" s="10"/>
    </row>
    <row r="57" spans="1:19" ht="18" x14ac:dyDescent="0.25">
      <c r="E57" s="4" t="s">
        <v>68</v>
      </c>
      <c r="F57" s="10">
        <f>+E52</f>
        <v>0</v>
      </c>
      <c r="J57" s="10"/>
      <c r="K57" s="10"/>
    </row>
    <row r="58" spans="1:19" ht="43.5" x14ac:dyDescent="0.25">
      <c r="E58" s="4" t="s">
        <v>106</v>
      </c>
      <c r="F58" s="10">
        <f>F52</f>
        <v>0</v>
      </c>
      <c r="G58" s="10"/>
      <c r="H58" s="10"/>
      <c r="I58" s="10"/>
      <c r="M58" s="10"/>
      <c r="N58" s="10"/>
    </row>
    <row r="59" spans="1:19" ht="18" x14ac:dyDescent="0.25">
      <c r="E59" s="4" t="s">
        <v>100</v>
      </c>
      <c r="F59" s="10">
        <f>+I52</f>
        <v>0</v>
      </c>
    </row>
    <row r="60" spans="1:19" ht="18" x14ac:dyDescent="0.25">
      <c r="E60" s="4" t="s">
        <v>107</v>
      </c>
      <c r="F60" s="10">
        <f>+J52</f>
        <v>0</v>
      </c>
    </row>
    <row r="61" spans="1:19" ht="29.25" x14ac:dyDescent="0.25">
      <c r="E61" s="4" t="s">
        <v>108</v>
      </c>
      <c r="F61" s="10">
        <f>+L52</f>
        <v>155000</v>
      </c>
    </row>
    <row r="62" spans="1:19" ht="29.25" x14ac:dyDescent="0.25">
      <c r="E62" s="4" t="s">
        <v>109</v>
      </c>
      <c r="F62" s="10">
        <f>+P52</f>
        <v>0</v>
      </c>
    </row>
    <row r="63" spans="1:19" ht="18" x14ac:dyDescent="0.25">
      <c r="E63" s="4" t="s">
        <v>77</v>
      </c>
      <c r="F63" s="10">
        <f>[4]MVTSEPT!$F$53</f>
        <v>0</v>
      </c>
    </row>
    <row r="64" spans="1:19" ht="18" x14ac:dyDescent="0.25">
      <c r="E64" s="4" t="s">
        <v>62</v>
      </c>
      <c r="F64" s="10">
        <f>+[4]MVTSEPT!$H$53</f>
        <v>0</v>
      </c>
    </row>
    <row r="65" spans="1:19" ht="29.25" x14ac:dyDescent="0.25">
      <c r="E65" s="4" t="s">
        <v>63</v>
      </c>
      <c r="F65" s="10">
        <f>+[4]MVTSEPT!$I$53</f>
        <v>0</v>
      </c>
    </row>
    <row r="66" spans="1:19" ht="29.25" x14ac:dyDescent="0.25">
      <c r="E66" s="4" t="s">
        <v>64</v>
      </c>
      <c r="F66" s="10">
        <f>+[4]MVTSEPT!$J$53</f>
        <v>0</v>
      </c>
    </row>
    <row r="67" spans="1:19" ht="18" x14ac:dyDescent="0.25">
      <c r="E67" s="4" t="s">
        <v>65</v>
      </c>
      <c r="F67" s="10">
        <f>+[4]MVTSEPT!$K$53</f>
        <v>0</v>
      </c>
    </row>
    <row r="68" spans="1:19" ht="18" x14ac:dyDescent="0.25">
      <c r="E68" s="4" t="s">
        <v>78</v>
      </c>
      <c r="F68" s="10">
        <f>+[4]MVTSEPT!$L$53</f>
        <v>0</v>
      </c>
    </row>
    <row r="69" spans="1:19" ht="18" x14ac:dyDescent="0.25">
      <c r="E69" s="4" t="s">
        <v>70</v>
      </c>
      <c r="F69" s="10">
        <f>+[4]MVTSEPT!$O$53</f>
        <v>0</v>
      </c>
    </row>
    <row r="70" spans="1:19" ht="18" x14ac:dyDescent="0.25">
      <c r="E70" s="4" t="s">
        <v>71</v>
      </c>
      <c r="F70" s="10">
        <f>+[4]MVTSEPT!$P$53</f>
        <v>0</v>
      </c>
    </row>
    <row r="71" spans="1:19" ht="29.25" x14ac:dyDescent="0.25">
      <c r="E71" s="4" t="s">
        <v>72</v>
      </c>
      <c r="F71" s="10">
        <f>+[4]MVTSEPT!$Q$53</f>
        <v>0</v>
      </c>
    </row>
    <row r="72" spans="1:19" s="2" customFormat="1" ht="18" x14ac:dyDescent="0.25">
      <c r="A72"/>
      <c r="B72"/>
      <c r="C72"/>
      <c r="D72"/>
      <c r="E72" s="4" t="s">
        <v>79</v>
      </c>
      <c r="F72" s="10">
        <f>+[4]MVTSEPT!$S$53</f>
        <v>0</v>
      </c>
      <c r="G72"/>
      <c r="I72"/>
      <c r="J72" s="3"/>
      <c r="K72" s="3"/>
      <c r="M72"/>
      <c r="N72"/>
      <c r="R72"/>
      <c r="S72"/>
    </row>
    <row r="73" spans="1:19" s="2" customFormat="1" ht="18" x14ac:dyDescent="0.25">
      <c r="A73"/>
      <c r="B73"/>
      <c r="C73"/>
      <c r="D73"/>
      <c r="E73" s="4"/>
      <c r="F73" s="10"/>
      <c r="G73"/>
      <c r="I73"/>
      <c r="J73" s="3"/>
      <c r="K73" s="3"/>
      <c r="M73"/>
      <c r="N73"/>
      <c r="R73"/>
      <c r="S73"/>
    </row>
    <row r="74" spans="1:19" s="2" customFormat="1" ht="43.5" x14ac:dyDescent="0.25">
      <c r="A74"/>
      <c r="B74"/>
      <c r="C74"/>
      <c r="D74"/>
      <c r="E74"/>
      <c r="F74"/>
      <c r="G74" s="4" t="s">
        <v>94</v>
      </c>
      <c r="H74" s="4" t="s">
        <v>93</v>
      </c>
      <c r="I74" s="4" t="s">
        <v>100</v>
      </c>
      <c r="J74" s="4" t="s">
        <v>103</v>
      </c>
      <c r="K74" s="4" t="s">
        <v>104</v>
      </c>
      <c r="M74" s="4"/>
      <c r="N74"/>
      <c r="R74"/>
      <c r="S74"/>
    </row>
    <row r="75" spans="1:19" s="2" customFormat="1" ht="18" x14ac:dyDescent="0.25">
      <c r="A75"/>
      <c r="B75"/>
      <c r="C75"/>
      <c r="D75"/>
      <c r="E75" s="10"/>
      <c r="F75" s="10" t="s">
        <v>66</v>
      </c>
      <c r="G75" s="10">
        <f>SUMIFS(H5:H48,G5:G48,"ESPECES")</f>
        <v>0</v>
      </c>
      <c r="H75" s="10">
        <f>SUMIFS(L5:L48,M5:M48,"ESPECES")</f>
        <v>0</v>
      </c>
      <c r="I75" s="10">
        <f>SUMIFS(I5:I48,K5:K48,"ESPECES")</f>
        <v>0</v>
      </c>
      <c r="J75" s="10">
        <f>SUMIFS(O5:O48,N5:N48,"ESPECES")</f>
        <v>0</v>
      </c>
      <c r="K75" s="10">
        <f>G75+H75-I75-J75</f>
        <v>0</v>
      </c>
      <c r="M75" s="10"/>
      <c r="N75" s="4"/>
      <c r="R75"/>
      <c r="S75"/>
    </row>
    <row r="76" spans="1:19" s="2" customFormat="1" ht="18" x14ac:dyDescent="0.25">
      <c r="A76"/>
      <c r="B76"/>
      <c r="C76"/>
      <c r="D76"/>
      <c r="E76" s="10"/>
      <c r="F76" s="10" t="s">
        <v>67</v>
      </c>
      <c r="G76" s="10">
        <f>SUMIFS(H5:H48,G5:G48,"BANQUE")</f>
        <v>0</v>
      </c>
      <c r="H76" s="10">
        <f>SUMIFS(L5:L48,M5:M48,"BANQUE")</f>
        <v>0</v>
      </c>
      <c r="I76" s="10">
        <f>SUMIFS(I5:I48,K5:K48,"BANQUE")</f>
        <v>0</v>
      </c>
      <c r="J76" s="10">
        <f>SUMIFS(O5:O48,N5:N48,"BANQUE")</f>
        <v>0</v>
      </c>
      <c r="K76" s="10">
        <f t="shared" ref="K76:K78" si="5">G76+H76-I76-J76</f>
        <v>0</v>
      </c>
      <c r="M76" s="10"/>
      <c r="N76" s="10"/>
      <c r="R76"/>
      <c r="S76"/>
    </row>
    <row r="77" spans="1:19" s="2" customFormat="1" ht="18" x14ac:dyDescent="0.25">
      <c r="A77"/>
      <c r="B77"/>
      <c r="C77"/>
      <c r="D77"/>
      <c r="E77" s="10"/>
      <c r="F77" s="10"/>
      <c r="G77" s="10"/>
      <c r="H77" s="10"/>
      <c r="I77" s="10"/>
      <c r="J77" s="10"/>
      <c r="K77" s="10"/>
      <c r="M77" s="10"/>
      <c r="N77" s="10"/>
      <c r="R77"/>
      <c r="S77"/>
    </row>
    <row r="78" spans="1:19" s="2" customFormat="1" ht="18" x14ac:dyDescent="0.25">
      <c r="A78"/>
      <c r="B78"/>
      <c r="C78"/>
      <c r="D78"/>
      <c r="E78"/>
      <c r="F78" s="10" t="s">
        <v>59</v>
      </c>
      <c r="G78" s="10">
        <f>G75+G76</f>
        <v>0</v>
      </c>
      <c r="H78" s="10">
        <f>H75+H76</f>
        <v>0</v>
      </c>
      <c r="I78" s="10">
        <f>I75+I76</f>
        <v>0</v>
      </c>
      <c r="J78" s="10">
        <f>J75+J76</f>
        <v>0</v>
      </c>
      <c r="K78" s="10">
        <f t="shared" si="5"/>
        <v>0</v>
      </c>
      <c r="M78" s="10"/>
      <c r="N78" s="10"/>
      <c r="R78"/>
      <c r="S78"/>
    </row>
    <row r="79" spans="1:19" s="2" customFormat="1" ht="18" x14ac:dyDescent="0.25">
      <c r="A79"/>
      <c r="B79"/>
      <c r="C79"/>
      <c r="D79"/>
      <c r="E79"/>
      <c r="F79"/>
      <c r="G79"/>
      <c r="I79"/>
      <c r="J79" s="3"/>
      <c r="K79" s="3"/>
      <c r="M79"/>
      <c r="N79" s="10"/>
      <c r="R79"/>
      <c r="S79"/>
    </row>
    <row r="80" spans="1:19" s="2" customFormat="1" ht="18" x14ac:dyDescent="0.25">
      <c r="A80"/>
      <c r="B80"/>
      <c r="C80"/>
      <c r="D80"/>
      <c r="E80" s="4" t="s">
        <v>7</v>
      </c>
      <c r="F80" s="10">
        <v>252000</v>
      </c>
      <c r="G80"/>
      <c r="I80"/>
      <c r="J80" s="3"/>
      <c r="K80" s="3"/>
      <c r="M80"/>
      <c r="N80"/>
      <c r="R80"/>
      <c r="S80"/>
    </row>
    <row r="81" spans="1:19" s="2" customFormat="1" ht="29.25" x14ac:dyDescent="0.25">
      <c r="A81"/>
      <c r="B81"/>
      <c r="C81"/>
      <c r="D81"/>
      <c r="E81" s="14" t="s">
        <v>105</v>
      </c>
      <c r="F81" s="15">
        <f>E52+L52+P52</f>
        <v>155000</v>
      </c>
      <c r="G81"/>
      <c r="I81"/>
      <c r="J81" s="3"/>
      <c r="K81" s="3"/>
      <c r="M81"/>
      <c r="N81"/>
      <c r="R81"/>
      <c r="S81"/>
    </row>
  </sheetData>
  <autoFilter ref="A4:S48">
    <sortState ref="A5:L48">
      <sortCondition ref="B5:B48"/>
    </sortState>
  </autoFilter>
  <dataValidations count="1">
    <dataValidation type="list" allowBlank="1" showInputMessage="1" showErrorMessage="1" sqref="M5:N48 G5:G48 K5:K48">
      <formula1>MODEVERSEMENTS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MODEVERSEMENT</vt:lpstr>
      <vt:lpstr>TONTAOUT</vt:lpstr>
      <vt:lpstr>TONTSEPT</vt:lpstr>
      <vt:lpstr>MODEVERSEMENTS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Antoine Djuombessy</cp:lastModifiedBy>
  <dcterms:created xsi:type="dcterms:W3CDTF">2017-07-22T10:59:38Z</dcterms:created>
  <dcterms:modified xsi:type="dcterms:W3CDTF">2017-09-05T06:38:02Z</dcterms:modified>
</cp:coreProperties>
</file>