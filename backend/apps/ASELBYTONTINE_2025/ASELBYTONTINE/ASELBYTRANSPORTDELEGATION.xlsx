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\ASELBYTONTINE\"/>
    </mc:Choice>
  </mc:AlternateContent>
  <bookViews>
    <workbookView xWindow="0" yWindow="0" windowWidth="20490" windowHeight="7095"/>
  </bookViews>
  <sheets>
    <sheet name="TONTDEC20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TONTDEC20!$A$5:$B$39</definedName>
    <definedName name="BANQUE" localSheetId="0">#REF!</definedName>
    <definedName name="BANQUE">#REF!</definedName>
    <definedName name="MODEPAID">[3]Feuil2!$A$1:$A$3</definedName>
    <definedName name="MODET25000">[4]MODEVERSEMENT!$A$1:$A$3</definedName>
    <definedName name="MODEVERSEMENT" localSheetId="0">#REF!</definedName>
    <definedName name="MODEVERSEMENT">#REF!</definedName>
    <definedName name="MODEVERSEMENTS">[2]MODEVERSEMENT!$A$1:$A$3</definedName>
    <definedName name="MODPAID" localSheetId="0">TONTDEC20!#REF!</definedName>
    <definedName name="VALMODEPAID">[5]MODEPAID!$A$1:$A$3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<sst xmlns="http://schemas.openxmlformats.org/spreadsheetml/2006/main" count="49" uniqueCount="49">
  <si>
    <t>ASSOCIATION</t>
  </si>
  <si>
    <t>ASELBY</t>
  </si>
  <si>
    <t>ANNEE</t>
  </si>
  <si>
    <t>2019/2020</t>
  </si>
  <si>
    <t xml:space="preserve">TONTINE </t>
  </si>
  <si>
    <t>MATRICULE</t>
  </si>
  <si>
    <t>NOM ET PRENOM</t>
  </si>
  <si>
    <t>AS201648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</si>
  <si>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</si>
  <si>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</si>
  <si>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</si>
  <si>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</si>
  <si>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</si>
  <si>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</si>
  <si>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</si>
  <si>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</si>
  <si>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</si>
  <si>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</si>
  <si>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AS201615</t>
  </si>
  <si>
    <t>AS201618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</si>
  <si>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</si>
  <si>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</si>
  <si>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</si>
  <si>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</si>
  <si>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</si>
  <si>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</si>
  <si>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</si>
  <si>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</si>
  <si>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</si>
  <si>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</si>
  <si>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</si>
  <si>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</si>
  <si>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</si>
  <si>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</si>
  <si>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</si>
  <si>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AS201637</t>
  </si>
  <si>
    <t>AS201638</t>
  </si>
  <si>
    <t>AS201641</t>
  </si>
  <si>
    <t>AS201644</t>
  </si>
  <si>
    <t>AS201646</t>
  </si>
  <si>
    <t>AS201647</t>
  </si>
  <si>
    <t>TOTAL</t>
  </si>
  <si>
    <t>ABSENCE LEVEE</t>
  </si>
  <si>
    <t>ABSENCE VEILLEE</t>
  </si>
  <si>
    <t>ABSENCE ENTERREMENT</t>
  </si>
  <si>
    <t>PRESENCE</t>
  </si>
  <si>
    <t>ABSENCE DANS  LE CAR</t>
  </si>
  <si>
    <t>NON MEMBRE</t>
  </si>
  <si>
    <t>ABSENCE EXCUSEE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</si>
</sst>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6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3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pane xSplit="2" ySplit="5" topLeftCell="C6" activePane="bottomRight" state="frozen"/>
      <selection activeCell="G6" sqref="G6:G39"/>
      <selection pane="topRight" activeCell="G6" sqref="G6:G39"/>
      <selection pane="bottomLeft" activeCell="G6" sqref="G6:G39"/>
      <selection pane="bottomRight" activeCell="H5" sqref="H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5.85546875" customWidth="1"/>
    <col min="5" max="5" width="15.42578125" bestFit="1" customWidth="1"/>
    <col min="6" max="6" width="17" bestFit="1" customWidth="1"/>
    <col min="7" max="7" width="22.5703125" bestFit="1" customWidth="1"/>
  </cols>
  <sheetData>
    <row r="1" spans="1:8" x14ac:dyDescent="0.25">
      <c r="A1" s="1" t="s">
        <v>0</v>
      </c>
      <c r="B1" s="1" t="s">
        <v>1</v>
      </c>
      <c r="C1" s="1"/>
      <c r="D1" s="1"/>
    </row>
    <row r="2" spans="1:8" x14ac:dyDescent="0.25">
      <c r="A2" s="1" t="s">
        <v>2</v>
      </c>
      <c r="B2" s="1" t="s">
        <v>3</v>
      </c>
      <c r="C2" s="1"/>
      <c r="D2" s="1"/>
    </row>
    <row r="3" spans="1:8" x14ac:dyDescent="0.25">
      <c r="A3" s="1" t="s">
        <v>4</v>
      </c>
      <c r="B3" s="3">
        <v>30000</v>
      </c>
      <c r="C3" s="3"/>
      <c r="D3" s="3"/>
    </row>
    <row r="4" spans="1:8" ht="18" x14ac:dyDescent="0.25">
      <c r="B4" s="4"/>
      <c r="C4" s="4"/>
      <c r="D4" s="4"/>
    </row>
    <row r="5" spans="1:8" x14ac:dyDescent="0.25">
      <c r="A5" s="1" t="s">
        <v>5</v>
      </c>
      <c r="B5" s="1" t="s">
        <v>6</v>
      </c>
      <c r="C5" t="s">
        <v>45</v>
      </c>
      <c r="D5" t="s">
        <v>46</v>
      </c>
      <c r="E5" t="s">
        <v>42</v>
      </c>
      <c r="F5" t="s">
        <v>43</v>
      </c>
      <c r="G5" t="s">
        <v>44</v>
      </c>
      <c r="H5" t="s">
        <v>48</v>
      </c>
    </row>
    <row r="6" spans="1:8" x14ac:dyDescent="0.25">
      <c r="A6" s="1" t="s">
        <v>7</v>
      </c>
      <c r="B6" s="1" t="str">
        <f>VLOOKUP(A6,[1]LISTADHERENT!A$5:H$60,3,0)</f>
        <v>ASELBY</v>
      </c>
      <c r="C6" s="5"/>
      <c r="D6" s="5"/>
      <c r="E6" s="5"/>
      <c r="F6" s="5"/>
      <c r="G6" s="5"/>
    </row>
    <row r="7" spans="1:8" x14ac:dyDescent="0.25">
      <c r="A7" s="1" t="s">
        <v>8</v>
      </c>
      <c r="B7" s="1" t="str">
        <f>VLOOKUP(A7,[1]LISTADHERENT!A$5:H$60,3,0)</f>
        <v>BOUTCHOUANG WILLIAM</v>
      </c>
      <c r="C7" s="5"/>
      <c r="D7" s="5"/>
      <c r="E7" s="5"/>
      <c r="F7" s="5"/>
      <c r="G7" s="5"/>
    </row>
    <row r="8" spans="1:8" x14ac:dyDescent="0.25">
      <c r="A8" s="1" t="s">
        <v>9</v>
      </c>
      <c r="B8" s="1" t="str">
        <f>VLOOKUP(A8,[1]LISTADHERENT!A$5:H$60,3,0)</f>
        <v xml:space="preserve">DJOMO JEAN PAUL </v>
      </c>
      <c r="C8" s="5"/>
      <c r="D8" s="5"/>
      <c r="E8" s="5"/>
      <c r="F8" s="5"/>
      <c r="G8" s="5"/>
    </row>
    <row r="9" spans="1:8" x14ac:dyDescent="0.25">
      <c r="A9" s="1" t="s">
        <v>10</v>
      </c>
      <c r="B9" s="1" t="str">
        <f>VLOOKUP(A9,[1]LISTADHERENT!A$5:H$60,3,0)</f>
        <v>DJOMOU TCHANDA</v>
      </c>
      <c r="C9" s="5"/>
      <c r="D9" s="5"/>
      <c r="E9" s="5"/>
      <c r="F9" s="5"/>
      <c r="G9" s="5"/>
    </row>
    <row r="10" spans="1:8" x14ac:dyDescent="0.25">
      <c r="A10" s="1" t="s">
        <v>11</v>
      </c>
      <c r="B10" s="1" t="str">
        <f>VLOOKUP(A10,[1]LISTADHERENT!A$5:H$60,3,0)</f>
        <v>DJOUKWE NANGUEN GUY BLAISE</v>
      </c>
      <c r="C10" s="5">
        <v>5000</v>
      </c>
      <c r="D10" s="5"/>
      <c r="E10" s="5"/>
      <c r="F10" s="5"/>
      <c r="G10" s="5"/>
    </row>
    <row r="11" spans="1:8" x14ac:dyDescent="0.25">
      <c r="A11" s="1" t="s">
        <v>12</v>
      </c>
      <c r="B11" s="1" t="str">
        <f>VLOOKUP(A11,[1]LISTADHERENT!A$5:H$60,3,0)</f>
        <v>DJUOMBESSY ANTOINE</v>
      </c>
      <c r="C11" s="5">
        <v>10000</v>
      </c>
      <c r="D11" s="5"/>
      <c r="E11" s="5"/>
      <c r="F11" s="5"/>
      <c r="G11" s="5"/>
    </row>
    <row r="12" spans="1:8" x14ac:dyDescent="0.25">
      <c r="A12" s="1" t="s">
        <v>13</v>
      </c>
      <c r="B12" s="1" t="str">
        <f>VLOOKUP(A12,[1]LISTADHERENT!A$5:H$60,3,0)</f>
        <v>DOMOU FABIEN</v>
      </c>
      <c r="C12" s="5">
        <v>10000</v>
      </c>
      <c r="D12" s="5"/>
      <c r="E12" s="5"/>
      <c r="F12" s="5"/>
      <c r="G12" s="5"/>
    </row>
    <row r="13" spans="1:8" x14ac:dyDescent="0.25">
      <c r="A13" s="1" t="s">
        <v>14</v>
      </c>
      <c r="B13" s="1" t="str">
        <f>VLOOKUP(A13,[1]LISTADHERENT!A$5:H$60,3,0)</f>
        <v>DONHOU DAVID</v>
      </c>
      <c r="C13" s="5"/>
      <c r="D13" s="5"/>
      <c r="E13" s="5"/>
      <c r="F13" s="5"/>
      <c r="G13" s="5"/>
    </row>
    <row r="14" spans="1:8" x14ac:dyDescent="0.25">
      <c r="A14" s="1" t="s">
        <v>15</v>
      </c>
      <c r="B14" s="1" t="str">
        <f>VLOOKUP(A14,[1]LISTADHERENT!A$5:H$60,3,0)</f>
        <v>FOTSO THOMAS</v>
      </c>
      <c r="C14" s="5"/>
      <c r="D14" s="5"/>
      <c r="E14" s="5"/>
      <c r="F14" s="5"/>
      <c r="G14" s="5"/>
    </row>
    <row r="15" spans="1:8" x14ac:dyDescent="0.25">
      <c r="A15" s="1" t="s">
        <v>16</v>
      </c>
      <c r="B15" s="1" t="str">
        <f>VLOOKUP(A15,[1]LISTADHERENT!A$5:H$60,3,0)</f>
        <v>HENGUE PAUL OMER</v>
      </c>
      <c r="C15" s="5"/>
      <c r="D15" s="5"/>
      <c r="E15" s="5"/>
      <c r="F15" s="5"/>
      <c r="G15" s="5"/>
    </row>
    <row r="16" spans="1:8" x14ac:dyDescent="0.25">
      <c r="A16" s="1" t="s">
        <v>17</v>
      </c>
      <c r="B16" s="1" t="str">
        <f>VLOOKUP(A16,[1]LISTADHERENT!A$5:H$60,3,0)</f>
        <v>HOTCHO BENJAMIN</v>
      </c>
      <c r="C16" s="5"/>
      <c r="D16" s="5"/>
      <c r="E16" s="5"/>
      <c r="F16" s="5"/>
      <c r="G16" s="5"/>
    </row>
    <row r="17" spans="1:7" x14ac:dyDescent="0.25">
      <c r="A17" s="1" t="s">
        <v>18</v>
      </c>
      <c r="B17" s="1" t="str">
        <f>VLOOKUP(A17,[1]LISTADHERENT!A$5:H$60,3,0)</f>
        <v>KEPSEU FRANCIS</v>
      </c>
      <c r="C17" s="5"/>
      <c r="D17" s="5"/>
      <c r="E17" s="5"/>
      <c r="F17" s="5"/>
      <c r="G17" s="5"/>
    </row>
    <row r="18" spans="1:7" x14ac:dyDescent="0.25">
      <c r="A18" s="1" t="s">
        <v>19</v>
      </c>
      <c r="B18" s="1" t="str">
        <f>VLOOKUP(A18,[1]LISTADHERENT!A$5:H$60,3,0)</f>
        <v>KOUAMO VICTOR PEGUY</v>
      </c>
      <c r="C18" s="5"/>
      <c r="D18" s="5"/>
      <c r="E18" s="5"/>
      <c r="F18" s="5"/>
      <c r="G18" s="5"/>
    </row>
    <row r="19" spans="1:7" x14ac:dyDescent="0.25">
      <c r="A19" s="1" t="s">
        <v>20</v>
      </c>
      <c r="B19" s="1" t="str">
        <f>VLOOKUP(A19,[1]LISTADHERENT!A$5:H$60,3,0)</f>
        <v>KOUAMOU MOISE</v>
      </c>
      <c r="C19" s="5"/>
      <c r="D19" s="5"/>
      <c r="E19" s="5"/>
      <c r="F19" s="5"/>
      <c r="G19" s="5"/>
    </row>
    <row r="20" spans="1:7" x14ac:dyDescent="0.25">
      <c r="A20" s="1" t="s">
        <v>21</v>
      </c>
      <c r="B20" s="1" t="str">
        <f>VLOOKUP(A20,[1]LISTADHERENT!A$5:H$60,3,0)</f>
        <v>KOUATCHO MESSACK</v>
      </c>
      <c r="C20" s="5">
        <v>10000</v>
      </c>
      <c r="D20" s="5"/>
      <c r="E20" s="5"/>
      <c r="F20" s="5"/>
      <c r="G20" s="5"/>
    </row>
    <row r="21" spans="1:7" x14ac:dyDescent="0.25">
      <c r="A21" s="1" t="s">
        <v>22</v>
      </c>
      <c r="B21" s="1" t="str">
        <f>VLOOKUP(A21,[1]LISTADHERENT!A$5:H$60,3,0)</f>
        <v>LOWE JEAN</v>
      </c>
      <c r="C21" s="5"/>
      <c r="D21" s="5"/>
      <c r="E21" s="5"/>
      <c r="F21" s="5"/>
      <c r="G21" s="5"/>
    </row>
    <row r="22" spans="1:7" x14ac:dyDescent="0.25">
      <c r="A22" s="1" t="s">
        <v>23</v>
      </c>
      <c r="B22" s="1" t="str">
        <f>VLOOKUP(A22,[1]LISTADHERENT!A$5:H$60,3,0)</f>
        <v>MBOGNING TUGMA GUY</v>
      </c>
      <c r="C22" s="5">
        <v>10000</v>
      </c>
      <c r="D22" s="5"/>
      <c r="E22" s="5"/>
      <c r="F22" s="5"/>
      <c r="G22" s="5"/>
    </row>
    <row r="23" spans="1:7" x14ac:dyDescent="0.25">
      <c r="A23" s="1" t="s">
        <v>24</v>
      </c>
      <c r="B23" s="1" t="str">
        <f>VLOOKUP(A23,[1]LISTADHERENT!A$5:H$60,3,0)</f>
        <v>NANGUEN MARTIN</v>
      </c>
      <c r="C23" s="5"/>
      <c r="D23" s="5"/>
      <c r="E23" s="5"/>
      <c r="F23" s="5"/>
      <c r="G23" s="5"/>
    </row>
    <row r="24" spans="1:7" x14ac:dyDescent="0.25">
      <c r="A24" s="1" t="s">
        <v>25</v>
      </c>
      <c r="B24" s="1" t="str">
        <f>VLOOKUP(A24,[1]LISTADHERENT!A$5:H$60,3,0)</f>
        <v>NANKAM APPOLINAIRE</v>
      </c>
      <c r="C24" s="5">
        <v>10000</v>
      </c>
      <c r="D24" s="5"/>
      <c r="E24" s="5"/>
      <c r="F24" s="5"/>
      <c r="G24" s="5"/>
    </row>
    <row r="25" spans="1:7" x14ac:dyDescent="0.25">
      <c r="A25" s="1" t="s">
        <v>26</v>
      </c>
      <c r="B25" s="1" t="str">
        <f>VLOOKUP(A25,[1]LISTADHERENT!A$5:H$60,3,0)</f>
        <v>NDJOMO ETIENNE</v>
      </c>
      <c r="C25" s="5"/>
      <c r="D25" s="5"/>
      <c r="E25" s="5"/>
      <c r="F25" s="5"/>
      <c r="G25" s="5"/>
    </row>
    <row r="26" spans="1:7" x14ac:dyDescent="0.25">
      <c r="A26" s="1" t="s">
        <v>27</v>
      </c>
      <c r="B26" s="1" t="str">
        <f>VLOOKUP(A26,[1]LISTADHERENT!A$5:H$60,3,0)</f>
        <v>NGONDIEP CLAUDE</v>
      </c>
      <c r="C26" s="5"/>
      <c r="D26" s="5"/>
      <c r="E26" s="5"/>
      <c r="F26" s="5"/>
      <c r="G26" s="5"/>
    </row>
    <row r="27" spans="1:7" x14ac:dyDescent="0.25">
      <c r="A27" s="1" t="s">
        <v>28</v>
      </c>
      <c r="B27" s="1" t="str">
        <f>VLOOKUP(A27,[1]LISTADHERENT!A$5:H$60,3,0)</f>
        <v>NGUIEMEGNI MATHIEU BLAISE</v>
      </c>
      <c r="C27" s="5"/>
      <c r="D27" s="5"/>
      <c r="E27" s="5"/>
      <c r="F27" s="5"/>
      <c r="G27" s="5"/>
    </row>
    <row r="28" spans="1:7" x14ac:dyDescent="0.25">
      <c r="A28" s="1" t="s">
        <v>29</v>
      </c>
      <c r="B28" s="1" t="str">
        <f>VLOOKUP(A28,[1]LISTADHERENT!A$5:H$60,3,0)</f>
        <v>NKAMGANG JUSTIN DEJOLIE</v>
      </c>
      <c r="C28" s="5"/>
      <c r="D28" s="5"/>
      <c r="E28" s="5"/>
      <c r="F28" s="5"/>
      <c r="G28" s="5"/>
    </row>
    <row r="29" spans="1:7" x14ac:dyDescent="0.25">
      <c r="A29" s="1" t="s">
        <v>30</v>
      </c>
      <c r="B29" s="1" t="str">
        <f>VLOOKUP(A29,[1]LISTADHERENT!A$5:H$60,3,0)</f>
        <v>NKEHE DAVID</v>
      </c>
      <c r="C29" s="5"/>
      <c r="D29" s="5"/>
      <c r="E29" s="5"/>
      <c r="F29" s="5"/>
      <c r="G29" s="5"/>
    </row>
    <row r="30" spans="1:7" x14ac:dyDescent="0.25">
      <c r="A30" s="1" t="s">
        <v>31</v>
      </c>
      <c r="B30" s="1" t="str">
        <f>VLOOKUP(A30,[1]LISTADHERENT!A$5:H$60,3,0)</f>
        <v>NKEPSEU DIEUDONNE</v>
      </c>
      <c r="C30" s="5">
        <v>10000</v>
      </c>
      <c r="D30" s="5"/>
      <c r="E30" s="5"/>
      <c r="F30" s="5"/>
      <c r="G30" s="5"/>
    </row>
    <row r="31" spans="1:7" x14ac:dyDescent="0.25">
      <c r="A31" s="1" t="s">
        <v>32</v>
      </c>
      <c r="B31" s="1" t="str">
        <f>VLOOKUP(A31,[1]LISTADHERENT!A$5:H$60,3,0)</f>
        <v>PATEGO NJOSSU GUSTAVE</v>
      </c>
      <c r="C31" s="5"/>
      <c r="D31" s="5"/>
      <c r="E31" s="5"/>
      <c r="F31" s="5"/>
      <c r="G31" s="5"/>
    </row>
    <row r="32" spans="1:7" x14ac:dyDescent="0.25">
      <c r="A32" s="1" t="s">
        <v>33</v>
      </c>
      <c r="B32" s="1" t="str">
        <f>VLOOKUP(A32,[1]LISTADHERENT!A$5:H$60,3,0)</f>
        <v>SIME BRICE</v>
      </c>
      <c r="C32" s="5"/>
      <c r="D32" s="5"/>
      <c r="E32" s="5"/>
      <c r="F32" s="5"/>
      <c r="G32" s="5"/>
    </row>
    <row r="33" spans="1:7" x14ac:dyDescent="0.25">
      <c r="A33" s="1" t="s">
        <v>34</v>
      </c>
      <c r="B33" s="1" t="str">
        <f>VLOOKUP(A33,[1]LISTADHERENT!A$5:H$60,3,0)</f>
        <v>SIMO FONGANG ERIC</v>
      </c>
      <c r="C33" s="5"/>
      <c r="D33" s="5"/>
      <c r="E33" s="5"/>
      <c r="F33" s="5"/>
      <c r="G33" s="5"/>
    </row>
    <row r="34" spans="1:7" x14ac:dyDescent="0.25">
      <c r="A34" s="1" t="s">
        <v>35</v>
      </c>
      <c r="B34" s="1" t="str">
        <f>VLOOKUP(A34,[1]LISTADHERENT!A$5:H$60,3,0)</f>
        <v>SIME MATHIEU</v>
      </c>
      <c r="C34" s="5"/>
      <c r="D34" s="5"/>
      <c r="E34" s="5"/>
      <c r="F34" s="5"/>
      <c r="G34" s="5"/>
    </row>
    <row r="35" spans="1:7" x14ac:dyDescent="0.25">
      <c r="A35" s="1" t="s">
        <v>36</v>
      </c>
      <c r="B35" s="1" t="str">
        <f>VLOOKUP(A35,[1]LISTADHERENT!A$5:H$60,3,0)</f>
        <v>SIMO PIERRE</v>
      </c>
      <c r="C35" s="5">
        <v>10000</v>
      </c>
      <c r="D35" s="5"/>
      <c r="E35" s="5"/>
      <c r="F35" s="5"/>
      <c r="G35" s="5"/>
    </row>
    <row r="36" spans="1:7" x14ac:dyDescent="0.25">
      <c r="A36" s="1" t="s">
        <v>37</v>
      </c>
      <c r="B36" s="1" t="str">
        <f>VLOOKUP(A36,[1]LISTADHERENT!A$5:H$60,3,0)</f>
        <v>TCHOUAMOU MATHIEU</v>
      </c>
      <c r="C36" s="5">
        <v>10000</v>
      </c>
      <c r="D36" s="5"/>
      <c r="E36" s="5"/>
      <c r="F36" s="5"/>
      <c r="G36" s="5"/>
    </row>
    <row r="37" spans="1:7" x14ac:dyDescent="0.25">
      <c r="A37" s="1" t="s">
        <v>38</v>
      </c>
      <c r="B37" s="1" t="str">
        <f>VLOOKUP(A37,[1]LISTADHERENT!A$5:H$60,3,0)</f>
        <v>TIEYAM ERNEST</v>
      </c>
      <c r="C37" s="5"/>
      <c r="D37" s="5"/>
      <c r="E37" s="5"/>
      <c r="F37" s="5"/>
      <c r="G37" s="5"/>
    </row>
    <row r="38" spans="1:7" x14ac:dyDescent="0.25">
      <c r="A38" s="1" t="s">
        <v>39</v>
      </c>
      <c r="B38" s="1" t="str">
        <f>VLOOKUP(A38,[1]LISTADHERENT!A$5:H$60,3,0)</f>
        <v>YEPMOU JEAN JACQUES</v>
      </c>
      <c r="C38" s="5"/>
      <c r="D38" s="5"/>
      <c r="E38" s="5"/>
      <c r="F38" s="5"/>
      <c r="G38" s="5"/>
    </row>
    <row r="39" spans="1:7" x14ac:dyDescent="0.25">
      <c r="A39" s="1" t="s">
        <v>40</v>
      </c>
      <c r="B39" s="1" t="str">
        <f>VLOOKUP(A39,[1]LISTADHERENT!A$5:H$60,3,0)</f>
        <v>YOUMBI EMMANUEL</v>
      </c>
      <c r="C39" s="5">
        <v>10000</v>
      </c>
      <c r="D39" s="5"/>
      <c r="E39" s="5"/>
      <c r="F39" s="5"/>
      <c r="G39" s="5"/>
    </row>
    <row r="40" spans="1:7" x14ac:dyDescent="0.25">
      <c r="A40" s="1"/>
      <c r="B40" s="1"/>
      <c r="C40" s="5"/>
      <c r="D40" s="5"/>
      <c r="E40" s="5"/>
      <c r="F40" s="5"/>
      <c r="G40" s="5"/>
    </row>
    <row r="41" spans="1:7" x14ac:dyDescent="0.25">
      <c r="A41" s="1"/>
      <c r="B41" s="1" t="s">
        <v>47</v>
      </c>
      <c r="C41" s="5">
        <v>57500</v>
      </c>
      <c r="D41" s="5"/>
      <c r="E41" s="5"/>
      <c r="F41" s="5"/>
      <c r="G41" s="5"/>
    </row>
    <row r="42" spans="1:7" x14ac:dyDescent="0.25">
      <c r="A42" s="1"/>
      <c r="B42" s="1"/>
      <c r="C42" s="5"/>
      <c r="D42" s="5"/>
      <c r="E42" s="5"/>
      <c r="F42" s="5"/>
      <c r="G42" s="5"/>
    </row>
    <row r="43" spans="1:7" x14ac:dyDescent="0.25">
      <c r="A43" s="1"/>
      <c r="B43" s="1"/>
      <c r="C43" s="5"/>
      <c r="D43" s="5"/>
      <c r="E43" s="5"/>
      <c r="F43" s="5"/>
      <c r="G43" s="5"/>
    </row>
    <row r="44" spans="1:7" x14ac:dyDescent="0.25">
      <c r="A44" s="1"/>
      <c r="B44" s="1"/>
      <c r="C44" s="5"/>
      <c r="D44" s="5"/>
      <c r="E44" s="5"/>
      <c r="F44" s="5"/>
      <c r="G44" s="5"/>
    </row>
    <row r="45" spans="1:7" x14ac:dyDescent="0.25">
      <c r="A45" s="1"/>
      <c r="B45" s="1"/>
      <c r="C45" s="5"/>
      <c r="D45" s="5"/>
      <c r="E45" s="5"/>
      <c r="F45" s="5"/>
      <c r="G45" s="5"/>
    </row>
    <row r="46" spans="1:7" ht="19.5" x14ac:dyDescent="0.25">
      <c r="A46" s="1" t="s">
        <v>41</v>
      </c>
      <c r="B46" s="1"/>
      <c r="C46" s="6">
        <f>SUM(C6:C42)</f>
        <v>152500</v>
      </c>
      <c r="D46" s="1"/>
    </row>
    <row r="66" spans="1:4" s="2" customFormat="1" x14ac:dyDescent="0.25">
      <c r="A66"/>
      <c r="B66"/>
      <c r="C66"/>
      <c r="D66"/>
    </row>
    <row r="67" spans="1:4" s="2" customFormat="1" x14ac:dyDescent="0.25">
      <c r="A67"/>
      <c r="B67"/>
      <c r="C67"/>
      <c r="D67"/>
    </row>
    <row r="68" spans="1:4" s="2" customFormat="1" x14ac:dyDescent="0.25">
      <c r="A68"/>
      <c r="B68"/>
      <c r="C68"/>
      <c r="D68"/>
    </row>
    <row r="69" spans="1:4" s="2" customFormat="1" x14ac:dyDescent="0.25">
      <c r="A69"/>
      <c r="B69"/>
      <c r="C69"/>
      <c r="D69"/>
    </row>
    <row r="70" spans="1:4" s="2" customFormat="1" x14ac:dyDescent="0.25">
      <c r="A70"/>
      <c r="B70"/>
      <c r="C70"/>
      <c r="D70"/>
    </row>
    <row r="71" spans="1:4" s="2" customFormat="1" x14ac:dyDescent="0.25">
      <c r="A71"/>
      <c r="B71"/>
      <c r="C71"/>
      <c r="D71"/>
    </row>
    <row r="72" spans="1:4" s="2" customFormat="1" x14ac:dyDescent="0.25">
      <c r="A72"/>
      <c r="B72"/>
      <c r="C72"/>
      <c r="D72"/>
    </row>
    <row r="73" spans="1:4" s="2" customFormat="1" x14ac:dyDescent="0.25">
      <c r="A73"/>
      <c r="B73"/>
      <c r="C73"/>
      <c r="D73"/>
    </row>
    <row r="74" spans="1:4" s="2" customFormat="1" x14ac:dyDescent="0.25">
      <c r="A74"/>
      <c r="B74"/>
      <c r="C74"/>
      <c r="D74"/>
    </row>
    <row r="75" spans="1:4" s="2" customFormat="1" x14ac:dyDescent="0.25">
      <c r="A75"/>
      <c r="B75"/>
      <c r="C75"/>
      <c r="D75"/>
    </row>
    <row r="76" spans="1:4" s="2" customFormat="1" x14ac:dyDescent="0.25">
      <c r="A76"/>
      <c r="B76"/>
      <c r="C76"/>
      <c r="D76"/>
    </row>
  </sheetData>
  <autoFilter ref="A5:B39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TONTDEC20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2020-10-18T11:43:36Z</dcterms:created>
  <dcterms:modified xsi:type="dcterms:W3CDTF">2020-10-18T12:01:46Z</dcterms:modified>
</cp:coreProperties>
</file>