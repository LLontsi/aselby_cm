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9CB36069-7493-4D6F-983F-D1680671D115}" xr6:coauthVersionLast="37" xr6:coauthVersionMax="37" xr10:uidLastSave="{00000000-0000-0000-0000-000000000000}"/>
  <bookViews>
    <workbookView xWindow="0" yWindow="0" windowWidth="20490" windowHeight="7100" firstSheet="2" activeTab="4" xr2:uid="{00000000-000D-0000-FFFF-FFFF00000000}"/>
  </bookViews>
  <sheets>
    <sheet name="MODEVERSEMENT" sheetId="2" r:id="rId1"/>
    <sheet name="HISTOMVTDEPENSE" sheetId="14" r:id="rId2"/>
    <sheet name="COMPTE BANQUE" sheetId="13" r:id="rId3"/>
    <sheet name="HISTODEC22" sheetId="44" r:id="rId4"/>
    <sheet name="HISTOJANV25" sheetId="59" r:id="rId5"/>
    <sheet name="HISTOJANV24" sheetId="45" r:id="rId6"/>
    <sheet name="HISTOFEV24" sheetId="46" r:id="rId7"/>
    <sheet name="HISTOMARS24" sheetId="47" r:id="rId8"/>
    <sheet name="HISTOAVRIL24" sheetId="48" r:id="rId9"/>
    <sheet name="HISTOMAI24" sheetId="49" r:id="rId10"/>
    <sheet name="HISTOJUIN24" sheetId="50" r:id="rId11"/>
    <sheet name="HISTOJUIL24" sheetId="51" r:id="rId12"/>
    <sheet name="HISTOAOUT24" sheetId="52" r:id="rId13"/>
    <sheet name="HISTOSEPT24" sheetId="53" r:id="rId14"/>
    <sheet name="HISTOOCT24" sheetId="54" r:id="rId15"/>
    <sheet name="HISTONOV24" sheetId="55" r:id="rId16"/>
    <sheet name="HISTODEC24" sheetId="56" r:id="rId17"/>
    <sheet name="HISTORESUME24" sheetId="57" r:id="rId18"/>
    <sheet name="HISTODEC24BB" sheetId="58" r:id="rId19"/>
    <sheet name="HISTOJANV23" sheetId="31" r:id="rId20"/>
    <sheet name="HISTOFEV23" sheetId="32" r:id="rId21"/>
    <sheet name="HISTOMARS23" sheetId="33" r:id="rId22"/>
    <sheet name="HISTOAVRIL23" sheetId="34" r:id="rId23"/>
    <sheet name="HISTOMAI23" sheetId="37" r:id="rId24"/>
    <sheet name="HISTOJUIN23" sheetId="38" r:id="rId25"/>
    <sheet name="HISTOJUIL23" sheetId="39" r:id="rId26"/>
    <sheet name="HISTOAOUT23" sheetId="40" r:id="rId27"/>
    <sheet name="HISTOSEPT23" sheetId="35" r:id="rId28"/>
    <sheet name="HISTOOCT23" sheetId="36" r:id="rId29"/>
    <sheet name="HISTONOV23" sheetId="41" r:id="rId30"/>
    <sheet name="HISTODEC23" sheetId="42" r:id="rId31"/>
    <sheet name="HISTORESUME23" sheetId="43" r:id="rId32"/>
    <sheet name="DETAILSORTIE" sheetId="29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xlnm._FilterDatabase" localSheetId="26" hidden="1">HISTOAOUT23!$A$5:$AF$36</definedName>
    <definedName name="_xlnm._FilterDatabase" localSheetId="12" hidden="1">HISTOAOUT24!$A$5:$AF$38</definedName>
    <definedName name="_xlnm._FilterDatabase" localSheetId="22" hidden="1">HISTOAVRIL23!$A$5:$AF$36</definedName>
    <definedName name="_xlnm._FilterDatabase" localSheetId="8" hidden="1">HISTOAVRIL24!$A$5:$AF$38</definedName>
    <definedName name="_xlnm._FilterDatabase" localSheetId="3" hidden="1">HISTODEC22!$A$5:$AF$36</definedName>
    <definedName name="_xlnm._FilterDatabase" localSheetId="30" hidden="1">HISTODEC23!$A$5:$AF$36</definedName>
    <definedName name="_xlnm._FilterDatabase" localSheetId="16" hidden="1">HISTODEC24!$A$5:$AF$38</definedName>
    <definedName name="_xlnm._FilterDatabase" localSheetId="18" hidden="1">HISTODEC24BB!$A$5:$AF$38</definedName>
    <definedName name="_xlnm._FilterDatabase" localSheetId="20" hidden="1">HISTOFEV23!$A$5:$AF$36</definedName>
    <definedName name="_xlnm._FilterDatabase" localSheetId="6" hidden="1">HISTOFEV24!$A$5:$AF$38</definedName>
    <definedName name="_xlnm._FilterDatabase" localSheetId="19" hidden="1">HISTOJANV23!$A$5:$AF$36</definedName>
    <definedName name="_xlnm._FilterDatabase" localSheetId="5" hidden="1">HISTOJANV24!$A$5:$AF$38</definedName>
    <definedName name="_xlnm._FilterDatabase" localSheetId="4" hidden="1">HISTOJANV25!$A$5:$AG$40</definedName>
    <definedName name="_xlnm._FilterDatabase" localSheetId="25" hidden="1">HISTOJUIL23!$A$5:$AF$36</definedName>
    <definedName name="_xlnm._FilterDatabase" localSheetId="11" hidden="1">HISTOJUIL24!$A$5:$AF$38</definedName>
    <definedName name="_xlnm._FilterDatabase" localSheetId="24" hidden="1">HISTOJUIN23!$A$5:$AF$36</definedName>
    <definedName name="_xlnm._FilterDatabase" localSheetId="10" hidden="1">HISTOJUIN24!$A$5:$AF$38</definedName>
    <definedName name="_xlnm._FilterDatabase" localSheetId="23" hidden="1">HISTOMAI23!$A$5:$AF$36</definedName>
    <definedName name="_xlnm._FilterDatabase" localSheetId="9" hidden="1">HISTOMAI24!$A$5:$AF$38</definedName>
    <definedName name="_xlnm._FilterDatabase" localSheetId="21" hidden="1">HISTOMARS23!$A$5:$AF$36</definedName>
    <definedName name="_xlnm._FilterDatabase" localSheetId="7" hidden="1">HISTOMARS24!$A$5:$AF$38</definedName>
    <definedName name="_xlnm._FilterDatabase" localSheetId="1" hidden="1">HISTOMVTDEPENSE!$A$5:$AG$37</definedName>
    <definedName name="_xlnm._FilterDatabase" localSheetId="29" hidden="1">HISTONOV23!$A$5:$AF$36</definedName>
    <definedName name="_xlnm._FilterDatabase" localSheetId="15" hidden="1">HISTONOV24!$A$5:$AF$38</definedName>
    <definedName name="_xlnm._FilterDatabase" localSheetId="28" hidden="1">HISTOOCT23!$A$5:$AF$36</definedName>
    <definedName name="_xlnm._FilterDatabase" localSheetId="14" hidden="1">HISTOOCT24!$A$5:$AF$38</definedName>
    <definedName name="_xlnm._FilterDatabase" localSheetId="31" hidden="1">HISTORESUME23!$A$5:$AF$36</definedName>
    <definedName name="_xlnm._FilterDatabase" localSheetId="17" hidden="1">HISTORESUME24!$A$5:$AF$38</definedName>
    <definedName name="_xlnm._FilterDatabase" localSheetId="27" hidden="1">HISTOSEPT23!$A$5:$AF$36</definedName>
    <definedName name="_xlnm._FilterDatabase" localSheetId="13" hidden="1">HISTOSEPT24!$A$5:$AF$38</definedName>
    <definedName name="BANQUE" localSheetId="2">#REF!</definedName>
    <definedName name="BANQUE" localSheetId="26">#REF!</definedName>
    <definedName name="BANQUE" localSheetId="12">#REF!</definedName>
    <definedName name="BANQUE" localSheetId="22">#REF!</definedName>
    <definedName name="BANQUE" localSheetId="8">#REF!</definedName>
    <definedName name="BANQUE" localSheetId="3">#REF!</definedName>
    <definedName name="BANQUE" localSheetId="30">#REF!</definedName>
    <definedName name="BANQUE" localSheetId="16">#REF!</definedName>
    <definedName name="BANQUE" localSheetId="18">#REF!</definedName>
    <definedName name="BANQUE" localSheetId="20">#REF!</definedName>
    <definedName name="BANQUE" localSheetId="6">#REF!</definedName>
    <definedName name="BANQUE" localSheetId="19">#REF!</definedName>
    <definedName name="BANQUE" localSheetId="5">#REF!</definedName>
    <definedName name="BANQUE" localSheetId="4">#REF!</definedName>
    <definedName name="BANQUE" localSheetId="25">#REF!</definedName>
    <definedName name="BANQUE" localSheetId="11">#REF!</definedName>
    <definedName name="BANQUE" localSheetId="24">#REF!</definedName>
    <definedName name="BANQUE" localSheetId="10">#REF!</definedName>
    <definedName name="BANQUE" localSheetId="23">#REF!</definedName>
    <definedName name="BANQUE" localSheetId="9">#REF!</definedName>
    <definedName name="BANQUE" localSheetId="21">#REF!</definedName>
    <definedName name="BANQUE" localSheetId="7">#REF!</definedName>
    <definedName name="BANQUE" localSheetId="1">#REF!</definedName>
    <definedName name="BANQUE" localSheetId="29">#REF!</definedName>
    <definedName name="BANQUE" localSheetId="15">#REF!</definedName>
    <definedName name="BANQUE" localSheetId="28">#REF!</definedName>
    <definedName name="BANQUE" localSheetId="14">#REF!</definedName>
    <definedName name="BANQUE" localSheetId="31">#REF!</definedName>
    <definedName name="BANQUE" localSheetId="17">#REF!</definedName>
    <definedName name="BANQUE" localSheetId="27">#REF!</definedName>
    <definedName name="BANQUE" localSheetId="13">#REF!</definedName>
    <definedName name="BANQUE" localSheetId="0">#REF!</definedName>
    <definedName name="BANQUE">#REF!</definedName>
    <definedName name="GG" localSheetId="4">#REF!</definedName>
    <definedName name="GG">#REF!</definedName>
    <definedName name="MODEPAID">[1]Feuil2!$A$1:$A$3</definedName>
    <definedName name="MODET25000">[2]MODEVERSEMENT!$A$1:$A$3</definedName>
    <definedName name="MODEVERSEMENT" localSheetId="2">#REF!</definedName>
    <definedName name="MODEVERSEMENT" localSheetId="26">#REF!</definedName>
    <definedName name="MODEVERSEMENT" localSheetId="12">#REF!</definedName>
    <definedName name="MODEVERSEMENT" localSheetId="22">#REF!</definedName>
    <definedName name="MODEVERSEMENT" localSheetId="8">#REF!</definedName>
    <definedName name="MODEVERSEMENT" localSheetId="3">#REF!</definedName>
    <definedName name="MODEVERSEMENT" localSheetId="30">#REF!</definedName>
    <definedName name="MODEVERSEMENT" localSheetId="16">#REF!</definedName>
    <definedName name="MODEVERSEMENT" localSheetId="18">#REF!</definedName>
    <definedName name="MODEVERSEMENT" localSheetId="20">#REF!</definedName>
    <definedName name="MODEVERSEMENT" localSheetId="6">#REF!</definedName>
    <definedName name="MODEVERSEMENT" localSheetId="19">#REF!</definedName>
    <definedName name="MODEVERSEMENT" localSheetId="5">#REF!</definedName>
    <definedName name="MODEVERSEMENT" localSheetId="4">#REF!</definedName>
    <definedName name="MODEVERSEMENT" localSheetId="25">#REF!</definedName>
    <definedName name="MODEVERSEMENT" localSheetId="11">#REF!</definedName>
    <definedName name="MODEVERSEMENT" localSheetId="24">#REF!</definedName>
    <definedName name="MODEVERSEMENT" localSheetId="10">#REF!</definedName>
    <definedName name="MODEVERSEMENT" localSheetId="23">#REF!</definedName>
    <definedName name="MODEVERSEMENT" localSheetId="9">#REF!</definedName>
    <definedName name="MODEVERSEMENT" localSheetId="21">#REF!</definedName>
    <definedName name="MODEVERSEMENT" localSheetId="7">#REF!</definedName>
    <definedName name="MODEVERSEMENT" localSheetId="1">#REF!</definedName>
    <definedName name="MODEVERSEMENT" localSheetId="29">#REF!</definedName>
    <definedName name="MODEVERSEMENT" localSheetId="15">#REF!</definedName>
    <definedName name="MODEVERSEMENT" localSheetId="28">#REF!</definedName>
    <definedName name="MODEVERSEMENT" localSheetId="14">#REF!</definedName>
    <definedName name="MODEVERSEMENT" localSheetId="31">#REF!</definedName>
    <definedName name="MODEVERSEMENT" localSheetId="17">#REF!</definedName>
    <definedName name="MODEVERSEMENT" localSheetId="27">#REF!</definedName>
    <definedName name="MODEVERSEMENT" localSheetId="13">#REF!</definedName>
    <definedName name="MODEVERSEMENT" localSheetId="0">#REF!</definedName>
    <definedName name="MODEVERSEMENT">#REF!</definedName>
    <definedName name="MODEVERSEMENTS" localSheetId="2">[3]MODEVERSEMENT!$A$1:$A$3</definedName>
    <definedName name="MODEVERSEMENTS" localSheetId="26">[3]MODEVERSEMENT!$A$1:$A$3</definedName>
    <definedName name="MODEVERSEMENTS" localSheetId="12">[3]MODEVERSEMENT!$A$1:$A$3</definedName>
    <definedName name="MODEVERSEMENTS" localSheetId="22">[3]MODEVERSEMENT!$A$1:$A$3</definedName>
    <definedName name="MODEVERSEMENTS" localSheetId="8">[3]MODEVERSEMENT!$A$1:$A$3</definedName>
    <definedName name="MODEVERSEMENTS" localSheetId="3">[3]MODEVERSEMENT!$A$1:$A$3</definedName>
    <definedName name="MODEVERSEMENTS" localSheetId="30">[3]MODEVERSEMENT!$A$1:$A$3</definedName>
    <definedName name="MODEVERSEMENTS" localSheetId="16">[3]MODEVERSEMENT!$A$1:$A$3</definedName>
    <definedName name="MODEVERSEMENTS" localSheetId="18">[3]MODEVERSEMENT!$A$1:$A$3</definedName>
    <definedName name="MODEVERSEMENTS" localSheetId="20">[3]MODEVERSEMENT!$A$1:$A$3</definedName>
    <definedName name="MODEVERSEMENTS" localSheetId="6">[3]MODEVERSEMENT!$A$1:$A$3</definedName>
    <definedName name="MODEVERSEMENTS" localSheetId="19">[3]MODEVERSEMENT!$A$1:$A$3</definedName>
    <definedName name="MODEVERSEMENTS" localSheetId="5">[3]MODEVERSEMENT!$A$1:$A$3</definedName>
    <definedName name="MODEVERSEMENTS" localSheetId="4">[3]MODEVERSEMENT!$A$1:$A$3</definedName>
    <definedName name="MODEVERSEMENTS" localSheetId="25">[3]MODEVERSEMENT!$A$1:$A$3</definedName>
    <definedName name="MODEVERSEMENTS" localSheetId="11">[3]MODEVERSEMENT!$A$1:$A$3</definedName>
    <definedName name="MODEVERSEMENTS" localSheetId="24">[3]MODEVERSEMENT!$A$1:$A$3</definedName>
    <definedName name="MODEVERSEMENTS" localSheetId="10">[3]MODEVERSEMENT!$A$1:$A$3</definedName>
    <definedName name="MODEVERSEMENTS" localSheetId="23">[3]MODEVERSEMENT!$A$1:$A$3</definedName>
    <definedName name="MODEVERSEMENTS" localSheetId="9">[3]MODEVERSEMENT!$A$1:$A$3</definedName>
    <definedName name="MODEVERSEMENTS" localSheetId="21">[3]MODEVERSEMENT!$A$1:$A$3</definedName>
    <definedName name="MODEVERSEMENTS" localSheetId="7">[3]MODEVERSEMENT!$A$1:$A$3</definedName>
    <definedName name="MODEVERSEMENTS" localSheetId="1">[3]MODEVERSEMENT!$A$1:$A$3</definedName>
    <definedName name="MODEVERSEMENTS" localSheetId="29">[3]MODEVERSEMENT!$A$1:$A$3</definedName>
    <definedName name="MODEVERSEMENTS" localSheetId="15">[3]MODEVERSEMENT!$A$1:$A$3</definedName>
    <definedName name="MODEVERSEMENTS" localSheetId="28">[3]MODEVERSEMENT!$A$1:$A$3</definedName>
    <definedName name="MODEVERSEMENTS" localSheetId="14">[3]MODEVERSEMENT!$A$1:$A$3</definedName>
    <definedName name="MODEVERSEMENTS" localSheetId="31">[3]MODEVERSEMENT!$A$1:$A$3</definedName>
    <definedName name="MODEVERSEMENTS" localSheetId="17">[3]MODEVERSEMENT!$A$1:$A$3</definedName>
    <definedName name="MODEVERSEMENTS" localSheetId="27">[3]MODEVERSEMENT!$A$1:$A$3</definedName>
    <definedName name="MODEVERSEMENTS" localSheetId="13">[3]MODEVERSEMENT!$A$1:$A$3</definedName>
    <definedName name="MODEVERSEMENTS">MODEVERSEMENT!$A$1:$A$3</definedName>
    <definedName name="VALMODEPAID">[4]MODEPAID!$A$1:$A$3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59" l="1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F37" i="59"/>
  <c r="F38" i="59"/>
  <c r="F39" i="59"/>
  <c r="F40" i="59"/>
  <c r="F6" i="59"/>
  <c r="E7" i="59" l="1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Q31" i="59"/>
  <c r="R31" i="59"/>
  <c r="S31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L31" i="59" s="1"/>
  <c r="D32" i="59"/>
  <c r="D33" i="59"/>
  <c r="D34" i="59"/>
  <c r="D35" i="59"/>
  <c r="D36" i="59"/>
  <c r="D37" i="59"/>
  <c r="D38" i="59"/>
  <c r="D39" i="59"/>
  <c r="D40" i="59"/>
  <c r="D6" i="59"/>
  <c r="E6" i="59"/>
  <c r="Q36" i="59"/>
  <c r="R36" i="59"/>
  <c r="S36" i="59"/>
  <c r="AX36" i="59"/>
  <c r="AY36" i="59"/>
  <c r="AZ36" i="59"/>
  <c r="B36" i="59"/>
  <c r="B31" i="59"/>
  <c r="I31" i="59" l="1"/>
  <c r="H31" i="59" s="1"/>
  <c r="V31" i="59" s="1"/>
  <c r="I36" i="59"/>
  <c r="BA36" i="59"/>
  <c r="P36" i="59"/>
  <c r="N36" i="59"/>
  <c r="L36" i="59"/>
  <c r="AS36" i="59" l="1"/>
  <c r="AT36" i="59"/>
  <c r="AR36" i="59"/>
  <c r="V36" i="59"/>
  <c r="BR47" i="59" l="1"/>
  <c r="BR42" i="59"/>
  <c r="BN42" i="59"/>
  <c r="BM42" i="59"/>
  <c r="BL42" i="59"/>
  <c r="BF42" i="59"/>
  <c r="BD42" i="59"/>
  <c r="BC42" i="59"/>
  <c r="BB42" i="59"/>
  <c r="H49" i="59" s="1"/>
  <c r="AW42" i="59"/>
  <c r="AV42" i="59"/>
  <c r="AU42" i="59"/>
  <c r="AQ42" i="59"/>
  <c r="AP42" i="59"/>
  <c r="AO42" i="59"/>
  <c r="AN42" i="59"/>
  <c r="AM42" i="59"/>
  <c r="AL42" i="59"/>
  <c r="AJ42" i="59"/>
  <c r="AH42" i="59"/>
  <c r="AG42" i="59"/>
  <c r="AF42" i="59"/>
  <c r="AE42" i="59"/>
  <c r="AD42" i="59"/>
  <c r="AB42" i="59"/>
  <c r="AA42" i="59"/>
  <c r="Z42" i="59"/>
  <c r="Y42" i="59"/>
  <c r="X42" i="59"/>
  <c r="W42" i="59"/>
  <c r="T42" i="59"/>
  <c r="O42" i="59"/>
  <c r="M42" i="59"/>
  <c r="K42" i="59"/>
  <c r="J42" i="59"/>
  <c r="BG40" i="59"/>
  <c r="AZ40" i="59"/>
  <c r="AY40" i="59"/>
  <c r="AX40" i="59"/>
  <c r="S40" i="59"/>
  <c r="R40" i="59"/>
  <c r="Q40" i="59"/>
  <c r="P40" i="59"/>
  <c r="B40" i="59"/>
  <c r="BG39" i="59"/>
  <c r="AZ39" i="59"/>
  <c r="AY39" i="59"/>
  <c r="AX39" i="59"/>
  <c r="S39" i="59"/>
  <c r="R39" i="59"/>
  <c r="Q39" i="59"/>
  <c r="P39" i="59"/>
  <c r="B39" i="59"/>
  <c r="BG38" i="59"/>
  <c r="AZ38" i="59"/>
  <c r="AY38" i="59"/>
  <c r="AX38" i="59"/>
  <c r="S38" i="59"/>
  <c r="R38" i="59"/>
  <c r="Q38" i="59"/>
  <c r="N38" i="59"/>
  <c r="B38" i="59"/>
  <c r="BG37" i="59"/>
  <c r="AZ37" i="59"/>
  <c r="AY37" i="59"/>
  <c r="AX37" i="59"/>
  <c r="S37" i="59"/>
  <c r="R37" i="59"/>
  <c r="Q37" i="59"/>
  <c r="L37" i="59"/>
  <c r="B37" i="59"/>
  <c r="BG35" i="59"/>
  <c r="AZ35" i="59"/>
  <c r="AY35" i="59"/>
  <c r="AX35" i="59"/>
  <c r="S35" i="59"/>
  <c r="R35" i="59"/>
  <c r="Q35" i="59"/>
  <c r="L35" i="59"/>
  <c r="B35" i="59"/>
  <c r="BR34" i="59"/>
  <c r="BR35" i="59" s="1"/>
  <c r="BG34" i="59"/>
  <c r="AZ34" i="59"/>
  <c r="AY34" i="59"/>
  <c r="AX34" i="59"/>
  <c r="S34" i="59"/>
  <c r="R34" i="59"/>
  <c r="Q34" i="59"/>
  <c r="L34" i="59"/>
  <c r="B34" i="59"/>
  <c r="BG33" i="59"/>
  <c r="AZ33" i="59"/>
  <c r="AY33" i="59"/>
  <c r="AX33" i="59"/>
  <c r="S33" i="59"/>
  <c r="R33" i="59"/>
  <c r="Q33" i="59"/>
  <c r="I33" i="59"/>
  <c r="B33" i="59"/>
  <c r="BG32" i="59"/>
  <c r="AZ32" i="59"/>
  <c r="AY32" i="59"/>
  <c r="AX32" i="59"/>
  <c r="S32" i="59"/>
  <c r="R32" i="59"/>
  <c r="Q32" i="59"/>
  <c r="L32" i="59"/>
  <c r="B32" i="59"/>
  <c r="BG30" i="59"/>
  <c r="AZ30" i="59"/>
  <c r="AY30" i="59"/>
  <c r="AX30" i="59"/>
  <c r="S30" i="59"/>
  <c r="R30" i="59"/>
  <c r="Q30" i="59"/>
  <c r="P30" i="59"/>
  <c r="B30" i="59"/>
  <c r="BG29" i="59"/>
  <c r="AZ29" i="59"/>
  <c r="AY29" i="59"/>
  <c r="AX29" i="59"/>
  <c r="S29" i="59"/>
  <c r="R29" i="59"/>
  <c r="Q29" i="59"/>
  <c r="P29" i="59"/>
  <c r="B29" i="59"/>
  <c r="BR28" i="59"/>
  <c r="BG28" i="59"/>
  <c r="AZ28" i="59"/>
  <c r="AY28" i="59"/>
  <c r="AX28" i="59"/>
  <c r="S28" i="59"/>
  <c r="R28" i="59"/>
  <c r="Q28" i="59"/>
  <c r="P28" i="59"/>
  <c r="B28" i="59"/>
  <c r="BG27" i="59"/>
  <c r="AZ27" i="59"/>
  <c r="AY27" i="59"/>
  <c r="AX27" i="59"/>
  <c r="S27" i="59"/>
  <c r="R27" i="59"/>
  <c r="Q27" i="59"/>
  <c r="P27" i="59"/>
  <c r="B27" i="59"/>
  <c r="BG26" i="59"/>
  <c r="AZ26" i="59"/>
  <c r="AY26" i="59"/>
  <c r="AX26" i="59"/>
  <c r="S26" i="59"/>
  <c r="R26" i="59"/>
  <c r="Q26" i="59"/>
  <c r="P26" i="59"/>
  <c r="B26" i="59"/>
  <c r="BG25" i="59"/>
  <c r="AZ25" i="59"/>
  <c r="AY25" i="59"/>
  <c r="AX25" i="59"/>
  <c r="S25" i="59"/>
  <c r="R25" i="59"/>
  <c r="Q25" i="59"/>
  <c r="N25" i="59"/>
  <c r="B25" i="59"/>
  <c r="BG24" i="59"/>
  <c r="AZ24" i="59"/>
  <c r="AY24" i="59"/>
  <c r="AX24" i="59"/>
  <c r="S24" i="59"/>
  <c r="R24" i="59"/>
  <c r="Q24" i="59"/>
  <c r="L24" i="59"/>
  <c r="B24" i="59"/>
  <c r="BG23" i="59"/>
  <c r="AZ23" i="59"/>
  <c r="AY23" i="59"/>
  <c r="AX23" i="59"/>
  <c r="S23" i="59"/>
  <c r="R23" i="59"/>
  <c r="Q23" i="59"/>
  <c r="I23" i="59"/>
  <c r="B23" i="59"/>
  <c r="BR22" i="59"/>
  <c r="BO6" i="59" s="1"/>
  <c r="BG22" i="59"/>
  <c r="AZ22" i="59"/>
  <c r="AY22" i="59"/>
  <c r="AX22" i="59"/>
  <c r="S22" i="59"/>
  <c r="R22" i="59"/>
  <c r="Q22" i="59"/>
  <c r="I22" i="59"/>
  <c r="B22" i="59"/>
  <c r="BG21" i="59"/>
  <c r="AZ21" i="59"/>
  <c r="AY21" i="59"/>
  <c r="AX21" i="59"/>
  <c r="S21" i="59"/>
  <c r="R21" i="59"/>
  <c r="Q21" i="59"/>
  <c r="P21" i="59"/>
  <c r="B21" i="59"/>
  <c r="BG20" i="59"/>
  <c r="AZ20" i="59"/>
  <c r="AY20" i="59"/>
  <c r="AX20" i="59"/>
  <c r="S20" i="59"/>
  <c r="R20" i="59"/>
  <c r="Q20" i="59"/>
  <c r="N20" i="59"/>
  <c r="P20" i="59"/>
  <c r="B20" i="59"/>
  <c r="BG19" i="59"/>
  <c r="AZ19" i="59"/>
  <c r="AY19" i="59"/>
  <c r="AX19" i="59"/>
  <c r="S19" i="59"/>
  <c r="R19" i="59"/>
  <c r="Q19" i="59"/>
  <c r="N19" i="59"/>
  <c r="B19" i="59"/>
  <c r="BG18" i="59"/>
  <c r="AZ18" i="59"/>
  <c r="AY18" i="59"/>
  <c r="AX18" i="59"/>
  <c r="S18" i="59"/>
  <c r="R18" i="59"/>
  <c r="Q18" i="59"/>
  <c r="P18" i="59"/>
  <c r="B18" i="59"/>
  <c r="BG17" i="59"/>
  <c r="AZ17" i="59"/>
  <c r="AY17" i="59"/>
  <c r="AX17" i="59"/>
  <c r="S17" i="59"/>
  <c r="R17" i="59"/>
  <c r="Q17" i="59"/>
  <c r="P17" i="59"/>
  <c r="B17" i="59"/>
  <c r="BR16" i="59"/>
  <c r="BG16" i="59"/>
  <c r="AZ16" i="59"/>
  <c r="AY16" i="59"/>
  <c r="AX16" i="59"/>
  <c r="S16" i="59"/>
  <c r="R16" i="59"/>
  <c r="Q16" i="59"/>
  <c r="P16" i="59"/>
  <c r="B16" i="59"/>
  <c r="BG15" i="59"/>
  <c r="AZ15" i="59"/>
  <c r="AY15" i="59"/>
  <c r="AX15" i="59"/>
  <c r="S15" i="59"/>
  <c r="R15" i="59"/>
  <c r="Q15" i="59"/>
  <c r="N15" i="59"/>
  <c r="B15" i="59"/>
  <c r="BG14" i="59"/>
  <c r="AZ14" i="59"/>
  <c r="AY14" i="59"/>
  <c r="AX14" i="59"/>
  <c r="S14" i="59"/>
  <c r="R14" i="59"/>
  <c r="Q14" i="59"/>
  <c r="B14" i="59"/>
  <c r="BG13" i="59"/>
  <c r="AZ13" i="59"/>
  <c r="AY13" i="59"/>
  <c r="AX13" i="59"/>
  <c r="S13" i="59"/>
  <c r="R13" i="59"/>
  <c r="Q13" i="59"/>
  <c r="I13" i="59"/>
  <c r="B13" i="59"/>
  <c r="BG12" i="59"/>
  <c r="AZ12" i="59"/>
  <c r="AY12" i="59"/>
  <c r="AX12" i="59"/>
  <c r="S12" i="59"/>
  <c r="R12" i="59"/>
  <c r="Q12" i="59"/>
  <c r="P12" i="59"/>
  <c r="L12" i="59"/>
  <c r="B12" i="59"/>
  <c r="BG11" i="59"/>
  <c r="AZ11" i="59"/>
  <c r="AX11" i="59"/>
  <c r="AY11" i="59"/>
  <c r="S11" i="59"/>
  <c r="R11" i="59"/>
  <c r="Q11" i="59"/>
  <c r="P11" i="59"/>
  <c r="B11" i="59"/>
  <c r="BG10" i="59"/>
  <c r="AZ10" i="59"/>
  <c r="AX10" i="59"/>
  <c r="AY10" i="59"/>
  <c r="S10" i="59"/>
  <c r="R10" i="59"/>
  <c r="Q10" i="59"/>
  <c r="P10" i="59"/>
  <c r="B10" i="59"/>
  <c r="BG9" i="59"/>
  <c r="AZ9" i="59"/>
  <c r="AY9" i="59"/>
  <c r="AX9" i="59"/>
  <c r="S9" i="59"/>
  <c r="R9" i="59"/>
  <c r="Q9" i="59"/>
  <c r="P9" i="59"/>
  <c r="B9" i="59"/>
  <c r="BG8" i="59"/>
  <c r="AZ8" i="59"/>
  <c r="AY8" i="59"/>
  <c r="AX8" i="59"/>
  <c r="S8" i="59"/>
  <c r="R8" i="59"/>
  <c r="Q8" i="59"/>
  <c r="P8" i="59"/>
  <c r="B8" i="59"/>
  <c r="BG7" i="59"/>
  <c r="AZ7" i="59"/>
  <c r="AY7" i="59"/>
  <c r="AX7" i="59"/>
  <c r="S7" i="59"/>
  <c r="R7" i="59"/>
  <c r="Q7" i="59"/>
  <c r="P7" i="59"/>
  <c r="B7" i="59"/>
  <c r="BJ6" i="59"/>
  <c r="BJ42" i="59" s="1"/>
  <c r="BI6" i="59"/>
  <c r="BI42" i="59" s="1"/>
  <c r="BG6" i="59"/>
  <c r="AZ6" i="59"/>
  <c r="AY6" i="59"/>
  <c r="AX6" i="59"/>
  <c r="S6" i="59"/>
  <c r="R6" i="59"/>
  <c r="Q6" i="59"/>
  <c r="B6" i="59"/>
  <c r="N12" i="59" l="1"/>
  <c r="N32" i="59"/>
  <c r="BK6" i="59"/>
  <c r="BK42" i="59" s="1"/>
  <c r="P15" i="59"/>
  <c r="BA24" i="59"/>
  <c r="BE24" i="59" s="1"/>
  <c r="L13" i="59"/>
  <c r="AT13" i="59" s="1"/>
  <c r="L20" i="59"/>
  <c r="L22" i="59"/>
  <c r="AR22" i="59" s="1"/>
  <c r="BA7" i="59"/>
  <c r="BE7" i="59" s="1"/>
  <c r="BA6" i="59"/>
  <c r="BE6" i="59" s="1"/>
  <c r="N7" i="59"/>
  <c r="I12" i="59"/>
  <c r="H12" i="59" s="1"/>
  <c r="P13" i="59"/>
  <c r="I28" i="59"/>
  <c r="L33" i="59"/>
  <c r="AT33" i="59" s="1"/>
  <c r="BA35" i="59"/>
  <c r="BE35" i="59" s="1"/>
  <c r="P38" i="59"/>
  <c r="L14" i="59"/>
  <c r="I20" i="59"/>
  <c r="P33" i="59"/>
  <c r="N35" i="59"/>
  <c r="BA22" i="59"/>
  <c r="BE22" i="59" s="1"/>
  <c r="BA27" i="59"/>
  <c r="BE27" i="59" s="1"/>
  <c r="R42" i="59"/>
  <c r="AX42" i="59"/>
  <c r="L29" i="59"/>
  <c r="I21" i="59"/>
  <c r="H21" i="59" s="1"/>
  <c r="BA21" i="59"/>
  <c r="BE21" i="59" s="1"/>
  <c r="I11" i="59"/>
  <c r="H11" i="59" s="1"/>
  <c r="N24" i="59"/>
  <c r="AZ42" i="59"/>
  <c r="BA8" i="59"/>
  <c r="BE8" i="59" s="1"/>
  <c r="I9" i="59"/>
  <c r="I10" i="59"/>
  <c r="AR10" i="59" s="1"/>
  <c r="L11" i="59"/>
  <c r="BA12" i="59"/>
  <c r="BE12" i="59" s="1"/>
  <c r="L19" i="59"/>
  <c r="N21" i="59"/>
  <c r="BA28" i="59"/>
  <c r="BE28" i="59" s="1"/>
  <c r="I29" i="59"/>
  <c r="I30" i="59"/>
  <c r="I32" i="59"/>
  <c r="H32" i="59" s="1"/>
  <c r="BA38" i="59"/>
  <c r="BE38" i="59" s="1"/>
  <c r="AY42" i="59"/>
  <c r="I8" i="59"/>
  <c r="L9" i="59"/>
  <c r="L10" i="59"/>
  <c r="N11" i="59"/>
  <c r="G42" i="59"/>
  <c r="I7" i="59"/>
  <c r="L8" i="59"/>
  <c r="N9" i="59"/>
  <c r="N10" i="59"/>
  <c r="BA10" i="59"/>
  <c r="BE10" i="59" s="1"/>
  <c r="N14" i="59"/>
  <c r="I18" i="59"/>
  <c r="AR18" i="59" s="1"/>
  <c r="BA18" i="59"/>
  <c r="BE18" i="59" s="1"/>
  <c r="P19" i="59"/>
  <c r="BA20" i="59"/>
  <c r="BE20" i="59" s="1"/>
  <c r="L23" i="59"/>
  <c r="AT23" i="59" s="1"/>
  <c r="BA23" i="59"/>
  <c r="BE23" i="59" s="1"/>
  <c r="BA25" i="59"/>
  <c r="BE25" i="59" s="1"/>
  <c r="L28" i="59"/>
  <c r="N29" i="59"/>
  <c r="N30" i="59"/>
  <c r="P32" i="59"/>
  <c r="BA34" i="59"/>
  <c r="BE34" i="59" s="1"/>
  <c r="P6" i="59"/>
  <c r="I19" i="59"/>
  <c r="AR19" i="59" s="1"/>
  <c r="E42" i="59"/>
  <c r="G49" i="59" s="1"/>
  <c r="I49" i="59" s="1"/>
  <c r="BA14" i="59"/>
  <c r="BE14" i="59" s="1"/>
  <c r="BA16" i="59"/>
  <c r="BE16" i="59" s="1"/>
  <c r="L30" i="59"/>
  <c r="BA32" i="59"/>
  <c r="BE32" i="59" s="1"/>
  <c r="Q42" i="59"/>
  <c r="L7" i="59"/>
  <c r="N8" i="59"/>
  <c r="BA9" i="59"/>
  <c r="BE9" i="59" s="1"/>
  <c r="L18" i="59"/>
  <c r="P23" i="59"/>
  <c r="AR23" i="59" s="1"/>
  <c r="P25" i="59"/>
  <c r="I27" i="59"/>
  <c r="N28" i="59"/>
  <c r="BA30" i="59"/>
  <c r="BE30" i="59" s="1"/>
  <c r="N34" i="59"/>
  <c r="BA39" i="59"/>
  <c r="BE39" i="59" s="1"/>
  <c r="L27" i="59"/>
  <c r="N37" i="59"/>
  <c r="BA37" i="59"/>
  <c r="BE37" i="59" s="1"/>
  <c r="S42" i="59"/>
  <c r="BA13" i="59"/>
  <c r="BE13" i="59" s="1"/>
  <c r="BA15" i="59"/>
  <c r="BE15" i="59" s="1"/>
  <c r="BA17" i="59"/>
  <c r="BE17" i="59" s="1"/>
  <c r="P22" i="59"/>
  <c r="P37" i="59"/>
  <c r="BA26" i="59"/>
  <c r="BE26" i="59" s="1"/>
  <c r="BA33" i="59"/>
  <c r="BE33" i="59" s="1"/>
  <c r="BA40" i="59"/>
  <c r="BE40" i="59" s="1"/>
  <c r="I6" i="59"/>
  <c r="L6" i="59"/>
  <c r="N6" i="59"/>
  <c r="D42" i="59"/>
  <c r="D49" i="59" s="1"/>
  <c r="AR33" i="59"/>
  <c r="H33" i="59"/>
  <c r="H23" i="59"/>
  <c r="AR13" i="59"/>
  <c r="H13" i="59"/>
  <c r="AS13" i="59"/>
  <c r="BA11" i="59"/>
  <c r="BE11" i="59" s="1"/>
  <c r="H22" i="59"/>
  <c r="BG42" i="59"/>
  <c r="AS12" i="59"/>
  <c r="N13" i="59"/>
  <c r="P14" i="59"/>
  <c r="L21" i="59"/>
  <c r="AS21" i="59"/>
  <c r="N22" i="59"/>
  <c r="N23" i="59"/>
  <c r="P24" i="59"/>
  <c r="N33" i="59"/>
  <c r="AS33" i="59" s="1"/>
  <c r="P34" i="59"/>
  <c r="P35" i="59"/>
  <c r="AT12" i="59"/>
  <c r="AK42" i="59"/>
  <c r="AS28" i="59"/>
  <c r="I40" i="59"/>
  <c r="AR12" i="59"/>
  <c r="BA19" i="59"/>
  <c r="BE19" i="59" s="1"/>
  <c r="I26" i="59"/>
  <c r="I39" i="59"/>
  <c r="L40" i="59"/>
  <c r="BA29" i="59"/>
  <c r="BE29" i="59" s="1"/>
  <c r="I15" i="59"/>
  <c r="L16" i="59"/>
  <c r="L17" i="59"/>
  <c r="N18" i="59"/>
  <c r="I25" i="59"/>
  <c r="L26" i="59"/>
  <c r="N27" i="59"/>
  <c r="I38" i="59"/>
  <c r="L39" i="59"/>
  <c r="N40" i="59"/>
  <c r="AT11" i="59"/>
  <c r="I17" i="59"/>
  <c r="I14" i="59"/>
  <c r="L15" i="59"/>
  <c r="N16" i="59"/>
  <c r="N17" i="59"/>
  <c r="I24" i="59"/>
  <c r="L25" i="59"/>
  <c r="N26" i="59"/>
  <c r="I34" i="59"/>
  <c r="I35" i="59"/>
  <c r="I37" i="59"/>
  <c r="L38" i="59"/>
  <c r="N39" i="59"/>
  <c r="I16" i="59"/>
  <c r="BQ28" i="55"/>
  <c r="AT29" i="59" l="1"/>
  <c r="AR6" i="59"/>
  <c r="H6" i="59"/>
  <c r="AT20" i="59"/>
  <c r="AR21" i="59"/>
  <c r="AT22" i="59"/>
  <c r="AS22" i="59"/>
  <c r="AR28" i="59"/>
  <c r="AS23" i="59"/>
  <c r="AR8" i="59"/>
  <c r="AR7" i="59"/>
  <c r="AS10" i="59"/>
  <c r="AT32" i="59"/>
  <c r="AT10" i="59"/>
  <c r="V21" i="59"/>
  <c r="AT7" i="59"/>
  <c r="AR32" i="59"/>
  <c r="AS32" i="59"/>
  <c r="AT28" i="59"/>
  <c r="AS19" i="59"/>
  <c r="H28" i="59"/>
  <c r="V28" i="59" s="1"/>
  <c r="AT18" i="59"/>
  <c r="AT9" i="59"/>
  <c r="V12" i="59"/>
  <c r="AR29" i="59"/>
  <c r="H29" i="59"/>
  <c r="V29" i="59" s="1"/>
  <c r="AS29" i="59"/>
  <c r="AT30" i="59"/>
  <c r="AS8" i="59"/>
  <c r="H8" i="59"/>
  <c r="V8" i="59" s="1"/>
  <c r="V11" i="59"/>
  <c r="H19" i="59"/>
  <c r="V19" i="59" s="1"/>
  <c r="AR20" i="59"/>
  <c r="AS20" i="59"/>
  <c r="H20" i="59"/>
  <c r="V20" i="59" s="1"/>
  <c r="AT19" i="59"/>
  <c r="AT8" i="59"/>
  <c r="P42" i="59"/>
  <c r="AT27" i="59"/>
  <c r="H27" i="59"/>
  <c r="V27" i="59" s="1"/>
  <c r="AS27" i="59"/>
  <c r="AR27" i="59"/>
  <c r="AS7" i="59"/>
  <c r="V7" i="59"/>
  <c r="N42" i="59"/>
  <c r="V13" i="59"/>
  <c r="V32" i="59"/>
  <c r="L42" i="59"/>
  <c r="AS11" i="59"/>
  <c r="AR11" i="59"/>
  <c r="AS18" i="59"/>
  <c r="H18" i="59"/>
  <c r="V18" i="59" s="1"/>
  <c r="AR30" i="59"/>
  <c r="AS30" i="59"/>
  <c r="H30" i="59"/>
  <c r="V30" i="59" s="1"/>
  <c r="V10" i="59"/>
  <c r="AR9" i="59"/>
  <c r="AS9" i="59"/>
  <c r="H9" i="59"/>
  <c r="V9" i="59" s="1"/>
  <c r="AS6" i="59"/>
  <c r="V6" i="59"/>
  <c r="C6" i="59" s="1"/>
  <c r="AS34" i="59"/>
  <c r="AT34" i="59"/>
  <c r="AR34" i="59"/>
  <c r="H34" i="59"/>
  <c r="V34" i="59" s="1"/>
  <c r="AT15" i="59"/>
  <c r="AS15" i="59"/>
  <c r="H15" i="59"/>
  <c r="V15" i="59" s="1"/>
  <c r="AR15" i="59"/>
  <c r="AT21" i="59"/>
  <c r="V22" i="59"/>
  <c r="V23" i="59"/>
  <c r="AT26" i="59"/>
  <c r="AS26" i="59"/>
  <c r="AR26" i="59"/>
  <c r="H26" i="59"/>
  <c r="V26" i="59" s="1"/>
  <c r="AR16" i="59"/>
  <c r="AT16" i="59"/>
  <c r="AS16" i="59"/>
  <c r="H16" i="59"/>
  <c r="V16" i="59" s="1"/>
  <c r="AR17" i="59"/>
  <c r="AT17" i="59"/>
  <c r="AS17" i="59"/>
  <c r="H17" i="59"/>
  <c r="V17" i="59" s="1"/>
  <c r="AS24" i="59"/>
  <c r="AR24" i="59"/>
  <c r="H24" i="59"/>
  <c r="V24" i="59" s="1"/>
  <c r="AT24" i="59"/>
  <c r="AT40" i="59"/>
  <c r="AS40" i="59"/>
  <c r="AR40" i="59"/>
  <c r="H40" i="59"/>
  <c r="V40" i="59" s="1"/>
  <c r="BA42" i="59"/>
  <c r="BA87" i="59" s="1"/>
  <c r="V33" i="59"/>
  <c r="AT38" i="59"/>
  <c r="AS38" i="59"/>
  <c r="AR38" i="59"/>
  <c r="H38" i="59"/>
  <c r="V38" i="59" s="1"/>
  <c r="AS14" i="59"/>
  <c r="AR14" i="59"/>
  <c r="V14" i="59"/>
  <c r="AT14" i="59"/>
  <c r="AT25" i="59"/>
  <c r="AS25" i="59"/>
  <c r="AR25" i="59"/>
  <c r="H25" i="59"/>
  <c r="V25" i="59" s="1"/>
  <c r="BE42" i="59"/>
  <c r="C49" i="59" s="1"/>
  <c r="E49" i="59" s="1"/>
  <c r="AS35" i="59"/>
  <c r="AR35" i="59"/>
  <c r="H35" i="59"/>
  <c r="V35" i="59" s="1"/>
  <c r="AT35" i="59"/>
  <c r="AS37" i="59"/>
  <c r="AR37" i="59"/>
  <c r="H37" i="59"/>
  <c r="V37" i="59" s="1"/>
  <c r="AT37" i="59"/>
  <c r="AT39" i="59"/>
  <c r="AS39" i="59"/>
  <c r="AR39" i="59"/>
  <c r="H39" i="59"/>
  <c r="V39" i="59" s="1"/>
  <c r="I42" i="59"/>
  <c r="BF7" i="58"/>
  <c r="BF8" i="58"/>
  <c r="BF9" i="58"/>
  <c r="BF10" i="58"/>
  <c r="BF11" i="58"/>
  <c r="BF12" i="58"/>
  <c r="BF13" i="58"/>
  <c r="BF14" i="58"/>
  <c r="BF15" i="58"/>
  <c r="BF16" i="58"/>
  <c r="BF17" i="58"/>
  <c r="BF18" i="58"/>
  <c r="BF19" i="58"/>
  <c r="BF20" i="58"/>
  <c r="BF21" i="58"/>
  <c r="BF22" i="58"/>
  <c r="BF23" i="58"/>
  <c r="BF24" i="58"/>
  <c r="BF25" i="58"/>
  <c r="BF26" i="58"/>
  <c r="BF27" i="58"/>
  <c r="BF28" i="58"/>
  <c r="BF29" i="58"/>
  <c r="BF30" i="58"/>
  <c r="BF31" i="58"/>
  <c r="BF32" i="58"/>
  <c r="BF33" i="58"/>
  <c r="BF34" i="58"/>
  <c r="BF35" i="58"/>
  <c r="BF36" i="58"/>
  <c r="BF37" i="58"/>
  <c r="BF38" i="58"/>
  <c r="BQ45" i="58"/>
  <c r="BQ40" i="58"/>
  <c r="BM40" i="58"/>
  <c r="BL40" i="58"/>
  <c r="BK40" i="58"/>
  <c r="BE40" i="58"/>
  <c r="BC40" i="58"/>
  <c r="BB40" i="58"/>
  <c r="BA40" i="58"/>
  <c r="AV40" i="58"/>
  <c r="AU40" i="58"/>
  <c r="AT40" i="58"/>
  <c r="AP40" i="58"/>
  <c r="AO40" i="58"/>
  <c r="AN40" i="58"/>
  <c r="AM40" i="58"/>
  <c r="AL40" i="58"/>
  <c r="AK40" i="58"/>
  <c r="AJ40" i="58"/>
  <c r="AI40" i="58"/>
  <c r="AG40" i="58"/>
  <c r="AF40" i="58"/>
  <c r="AE40" i="58"/>
  <c r="AD40" i="58"/>
  <c r="AC40" i="58"/>
  <c r="AA40" i="58"/>
  <c r="Z40" i="58"/>
  <c r="Y40" i="58"/>
  <c r="X40" i="58"/>
  <c r="W40" i="58"/>
  <c r="V40" i="58"/>
  <c r="N40" i="58"/>
  <c r="L40" i="58"/>
  <c r="J40" i="58"/>
  <c r="G40" i="58"/>
  <c r="BR38" i="58"/>
  <c r="BS38" i="58" s="1"/>
  <c r="D38" i="58" s="1"/>
  <c r="AY38" i="58"/>
  <c r="AX38" i="58"/>
  <c r="AW38" i="58"/>
  <c r="R38" i="58"/>
  <c r="F38" i="58"/>
  <c r="E38" i="58"/>
  <c r="B38" i="58"/>
  <c r="BR37" i="58"/>
  <c r="BS37" i="58" s="1"/>
  <c r="D37" i="58" s="1"/>
  <c r="AY37" i="58"/>
  <c r="AX37" i="58"/>
  <c r="AW37" i="58"/>
  <c r="R37" i="58"/>
  <c r="Q37" i="58"/>
  <c r="F37" i="58"/>
  <c r="AZ37" i="58" s="1"/>
  <c r="BD37" i="58" s="1"/>
  <c r="E37" i="58"/>
  <c r="B37" i="58"/>
  <c r="BR36" i="58"/>
  <c r="BS36" i="58" s="1"/>
  <c r="D36" i="58" s="1"/>
  <c r="AY36" i="58"/>
  <c r="AX36" i="58"/>
  <c r="AW36" i="58"/>
  <c r="R36" i="58"/>
  <c r="Q36" i="58"/>
  <c r="F36" i="58"/>
  <c r="AZ36" i="58" s="1"/>
  <c r="BD36" i="58" s="1"/>
  <c r="E36" i="58"/>
  <c r="B36" i="58"/>
  <c r="BR35" i="58"/>
  <c r="BS35" i="58" s="1"/>
  <c r="D35" i="58" s="1"/>
  <c r="AY35" i="58"/>
  <c r="AX35" i="58"/>
  <c r="AW35" i="58"/>
  <c r="R35" i="58"/>
  <c r="Q35" i="58"/>
  <c r="F35" i="58"/>
  <c r="E35" i="58"/>
  <c r="B35" i="58"/>
  <c r="BR34" i="58"/>
  <c r="BS34" i="58" s="1"/>
  <c r="D34" i="58" s="1"/>
  <c r="AY34" i="58"/>
  <c r="AX34" i="58"/>
  <c r="AW34" i="58"/>
  <c r="R34" i="58"/>
  <c r="Q34" i="58"/>
  <c r="F34" i="58"/>
  <c r="AZ34" i="58" s="1"/>
  <c r="BD34" i="58" s="1"/>
  <c r="E34" i="58"/>
  <c r="B34" i="58"/>
  <c r="BR33" i="58"/>
  <c r="BS33" i="58" s="1"/>
  <c r="D33" i="58" s="1"/>
  <c r="BQ33" i="58"/>
  <c r="BQ34" i="58" s="1"/>
  <c r="AY33" i="58"/>
  <c r="AX33" i="58"/>
  <c r="AW33" i="58"/>
  <c r="R33" i="58"/>
  <c r="Q33" i="58"/>
  <c r="F33" i="58"/>
  <c r="E33" i="58"/>
  <c r="B33" i="58"/>
  <c r="BR32" i="58"/>
  <c r="BS32" i="58" s="1"/>
  <c r="D32" i="58" s="1"/>
  <c r="AY32" i="58"/>
  <c r="AX32" i="58"/>
  <c r="AW32" i="58"/>
  <c r="R32" i="58"/>
  <c r="F32" i="58"/>
  <c r="E32" i="58"/>
  <c r="B32" i="58"/>
  <c r="BR31" i="58"/>
  <c r="BS31" i="58" s="1"/>
  <c r="D31" i="58" s="1"/>
  <c r="AY31" i="58"/>
  <c r="AX31" i="58"/>
  <c r="AW31" i="58"/>
  <c r="R31" i="58"/>
  <c r="Q31" i="58"/>
  <c r="F31" i="58"/>
  <c r="E31" i="58"/>
  <c r="B31" i="58"/>
  <c r="BR30" i="58"/>
  <c r="BS30" i="58" s="1"/>
  <c r="D30" i="58" s="1"/>
  <c r="AY30" i="58"/>
  <c r="AX30" i="58"/>
  <c r="AW30" i="58"/>
  <c r="R30" i="58"/>
  <c r="Q30" i="58"/>
  <c r="F30" i="58"/>
  <c r="E30" i="58"/>
  <c r="B30" i="58"/>
  <c r="BR29" i="58"/>
  <c r="BS29" i="58" s="1"/>
  <c r="D29" i="58" s="1"/>
  <c r="AY29" i="58"/>
  <c r="AX29" i="58"/>
  <c r="AW29" i="58"/>
  <c r="R29" i="58"/>
  <c r="Q29" i="58"/>
  <c r="F29" i="58"/>
  <c r="E29" i="58"/>
  <c r="B29" i="58"/>
  <c r="BR28" i="58"/>
  <c r="BS28" i="58" s="1"/>
  <c r="D28" i="58" s="1"/>
  <c r="BQ28" i="58"/>
  <c r="BI6" i="58" s="1"/>
  <c r="BI40" i="58" s="1"/>
  <c r="AY28" i="58"/>
  <c r="AX28" i="58"/>
  <c r="AW28" i="58"/>
  <c r="R28" i="58"/>
  <c r="F28" i="58"/>
  <c r="E28" i="58"/>
  <c r="B28" i="58"/>
  <c r="BR27" i="58"/>
  <c r="BS27" i="58" s="1"/>
  <c r="D27" i="58" s="1"/>
  <c r="AY27" i="58"/>
  <c r="AX27" i="58"/>
  <c r="AW27" i="58"/>
  <c r="R27" i="58"/>
  <c r="Q27" i="58"/>
  <c r="F27" i="58"/>
  <c r="E27" i="58"/>
  <c r="B27" i="58"/>
  <c r="BR26" i="58"/>
  <c r="BS26" i="58" s="1"/>
  <c r="D26" i="58" s="1"/>
  <c r="AY26" i="58"/>
  <c r="AX26" i="58"/>
  <c r="AW26" i="58"/>
  <c r="R26" i="58"/>
  <c r="Q26" i="58"/>
  <c r="F26" i="58"/>
  <c r="E26" i="58"/>
  <c r="B26" i="58"/>
  <c r="BR25" i="58"/>
  <c r="BS25" i="58" s="1"/>
  <c r="D25" i="58" s="1"/>
  <c r="AY25" i="58"/>
  <c r="AX25" i="58"/>
  <c r="AW25" i="58"/>
  <c r="R25" i="58"/>
  <c r="F25" i="58"/>
  <c r="E25" i="58"/>
  <c r="B25" i="58"/>
  <c r="BR24" i="58"/>
  <c r="BS24" i="58" s="1"/>
  <c r="D24" i="58" s="1"/>
  <c r="AY24" i="58"/>
  <c r="AX24" i="58"/>
  <c r="AW24" i="58"/>
  <c r="R24" i="58"/>
  <c r="F24" i="58"/>
  <c r="E24" i="58"/>
  <c r="B24" i="58"/>
  <c r="BR23" i="58"/>
  <c r="BS23" i="58" s="1"/>
  <c r="D23" i="58" s="1"/>
  <c r="AY23" i="58"/>
  <c r="AX23" i="58"/>
  <c r="AW23" i="58"/>
  <c r="R23" i="58"/>
  <c r="Q23" i="58"/>
  <c r="F23" i="58"/>
  <c r="E23" i="58"/>
  <c r="B23" i="58"/>
  <c r="BR22" i="58"/>
  <c r="BS22" i="58" s="1"/>
  <c r="D22" i="58" s="1"/>
  <c r="BQ22" i="58"/>
  <c r="BN6" i="58" s="1"/>
  <c r="AY22" i="58"/>
  <c r="AX22" i="58"/>
  <c r="AW22" i="58"/>
  <c r="R22" i="58"/>
  <c r="F22" i="58"/>
  <c r="E22" i="58"/>
  <c r="B22" i="58"/>
  <c r="BR21" i="58"/>
  <c r="BS21" i="58" s="1"/>
  <c r="D21" i="58" s="1"/>
  <c r="AY21" i="58"/>
  <c r="AX21" i="58"/>
  <c r="AW21" i="58"/>
  <c r="S21" i="58"/>
  <c r="S40" i="58" s="1"/>
  <c r="R21" i="58"/>
  <c r="Q21" i="58"/>
  <c r="F21" i="58"/>
  <c r="AZ21" i="58" s="1"/>
  <c r="BD21" i="58" s="1"/>
  <c r="E21" i="58"/>
  <c r="B21" i="58"/>
  <c r="BR20" i="58"/>
  <c r="BS20" i="58" s="1"/>
  <c r="D20" i="58" s="1"/>
  <c r="AY20" i="58"/>
  <c r="AX20" i="58"/>
  <c r="AW20" i="58"/>
  <c r="R20" i="58"/>
  <c r="F20" i="58"/>
  <c r="E20" i="58"/>
  <c r="B20" i="58"/>
  <c r="BR19" i="58"/>
  <c r="BS19" i="58" s="1"/>
  <c r="D19" i="58" s="1"/>
  <c r="K19" i="58" s="1"/>
  <c r="AY19" i="58"/>
  <c r="AX19" i="58"/>
  <c r="AW19" i="58"/>
  <c r="R19" i="58"/>
  <c r="Q19" i="58"/>
  <c r="F19" i="58"/>
  <c r="AZ19" i="58" s="1"/>
  <c r="BD19" i="58" s="1"/>
  <c r="E19" i="58"/>
  <c r="B19" i="58"/>
  <c r="BR18" i="58"/>
  <c r="BS18" i="58" s="1"/>
  <c r="D18" i="58" s="1"/>
  <c r="AY18" i="58"/>
  <c r="AX18" i="58"/>
  <c r="AW18" i="58"/>
  <c r="R18" i="58"/>
  <c r="Q18" i="58"/>
  <c r="F18" i="58"/>
  <c r="AZ18" i="58" s="1"/>
  <c r="BD18" i="58" s="1"/>
  <c r="E18" i="58"/>
  <c r="B18" i="58"/>
  <c r="BR17" i="58"/>
  <c r="BS17" i="58" s="1"/>
  <c r="D17" i="58" s="1"/>
  <c r="K17" i="58" s="1"/>
  <c r="AY17" i="58"/>
  <c r="AX17" i="58"/>
  <c r="AW17" i="58"/>
  <c r="R17" i="58"/>
  <c r="Q17" i="58"/>
  <c r="F17" i="58"/>
  <c r="E17" i="58"/>
  <c r="B17" i="58"/>
  <c r="BR16" i="58"/>
  <c r="BS16" i="58" s="1"/>
  <c r="D16" i="58" s="1"/>
  <c r="M16" i="58" s="1"/>
  <c r="BQ16" i="58"/>
  <c r="AY16" i="58"/>
  <c r="AX16" i="58"/>
  <c r="AW16" i="58"/>
  <c r="R16" i="58"/>
  <c r="I16" i="58"/>
  <c r="I40" i="58" s="1"/>
  <c r="F16" i="58"/>
  <c r="E16" i="58"/>
  <c r="B16" i="58"/>
  <c r="BR15" i="58"/>
  <c r="BS15" i="58" s="1"/>
  <c r="D15" i="58" s="1"/>
  <c r="AY15" i="58"/>
  <c r="AX15" i="58"/>
  <c r="AW15" i="58"/>
  <c r="R15" i="58"/>
  <c r="F15" i="58"/>
  <c r="E15" i="58"/>
  <c r="B15" i="58"/>
  <c r="BR14" i="58"/>
  <c r="BS14" i="58" s="1"/>
  <c r="D14" i="58" s="1"/>
  <c r="AY14" i="58"/>
  <c r="AX14" i="58"/>
  <c r="AW14" i="58"/>
  <c r="R14" i="58"/>
  <c r="Q14" i="58"/>
  <c r="F14" i="58"/>
  <c r="E14" i="58"/>
  <c r="B14" i="58"/>
  <c r="BR13" i="58"/>
  <c r="BS13" i="58" s="1"/>
  <c r="D13" i="58" s="1"/>
  <c r="AY13" i="58"/>
  <c r="AX13" i="58"/>
  <c r="AW13" i="58"/>
  <c r="R13" i="58"/>
  <c r="Q13" i="58"/>
  <c r="F13" i="58"/>
  <c r="E13" i="58"/>
  <c r="B13" i="58"/>
  <c r="BR12" i="58"/>
  <c r="BS12" i="58" s="1"/>
  <c r="D12" i="58" s="1"/>
  <c r="AY12" i="58"/>
  <c r="AX12" i="58"/>
  <c r="AW12" i="58"/>
  <c r="R12" i="58"/>
  <c r="F12" i="58"/>
  <c r="E12" i="58"/>
  <c r="B12" i="58"/>
  <c r="BR11" i="58"/>
  <c r="BS11" i="58" s="1"/>
  <c r="D11" i="58" s="1"/>
  <c r="AY11" i="58"/>
  <c r="AX11" i="58"/>
  <c r="AW11" i="58"/>
  <c r="R11" i="58"/>
  <c r="F11" i="58"/>
  <c r="E11" i="58"/>
  <c r="B11" i="58"/>
  <c r="BR10" i="58"/>
  <c r="BS10" i="58" s="1"/>
  <c r="D10" i="58" s="1"/>
  <c r="AY10" i="58"/>
  <c r="AX10" i="58"/>
  <c r="AW10" i="58"/>
  <c r="R10" i="58"/>
  <c r="F10" i="58"/>
  <c r="AZ10" i="58" s="1"/>
  <c r="BD10" i="58" s="1"/>
  <c r="E10" i="58"/>
  <c r="B10" i="58"/>
  <c r="BR9" i="58"/>
  <c r="BS9" i="58" s="1"/>
  <c r="D9" i="58" s="1"/>
  <c r="AY9" i="58"/>
  <c r="AX9" i="58"/>
  <c r="AW9" i="58"/>
  <c r="R9" i="58"/>
  <c r="Q9" i="58"/>
  <c r="F9" i="58"/>
  <c r="E9" i="58"/>
  <c r="B9" i="58"/>
  <c r="BR8" i="58"/>
  <c r="BS8" i="58" s="1"/>
  <c r="D8" i="58" s="1"/>
  <c r="AY8" i="58"/>
  <c r="AX8" i="58"/>
  <c r="AW8" i="58"/>
  <c r="R8" i="58"/>
  <c r="F8" i="58"/>
  <c r="E8" i="58"/>
  <c r="B8" i="58"/>
  <c r="BR7" i="58"/>
  <c r="BS7" i="58" s="1"/>
  <c r="D7" i="58" s="1"/>
  <c r="AY7" i="58"/>
  <c r="AX7" i="58"/>
  <c r="AW7" i="58"/>
  <c r="R7" i="58"/>
  <c r="Q7" i="58"/>
  <c r="F7" i="58"/>
  <c r="E7" i="58"/>
  <c r="B7" i="58"/>
  <c r="BR6" i="58"/>
  <c r="BS6" i="58" s="1"/>
  <c r="D6" i="58" s="1"/>
  <c r="H6" i="58" s="1"/>
  <c r="AQ6" i="58" s="1"/>
  <c r="BJ6" i="58"/>
  <c r="BJ40" i="58" s="1"/>
  <c r="BH6" i="58"/>
  <c r="BF6" i="58"/>
  <c r="AY6" i="58"/>
  <c r="AX6" i="58"/>
  <c r="AW6" i="58"/>
  <c r="R6" i="58"/>
  <c r="Q6" i="58"/>
  <c r="P6" i="58"/>
  <c r="F6" i="58"/>
  <c r="E6" i="58"/>
  <c r="B6" i="58"/>
  <c r="BF27" i="56"/>
  <c r="BF21" i="56"/>
  <c r="BF7" i="56"/>
  <c r="I16" i="56"/>
  <c r="AT42" i="59" l="1"/>
  <c r="C42" i="59"/>
  <c r="AR42" i="59"/>
  <c r="AS42" i="59"/>
  <c r="H42" i="59"/>
  <c r="V42" i="59"/>
  <c r="AZ31" i="58"/>
  <c r="BD31" i="58" s="1"/>
  <c r="K21" i="58"/>
  <c r="AZ33" i="58"/>
  <c r="BD33" i="58" s="1"/>
  <c r="AZ32" i="58"/>
  <c r="BD32" i="58" s="1"/>
  <c r="AZ16" i="58"/>
  <c r="BD16" i="58" s="1"/>
  <c r="AZ8" i="58"/>
  <c r="BD8" i="58" s="1"/>
  <c r="M10" i="58"/>
  <c r="O10" i="58"/>
  <c r="M13" i="58"/>
  <c r="O13" i="58"/>
  <c r="M15" i="58"/>
  <c r="O15" i="58"/>
  <c r="M9" i="58"/>
  <c r="O9" i="58"/>
  <c r="M11" i="58"/>
  <c r="O11" i="58"/>
  <c r="M14" i="58"/>
  <c r="O14" i="58"/>
  <c r="M12" i="58"/>
  <c r="O12" i="58"/>
  <c r="M7" i="58"/>
  <c r="O7" i="58"/>
  <c r="M8" i="58"/>
  <c r="O8" i="58"/>
  <c r="AX40" i="58"/>
  <c r="AZ38" i="58"/>
  <c r="BD38" i="58" s="1"/>
  <c r="AZ30" i="58"/>
  <c r="BD30" i="58" s="1"/>
  <c r="AZ22" i="58"/>
  <c r="BD22" i="58" s="1"/>
  <c r="AZ14" i="58"/>
  <c r="BD14" i="58" s="1"/>
  <c r="AW40" i="58"/>
  <c r="AZ29" i="58"/>
  <c r="BD29" i="58" s="1"/>
  <c r="E40" i="58"/>
  <c r="F47" i="58" s="1"/>
  <c r="AY40" i="58"/>
  <c r="AZ17" i="58"/>
  <c r="BD17" i="58" s="1"/>
  <c r="F40" i="58"/>
  <c r="AZ28" i="58"/>
  <c r="BD28" i="58" s="1"/>
  <c r="AZ20" i="58"/>
  <c r="BD20" i="58" s="1"/>
  <c r="AZ12" i="58"/>
  <c r="BD12" i="58" s="1"/>
  <c r="AZ6" i="58"/>
  <c r="BD6" i="58" s="1"/>
  <c r="AZ35" i="58"/>
  <c r="BD35" i="58" s="1"/>
  <c r="AZ24" i="58"/>
  <c r="BD24" i="58" s="1"/>
  <c r="AZ26" i="58"/>
  <c r="BD26" i="58" s="1"/>
  <c r="AZ27" i="58"/>
  <c r="BD27" i="58" s="1"/>
  <c r="AZ23" i="58"/>
  <c r="BD23" i="58" s="1"/>
  <c r="AZ25" i="58"/>
  <c r="BD25" i="58" s="1"/>
  <c r="O24" i="58"/>
  <c r="M24" i="58"/>
  <c r="K24" i="58"/>
  <c r="H24" i="58"/>
  <c r="O31" i="58"/>
  <c r="M31" i="58"/>
  <c r="K31" i="58"/>
  <c r="H31" i="58"/>
  <c r="H17" i="58"/>
  <c r="O17" i="58"/>
  <c r="M17" i="58"/>
  <c r="H19" i="58"/>
  <c r="O19" i="58"/>
  <c r="M19" i="58"/>
  <c r="O25" i="58"/>
  <c r="K25" i="58"/>
  <c r="M25" i="58"/>
  <c r="H25" i="58"/>
  <c r="O34" i="58"/>
  <c r="M34" i="58"/>
  <c r="K34" i="58"/>
  <c r="H34" i="58"/>
  <c r="O32" i="58"/>
  <c r="M32" i="58"/>
  <c r="K32" i="58"/>
  <c r="H32" i="58"/>
  <c r="BF40" i="58"/>
  <c r="AZ7" i="58"/>
  <c r="BD7" i="58" s="1"/>
  <c r="H20" i="58"/>
  <c r="O20" i="58"/>
  <c r="M20" i="58"/>
  <c r="O35" i="58"/>
  <c r="M35" i="58"/>
  <c r="K35" i="58"/>
  <c r="H35" i="58"/>
  <c r="O38" i="58"/>
  <c r="M38" i="58"/>
  <c r="K38" i="58"/>
  <c r="H38" i="58"/>
  <c r="O29" i="58"/>
  <c r="M29" i="58"/>
  <c r="K29" i="58"/>
  <c r="H29" i="58"/>
  <c r="K26" i="58"/>
  <c r="O26" i="58"/>
  <c r="M26" i="58"/>
  <c r="H26" i="58"/>
  <c r="AZ9" i="58"/>
  <c r="BD9" i="58" s="1"/>
  <c r="AZ11" i="58"/>
  <c r="BD11" i="58" s="1"/>
  <c r="H18" i="58"/>
  <c r="O18" i="58"/>
  <c r="M18" i="58"/>
  <c r="K20" i="58"/>
  <c r="K27" i="58"/>
  <c r="O27" i="58"/>
  <c r="M27" i="58"/>
  <c r="H27" i="58"/>
  <c r="O30" i="58"/>
  <c r="M30" i="58"/>
  <c r="K30" i="58"/>
  <c r="H30" i="58"/>
  <c r="O37" i="58"/>
  <c r="M37" i="58"/>
  <c r="K37" i="58"/>
  <c r="H37" i="58"/>
  <c r="AZ13" i="58"/>
  <c r="BD13" i="58" s="1"/>
  <c r="K16" i="58"/>
  <c r="H16" i="58"/>
  <c r="O16" i="58"/>
  <c r="K18" i="58"/>
  <c r="M22" i="58"/>
  <c r="O22" i="58"/>
  <c r="K22" i="58"/>
  <c r="R40" i="58"/>
  <c r="AZ15" i="58"/>
  <c r="BD15" i="58" s="1"/>
  <c r="H22" i="58"/>
  <c r="H21" i="58"/>
  <c r="O21" i="58"/>
  <c r="M21" i="58"/>
  <c r="K23" i="58"/>
  <c r="O23" i="58"/>
  <c r="M23" i="58"/>
  <c r="H23" i="58"/>
  <c r="O28" i="58"/>
  <c r="M28" i="58"/>
  <c r="K28" i="58"/>
  <c r="H28" i="58"/>
  <c r="O33" i="58"/>
  <c r="M33" i="58"/>
  <c r="K33" i="58"/>
  <c r="H33" i="58"/>
  <c r="O36" i="58"/>
  <c r="M36" i="58"/>
  <c r="K36" i="58"/>
  <c r="H36" i="58"/>
  <c r="D40" i="58"/>
  <c r="K6" i="58"/>
  <c r="AR6" i="58"/>
  <c r="M6" i="58"/>
  <c r="BH40" i="58"/>
  <c r="O6" i="58"/>
  <c r="H8" i="58"/>
  <c r="H9" i="58"/>
  <c r="H10" i="58"/>
  <c r="H11" i="58"/>
  <c r="H12" i="58"/>
  <c r="H13" i="58"/>
  <c r="H14" i="58"/>
  <c r="H15" i="58"/>
  <c r="H7" i="58"/>
  <c r="K7" i="58"/>
  <c r="K8" i="58"/>
  <c r="K9" i="58"/>
  <c r="K10" i="58"/>
  <c r="K11" i="58"/>
  <c r="K12" i="58"/>
  <c r="K13" i="58"/>
  <c r="K14" i="58"/>
  <c r="K15" i="58"/>
  <c r="S21" i="56"/>
  <c r="E12" i="56"/>
  <c r="E10" i="56"/>
  <c r="F8" i="56"/>
  <c r="F9" i="56"/>
  <c r="E9" i="56"/>
  <c r="BD40" i="58" l="1"/>
  <c r="AS10" i="58"/>
  <c r="AR10" i="58"/>
  <c r="AQ10" i="58"/>
  <c r="K40" i="58"/>
  <c r="AS33" i="58"/>
  <c r="AR33" i="58"/>
  <c r="AQ33" i="58"/>
  <c r="AS21" i="58"/>
  <c r="AR21" i="58"/>
  <c r="AQ21" i="58"/>
  <c r="U6" i="58"/>
  <c r="AR25" i="58"/>
  <c r="AS25" i="58"/>
  <c r="AQ25" i="58"/>
  <c r="AQ19" i="58"/>
  <c r="AS19" i="58"/>
  <c r="AR19" i="58"/>
  <c r="AS9" i="58"/>
  <c r="AR9" i="58"/>
  <c r="AQ9" i="58"/>
  <c r="AR16" i="58"/>
  <c r="AQ16" i="58"/>
  <c r="AS16" i="58"/>
  <c r="AS37" i="58"/>
  <c r="AR37" i="58"/>
  <c r="AQ37" i="58"/>
  <c r="AR26" i="58"/>
  <c r="AS26" i="58"/>
  <c r="AQ26" i="58"/>
  <c r="AS24" i="58"/>
  <c r="AR24" i="58"/>
  <c r="AQ24" i="58"/>
  <c r="AS14" i="58"/>
  <c r="AR14" i="58"/>
  <c r="AQ14" i="58"/>
  <c r="AS36" i="58"/>
  <c r="AR36" i="58"/>
  <c r="AQ36" i="58"/>
  <c r="AR23" i="58"/>
  <c r="AS23" i="58"/>
  <c r="AQ23" i="58"/>
  <c r="AQ22" i="58"/>
  <c r="AS22" i="58"/>
  <c r="AR22" i="58"/>
  <c r="AR27" i="58"/>
  <c r="AS27" i="58"/>
  <c r="AQ27" i="58"/>
  <c r="AQ17" i="58"/>
  <c r="AS17" i="58"/>
  <c r="AR17" i="58"/>
  <c r="AS7" i="58"/>
  <c r="AR7" i="58"/>
  <c r="AQ7" i="58"/>
  <c r="AS15" i="58"/>
  <c r="AR15" i="58"/>
  <c r="AQ15" i="58"/>
  <c r="AS13" i="58"/>
  <c r="AR13" i="58"/>
  <c r="AQ13" i="58"/>
  <c r="H40" i="58"/>
  <c r="AQ18" i="58"/>
  <c r="AS18" i="58"/>
  <c r="AR18" i="58"/>
  <c r="AS35" i="58"/>
  <c r="AR35" i="58"/>
  <c r="AQ35" i="58"/>
  <c r="AS32" i="58"/>
  <c r="AR32" i="58"/>
  <c r="AQ32" i="58"/>
  <c r="AS12" i="58"/>
  <c r="AR12" i="58"/>
  <c r="AQ12" i="58"/>
  <c r="M40" i="58"/>
  <c r="AQ20" i="58"/>
  <c r="AS20" i="58"/>
  <c r="AR20" i="58"/>
  <c r="AQ31" i="58"/>
  <c r="AS31" i="58"/>
  <c r="AR31" i="58"/>
  <c r="AS8" i="58"/>
  <c r="AR8" i="58"/>
  <c r="AQ8" i="58"/>
  <c r="D47" i="58"/>
  <c r="O40" i="58"/>
  <c r="AS34" i="58"/>
  <c r="AR34" i="58"/>
  <c r="AQ34" i="58"/>
  <c r="AS11" i="58"/>
  <c r="AR11" i="58"/>
  <c r="AQ11" i="58"/>
  <c r="AS28" i="58"/>
  <c r="AR28" i="58"/>
  <c r="AQ28" i="58"/>
  <c r="AZ40" i="58"/>
  <c r="AS30" i="58"/>
  <c r="AR30" i="58"/>
  <c r="AQ30" i="58"/>
  <c r="AS29" i="58"/>
  <c r="AR29" i="58"/>
  <c r="AQ29" i="58"/>
  <c r="AS38" i="58"/>
  <c r="AR38" i="58"/>
  <c r="AQ38" i="58"/>
  <c r="I33" i="54"/>
  <c r="AR40" i="58" l="1"/>
  <c r="C47" i="58"/>
  <c r="AZ85" i="58"/>
  <c r="AQ40" i="58"/>
  <c r="AS40" i="58"/>
  <c r="C6" i="58"/>
  <c r="Q12" i="58" l="1"/>
  <c r="Q22" i="58"/>
  <c r="Q32" i="58"/>
  <c r="Q8" i="58"/>
  <c r="Q16" i="58"/>
  <c r="Q24" i="58"/>
  <c r="Q38" i="58"/>
  <c r="Q15" i="58"/>
  <c r="Q25" i="58"/>
  <c r="Q10" i="58"/>
  <c r="Q11" i="58"/>
  <c r="Q20" i="58"/>
  <c r="Q28" i="58"/>
  <c r="Q40" i="58" l="1"/>
  <c r="P14" i="58" l="1"/>
  <c r="U14" i="58" s="1"/>
  <c r="C14" i="58" s="1"/>
  <c r="P22" i="58"/>
  <c r="U22" i="58" s="1"/>
  <c r="C22" i="58" s="1"/>
  <c r="P38" i="58"/>
  <c r="U38" i="58" s="1"/>
  <c r="C38" i="58" s="1"/>
  <c r="P27" i="58"/>
  <c r="U27" i="58" s="1"/>
  <c r="C27" i="58" s="1"/>
  <c r="P21" i="58"/>
  <c r="U21" i="58" s="1"/>
  <c r="C21" i="58" s="1"/>
  <c r="P30" i="58"/>
  <c r="U30" i="58" s="1"/>
  <c r="C30" i="58" s="1"/>
  <c r="P37" i="58"/>
  <c r="U37" i="58" s="1"/>
  <c r="C37" i="58" s="1"/>
  <c r="P11" i="58"/>
  <c r="U11" i="58" s="1"/>
  <c r="C11" i="58" s="1"/>
  <c r="P9" i="58"/>
  <c r="U9" i="58" s="1"/>
  <c r="C9" i="58" s="1"/>
  <c r="P25" i="58"/>
  <c r="U25" i="58" s="1"/>
  <c r="C25" i="58" s="1"/>
  <c r="P29" i="58"/>
  <c r="U29" i="58" s="1"/>
  <c r="C29" i="58" s="1"/>
  <c r="P33" i="58"/>
  <c r="U33" i="58" s="1"/>
  <c r="C33" i="58" s="1"/>
  <c r="P34" i="58"/>
  <c r="U34" i="58" s="1"/>
  <c r="C34" i="58" s="1"/>
  <c r="P35" i="58"/>
  <c r="U35" i="58" s="1"/>
  <c r="C35" i="58" s="1"/>
  <c r="P17" i="58"/>
  <c r="U17" i="58" s="1"/>
  <c r="C17" i="58" s="1"/>
  <c r="P19" i="58"/>
  <c r="U19" i="58" s="1"/>
  <c r="C19" i="58" s="1"/>
  <c r="P13" i="58"/>
  <c r="U13" i="58" s="1"/>
  <c r="C13" i="58" s="1"/>
  <c r="P7" i="58"/>
  <c r="P10" i="58"/>
  <c r="U10" i="58" s="1"/>
  <c r="C10" i="58" s="1"/>
  <c r="P15" i="58"/>
  <c r="U15" i="58" s="1"/>
  <c r="C15" i="58" s="1"/>
  <c r="P18" i="58"/>
  <c r="U18" i="58" s="1"/>
  <c r="C18" i="58" s="1"/>
  <c r="P26" i="58"/>
  <c r="U26" i="58" s="1"/>
  <c r="C26" i="58" s="1"/>
  <c r="P20" i="58"/>
  <c r="U20" i="58" s="1"/>
  <c r="C20" i="58" s="1"/>
  <c r="P28" i="58"/>
  <c r="U28" i="58" s="1"/>
  <c r="C28" i="58" s="1"/>
  <c r="P36" i="58"/>
  <c r="U36" i="58" s="1"/>
  <c r="C36" i="58" s="1"/>
  <c r="P23" i="58"/>
  <c r="U23" i="58" s="1"/>
  <c r="C23" i="58" s="1"/>
  <c r="P12" i="58"/>
  <c r="U12" i="58" s="1"/>
  <c r="C12" i="58" s="1"/>
  <c r="P8" i="58"/>
  <c r="U8" i="58" s="1"/>
  <c r="C8" i="58" s="1"/>
  <c r="P16" i="58"/>
  <c r="U16" i="58" s="1"/>
  <c r="C16" i="58" s="1"/>
  <c r="P24" i="58"/>
  <c r="U24" i="58" s="1"/>
  <c r="C24" i="58" s="1"/>
  <c r="P32" i="58"/>
  <c r="U32" i="58" s="1"/>
  <c r="C32" i="58" s="1"/>
  <c r="P31" i="58"/>
  <c r="U31" i="58" s="1"/>
  <c r="C31" i="58" s="1"/>
  <c r="U7" i="58" l="1"/>
  <c r="P40" i="58"/>
  <c r="C7" i="58" l="1"/>
  <c r="C40" i="58" s="1"/>
  <c r="U40" i="58"/>
  <c r="BR38" i="56" l="1"/>
  <c r="BS38" i="56" s="1"/>
  <c r="BR35" i="56"/>
  <c r="BS35" i="56" s="1"/>
  <c r="BR33" i="56"/>
  <c r="BS33" i="56" s="1"/>
  <c r="BR32" i="56"/>
  <c r="BS32" i="56" s="1"/>
  <c r="D32" i="56" s="1"/>
  <c r="BR31" i="56"/>
  <c r="BS31" i="56" s="1"/>
  <c r="BR29" i="56"/>
  <c r="BS29" i="56" s="1"/>
  <c r="BR28" i="56"/>
  <c r="BS28" i="56" s="1"/>
  <c r="BR27" i="56"/>
  <c r="BS27" i="56" s="1"/>
  <c r="BR25" i="56"/>
  <c r="BS25" i="56" s="1"/>
  <c r="BR22" i="56"/>
  <c r="BS22" i="56" s="1"/>
  <c r="BR18" i="56"/>
  <c r="BS18" i="56" s="1"/>
  <c r="D18" i="56" s="1"/>
  <c r="BR17" i="56"/>
  <c r="BS17" i="56" s="1"/>
  <c r="BR14" i="56"/>
  <c r="BS14" i="56" s="1"/>
  <c r="BR13" i="56"/>
  <c r="BS13" i="56" s="1"/>
  <c r="BR10" i="56"/>
  <c r="BS10" i="56" s="1"/>
  <c r="BR6" i="56"/>
  <c r="BS6" i="56" s="1"/>
  <c r="D38" i="56" l="1"/>
  <c r="D35" i="56"/>
  <c r="D33" i="56"/>
  <c r="D31" i="56"/>
  <c r="D29" i="56"/>
  <c r="D28" i="56"/>
  <c r="D27" i="56"/>
  <c r="D25" i="56"/>
  <c r="D22" i="56"/>
  <c r="D17" i="56"/>
  <c r="D14" i="56"/>
  <c r="D13" i="56"/>
  <c r="D6" i="56"/>
  <c r="BF8" i="52" l="1"/>
  <c r="I16" i="55" l="1"/>
  <c r="F35" i="55" l="1"/>
  <c r="F27" i="54"/>
  <c r="F22" i="55"/>
  <c r="AN20" i="54" l="1"/>
  <c r="AK20" i="54"/>
  <c r="AJ32" i="53"/>
  <c r="I25" i="52" l="1"/>
  <c r="I24" i="52"/>
  <c r="I18" i="52"/>
  <c r="AL32" i="53"/>
  <c r="AI32" i="53"/>
  <c r="I33" i="53" l="1"/>
  <c r="AK25" i="53" l="1"/>
  <c r="BB37" i="53"/>
  <c r="R38" i="46" l="1"/>
  <c r="Q37" i="46"/>
  <c r="R36" i="46"/>
  <c r="Q36" i="46"/>
  <c r="R35" i="46"/>
  <c r="Q35" i="46"/>
  <c r="R34" i="46"/>
  <c r="Q34" i="46"/>
  <c r="Q33" i="46"/>
  <c r="R32" i="46"/>
  <c r="Q31" i="46"/>
  <c r="Q30" i="46"/>
  <c r="R29" i="46"/>
  <c r="Q29" i="46"/>
  <c r="R28" i="46"/>
  <c r="R27" i="46"/>
  <c r="Q27" i="46"/>
  <c r="R26" i="46"/>
  <c r="Q26" i="46"/>
  <c r="Q23" i="46"/>
  <c r="R22" i="46"/>
  <c r="R21" i="46"/>
  <c r="Q21" i="46"/>
  <c r="R19" i="46"/>
  <c r="Q19" i="46"/>
  <c r="Q18" i="46"/>
  <c r="Q17" i="46"/>
  <c r="R15" i="46"/>
  <c r="R14" i="46"/>
  <c r="Q14" i="46"/>
  <c r="R13" i="46"/>
  <c r="Q13" i="46"/>
  <c r="R11" i="46"/>
  <c r="R10" i="46"/>
  <c r="Q9" i="46"/>
  <c r="R8" i="46"/>
  <c r="R7" i="46"/>
  <c r="Q7" i="46"/>
  <c r="R6" i="46"/>
  <c r="Q6" i="46"/>
  <c r="P6" i="46"/>
  <c r="R38" i="56"/>
  <c r="Q37" i="56"/>
  <c r="R36" i="56"/>
  <c r="Q36" i="56"/>
  <c r="R35" i="56"/>
  <c r="Q35" i="56"/>
  <c r="R34" i="56"/>
  <c r="Q34" i="56"/>
  <c r="Q33" i="56"/>
  <c r="R32" i="56"/>
  <c r="Q31" i="56"/>
  <c r="Q30" i="56"/>
  <c r="R29" i="56"/>
  <c r="Q29" i="56"/>
  <c r="R28" i="56"/>
  <c r="R27" i="56"/>
  <c r="Q27" i="56"/>
  <c r="R26" i="56"/>
  <c r="Q26" i="56"/>
  <c r="Q23" i="56"/>
  <c r="R22" i="56"/>
  <c r="R21" i="56"/>
  <c r="Q21" i="56"/>
  <c r="R19" i="56"/>
  <c r="Q19" i="56"/>
  <c r="Q18" i="56"/>
  <c r="Q17" i="56"/>
  <c r="R15" i="56"/>
  <c r="R14" i="56"/>
  <c r="Q14" i="56"/>
  <c r="R13" i="56"/>
  <c r="Q13" i="56"/>
  <c r="R11" i="56"/>
  <c r="R10" i="56"/>
  <c r="Q9" i="56"/>
  <c r="R8" i="56"/>
  <c r="R7" i="56"/>
  <c r="Q7" i="56"/>
  <c r="R6" i="56"/>
  <c r="Q6" i="56"/>
  <c r="P6" i="56"/>
  <c r="R38" i="55"/>
  <c r="Q37" i="55"/>
  <c r="R36" i="55"/>
  <c r="Q36" i="55"/>
  <c r="R35" i="55"/>
  <c r="Q35" i="55"/>
  <c r="R34" i="55"/>
  <c r="Q34" i="55"/>
  <c r="Q33" i="55"/>
  <c r="R32" i="55"/>
  <c r="Q31" i="55"/>
  <c r="Q30" i="55"/>
  <c r="R29" i="55"/>
  <c r="Q29" i="55"/>
  <c r="R28" i="55"/>
  <c r="R27" i="55"/>
  <c r="Q27" i="55"/>
  <c r="R26" i="55"/>
  <c r="Q26" i="55"/>
  <c r="Q23" i="55"/>
  <c r="R22" i="55"/>
  <c r="R21" i="55"/>
  <c r="Q21" i="55"/>
  <c r="R19" i="55"/>
  <c r="Q19" i="55"/>
  <c r="Q18" i="55"/>
  <c r="Q17" i="55"/>
  <c r="R15" i="55"/>
  <c r="R14" i="55"/>
  <c r="Q14" i="55"/>
  <c r="R13" i="55"/>
  <c r="Q13" i="55"/>
  <c r="R11" i="55"/>
  <c r="R10" i="55"/>
  <c r="Q9" i="55"/>
  <c r="R8" i="55"/>
  <c r="R7" i="55"/>
  <c r="Q7" i="55"/>
  <c r="R6" i="55"/>
  <c r="Q6" i="55"/>
  <c r="P6" i="55"/>
  <c r="R38" i="54"/>
  <c r="Q37" i="54"/>
  <c r="R36" i="54"/>
  <c r="Q36" i="54"/>
  <c r="R35" i="54"/>
  <c r="Q35" i="54"/>
  <c r="R34" i="54"/>
  <c r="Q34" i="54"/>
  <c r="Q33" i="54"/>
  <c r="R32" i="54"/>
  <c r="Q31" i="54"/>
  <c r="Q30" i="54"/>
  <c r="R29" i="54"/>
  <c r="Q29" i="54"/>
  <c r="R28" i="54"/>
  <c r="R27" i="54"/>
  <c r="Q27" i="54"/>
  <c r="R26" i="54"/>
  <c r="Q26" i="54"/>
  <c r="Q23" i="54"/>
  <c r="R22" i="54"/>
  <c r="R21" i="54"/>
  <c r="Q21" i="54"/>
  <c r="R19" i="54"/>
  <c r="Q19" i="54"/>
  <c r="Q18" i="54"/>
  <c r="Q17" i="54"/>
  <c r="R15" i="54"/>
  <c r="R14" i="54"/>
  <c r="Q14" i="54"/>
  <c r="R13" i="54"/>
  <c r="Q13" i="54"/>
  <c r="R11" i="54"/>
  <c r="R10" i="54"/>
  <c r="Q9" i="54"/>
  <c r="R8" i="54"/>
  <c r="R7" i="54"/>
  <c r="Q7" i="54"/>
  <c r="R6" i="54"/>
  <c r="Q6" i="54"/>
  <c r="P6" i="54"/>
  <c r="R38" i="53"/>
  <c r="Q37" i="53"/>
  <c r="R36" i="53"/>
  <c r="Q36" i="53"/>
  <c r="R35" i="53"/>
  <c r="Q35" i="53"/>
  <c r="R34" i="53"/>
  <c r="Q34" i="53"/>
  <c r="Q33" i="53"/>
  <c r="R32" i="53"/>
  <c r="Q31" i="53"/>
  <c r="Q30" i="53"/>
  <c r="R29" i="53"/>
  <c r="Q29" i="53"/>
  <c r="R28" i="53"/>
  <c r="R27" i="53"/>
  <c r="Q27" i="53"/>
  <c r="R26" i="53"/>
  <c r="Q26" i="53"/>
  <c r="Q23" i="53"/>
  <c r="R22" i="53"/>
  <c r="R21" i="53"/>
  <c r="Q21" i="53"/>
  <c r="R19" i="53"/>
  <c r="Q19" i="53"/>
  <c r="Q18" i="53"/>
  <c r="Q17" i="53"/>
  <c r="R15" i="53"/>
  <c r="R14" i="53"/>
  <c r="Q14" i="53"/>
  <c r="R13" i="53"/>
  <c r="Q13" i="53"/>
  <c r="R11" i="53"/>
  <c r="R10" i="53"/>
  <c r="Q9" i="53"/>
  <c r="R8" i="53"/>
  <c r="R7" i="53"/>
  <c r="Q7" i="53"/>
  <c r="R6" i="53"/>
  <c r="Q6" i="53"/>
  <c r="P6" i="53"/>
  <c r="R38" i="52"/>
  <c r="Q37" i="52"/>
  <c r="R36" i="52"/>
  <c r="Q36" i="52"/>
  <c r="R35" i="52"/>
  <c r="Q35" i="52"/>
  <c r="R34" i="52"/>
  <c r="Q34" i="52"/>
  <c r="Q33" i="52"/>
  <c r="R32" i="52"/>
  <c r="Q31" i="52"/>
  <c r="Q30" i="52"/>
  <c r="R29" i="52"/>
  <c r="Q29" i="52"/>
  <c r="R28" i="52"/>
  <c r="R27" i="52"/>
  <c r="Q27" i="52"/>
  <c r="R26" i="52"/>
  <c r="Q26" i="52"/>
  <c r="Q23" i="52"/>
  <c r="R22" i="52"/>
  <c r="R21" i="52"/>
  <c r="Q21" i="52"/>
  <c r="R19" i="52"/>
  <c r="Q19" i="52"/>
  <c r="Q18" i="52"/>
  <c r="Q17" i="52"/>
  <c r="R15" i="52"/>
  <c r="R14" i="52"/>
  <c r="Q14" i="52"/>
  <c r="R13" i="52"/>
  <c r="Q13" i="52"/>
  <c r="R11" i="52"/>
  <c r="R10" i="52"/>
  <c r="Q9" i="52"/>
  <c r="R8" i="52"/>
  <c r="R7" i="52"/>
  <c r="Q7" i="52"/>
  <c r="R6" i="52"/>
  <c r="Q6" i="52"/>
  <c r="P6" i="52"/>
  <c r="R38" i="45"/>
  <c r="Q38" i="45"/>
  <c r="P38" i="45"/>
  <c r="R37" i="45"/>
  <c r="Q37" i="45"/>
  <c r="P37" i="45"/>
  <c r="R36" i="45"/>
  <c r="Q36" i="45"/>
  <c r="P36" i="45"/>
  <c r="R35" i="45"/>
  <c r="Q35" i="45"/>
  <c r="P35" i="45"/>
  <c r="R34" i="45"/>
  <c r="Q34" i="45"/>
  <c r="P34" i="45"/>
  <c r="R33" i="45"/>
  <c r="Q33" i="45"/>
  <c r="P33" i="45"/>
  <c r="R32" i="45"/>
  <c r="Q32" i="45"/>
  <c r="P32" i="45"/>
  <c r="R31" i="45"/>
  <c r="Q31" i="45"/>
  <c r="P31" i="45"/>
  <c r="R30" i="45"/>
  <c r="Q30" i="45"/>
  <c r="P30" i="45"/>
  <c r="R29" i="45"/>
  <c r="Q29" i="45"/>
  <c r="P29" i="45"/>
  <c r="R28" i="45"/>
  <c r="Q28" i="45"/>
  <c r="P28" i="45"/>
  <c r="R27" i="45"/>
  <c r="Q27" i="45"/>
  <c r="P27" i="45"/>
  <c r="R26" i="45"/>
  <c r="Q26" i="45"/>
  <c r="P26" i="45"/>
  <c r="R25" i="45"/>
  <c r="Q25" i="45"/>
  <c r="P25" i="45"/>
  <c r="R24" i="45"/>
  <c r="Q24" i="45"/>
  <c r="P24" i="45"/>
  <c r="R23" i="45"/>
  <c r="Q23" i="45"/>
  <c r="P23" i="45"/>
  <c r="R22" i="45"/>
  <c r="Q22" i="45"/>
  <c r="P22" i="45"/>
  <c r="R21" i="45"/>
  <c r="Q21" i="45"/>
  <c r="P21" i="45"/>
  <c r="R20" i="45"/>
  <c r="Q20" i="45"/>
  <c r="P20" i="45"/>
  <c r="R19" i="45"/>
  <c r="Q19" i="45"/>
  <c r="P19" i="45"/>
  <c r="R18" i="45"/>
  <c r="Q18" i="45"/>
  <c r="P18" i="45"/>
  <c r="R17" i="45"/>
  <c r="Q17" i="45"/>
  <c r="P17" i="45"/>
  <c r="R16" i="45"/>
  <c r="Q16" i="45"/>
  <c r="P16" i="45"/>
  <c r="R15" i="45"/>
  <c r="Q15" i="45"/>
  <c r="P15" i="45"/>
  <c r="R14" i="45"/>
  <c r="Q14" i="45"/>
  <c r="P14" i="45"/>
  <c r="R13" i="45"/>
  <c r="Q13" i="45"/>
  <c r="P13" i="45"/>
  <c r="R12" i="45"/>
  <c r="Q12" i="45"/>
  <c r="P12" i="45"/>
  <c r="R11" i="45"/>
  <c r="Q11" i="45"/>
  <c r="P11" i="45"/>
  <c r="R10" i="45"/>
  <c r="Q10" i="45"/>
  <c r="P10" i="45"/>
  <c r="R9" i="45"/>
  <c r="Q9" i="45"/>
  <c r="P9" i="45"/>
  <c r="R8" i="45"/>
  <c r="Q8" i="45"/>
  <c r="P8" i="45"/>
  <c r="R7" i="45"/>
  <c r="Q7" i="45"/>
  <c r="P7" i="45"/>
  <c r="R6" i="45"/>
  <c r="Q6" i="45"/>
  <c r="P6" i="45"/>
  <c r="R7" i="51"/>
  <c r="R8" i="51"/>
  <c r="R10" i="51"/>
  <c r="R11" i="51"/>
  <c r="R13" i="51"/>
  <c r="R14" i="51"/>
  <c r="R15" i="51"/>
  <c r="R19" i="51"/>
  <c r="R21" i="51"/>
  <c r="R22" i="51"/>
  <c r="R26" i="51"/>
  <c r="R27" i="51"/>
  <c r="R28" i="51"/>
  <c r="R29" i="51"/>
  <c r="R32" i="51"/>
  <c r="R34" i="51"/>
  <c r="R35" i="51"/>
  <c r="R36" i="51"/>
  <c r="R38" i="51"/>
  <c r="R6" i="51"/>
  <c r="Q9" i="51"/>
  <c r="Q13" i="51"/>
  <c r="Q14" i="51"/>
  <c r="Q17" i="51"/>
  <c r="Q18" i="51"/>
  <c r="Q19" i="51"/>
  <c r="Q21" i="51"/>
  <c r="Q23" i="51"/>
  <c r="Q26" i="51"/>
  <c r="Q27" i="51"/>
  <c r="Q29" i="51"/>
  <c r="Q30" i="51"/>
  <c r="Q31" i="51"/>
  <c r="Q33" i="51"/>
  <c r="Q34" i="51"/>
  <c r="Q35" i="51"/>
  <c r="Q36" i="51"/>
  <c r="Q37" i="51"/>
  <c r="Q7" i="51"/>
  <c r="Q6" i="51"/>
  <c r="P6" i="51"/>
  <c r="BC58" i="51" l="1"/>
  <c r="BC68" i="51"/>
  <c r="BF26" i="51" l="1"/>
  <c r="BF20" i="51" l="1"/>
  <c r="AJ11" i="51" l="1"/>
  <c r="BF23" i="51"/>
  <c r="BQ28" i="51"/>
  <c r="I12" i="51" l="1"/>
  <c r="BF12" i="51"/>
  <c r="BM6" i="57" l="1"/>
  <c r="BL6" i="57"/>
  <c r="BQ38" i="57" l="1"/>
  <c r="BQ37" i="57"/>
  <c r="BQ36" i="57"/>
  <c r="BQ31" i="57"/>
  <c r="BQ30" i="57"/>
  <c r="BQ26" i="57"/>
  <c r="BQ25" i="57"/>
  <c r="BQ24" i="57"/>
  <c r="BQ18" i="57"/>
  <c r="BQ7" i="57"/>
  <c r="BQ8" i="57"/>
  <c r="BQ9" i="57"/>
  <c r="BQ10" i="57"/>
  <c r="BQ11" i="57"/>
  <c r="BQ12" i="57"/>
  <c r="BQ13" i="57"/>
  <c r="BQ14" i="57"/>
  <c r="BQ6" i="57"/>
  <c r="BF11" i="48" l="1"/>
  <c r="BF12" i="48"/>
  <c r="F11" i="48"/>
  <c r="D7" i="50" l="1"/>
  <c r="BF30" i="50" l="1"/>
  <c r="I7" i="50" l="1"/>
  <c r="BF11" i="50"/>
  <c r="BF31" i="50"/>
  <c r="F38" i="49" l="1"/>
  <c r="E38" i="49"/>
  <c r="F37" i="49"/>
  <c r="E37" i="49"/>
  <c r="F36" i="49"/>
  <c r="E36" i="49"/>
  <c r="F35" i="49"/>
  <c r="E35" i="49"/>
  <c r="F34" i="49"/>
  <c r="E34" i="49"/>
  <c r="F33" i="49"/>
  <c r="E33" i="49"/>
  <c r="F32" i="49"/>
  <c r="E32" i="49"/>
  <c r="F31" i="49"/>
  <c r="E31" i="49"/>
  <c r="F30" i="49"/>
  <c r="E30" i="49"/>
  <c r="F29" i="49"/>
  <c r="E29" i="49"/>
  <c r="F28" i="49"/>
  <c r="E28" i="49"/>
  <c r="F27" i="49"/>
  <c r="E27" i="49"/>
  <c r="F26" i="49"/>
  <c r="E26" i="49"/>
  <c r="F25" i="49"/>
  <c r="E25" i="49"/>
  <c r="F24" i="49"/>
  <c r="E24" i="49"/>
  <c r="F23" i="49"/>
  <c r="E23" i="49"/>
  <c r="F22" i="49"/>
  <c r="E22" i="49"/>
  <c r="F21" i="49"/>
  <c r="E21" i="49"/>
  <c r="F20" i="49"/>
  <c r="E20" i="49"/>
  <c r="F19" i="49"/>
  <c r="E19" i="49"/>
  <c r="F18" i="49"/>
  <c r="E18" i="49"/>
  <c r="F17" i="49"/>
  <c r="E17" i="49"/>
  <c r="F16" i="49"/>
  <c r="E16" i="49"/>
  <c r="F15" i="49"/>
  <c r="E15" i="49"/>
  <c r="F14" i="49"/>
  <c r="E14" i="49"/>
  <c r="F13" i="49"/>
  <c r="E13" i="49"/>
  <c r="F12" i="49"/>
  <c r="E12" i="49"/>
  <c r="F11" i="49"/>
  <c r="E11" i="49"/>
  <c r="F10" i="49"/>
  <c r="E10" i="49"/>
  <c r="F9" i="49"/>
  <c r="E9" i="49"/>
  <c r="F8" i="49"/>
  <c r="E8" i="49"/>
  <c r="F7" i="49"/>
  <c r="E7" i="49"/>
  <c r="F6" i="49"/>
  <c r="E6" i="49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F8" i="50"/>
  <c r="E8" i="50"/>
  <c r="F7" i="50"/>
  <c r="E7" i="50"/>
  <c r="F6" i="50"/>
  <c r="E6" i="50"/>
  <c r="F38" i="51"/>
  <c r="E38" i="51"/>
  <c r="F37" i="51"/>
  <c r="E37" i="51"/>
  <c r="F36" i="51"/>
  <c r="E36" i="51"/>
  <c r="F35" i="51"/>
  <c r="E35" i="51"/>
  <c r="F34" i="51"/>
  <c r="E34" i="51"/>
  <c r="F33" i="51"/>
  <c r="E33" i="51"/>
  <c r="F32" i="51"/>
  <c r="E32" i="51"/>
  <c r="F31" i="51"/>
  <c r="E31" i="51"/>
  <c r="F30" i="51"/>
  <c r="E30" i="51"/>
  <c r="F29" i="51"/>
  <c r="E29" i="51"/>
  <c r="F28" i="51"/>
  <c r="E28" i="51"/>
  <c r="F27" i="51"/>
  <c r="E27" i="51"/>
  <c r="F26" i="51"/>
  <c r="E26" i="51"/>
  <c r="F25" i="51"/>
  <c r="E25" i="51"/>
  <c r="E24" i="51"/>
  <c r="F23" i="51"/>
  <c r="E23" i="51"/>
  <c r="F22" i="51"/>
  <c r="E22" i="51"/>
  <c r="F21" i="51"/>
  <c r="E21" i="51"/>
  <c r="F20" i="51"/>
  <c r="E20" i="51"/>
  <c r="F19" i="51"/>
  <c r="E19" i="51"/>
  <c r="F17" i="51"/>
  <c r="E17" i="51"/>
  <c r="F16" i="51"/>
  <c r="E16" i="51"/>
  <c r="F15" i="51"/>
  <c r="E15" i="51"/>
  <c r="F14" i="51"/>
  <c r="E14" i="51"/>
  <c r="F13" i="51"/>
  <c r="E13" i="51"/>
  <c r="F12" i="51"/>
  <c r="E12" i="51"/>
  <c r="F11" i="51"/>
  <c r="E11" i="51"/>
  <c r="F10" i="51"/>
  <c r="E10" i="51"/>
  <c r="F9" i="51"/>
  <c r="E9" i="51"/>
  <c r="F8" i="51"/>
  <c r="E8" i="51"/>
  <c r="F7" i="51"/>
  <c r="E7" i="51"/>
  <c r="F6" i="51"/>
  <c r="E6" i="51"/>
  <c r="F38" i="52"/>
  <c r="E38" i="52"/>
  <c r="F37" i="52"/>
  <c r="E37" i="52"/>
  <c r="F36" i="52"/>
  <c r="E36" i="52"/>
  <c r="F35" i="52"/>
  <c r="E35" i="52"/>
  <c r="F34" i="52"/>
  <c r="E34" i="52"/>
  <c r="F33" i="52"/>
  <c r="E33" i="52"/>
  <c r="F32" i="52"/>
  <c r="E32" i="52"/>
  <c r="F31" i="52"/>
  <c r="E31" i="52"/>
  <c r="F30" i="52"/>
  <c r="E30" i="52"/>
  <c r="F29" i="52"/>
  <c r="E29" i="52"/>
  <c r="F28" i="52"/>
  <c r="E28" i="52"/>
  <c r="F27" i="52"/>
  <c r="E27" i="52"/>
  <c r="F26" i="52"/>
  <c r="E26" i="52"/>
  <c r="F25" i="52"/>
  <c r="E25" i="52"/>
  <c r="F24" i="52"/>
  <c r="E24" i="52"/>
  <c r="F23" i="52"/>
  <c r="E23" i="52"/>
  <c r="F22" i="52"/>
  <c r="E22" i="52"/>
  <c r="F21" i="52"/>
  <c r="E21" i="52"/>
  <c r="F20" i="52"/>
  <c r="E20" i="52"/>
  <c r="F19" i="52"/>
  <c r="E19" i="52"/>
  <c r="F18" i="52"/>
  <c r="E18" i="52"/>
  <c r="F17" i="52"/>
  <c r="E17" i="52"/>
  <c r="F16" i="52"/>
  <c r="E16" i="52"/>
  <c r="F15" i="52"/>
  <c r="E15" i="52"/>
  <c r="F14" i="52"/>
  <c r="E14" i="52"/>
  <c r="F13" i="52"/>
  <c r="E13" i="52"/>
  <c r="F12" i="52"/>
  <c r="E12" i="52"/>
  <c r="F11" i="52"/>
  <c r="E11" i="52"/>
  <c r="F10" i="52"/>
  <c r="E10" i="52"/>
  <c r="F9" i="52"/>
  <c r="E9" i="52"/>
  <c r="F8" i="52"/>
  <c r="E8" i="52"/>
  <c r="F7" i="52"/>
  <c r="E7" i="52"/>
  <c r="F6" i="52"/>
  <c r="E6" i="52"/>
  <c r="F38" i="53"/>
  <c r="E38" i="53"/>
  <c r="F37" i="53"/>
  <c r="E37" i="53"/>
  <c r="F36" i="53"/>
  <c r="E36" i="53"/>
  <c r="F35" i="53"/>
  <c r="E35" i="53"/>
  <c r="F34" i="53"/>
  <c r="E34" i="53"/>
  <c r="F33" i="53"/>
  <c r="E33" i="53"/>
  <c r="F32" i="53"/>
  <c r="E32" i="53"/>
  <c r="F31" i="53"/>
  <c r="E31" i="53"/>
  <c r="F30" i="53"/>
  <c r="E30" i="53"/>
  <c r="F29" i="53"/>
  <c r="E29" i="53"/>
  <c r="F28" i="53"/>
  <c r="E28" i="53"/>
  <c r="F27" i="53"/>
  <c r="E27" i="53"/>
  <c r="F26" i="53"/>
  <c r="E26" i="53"/>
  <c r="F25" i="53"/>
  <c r="E25" i="53"/>
  <c r="F24" i="53"/>
  <c r="E24" i="53"/>
  <c r="F23" i="53"/>
  <c r="E23" i="53"/>
  <c r="F22" i="53"/>
  <c r="E22" i="53"/>
  <c r="F21" i="53"/>
  <c r="E21" i="53"/>
  <c r="F20" i="53"/>
  <c r="E20" i="53"/>
  <c r="F19" i="53"/>
  <c r="E19" i="53"/>
  <c r="F18" i="53"/>
  <c r="E18" i="53"/>
  <c r="F17" i="53"/>
  <c r="E17" i="53"/>
  <c r="F16" i="53"/>
  <c r="E16" i="53"/>
  <c r="F15" i="53"/>
  <c r="E15" i="53"/>
  <c r="F14" i="53"/>
  <c r="E14" i="53"/>
  <c r="F13" i="53"/>
  <c r="E13" i="53"/>
  <c r="F12" i="53"/>
  <c r="E12" i="53"/>
  <c r="F11" i="53"/>
  <c r="E11" i="53"/>
  <c r="F10" i="53"/>
  <c r="E10" i="53"/>
  <c r="F9" i="53"/>
  <c r="E9" i="53"/>
  <c r="F8" i="53"/>
  <c r="E8" i="53"/>
  <c r="F7" i="53"/>
  <c r="E7" i="53"/>
  <c r="F6" i="53"/>
  <c r="E6" i="53"/>
  <c r="F38" i="54"/>
  <c r="E38" i="54"/>
  <c r="F37" i="54"/>
  <c r="E37" i="54"/>
  <c r="F36" i="54"/>
  <c r="E36" i="54"/>
  <c r="F35" i="54"/>
  <c r="E35" i="54"/>
  <c r="F34" i="54"/>
  <c r="E34" i="54"/>
  <c r="F33" i="54"/>
  <c r="E33" i="54"/>
  <c r="F32" i="54"/>
  <c r="E32" i="54"/>
  <c r="F31" i="54"/>
  <c r="E31" i="54"/>
  <c r="F30" i="54"/>
  <c r="E30" i="54"/>
  <c r="F29" i="54"/>
  <c r="E29" i="54"/>
  <c r="F28" i="54"/>
  <c r="E28" i="54"/>
  <c r="E27" i="54"/>
  <c r="F26" i="54"/>
  <c r="E26" i="54"/>
  <c r="F25" i="54"/>
  <c r="E25" i="54"/>
  <c r="F24" i="54"/>
  <c r="E24" i="54"/>
  <c r="F23" i="54"/>
  <c r="E23" i="54"/>
  <c r="F22" i="54"/>
  <c r="E22" i="54"/>
  <c r="F21" i="54"/>
  <c r="E21" i="54"/>
  <c r="F20" i="54"/>
  <c r="E20" i="54"/>
  <c r="F19" i="54"/>
  <c r="E19" i="54"/>
  <c r="F18" i="54"/>
  <c r="E18" i="54"/>
  <c r="F17" i="54"/>
  <c r="E17" i="54"/>
  <c r="F16" i="54"/>
  <c r="E16" i="54"/>
  <c r="F15" i="54"/>
  <c r="E15" i="54"/>
  <c r="F14" i="54"/>
  <c r="E14" i="54"/>
  <c r="F13" i="54"/>
  <c r="E13" i="54"/>
  <c r="F12" i="54"/>
  <c r="E12" i="54"/>
  <c r="F11" i="54"/>
  <c r="E11" i="54"/>
  <c r="F10" i="54"/>
  <c r="E10" i="54"/>
  <c r="F9" i="54"/>
  <c r="E9" i="54"/>
  <c r="F8" i="54"/>
  <c r="E8" i="54"/>
  <c r="F7" i="54"/>
  <c r="E7" i="54"/>
  <c r="F6" i="54"/>
  <c r="E6" i="54"/>
  <c r="F38" i="55"/>
  <c r="E38" i="55"/>
  <c r="F37" i="55"/>
  <c r="E37" i="55"/>
  <c r="F36" i="55"/>
  <c r="E36" i="55"/>
  <c r="E35" i="55"/>
  <c r="F34" i="55"/>
  <c r="E34" i="55"/>
  <c r="F33" i="55"/>
  <c r="E33" i="55"/>
  <c r="F32" i="55"/>
  <c r="E32" i="55"/>
  <c r="F31" i="55"/>
  <c r="E31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E22" i="55"/>
  <c r="F21" i="55"/>
  <c r="E21" i="55"/>
  <c r="F20" i="55"/>
  <c r="E20" i="55"/>
  <c r="F19" i="55"/>
  <c r="E19" i="55"/>
  <c r="F18" i="55"/>
  <c r="E18" i="55"/>
  <c r="F17" i="55"/>
  <c r="E17" i="55"/>
  <c r="F16" i="55"/>
  <c r="E16" i="55"/>
  <c r="F15" i="55"/>
  <c r="E15" i="55"/>
  <c r="F14" i="55"/>
  <c r="E14" i="55"/>
  <c r="F13" i="55"/>
  <c r="E13" i="55"/>
  <c r="F12" i="55"/>
  <c r="E12" i="55"/>
  <c r="F11" i="55"/>
  <c r="E11" i="55"/>
  <c r="F10" i="55"/>
  <c r="E10" i="55"/>
  <c r="F9" i="55"/>
  <c r="E9" i="55"/>
  <c r="F8" i="55"/>
  <c r="E8" i="55"/>
  <c r="F7" i="55"/>
  <c r="E7" i="55"/>
  <c r="F6" i="55"/>
  <c r="E6" i="55"/>
  <c r="F38" i="56"/>
  <c r="E38" i="56"/>
  <c r="F37" i="56"/>
  <c r="E37" i="56"/>
  <c r="F36" i="56"/>
  <c r="E36" i="56"/>
  <c r="F35" i="56"/>
  <c r="E35" i="56"/>
  <c r="F34" i="56"/>
  <c r="E34" i="56"/>
  <c r="F33" i="56"/>
  <c r="E33" i="56"/>
  <c r="F32" i="56"/>
  <c r="E32" i="56"/>
  <c r="F31" i="56"/>
  <c r="E31" i="56"/>
  <c r="F30" i="56"/>
  <c r="E30" i="56"/>
  <c r="F29" i="56"/>
  <c r="E29" i="56"/>
  <c r="F28" i="56"/>
  <c r="E28" i="56"/>
  <c r="F27" i="56"/>
  <c r="AZ27" i="56" s="1"/>
  <c r="E27" i="56"/>
  <c r="F26" i="56"/>
  <c r="E26" i="56"/>
  <c r="F25" i="56"/>
  <c r="E25" i="56"/>
  <c r="F24" i="56"/>
  <c r="E24" i="56"/>
  <c r="F23" i="56"/>
  <c r="E23" i="56"/>
  <c r="F22" i="56"/>
  <c r="E22" i="56"/>
  <c r="F21" i="56"/>
  <c r="AZ21" i="56" s="1"/>
  <c r="E21" i="56"/>
  <c r="F20" i="56"/>
  <c r="E20" i="56"/>
  <c r="F19" i="56"/>
  <c r="E19" i="56"/>
  <c r="F18" i="56"/>
  <c r="E18" i="56"/>
  <c r="F17" i="56"/>
  <c r="E17" i="56"/>
  <c r="F16" i="56"/>
  <c r="E16" i="56"/>
  <c r="F15" i="56"/>
  <c r="E15" i="56"/>
  <c r="F14" i="56"/>
  <c r="E14" i="56"/>
  <c r="F13" i="56"/>
  <c r="E13" i="56"/>
  <c r="F12" i="56"/>
  <c r="F11" i="56"/>
  <c r="E11" i="56"/>
  <c r="F10" i="56"/>
  <c r="E8" i="56"/>
  <c r="F7" i="56"/>
  <c r="AZ7" i="56" s="1"/>
  <c r="E7" i="56"/>
  <c r="F6" i="56"/>
  <c r="E6" i="56"/>
  <c r="AN18" i="48" l="1"/>
  <c r="AN25" i="48"/>
  <c r="E36" i="48"/>
  <c r="BF8" i="56" l="1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2" i="56"/>
  <c r="BF23" i="56"/>
  <c r="BF24" i="56"/>
  <c r="BF25" i="56"/>
  <c r="BF26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3" i="51"/>
  <c r="BF14" i="51"/>
  <c r="BF15" i="51"/>
  <c r="BF16" i="51"/>
  <c r="BF17" i="51"/>
  <c r="BF18" i="51"/>
  <c r="BF19" i="51"/>
  <c r="BF21" i="51"/>
  <c r="BF22" i="51"/>
  <c r="BF24" i="51"/>
  <c r="BF25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B38" i="57" l="1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7" i="57"/>
  <c r="BA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M20" i="57"/>
  <c r="AL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I11" i="57"/>
  <c r="AN10" i="57"/>
  <c r="AM10" i="57"/>
  <c r="AL10" i="57"/>
  <c r="AK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Y6" i="57"/>
  <c r="X6" i="57"/>
  <c r="W6" i="57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Q45" i="57"/>
  <c r="BQ40" i="57"/>
  <c r="BL40" i="57"/>
  <c r="BE40" i="57"/>
  <c r="BC40" i="57"/>
  <c r="AV40" i="57"/>
  <c r="AU40" i="57"/>
  <c r="AT40" i="57"/>
  <c r="AP40" i="57"/>
  <c r="AO40" i="57"/>
  <c r="AG40" i="57"/>
  <c r="AF40" i="57"/>
  <c r="AA40" i="57"/>
  <c r="N40" i="57"/>
  <c r="L40" i="57"/>
  <c r="J40" i="57"/>
  <c r="B38" i="57"/>
  <c r="B37" i="57"/>
  <c r="B36" i="57"/>
  <c r="B35" i="57"/>
  <c r="B34" i="57"/>
  <c r="BQ33" i="57"/>
  <c r="BQ34" i="57" s="1"/>
  <c r="B33" i="57"/>
  <c r="B32" i="57"/>
  <c r="B31" i="57"/>
  <c r="B30" i="57"/>
  <c r="B29" i="57"/>
  <c r="BQ28" i="57"/>
  <c r="B28" i="57"/>
  <c r="B27" i="57"/>
  <c r="B26" i="57"/>
  <c r="B25" i="57"/>
  <c r="B24" i="57"/>
  <c r="B23" i="57"/>
  <c r="BQ22" i="57"/>
  <c r="BM40" i="57" s="1"/>
  <c r="B22" i="57"/>
  <c r="B21" i="57"/>
  <c r="B20" i="57"/>
  <c r="B19" i="57"/>
  <c r="B18" i="57"/>
  <c r="B17" i="57"/>
  <c r="BQ16" i="57"/>
  <c r="B16" i="57"/>
  <c r="B15" i="57"/>
  <c r="B14" i="57"/>
  <c r="B13" i="57"/>
  <c r="B12" i="57"/>
  <c r="B11" i="57"/>
  <c r="B10" i="57"/>
  <c r="B9" i="57"/>
  <c r="B8" i="57"/>
  <c r="B7" i="57"/>
  <c r="B6" i="57"/>
  <c r="BQ45" i="56"/>
  <c r="BQ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B38" i="56"/>
  <c r="AY37" i="56"/>
  <c r="AX37" i="56"/>
  <c r="AW37" i="56"/>
  <c r="B37" i="56"/>
  <c r="AY36" i="56"/>
  <c r="AX36" i="56"/>
  <c r="AW36" i="56"/>
  <c r="B36" i="56"/>
  <c r="AY35" i="56"/>
  <c r="AX35" i="56"/>
  <c r="AW35" i="56"/>
  <c r="B35" i="56"/>
  <c r="AY34" i="56"/>
  <c r="AX34" i="56"/>
  <c r="AW34" i="56"/>
  <c r="B34" i="56"/>
  <c r="BQ33" i="56"/>
  <c r="AY33" i="56"/>
  <c r="AX33" i="56"/>
  <c r="AW33" i="56"/>
  <c r="B33" i="56"/>
  <c r="AY32" i="56"/>
  <c r="AX32" i="56"/>
  <c r="AW32" i="56"/>
  <c r="AZ32" i="56" s="1"/>
  <c r="BD32" i="56" s="1"/>
  <c r="B32" i="56"/>
  <c r="AY31" i="56"/>
  <c r="AX31" i="56"/>
  <c r="AW31" i="56"/>
  <c r="AZ31" i="56" s="1"/>
  <c r="BD31" i="56" s="1"/>
  <c r="B31" i="56"/>
  <c r="AY30" i="56"/>
  <c r="AX30" i="56"/>
  <c r="AW30" i="56"/>
  <c r="B30" i="56"/>
  <c r="AY29" i="56"/>
  <c r="AX29" i="56"/>
  <c r="AZ29" i="56" s="1"/>
  <c r="AW29" i="56"/>
  <c r="B29" i="56"/>
  <c r="BQ28" i="56"/>
  <c r="AY28" i="56"/>
  <c r="AX28" i="56"/>
  <c r="AW28" i="56"/>
  <c r="AZ28" i="56" s="1"/>
  <c r="BD28" i="56" s="1"/>
  <c r="B28" i="56"/>
  <c r="AY27" i="56"/>
  <c r="AX27" i="56"/>
  <c r="AW27" i="56"/>
  <c r="B27" i="56"/>
  <c r="AY26" i="56"/>
  <c r="AX26" i="56"/>
  <c r="AZ26" i="56" s="1"/>
  <c r="BD26" i="56" s="1"/>
  <c r="AW26" i="56"/>
  <c r="B26" i="56"/>
  <c r="AY25" i="56"/>
  <c r="AX25" i="56"/>
  <c r="AW25" i="56"/>
  <c r="B25" i="56"/>
  <c r="AY24" i="56"/>
  <c r="AX24" i="56"/>
  <c r="AW24" i="56"/>
  <c r="B24" i="56"/>
  <c r="AY23" i="56"/>
  <c r="AX23" i="56"/>
  <c r="AW23" i="56"/>
  <c r="B23" i="56"/>
  <c r="BQ22" i="56"/>
  <c r="BN6" i="56" s="1"/>
  <c r="AY22" i="56"/>
  <c r="AX22" i="56"/>
  <c r="AW22" i="56"/>
  <c r="AZ22" i="56" s="1"/>
  <c r="BD22" i="56" s="1"/>
  <c r="B22" i="56"/>
  <c r="AY21" i="56"/>
  <c r="AX21" i="56"/>
  <c r="AW21" i="56"/>
  <c r="BD21" i="56" s="1"/>
  <c r="B21" i="56"/>
  <c r="AY20" i="56"/>
  <c r="AX20" i="56"/>
  <c r="AW20" i="56"/>
  <c r="AZ20" i="56" s="1"/>
  <c r="B20" i="56"/>
  <c r="AY19" i="56"/>
  <c r="AX19" i="56"/>
  <c r="AW19" i="56"/>
  <c r="AZ19" i="56" s="1"/>
  <c r="B19" i="56"/>
  <c r="AY18" i="56"/>
  <c r="AX18" i="56"/>
  <c r="AW18" i="56"/>
  <c r="AZ18" i="56" s="1"/>
  <c r="BD18" i="56" s="1"/>
  <c r="B18" i="56"/>
  <c r="AY17" i="56"/>
  <c r="AX17" i="56"/>
  <c r="AW17" i="56"/>
  <c r="AZ17" i="56" s="1"/>
  <c r="BD17" i="56" s="1"/>
  <c r="B17" i="56"/>
  <c r="BQ16" i="56"/>
  <c r="BH6" i="56" s="1"/>
  <c r="AZ6" i="56" s="1"/>
  <c r="BD6" i="56" s="1"/>
  <c r="AY16" i="56"/>
  <c r="AX16" i="56"/>
  <c r="AW16" i="56"/>
  <c r="AZ16" i="56" s="1"/>
  <c r="BD16" i="56" s="1"/>
  <c r="B16" i="56"/>
  <c r="AY15" i="56"/>
  <c r="AX15" i="56"/>
  <c r="AW15" i="56"/>
  <c r="B15" i="56"/>
  <c r="AY14" i="56"/>
  <c r="AX14" i="56"/>
  <c r="AW14" i="56"/>
  <c r="AZ14" i="56"/>
  <c r="BD14" i="56" s="1"/>
  <c r="B14" i="56"/>
  <c r="AY13" i="56"/>
  <c r="AX13" i="56"/>
  <c r="AW13" i="56"/>
  <c r="AZ13" i="56" s="1"/>
  <c r="BD13" i="56" s="1"/>
  <c r="B13" i="56"/>
  <c r="AY12" i="56"/>
  <c r="AX12" i="56"/>
  <c r="AW12" i="56"/>
  <c r="B12" i="56"/>
  <c r="AY11" i="56"/>
  <c r="AX11" i="56"/>
  <c r="AW11" i="56"/>
  <c r="AZ11" i="56" s="1"/>
  <c r="BD11" i="56" s="1"/>
  <c r="B11" i="56"/>
  <c r="AY10" i="56"/>
  <c r="AX10" i="56"/>
  <c r="AZ10" i="56" s="1"/>
  <c r="BD10" i="56" s="1"/>
  <c r="AW10" i="56"/>
  <c r="B10" i="56"/>
  <c r="AY9" i="56"/>
  <c r="AX9" i="56"/>
  <c r="AW9" i="56"/>
  <c r="B9" i="56"/>
  <c r="AY8" i="56"/>
  <c r="AX8" i="56"/>
  <c r="AZ8" i="56" s="1"/>
  <c r="BD8" i="56" s="1"/>
  <c r="AW8" i="56"/>
  <c r="B8" i="56"/>
  <c r="AY7" i="56"/>
  <c r="AX7" i="56"/>
  <c r="AW7" i="56"/>
  <c r="B7" i="56"/>
  <c r="BM40" i="56"/>
  <c r="BK40" i="56"/>
  <c r="BI6" i="56"/>
  <c r="BI40" i="56" s="1"/>
  <c r="BF6" i="56"/>
  <c r="AY6" i="56"/>
  <c r="AX6" i="56"/>
  <c r="AW6" i="56"/>
  <c r="B6" i="56"/>
  <c r="BQ45" i="55"/>
  <c r="BQ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B38" i="55"/>
  <c r="AY37" i="55"/>
  <c r="AX37" i="55"/>
  <c r="AZ37" i="55" s="1"/>
  <c r="BD37" i="55" s="1"/>
  <c r="AW37" i="55"/>
  <c r="B37" i="55"/>
  <c r="AY36" i="55"/>
  <c r="AX36" i="55"/>
  <c r="AW36" i="55"/>
  <c r="B36" i="55"/>
  <c r="AY35" i="55"/>
  <c r="AX35" i="55"/>
  <c r="AW35" i="55"/>
  <c r="B35" i="55"/>
  <c r="AY34" i="55"/>
  <c r="AX34" i="55"/>
  <c r="AW34" i="55"/>
  <c r="B34" i="55"/>
  <c r="BQ33" i="55"/>
  <c r="BQ34" i="55" s="1"/>
  <c r="AY33" i="55"/>
  <c r="AX33" i="55"/>
  <c r="AW33" i="55"/>
  <c r="B33" i="55"/>
  <c r="AY32" i="55"/>
  <c r="AX32" i="55"/>
  <c r="AZ32" i="55" s="1"/>
  <c r="BD32" i="55" s="1"/>
  <c r="AW32" i="55"/>
  <c r="B32" i="55"/>
  <c r="AY31" i="55"/>
  <c r="AX31" i="55"/>
  <c r="AW31" i="55"/>
  <c r="B31" i="55"/>
  <c r="AY30" i="55"/>
  <c r="AX30" i="55"/>
  <c r="AW30" i="55"/>
  <c r="B30" i="55"/>
  <c r="AY29" i="55"/>
  <c r="AX29" i="55"/>
  <c r="AW29" i="55"/>
  <c r="B29" i="55"/>
  <c r="BI6" i="55"/>
  <c r="BI40" i="55" s="1"/>
  <c r="AY28" i="55"/>
  <c r="AX28" i="55"/>
  <c r="AW28" i="55"/>
  <c r="AZ28" i="55" s="1"/>
  <c r="BD28" i="55" s="1"/>
  <c r="B28" i="55"/>
  <c r="AY27" i="55"/>
  <c r="AX27" i="55"/>
  <c r="AW27" i="55"/>
  <c r="AZ27" i="55" s="1"/>
  <c r="BD27" i="55" s="1"/>
  <c r="B27" i="55"/>
  <c r="AY26" i="55"/>
  <c r="AX26" i="55"/>
  <c r="AW26" i="55"/>
  <c r="AZ26" i="55" s="1"/>
  <c r="BD26" i="55" s="1"/>
  <c r="B26" i="55"/>
  <c r="AY25" i="55"/>
  <c r="AX25" i="55"/>
  <c r="AW25" i="55"/>
  <c r="AZ25" i="55" s="1"/>
  <c r="BD25" i="55" s="1"/>
  <c r="B25" i="55"/>
  <c r="AY24" i="55"/>
  <c r="AX24" i="55"/>
  <c r="AW24" i="55"/>
  <c r="B24" i="55"/>
  <c r="AY23" i="55"/>
  <c r="AX23" i="55"/>
  <c r="AZ23" i="55" s="1"/>
  <c r="BD23" i="55" s="1"/>
  <c r="AW23" i="55"/>
  <c r="B23" i="55"/>
  <c r="BQ22" i="55"/>
  <c r="BN6" i="55" s="1"/>
  <c r="AY22" i="55"/>
  <c r="AX22" i="55"/>
  <c r="AW22" i="55"/>
  <c r="AZ22" i="55"/>
  <c r="BD22" i="55" s="1"/>
  <c r="B22" i="55"/>
  <c r="AY21" i="55"/>
  <c r="AX21" i="55"/>
  <c r="AW21" i="55"/>
  <c r="AZ21" i="55" s="1"/>
  <c r="BD21" i="55" s="1"/>
  <c r="B21" i="55"/>
  <c r="AY20" i="55"/>
  <c r="AX20" i="55"/>
  <c r="AW20" i="55"/>
  <c r="B20" i="55"/>
  <c r="AY19" i="55"/>
  <c r="AX19" i="55"/>
  <c r="AW19" i="55"/>
  <c r="B19" i="55"/>
  <c r="AY18" i="55"/>
  <c r="AX18" i="55"/>
  <c r="AW18" i="55"/>
  <c r="B18" i="55"/>
  <c r="AY17" i="55"/>
  <c r="AX17" i="55"/>
  <c r="AW17" i="55"/>
  <c r="B17" i="55"/>
  <c r="BQ16" i="55"/>
  <c r="BH6" i="55" s="1"/>
  <c r="BH40" i="55" s="1"/>
  <c r="AY16" i="55"/>
  <c r="AX16" i="55"/>
  <c r="AW16" i="55"/>
  <c r="B16" i="55"/>
  <c r="AY15" i="55"/>
  <c r="AX15" i="55"/>
  <c r="AZ15" i="55" s="1"/>
  <c r="BD15" i="55" s="1"/>
  <c r="AW15" i="55"/>
  <c r="B15" i="55"/>
  <c r="AY14" i="55"/>
  <c r="AX14" i="55"/>
  <c r="AW14" i="55"/>
  <c r="B14" i="55"/>
  <c r="AY13" i="55"/>
  <c r="AX13" i="55"/>
  <c r="AZ13" i="55" s="1"/>
  <c r="BD13" i="55" s="1"/>
  <c r="AW13" i="55"/>
  <c r="B13" i="55"/>
  <c r="AY12" i="55"/>
  <c r="AX12" i="55"/>
  <c r="AW12" i="55"/>
  <c r="B12" i="55"/>
  <c r="AY11" i="55"/>
  <c r="AX11" i="55"/>
  <c r="AZ11" i="55" s="1"/>
  <c r="BD11" i="55" s="1"/>
  <c r="AW11" i="55"/>
  <c r="B11" i="55"/>
  <c r="AY10" i="55"/>
  <c r="AX10" i="55"/>
  <c r="AW10" i="55"/>
  <c r="B10" i="55"/>
  <c r="AY9" i="55"/>
  <c r="AX9" i="55"/>
  <c r="AW9" i="55"/>
  <c r="AZ9" i="55" s="1"/>
  <c r="BD9" i="55" s="1"/>
  <c r="B9" i="55"/>
  <c r="AY8" i="55"/>
  <c r="AZ8" i="55" s="1"/>
  <c r="BD8" i="55" s="1"/>
  <c r="AX8" i="55"/>
  <c r="AW8" i="55"/>
  <c r="B8" i="55"/>
  <c r="AY7" i="55"/>
  <c r="AX7" i="55"/>
  <c r="AW7" i="55"/>
  <c r="B7" i="55"/>
  <c r="BM40" i="55"/>
  <c r="BK40" i="55"/>
  <c r="BJ6" i="55"/>
  <c r="BJ40" i="55" s="1"/>
  <c r="BF6" i="55"/>
  <c r="AY6" i="55"/>
  <c r="AX6" i="55"/>
  <c r="AW6" i="55"/>
  <c r="B6" i="55"/>
  <c r="BQ45" i="54"/>
  <c r="BQ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B38" i="54"/>
  <c r="AY37" i="54"/>
  <c r="AX37" i="54"/>
  <c r="AW37" i="54"/>
  <c r="AZ37" i="54" s="1"/>
  <c r="BD37" i="54" s="1"/>
  <c r="B37" i="54"/>
  <c r="AY36" i="54"/>
  <c r="AX36" i="54"/>
  <c r="AW36" i="54"/>
  <c r="B36" i="54"/>
  <c r="AY35" i="54"/>
  <c r="AX35" i="54"/>
  <c r="AW35" i="54"/>
  <c r="B35" i="54"/>
  <c r="AY34" i="54"/>
  <c r="AX34" i="54"/>
  <c r="AW34" i="54"/>
  <c r="B34" i="54"/>
  <c r="BQ33" i="54"/>
  <c r="BQ34" i="54" s="1"/>
  <c r="AY33" i="54"/>
  <c r="AX33" i="54"/>
  <c r="AW33" i="54"/>
  <c r="B33" i="54"/>
  <c r="AY32" i="54"/>
  <c r="AX32" i="54"/>
  <c r="AW32" i="54"/>
  <c r="B32" i="54"/>
  <c r="AY31" i="54"/>
  <c r="AX31" i="54"/>
  <c r="AW31" i="54"/>
  <c r="B31" i="54"/>
  <c r="AY30" i="54"/>
  <c r="AX30" i="54"/>
  <c r="AW30" i="54"/>
  <c r="B30" i="54"/>
  <c r="AY29" i="54"/>
  <c r="AX29" i="54"/>
  <c r="AW29" i="54"/>
  <c r="B29" i="54"/>
  <c r="BQ28" i="54"/>
  <c r="BI6" i="54" s="1"/>
  <c r="AY28" i="54"/>
  <c r="AX28" i="54"/>
  <c r="AW28" i="54"/>
  <c r="AZ28" i="54" s="1"/>
  <c r="BD28" i="54" s="1"/>
  <c r="B28" i="54"/>
  <c r="AY27" i="54"/>
  <c r="AX27" i="54"/>
  <c r="AW27" i="54"/>
  <c r="B27" i="54"/>
  <c r="AY26" i="54"/>
  <c r="AX26" i="54"/>
  <c r="AW26" i="54"/>
  <c r="AZ26" i="54" s="1"/>
  <c r="BD26" i="54" s="1"/>
  <c r="B26" i="54"/>
  <c r="AY25" i="54"/>
  <c r="AX25" i="54"/>
  <c r="AW25" i="54"/>
  <c r="B25" i="54"/>
  <c r="AY24" i="54"/>
  <c r="AX24" i="54"/>
  <c r="AW24" i="54"/>
  <c r="AZ24" i="54" s="1"/>
  <c r="BD24" i="54" s="1"/>
  <c r="B24" i="54"/>
  <c r="AY23" i="54"/>
  <c r="AX23" i="54"/>
  <c r="AW23" i="54"/>
  <c r="B23" i="54"/>
  <c r="BQ22" i="54"/>
  <c r="BN6" i="54" s="1"/>
  <c r="AY22" i="54"/>
  <c r="AX22" i="54"/>
  <c r="AW22" i="54"/>
  <c r="B22" i="54"/>
  <c r="AY21" i="54"/>
  <c r="AX21" i="54"/>
  <c r="AW21" i="54"/>
  <c r="B21" i="54"/>
  <c r="AY20" i="54"/>
  <c r="AX20" i="54"/>
  <c r="AW20" i="54"/>
  <c r="B20" i="54"/>
  <c r="AY19" i="54"/>
  <c r="AX19" i="54"/>
  <c r="AW19" i="54"/>
  <c r="B19" i="54"/>
  <c r="AY18" i="54"/>
  <c r="AX18" i="54"/>
  <c r="AZ18" i="54" s="1"/>
  <c r="BD18" i="54" s="1"/>
  <c r="AW18" i="54"/>
  <c r="B18" i="54"/>
  <c r="AY17" i="54"/>
  <c r="AX17" i="54"/>
  <c r="AW17" i="54"/>
  <c r="B17" i="54"/>
  <c r="BQ16" i="54"/>
  <c r="BH6" i="54" s="1"/>
  <c r="AY16" i="54"/>
  <c r="AX16" i="54"/>
  <c r="AW16" i="54"/>
  <c r="B16" i="54"/>
  <c r="AY15" i="54"/>
  <c r="AX15" i="54"/>
  <c r="AW15" i="54"/>
  <c r="B15" i="54"/>
  <c r="AY14" i="54"/>
  <c r="AX14" i="54"/>
  <c r="AW14" i="54"/>
  <c r="B14" i="54"/>
  <c r="AY13" i="54"/>
  <c r="AX13" i="54"/>
  <c r="AW13" i="54"/>
  <c r="B13" i="54"/>
  <c r="AY12" i="54"/>
  <c r="AX12" i="54"/>
  <c r="AW12" i="54"/>
  <c r="B12" i="54"/>
  <c r="AY11" i="54"/>
  <c r="AX11" i="54"/>
  <c r="AW11" i="54"/>
  <c r="B11" i="54"/>
  <c r="AY10" i="54"/>
  <c r="AX10" i="54"/>
  <c r="AW10" i="54"/>
  <c r="B10" i="54"/>
  <c r="AY9" i="54"/>
  <c r="AZ9" i="54" s="1"/>
  <c r="BD9" i="54" s="1"/>
  <c r="AX9" i="54"/>
  <c r="AW9" i="54"/>
  <c r="B9" i="54"/>
  <c r="AY8" i="54"/>
  <c r="AX8" i="54"/>
  <c r="AW8" i="54"/>
  <c r="B8" i="54"/>
  <c r="AY7" i="54"/>
  <c r="AX7" i="54"/>
  <c r="AW7" i="54"/>
  <c r="B7" i="54"/>
  <c r="BM40" i="54"/>
  <c r="BK6" i="54"/>
  <c r="BJ6" i="54"/>
  <c r="BF6" i="54"/>
  <c r="AY6" i="54"/>
  <c r="AX6" i="54"/>
  <c r="AW6" i="54"/>
  <c r="B6" i="54"/>
  <c r="BQ45" i="53"/>
  <c r="BQ40" i="53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B38" i="53"/>
  <c r="AY37" i="53"/>
  <c r="AX37" i="53"/>
  <c r="AW37" i="53"/>
  <c r="B37" i="53"/>
  <c r="AY36" i="53"/>
  <c r="AX36" i="53"/>
  <c r="AW36" i="53"/>
  <c r="AZ36" i="53" s="1"/>
  <c r="BD36" i="53" s="1"/>
  <c r="B36" i="53"/>
  <c r="AY35" i="53"/>
  <c r="AX35" i="53"/>
  <c r="AW35" i="53"/>
  <c r="B35" i="53"/>
  <c r="AY34" i="53"/>
  <c r="AX34" i="53"/>
  <c r="AW34" i="53"/>
  <c r="AZ34" i="53"/>
  <c r="BD34" i="53" s="1"/>
  <c r="B34" i="53"/>
  <c r="BQ33" i="53"/>
  <c r="BQ34" i="53" s="1"/>
  <c r="AY33" i="53"/>
  <c r="AX33" i="53"/>
  <c r="AW33" i="53"/>
  <c r="B33" i="53"/>
  <c r="AY32" i="53"/>
  <c r="AX32" i="53"/>
  <c r="AW32" i="53"/>
  <c r="B32" i="53"/>
  <c r="AY31" i="53"/>
  <c r="AX31" i="53"/>
  <c r="AW31" i="53"/>
  <c r="B31" i="53"/>
  <c r="AY30" i="53"/>
  <c r="AX30" i="53"/>
  <c r="AW30" i="53"/>
  <c r="B30" i="53"/>
  <c r="AY29" i="53"/>
  <c r="AX29" i="53"/>
  <c r="AW29" i="53"/>
  <c r="B29" i="53"/>
  <c r="BQ28" i="53"/>
  <c r="AY28" i="53"/>
  <c r="AX28" i="53"/>
  <c r="AW28" i="53"/>
  <c r="B28" i="53"/>
  <c r="AY27" i="53"/>
  <c r="AX27" i="53"/>
  <c r="AW27" i="53"/>
  <c r="AZ27" i="53" s="1"/>
  <c r="BD27" i="53" s="1"/>
  <c r="B27" i="53"/>
  <c r="AY26" i="53"/>
  <c r="AX26" i="53"/>
  <c r="AW26" i="53"/>
  <c r="B26" i="53"/>
  <c r="AY25" i="53"/>
  <c r="AX25" i="53"/>
  <c r="AW25" i="53"/>
  <c r="B25" i="53"/>
  <c r="AY24" i="53"/>
  <c r="AX24" i="53"/>
  <c r="AW24" i="53"/>
  <c r="B24" i="53"/>
  <c r="AY23" i="53"/>
  <c r="AX23" i="53"/>
  <c r="AW23" i="53"/>
  <c r="B23" i="53"/>
  <c r="BQ22" i="53"/>
  <c r="BN6" i="53" s="1"/>
  <c r="AY22" i="53"/>
  <c r="AX22" i="53"/>
  <c r="AW22" i="53"/>
  <c r="AZ22" i="53" s="1"/>
  <c r="BD22" i="53" s="1"/>
  <c r="B22" i="53"/>
  <c r="AY21" i="53"/>
  <c r="AX21" i="53"/>
  <c r="AW21" i="53"/>
  <c r="B21" i="53"/>
  <c r="AY20" i="53"/>
  <c r="AX20" i="53"/>
  <c r="AZ20" i="53" s="1"/>
  <c r="BD20" i="53" s="1"/>
  <c r="AW20" i="53"/>
  <c r="B20" i="53"/>
  <c r="AY19" i="53"/>
  <c r="AX19" i="53"/>
  <c r="AZ19" i="53" s="1"/>
  <c r="BD19" i="53" s="1"/>
  <c r="AW19" i="53"/>
  <c r="B19" i="53"/>
  <c r="AY18" i="53"/>
  <c r="AX18" i="53"/>
  <c r="AW18" i="53"/>
  <c r="B18" i="53"/>
  <c r="AY17" i="53"/>
  <c r="AX17" i="53"/>
  <c r="AW17" i="53"/>
  <c r="B17" i="53"/>
  <c r="BQ16" i="53"/>
  <c r="BH6" i="53" s="1"/>
  <c r="AY16" i="53"/>
  <c r="AX16" i="53"/>
  <c r="AW16" i="53"/>
  <c r="B16" i="53"/>
  <c r="AY15" i="53"/>
  <c r="AX15" i="53"/>
  <c r="AW15" i="53"/>
  <c r="AZ15" i="53" s="1"/>
  <c r="BD15" i="53" s="1"/>
  <c r="B15" i="53"/>
  <c r="AY14" i="53"/>
  <c r="AX14" i="53"/>
  <c r="AW14" i="53"/>
  <c r="B14" i="53"/>
  <c r="AY13" i="53"/>
  <c r="AX13" i="53"/>
  <c r="AZ13" i="53" s="1"/>
  <c r="BD13" i="53" s="1"/>
  <c r="AW13" i="53"/>
  <c r="B13" i="53"/>
  <c r="AY12" i="53"/>
  <c r="AX12" i="53"/>
  <c r="AW12" i="53"/>
  <c r="AZ12" i="53" s="1"/>
  <c r="BD12" i="53" s="1"/>
  <c r="B12" i="53"/>
  <c r="AY11" i="53"/>
  <c r="AX11" i="53"/>
  <c r="AW11" i="53"/>
  <c r="B11" i="53"/>
  <c r="AY10" i="53"/>
  <c r="AX10" i="53"/>
  <c r="AW10" i="53"/>
  <c r="B10" i="53"/>
  <c r="AY9" i="53"/>
  <c r="AX9" i="53"/>
  <c r="AW9" i="53"/>
  <c r="B9" i="53"/>
  <c r="AY8" i="53"/>
  <c r="AX8" i="53"/>
  <c r="AW8" i="53"/>
  <c r="B8" i="53"/>
  <c r="AY7" i="53"/>
  <c r="AX7" i="53"/>
  <c r="AW7" i="53"/>
  <c r="B7" i="53"/>
  <c r="BM40" i="53"/>
  <c r="BI6" i="53"/>
  <c r="BF6" i="53"/>
  <c r="AY6" i="53"/>
  <c r="AX6" i="53"/>
  <c r="AW6" i="53"/>
  <c r="B6" i="53"/>
  <c r="BQ45" i="52"/>
  <c r="BQ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B38" i="52"/>
  <c r="AY37" i="52"/>
  <c r="AX37" i="52"/>
  <c r="AW37" i="52"/>
  <c r="AZ37" i="52" s="1"/>
  <c r="BD37" i="52" s="1"/>
  <c r="B37" i="52"/>
  <c r="AY36" i="52"/>
  <c r="AX36" i="52"/>
  <c r="AW36" i="52"/>
  <c r="B36" i="52"/>
  <c r="AY35" i="52"/>
  <c r="AX35" i="52"/>
  <c r="AW35" i="52"/>
  <c r="AZ35" i="52"/>
  <c r="BD35" i="52" s="1"/>
  <c r="B35" i="52"/>
  <c r="AY34" i="52"/>
  <c r="AX34" i="52"/>
  <c r="AW34" i="52"/>
  <c r="AZ34" i="52" s="1"/>
  <c r="BD34" i="52" s="1"/>
  <c r="B34" i="52"/>
  <c r="BQ33" i="52"/>
  <c r="BQ34" i="52" s="1"/>
  <c r="AY33" i="52"/>
  <c r="AX33" i="52"/>
  <c r="AW33" i="52"/>
  <c r="B33" i="52"/>
  <c r="AY32" i="52"/>
  <c r="AX32" i="52"/>
  <c r="AZ32" i="52" s="1"/>
  <c r="BD32" i="52" s="1"/>
  <c r="AW32" i="52"/>
  <c r="B32" i="52"/>
  <c r="AY31" i="52"/>
  <c r="AX31" i="52"/>
  <c r="AZ31" i="52" s="1"/>
  <c r="BD31" i="52" s="1"/>
  <c r="AW31" i="52"/>
  <c r="B31" i="52"/>
  <c r="AY30" i="52"/>
  <c r="AX30" i="52"/>
  <c r="AW30" i="52"/>
  <c r="B30" i="52"/>
  <c r="AY29" i="52"/>
  <c r="AX29" i="52"/>
  <c r="AW29" i="52"/>
  <c r="B29" i="52"/>
  <c r="BQ28" i="52"/>
  <c r="AY28" i="52"/>
  <c r="AX28" i="52"/>
  <c r="AW28" i="52"/>
  <c r="B28" i="52"/>
  <c r="AY27" i="52"/>
  <c r="AX27" i="52"/>
  <c r="AW27" i="52"/>
  <c r="B27" i="52"/>
  <c r="AY26" i="52"/>
  <c r="AX26" i="52"/>
  <c r="AW26" i="52"/>
  <c r="B26" i="52"/>
  <c r="AY25" i="52"/>
  <c r="AX25" i="52"/>
  <c r="AW25" i="52"/>
  <c r="AZ25" i="52" s="1"/>
  <c r="BD25" i="52" s="1"/>
  <c r="B25" i="52"/>
  <c r="AY24" i="52"/>
  <c r="AX24" i="52"/>
  <c r="AW24" i="52"/>
  <c r="B24" i="52"/>
  <c r="AY23" i="52"/>
  <c r="AX23" i="52"/>
  <c r="AW23" i="52"/>
  <c r="B23" i="52"/>
  <c r="BQ22" i="52"/>
  <c r="BN6" i="52" s="1"/>
  <c r="AY22" i="52"/>
  <c r="AX22" i="52"/>
  <c r="AW22" i="52"/>
  <c r="AZ22" i="52" s="1"/>
  <c r="BD22" i="52" s="1"/>
  <c r="B22" i="52"/>
  <c r="AY21" i="52"/>
  <c r="AX21" i="52"/>
  <c r="AW21" i="52"/>
  <c r="B21" i="52"/>
  <c r="AY20" i="52"/>
  <c r="AX20" i="52"/>
  <c r="AW20" i="52"/>
  <c r="B20" i="52"/>
  <c r="AY19" i="52"/>
  <c r="AX19" i="52"/>
  <c r="AW19" i="52"/>
  <c r="B19" i="52"/>
  <c r="AY18" i="52"/>
  <c r="AX18" i="52"/>
  <c r="AW18" i="52"/>
  <c r="B18" i="52"/>
  <c r="AY17" i="52"/>
  <c r="AX17" i="52"/>
  <c r="AW17" i="52"/>
  <c r="B17" i="52"/>
  <c r="BQ16" i="52"/>
  <c r="BH6" i="52" s="1"/>
  <c r="BH40" i="52" s="1"/>
  <c r="AY16" i="52"/>
  <c r="AX16" i="52"/>
  <c r="AW16" i="52"/>
  <c r="B16" i="52"/>
  <c r="AY15" i="52"/>
  <c r="AX15" i="52"/>
  <c r="AW15" i="52"/>
  <c r="B15" i="52"/>
  <c r="AY14" i="52"/>
  <c r="AX14" i="52"/>
  <c r="AZ14" i="52" s="1"/>
  <c r="BD14" i="52" s="1"/>
  <c r="AW14" i="52"/>
  <c r="B14" i="52"/>
  <c r="AY13" i="52"/>
  <c r="AX13" i="52"/>
  <c r="AW13" i="52"/>
  <c r="B13" i="52"/>
  <c r="AY12" i="52"/>
  <c r="AX12" i="52"/>
  <c r="AW12" i="52"/>
  <c r="B12" i="52"/>
  <c r="AY11" i="52"/>
  <c r="AX11" i="52"/>
  <c r="AZ11" i="52" s="1"/>
  <c r="BD11" i="52" s="1"/>
  <c r="AW11" i="52"/>
  <c r="B11" i="52"/>
  <c r="AY10" i="52"/>
  <c r="AX10" i="52"/>
  <c r="AW10" i="52"/>
  <c r="B10" i="52"/>
  <c r="AY9" i="52"/>
  <c r="AX9" i="52"/>
  <c r="AW9" i="52"/>
  <c r="B9" i="52"/>
  <c r="AY8" i="52"/>
  <c r="AX8" i="52"/>
  <c r="AW8" i="52"/>
  <c r="AZ8" i="52"/>
  <c r="BD8" i="52" s="1"/>
  <c r="B8" i="52"/>
  <c r="AY7" i="52"/>
  <c r="AX7" i="52"/>
  <c r="AW7" i="52"/>
  <c r="B7" i="52"/>
  <c r="BK40" i="52"/>
  <c r="BI6" i="52"/>
  <c r="BI40" i="52" s="1"/>
  <c r="BF6" i="52"/>
  <c r="AY6" i="52"/>
  <c r="AX6" i="52"/>
  <c r="AW6" i="52"/>
  <c r="B6" i="52"/>
  <c r="BQ45" i="51"/>
  <c r="BQ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B38" i="51"/>
  <c r="AY37" i="51"/>
  <c r="AX37" i="51"/>
  <c r="AW37" i="51"/>
  <c r="AZ37" i="51"/>
  <c r="BD37" i="51" s="1"/>
  <c r="B37" i="51"/>
  <c r="AY36" i="51"/>
  <c r="AX36" i="51"/>
  <c r="AW36" i="51"/>
  <c r="AZ36" i="51" s="1"/>
  <c r="BD36" i="51" s="1"/>
  <c r="B36" i="51"/>
  <c r="AY35" i="51"/>
  <c r="AX35" i="51"/>
  <c r="AW35" i="51"/>
  <c r="B35" i="51"/>
  <c r="AY34" i="51"/>
  <c r="AX34" i="51"/>
  <c r="AW34" i="51"/>
  <c r="AZ34" i="51" s="1"/>
  <c r="BD34" i="51" s="1"/>
  <c r="B34" i="51"/>
  <c r="BQ33" i="51"/>
  <c r="AY33" i="51"/>
  <c r="AX33" i="51"/>
  <c r="AW33" i="51"/>
  <c r="B33" i="51"/>
  <c r="AY32" i="51"/>
  <c r="AX32" i="51"/>
  <c r="AZ32" i="51" s="1"/>
  <c r="BD32" i="51" s="1"/>
  <c r="AW32" i="51"/>
  <c r="B32" i="51"/>
  <c r="AY31" i="51"/>
  <c r="AX31" i="51"/>
  <c r="AZ31" i="51" s="1"/>
  <c r="BD31" i="51" s="1"/>
  <c r="AW31" i="51"/>
  <c r="B31" i="51"/>
  <c r="AY30" i="51"/>
  <c r="AX30" i="51"/>
  <c r="AW30" i="51"/>
  <c r="AZ30" i="51" s="1"/>
  <c r="BD30" i="51" s="1"/>
  <c r="B30" i="51"/>
  <c r="AY29" i="51"/>
  <c r="AX29" i="51"/>
  <c r="AW29" i="51"/>
  <c r="B29" i="51"/>
  <c r="AY28" i="51"/>
  <c r="AX28" i="51"/>
  <c r="AW28" i="51"/>
  <c r="B28" i="51"/>
  <c r="AY27" i="51"/>
  <c r="AX27" i="51"/>
  <c r="AW27" i="51"/>
  <c r="B27" i="51"/>
  <c r="AY26" i="51"/>
  <c r="AX26" i="51"/>
  <c r="AW26" i="51"/>
  <c r="AZ26" i="51" s="1"/>
  <c r="BD26" i="51" s="1"/>
  <c r="B26" i="51"/>
  <c r="AY25" i="51"/>
  <c r="AX25" i="51"/>
  <c r="AW25" i="51"/>
  <c r="B25" i="51"/>
  <c r="AY24" i="51"/>
  <c r="AX24" i="51"/>
  <c r="AW24" i="51"/>
  <c r="B24" i="51"/>
  <c r="AY23" i="51"/>
  <c r="AX23" i="51"/>
  <c r="AW23" i="51"/>
  <c r="B23" i="51"/>
  <c r="BQ22" i="51"/>
  <c r="BN6" i="51" s="1"/>
  <c r="AY22" i="51"/>
  <c r="AX22" i="51"/>
  <c r="AW22" i="51"/>
  <c r="AZ22" i="51" s="1"/>
  <c r="BD22" i="51" s="1"/>
  <c r="B22" i="51"/>
  <c r="AY21" i="51"/>
  <c r="AX21" i="51"/>
  <c r="AW21" i="51"/>
  <c r="B21" i="51"/>
  <c r="AY20" i="51"/>
  <c r="AX20" i="51"/>
  <c r="AW20" i="51"/>
  <c r="B20" i="51"/>
  <c r="AY19" i="51"/>
  <c r="AX19" i="51"/>
  <c r="AW19" i="51"/>
  <c r="AZ19" i="51"/>
  <c r="BD19" i="51" s="1"/>
  <c r="B19" i="51"/>
  <c r="AY18" i="51"/>
  <c r="AX18" i="51"/>
  <c r="AW18" i="51"/>
  <c r="B18" i="51"/>
  <c r="AY17" i="51"/>
  <c r="AX17" i="51"/>
  <c r="AW17" i="51"/>
  <c r="B17" i="51"/>
  <c r="BQ16" i="51"/>
  <c r="BH6" i="51" s="1"/>
  <c r="BH40" i="51" s="1"/>
  <c r="AY16" i="51"/>
  <c r="AX16" i="51"/>
  <c r="AZ16" i="51" s="1"/>
  <c r="BD16" i="51" s="1"/>
  <c r="AW16" i="51"/>
  <c r="B16" i="51"/>
  <c r="AY15" i="51"/>
  <c r="AX15" i="51"/>
  <c r="AW15" i="51"/>
  <c r="B15" i="51"/>
  <c r="AY14" i="51"/>
  <c r="AX14" i="51"/>
  <c r="AZ14" i="51" s="1"/>
  <c r="BD14" i="51" s="1"/>
  <c r="AW14" i="51"/>
  <c r="B14" i="51"/>
  <c r="AY13" i="51"/>
  <c r="AX13" i="51"/>
  <c r="AW13" i="51"/>
  <c r="AZ13" i="51" s="1"/>
  <c r="BD13" i="51" s="1"/>
  <c r="B13" i="51"/>
  <c r="AY12" i="51"/>
  <c r="AX12" i="51"/>
  <c r="AW12" i="51"/>
  <c r="B12" i="51"/>
  <c r="AY11" i="51"/>
  <c r="AX11" i="51"/>
  <c r="AW11" i="51"/>
  <c r="B11" i="51"/>
  <c r="AY10" i="51"/>
  <c r="AX10" i="51"/>
  <c r="AW10" i="51"/>
  <c r="B10" i="51"/>
  <c r="AY9" i="51"/>
  <c r="AX9" i="51"/>
  <c r="AW9" i="51"/>
  <c r="B9" i="51"/>
  <c r="AY8" i="51"/>
  <c r="AX8" i="51"/>
  <c r="AW8" i="51"/>
  <c r="B8" i="51"/>
  <c r="AY7" i="51"/>
  <c r="AX7" i="51"/>
  <c r="AW7" i="51"/>
  <c r="AZ7" i="51" s="1"/>
  <c r="BD7" i="51" s="1"/>
  <c r="B7" i="51"/>
  <c r="BM40" i="51"/>
  <c r="BF6" i="51"/>
  <c r="AY6" i="51"/>
  <c r="AX6" i="51"/>
  <c r="AW6" i="51"/>
  <c r="B6" i="51"/>
  <c r="BQ45" i="50"/>
  <c r="BQ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B38" i="50"/>
  <c r="AY37" i="50"/>
  <c r="AX37" i="50"/>
  <c r="AW37" i="50"/>
  <c r="B37" i="50"/>
  <c r="AY36" i="50"/>
  <c r="AX36" i="50"/>
  <c r="AW36" i="50"/>
  <c r="B36" i="50"/>
  <c r="AY35" i="50"/>
  <c r="AX35" i="50"/>
  <c r="AW35" i="50"/>
  <c r="B35" i="50"/>
  <c r="AY34" i="50"/>
  <c r="AX34" i="50"/>
  <c r="AW34" i="50"/>
  <c r="B34" i="50"/>
  <c r="BQ33" i="50"/>
  <c r="BQ34" i="50" s="1"/>
  <c r="AY33" i="50"/>
  <c r="AX33" i="50"/>
  <c r="AW33" i="50"/>
  <c r="B33" i="50"/>
  <c r="AY32" i="50"/>
  <c r="AX32" i="50"/>
  <c r="AW32" i="50"/>
  <c r="B32" i="50"/>
  <c r="AY31" i="50"/>
  <c r="AX31" i="50"/>
  <c r="AW31" i="50"/>
  <c r="B31" i="50"/>
  <c r="AY30" i="50"/>
  <c r="AX30" i="50"/>
  <c r="AW30" i="50"/>
  <c r="B30" i="50"/>
  <c r="AY29" i="50"/>
  <c r="AX29" i="50"/>
  <c r="AW29" i="50"/>
  <c r="B29" i="50"/>
  <c r="BQ28" i="50"/>
  <c r="AY28" i="50"/>
  <c r="AX28" i="50"/>
  <c r="AW28" i="50"/>
  <c r="B28" i="50"/>
  <c r="AY27" i="50"/>
  <c r="AX27" i="50"/>
  <c r="AW27" i="50"/>
  <c r="AZ27" i="50" s="1"/>
  <c r="BD27" i="50" s="1"/>
  <c r="B27" i="50"/>
  <c r="AY26" i="50"/>
  <c r="AX26" i="50"/>
  <c r="AW26" i="50"/>
  <c r="B26" i="50"/>
  <c r="AY25" i="50"/>
  <c r="AX25" i="50"/>
  <c r="AW25" i="50"/>
  <c r="B25" i="50"/>
  <c r="AY24" i="50"/>
  <c r="AX24" i="50"/>
  <c r="AW24" i="50"/>
  <c r="B24" i="50"/>
  <c r="AY23" i="50"/>
  <c r="AX23" i="50"/>
  <c r="AW23" i="50"/>
  <c r="B23" i="50"/>
  <c r="BQ22" i="50"/>
  <c r="BN6" i="50" s="1"/>
  <c r="AY22" i="50"/>
  <c r="AX22" i="50"/>
  <c r="AZ22" i="50" s="1"/>
  <c r="BD22" i="50" s="1"/>
  <c r="AW22" i="50"/>
  <c r="B22" i="50"/>
  <c r="AY21" i="50"/>
  <c r="AX21" i="50"/>
  <c r="AW21" i="50"/>
  <c r="B21" i="50"/>
  <c r="AY20" i="50"/>
  <c r="AX20" i="50"/>
  <c r="AW20" i="50"/>
  <c r="B20" i="50"/>
  <c r="AY19" i="50"/>
  <c r="AX19" i="50"/>
  <c r="AW19" i="50"/>
  <c r="B19" i="50"/>
  <c r="AY18" i="50"/>
  <c r="AX18" i="50"/>
  <c r="AW18" i="50"/>
  <c r="B18" i="50"/>
  <c r="AY17" i="50"/>
  <c r="AX17" i="50"/>
  <c r="AW17" i="50"/>
  <c r="B17" i="50"/>
  <c r="BQ16" i="50"/>
  <c r="BH6" i="50" s="1"/>
  <c r="BH40" i="50" s="1"/>
  <c r="AY16" i="50"/>
  <c r="AX16" i="50"/>
  <c r="AW16" i="50"/>
  <c r="B16" i="50"/>
  <c r="AY15" i="50"/>
  <c r="AX15" i="50"/>
  <c r="AW15" i="50"/>
  <c r="B15" i="50"/>
  <c r="AY14" i="50"/>
  <c r="AX14" i="50"/>
  <c r="AW14" i="50"/>
  <c r="B14" i="50"/>
  <c r="AY13" i="50"/>
  <c r="AX13" i="50"/>
  <c r="AW13" i="50"/>
  <c r="B13" i="50"/>
  <c r="AY12" i="50"/>
  <c r="AX12" i="50"/>
  <c r="AW12" i="50"/>
  <c r="B12" i="50"/>
  <c r="AY11" i="50"/>
  <c r="AX11" i="50"/>
  <c r="AW11" i="50"/>
  <c r="B11" i="50"/>
  <c r="AY10" i="50"/>
  <c r="AX10" i="50"/>
  <c r="AW10" i="50"/>
  <c r="B10" i="50"/>
  <c r="AY9" i="50"/>
  <c r="AX9" i="50"/>
  <c r="AW9" i="50"/>
  <c r="B9" i="50"/>
  <c r="AY8" i="50"/>
  <c r="AX8" i="50"/>
  <c r="AW8" i="50"/>
  <c r="B8" i="50"/>
  <c r="AY7" i="50"/>
  <c r="AX7" i="50"/>
  <c r="AW7" i="50"/>
  <c r="AZ7" i="50" s="1"/>
  <c r="BD7" i="50" s="1"/>
  <c r="B7" i="50"/>
  <c r="BM40" i="50"/>
  <c r="BK40" i="50"/>
  <c r="BI6" i="50"/>
  <c r="BI40" i="50" s="1"/>
  <c r="BF6" i="50"/>
  <c r="AY6" i="50"/>
  <c r="AX6" i="50"/>
  <c r="AW6" i="50"/>
  <c r="B6" i="50"/>
  <c r="BQ45" i="49"/>
  <c r="BQ40" i="49"/>
  <c r="BK40" i="49" s="1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AZ38" i="49" s="1"/>
  <c r="BD38" i="49" s="1"/>
  <c r="B38" i="49"/>
  <c r="AY37" i="49"/>
  <c r="AX37" i="49"/>
  <c r="AW37" i="49"/>
  <c r="B37" i="49"/>
  <c r="AY36" i="49"/>
  <c r="AX36" i="49"/>
  <c r="AW36" i="49"/>
  <c r="AZ36" i="49"/>
  <c r="BD36" i="49" s="1"/>
  <c r="B36" i="49"/>
  <c r="AY35" i="49"/>
  <c r="AX35" i="49"/>
  <c r="AW35" i="49"/>
  <c r="B35" i="49"/>
  <c r="AY34" i="49"/>
  <c r="AX34" i="49"/>
  <c r="AW34" i="49"/>
  <c r="AZ34" i="49" s="1"/>
  <c r="BD34" i="49" s="1"/>
  <c r="B34" i="49"/>
  <c r="BQ33" i="49"/>
  <c r="BQ34" i="49" s="1"/>
  <c r="AY33" i="49"/>
  <c r="AX33" i="49"/>
  <c r="AW33" i="49"/>
  <c r="AZ33" i="49" s="1"/>
  <c r="BD33" i="49" s="1"/>
  <c r="B33" i="49"/>
  <c r="AY32" i="49"/>
  <c r="AX32" i="49"/>
  <c r="AW32" i="49"/>
  <c r="B32" i="49"/>
  <c r="AY31" i="49"/>
  <c r="AX31" i="49"/>
  <c r="AW31" i="49"/>
  <c r="B31" i="49"/>
  <c r="AY30" i="49"/>
  <c r="AX30" i="49"/>
  <c r="AW30" i="49"/>
  <c r="B30" i="49"/>
  <c r="AY29" i="49"/>
  <c r="AX29" i="49"/>
  <c r="AW29" i="49"/>
  <c r="AZ29" i="49"/>
  <c r="BD29" i="49" s="1"/>
  <c r="B29" i="49"/>
  <c r="BQ28" i="49"/>
  <c r="BI6" i="49" s="1"/>
  <c r="BI40" i="49" s="1"/>
  <c r="AY28" i="49"/>
  <c r="AX28" i="49"/>
  <c r="AZ28" i="49" s="1"/>
  <c r="BD28" i="49" s="1"/>
  <c r="AW28" i="49"/>
  <c r="B28" i="49"/>
  <c r="AY27" i="49"/>
  <c r="AX27" i="49"/>
  <c r="AW27" i="49"/>
  <c r="B27" i="49"/>
  <c r="AY26" i="49"/>
  <c r="AX26" i="49"/>
  <c r="AW26" i="49"/>
  <c r="AZ26" i="49" s="1"/>
  <c r="BD26" i="49" s="1"/>
  <c r="B26" i="49"/>
  <c r="AY25" i="49"/>
  <c r="AX25" i="49"/>
  <c r="AW25" i="49"/>
  <c r="B25" i="49"/>
  <c r="AY24" i="49"/>
  <c r="AX24" i="49"/>
  <c r="AW24" i="49"/>
  <c r="B24" i="49"/>
  <c r="AY23" i="49"/>
  <c r="AX23" i="49"/>
  <c r="AW23" i="49"/>
  <c r="B23" i="49"/>
  <c r="BQ22" i="49"/>
  <c r="BN6" i="49" s="1"/>
  <c r="AY22" i="49"/>
  <c r="AX22" i="49"/>
  <c r="AW22" i="49"/>
  <c r="AZ22" i="49" s="1"/>
  <c r="BD22" i="49" s="1"/>
  <c r="B22" i="49"/>
  <c r="AY21" i="49"/>
  <c r="AX21" i="49"/>
  <c r="AW21" i="49"/>
  <c r="B21" i="49"/>
  <c r="AY20" i="49"/>
  <c r="AX20" i="49"/>
  <c r="AW20" i="49"/>
  <c r="B20" i="49"/>
  <c r="AY19" i="49"/>
  <c r="AX19" i="49"/>
  <c r="AW19" i="49"/>
  <c r="AZ19" i="49" s="1"/>
  <c r="BD19" i="49" s="1"/>
  <c r="B19" i="49"/>
  <c r="AY18" i="49"/>
  <c r="AX18" i="49"/>
  <c r="AW18" i="49"/>
  <c r="B18" i="49"/>
  <c r="AY17" i="49"/>
  <c r="AX17" i="49"/>
  <c r="AW17" i="49"/>
  <c r="B17" i="49"/>
  <c r="BQ16" i="49"/>
  <c r="BH6" i="49" s="1"/>
  <c r="AY16" i="49"/>
  <c r="AX16" i="49"/>
  <c r="AW16" i="49"/>
  <c r="B16" i="49"/>
  <c r="AY15" i="49"/>
  <c r="AX15" i="49"/>
  <c r="AW15" i="49"/>
  <c r="AZ15" i="49" s="1"/>
  <c r="BD15" i="49" s="1"/>
  <c r="B15" i="49"/>
  <c r="AY14" i="49"/>
  <c r="AX14" i="49"/>
  <c r="AW14" i="49"/>
  <c r="B14" i="49"/>
  <c r="AY13" i="49"/>
  <c r="AX13" i="49"/>
  <c r="AW13" i="49"/>
  <c r="AZ13" i="49"/>
  <c r="BD13" i="49" s="1"/>
  <c r="B13" i="49"/>
  <c r="AY12" i="49"/>
  <c r="AX12" i="49"/>
  <c r="AW12" i="49"/>
  <c r="AZ12" i="49" s="1"/>
  <c r="B12" i="49"/>
  <c r="AY11" i="49"/>
  <c r="AX11" i="49"/>
  <c r="AW11" i="49"/>
  <c r="B11" i="49"/>
  <c r="AY10" i="49"/>
  <c r="AX10" i="49"/>
  <c r="AW10" i="49"/>
  <c r="AZ10" i="49" s="1"/>
  <c r="BD10" i="49" s="1"/>
  <c r="B10" i="49"/>
  <c r="AY9" i="49"/>
  <c r="AX9" i="49"/>
  <c r="AW9" i="49"/>
  <c r="AZ9" i="49" s="1"/>
  <c r="BD9" i="49" s="1"/>
  <c r="B9" i="49"/>
  <c r="AY8" i="49"/>
  <c r="AX8" i="49"/>
  <c r="AW8" i="49"/>
  <c r="B8" i="49"/>
  <c r="AY7" i="49"/>
  <c r="AX7" i="49"/>
  <c r="AZ7" i="49" s="1"/>
  <c r="BD7" i="49" s="1"/>
  <c r="AW7" i="49"/>
  <c r="B7" i="49"/>
  <c r="BM40" i="49"/>
  <c r="BF6" i="49"/>
  <c r="AY6" i="49"/>
  <c r="AX6" i="49"/>
  <c r="AW6" i="49"/>
  <c r="B6" i="49"/>
  <c r="F7" i="48"/>
  <c r="F8" i="48"/>
  <c r="F9" i="48"/>
  <c r="F10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7" i="48"/>
  <c r="E38" i="48"/>
  <c r="F6" i="48"/>
  <c r="E6" i="48"/>
  <c r="BQ45" i="48"/>
  <c r="BQ40" i="48"/>
  <c r="BK6" i="48" s="1"/>
  <c r="BK40" i="48" s="1"/>
  <c r="BL40" i="48"/>
  <c r="BE40" i="48"/>
  <c r="BC40" i="48"/>
  <c r="BB40" i="48"/>
  <c r="AV40" i="48"/>
  <c r="AU40" i="48"/>
  <c r="AT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AY34" i="48"/>
  <c r="AX34" i="48"/>
  <c r="AW34" i="48"/>
  <c r="B34" i="48"/>
  <c r="BQ33" i="48"/>
  <c r="BQ34" i="48" s="1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Q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Q22" i="48"/>
  <c r="BN6" i="48" s="1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Q16" i="48"/>
  <c r="BH6" i="48" s="1"/>
  <c r="BH40" i="48" s="1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Z11" i="48" s="1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40" i="48"/>
  <c r="BF6" i="48"/>
  <c r="AY6" i="48"/>
  <c r="AX6" i="48"/>
  <c r="AW6" i="48"/>
  <c r="B6" i="48"/>
  <c r="BH40" i="56" l="1"/>
  <c r="AZ38" i="52"/>
  <c r="BD38" i="52" s="1"/>
  <c r="AZ28" i="53"/>
  <c r="BD28" i="53" s="1"/>
  <c r="AZ14" i="54"/>
  <c r="BD14" i="54" s="1"/>
  <c r="AZ19" i="55"/>
  <c r="BD19" i="55" s="1"/>
  <c r="AZ34" i="55"/>
  <c r="BD34" i="55" s="1"/>
  <c r="AZ36" i="55"/>
  <c r="BD36" i="55" s="1"/>
  <c r="BD7" i="56"/>
  <c r="AZ20" i="49"/>
  <c r="BD20" i="49" s="1"/>
  <c r="AZ9" i="51"/>
  <c r="BD9" i="51" s="1"/>
  <c r="AZ15" i="51"/>
  <c r="BD15" i="51" s="1"/>
  <c r="AZ35" i="51"/>
  <c r="BD35" i="51" s="1"/>
  <c r="BJ6" i="52"/>
  <c r="BJ40" i="52" s="1"/>
  <c r="AZ33" i="52"/>
  <c r="BD33" i="52" s="1"/>
  <c r="AZ21" i="53"/>
  <c r="BD21" i="53" s="1"/>
  <c r="AZ35" i="54"/>
  <c r="BD35" i="54" s="1"/>
  <c r="AZ14" i="55"/>
  <c r="BD14" i="55" s="1"/>
  <c r="AZ38" i="55"/>
  <c r="BD38" i="55" s="1"/>
  <c r="AZ9" i="56"/>
  <c r="BD9" i="56" s="1"/>
  <c r="AZ37" i="48"/>
  <c r="BD37" i="48" s="1"/>
  <c r="AZ29" i="48"/>
  <c r="BD29" i="48" s="1"/>
  <c r="AZ21" i="48"/>
  <c r="BD21" i="48" s="1"/>
  <c r="AZ13" i="48"/>
  <c r="BD13" i="48" s="1"/>
  <c r="AZ36" i="48"/>
  <c r="BD36" i="48" s="1"/>
  <c r="AZ12" i="48"/>
  <c r="BD12" i="48" s="1"/>
  <c r="AZ8" i="49"/>
  <c r="BD8" i="49" s="1"/>
  <c r="AZ34" i="50"/>
  <c r="BD34" i="50" s="1"/>
  <c r="AZ21" i="51"/>
  <c r="BD21" i="51" s="1"/>
  <c r="AZ28" i="51"/>
  <c r="BD28" i="51" s="1"/>
  <c r="AZ8" i="53"/>
  <c r="BD8" i="53" s="1"/>
  <c r="AZ14" i="53"/>
  <c r="BD14" i="53" s="1"/>
  <c r="AZ17" i="53"/>
  <c r="BD17" i="53" s="1"/>
  <c r="AZ16" i="55"/>
  <c r="BD16" i="55" s="1"/>
  <c r="AZ18" i="55"/>
  <c r="BD18" i="55" s="1"/>
  <c r="AZ29" i="55"/>
  <c r="BD29" i="55" s="1"/>
  <c r="AZ31" i="55"/>
  <c r="BD31" i="55" s="1"/>
  <c r="AZ33" i="55"/>
  <c r="BD33" i="55" s="1"/>
  <c r="AZ15" i="56"/>
  <c r="BD15" i="56" s="1"/>
  <c r="AZ24" i="56"/>
  <c r="BD24" i="56" s="1"/>
  <c r="AZ33" i="56"/>
  <c r="BD33" i="56" s="1"/>
  <c r="AZ35" i="56"/>
  <c r="BD35" i="56" s="1"/>
  <c r="AZ37" i="56"/>
  <c r="BD37" i="56" s="1"/>
  <c r="AZ27" i="48"/>
  <c r="BD27" i="48" s="1"/>
  <c r="AZ35" i="49"/>
  <c r="BD35" i="49" s="1"/>
  <c r="AZ8" i="51"/>
  <c r="BD8" i="51" s="1"/>
  <c r="AZ10" i="51"/>
  <c r="BD10" i="51" s="1"/>
  <c r="AZ7" i="52"/>
  <c r="BD7" i="52" s="1"/>
  <c r="AZ28" i="52"/>
  <c r="BD28" i="52" s="1"/>
  <c r="AZ38" i="53"/>
  <c r="BD38" i="53" s="1"/>
  <c r="AZ14" i="49"/>
  <c r="BD14" i="49" s="1"/>
  <c r="AZ23" i="49"/>
  <c r="BD23" i="49" s="1"/>
  <c r="AZ30" i="49"/>
  <c r="BD30" i="49" s="1"/>
  <c r="AZ37" i="49"/>
  <c r="BD37" i="49" s="1"/>
  <c r="BJ6" i="50"/>
  <c r="BJ40" i="50" s="1"/>
  <c r="AZ33" i="50"/>
  <c r="BD33" i="50" s="1"/>
  <c r="AZ38" i="51"/>
  <c r="BD38" i="51" s="1"/>
  <c r="AZ13" i="52"/>
  <c r="BD13" i="52" s="1"/>
  <c r="AZ15" i="52"/>
  <c r="BD15" i="52" s="1"/>
  <c r="AZ24" i="52"/>
  <c r="BD24" i="52" s="1"/>
  <c r="AZ30" i="52"/>
  <c r="BD30" i="52" s="1"/>
  <c r="AZ34" i="54"/>
  <c r="BD34" i="54" s="1"/>
  <c r="AZ7" i="55"/>
  <c r="BD7" i="55" s="1"/>
  <c r="AZ30" i="56"/>
  <c r="BD30" i="56" s="1"/>
  <c r="AZ33" i="48"/>
  <c r="BD33" i="48" s="1"/>
  <c r="AZ8" i="48"/>
  <c r="BD8" i="48" s="1"/>
  <c r="AZ16" i="49"/>
  <c r="BD16" i="49" s="1"/>
  <c r="AZ27" i="49"/>
  <c r="BD27" i="49" s="1"/>
  <c r="AZ27" i="51"/>
  <c r="BD27" i="51" s="1"/>
  <c r="AZ19" i="52"/>
  <c r="BD19" i="52" s="1"/>
  <c r="AZ18" i="49"/>
  <c r="BD18" i="49" s="1"/>
  <c r="AZ16" i="50"/>
  <c r="BD16" i="50" s="1"/>
  <c r="AZ35" i="50"/>
  <c r="BD35" i="50" s="1"/>
  <c r="AZ33" i="51"/>
  <c r="BD33" i="51" s="1"/>
  <c r="AZ21" i="52"/>
  <c r="BD21" i="52" s="1"/>
  <c r="AZ23" i="52"/>
  <c r="BD23" i="52" s="1"/>
  <c r="AZ36" i="52"/>
  <c r="BD36" i="52" s="1"/>
  <c r="AZ7" i="53"/>
  <c r="BD7" i="53" s="1"/>
  <c r="AZ11" i="53"/>
  <c r="BD11" i="53" s="1"/>
  <c r="AZ24" i="53"/>
  <c r="BD24" i="53" s="1"/>
  <c r="AZ35" i="53"/>
  <c r="BD35" i="53" s="1"/>
  <c r="AZ23" i="54"/>
  <c r="BD23" i="54" s="1"/>
  <c r="AZ31" i="54"/>
  <c r="BD31" i="54" s="1"/>
  <c r="AZ12" i="56"/>
  <c r="BD12" i="56" s="1"/>
  <c r="AZ23" i="56"/>
  <c r="BD23" i="56" s="1"/>
  <c r="AZ25" i="56"/>
  <c r="BD25" i="56" s="1"/>
  <c r="BD27" i="56"/>
  <c r="AZ34" i="56"/>
  <c r="BD34" i="56" s="1"/>
  <c r="AZ36" i="56"/>
  <c r="BD36" i="56" s="1"/>
  <c r="AZ38" i="56"/>
  <c r="BD38" i="56" s="1"/>
  <c r="AZ30" i="55"/>
  <c r="BD30" i="55" s="1"/>
  <c r="AZ24" i="55"/>
  <c r="BD24" i="55" s="1"/>
  <c r="AZ10" i="55"/>
  <c r="BD10" i="55" s="1"/>
  <c r="AZ20" i="55"/>
  <c r="BD20" i="55" s="1"/>
  <c r="AZ12" i="55"/>
  <c r="BD12" i="55" s="1"/>
  <c r="AZ17" i="55"/>
  <c r="BD17" i="55" s="1"/>
  <c r="AZ35" i="55"/>
  <c r="BD35" i="55" s="1"/>
  <c r="AZ36" i="54"/>
  <c r="BD36" i="54" s="1"/>
  <c r="AZ28" i="48"/>
  <c r="BD28" i="48" s="1"/>
  <c r="AZ21" i="49"/>
  <c r="BD21" i="49" s="1"/>
  <c r="AZ8" i="50"/>
  <c r="BD8" i="50" s="1"/>
  <c r="AZ12" i="50"/>
  <c r="BD12" i="50" s="1"/>
  <c r="AZ29" i="50"/>
  <c r="BD29" i="50" s="1"/>
  <c r="AZ31" i="50"/>
  <c r="BD31" i="50" s="1"/>
  <c r="AZ20" i="51"/>
  <c r="BD20" i="51" s="1"/>
  <c r="AZ16" i="52"/>
  <c r="BD16" i="52" s="1"/>
  <c r="AZ9" i="53"/>
  <c r="BD9" i="53" s="1"/>
  <c r="AZ37" i="53"/>
  <c r="BD37" i="53" s="1"/>
  <c r="AZ19" i="54"/>
  <c r="BD19" i="54" s="1"/>
  <c r="AZ27" i="54"/>
  <c r="BD27" i="54" s="1"/>
  <c r="AZ34" i="48"/>
  <c r="BD34" i="48" s="1"/>
  <c r="AZ26" i="48"/>
  <c r="BD26" i="48" s="1"/>
  <c r="AZ9" i="48"/>
  <c r="BD9" i="48" s="1"/>
  <c r="AZ29" i="51"/>
  <c r="BD29" i="51" s="1"/>
  <c r="AZ9" i="52"/>
  <c r="BD9" i="52" s="1"/>
  <c r="AZ18" i="52"/>
  <c r="BD18" i="52" s="1"/>
  <c r="AZ20" i="52"/>
  <c r="BD20" i="52" s="1"/>
  <c r="AZ16" i="53"/>
  <c r="BD16" i="53" s="1"/>
  <c r="AZ25" i="53"/>
  <c r="BD25" i="53" s="1"/>
  <c r="AZ30" i="53"/>
  <c r="BD30" i="53" s="1"/>
  <c r="AZ22" i="54"/>
  <c r="BD22" i="54" s="1"/>
  <c r="AZ33" i="54"/>
  <c r="BD33" i="54" s="1"/>
  <c r="AY40" i="56"/>
  <c r="AZ18" i="50"/>
  <c r="BD18" i="50" s="1"/>
  <c r="AZ18" i="53"/>
  <c r="BD18" i="53" s="1"/>
  <c r="AZ23" i="53"/>
  <c r="BD23" i="53" s="1"/>
  <c r="AZ16" i="54"/>
  <c r="BD16" i="54" s="1"/>
  <c r="AZ23" i="51"/>
  <c r="BD23" i="51" s="1"/>
  <c r="BJ6" i="48"/>
  <c r="BJ40" i="48" s="1"/>
  <c r="AZ16" i="48"/>
  <c r="BD16" i="48" s="1"/>
  <c r="AZ7" i="48"/>
  <c r="BD7" i="48" s="1"/>
  <c r="AZ25" i="49"/>
  <c r="BD25" i="49" s="1"/>
  <c r="AZ37" i="50"/>
  <c r="BD37" i="50" s="1"/>
  <c r="AZ27" i="52"/>
  <c r="BD27" i="52" s="1"/>
  <c r="AZ29" i="52"/>
  <c r="BD29" i="52" s="1"/>
  <c r="AZ29" i="53"/>
  <c r="BD29" i="53" s="1"/>
  <c r="AZ31" i="53"/>
  <c r="BD31" i="53" s="1"/>
  <c r="AZ33" i="53"/>
  <c r="BD33" i="53" s="1"/>
  <c r="AZ19" i="48"/>
  <c r="BD19" i="48" s="1"/>
  <c r="AZ24" i="49"/>
  <c r="BD24" i="49" s="1"/>
  <c r="AZ17" i="48"/>
  <c r="BD17" i="48" s="1"/>
  <c r="AZ23" i="48"/>
  <c r="BD23" i="48" s="1"/>
  <c r="AZ15" i="48"/>
  <c r="BD15" i="48" s="1"/>
  <c r="AZ19" i="50"/>
  <c r="BD19" i="50" s="1"/>
  <c r="AZ17" i="51"/>
  <c r="BD17" i="51" s="1"/>
  <c r="BJ6" i="53"/>
  <c r="BJ40" i="53" s="1"/>
  <c r="AZ26" i="53"/>
  <c r="BD26" i="53" s="1"/>
  <c r="AZ13" i="54"/>
  <c r="BD13" i="54" s="1"/>
  <c r="AZ30" i="54"/>
  <c r="BD30" i="54" s="1"/>
  <c r="AZ35" i="48"/>
  <c r="BD35" i="48" s="1"/>
  <c r="AZ38" i="48"/>
  <c r="BD38" i="48" s="1"/>
  <c r="AZ30" i="48"/>
  <c r="BD30" i="48" s="1"/>
  <c r="AZ22" i="48"/>
  <c r="BD22" i="48" s="1"/>
  <c r="AZ14" i="48"/>
  <c r="BD14" i="48" s="1"/>
  <c r="AZ17" i="49"/>
  <c r="BD17" i="49" s="1"/>
  <c r="AZ32" i="49"/>
  <c r="BD32" i="49" s="1"/>
  <c r="AZ21" i="50"/>
  <c r="BD21" i="50" s="1"/>
  <c r="AZ17" i="52"/>
  <c r="BD17" i="52" s="1"/>
  <c r="AZ26" i="52"/>
  <c r="BD26" i="52" s="1"/>
  <c r="AZ7" i="54"/>
  <c r="BD7" i="54" s="1"/>
  <c r="AZ15" i="54"/>
  <c r="BD15" i="54" s="1"/>
  <c r="AZ21" i="54"/>
  <c r="BD21" i="54" s="1"/>
  <c r="AZ32" i="54"/>
  <c r="BD32" i="54" s="1"/>
  <c r="AZ20" i="54"/>
  <c r="BD20" i="54" s="1"/>
  <c r="AZ10" i="54"/>
  <c r="BD10" i="54" s="1"/>
  <c r="AZ29" i="54"/>
  <c r="BD29" i="54" s="1"/>
  <c r="AZ11" i="54"/>
  <c r="BD11" i="54" s="1"/>
  <c r="AZ38" i="54"/>
  <c r="BD38" i="54" s="1"/>
  <c r="AZ25" i="54"/>
  <c r="BD25" i="54" s="1"/>
  <c r="AZ12" i="54"/>
  <c r="BD12" i="54" s="1"/>
  <c r="AZ17" i="54"/>
  <c r="BD17" i="54" s="1"/>
  <c r="AZ8" i="54"/>
  <c r="BD8" i="54" s="1"/>
  <c r="BI40" i="54"/>
  <c r="BJ40" i="54"/>
  <c r="BK40" i="54"/>
  <c r="AW40" i="54"/>
  <c r="BH40" i="54"/>
  <c r="AY40" i="54"/>
  <c r="AZ32" i="53"/>
  <c r="BD32" i="53" s="1"/>
  <c r="BH40" i="53"/>
  <c r="AZ10" i="53"/>
  <c r="BD10" i="53" s="1"/>
  <c r="AW40" i="53"/>
  <c r="AZ12" i="52"/>
  <c r="BD12" i="52" s="1"/>
  <c r="AZ10" i="52"/>
  <c r="BD10" i="52" s="1"/>
  <c r="AW40" i="52"/>
  <c r="BK40" i="51"/>
  <c r="AZ11" i="51"/>
  <c r="BD11" i="51" s="1"/>
  <c r="AZ12" i="51"/>
  <c r="BD12" i="51" s="1"/>
  <c r="AZ25" i="51"/>
  <c r="BD25" i="51" s="1"/>
  <c r="AX40" i="51"/>
  <c r="Y40" i="57"/>
  <c r="AZ14" i="50"/>
  <c r="BD14" i="50" s="1"/>
  <c r="AZ28" i="50"/>
  <c r="BD28" i="50" s="1"/>
  <c r="AZ36" i="50"/>
  <c r="BD36" i="50" s="1"/>
  <c r="AZ9" i="50"/>
  <c r="BD9" i="50" s="1"/>
  <c r="AZ38" i="50"/>
  <c r="BD38" i="50" s="1"/>
  <c r="AZ13" i="50"/>
  <c r="BD13" i="50" s="1"/>
  <c r="AZ25" i="50"/>
  <c r="BD25" i="50" s="1"/>
  <c r="AZ30" i="50"/>
  <c r="BD30" i="50" s="1"/>
  <c r="AZ32" i="50"/>
  <c r="BD32" i="50" s="1"/>
  <c r="AZ10" i="50"/>
  <c r="BD10" i="50" s="1"/>
  <c r="AZ15" i="50"/>
  <c r="BD15" i="50" s="1"/>
  <c r="X40" i="57"/>
  <c r="BB40" i="57"/>
  <c r="W40" i="57"/>
  <c r="V40" i="57"/>
  <c r="Z40" i="57"/>
  <c r="AZ26" i="50"/>
  <c r="BD26" i="50" s="1"/>
  <c r="AZ11" i="50"/>
  <c r="BD11" i="50" s="1"/>
  <c r="AZ24" i="50"/>
  <c r="BD24" i="50" s="1"/>
  <c r="AZ20" i="50"/>
  <c r="BD20" i="50" s="1"/>
  <c r="AZ17" i="50"/>
  <c r="BD17" i="50" s="1"/>
  <c r="AZ23" i="50"/>
  <c r="BD23" i="50" s="1"/>
  <c r="AY40" i="50"/>
  <c r="AD40" i="57"/>
  <c r="BH40" i="49"/>
  <c r="AZ11" i="49"/>
  <c r="BD11" i="49" s="1"/>
  <c r="AL40" i="57"/>
  <c r="AI40" i="57"/>
  <c r="AW40" i="49"/>
  <c r="AZ31" i="49"/>
  <c r="BD31" i="49" s="1"/>
  <c r="AM40" i="57"/>
  <c r="AX40" i="49"/>
  <c r="BD12" i="49"/>
  <c r="S40" i="57"/>
  <c r="AZ18" i="48"/>
  <c r="BD18" i="48" s="1"/>
  <c r="AZ24" i="48"/>
  <c r="BD24" i="48" s="1"/>
  <c r="AZ31" i="48"/>
  <c r="BD31" i="48" s="1"/>
  <c r="AC40" i="57"/>
  <c r="AZ25" i="48"/>
  <c r="BD25" i="48" s="1"/>
  <c r="AZ32" i="48"/>
  <c r="BD32" i="48" s="1"/>
  <c r="AZ10" i="48"/>
  <c r="BD10" i="48" s="1"/>
  <c r="AZ20" i="48"/>
  <c r="BD20" i="48" s="1"/>
  <c r="BD11" i="48"/>
  <c r="I40" i="57"/>
  <c r="F40" i="50"/>
  <c r="F40" i="49"/>
  <c r="F40" i="55"/>
  <c r="E40" i="52"/>
  <c r="F47" i="52" s="1"/>
  <c r="AE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Q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BD6" i="54" s="1"/>
  <c r="AX40" i="54"/>
  <c r="BF40" i="54"/>
  <c r="E40" i="54"/>
  <c r="F47" i="54" s="1"/>
  <c r="F40" i="53"/>
  <c r="E40" i="53"/>
  <c r="F47" i="53" s="1"/>
  <c r="AY40" i="53"/>
  <c r="AX40" i="53"/>
  <c r="BF40" i="53"/>
  <c r="AX40" i="52"/>
  <c r="BF40" i="52"/>
  <c r="AY40" i="52"/>
  <c r="F40" i="52"/>
  <c r="AZ6" i="52"/>
  <c r="AY40" i="51"/>
  <c r="AW40" i="51"/>
  <c r="BF40" i="51"/>
  <c r="BQ34" i="51"/>
  <c r="BJ6" i="51"/>
  <c r="BJ40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Z6" i="53" l="1"/>
  <c r="AQ36" i="57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40" i="55"/>
  <c r="C47" i="55" s="1"/>
  <c r="BD6" i="55"/>
  <c r="AZ40" i="54"/>
  <c r="C47" i="54" s="1"/>
  <c r="AZ40" i="53"/>
  <c r="C47" i="53" s="1"/>
  <c r="BD6" i="53"/>
  <c r="BD6" i="52"/>
  <c r="AZ40" i="52"/>
  <c r="C47" i="52" s="1"/>
  <c r="AZ40" i="50"/>
  <c r="C47" i="50" s="1"/>
  <c r="BD6" i="50"/>
  <c r="AZ6" i="49"/>
  <c r="AZ40" i="48"/>
  <c r="C47" i="48" s="1"/>
  <c r="BD6" i="48"/>
  <c r="BD40" i="48" l="1"/>
  <c r="BD40" i="54"/>
  <c r="BD40" i="55"/>
  <c r="BD40" i="52"/>
  <c r="BD40" i="50"/>
  <c r="AZ85" i="54"/>
  <c r="AZ85" i="52"/>
  <c r="AZ85" i="50"/>
  <c r="AZ85" i="48"/>
  <c r="C40" i="57"/>
  <c r="AZ40" i="56"/>
  <c r="AZ85" i="55"/>
  <c r="AZ85" i="53"/>
  <c r="BD40" i="53"/>
  <c r="AZ40" i="49"/>
  <c r="BD6" i="49"/>
  <c r="BD40" i="56" l="1"/>
  <c r="BD40" i="49"/>
  <c r="C47" i="56"/>
  <c r="AZ85" i="56"/>
  <c r="C47" i="49"/>
  <c r="AZ85" i="49"/>
  <c r="BF31" i="47" l="1"/>
  <c r="BA20" i="47"/>
  <c r="BA20" i="57" s="1"/>
  <c r="BA40" i="57" s="1"/>
  <c r="BF26" i="47"/>
  <c r="BF8" i="47"/>
  <c r="BF7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E40" i="47" l="1"/>
  <c r="F40" i="47"/>
  <c r="BQ45" i="47"/>
  <c r="BQ40" i="47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B38" i="47"/>
  <c r="AY37" i="47"/>
  <c r="AX37" i="47"/>
  <c r="AW37" i="47"/>
  <c r="B37" i="47"/>
  <c r="AY36" i="47"/>
  <c r="AX36" i="47"/>
  <c r="AW36" i="47"/>
  <c r="B36" i="47"/>
  <c r="AY35" i="47"/>
  <c r="AX35" i="47"/>
  <c r="AW35" i="47"/>
  <c r="B35" i="47"/>
  <c r="AY34" i="47"/>
  <c r="AX34" i="47"/>
  <c r="AW34" i="47"/>
  <c r="B34" i="47"/>
  <c r="BQ33" i="47"/>
  <c r="BJ6" i="47" s="1"/>
  <c r="AY33" i="47"/>
  <c r="AX33" i="47"/>
  <c r="AW33" i="47"/>
  <c r="B33" i="47"/>
  <c r="AY32" i="47"/>
  <c r="AX32" i="47"/>
  <c r="AW32" i="47"/>
  <c r="AZ32" i="47" s="1"/>
  <c r="BD32" i="47" s="1"/>
  <c r="B32" i="47"/>
  <c r="AY31" i="47"/>
  <c r="AX31" i="47"/>
  <c r="AW31" i="47"/>
  <c r="B31" i="47"/>
  <c r="AY30" i="47"/>
  <c r="AX30" i="47"/>
  <c r="AW30" i="47"/>
  <c r="AZ30" i="47" s="1"/>
  <c r="BD30" i="47" s="1"/>
  <c r="B30" i="47"/>
  <c r="AY29" i="47"/>
  <c r="AX29" i="47"/>
  <c r="AW29" i="47"/>
  <c r="B29" i="47"/>
  <c r="BQ28" i="47"/>
  <c r="AY28" i="47"/>
  <c r="AX28" i="47"/>
  <c r="AW28" i="47"/>
  <c r="B28" i="47"/>
  <c r="AY27" i="47"/>
  <c r="AX27" i="47"/>
  <c r="AW27" i="47"/>
  <c r="AZ27" i="47" s="1"/>
  <c r="BD27" i="47" s="1"/>
  <c r="B27" i="47"/>
  <c r="AY26" i="47"/>
  <c r="AX26" i="47"/>
  <c r="AW26" i="47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Q22" i="47"/>
  <c r="AY22" i="47"/>
  <c r="AX22" i="47"/>
  <c r="AW22" i="47"/>
  <c r="B22" i="47"/>
  <c r="AY21" i="47"/>
  <c r="AX21" i="47"/>
  <c r="AW21" i="47"/>
  <c r="B21" i="47"/>
  <c r="AX20" i="47"/>
  <c r="AW20" i="47"/>
  <c r="AY20" i="47"/>
  <c r="B20" i="47"/>
  <c r="AY19" i="47"/>
  <c r="AX19" i="47"/>
  <c r="AW19" i="47"/>
  <c r="B19" i="47"/>
  <c r="AY18" i="47"/>
  <c r="AX18" i="47"/>
  <c r="AW18" i="47"/>
  <c r="B18" i="47"/>
  <c r="AY17" i="47"/>
  <c r="AX17" i="47"/>
  <c r="AW17" i="47"/>
  <c r="B17" i="47"/>
  <c r="BQ16" i="47"/>
  <c r="BH6" i="47" s="1"/>
  <c r="BH40" i="47" s="1"/>
  <c r="AY16" i="47"/>
  <c r="AX16" i="47"/>
  <c r="AW16" i="47"/>
  <c r="AZ16" i="47" s="1"/>
  <c r="BD16" i="47" s="1"/>
  <c r="B16" i="47"/>
  <c r="AY15" i="47"/>
  <c r="AX15" i="47"/>
  <c r="AW15" i="47"/>
  <c r="B15" i="47"/>
  <c r="AY14" i="47"/>
  <c r="AX14" i="47"/>
  <c r="AW14" i="47"/>
  <c r="B14" i="47"/>
  <c r="AY13" i="47"/>
  <c r="AX13" i="47"/>
  <c r="AW13" i="47"/>
  <c r="B13" i="47"/>
  <c r="AY12" i="47"/>
  <c r="AX12" i="47"/>
  <c r="AW12" i="47"/>
  <c r="B12" i="47"/>
  <c r="AY11" i="47"/>
  <c r="AX11" i="47"/>
  <c r="AW11" i="47"/>
  <c r="B11" i="47"/>
  <c r="AY10" i="47"/>
  <c r="AX10" i="47"/>
  <c r="AW10" i="47"/>
  <c r="B10" i="47"/>
  <c r="AY9" i="47"/>
  <c r="AX9" i="47"/>
  <c r="AW9" i="47"/>
  <c r="B9" i="47"/>
  <c r="AY8" i="47"/>
  <c r="AX8" i="47"/>
  <c r="AW8" i="47"/>
  <c r="B8" i="47"/>
  <c r="AY7" i="47"/>
  <c r="AX7" i="47"/>
  <c r="AW7" i="47"/>
  <c r="B7" i="47"/>
  <c r="BI6" i="47"/>
  <c r="BI40" i="47" s="1"/>
  <c r="BF6" i="47"/>
  <c r="AY6" i="47"/>
  <c r="AX6" i="47"/>
  <c r="AW6" i="47"/>
  <c r="B6" i="47"/>
  <c r="AZ24" i="47" l="1"/>
  <c r="AZ34" i="47"/>
  <c r="BD34" i="47" s="1"/>
  <c r="AZ36" i="47"/>
  <c r="BD36" i="47" s="1"/>
  <c r="AZ38" i="47"/>
  <c r="BD38" i="47" s="1"/>
  <c r="AZ26" i="47"/>
  <c r="BD26" i="47" s="1"/>
  <c r="AZ28" i="47"/>
  <c r="BD28" i="47" s="1"/>
  <c r="AZ18" i="47"/>
  <c r="BD18" i="47" s="1"/>
  <c r="AZ7" i="47"/>
  <c r="BD7" i="47" s="1"/>
  <c r="AZ13" i="47"/>
  <c r="BD13" i="47" s="1"/>
  <c r="AZ15" i="47"/>
  <c r="BD15" i="47" s="1"/>
  <c r="BM40" i="47"/>
  <c r="BN6" i="47"/>
  <c r="AZ19" i="47"/>
  <c r="BD19" i="47" s="1"/>
  <c r="AZ17" i="47"/>
  <c r="BD17" i="47" s="1"/>
  <c r="AZ21" i="47"/>
  <c r="BD21" i="47" s="1"/>
  <c r="AZ29" i="47"/>
  <c r="BD29" i="47" s="1"/>
  <c r="AZ31" i="47"/>
  <c r="BD31" i="47" s="1"/>
  <c r="AZ33" i="47"/>
  <c r="BD33" i="47" s="1"/>
  <c r="AZ8" i="47"/>
  <c r="BD8" i="47" s="1"/>
  <c r="AZ12" i="47"/>
  <c r="BD12" i="47" s="1"/>
  <c r="AZ14" i="47"/>
  <c r="BD14" i="47" s="1"/>
  <c r="AZ35" i="47"/>
  <c r="BD35" i="47" s="1"/>
  <c r="AZ37" i="47"/>
  <c r="BD37" i="47" s="1"/>
  <c r="BJ40" i="47"/>
  <c r="AZ23" i="47"/>
  <c r="BD23" i="47" s="1"/>
  <c r="AZ25" i="47"/>
  <c r="BD25" i="47" s="1"/>
  <c r="AZ10" i="47"/>
  <c r="BD10" i="47" s="1"/>
  <c r="AZ22" i="47"/>
  <c r="BD22" i="47" s="1"/>
  <c r="BD24" i="47"/>
  <c r="AZ9" i="47"/>
  <c r="BD9" i="47" s="1"/>
  <c r="AZ20" i="47"/>
  <c r="BD20" i="47" s="1"/>
  <c r="AZ11" i="47"/>
  <c r="BD11" i="47" s="1"/>
  <c r="AY40" i="47"/>
  <c r="AW40" i="47"/>
  <c r="BQ34" i="47"/>
  <c r="F47" i="47"/>
  <c r="AZ6" i="47"/>
  <c r="BF40" i="47"/>
  <c r="AX40" i="47"/>
  <c r="AK40" i="47"/>
  <c r="F11" i="46"/>
  <c r="AN20" i="46"/>
  <c r="AN20" i="57" s="1"/>
  <c r="AN40" i="57" s="1"/>
  <c r="AK20" i="46"/>
  <c r="AK20" i="57" s="1"/>
  <c r="AK40" i="57" s="1"/>
  <c r="AZ40" i="47" l="1"/>
  <c r="C47" i="47" s="1"/>
  <c r="BD6" i="47"/>
  <c r="BF7" i="45"/>
  <c r="BF7" i="46"/>
  <c r="BD40" i="47" l="1"/>
  <c r="BF7" i="5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Q45" i="46"/>
  <c r="BQ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Q33" i="46"/>
  <c r="BQ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Q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Q22" i="46"/>
  <c r="BN6" i="46" s="1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Q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40" i="46"/>
  <c r="BK40" i="46"/>
  <c r="BF6" i="46"/>
  <c r="AY6" i="46"/>
  <c r="AX6" i="46"/>
  <c r="AW6" i="46"/>
  <c r="B6" i="46"/>
  <c r="AZ7" i="46" l="1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AJ10" i="57" s="1"/>
  <c r="AZ40" i="46" l="1"/>
  <c r="C47" i="46" s="1"/>
  <c r="AJ11" i="45"/>
  <c r="AJ11" i="57" s="1"/>
  <c r="AJ40" i="57" s="1"/>
  <c r="BF19" i="45"/>
  <c r="BF19" i="57" s="1"/>
  <c r="AY19" i="45"/>
  <c r="AY19" i="57" s="1"/>
  <c r="AX19" i="45"/>
  <c r="AX19" i="57" s="1"/>
  <c r="AW19" i="45"/>
  <c r="AW19" i="57" s="1"/>
  <c r="F19" i="45"/>
  <c r="F19" i="57" s="1"/>
  <c r="E19" i="45"/>
  <c r="E19" i="57" s="1"/>
  <c r="B19" i="45"/>
  <c r="BD40" i="46" l="1"/>
  <c r="AZ85" i="46"/>
  <c r="AZ19" i="45"/>
  <c r="BD19" i="45" l="1"/>
  <c r="AZ19" i="57"/>
  <c r="BF34" i="45"/>
  <c r="BF34" i="57" s="1"/>
  <c r="AY34" i="45"/>
  <c r="AY34" i="57" s="1"/>
  <c r="AX34" i="45"/>
  <c r="AX34" i="57" s="1"/>
  <c r="AW34" i="45"/>
  <c r="AW34" i="57" s="1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BF37" i="57" s="1"/>
  <c r="AY37" i="45"/>
  <c r="AY37" i="57" s="1"/>
  <c r="AX37" i="45"/>
  <c r="AX37" i="57" s="1"/>
  <c r="AW37" i="45"/>
  <c r="AW37" i="57" s="1"/>
  <c r="F37" i="45"/>
  <c r="F37" i="57" s="1"/>
  <c r="E37" i="45"/>
  <c r="BD19" i="57" l="1"/>
  <c r="AZ34" i="45"/>
  <c r="AZ37" i="45"/>
  <c r="BD37" i="45" l="1"/>
  <c r="AZ37" i="57"/>
  <c r="BD34" i="45"/>
  <c r="AZ34" i="57"/>
  <c r="F7" i="45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20" i="45"/>
  <c r="F20" i="57" s="1"/>
  <c r="F21" i="45"/>
  <c r="F21" i="57" s="1"/>
  <c r="F22" i="45"/>
  <c r="F22" i="57" s="1"/>
  <c r="F23" i="45"/>
  <c r="F23" i="57" s="1"/>
  <c r="F24" i="45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Q45" i="45"/>
  <c r="BQ40" i="45"/>
  <c r="BL40" i="45"/>
  <c r="BC40" i="45"/>
  <c r="BB40" i="45"/>
  <c r="BA40" i="45"/>
  <c r="G47" i="45" s="1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BF38" i="57" s="1"/>
  <c r="AY38" i="45"/>
  <c r="AY38" i="57" s="1"/>
  <c r="AX38" i="45"/>
  <c r="AX38" i="57" s="1"/>
  <c r="AW38" i="45"/>
  <c r="AW38" i="57" s="1"/>
  <c r="BF36" i="45"/>
  <c r="BF36" i="57" s="1"/>
  <c r="AY36" i="45"/>
  <c r="AY36" i="57" s="1"/>
  <c r="AX36" i="45"/>
  <c r="AX36" i="57" s="1"/>
  <c r="AW36" i="45"/>
  <c r="AW36" i="57" s="1"/>
  <c r="BF35" i="45"/>
  <c r="BF35" i="57" s="1"/>
  <c r="AY35" i="45"/>
  <c r="AY35" i="57" s="1"/>
  <c r="AX35" i="45"/>
  <c r="AX35" i="57" s="1"/>
  <c r="AW35" i="45"/>
  <c r="AW35" i="57" s="1"/>
  <c r="BQ33" i="45"/>
  <c r="BQ34" i="45" s="1"/>
  <c r="BF33" i="45"/>
  <c r="BF33" i="57" s="1"/>
  <c r="AY33" i="45"/>
  <c r="AY33" i="57" s="1"/>
  <c r="AX33" i="45"/>
  <c r="AX33" i="57" s="1"/>
  <c r="AW33" i="45"/>
  <c r="AW33" i="57" s="1"/>
  <c r="BF32" i="45"/>
  <c r="BF32" i="57" s="1"/>
  <c r="AY32" i="45"/>
  <c r="AY32" i="57" s="1"/>
  <c r="AX32" i="45"/>
  <c r="AX32" i="57" s="1"/>
  <c r="AW32" i="45"/>
  <c r="AW32" i="57" s="1"/>
  <c r="BF31" i="45"/>
  <c r="BF31" i="57" s="1"/>
  <c r="AY31" i="45"/>
  <c r="AY31" i="57" s="1"/>
  <c r="AX31" i="45"/>
  <c r="AX31" i="57" s="1"/>
  <c r="AW31" i="45"/>
  <c r="AW31" i="57" s="1"/>
  <c r="BF30" i="45"/>
  <c r="BF30" i="57" s="1"/>
  <c r="AY30" i="45"/>
  <c r="AY30" i="57" s="1"/>
  <c r="AX30" i="45"/>
  <c r="AX30" i="57" s="1"/>
  <c r="AW30" i="45"/>
  <c r="AW30" i="57" s="1"/>
  <c r="BF29" i="45"/>
  <c r="BF29" i="57" s="1"/>
  <c r="AY29" i="45"/>
  <c r="AY29" i="57" s="1"/>
  <c r="AX29" i="45"/>
  <c r="AX29" i="57" s="1"/>
  <c r="AW29" i="45"/>
  <c r="AW29" i="57" s="1"/>
  <c r="BQ28" i="45"/>
  <c r="BI6" i="45" s="1"/>
  <c r="BF28" i="45"/>
  <c r="BF28" i="57" s="1"/>
  <c r="AY28" i="45"/>
  <c r="AY28" i="57" s="1"/>
  <c r="AX28" i="45"/>
  <c r="AX28" i="57" s="1"/>
  <c r="AW28" i="45"/>
  <c r="AW28" i="57" s="1"/>
  <c r="BF27" i="45"/>
  <c r="BF27" i="57" s="1"/>
  <c r="AY27" i="45"/>
  <c r="AY27" i="57" s="1"/>
  <c r="AX27" i="45"/>
  <c r="AX27" i="57" s="1"/>
  <c r="AW27" i="45"/>
  <c r="AW27" i="57" s="1"/>
  <c r="BF26" i="45"/>
  <c r="BF26" i="57" s="1"/>
  <c r="AY26" i="45"/>
  <c r="AY26" i="57" s="1"/>
  <c r="AX26" i="45"/>
  <c r="AX26" i="57" s="1"/>
  <c r="AW26" i="45"/>
  <c r="AW26" i="57" s="1"/>
  <c r="BF25" i="45"/>
  <c r="BF25" i="57" s="1"/>
  <c r="AX25" i="45"/>
  <c r="AX25" i="57" s="1"/>
  <c r="AW25" i="45"/>
  <c r="AW25" i="57" s="1"/>
  <c r="AY25" i="45"/>
  <c r="AY25" i="57" s="1"/>
  <c r="BF24" i="45"/>
  <c r="BF24" i="57" s="1"/>
  <c r="AY24" i="45"/>
  <c r="AY24" i="57" s="1"/>
  <c r="AW24" i="45"/>
  <c r="AW24" i="57" s="1"/>
  <c r="AX24" i="45"/>
  <c r="AX24" i="57" s="1"/>
  <c r="BF23" i="45"/>
  <c r="BF23" i="57" s="1"/>
  <c r="AY23" i="45"/>
  <c r="AY23" i="57" s="1"/>
  <c r="AX23" i="45"/>
  <c r="AX23" i="57" s="1"/>
  <c r="AW23" i="45"/>
  <c r="AW23" i="57" s="1"/>
  <c r="BQ22" i="45"/>
  <c r="BN6" i="45" s="1"/>
  <c r="BN6" i="57" s="1"/>
  <c r="BN40" i="57" s="1"/>
  <c r="BF22" i="45"/>
  <c r="BF22" i="57" s="1"/>
  <c r="AY22" i="45"/>
  <c r="AY22" i="57" s="1"/>
  <c r="AX22" i="45"/>
  <c r="AX22" i="57" s="1"/>
  <c r="AW22" i="45"/>
  <c r="AW22" i="57" s="1"/>
  <c r="BF21" i="45"/>
  <c r="BF21" i="57" s="1"/>
  <c r="AY21" i="45"/>
  <c r="AY21" i="57" s="1"/>
  <c r="AX21" i="45"/>
  <c r="AX21" i="57" s="1"/>
  <c r="AW21" i="45"/>
  <c r="AW21" i="57" s="1"/>
  <c r="BF20" i="45"/>
  <c r="BF20" i="57" s="1"/>
  <c r="AY20" i="45"/>
  <c r="AY20" i="57" s="1"/>
  <c r="AW20" i="45"/>
  <c r="AW20" i="57" s="1"/>
  <c r="AX20" i="45"/>
  <c r="AX20" i="57" s="1"/>
  <c r="BF18" i="45"/>
  <c r="BF18" i="57" s="1"/>
  <c r="AY18" i="45"/>
  <c r="AY18" i="57" s="1"/>
  <c r="AX18" i="45"/>
  <c r="AX18" i="57" s="1"/>
  <c r="AW18" i="45"/>
  <c r="AW18" i="57" s="1"/>
  <c r="BF17" i="45"/>
  <c r="BF17" i="57" s="1"/>
  <c r="AY17" i="45"/>
  <c r="AY17" i="57" s="1"/>
  <c r="AX17" i="45"/>
  <c r="AX17" i="57" s="1"/>
  <c r="AW17" i="45"/>
  <c r="AW17" i="57" s="1"/>
  <c r="BQ16" i="45"/>
  <c r="BH6" i="45" s="1"/>
  <c r="BF16" i="45"/>
  <c r="BF16" i="57" s="1"/>
  <c r="AY16" i="45"/>
  <c r="AY16" i="57" s="1"/>
  <c r="AX16" i="45"/>
  <c r="AX16" i="57" s="1"/>
  <c r="AW16" i="45"/>
  <c r="AW16" i="57" s="1"/>
  <c r="BF15" i="45"/>
  <c r="BF15" i="57" s="1"/>
  <c r="AY15" i="45"/>
  <c r="AY15" i="57" s="1"/>
  <c r="AX15" i="45"/>
  <c r="AX15" i="57" s="1"/>
  <c r="AW15" i="45"/>
  <c r="AW15" i="57" s="1"/>
  <c r="BF14" i="45"/>
  <c r="BF14" i="57" s="1"/>
  <c r="AY14" i="45"/>
  <c r="AY14" i="57" s="1"/>
  <c r="AX14" i="45"/>
  <c r="AX14" i="57" s="1"/>
  <c r="AW14" i="45"/>
  <c r="AW14" i="57" s="1"/>
  <c r="BF13" i="45"/>
  <c r="BF13" i="57" s="1"/>
  <c r="AY13" i="45"/>
  <c r="AY13" i="57" s="1"/>
  <c r="AX13" i="45"/>
  <c r="AX13" i="57" s="1"/>
  <c r="AW13" i="45"/>
  <c r="AW13" i="57" s="1"/>
  <c r="BF12" i="45"/>
  <c r="BF12" i="57" s="1"/>
  <c r="AY12" i="45"/>
  <c r="AY12" i="57" s="1"/>
  <c r="AX12" i="45"/>
  <c r="AX12" i="57" s="1"/>
  <c r="AW12" i="45"/>
  <c r="AW12" i="57" s="1"/>
  <c r="BF11" i="45"/>
  <c r="BF11" i="57" s="1"/>
  <c r="AY11" i="45"/>
  <c r="AY11" i="57" s="1"/>
  <c r="AX11" i="45"/>
  <c r="AX11" i="57" s="1"/>
  <c r="AW11" i="45"/>
  <c r="AW11" i="57" s="1"/>
  <c r="BF10" i="45"/>
  <c r="BF10" i="57" s="1"/>
  <c r="AY10" i="45"/>
  <c r="AY10" i="57" s="1"/>
  <c r="AX10" i="45"/>
  <c r="AX10" i="57" s="1"/>
  <c r="AW10" i="45"/>
  <c r="AW10" i="57" s="1"/>
  <c r="BF9" i="45"/>
  <c r="BF9" i="57" s="1"/>
  <c r="AY9" i="45"/>
  <c r="AY9" i="57" s="1"/>
  <c r="AX9" i="45"/>
  <c r="AX9" i="57" s="1"/>
  <c r="AW9" i="45"/>
  <c r="AW9" i="57" s="1"/>
  <c r="BF8" i="45"/>
  <c r="BF8" i="57" s="1"/>
  <c r="AY8" i="45"/>
  <c r="AY8" i="57" s="1"/>
  <c r="AX8" i="45"/>
  <c r="AX8" i="57" s="1"/>
  <c r="AW8" i="45"/>
  <c r="AW8" i="57" s="1"/>
  <c r="AY7" i="45"/>
  <c r="AY7" i="57" s="1"/>
  <c r="AX7" i="45"/>
  <c r="AX7" i="57" s="1"/>
  <c r="AW7" i="45"/>
  <c r="AW7" i="57" s="1"/>
  <c r="BM40" i="45"/>
  <c r="BJ6" i="45"/>
  <c r="BJ6" i="57" s="1"/>
  <c r="BJ40" i="57" s="1"/>
  <c r="BF6" i="45"/>
  <c r="BF6" i="57" s="1"/>
  <c r="AY6" i="45"/>
  <c r="AY6" i="57" s="1"/>
  <c r="AX6" i="45"/>
  <c r="AX6" i="57" s="1"/>
  <c r="AW6" i="45"/>
  <c r="AW6" i="57" s="1"/>
  <c r="AX40" i="57" l="1"/>
  <c r="AY40" i="57"/>
  <c r="BF40" i="57"/>
  <c r="AW40" i="57"/>
  <c r="BH40" i="45"/>
  <c r="BH6" i="57"/>
  <c r="BH40" i="57" s="1"/>
  <c r="F7" i="57"/>
  <c r="AZ7" i="45"/>
  <c r="BD7" i="45" s="1"/>
  <c r="BD34" i="57"/>
  <c r="BD37" i="57"/>
  <c r="BK40" i="45"/>
  <c r="BK6" i="57"/>
  <c r="BK40" i="57" s="1"/>
  <c r="BI40" i="45"/>
  <c r="AZ1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H47" i="45" s="1"/>
  <c r="BJ40" i="45"/>
  <c r="AZ18" i="45"/>
  <c r="F40" i="45"/>
  <c r="BF40" i="45"/>
  <c r="AZ6" i="45"/>
  <c r="BD6" i="45" s="1"/>
  <c r="AZ13" i="45"/>
  <c r="AZ35" i="45"/>
  <c r="AJ40" i="45"/>
  <c r="AZ23" i="45"/>
  <c r="AZ26" i="45"/>
  <c r="AZ28" i="45"/>
  <c r="AZ36" i="45"/>
  <c r="AZ24" i="45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3" i="45"/>
  <c r="AZ23" i="57"/>
  <c r="BD16" i="45"/>
  <c r="AZ16" i="57"/>
  <c r="BD15" i="45"/>
  <c r="AZ15" i="57"/>
  <c r="BD21" i="45"/>
  <c r="AZ21" i="57"/>
  <c r="BD27" i="45"/>
  <c r="AZ27" i="57"/>
  <c r="BD33" i="45"/>
  <c r="AZ33" i="57"/>
  <c r="BD36" i="45"/>
  <c r="AZ36" i="57"/>
  <c r="BD38" i="45"/>
  <c r="AZ38" i="57"/>
  <c r="BD30" i="45"/>
  <c r="AZ30" i="57"/>
  <c r="BD20" i="45"/>
  <c r="AZ20" i="57"/>
  <c r="BD25" i="45"/>
  <c r="AZ25" i="57"/>
  <c r="AZ7" i="57"/>
  <c r="BD28" i="45"/>
  <c r="AZ28" i="57"/>
  <c r="BD35" i="45"/>
  <c r="AZ35" i="57"/>
  <c r="BD29" i="45"/>
  <c r="AZ29" i="57"/>
  <c r="BD32" i="45"/>
  <c r="AZ32" i="57"/>
  <c r="BD8" i="45"/>
  <c r="AZ8" i="57"/>
  <c r="BD11" i="45"/>
  <c r="AZ11" i="57"/>
  <c r="BD22" i="45"/>
  <c r="AZ22" i="57"/>
  <c r="BD17" i="45"/>
  <c r="AZ17" i="57"/>
  <c r="BD26" i="45"/>
  <c r="AZ26" i="57"/>
  <c r="BD13" i="45"/>
  <c r="AZ13" i="57"/>
  <c r="BD18" i="45"/>
  <c r="BD12" i="45"/>
  <c r="AZ12" i="57"/>
  <c r="BD31" i="45"/>
  <c r="AZ31" i="57"/>
  <c r="BD10" i="45"/>
  <c r="AZ10" i="57"/>
  <c r="BD14" i="45"/>
  <c r="AZ14" i="57"/>
  <c r="BD9" i="45"/>
  <c r="AZ9" i="57"/>
  <c r="BE40" i="45"/>
  <c r="AZ40" i="45"/>
  <c r="E18" i="36"/>
  <c r="I27" i="35"/>
  <c r="F27" i="35"/>
  <c r="BD10" i="57" l="1"/>
  <c r="BD13" i="57"/>
  <c r="BD11" i="57"/>
  <c r="BD35" i="57"/>
  <c r="BD20" i="57"/>
  <c r="BD33" i="57"/>
  <c r="BD16" i="57"/>
  <c r="BD31" i="57"/>
  <c r="BD26" i="57"/>
  <c r="BD8" i="57"/>
  <c r="BD28" i="57"/>
  <c r="BD30" i="57"/>
  <c r="BD27" i="57"/>
  <c r="BD9" i="57"/>
  <c r="BD12" i="57"/>
  <c r="BD17" i="57"/>
  <c r="BD32" i="57"/>
  <c r="BD7" i="57"/>
  <c r="BD38" i="57"/>
  <c r="BD21" i="57"/>
  <c r="BD23" i="57"/>
  <c r="BD14" i="57"/>
  <c r="BD22" i="57"/>
  <c r="BD29" i="57"/>
  <c r="BD25" i="57"/>
  <c r="BD36" i="57"/>
  <c r="BD15" i="57"/>
  <c r="BD40" i="45"/>
  <c r="C47" i="45" s="1"/>
  <c r="AZ85" i="45"/>
  <c r="AW11" i="34"/>
  <c r="F11" i="34"/>
  <c r="F18" i="33"/>
  <c r="V30" i="42"/>
  <c r="V25" i="42"/>
  <c r="V24" i="42"/>
  <c r="V22" i="42"/>
  <c r="V19" i="42"/>
  <c r="V16" i="42"/>
  <c r="V15" i="42"/>
  <c r="V10" i="42"/>
  <c r="V8" i="42"/>
  <c r="V36" i="42"/>
  <c r="BF26" i="37" l="1"/>
  <c r="AM20" i="41" l="1"/>
  <c r="AJ20" i="41"/>
  <c r="I34" i="36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P35" i="41"/>
  <c r="AK20" i="41"/>
  <c r="Q12" i="42" l="1"/>
  <c r="Q11" i="42" l="1"/>
  <c r="D33" i="41" l="1"/>
  <c r="AY8" i="36" l="1"/>
  <c r="BP38" i="42"/>
  <c r="BP38" i="41"/>
  <c r="BK6" i="41" s="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18" i="31" l="1"/>
  <c r="BE24" i="31"/>
  <c r="BE30" i="40"/>
  <c r="BP25" i="36"/>
  <c r="BP25" i="43" s="1"/>
  <c r="BK6" i="36"/>
  <c r="BE20" i="36"/>
  <c r="BE38" i="36" s="1"/>
  <c r="BE16" i="36"/>
  <c r="BE18" i="36"/>
  <c r="BE20" i="35"/>
  <c r="BE38" i="35" s="1"/>
  <c r="BK6" i="35"/>
  <c r="BE11" i="40"/>
  <c r="BE20" i="40"/>
  <c r="BE38" i="40" s="1"/>
  <c r="BE23" i="40"/>
  <c r="F24" i="37" l="1"/>
  <c r="BE23" i="38" l="1"/>
  <c r="BE22" i="38"/>
  <c r="F12" i="38"/>
  <c r="BK6" i="39"/>
  <c r="BE17" i="39"/>
  <c r="BE20" i="39"/>
  <c r="BE15" i="39"/>
  <c r="BE38" i="39" s="1"/>
  <c r="BK6" i="38"/>
  <c r="BE7" i="38"/>
  <c r="BE11" i="38"/>
  <c r="BE20" i="38"/>
  <c r="BE36" i="38"/>
  <c r="BE38" i="38" l="1"/>
  <c r="E35" i="34"/>
  <c r="D35" i="34"/>
  <c r="BE11" i="37" l="1"/>
  <c r="BE12" i="37"/>
  <c r="D11" i="33"/>
  <c r="AX18" i="34"/>
  <c r="D19" i="34"/>
  <c r="D18" i="34"/>
  <c r="BE11" i="34"/>
  <c r="BK6" i="34" l="1"/>
  <c r="F11" i="33" l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38" i="33" s="1"/>
  <c r="BE16" i="32"/>
  <c r="BE17" i="32"/>
  <c r="BE38" i="32" l="1"/>
  <c r="AY24" i="3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9" i="31"/>
  <c r="AX21" i="31"/>
  <c r="AX22" i="31"/>
  <c r="AX23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F15" i="41"/>
  <c r="F14" i="41"/>
  <c r="F13" i="41"/>
  <c r="F12" i="41"/>
  <c r="F11" i="41"/>
  <c r="F10" i="41"/>
  <c r="F9" i="41"/>
  <c r="F8" i="41"/>
  <c r="F7" i="4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E32" i="44"/>
  <c r="D32" i="44"/>
  <c r="B32" i="44"/>
  <c r="BF31" i="44"/>
  <c r="AY31" i="44"/>
  <c r="AX31" i="44"/>
  <c r="AW31" i="44"/>
  <c r="F31" i="44"/>
  <c r="E31" i="44"/>
  <c r="D31" i="44"/>
  <c r="B31" i="44"/>
  <c r="BF30" i="44"/>
  <c r="AY30" i="44"/>
  <c r="AX30" i="44"/>
  <c r="AW30" i="44"/>
  <c r="Q30" i="44"/>
  <c r="P30" i="44"/>
  <c r="F30" i="44"/>
  <c r="E30" i="44"/>
  <c r="D30" i="44"/>
  <c r="H30" i="44" s="1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F27" i="44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F17" i="44"/>
  <c r="E17" i="44"/>
  <c r="D17" i="44"/>
  <c r="H17" i="44" s="1"/>
  <c r="B17" i="44"/>
  <c r="BP16" i="44"/>
  <c r="BH6" i="44" s="1"/>
  <c r="BH38" i="44" s="1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F6" i="44"/>
  <c r="AY6" i="44"/>
  <c r="AX6" i="44"/>
  <c r="AW6" i="44"/>
  <c r="R6" i="44"/>
  <c r="F6" i="44"/>
  <c r="E6" i="44"/>
  <c r="D6" i="44"/>
  <c r="O6" i="44" s="1"/>
  <c r="B6" i="44"/>
  <c r="H31" i="44" l="1"/>
  <c r="M27" i="44"/>
  <c r="H22" i="44"/>
  <c r="M6" i="44"/>
  <c r="J14" i="44"/>
  <c r="AZ27" i="44"/>
  <c r="BD27" i="44" s="1"/>
  <c r="AZ30" i="44"/>
  <c r="BD30" i="44" s="1"/>
  <c r="AZ36" i="44"/>
  <c r="BD36" i="44" s="1"/>
  <c r="AZ32" i="44"/>
  <c r="BD32" i="44" s="1"/>
  <c r="G10" i="44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S35" i="44" s="1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G35" i="44"/>
  <c r="AQ35" i="44"/>
  <c r="O36" i="44"/>
  <c r="M36" i="44"/>
  <c r="J36" i="44"/>
  <c r="AS36" i="44" s="1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K18" i="43"/>
  <c r="AL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K20" i="43"/>
  <c r="AL20" i="43"/>
  <c r="AN20" i="43"/>
  <c r="AO20" i="43"/>
  <c r="AP20" i="43"/>
  <c r="AT20" i="43"/>
  <c r="AU20" i="43"/>
  <c r="AV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L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Z19" i="42" s="1"/>
  <c r="BD19" i="42" s="1"/>
  <c r="AY19" i="42"/>
  <c r="AX19" i="42"/>
  <c r="AW19" i="42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 s="1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Y11" i="42"/>
  <c r="AX11" i="42"/>
  <c r="AW11" i="42"/>
  <c r="B11" i="42"/>
  <c r="BF10" i="42"/>
  <c r="AY10" i="42"/>
  <c r="AX10" i="42"/>
  <c r="AW10" i="42"/>
  <c r="B10" i="42"/>
  <c r="BF9" i="42"/>
  <c r="AY9" i="42"/>
  <c r="AX9" i="42"/>
  <c r="AW9" i="42"/>
  <c r="B9" i="42"/>
  <c r="BF8" i="42"/>
  <c r="AY8" i="42"/>
  <c r="AX8" i="42"/>
  <c r="AW8" i="42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X35" i="41"/>
  <c r="AW35" i="41"/>
  <c r="B35" i="41"/>
  <c r="BF34" i="41"/>
  <c r="AZ34" i="41" s="1"/>
  <c r="BD34" i="41" s="1"/>
  <c r="AY34" i="41"/>
  <c r="AX34" i="41"/>
  <c r="AW34" i="4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B30" i="41"/>
  <c r="BF29" i="41"/>
  <c r="AY29" i="41"/>
  <c r="AX29" i="41"/>
  <c r="AW29" i="41"/>
  <c r="B29" i="41"/>
  <c r="BP28" i="41"/>
  <c r="BI6" i="41" s="1"/>
  <c r="BI38" i="41" s="1"/>
  <c r="BF28" i="41"/>
  <c r="AY28" i="41"/>
  <c r="AX28" i="41"/>
  <c r="AW28" i="4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M6" i="41" s="1"/>
  <c r="BM38" i="41" s="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Y17" i="41"/>
  <c r="AX17" i="41"/>
  <c r="AW17" i="41"/>
  <c r="B17" i="41"/>
  <c r="BP16" i="41"/>
  <c r="BH6" i="41" s="1"/>
  <c r="BF16" i="41"/>
  <c r="AY16" i="41"/>
  <c r="AX16" i="41"/>
  <c r="AW16" i="41"/>
  <c r="B16" i="41"/>
  <c r="BF15" i="41"/>
  <c r="AY15" i="41"/>
  <c r="AX15" i="41"/>
  <c r="AW15" i="41"/>
  <c r="B15" i="41"/>
  <c r="BF14" i="41"/>
  <c r="AY14" i="41"/>
  <c r="AX14" i="41"/>
  <c r="AW14" i="41"/>
  <c r="B14" i="41"/>
  <c r="BF13" i="41"/>
  <c r="AY13" i="41"/>
  <c r="AX13" i="41"/>
  <c r="AW13" i="41"/>
  <c r="B13" i="41"/>
  <c r="BF12" i="41"/>
  <c r="AY12" i="41"/>
  <c r="AX12" i="41"/>
  <c r="AW12" i="41"/>
  <c r="B12" i="41"/>
  <c r="BF11" i="41"/>
  <c r="AY11" i="41"/>
  <c r="AX11" i="4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X35" i="40"/>
  <c r="AW35" i="40"/>
  <c r="B35" i="40"/>
  <c r="BF34" i="40"/>
  <c r="AY34" i="40"/>
  <c r="AX34" i="40"/>
  <c r="AW34" i="40"/>
  <c r="B34" i="40"/>
  <c r="BP33" i="40"/>
  <c r="BF33" i="40"/>
  <c r="AY33" i="40"/>
  <c r="AX33" i="40"/>
  <c r="AW33" i="40"/>
  <c r="B33" i="40"/>
  <c r="BF32" i="40"/>
  <c r="AY32" i="40"/>
  <c r="AX32" i="40"/>
  <c r="AW32" i="40"/>
  <c r="B32" i="40"/>
  <c r="BF31" i="40"/>
  <c r="AY31" i="40"/>
  <c r="AX31" i="40"/>
  <c r="AW31" i="40"/>
  <c r="B31" i="40"/>
  <c r="BF30" i="40"/>
  <c r="AY30" i="40"/>
  <c r="AX30" i="40"/>
  <c r="AW30" i="40"/>
  <c r="B30" i="40"/>
  <c r="BF29" i="40"/>
  <c r="AY29" i="40"/>
  <c r="AX29" i="40"/>
  <c r="AW29" i="40"/>
  <c r="B29" i="40"/>
  <c r="BP28" i="40"/>
  <c r="BF28" i="40"/>
  <c r="AY28" i="40"/>
  <c r="AX28" i="40"/>
  <c r="AW28" i="40"/>
  <c r="B28" i="40"/>
  <c r="BF27" i="40"/>
  <c r="AY27" i="40"/>
  <c r="AX27" i="40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M6" i="40" s="1"/>
  <c r="BF22" i="40"/>
  <c r="AY22" i="40"/>
  <c r="AX22" i="40"/>
  <c r="AW22" i="40"/>
  <c r="B22" i="40"/>
  <c r="BF21" i="40"/>
  <c r="AY21" i="40"/>
  <c r="AX21" i="40"/>
  <c r="AW21" i="40"/>
  <c r="B21" i="40"/>
  <c r="BF20" i="40"/>
  <c r="AY20" i="40"/>
  <c r="AX20" i="40"/>
  <c r="AW20" i="40"/>
  <c r="B20" i="40"/>
  <c r="BF19" i="40"/>
  <c r="AY19" i="40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W16" i="40"/>
  <c r="B16" i="40"/>
  <c r="BF15" i="40"/>
  <c r="AY15" i="40"/>
  <c r="AX15" i="40"/>
  <c r="AW15" i="40"/>
  <c r="B15" i="40"/>
  <c r="BF14" i="40"/>
  <c r="AY14" i="40"/>
  <c r="AX14" i="40"/>
  <c r="AW14" i="40"/>
  <c r="B14" i="40"/>
  <c r="BF13" i="40"/>
  <c r="AY13" i="40"/>
  <c r="AX13" i="40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X7" i="40"/>
  <c r="AW7" i="40"/>
  <c r="B7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Y30" i="39"/>
  <c r="AX30" i="39"/>
  <c r="AW30" i="39"/>
  <c r="B30" i="39"/>
  <c r="BF29" i="39"/>
  <c r="AY29" i="39"/>
  <c r="AX29" i="39"/>
  <c r="AW29" i="39"/>
  <c r="B29" i="39"/>
  <c r="BP28" i="39"/>
  <c r="BI6" i="39" s="1"/>
  <c r="BF28" i="39"/>
  <c r="AY28" i="39"/>
  <c r="AX28" i="39"/>
  <c r="AW28" i="39"/>
  <c r="B28" i="39"/>
  <c r="BF27" i="39"/>
  <c r="AY27" i="39"/>
  <c r="AX27" i="39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B24" i="39"/>
  <c r="BF23" i="39"/>
  <c r="AY23" i="39"/>
  <c r="AX23" i="39"/>
  <c r="AW23" i="39"/>
  <c r="B23" i="39"/>
  <c r="BP22" i="39"/>
  <c r="BM6" i="39" s="1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Y17" i="39"/>
  <c r="AX17" i="39"/>
  <c r="AW17" i="39"/>
  <c r="B17" i="39"/>
  <c r="BP16" i="39"/>
  <c r="BF16" i="39"/>
  <c r="AY16" i="39"/>
  <c r="AX16" i="39"/>
  <c r="AW16" i="39"/>
  <c r="AZ16" i="39" s="1"/>
  <c r="BD16" i="39" s="1"/>
  <c r="B16" i="39"/>
  <c r="BF15" i="39"/>
  <c r="AY15" i="39"/>
  <c r="AX15" i="39"/>
  <c r="AW15" i="39"/>
  <c r="B15" i="39"/>
  <c r="BF14" i="39"/>
  <c r="AY14" i="39"/>
  <c r="AX14" i="39"/>
  <c r="AW14" i="39"/>
  <c r="B14" i="39"/>
  <c r="BF13" i="39"/>
  <c r="AY13" i="39"/>
  <c r="AX13" i="39"/>
  <c r="AW13" i="39"/>
  <c r="AZ13" i="39" s="1"/>
  <c r="BD13" i="39" s="1"/>
  <c r="B13" i="39"/>
  <c r="BF12" i="39"/>
  <c r="AZ12" i="39" s="1"/>
  <c r="BD12" i="39" s="1"/>
  <c r="AY12" i="39"/>
  <c r="AX12" i="39"/>
  <c r="AW12" i="39"/>
  <c r="B12" i="39"/>
  <c r="BF11" i="39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W36" i="38"/>
  <c r="B36" i="38"/>
  <c r="BF35" i="38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W32" i="38"/>
  <c r="O32" i="38"/>
  <c r="K32" i="38"/>
  <c r="M32" i="38"/>
  <c r="B32" i="38"/>
  <c r="BF31" i="38"/>
  <c r="AY31" i="38"/>
  <c r="AX31" i="38"/>
  <c r="AW31" i="38"/>
  <c r="B31" i="38"/>
  <c r="BF30" i="38"/>
  <c r="AY30" i="38"/>
  <c r="AX30" i="38"/>
  <c r="AW30" i="38"/>
  <c r="B30" i="38"/>
  <c r="BF29" i="38"/>
  <c r="AY29" i="38"/>
  <c r="AX29" i="38"/>
  <c r="AW29" i="38"/>
  <c r="B29" i="38"/>
  <c r="BP28" i="38"/>
  <c r="BI6" i="38" s="1"/>
  <c r="BF28" i="38"/>
  <c r="AY28" i="38"/>
  <c r="AX28" i="38"/>
  <c r="AW28" i="38"/>
  <c r="B28" i="38"/>
  <c r="BF27" i="38"/>
  <c r="AY27" i="38"/>
  <c r="AX27" i="38"/>
  <c r="AW27" i="38"/>
  <c r="M27" i="38"/>
  <c r="K27" i="38"/>
  <c r="O27" i="38"/>
  <c r="B27" i="38"/>
  <c r="BF26" i="38"/>
  <c r="AY26" i="38"/>
  <c r="AX26" i="38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M6" i="38" s="1"/>
  <c r="BF22" i="38"/>
  <c r="AY22" i="38"/>
  <c r="AX22" i="38"/>
  <c r="AW22" i="38"/>
  <c r="B22" i="38"/>
  <c r="BF21" i="38"/>
  <c r="AY21" i="38"/>
  <c r="AX21" i="38"/>
  <c r="AW21" i="38"/>
  <c r="AZ21" i="38" s="1"/>
  <c r="BD21" i="38" s="1"/>
  <c r="B21" i="38"/>
  <c r="BF20" i="38"/>
  <c r="AY20" i="38"/>
  <c r="AX20" i="38"/>
  <c r="AW20" i="38"/>
  <c r="O20" i="38"/>
  <c r="K20" i="38"/>
  <c r="M20" i="38"/>
  <c r="B20" i="38"/>
  <c r="BF19" i="38"/>
  <c r="AY19" i="38"/>
  <c r="AX19" i="38"/>
  <c r="AW19" i="38"/>
  <c r="B19" i="38"/>
  <c r="BF18" i="38"/>
  <c r="AY18" i="38"/>
  <c r="AX18" i="38"/>
  <c r="AW18" i="38"/>
  <c r="O18" i="38"/>
  <c r="K18" i="38"/>
  <c r="M18" i="38"/>
  <c r="B18" i="38"/>
  <c r="BF17" i="38"/>
  <c r="AY17" i="38"/>
  <c r="AX17" i="38"/>
  <c r="AW17" i="38"/>
  <c r="AZ17" i="38" s="1"/>
  <c r="BD17" i="38" s="1"/>
  <c r="B17" i="38"/>
  <c r="BP16" i="38"/>
  <c r="BF16" i="38"/>
  <c r="AY16" i="38"/>
  <c r="AX16" i="38"/>
  <c r="AW16" i="38"/>
  <c r="B16" i="38"/>
  <c r="BF15" i="38"/>
  <c r="AZ15" i="38" s="1"/>
  <c r="BD15" i="38" s="1"/>
  <c r="AY15" i="38"/>
  <c r="AX15" i="38"/>
  <c r="AW15" i="38"/>
  <c r="B15" i="38"/>
  <c r="BF14" i="38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Y8" i="38"/>
  <c r="AX8" i="38"/>
  <c r="AW8" i="38"/>
  <c r="B8" i="38"/>
  <c r="BM7" i="38"/>
  <c r="BI7" i="38"/>
  <c r="BH7" i="38"/>
  <c r="BF7" i="38"/>
  <c r="AY7" i="38"/>
  <c r="AX7" i="38"/>
  <c r="AW7" i="38"/>
  <c r="B7" i="38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W34" i="37"/>
  <c r="H34" i="37"/>
  <c r="B34" i="37"/>
  <c r="BP33" i="37"/>
  <c r="BJ6" i="37" s="1"/>
  <c r="BJ38" i="37" s="1"/>
  <c r="BF33" i="37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O27" i="37"/>
  <c r="K27" i="37"/>
  <c r="M27" i="37"/>
  <c r="B27" i="37"/>
  <c r="AY26" i="37"/>
  <c r="AZ26" i="37" s="1"/>
  <c r="BD26" i="37" s="1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X23" i="37"/>
  <c r="AW23" i="37"/>
  <c r="O23" i="37"/>
  <c r="B23" i="37"/>
  <c r="BP22" i="37"/>
  <c r="BF22" i="37"/>
  <c r="AY22" i="37"/>
  <c r="AX22" i="37"/>
  <c r="AW22" i="37"/>
  <c r="O22" i="37"/>
  <c r="K22" i="37"/>
  <c r="M22" i="37"/>
  <c r="B22" i="37"/>
  <c r="BF21" i="37"/>
  <c r="AY21" i="37"/>
  <c r="AX21" i="37"/>
  <c r="AW21" i="37"/>
  <c r="O21" i="37"/>
  <c r="B21" i="37"/>
  <c r="BF20" i="37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F16" i="37"/>
  <c r="AY16" i="37"/>
  <c r="AX16" i="37"/>
  <c r="AW16" i="37"/>
  <c r="O16" i="37"/>
  <c r="M16" i="37"/>
  <c r="K16" i="37"/>
  <c r="H16" i="37"/>
  <c r="B16" i="37"/>
  <c r="BF15" i="37"/>
  <c r="AY15" i="37"/>
  <c r="AX15" i="37"/>
  <c r="AW15" i="37"/>
  <c r="O15" i="37"/>
  <c r="K15" i="37"/>
  <c r="M15" i="37"/>
  <c r="B15" i="37"/>
  <c r="BF14" i="37"/>
  <c r="AY14" i="37"/>
  <c r="AX14" i="37"/>
  <c r="AW14" i="37"/>
  <c r="O14" i="37"/>
  <c r="B14" i="37"/>
  <c r="BF13" i="37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Y8" i="37"/>
  <c r="AX8" i="37"/>
  <c r="AW8" i="37"/>
  <c r="O8" i="37"/>
  <c r="K8" i="37"/>
  <c r="M8" i="37"/>
  <c r="B8" i="37"/>
  <c r="BM7" i="37"/>
  <c r="BH7" i="37"/>
  <c r="BF7" i="37"/>
  <c r="AY7" i="37"/>
  <c r="AX7" i="37"/>
  <c r="AW7" i="37"/>
  <c r="F38" i="37"/>
  <c r="O7" i="37"/>
  <c r="B7" i="37"/>
  <c r="BM6" i="37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BP33" i="36"/>
  <c r="BJ6" i="36" s="1"/>
  <c r="BF33" i="36"/>
  <c r="AY33" i="36"/>
  <c r="AX33" i="36"/>
  <c r="AW33" i="36"/>
  <c r="B33" i="36"/>
  <c r="BF32" i="36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B28" i="36"/>
  <c r="BF27" i="36"/>
  <c r="AY27" i="36"/>
  <c r="AX27" i="36"/>
  <c r="AW27" i="36"/>
  <c r="B27" i="36"/>
  <c r="BF26" i="36"/>
  <c r="AY26" i="36"/>
  <c r="AX26" i="36"/>
  <c r="AW26" i="36"/>
  <c r="B26" i="36"/>
  <c r="BF25" i="36"/>
  <c r="AY25" i="36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B17" i="36"/>
  <c r="BP16" i="36"/>
  <c r="BH6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Z10" i="36" s="1"/>
  <c r="BD10" i="36" s="1"/>
  <c r="AY10" i="36"/>
  <c r="AX10" i="36"/>
  <c r="AW10" i="36"/>
  <c r="B10" i="36"/>
  <c r="BF9" i="36"/>
  <c r="AY9" i="36"/>
  <c r="AX9" i="36"/>
  <c r="AW9" i="36"/>
  <c r="B9" i="36"/>
  <c r="BF8" i="36"/>
  <c r="AX8" i="36"/>
  <c r="AW8" i="36"/>
  <c r="B8" i="36"/>
  <c r="BM7" i="36"/>
  <c r="BJ7" i="36"/>
  <c r="BI7" i="36"/>
  <c r="BH7" i="36"/>
  <c r="BF7" i="36"/>
  <c r="AY7" i="36"/>
  <c r="AX7" i="36"/>
  <c r="AW7" i="36"/>
  <c r="B7" i="36"/>
  <c r="BM6" i="36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B27" i="35"/>
  <c r="BF26" i="35"/>
  <c r="AY26" i="35"/>
  <c r="AX26" i="35"/>
  <c r="AW26" i="35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F22" i="35"/>
  <c r="AY22" i="35"/>
  <c r="AX22" i="35"/>
  <c r="AW22" i="35"/>
  <c r="B22" i="35"/>
  <c r="BF21" i="35"/>
  <c r="AY21" i="35"/>
  <c r="AX21" i="35"/>
  <c r="AW21" i="35"/>
  <c r="B21" i="35"/>
  <c r="BF20" i="35"/>
  <c r="AY20" i="35"/>
  <c r="AX20" i="35"/>
  <c r="AW20" i="35"/>
  <c r="B20" i="35"/>
  <c r="BF19" i="35"/>
  <c r="AZ19" i="35" s="1"/>
  <c r="BD19" i="35" s="1"/>
  <c r="AY19" i="35"/>
  <c r="AX19" i="35"/>
  <c r="AW19" i="35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F16" i="35"/>
  <c r="AY16" i="35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I6" i="34" s="1"/>
  <c r="BI38" i="34" s="1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W17" i="34"/>
  <c r="B17" i="34"/>
  <c r="BP16" i="34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F7" i="34"/>
  <c r="AY7" i="34"/>
  <c r="AX7" i="34"/>
  <c r="AW7" i="34"/>
  <c r="B7" i="34"/>
  <c r="BJ6" i="34"/>
  <c r="BJ38" i="34" s="1"/>
  <c r="BF6" i="34"/>
  <c r="AY6" i="34"/>
  <c r="AX6" i="34"/>
  <c r="AW6" i="34"/>
  <c r="B6" i="34"/>
  <c r="AZ31" i="38" l="1"/>
  <c r="BD31" i="38" s="1"/>
  <c r="AZ35" i="38"/>
  <c r="BD35" i="38" s="1"/>
  <c r="AZ21" i="35"/>
  <c r="BD21" i="35" s="1"/>
  <c r="AZ13" i="36"/>
  <c r="BD13" i="36" s="1"/>
  <c r="BH38" i="36"/>
  <c r="AZ32" i="36"/>
  <c r="BD32" i="36" s="1"/>
  <c r="AZ12" i="37"/>
  <c r="BD12" i="37" s="1"/>
  <c r="AZ19" i="38"/>
  <c r="BD19" i="38" s="1"/>
  <c r="AZ28" i="38"/>
  <c r="BD28" i="38" s="1"/>
  <c r="BM38" i="37"/>
  <c r="AZ32" i="42"/>
  <c r="BD32" i="42" s="1"/>
  <c r="AZ12" i="35"/>
  <c r="BD12" i="35" s="1"/>
  <c r="AZ33" i="35"/>
  <c r="BD33" i="35" s="1"/>
  <c r="AZ17" i="36"/>
  <c r="BD17" i="36" s="1"/>
  <c r="AZ28" i="36"/>
  <c r="BD28" i="36" s="1"/>
  <c r="AZ7" i="37"/>
  <c r="BD7" i="37" s="1"/>
  <c r="AZ27" i="39"/>
  <c r="BD27" i="39" s="1"/>
  <c r="BI38" i="39"/>
  <c r="AZ13" i="41"/>
  <c r="BD13" i="41" s="1"/>
  <c r="AZ30" i="41"/>
  <c r="BD30" i="41" s="1"/>
  <c r="AZ8" i="42"/>
  <c r="BD8" i="42" s="1"/>
  <c r="AZ26" i="35"/>
  <c r="BD26" i="35" s="1"/>
  <c r="BJ38" i="36"/>
  <c r="AZ16" i="37"/>
  <c r="BD16" i="37" s="1"/>
  <c r="AZ27" i="38"/>
  <c r="BD27" i="38" s="1"/>
  <c r="AZ30" i="38"/>
  <c r="BD30" i="38" s="1"/>
  <c r="AZ8" i="35"/>
  <c r="BD8" i="35" s="1"/>
  <c r="BJ6" i="38"/>
  <c r="BJ38" i="38" s="1"/>
  <c r="AZ15" i="41"/>
  <c r="BD15" i="41" s="1"/>
  <c r="AZ28" i="42"/>
  <c r="BD28" i="42" s="1"/>
  <c r="AZ29" i="35"/>
  <c r="BD29" i="35" s="1"/>
  <c r="AZ18" i="37"/>
  <c r="BD18" i="37" s="1"/>
  <c r="AZ29" i="39"/>
  <c r="BD29" i="39" s="1"/>
  <c r="AZ12" i="41"/>
  <c r="AZ33" i="37"/>
  <c r="BD33" i="37" s="1"/>
  <c r="AZ11" i="39"/>
  <c r="BD11" i="39" s="1"/>
  <c r="AZ14" i="39"/>
  <c r="BD14" i="39" s="1"/>
  <c r="AZ20" i="41"/>
  <c r="AZ28" i="41"/>
  <c r="BD28" i="41" s="1"/>
  <c r="AZ24" i="34"/>
  <c r="BD24" i="34" s="1"/>
  <c r="AZ32" i="34"/>
  <c r="AZ16" i="35"/>
  <c r="BD16" i="35" s="1"/>
  <c r="AZ23" i="37"/>
  <c r="BD23" i="37" s="1"/>
  <c r="AZ14" i="38"/>
  <c r="BD14" i="38" s="1"/>
  <c r="AZ17" i="39"/>
  <c r="AZ9" i="42"/>
  <c r="BD9" i="42" s="1"/>
  <c r="AZ24" i="42"/>
  <c r="BD24" i="42" s="1"/>
  <c r="AZ35" i="42"/>
  <c r="BD35" i="42" s="1"/>
  <c r="BH38" i="35"/>
  <c r="AZ14" i="37"/>
  <c r="BD14" i="37" s="1"/>
  <c r="AZ15" i="37"/>
  <c r="BD15" i="37" s="1"/>
  <c r="AZ8" i="38"/>
  <c r="BD8" i="38" s="1"/>
  <c r="AZ29" i="38"/>
  <c r="BD29" i="38" s="1"/>
  <c r="AZ24" i="39"/>
  <c r="BD24" i="39" s="1"/>
  <c r="AZ34" i="39"/>
  <c r="BD34" i="39" s="1"/>
  <c r="AZ11" i="41"/>
  <c r="BD11" i="41" s="1"/>
  <c r="AZ35" i="41"/>
  <c r="BD35" i="41" s="1"/>
  <c r="AZ18" i="34"/>
  <c r="AZ11" i="34"/>
  <c r="BD11" i="34" s="1"/>
  <c r="BM38" i="35"/>
  <c r="AZ10" i="37"/>
  <c r="BD10" i="37" s="1"/>
  <c r="AZ21" i="37"/>
  <c r="BD21" i="37" s="1"/>
  <c r="AZ22" i="37"/>
  <c r="BD22" i="37" s="1"/>
  <c r="AZ18" i="38"/>
  <c r="BD18" i="38" s="1"/>
  <c r="AZ26" i="38"/>
  <c r="BD26" i="38" s="1"/>
  <c r="AZ32" i="38"/>
  <c r="BD32" i="38" s="1"/>
  <c r="AZ19" i="39"/>
  <c r="BD19" i="39" s="1"/>
  <c r="AZ17" i="41"/>
  <c r="BD17" i="41" s="1"/>
  <c r="AZ25" i="41"/>
  <c r="BD25" i="41" s="1"/>
  <c r="AZ11" i="42"/>
  <c r="BD11" i="42" s="1"/>
  <c r="AW38" i="42"/>
  <c r="AZ19" i="34"/>
  <c r="BD19" i="34" s="1"/>
  <c r="AZ9" i="36"/>
  <c r="BD9" i="36" s="1"/>
  <c r="AZ13" i="37"/>
  <c r="BD13" i="37" s="1"/>
  <c r="AZ27" i="37"/>
  <c r="BD27" i="37" s="1"/>
  <c r="AZ29" i="37"/>
  <c r="BD29" i="37" s="1"/>
  <c r="AZ30" i="39"/>
  <c r="BD30" i="39" s="1"/>
  <c r="BP41" i="34"/>
  <c r="AZ27" i="35"/>
  <c r="AZ25" i="36"/>
  <c r="BD25" i="36" s="1"/>
  <c r="AZ8" i="37"/>
  <c r="BD8" i="37" s="1"/>
  <c r="BP41" i="37"/>
  <c r="AZ20" i="37"/>
  <c r="BD20" i="37" s="1"/>
  <c r="AZ34" i="37"/>
  <c r="BD34" i="37" s="1"/>
  <c r="AZ16" i="41"/>
  <c r="AZ29" i="34"/>
  <c r="BD29" i="34" s="1"/>
  <c r="BH38" i="39"/>
  <c r="AZ8" i="40"/>
  <c r="BD8" i="40" s="1"/>
  <c r="AZ19" i="40"/>
  <c r="BD19" i="40" s="1"/>
  <c r="AA38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F38" i="43"/>
  <c r="AZ24" i="40"/>
  <c r="BD24" i="40" s="1"/>
  <c r="AZ24" i="36"/>
  <c r="BD24" i="36" s="1"/>
  <c r="BM38" i="36"/>
  <c r="BH38" i="41"/>
  <c r="AZ6" i="41"/>
  <c r="BD6" i="41" s="1"/>
  <c r="AZ31" i="41"/>
  <c r="BD31" i="41" s="1"/>
  <c r="AZ36" i="41"/>
  <c r="BD36" i="41" s="1"/>
  <c r="BD20" i="41"/>
  <c r="BD12" i="41"/>
  <c r="AX38" i="41"/>
  <c r="X38" i="43"/>
  <c r="AV38" i="43"/>
  <c r="AZ23" i="40"/>
  <c r="BD23" i="40" s="1"/>
  <c r="BM38" i="40"/>
  <c r="BM38" i="39"/>
  <c r="AZ23" i="39"/>
  <c r="BD23" i="39" s="1"/>
  <c r="AZ24" i="37"/>
  <c r="BD24" i="37" s="1"/>
  <c r="AG38" i="43"/>
  <c r="BL38" i="43"/>
  <c r="V38" i="43"/>
  <c r="AZ17" i="34"/>
  <c r="BD17" i="34" s="1"/>
  <c r="AZ16" i="36"/>
  <c r="BD16" i="36" s="1"/>
  <c r="AZ18" i="36"/>
  <c r="BD18" i="36" s="1"/>
  <c r="AZ23" i="35"/>
  <c r="BD23" i="35" s="1"/>
  <c r="BC38" i="43"/>
  <c r="AU38" i="43"/>
  <c r="AO38" i="43"/>
  <c r="Y38" i="43"/>
  <c r="BP41" i="38"/>
  <c r="AS35" i="37"/>
  <c r="G35" i="37"/>
  <c r="AZ20" i="36"/>
  <c r="BD20" i="36" s="1"/>
  <c r="AY38" i="35"/>
  <c r="AZ22" i="35"/>
  <c r="BD22" i="35" s="1"/>
  <c r="AW38" i="35"/>
  <c r="AZ32" i="40"/>
  <c r="BD32" i="40" s="1"/>
  <c r="AX38" i="40"/>
  <c r="AZ11" i="40"/>
  <c r="BD11" i="40" s="1"/>
  <c r="AZ30" i="40"/>
  <c r="BD30" i="40" s="1"/>
  <c r="AX38" i="39"/>
  <c r="AZ32" i="39"/>
  <c r="BD32" i="39" s="1"/>
  <c r="AZ15" i="39"/>
  <c r="BD15" i="39" s="1"/>
  <c r="J38" i="43"/>
  <c r="AZ7" i="38"/>
  <c r="BD7" i="38" s="1"/>
  <c r="AZ24" i="38"/>
  <c r="BD24" i="38" s="1"/>
  <c r="AZ12" i="38"/>
  <c r="BD12" i="38" s="1"/>
  <c r="AW38" i="38"/>
  <c r="AZ22" i="38"/>
  <c r="BD22" i="38" s="1"/>
  <c r="AZ20" i="38"/>
  <c r="BD20" i="38" s="1"/>
  <c r="AP38" i="43"/>
  <c r="AZ25" i="38"/>
  <c r="BD25" i="38" s="1"/>
  <c r="AX38" i="38"/>
  <c r="AZ9" i="38"/>
  <c r="BD9" i="38" s="1"/>
  <c r="AY38" i="37"/>
  <c r="AZ9" i="37"/>
  <c r="BD9" i="37" s="1"/>
  <c r="BB38" i="43"/>
  <c r="AW38" i="37"/>
  <c r="AZ19" i="37"/>
  <c r="BD19" i="37" s="1"/>
  <c r="AZ11" i="37"/>
  <c r="BD11" i="37" s="1"/>
  <c r="BE26" i="37"/>
  <c r="BE26" i="43" s="1"/>
  <c r="AZ30" i="34"/>
  <c r="BD30" i="34" s="1"/>
  <c r="Z38" i="43"/>
  <c r="BH6" i="34"/>
  <c r="BH38" i="34" s="1"/>
  <c r="AZ10" i="34"/>
  <c r="BD10" i="34" s="1"/>
  <c r="AC38" i="43"/>
  <c r="AX38" i="34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D30" i="42" s="1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BD31" i="42" s="1"/>
  <c r="AZ21" i="42"/>
  <c r="BD21" i="42" s="1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AY38" i="41"/>
  <c r="F38" i="42"/>
  <c r="AY38" i="42"/>
  <c r="AZ7" i="42"/>
  <c r="BD7" i="42" s="1"/>
  <c r="AZ22" i="42"/>
  <c r="BD22" i="42" s="1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BD10" i="42" s="1"/>
  <c r="AZ13" i="42"/>
  <c r="BD13" i="42" s="1"/>
  <c r="AZ16" i="42"/>
  <c r="BD16" i="42" s="1"/>
  <c r="AZ18" i="42"/>
  <c r="BD18" i="42" s="1"/>
  <c r="AZ23" i="42"/>
  <c r="BD23" i="42" s="1"/>
  <c r="AZ15" i="42"/>
  <c r="BD15" i="42" s="1"/>
  <c r="AZ25" i="42"/>
  <c r="BD25" i="42" s="1"/>
  <c r="AX38" i="42"/>
  <c r="BM38" i="42"/>
  <c r="AZ12" i="42"/>
  <c r="BD12" i="42" s="1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BA26" i="43" s="1"/>
  <c r="F26" i="32"/>
  <c r="BA20" i="32"/>
  <c r="BA20" i="43" s="1"/>
  <c r="F17" i="32"/>
  <c r="AZ6" i="38" l="1"/>
  <c r="BD6" i="38" s="1"/>
  <c r="BA38" i="43"/>
  <c r="AZ6" i="37"/>
  <c r="BD6" i="37" s="1"/>
  <c r="AZ7" i="41"/>
  <c r="BD7" i="41" s="1"/>
  <c r="BD38" i="41" s="1"/>
  <c r="AS18" i="37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F12" i="33"/>
  <c r="F14" i="33"/>
  <c r="F15" i="33"/>
  <c r="F16" i="33"/>
  <c r="F17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F33" i="33"/>
  <c r="AY33" i="33"/>
  <c r="AX33" i="33"/>
  <c r="AW33" i="33"/>
  <c r="B33" i="33"/>
  <c r="BF32" i="33"/>
  <c r="AY32" i="33"/>
  <c r="AW32" i="33"/>
  <c r="B32" i="33"/>
  <c r="BF31" i="33"/>
  <c r="AY31" i="33"/>
  <c r="AX31" i="33"/>
  <c r="AW31" i="33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X20" i="33"/>
  <c r="AW20" i="33"/>
  <c r="B20" i="33"/>
  <c r="BF19" i="33"/>
  <c r="AY19" i="33"/>
  <c r="AX19" i="33"/>
  <c r="AW19" i="33"/>
  <c r="B19" i="33"/>
  <c r="BF18" i="33"/>
  <c r="AY18" i="33"/>
  <c r="AX18" i="33"/>
  <c r="AW18" i="33"/>
  <c r="B18" i="33"/>
  <c r="BF17" i="33"/>
  <c r="AY17" i="33"/>
  <c r="AX17" i="33"/>
  <c r="AW17" i="33"/>
  <c r="B17" i="33"/>
  <c r="BP16" i="33"/>
  <c r="BH6" i="33" s="1"/>
  <c r="BF16" i="33"/>
  <c r="AY16" i="33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B13" i="33"/>
  <c r="BF12" i="33"/>
  <c r="AY12" i="33"/>
  <c r="AX12" i="33"/>
  <c r="AW12" i="33"/>
  <c r="B12" i="33"/>
  <c r="BF11" i="33"/>
  <c r="AY11" i="33"/>
  <c r="AX11" i="33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H7" i="33"/>
  <c r="BF7" i="33"/>
  <c r="AY7" i="33"/>
  <c r="AX7" i="33"/>
  <c r="AW7" i="33"/>
  <c r="B7" i="33"/>
  <c r="BF6" i="33"/>
  <c r="AY6" i="33"/>
  <c r="AX6" i="33"/>
  <c r="AW6" i="33"/>
  <c r="B6" i="33"/>
  <c r="AZ18" i="33" l="1"/>
  <c r="AZ35" i="33"/>
  <c r="BD35" i="33" s="1"/>
  <c r="AZ19" i="33"/>
  <c r="BD19" i="33" s="1"/>
  <c r="AZ11" i="33"/>
  <c r="BD11" i="33" s="1"/>
  <c r="AZ26" i="33"/>
  <c r="BD26" i="33" s="1"/>
  <c r="AZ15" i="33"/>
  <c r="BD15" i="33" s="1"/>
  <c r="AZ22" i="33"/>
  <c r="BD22" i="33" s="1"/>
  <c r="AZ38" i="34"/>
  <c r="C43" i="34" s="1"/>
  <c r="BK38" i="33"/>
  <c r="BJ6" i="33"/>
  <c r="AZ32" i="33"/>
  <c r="BD32" i="33" s="1"/>
  <c r="AZ7" i="33"/>
  <c r="BD7" i="33" s="1"/>
  <c r="BM38" i="33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9" i="43" s="1"/>
  <c r="AW28" i="31"/>
  <c r="AW27" i="31"/>
  <c r="AW26" i="31"/>
  <c r="AW25" i="31"/>
  <c r="AW24" i="31"/>
  <c r="AW23" i="31"/>
  <c r="AW22" i="31"/>
  <c r="AW21" i="31"/>
  <c r="AW21" i="43" s="1"/>
  <c r="AW20" i="31"/>
  <c r="AW19" i="31"/>
  <c r="AW18" i="31"/>
  <c r="AW17" i="31"/>
  <c r="AW16" i="31"/>
  <c r="AW15" i="31"/>
  <c r="AW14" i="31"/>
  <c r="AW13" i="31"/>
  <c r="AW13" i="43" s="1"/>
  <c r="AW12" i="31"/>
  <c r="AW11" i="31"/>
  <c r="AW10" i="31"/>
  <c r="AW9" i="31"/>
  <c r="AW8" i="31"/>
  <c r="AW8" i="43" s="1"/>
  <c r="AW7" i="31"/>
  <c r="AW6" i="31"/>
  <c r="AW7" i="32"/>
  <c r="AW8" i="32"/>
  <c r="AW9" i="32"/>
  <c r="AW9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W16" i="43" l="1"/>
  <c r="AW24" i="43"/>
  <c r="AW6" i="43"/>
  <c r="AW14" i="43"/>
  <c r="AW22" i="43"/>
  <c r="AW30" i="43"/>
  <c r="AW7" i="43"/>
  <c r="AW15" i="43"/>
  <c r="AW23" i="43"/>
  <c r="AW31" i="43"/>
  <c r="AW32" i="43"/>
  <c r="AW17" i="43"/>
  <c r="AW33" i="43"/>
  <c r="AW25" i="43"/>
  <c r="AW10" i="43"/>
  <c r="AW18" i="43"/>
  <c r="AW26" i="43"/>
  <c r="AW34" i="43"/>
  <c r="AW19" i="43"/>
  <c r="AW35" i="43"/>
  <c r="AW11" i="43"/>
  <c r="AW27" i="43"/>
  <c r="AW12" i="43"/>
  <c r="AW20" i="43"/>
  <c r="AW28" i="43"/>
  <c r="AW36" i="43"/>
  <c r="AY7" i="32"/>
  <c r="AY7" i="43" s="1"/>
  <c r="AY8" i="32"/>
  <c r="AY8" i="43" s="1"/>
  <c r="AY9" i="32"/>
  <c r="AY9" i="43" s="1"/>
  <c r="AY10" i="32"/>
  <c r="AY10" i="43" s="1"/>
  <c r="AY11" i="32"/>
  <c r="AY11" i="43" s="1"/>
  <c r="AY12" i="32"/>
  <c r="AY12" i="43" s="1"/>
  <c r="AY13" i="32"/>
  <c r="AY13" i="43" s="1"/>
  <c r="AY14" i="32"/>
  <c r="AY14" i="43" s="1"/>
  <c r="AY15" i="32"/>
  <c r="AY15" i="43" s="1"/>
  <c r="AY16" i="32"/>
  <c r="AY16" i="43" s="1"/>
  <c r="AY17" i="32"/>
  <c r="AY17" i="43" s="1"/>
  <c r="AY18" i="32"/>
  <c r="AY18" i="43" s="1"/>
  <c r="AY19" i="32"/>
  <c r="AY19" i="43" s="1"/>
  <c r="AY20" i="32"/>
  <c r="AY20" i="43" s="1"/>
  <c r="AY21" i="32"/>
  <c r="AY21" i="43" s="1"/>
  <c r="AY22" i="32"/>
  <c r="AY22" i="43" s="1"/>
  <c r="AY23" i="32"/>
  <c r="AY23" i="43" s="1"/>
  <c r="AY24" i="32"/>
  <c r="AY24" i="43" s="1"/>
  <c r="AY25" i="32"/>
  <c r="AY26" i="32"/>
  <c r="AY26" i="43" s="1"/>
  <c r="AY27" i="32"/>
  <c r="AY27" i="43" s="1"/>
  <c r="AY28" i="32"/>
  <c r="AY28" i="43" s="1"/>
  <c r="AY29" i="32"/>
  <c r="AY29" i="43" s="1"/>
  <c r="AY30" i="32"/>
  <c r="AY30" i="43" s="1"/>
  <c r="AY31" i="32"/>
  <c r="AY31" i="43" s="1"/>
  <c r="AY32" i="32"/>
  <c r="AY32" i="43" s="1"/>
  <c r="AY33" i="32"/>
  <c r="AY33" i="43" s="1"/>
  <c r="AY34" i="32"/>
  <c r="AY34" i="43" s="1"/>
  <c r="AY35" i="32"/>
  <c r="AY35" i="43" s="1"/>
  <c r="AY36" i="32"/>
  <c r="AY36" i="43" s="1"/>
  <c r="AY6" i="32"/>
  <c r="AY6" i="43" s="1"/>
  <c r="AX7" i="32"/>
  <c r="AX7" i="43" s="1"/>
  <c r="AX8" i="32"/>
  <c r="AX8" i="43" s="1"/>
  <c r="AX9" i="32"/>
  <c r="AX9" i="43" s="1"/>
  <c r="AX10" i="32"/>
  <c r="AX10" i="43" s="1"/>
  <c r="AX11" i="32"/>
  <c r="AX11" i="43" s="1"/>
  <c r="AX12" i="32"/>
  <c r="AX12" i="43" s="1"/>
  <c r="AX13" i="32"/>
  <c r="AX13" i="43" s="1"/>
  <c r="AX14" i="32"/>
  <c r="AX14" i="43" s="1"/>
  <c r="AX15" i="32"/>
  <c r="AX15" i="43" s="1"/>
  <c r="AX16" i="32"/>
  <c r="AX16" i="43" s="1"/>
  <c r="AX17" i="32"/>
  <c r="AX17" i="43" s="1"/>
  <c r="AX18" i="32"/>
  <c r="AX19" i="32"/>
  <c r="AX19" i="43" s="1"/>
  <c r="AX20" i="32"/>
  <c r="AX21" i="32"/>
  <c r="AX21" i="43" s="1"/>
  <c r="AX22" i="32"/>
  <c r="AX22" i="43" s="1"/>
  <c r="AX23" i="32"/>
  <c r="AX23" i="43" s="1"/>
  <c r="AX24" i="32"/>
  <c r="AX25" i="32"/>
  <c r="AX26" i="32"/>
  <c r="AX26" i="43" s="1"/>
  <c r="AX27" i="32"/>
  <c r="AX27" i="43" s="1"/>
  <c r="AX28" i="32"/>
  <c r="AX28" i="43" s="1"/>
  <c r="AX29" i="32"/>
  <c r="AX29" i="43" s="1"/>
  <c r="AX30" i="32"/>
  <c r="AX30" i="43" s="1"/>
  <c r="AX31" i="32"/>
  <c r="AX31" i="43" s="1"/>
  <c r="AX32" i="32"/>
  <c r="AX32" i="43" s="1"/>
  <c r="AX33" i="32"/>
  <c r="AX33" i="43" s="1"/>
  <c r="AX34" i="32"/>
  <c r="AX34" i="43" s="1"/>
  <c r="AX35" i="32"/>
  <c r="AX35" i="43" s="1"/>
  <c r="AX36" i="32"/>
  <c r="AX36" i="43" s="1"/>
  <c r="AX6" i="32"/>
  <c r="AX6" i="43" s="1"/>
  <c r="AW38" i="43" l="1"/>
  <c r="D26" i="32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P33" i="31"/>
  <c r="BJ6" i="31" s="1"/>
  <c r="BJ6" i="43" s="1"/>
  <c r="BP28" i="31"/>
  <c r="BI6" i="31" s="1"/>
  <c r="BP22" i="31"/>
  <c r="BM6" i="31" s="1"/>
  <c r="BM6" i="43" s="1"/>
  <c r="BP16" i="31"/>
  <c r="BH6" i="31" s="1"/>
  <c r="BH6" i="43" s="1"/>
  <c r="AJ24" i="31" l="1"/>
  <c r="AM20" i="31"/>
  <c r="AM20" i="43" s="1"/>
  <c r="AJ20" i="31"/>
  <c r="AM25" i="31"/>
  <c r="AM25" i="43" s="1"/>
  <c r="AJ25" i="31"/>
  <c r="AM18" i="31"/>
  <c r="AM18" i="43" s="1"/>
  <c r="AJ18" i="31"/>
  <c r="AX25" i="31" l="1"/>
  <c r="AX25" i="43" s="1"/>
  <c r="AJ25" i="43"/>
  <c r="AX20" i="31"/>
  <c r="AX20" i="43" s="1"/>
  <c r="AJ20" i="43"/>
  <c r="AX24" i="31"/>
  <c r="AX24" i="43" s="1"/>
  <c r="AJ24" i="43"/>
  <c r="AX18" i="31"/>
  <c r="AX18" i="43" s="1"/>
  <c r="AX38" i="43" s="1"/>
  <c r="AJ18" i="43"/>
  <c r="AM38" i="43"/>
  <c r="AK25" i="31"/>
  <c r="B7" i="31"/>
  <c r="D7" i="31"/>
  <c r="E7" i="31"/>
  <c r="E7" i="43" s="1"/>
  <c r="F7" i="31"/>
  <c r="BF7" i="31"/>
  <c r="BF7" i="43" s="1"/>
  <c r="BH7" i="31"/>
  <c r="BH7" i="43" s="1"/>
  <c r="BH38" i="43" s="1"/>
  <c r="BM7" i="31"/>
  <c r="BM7" i="43" s="1"/>
  <c r="BM38" i="43" s="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J38" i="43" l="1"/>
  <c r="AY25" i="31"/>
  <c r="AY25" i="43" s="1"/>
  <c r="AY38" i="43" s="1"/>
  <c r="AK25" i="43"/>
  <c r="AK38" i="43" s="1"/>
  <c r="AZ34" i="31"/>
  <c r="F34" i="43"/>
  <c r="F7" i="43"/>
  <c r="K7" i="31"/>
  <c r="M7" i="31"/>
  <c r="K34" i="31"/>
  <c r="H7" i="31"/>
  <c r="H34" i="31"/>
  <c r="O7" i="31"/>
  <c r="M34" i="31"/>
  <c r="O34" i="31"/>
  <c r="AZ34" i="43" l="1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BI7" i="43" l="1"/>
  <c r="F36" i="43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G33" i="31"/>
  <c r="AQ29" i="31"/>
  <c r="AS29" i="31"/>
  <c r="G29" i="31"/>
  <c r="U29" i="31" s="1"/>
  <c r="AR29" i="31"/>
  <c r="AQ27" i="31"/>
  <c r="AS27" i="31"/>
  <c r="G27" i="31"/>
  <c r="U27" i="31" s="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J7" i="43" l="1"/>
  <c r="BJ38" i="43" s="1"/>
  <c r="AZ7" i="31"/>
  <c r="BD6" i="3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AZ7" i="43" l="1"/>
  <c r="BD7" i="31"/>
  <c r="BD7" i="43" s="1"/>
  <c r="BD20" i="43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8" i="14" l="1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T39" i="14" l="1"/>
  <c r="S39" i="14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33"/>
  <c r="BI38" i="33" s="1"/>
  <c r="BI6" i="43" l="1"/>
  <c r="BI38" i="43" s="1"/>
  <c r="AZ6" i="33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M26" i="42"/>
  <c r="K26" i="42"/>
  <c r="O31" i="42"/>
  <c r="M31" i="42"/>
  <c r="K31" i="42"/>
  <c r="H31" i="42"/>
  <c r="M31" i="43" l="1"/>
  <c r="O26" i="43"/>
  <c r="G10" i="42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18" i="43" l="1"/>
  <c r="C32" i="43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E37" i="46" l="1"/>
  <c r="E40" i="46" l="1"/>
  <c r="F47" i="46" s="1"/>
  <c r="E37" i="57"/>
  <c r="AR29" i="57" l="1"/>
  <c r="AR19" i="57" l="1"/>
  <c r="AQ13" i="57" l="1"/>
  <c r="AR6" i="57"/>
  <c r="AQ27" i="57"/>
  <c r="AQ15" i="57"/>
  <c r="AQ22" i="57"/>
  <c r="AQ38" i="57"/>
  <c r="AQ35" i="57"/>
  <c r="AQ40" i="57" l="1"/>
  <c r="H7" i="50" l="1"/>
  <c r="O7" i="50"/>
  <c r="M7" i="50"/>
  <c r="K7" i="50"/>
  <c r="AQ7" i="50" l="1"/>
  <c r="AR7" i="50"/>
  <c r="AS7" i="50"/>
  <c r="G7" i="50"/>
  <c r="BI6" i="51" l="1"/>
  <c r="BI40" i="51" s="1"/>
  <c r="AZ6" i="51"/>
  <c r="BD6" i="51" l="1"/>
  <c r="AZ6" i="57"/>
  <c r="BI6" i="57"/>
  <c r="BI40" i="57" s="1"/>
  <c r="BD6" i="57" l="1"/>
  <c r="R9" i="49" l="1"/>
  <c r="R25" i="49"/>
  <c r="R20" i="49"/>
  <c r="R33" i="49"/>
  <c r="R18" i="49"/>
  <c r="R37" i="49"/>
  <c r="R24" i="49"/>
  <c r="R12" i="49"/>
  <c r="R30" i="49"/>
  <c r="R23" i="49"/>
  <c r="R17" i="49"/>
  <c r="R31" i="49"/>
  <c r="R33" i="52"/>
  <c r="R12" i="55"/>
  <c r="R9" i="53"/>
  <c r="R17" i="56"/>
  <c r="R20" i="50"/>
  <c r="R24" i="50"/>
  <c r="R23" i="50"/>
  <c r="R37" i="55"/>
  <c r="R30" i="55"/>
  <c r="R24" i="55"/>
  <c r="R16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16" i="52"/>
  <c r="R20" i="56"/>
  <c r="R9" i="56"/>
  <c r="R24" i="56"/>
  <c r="R33" i="56"/>
  <c r="R37" i="51"/>
  <c r="R25" i="53"/>
  <c r="R20" i="55"/>
  <c r="R16" i="51"/>
  <c r="R23" i="51"/>
  <c r="R25" i="51"/>
  <c r="R31" i="55"/>
  <c r="R12" i="56"/>
  <c r="R25" i="56"/>
  <c r="R31" i="53"/>
  <c r="R23" i="55"/>
  <c r="R20" i="54"/>
  <c r="R30" i="50"/>
  <c r="R30" i="51"/>
  <c r="R31" i="51"/>
  <c r="R18" i="52"/>
  <c r="R24" i="54"/>
  <c r="R9" i="51"/>
  <c r="R37" i="53"/>
  <c r="R16" i="56"/>
  <c r="R16" i="54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6" i="53"/>
  <c r="R17" i="53"/>
  <c r="R20" i="53"/>
  <c r="R23" i="53"/>
  <c r="R24" i="53"/>
  <c r="R33" i="53"/>
  <c r="R9" i="54"/>
  <c r="R18" i="54"/>
  <c r="R25" i="54"/>
  <c r="R9" i="55"/>
  <c r="R18" i="55"/>
  <c r="R25" i="55"/>
  <c r="R37" i="50"/>
  <c r="R25" i="50"/>
  <c r="R18" i="50"/>
  <c r="R9" i="50"/>
  <c r="R40" i="54" l="1"/>
  <c r="R40" i="53"/>
  <c r="R40" i="52"/>
  <c r="R40" i="51"/>
  <c r="R40" i="56"/>
  <c r="R40" i="55"/>
  <c r="R33" i="48"/>
  <c r="R9" i="48"/>
  <c r="R18" i="48"/>
  <c r="R25" i="48"/>
  <c r="R37" i="48"/>
  <c r="R23" i="48"/>
  <c r="R17" i="48"/>
  <c r="R24" i="48"/>
  <c r="R31" i="48"/>
  <c r="R12" i="48"/>
  <c r="R20" i="48"/>
  <c r="R30" i="48"/>
  <c r="R23" i="47"/>
  <c r="R33" i="47"/>
  <c r="R31" i="47"/>
  <c r="R24" i="47"/>
  <c r="R17" i="47"/>
  <c r="R30" i="47"/>
  <c r="R12" i="47"/>
  <c r="R37" i="47"/>
  <c r="R25" i="47"/>
  <c r="R18" i="47"/>
  <c r="R9" i="47"/>
  <c r="R30" i="46" l="1"/>
  <c r="R33" i="46"/>
  <c r="R33" i="57" l="1"/>
  <c r="R30" i="57"/>
  <c r="R31" i="46" l="1"/>
  <c r="R24" i="46"/>
  <c r="R20" i="46"/>
  <c r="R17" i="46"/>
  <c r="R12" i="46"/>
  <c r="R37" i="46"/>
  <c r="R25" i="46"/>
  <c r="R23" i="46"/>
  <c r="R18" i="46"/>
  <c r="R9" i="46"/>
  <c r="R31" i="57" l="1"/>
  <c r="R18" i="57"/>
  <c r="R12" i="57"/>
  <c r="R24" i="57"/>
  <c r="R23" i="57"/>
  <c r="R16" i="50"/>
  <c r="R16" i="47"/>
  <c r="R16" i="46"/>
  <c r="R16" i="49"/>
  <c r="R16" i="48"/>
  <c r="R17" i="57"/>
  <c r="R25" i="57"/>
  <c r="R37" i="57"/>
  <c r="R9" i="57"/>
  <c r="R40" i="46" l="1"/>
  <c r="R40" i="48"/>
  <c r="R40" i="49"/>
  <c r="R16" i="57"/>
  <c r="R40" i="50"/>
  <c r="R20" i="47" l="1"/>
  <c r="R20" i="57" l="1"/>
  <c r="R40" i="47"/>
  <c r="R40" i="57" l="1"/>
  <c r="Q32" i="49" l="1"/>
  <c r="Q12" i="49"/>
  <c r="Q28" i="49"/>
  <c r="Q11" i="49"/>
  <c r="Q38" i="49"/>
  <c r="Q16" i="49"/>
  <c r="Q22" i="49"/>
  <c r="Q20" i="49"/>
  <c r="Q15" i="49"/>
  <c r="Q24" i="49"/>
  <c r="Q8" i="49"/>
  <c r="Q25" i="49"/>
  <c r="Q10" i="49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48"/>
  <c r="Q15" i="48"/>
  <c r="Q10" i="48"/>
  <c r="Q25" i="55"/>
  <c r="Q20" i="50"/>
  <c r="Q25" i="50"/>
  <c r="Q32" i="50"/>
  <c r="Q22" i="55"/>
  <c r="Q12" i="54"/>
  <c r="Q28" i="55"/>
  <c r="Q15" i="55"/>
  <c r="Q28" i="48"/>
  <c r="Q20" i="48"/>
  <c r="Q11" i="48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2" i="48"/>
  <c r="Q10" i="50"/>
  <c r="Q38" i="48"/>
  <c r="Q24" i="48"/>
  <c r="Q16" i="48"/>
  <c r="Q8" i="48"/>
  <c r="Q10" i="52"/>
  <c r="Q32" i="48"/>
  <c r="Q22" i="48"/>
  <c r="Q32" i="53"/>
  <c r="Q15" i="56"/>
  <c r="Q10" i="54"/>
  <c r="Q38" i="50"/>
  <c r="Q12" i="55"/>
  <c r="Q15" i="50"/>
  <c r="Q22" i="51"/>
  <c r="Q15" i="52"/>
  <c r="Q25" i="56"/>
  <c r="Q25" i="51"/>
  <c r="Q24" i="54"/>
  <c r="Q28" i="50"/>
  <c r="Q12" i="52"/>
  <c r="Q10" i="56"/>
  <c r="Q15" i="51"/>
  <c r="Q25" i="52"/>
  <c r="Q12" i="53"/>
  <c r="Q15" i="54"/>
  <c r="Q32" i="55"/>
  <c r="Q11" i="50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40" i="54" l="1"/>
  <c r="Q40" i="49"/>
  <c r="Q40" i="51"/>
  <c r="Q40" i="53"/>
  <c r="Q40" i="55"/>
  <c r="Q40" i="52"/>
  <c r="Q40" i="48"/>
  <c r="Q40" i="56"/>
  <c r="Q40" i="50"/>
  <c r="Q10" i="47" l="1"/>
  <c r="Q15" i="47"/>
  <c r="Q20" i="47"/>
  <c r="Q28" i="47"/>
  <c r="Q12" i="47"/>
  <c r="Q22" i="47"/>
  <c r="Q32" i="47"/>
  <c r="Q25" i="47"/>
  <c r="Q11" i="47"/>
  <c r="Q8" i="47"/>
  <c r="Q16" i="47"/>
  <c r="Q24" i="47"/>
  <c r="Q38" i="47"/>
  <c r="Q40" i="47" l="1"/>
  <c r="Q22" i="46" l="1"/>
  <c r="Q16" i="46"/>
  <c r="Q25" i="46"/>
  <c r="Q38" i="46"/>
  <c r="Q28" i="46"/>
  <c r="Q20" i="46"/>
  <c r="Q12" i="46"/>
  <c r="Q32" i="46"/>
  <c r="Q24" i="46"/>
  <c r="Q15" i="46"/>
  <c r="Q8" i="46"/>
  <c r="Q16" i="57" l="1"/>
  <c r="Q22" i="57"/>
  <c r="Q32" i="57"/>
  <c r="Q24" i="57"/>
  <c r="Q12" i="57"/>
  <c r="Q15" i="57"/>
  <c r="Q20" i="57"/>
  <c r="Q25" i="57"/>
  <c r="Q28" i="57"/>
  <c r="Q38" i="57"/>
  <c r="Q8" i="57"/>
  <c r="Q10" i="46" l="1"/>
  <c r="Q10" i="57" l="1"/>
  <c r="Q11" i="46"/>
  <c r="Q11" i="57" l="1"/>
  <c r="Q40" i="57" s="1"/>
  <c r="Q40" i="46"/>
  <c r="P20" i="49" l="1"/>
  <c r="P28" i="49"/>
  <c r="P26" i="49"/>
  <c r="P36" i="49"/>
  <c r="P7" i="49"/>
  <c r="P22" i="49"/>
  <c r="P30" i="49"/>
  <c r="P25" i="49"/>
  <c r="P33" i="49"/>
  <c r="P12" i="49"/>
  <c r="P11" i="49"/>
  <c r="P34" i="49"/>
  <c r="P17" i="49"/>
  <c r="P13" i="49"/>
  <c r="P38" i="49"/>
  <c r="P9" i="49"/>
  <c r="P19" i="49"/>
  <c r="P27" i="49"/>
  <c r="P35" i="49"/>
  <c r="P18" i="49"/>
  <c r="P24" i="49"/>
  <c r="P32" i="49"/>
  <c r="P15" i="49"/>
  <c r="P21" i="49"/>
  <c r="P29" i="49"/>
  <c r="P37" i="49"/>
  <c r="P8" i="49"/>
  <c r="P16" i="49"/>
  <c r="P23" i="49"/>
  <c r="P31" i="49"/>
  <c r="P14" i="49"/>
  <c r="P10" i="49"/>
  <c r="P14" i="56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26" i="52"/>
  <c r="P20" i="53"/>
  <c r="P30" i="53"/>
  <c r="P15" i="54"/>
  <c r="P13" i="55"/>
  <c r="P38" i="55"/>
  <c r="P17" i="56"/>
  <c r="P18" i="53"/>
  <c r="P33" i="54"/>
  <c r="P37" i="54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7" i="50"/>
  <c r="P13" i="50"/>
  <c r="P27" i="50"/>
  <c r="P31" i="50"/>
  <c r="P33" i="50"/>
  <c r="P9" i="50"/>
  <c r="P22" i="52"/>
  <c r="P36" i="53"/>
  <c r="P26" i="50"/>
  <c r="P35" i="50"/>
  <c r="P38" i="50"/>
  <c r="P8" i="55"/>
  <c r="P11" i="50"/>
  <c r="P19" i="50"/>
  <c r="P21" i="50"/>
  <c r="P38" i="52"/>
  <c r="P38" i="53"/>
  <c r="P18" i="50"/>
  <c r="P29" i="51"/>
  <c r="P11" i="53"/>
  <c r="P7" i="51"/>
  <c r="P15" i="51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P40" i="55" l="1"/>
  <c r="P40" i="53"/>
  <c r="P40" i="56"/>
  <c r="P40" i="51"/>
  <c r="P40" i="52"/>
  <c r="P40" i="50"/>
  <c r="U7" i="50"/>
  <c r="P40" i="54"/>
  <c r="P40" i="49"/>
  <c r="C7" i="50" l="1"/>
  <c r="P8" i="48" l="1"/>
  <c r="P10" i="48"/>
  <c r="P11" i="48"/>
  <c r="P7" i="48"/>
  <c r="P38" i="48" l="1"/>
  <c r="P30" i="48"/>
  <c r="P22" i="48"/>
  <c r="P14" i="48"/>
  <c r="P37" i="48"/>
  <c r="P29" i="48"/>
  <c r="P21" i="48"/>
  <c r="P36" i="48"/>
  <c r="P35" i="48"/>
  <c r="P31" i="48"/>
  <c r="P27" i="48"/>
  <c r="P23" i="48"/>
  <c r="P19" i="48"/>
  <c r="P15" i="48"/>
  <c r="P34" i="48"/>
  <c r="P26" i="48"/>
  <c r="P18" i="48"/>
  <c r="P33" i="48"/>
  <c r="P25" i="48"/>
  <c r="P17" i="48"/>
  <c r="P13" i="48"/>
  <c r="P9" i="48"/>
  <c r="P32" i="48"/>
  <c r="P28" i="48"/>
  <c r="P24" i="48"/>
  <c r="P20" i="48"/>
  <c r="P16" i="48"/>
  <c r="P12" i="48"/>
  <c r="P40" i="48" l="1"/>
  <c r="P32" i="47" l="1"/>
  <c r="P36" i="47"/>
  <c r="P9" i="47"/>
  <c r="P13" i="47"/>
  <c r="P17" i="47"/>
  <c r="P20" i="47"/>
  <c r="P7" i="47"/>
  <c r="P11" i="47"/>
  <c r="P15" i="47"/>
  <c r="P22" i="47"/>
  <c r="P26" i="47"/>
  <c r="P30" i="47"/>
  <c r="P34" i="47"/>
  <c r="P38" i="47"/>
  <c r="P23" i="47"/>
  <c r="P27" i="47"/>
  <c r="P25" i="47"/>
  <c r="P8" i="47"/>
  <c r="P12" i="47"/>
  <c r="P16" i="47"/>
  <c r="P19" i="47"/>
  <c r="P31" i="47"/>
  <c r="P35" i="47"/>
  <c r="P24" i="47"/>
  <c r="P28" i="47"/>
  <c r="P10" i="47"/>
  <c r="P14" i="47"/>
  <c r="P18" i="47"/>
  <c r="P21" i="47"/>
  <c r="P29" i="47"/>
  <c r="P33" i="47"/>
  <c r="P37" i="47"/>
  <c r="P40" i="47" l="1"/>
  <c r="P19" i="46"/>
  <c r="P19" i="57" l="1"/>
  <c r="P33" i="46" l="1"/>
  <c r="P37" i="46"/>
  <c r="P37" i="57" l="1"/>
  <c r="P33" i="57"/>
  <c r="P38" i="46" l="1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3" i="57" l="1"/>
  <c r="P27" i="57"/>
  <c r="P12" i="57"/>
  <c r="P28" i="57"/>
  <c r="P18" i="57"/>
  <c r="P34" i="57"/>
  <c r="P22" i="57"/>
  <c r="P40" i="46"/>
  <c r="P7" i="57"/>
  <c r="P35" i="57"/>
  <c r="P17" i="57"/>
  <c r="P11" i="57"/>
  <c r="P31" i="57"/>
  <c r="P16" i="57"/>
  <c r="P32" i="57"/>
  <c r="P29" i="57"/>
  <c r="P21" i="57"/>
  <c r="P10" i="57"/>
  <c r="P26" i="57"/>
  <c r="P8" i="57"/>
  <c r="P13" i="57"/>
  <c r="P15" i="57"/>
  <c r="P36" i="57"/>
  <c r="P20" i="57"/>
  <c r="P38" i="57"/>
  <c r="P24" i="57"/>
  <c r="P9" i="57"/>
  <c r="P25" i="57"/>
  <c r="P14" i="57"/>
  <c r="P30" i="57"/>
  <c r="P40" i="57" l="1"/>
  <c r="D20" i="54" l="1"/>
  <c r="D30" i="54"/>
  <c r="D17" i="54"/>
  <c r="D25" i="54"/>
  <c r="D12" i="54"/>
  <c r="D32" i="54"/>
  <c r="D31" i="54"/>
  <c r="D26" i="54"/>
  <c r="D16" i="54"/>
  <c r="D9" i="54"/>
  <c r="D10" i="54"/>
  <c r="D11" i="54"/>
  <c r="D18" i="54"/>
  <c r="D23" i="54"/>
  <c r="D33" i="54"/>
  <c r="H12" i="54" l="1"/>
  <c r="M12" i="54"/>
  <c r="K12" i="54"/>
  <c r="O12" i="54"/>
  <c r="M25" i="54"/>
  <c r="O25" i="54"/>
  <c r="H25" i="54"/>
  <c r="K25" i="54"/>
  <c r="H33" i="54"/>
  <c r="O33" i="54"/>
  <c r="K33" i="54"/>
  <c r="M33" i="54"/>
  <c r="H17" i="54"/>
  <c r="O17" i="54"/>
  <c r="M17" i="54"/>
  <c r="K17" i="54"/>
  <c r="O10" i="54"/>
  <c r="M10" i="54"/>
  <c r="K10" i="54"/>
  <c r="H10" i="54"/>
  <c r="M9" i="54"/>
  <c r="O9" i="54"/>
  <c r="K9" i="54"/>
  <c r="H9" i="54"/>
  <c r="H18" i="54"/>
  <c r="M18" i="54"/>
  <c r="O18" i="54"/>
  <c r="K18" i="54"/>
  <c r="M16" i="54"/>
  <c r="O16" i="54"/>
  <c r="K16" i="54"/>
  <c r="H16" i="54"/>
  <c r="M30" i="54"/>
  <c r="H30" i="54"/>
  <c r="O30" i="54"/>
  <c r="K30" i="54"/>
  <c r="H26" i="54"/>
  <c r="M26" i="54"/>
  <c r="O26" i="54"/>
  <c r="K26" i="54"/>
  <c r="K20" i="54"/>
  <c r="M20" i="54"/>
  <c r="O20" i="54"/>
  <c r="H20" i="54"/>
  <c r="M11" i="54"/>
  <c r="H11" i="54"/>
  <c r="O11" i="54"/>
  <c r="K11" i="54"/>
  <c r="M31" i="54"/>
  <c r="H31" i="54"/>
  <c r="O31" i="54"/>
  <c r="K31" i="54"/>
  <c r="K23" i="54"/>
  <c r="H23" i="54"/>
  <c r="O23" i="54"/>
  <c r="M23" i="54"/>
  <c r="O32" i="54"/>
  <c r="M32" i="54"/>
  <c r="K32" i="54"/>
  <c r="H32" i="54"/>
  <c r="AQ25" i="54" l="1"/>
  <c r="AS25" i="54"/>
  <c r="AR25" i="54"/>
  <c r="G25" i="54"/>
  <c r="AR9" i="54"/>
  <c r="AQ9" i="54"/>
  <c r="G9" i="54"/>
  <c r="AS9" i="54"/>
  <c r="AS23" i="54"/>
  <c r="G23" i="54"/>
  <c r="AR23" i="54"/>
  <c r="AQ23" i="54"/>
  <c r="AS11" i="54"/>
  <c r="G11" i="54"/>
  <c r="AQ11" i="54"/>
  <c r="AR11" i="54"/>
  <c r="G17" i="54"/>
  <c r="AS17" i="54"/>
  <c r="AQ17" i="54"/>
  <c r="AR17" i="54"/>
  <c r="G26" i="54"/>
  <c r="AR26" i="54"/>
  <c r="AS26" i="54"/>
  <c r="AQ26" i="54"/>
  <c r="AQ32" i="54"/>
  <c r="G32" i="54"/>
  <c r="AS32" i="54"/>
  <c r="AR32" i="54"/>
  <c r="AR10" i="54"/>
  <c r="AS10" i="54"/>
  <c r="G10" i="54"/>
  <c r="AQ10" i="54"/>
  <c r="AS20" i="54"/>
  <c r="AQ20" i="54"/>
  <c r="AR20" i="54"/>
  <c r="G20" i="54"/>
  <c r="AQ16" i="54"/>
  <c r="AS16" i="54"/>
  <c r="AR16" i="54"/>
  <c r="G16" i="54"/>
  <c r="AQ31" i="54"/>
  <c r="AR31" i="54"/>
  <c r="G31" i="54"/>
  <c r="AS31" i="54"/>
  <c r="AS30" i="54"/>
  <c r="G30" i="54"/>
  <c r="AR30" i="54"/>
  <c r="AQ30" i="54"/>
  <c r="AR18" i="54"/>
  <c r="AS18" i="54"/>
  <c r="G18" i="54"/>
  <c r="AQ18" i="54"/>
  <c r="AQ33" i="54"/>
  <c r="G33" i="54"/>
  <c r="AR33" i="54"/>
  <c r="AS33" i="54"/>
  <c r="AQ12" i="54"/>
  <c r="AR12" i="54"/>
  <c r="G12" i="54"/>
  <c r="AS12" i="54"/>
  <c r="U25" i="54" l="1"/>
  <c r="C25" i="54" s="1"/>
  <c r="U18" i="54"/>
  <c r="C18" i="54" s="1"/>
  <c r="U30" i="54"/>
  <c r="C30" i="54" s="1"/>
  <c r="U11" i="54"/>
  <c r="C11" i="54" s="1"/>
  <c r="U12" i="54"/>
  <c r="C12" i="54" s="1"/>
  <c r="U33" i="54"/>
  <c r="C33" i="54" s="1"/>
  <c r="U16" i="54"/>
  <c r="C16" i="54" s="1"/>
  <c r="U20" i="54"/>
  <c r="C20" i="54" s="1"/>
  <c r="U17" i="54"/>
  <c r="C17" i="54" s="1"/>
  <c r="U9" i="54"/>
  <c r="C9" i="54" s="1"/>
  <c r="U31" i="54"/>
  <c r="C31" i="54" s="1"/>
  <c r="U10" i="54"/>
  <c r="C10" i="54" s="1"/>
  <c r="U26" i="54"/>
  <c r="C26" i="54" s="1"/>
  <c r="U32" i="54"/>
  <c r="C32" i="54" s="1"/>
  <c r="U23" i="54"/>
  <c r="C23" i="54" s="1"/>
  <c r="D25" i="52"/>
  <c r="D16" i="52"/>
  <c r="H16" i="52" l="1"/>
  <c r="M16" i="52"/>
  <c r="O16" i="52"/>
  <c r="K16" i="52"/>
  <c r="K25" i="52"/>
  <c r="O25" i="52"/>
  <c r="H25" i="52"/>
  <c r="M25" i="52"/>
  <c r="F24" i="51"/>
  <c r="D7" i="51"/>
  <c r="D8" i="51"/>
  <c r="D9" i="51"/>
  <c r="D10" i="51"/>
  <c r="D11" i="51"/>
  <c r="D12" i="51"/>
  <c r="D13" i="51"/>
  <c r="D14" i="51"/>
  <c r="D15" i="51"/>
  <c r="D16" i="51"/>
  <c r="D17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6" i="51"/>
  <c r="H37" i="51" l="1"/>
  <c r="K37" i="51"/>
  <c r="O37" i="51"/>
  <c r="M37" i="51"/>
  <c r="H29" i="51"/>
  <c r="K29" i="51"/>
  <c r="O29" i="51"/>
  <c r="M29" i="51"/>
  <c r="H21" i="51"/>
  <c r="O21" i="51"/>
  <c r="K21" i="51"/>
  <c r="M21" i="51"/>
  <c r="O12" i="51"/>
  <c r="K12" i="51"/>
  <c r="M12" i="51"/>
  <c r="H12" i="51"/>
  <c r="AQ25" i="52"/>
  <c r="AS25" i="52"/>
  <c r="AR25" i="52"/>
  <c r="G25" i="52"/>
  <c r="K36" i="51"/>
  <c r="M36" i="51"/>
  <c r="H36" i="51"/>
  <c r="O36" i="51"/>
  <c r="H28" i="51"/>
  <c r="K28" i="51"/>
  <c r="O28" i="51"/>
  <c r="M28" i="51"/>
  <c r="M20" i="51"/>
  <c r="H20" i="51"/>
  <c r="K20" i="51"/>
  <c r="O20" i="51"/>
  <c r="K11" i="51"/>
  <c r="O11" i="51"/>
  <c r="H11" i="51"/>
  <c r="M11" i="51"/>
  <c r="H38" i="51"/>
  <c r="O38" i="51"/>
  <c r="K38" i="51"/>
  <c r="M38" i="51"/>
  <c r="O35" i="51"/>
  <c r="M35" i="51"/>
  <c r="K35" i="51"/>
  <c r="H35" i="51"/>
  <c r="H27" i="51"/>
  <c r="K27" i="51"/>
  <c r="O27" i="51"/>
  <c r="M27" i="51"/>
  <c r="K19" i="51"/>
  <c r="O19" i="51"/>
  <c r="H19" i="51"/>
  <c r="M19" i="51"/>
  <c r="M10" i="51"/>
  <c r="H10" i="51"/>
  <c r="O10" i="51"/>
  <c r="K10" i="51"/>
  <c r="O30" i="51"/>
  <c r="K30" i="51"/>
  <c r="H30" i="51"/>
  <c r="M30" i="51"/>
  <c r="H34" i="51"/>
  <c r="O34" i="51"/>
  <c r="K34" i="51"/>
  <c r="M34" i="51"/>
  <c r="H26" i="51"/>
  <c r="M26" i="51"/>
  <c r="O26" i="51"/>
  <c r="K26" i="51"/>
  <c r="M17" i="51"/>
  <c r="O17" i="51"/>
  <c r="K17" i="51"/>
  <c r="H17" i="51"/>
  <c r="K9" i="51"/>
  <c r="O9" i="51"/>
  <c r="M9" i="51"/>
  <c r="H9" i="51"/>
  <c r="O13" i="51"/>
  <c r="M13" i="51"/>
  <c r="K13" i="51"/>
  <c r="H13" i="51"/>
  <c r="K33" i="51"/>
  <c r="H33" i="51"/>
  <c r="M33" i="51"/>
  <c r="O33" i="51"/>
  <c r="O25" i="51"/>
  <c r="K25" i="51"/>
  <c r="M25" i="51"/>
  <c r="H25" i="51"/>
  <c r="M16" i="51"/>
  <c r="K16" i="51"/>
  <c r="O16" i="51"/>
  <c r="H16" i="51"/>
  <c r="M8" i="51"/>
  <c r="O8" i="51"/>
  <c r="K8" i="51"/>
  <c r="H8" i="51"/>
  <c r="M22" i="51"/>
  <c r="H22" i="51"/>
  <c r="O22" i="51"/>
  <c r="K22" i="51"/>
  <c r="K32" i="51"/>
  <c r="O32" i="51"/>
  <c r="M32" i="51"/>
  <c r="H32" i="51"/>
  <c r="M24" i="51"/>
  <c r="H24" i="51"/>
  <c r="O24" i="51"/>
  <c r="K24" i="51"/>
  <c r="O15" i="51"/>
  <c r="K15" i="51"/>
  <c r="M15" i="51"/>
  <c r="H15" i="51"/>
  <c r="H7" i="51"/>
  <c r="K7" i="51"/>
  <c r="O7" i="51"/>
  <c r="M7" i="51"/>
  <c r="AZ24" i="51"/>
  <c r="F24" i="57"/>
  <c r="K6" i="51"/>
  <c r="H6" i="51"/>
  <c r="O6" i="51"/>
  <c r="M6" i="51"/>
  <c r="H31" i="51"/>
  <c r="K31" i="51"/>
  <c r="O31" i="51"/>
  <c r="M31" i="51"/>
  <c r="K23" i="51"/>
  <c r="H23" i="51"/>
  <c r="M23" i="51"/>
  <c r="O23" i="51"/>
  <c r="K14" i="51"/>
  <c r="H14" i="51"/>
  <c r="M14" i="51"/>
  <c r="O14" i="51"/>
  <c r="AQ16" i="52"/>
  <c r="G16" i="52"/>
  <c r="AR16" i="52"/>
  <c r="AS16" i="52"/>
  <c r="G7" i="51" l="1"/>
  <c r="AS31" i="51"/>
  <c r="AQ31" i="51"/>
  <c r="AR31" i="51"/>
  <c r="G31" i="51"/>
  <c r="AR36" i="51"/>
  <c r="AS36" i="51"/>
  <c r="AQ36" i="51"/>
  <c r="G36" i="51"/>
  <c r="G23" i="51"/>
  <c r="AR23" i="51"/>
  <c r="AQ23" i="51"/>
  <c r="AS23" i="51"/>
  <c r="AS22" i="51"/>
  <c r="AR22" i="51"/>
  <c r="G22" i="51"/>
  <c r="AQ22" i="51"/>
  <c r="G9" i="51"/>
  <c r="AR9" i="51"/>
  <c r="AS9" i="51"/>
  <c r="AQ9" i="51"/>
  <c r="AQ12" i="51"/>
  <c r="AR12" i="51"/>
  <c r="AS12" i="51"/>
  <c r="G12" i="51"/>
  <c r="AR6" i="51"/>
  <c r="G6" i="51"/>
  <c r="AQ6" i="51"/>
  <c r="AS19" i="51"/>
  <c r="AR19" i="51"/>
  <c r="AQ19" i="51"/>
  <c r="G19" i="51"/>
  <c r="G11" i="51"/>
  <c r="AR11" i="51"/>
  <c r="AS11" i="51"/>
  <c r="AQ11" i="51"/>
  <c r="AS15" i="51"/>
  <c r="AR15" i="51"/>
  <c r="AQ15" i="51"/>
  <c r="G15" i="51"/>
  <c r="AQ32" i="51"/>
  <c r="AS32" i="51"/>
  <c r="G32" i="51"/>
  <c r="AR32" i="51"/>
  <c r="G33" i="51"/>
  <c r="AS33" i="51"/>
  <c r="AR33" i="51"/>
  <c r="AQ33" i="51"/>
  <c r="U25" i="52"/>
  <c r="C25" i="52" s="1"/>
  <c r="AR20" i="51"/>
  <c r="AQ20" i="51"/>
  <c r="AS20" i="51"/>
  <c r="G20" i="51"/>
  <c r="G24" i="51"/>
  <c r="AS24" i="51"/>
  <c r="AR24" i="51"/>
  <c r="AQ24" i="51"/>
  <c r="AR16" i="51"/>
  <c r="AQ16" i="51"/>
  <c r="G16" i="51"/>
  <c r="AS16" i="51"/>
  <c r="G35" i="51"/>
  <c r="AS35" i="51"/>
  <c r="AR35" i="51"/>
  <c r="AQ35" i="51"/>
  <c r="AS7" i="51"/>
  <c r="AR7" i="51"/>
  <c r="AQ7" i="51"/>
  <c r="AQ26" i="51"/>
  <c r="AR26" i="51"/>
  <c r="AS26" i="51"/>
  <c r="G26" i="51"/>
  <c r="G28" i="51"/>
  <c r="AR28" i="51"/>
  <c r="AS28" i="51"/>
  <c r="AQ28" i="51"/>
  <c r="AR30" i="51"/>
  <c r="AS30" i="51"/>
  <c r="AQ30" i="51"/>
  <c r="G30" i="51"/>
  <c r="AR14" i="51"/>
  <c r="G14" i="51"/>
  <c r="AQ14" i="51"/>
  <c r="AS14" i="51"/>
  <c r="BD24" i="51"/>
  <c r="AZ24" i="57"/>
  <c r="G8" i="51"/>
  <c r="AR8" i="51"/>
  <c r="AQ8" i="51"/>
  <c r="AS8" i="51"/>
  <c r="AR25" i="51"/>
  <c r="AQ25" i="51"/>
  <c r="G25" i="51"/>
  <c r="AS25" i="51"/>
  <c r="AS13" i="51"/>
  <c r="G13" i="51"/>
  <c r="AR13" i="51"/>
  <c r="AQ13" i="51"/>
  <c r="AS17" i="51"/>
  <c r="AQ17" i="51"/>
  <c r="AR17" i="51"/>
  <c r="G17" i="51"/>
  <c r="G29" i="51"/>
  <c r="AQ29" i="51"/>
  <c r="AR29" i="51"/>
  <c r="AS29" i="51"/>
  <c r="U16" i="52"/>
  <c r="C16" i="52" s="1"/>
  <c r="AR10" i="51"/>
  <c r="AS10" i="51"/>
  <c r="G10" i="51"/>
  <c r="AQ10" i="51"/>
  <c r="AS34" i="51"/>
  <c r="AR34" i="51"/>
  <c r="AQ34" i="51"/>
  <c r="G34" i="51"/>
  <c r="AR27" i="51"/>
  <c r="AS27" i="51"/>
  <c r="AQ27" i="51"/>
  <c r="G27" i="51"/>
  <c r="G38" i="51"/>
  <c r="AQ38" i="51"/>
  <c r="AS38" i="51"/>
  <c r="AR38" i="51"/>
  <c r="AR21" i="51"/>
  <c r="AS21" i="51"/>
  <c r="G21" i="51"/>
  <c r="AQ21" i="51"/>
  <c r="AS37" i="51"/>
  <c r="AR37" i="51"/>
  <c r="AQ37" i="51"/>
  <c r="G37" i="51"/>
  <c r="U6" i="51" l="1"/>
  <c r="C6" i="51" s="1"/>
  <c r="U9" i="51"/>
  <c r="C9" i="51" s="1"/>
  <c r="U15" i="51"/>
  <c r="C15" i="51" s="1"/>
  <c r="BD24" i="57"/>
  <c r="U30" i="51"/>
  <c r="C30" i="51" s="1"/>
  <c r="U35" i="51"/>
  <c r="C35" i="51" s="1"/>
  <c r="U34" i="51"/>
  <c r="C34" i="51" s="1"/>
  <c r="U21" i="51"/>
  <c r="C21" i="51" s="1"/>
  <c r="U7" i="51"/>
  <c r="C7" i="51" s="1"/>
  <c r="U23" i="51"/>
  <c r="C23" i="51" s="1"/>
  <c r="U31" i="51"/>
  <c r="C31" i="51" s="1"/>
  <c r="U33" i="51"/>
  <c r="C33" i="51" s="1"/>
  <c r="U37" i="51"/>
  <c r="C37" i="51" s="1"/>
  <c r="U38" i="51"/>
  <c r="C38" i="51" s="1"/>
  <c r="U10" i="51"/>
  <c r="C10" i="51" s="1"/>
  <c r="U25" i="51"/>
  <c r="C25" i="51" s="1"/>
  <c r="U14" i="51"/>
  <c r="C14" i="51" s="1"/>
  <c r="U26" i="51"/>
  <c r="C26" i="51" s="1"/>
  <c r="U20" i="51"/>
  <c r="C20" i="51" s="1"/>
  <c r="U12" i="51"/>
  <c r="C12" i="51" s="1"/>
  <c r="U22" i="51"/>
  <c r="C22" i="51" s="1"/>
  <c r="U27" i="51"/>
  <c r="C27" i="51" s="1"/>
  <c r="U29" i="51"/>
  <c r="C29" i="51" s="1"/>
  <c r="U16" i="51"/>
  <c r="C16" i="51" s="1"/>
  <c r="U32" i="51"/>
  <c r="C32" i="51" s="1"/>
  <c r="U36" i="51"/>
  <c r="C36" i="51" s="1"/>
  <c r="U28" i="51"/>
  <c r="C28" i="51" s="1"/>
  <c r="U24" i="51"/>
  <c r="C24" i="51" s="1"/>
  <c r="U11" i="51"/>
  <c r="C11" i="51" s="1"/>
  <c r="U17" i="51"/>
  <c r="C17" i="51" s="1"/>
  <c r="U13" i="51"/>
  <c r="C13" i="51" s="1"/>
  <c r="U8" i="51"/>
  <c r="C8" i="51" s="1"/>
  <c r="U19" i="51"/>
  <c r="C19" i="51" s="1"/>
  <c r="D7" i="46" l="1"/>
  <c r="D7" i="45"/>
  <c r="K7" i="45" l="1"/>
  <c r="M7" i="45"/>
  <c r="H7" i="45"/>
  <c r="O7" i="45"/>
  <c r="O7" i="46"/>
  <c r="K7" i="46"/>
  <c r="H7" i="46"/>
  <c r="M7" i="46"/>
  <c r="D31" i="50"/>
  <c r="M31" i="50" l="1"/>
  <c r="K31" i="50"/>
  <c r="O31" i="50"/>
  <c r="H31" i="50"/>
  <c r="G7" i="45"/>
  <c r="AR7" i="45"/>
  <c r="AS7" i="45"/>
  <c r="AQ7" i="45"/>
  <c r="AR7" i="46"/>
  <c r="AS7" i="46"/>
  <c r="AQ7" i="46"/>
  <c r="G7" i="46"/>
  <c r="D11" i="50"/>
  <c r="D30" i="50"/>
  <c r="D25" i="50"/>
  <c r="U7" i="46" l="1"/>
  <c r="C7" i="46" s="1"/>
  <c r="U7" i="45"/>
  <c r="C7" i="45" s="1"/>
  <c r="O25" i="50"/>
  <c r="H25" i="50"/>
  <c r="M25" i="50"/>
  <c r="K25" i="50"/>
  <c r="O30" i="50"/>
  <c r="M30" i="50"/>
  <c r="K30" i="50"/>
  <c r="H30" i="50"/>
  <c r="AR31" i="50"/>
  <c r="AQ31" i="50"/>
  <c r="G31" i="50"/>
  <c r="AS31" i="50"/>
  <c r="M11" i="50"/>
  <c r="O11" i="50"/>
  <c r="H11" i="50"/>
  <c r="K11" i="50"/>
  <c r="D32" i="50"/>
  <c r="D20" i="50"/>
  <c r="D26" i="50"/>
  <c r="D12" i="50"/>
  <c r="D18" i="50"/>
  <c r="D9" i="50"/>
  <c r="D33" i="50"/>
  <c r="D24" i="50"/>
  <c r="D8" i="50"/>
  <c r="D17" i="50"/>
  <c r="D11" i="49"/>
  <c r="D21" i="50"/>
  <c r="AQ11" i="50" l="1"/>
  <c r="G11" i="50"/>
  <c r="AS11" i="50"/>
  <c r="AR11" i="50"/>
  <c r="K24" i="50"/>
  <c r="O24" i="50"/>
  <c r="M24" i="50"/>
  <c r="H24" i="50"/>
  <c r="O33" i="50"/>
  <c r="H33" i="50"/>
  <c r="M33" i="50"/>
  <c r="K33" i="50"/>
  <c r="K32" i="50"/>
  <c r="H32" i="50"/>
  <c r="M32" i="50"/>
  <c r="O32" i="50"/>
  <c r="K9" i="50"/>
  <c r="H9" i="50"/>
  <c r="O9" i="50"/>
  <c r="M9" i="50"/>
  <c r="O18" i="50"/>
  <c r="K18" i="50"/>
  <c r="M18" i="50"/>
  <c r="H18" i="50"/>
  <c r="AS30" i="50"/>
  <c r="G30" i="50"/>
  <c r="AQ30" i="50"/>
  <c r="AR30" i="50"/>
  <c r="O21" i="50"/>
  <c r="H21" i="50"/>
  <c r="M21" i="50"/>
  <c r="K21" i="50"/>
  <c r="K12" i="50"/>
  <c r="M12" i="50"/>
  <c r="O12" i="50"/>
  <c r="H12" i="50"/>
  <c r="K11" i="49"/>
  <c r="O11" i="49"/>
  <c r="H11" i="49"/>
  <c r="M11" i="49"/>
  <c r="K26" i="50"/>
  <c r="O26" i="50"/>
  <c r="H26" i="50"/>
  <c r="M26" i="50"/>
  <c r="H8" i="50"/>
  <c r="O8" i="50"/>
  <c r="M8" i="50"/>
  <c r="K8" i="50"/>
  <c r="H17" i="50"/>
  <c r="M17" i="50"/>
  <c r="O17" i="50"/>
  <c r="K17" i="50"/>
  <c r="K20" i="50"/>
  <c r="O20" i="50"/>
  <c r="M20" i="50"/>
  <c r="H20" i="50"/>
  <c r="U31" i="50"/>
  <c r="C31" i="50" s="1"/>
  <c r="G25" i="50"/>
  <c r="AS25" i="50"/>
  <c r="AR25" i="50"/>
  <c r="AQ25" i="50"/>
  <c r="D20" i="49"/>
  <c r="D32" i="49"/>
  <c r="D24" i="49"/>
  <c r="M20" i="49" l="1"/>
  <c r="O20" i="49"/>
  <c r="K20" i="49"/>
  <c r="H20" i="49"/>
  <c r="AS11" i="49"/>
  <c r="G11" i="49"/>
  <c r="AR11" i="49"/>
  <c r="AQ11" i="49"/>
  <c r="G12" i="50"/>
  <c r="AQ12" i="50"/>
  <c r="AS12" i="50"/>
  <c r="AR12" i="50"/>
  <c r="AQ32" i="50"/>
  <c r="AR32" i="50"/>
  <c r="G32" i="50"/>
  <c r="AS32" i="50"/>
  <c r="U25" i="50"/>
  <c r="C25" i="50" s="1"/>
  <c r="AS8" i="50"/>
  <c r="G8" i="50"/>
  <c r="AQ8" i="50"/>
  <c r="AR8" i="50"/>
  <c r="H32" i="49"/>
  <c r="M32" i="49"/>
  <c r="K32" i="49"/>
  <c r="O32" i="49"/>
  <c r="U30" i="50"/>
  <c r="C30" i="50" s="1"/>
  <c r="AS33" i="50"/>
  <c r="AR33" i="50"/>
  <c r="G33" i="50"/>
  <c r="AQ33" i="50"/>
  <c r="AS26" i="50"/>
  <c r="AQ26" i="50"/>
  <c r="G26" i="50"/>
  <c r="AR26" i="50"/>
  <c r="G9" i="50"/>
  <c r="AQ9" i="50"/>
  <c r="AR9" i="50"/>
  <c r="AS9" i="50"/>
  <c r="U11" i="50"/>
  <c r="C11" i="50" s="1"/>
  <c r="G24" i="50"/>
  <c r="AR24" i="50"/>
  <c r="AS24" i="50"/>
  <c r="AQ24" i="50"/>
  <c r="G17" i="50"/>
  <c r="AQ17" i="50"/>
  <c r="AS17" i="50"/>
  <c r="AR17" i="50"/>
  <c r="H24" i="49"/>
  <c r="M24" i="49"/>
  <c r="O24" i="49"/>
  <c r="K24" i="49"/>
  <c r="AQ20" i="50"/>
  <c r="AR20" i="50"/>
  <c r="G20" i="50"/>
  <c r="AS20" i="50"/>
  <c r="G21" i="50"/>
  <c r="AQ21" i="50"/>
  <c r="AR21" i="50"/>
  <c r="AS21" i="50"/>
  <c r="AQ18" i="50"/>
  <c r="AR18" i="50"/>
  <c r="G18" i="50"/>
  <c r="AS18" i="50"/>
  <c r="D25" i="49"/>
  <c r="D18" i="49"/>
  <c r="D33" i="49"/>
  <c r="D23" i="49"/>
  <c r="D10" i="49"/>
  <c r="O10" i="49" l="1"/>
  <c r="H10" i="49"/>
  <c r="K10" i="49"/>
  <c r="M10" i="49"/>
  <c r="U11" i="49"/>
  <c r="C11" i="49" s="1"/>
  <c r="U12" i="50"/>
  <c r="C12" i="50" s="1"/>
  <c r="K23" i="49"/>
  <c r="O23" i="49"/>
  <c r="M23" i="49"/>
  <c r="H23" i="49"/>
  <c r="H18" i="49"/>
  <c r="M18" i="49"/>
  <c r="O18" i="49"/>
  <c r="K18" i="49"/>
  <c r="AR20" i="49"/>
  <c r="AS20" i="49"/>
  <c r="AQ20" i="49"/>
  <c r="G20" i="49"/>
  <c r="U9" i="50"/>
  <c r="C9" i="50" s="1"/>
  <c r="U20" i="50"/>
  <c r="C20" i="50" s="1"/>
  <c r="U17" i="50"/>
  <c r="C17" i="50" s="1"/>
  <c r="U24" i="50"/>
  <c r="C24" i="50" s="1"/>
  <c r="G24" i="49"/>
  <c r="AS24" i="49"/>
  <c r="AQ24" i="49"/>
  <c r="AR24" i="49"/>
  <c r="U26" i="50"/>
  <c r="C26" i="50" s="1"/>
  <c r="U33" i="50"/>
  <c r="C33" i="50" s="1"/>
  <c r="U18" i="50"/>
  <c r="C18" i="50" s="1"/>
  <c r="U21" i="50"/>
  <c r="C21" i="50" s="1"/>
  <c r="H33" i="49"/>
  <c r="O33" i="49"/>
  <c r="M33" i="49"/>
  <c r="K33" i="49"/>
  <c r="M25" i="49"/>
  <c r="H25" i="49"/>
  <c r="K25" i="49"/>
  <c r="O25" i="49"/>
  <c r="AR32" i="49"/>
  <c r="G32" i="49"/>
  <c r="AS32" i="49"/>
  <c r="AQ32" i="49"/>
  <c r="U8" i="50"/>
  <c r="C8" i="50" s="1"/>
  <c r="U32" i="50"/>
  <c r="C32" i="50" s="1"/>
  <c r="D12" i="49"/>
  <c r="AS33" i="49" l="1"/>
  <c r="G33" i="49"/>
  <c r="AQ33" i="49"/>
  <c r="AR33" i="49"/>
  <c r="U24" i="49"/>
  <c r="C24" i="49" s="1"/>
  <c r="AR23" i="49"/>
  <c r="G23" i="49"/>
  <c r="AS23" i="49"/>
  <c r="AQ23" i="49"/>
  <c r="U20" i="49"/>
  <c r="C20" i="49" s="1"/>
  <c r="K12" i="49"/>
  <c r="M12" i="49"/>
  <c r="H12" i="49"/>
  <c r="O12" i="49"/>
  <c r="AQ10" i="49"/>
  <c r="AR10" i="49"/>
  <c r="AS10" i="49"/>
  <c r="G10" i="49"/>
  <c r="AS25" i="49"/>
  <c r="G25" i="49"/>
  <c r="AR25" i="49"/>
  <c r="AQ25" i="49"/>
  <c r="U32" i="49"/>
  <c r="C32" i="49" s="1"/>
  <c r="AS18" i="49"/>
  <c r="AR18" i="49"/>
  <c r="AQ18" i="49"/>
  <c r="G18" i="49"/>
  <c r="D20" i="48"/>
  <c r="D18" i="48"/>
  <c r="D10" i="48"/>
  <c r="D29" i="48"/>
  <c r="U25" i="49" l="1"/>
  <c r="C25" i="49" s="1"/>
  <c r="O20" i="48"/>
  <c r="M20" i="48"/>
  <c r="H20" i="48"/>
  <c r="K20" i="48"/>
  <c r="H29" i="48"/>
  <c r="M29" i="48"/>
  <c r="K29" i="48"/>
  <c r="O29" i="48"/>
  <c r="AS12" i="49"/>
  <c r="G12" i="49"/>
  <c r="AR12" i="49"/>
  <c r="AQ12" i="49"/>
  <c r="U10" i="49"/>
  <c r="C10" i="49" s="1"/>
  <c r="U23" i="49"/>
  <c r="C23" i="49" s="1"/>
  <c r="M18" i="48"/>
  <c r="K18" i="48"/>
  <c r="H18" i="48"/>
  <c r="O18" i="48"/>
  <c r="U18" i="49"/>
  <c r="C18" i="49" s="1"/>
  <c r="U33" i="49"/>
  <c r="C33" i="49" s="1"/>
  <c r="K10" i="48"/>
  <c r="M10" i="48"/>
  <c r="O10" i="48"/>
  <c r="H10" i="48"/>
  <c r="D23" i="48"/>
  <c r="D26" i="48"/>
  <c r="D33" i="48"/>
  <c r="D25" i="48"/>
  <c r="D9" i="48"/>
  <c r="D31" i="48"/>
  <c r="D32" i="48"/>
  <c r="D11" i="48"/>
  <c r="M23" i="48" l="1"/>
  <c r="O23" i="48"/>
  <c r="K23" i="48"/>
  <c r="H23" i="48"/>
  <c r="M11" i="48"/>
  <c r="H11" i="48"/>
  <c r="O11" i="48"/>
  <c r="K11" i="48"/>
  <c r="M32" i="48"/>
  <c r="O32" i="48"/>
  <c r="H32" i="48"/>
  <c r="K32" i="48"/>
  <c r="AQ29" i="48"/>
  <c r="AR29" i="48"/>
  <c r="AS29" i="48"/>
  <c r="G29" i="48"/>
  <c r="K31" i="48"/>
  <c r="H31" i="48"/>
  <c r="M31" i="48"/>
  <c r="O31" i="48"/>
  <c r="G18" i="48"/>
  <c r="AS18" i="48"/>
  <c r="AR18" i="48"/>
  <c r="AQ18" i="48"/>
  <c r="AS20" i="48"/>
  <c r="AQ20" i="48"/>
  <c r="G20" i="48"/>
  <c r="AR20" i="48"/>
  <c r="O25" i="48"/>
  <c r="H25" i="48"/>
  <c r="M25" i="48"/>
  <c r="K25" i="48"/>
  <c r="H33" i="48"/>
  <c r="M33" i="48"/>
  <c r="O33" i="48"/>
  <c r="K33" i="48"/>
  <c r="K26" i="48"/>
  <c r="M26" i="48"/>
  <c r="H26" i="48"/>
  <c r="O26" i="48"/>
  <c r="AR10" i="48"/>
  <c r="AS10" i="48"/>
  <c r="G10" i="48"/>
  <c r="AQ10" i="48"/>
  <c r="H9" i="48"/>
  <c r="K9" i="48"/>
  <c r="O9" i="48"/>
  <c r="M9" i="48"/>
  <c r="U12" i="49"/>
  <c r="C12" i="49" s="1"/>
  <c r="D21" i="46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38" i="54"/>
  <c r="D37" i="54"/>
  <c r="D36" i="54"/>
  <c r="D35" i="54"/>
  <c r="D34" i="54"/>
  <c r="D29" i="54"/>
  <c r="D28" i="54"/>
  <c r="D27" i="54"/>
  <c r="D24" i="54"/>
  <c r="D22" i="54"/>
  <c r="D21" i="54"/>
  <c r="D19" i="54"/>
  <c r="D15" i="54"/>
  <c r="D14" i="54"/>
  <c r="D13" i="54"/>
  <c r="D8" i="54"/>
  <c r="D7" i="54"/>
  <c r="D6" i="54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4" i="52"/>
  <c r="D23" i="52"/>
  <c r="D22" i="52"/>
  <c r="D21" i="52"/>
  <c r="D20" i="52"/>
  <c r="D19" i="52"/>
  <c r="D18" i="52"/>
  <c r="D17" i="52"/>
  <c r="D15" i="52"/>
  <c r="D14" i="52"/>
  <c r="D13" i="52"/>
  <c r="D12" i="52"/>
  <c r="D11" i="52"/>
  <c r="D10" i="52"/>
  <c r="D9" i="52"/>
  <c r="D8" i="52"/>
  <c r="D7" i="52"/>
  <c r="D6" i="52"/>
  <c r="D38" i="50"/>
  <c r="D37" i="50"/>
  <c r="D36" i="50"/>
  <c r="D35" i="50"/>
  <c r="D34" i="50"/>
  <c r="D29" i="50"/>
  <c r="D28" i="50"/>
  <c r="D27" i="50"/>
  <c r="D23" i="50"/>
  <c r="D22" i="50"/>
  <c r="D19" i="50"/>
  <c r="D16" i="50"/>
  <c r="D15" i="50"/>
  <c r="D14" i="50"/>
  <c r="D13" i="50"/>
  <c r="D10" i="50"/>
  <c r="D6" i="50"/>
  <c r="D38" i="49"/>
  <c r="D37" i="49"/>
  <c r="D36" i="49"/>
  <c r="D35" i="49"/>
  <c r="D34" i="49"/>
  <c r="D31" i="49"/>
  <c r="D30" i="49"/>
  <c r="D29" i="49"/>
  <c r="D28" i="49"/>
  <c r="D27" i="49"/>
  <c r="D26" i="49"/>
  <c r="D22" i="49"/>
  <c r="D21" i="49"/>
  <c r="D19" i="49"/>
  <c r="D17" i="49"/>
  <c r="D16" i="49"/>
  <c r="D15" i="49"/>
  <c r="D14" i="49"/>
  <c r="D13" i="49"/>
  <c r="D9" i="49"/>
  <c r="D8" i="49"/>
  <c r="D7" i="49"/>
  <c r="D6" i="49"/>
  <c r="D7" i="48"/>
  <c r="D8" i="48"/>
  <c r="D12" i="48"/>
  <c r="D13" i="48"/>
  <c r="D14" i="48"/>
  <c r="D15" i="48"/>
  <c r="D16" i="48"/>
  <c r="D17" i="48"/>
  <c r="D19" i="48"/>
  <c r="D21" i="48"/>
  <c r="D22" i="48"/>
  <c r="D24" i="48"/>
  <c r="D27" i="48"/>
  <c r="D28" i="48"/>
  <c r="D30" i="48"/>
  <c r="D34" i="48"/>
  <c r="D35" i="48"/>
  <c r="D36" i="48"/>
  <c r="D37" i="48"/>
  <c r="D38" i="48"/>
  <c r="D6" i="48"/>
  <c r="K28" i="48" l="1"/>
  <c r="O28" i="48"/>
  <c r="M28" i="48"/>
  <c r="H28" i="48"/>
  <c r="K21" i="52"/>
  <c r="H21" i="52"/>
  <c r="M21" i="52"/>
  <c r="O21" i="52"/>
  <c r="H12" i="55"/>
  <c r="K12" i="55"/>
  <c r="O12" i="55"/>
  <c r="M12" i="55"/>
  <c r="M24" i="55"/>
  <c r="K24" i="55"/>
  <c r="O24" i="55"/>
  <c r="H24" i="55"/>
  <c r="H13" i="56"/>
  <c r="M13" i="56"/>
  <c r="O13" i="56"/>
  <c r="K13" i="56"/>
  <c r="M29" i="56"/>
  <c r="O29" i="56"/>
  <c r="H29" i="56"/>
  <c r="K29" i="56"/>
  <c r="K14" i="48"/>
  <c r="H14" i="48"/>
  <c r="M14" i="48"/>
  <c r="O14" i="48"/>
  <c r="O7" i="49"/>
  <c r="H7" i="49"/>
  <c r="M7" i="49"/>
  <c r="K7" i="49"/>
  <c r="O19" i="49"/>
  <c r="H19" i="49"/>
  <c r="K19" i="49"/>
  <c r="M19" i="49"/>
  <c r="O31" i="49"/>
  <c r="M31" i="49"/>
  <c r="K31" i="49"/>
  <c r="H31" i="49"/>
  <c r="O35" i="49"/>
  <c r="K35" i="49"/>
  <c r="H35" i="49"/>
  <c r="M35" i="49"/>
  <c r="O36" i="50"/>
  <c r="M36" i="50"/>
  <c r="H36" i="50"/>
  <c r="K36" i="50"/>
  <c r="M9" i="52"/>
  <c r="K9" i="52"/>
  <c r="H9" i="52"/>
  <c r="O9" i="52"/>
  <c r="M13" i="52"/>
  <c r="H13" i="52"/>
  <c r="K13" i="52"/>
  <c r="O13" i="52"/>
  <c r="K26" i="52"/>
  <c r="H26" i="52"/>
  <c r="M26" i="52"/>
  <c r="O26" i="52"/>
  <c r="O30" i="52"/>
  <c r="H30" i="52"/>
  <c r="M30" i="52"/>
  <c r="K30" i="52"/>
  <c r="K34" i="52"/>
  <c r="O34" i="52"/>
  <c r="H34" i="52"/>
  <c r="M34" i="52"/>
  <c r="O38" i="52"/>
  <c r="K38" i="52"/>
  <c r="M38" i="52"/>
  <c r="H38" i="52"/>
  <c r="H7" i="53"/>
  <c r="K7" i="53"/>
  <c r="O7" i="53"/>
  <c r="M7" i="53"/>
  <c r="H11" i="53"/>
  <c r="K11" i="53"/>
  <c r="O11" i="53"/>
  <c r="M11" i="53"/>
  <c r="H15" i="53"/>
  <c r="O15" i="53"/>
  <c r="K15" i="53"/>
  <c r="M15" i="53"/>
  <c r="O19" i="53"/>
  <c r="K19" i="53"/>
  <c r="H19" i="53"/>
  <c r="M19" i="53"/>
  <c r="M23" i="53"/>
  <c r="K23" i="53"/>
  <c r="H23" i="53"/>
  <c r="O23" i="53"/>
  <c r="K27" i="53"/>
  <c r="O27" i="53"/>
  <c r="H27" i="53"/>
  <c r="M27" i="53"/>
  <c r="M31" i="53"/>
  <c r="O31" i="53"/>
  <c r="K31" i="53"/>
  <c r="H31" i="53"/>
  <c r="M35" i="53"/>
  <c r="O35" i="53"/>
  <c r="H35" i="53"/>
  <c r="K35" i="53"/>
  <c r="M8" i="54"/>
  <c r="O8" i="54"/>
  <c r="H8" i="54"/>
  <c r="K8" i="54"/>
  <c r="O14" i="54"/>
  <c r="H14" i="54"/>
  <c r="M14" i="54"/>
  <c r="K14" i="54"/>
  <c r="K29" i="54"/>
  <c r="O29" i="54"/>
  <c r="H29" i="54"/>
  <c r="M29" i="54"/>
  <c r="M32" i="55"/>
  <c r="O32" i="55"/>
  <c r="H32" i="55"/>
  <c r="K32" i="55"/>
  <c r="K17" i="56"/>
  <c r="O17" i="56"/>
  <c r="M17" i="56"/>
  <c r="H17" i="56"/>
  <c r="O33" i="56"/>
  <c r="H33" i="56"/>
  <c r="M33" i="56"/>
  <c r="K33" i="56"/>
  <c r="M27" i="48"/>
  <c r="K27" i="48"/>
  <c r="O27" i="48"/>
  <c r="H27" i="48"/>
  <c r="K15" i="49"/>
  <c r="M15" i="49"/>
  <c r="H15" i="49"/>
  <c r="O15" i="49"/>
  <c r="O27" i="49"/>
  <c r="H27" i="49"/>
  <c r="K27" i="49"/>
  <c r="M27" i="49"/>
  <c r="H38" i="48"/>
  <c r="K38" i="48"/>
  <c r="O38" i="48"/>
  <c r="M38" i="48"/>
  <c r="M24" i="48"/>
  <c r="K24" i="48"/>
  <c r="H24" i="48"/>
  <c r="O24" i="48"/>
  <c r="M13" i="48"/>
  <c r="H13" i="48"/>
  <c r="K13" i="48"/>
  <c r="O13" i="48"/>
  <c r="H10" i="50"/>
  <c r="O10" i="50"/>
  <c r="K10" i="50"/>
  <c r="M10" i="50"/>
  <c r="M15" i="50"/>
  <c r="H15" i="50"/>
  <c r="O15" i="50"/>
  <c r="K15" i="50"/>
  <c r="H18" i="52"/>
  <c r="K18" i="52"/>
  <c r="O18" i="52"/>
  <c r="M18" i="52"/>
  <c r="H22" i="52"/>
  <c r="O22" i="52"/>
  <c r="K22" i="52"/>
  <c r="M22" i="52"/>
  <c r="K36" i="54"/>
  <c r="M36" i="54"/>
  <c r="O36" i="54"/>
  <c r="H36" i="54"/>
  <c r="M9" i="55"/>
  <c r="H9" i="55"/>
  <c r="K9" i="55"/>
  <c r="O9" i="55"/>
  <c r="O13" i="55"/>
  <c r="K13" i="55"/>
  <c r="M13" i="55"/>
  <c r="H13" i="55"/>
  <c r="O17" i="55"/>
  <c r="H17" i="55"/>
  <c r="M17" i="55"/>
  <c r="K17" i="55"/>
  <c r="O21" i="55"/>
  <c r="K21" i="55"/>
  <c r="M21" i="55"/>
  <c r="H21" i="55"/>
  <c r="H25" i="55"/>
  <c r="M25" i="55"/>
  <c r="O25" i="55"/>
  <c r="K25" i="55"/>
  <c r="M29" i="55"/>
  <c r="H29" i="55"/>
  <c r="K29" i="55"/>
  <c r="O29" i="55"/>
  <c r="O33" i="55"/>
  <c r="H33" i="55"/>
  <c r="K33" i="55"/>
  <c r="M33" i="55"/>
  <c r="M37" i="55"/>
  <c r="O37" i="55"/>
  <c r="K37" i="55"/>
  <c r="H37" i="55"/>
  <c r="M6" i="56"/>
  <c r="O6" i="56"/>
  <c r="H6" i="56"/>
  <c r="K6" i="56"/>
  <c r="M14" i="56"/>
  <c r="O14" i="56"/>
  <c r="H14" i="56"/>
  <c r="K14" i="56"/>
  <c r="M18" i="56"/>
  <c r="O18" i="56"/>
  <c r="H18" i="56"/>
  <c r="K18" i="56"/>
  <c r="O22" i="56"/>
  <c r="M22" i="56"/>
  <c r="K22" i="56"/>
  <c r="H22" i="56"/>
  <c r="K38" i="56"/>
  <c r="H38" i="56"/>
  <c r="M38" i="56"/>
  <c r="O38" i="56"/>
  <c r="AQ31" i="48"/>
  <c r="G31" i="48"/>
  <c r="AS31" i="48"/>
  <c r="AR31" i="48"/>
  <c r="AR11" i="48"/>
  <c r="G11" i="48"/>
  <c r="AQ11" i="48"/>
  <c r="AS11" i="48"/>
  <c r="O14" i="50"/>
  <c r="H14" i="50"/>
  <c r="M14" i="50"/>
  <c r="K14" i="50"/>
  <c r="K19" i="54"/>
  <c r="O19" i="54"/>
  <c r="H19" i="54"/>
  <c r="M19" i="54"/>
  <c r="K8" i="55"/>
  <c r="O8" i="55"/>
  <c r="H8" i="55"/>
  <c r="M8" i="55"/>
  <c r="M28" i="55"/>
  <c r="O28" i="55"/>
  <c r="K28" i="55"/>
  <c r="H28" i="55"/>
  <c r="O25" i="56"/>
  <c r="M25" i="56"/>
  <c r="H25" i="56"/>
  <c r="K25" i="56"/>
  <c r="H37" i="48"/>
  <c r="M37" i="48"/>
  <c r="O37" i="48"/>
  <c r="K37" i="48"/>
  <c r="O12" i="48"/>
  <c r="M12" i="48"/>
  <c r="H12" i="48"/>
  <c r="K12" i="48"/>
  <c r="K8" i="49"/>
  <c r="O8" i="49"/>
  <c r="H8" i="49"/>
  <c r="M8" i="49"/>
  <c r="M28" i="49"/>
  <c r="K28" i="49"/>
  <c r="O28" i="49"/>
  <c r="H28" i="49"/>
  <c r="O36" i="49"/>
  <c r="H36" i="49"/>
  <c r="M36" i="49"/>
  <c r="K36" i="49"/>
  <c r="K27" i="50"/>
  <c r="O27" i="50"/>
  <c r="H27" i="50"/>
  <c r="M27" i="50"/>
  <c r="O37" i="50"/>
  <c r="M37" i="50"/>
  <c r="K37" i="50"/>
  <c r="H37" i="50"/>
  <c r="M6" i="52"/>
  <c r="O6" i="52"/>
  <c r="H6" i="52"/>
  <c r="D40" i="52"/>
  <c r="K6" i="52"/>
  <c r="H10" i="52"/>
  <c r="M10" i="52"/>
  <c r="K10" i="52"/>
  <c r="O10" i="52"/>
  <c r="M14" i="52"/>
  <c r="K14" i="52"/>
  <c r="O14" i="52"/>
  <c r="H14" i="52"/>
  <c r="H27" i="52"/>
  <c r="O27" i="52"/>
  <c r="M27" i="52"/>
  <c r="K27" i="52"/>
  <c r="H31" i="52"/>
  <c r="K31" i="52"/>
  <c r="M31" i="52"/>
  <c r="O31" i="52"/>
  <c r="O35" i="52"/>
  <c r="H35" i="52"/>
  <c r="K35" i="52"/>
  <c r="M35" i="52"/>
  <c r="H8" i="53"/>
  <c r="K8" i="53"/>
  <c r="O8" i="53"/>
  <c r="M8" i="53"/>
  <c r="H12" i="53"/>
  <c r="O12" i="53"/>
  <c r="K12" i="53"/>
  <c r="M12" i="53"/>
  <c r="M16" i="53"/>
  <c r="O16" i="53"/>
  <c r="H16" i="53"/>
  <c r="K16" i="53"/>
  <c r="O20" i="53"/>
  <c r="K20" i="53"/>
  <c r="M20" i="53"/>
  <c r="H20" i="53"/>
  <c r="M24" i="53"/>
  <c r="K24" i="53"/>
  <c r="H24" i="53"/>
  <c r="O24" i="53"/>
  <c r="K28" i="53"/>
  <c r="H28" i="53"/>
  <c r="M28" i="53"/>
  <c r="O28" i="53"/>
  <c r="O32" i="53"/>
  <c r="K32" i="53"/>
  <c r="M32" i="53"/>
  <c r="H32" i="53"/>
  <c r="M36" i="53"/>
  <c r="O36" i="53"/>
  <c r="K36" i="53"/>
  <c r="H36" i="53"/>
  <c r="K15" i="54"/>
  <c r="O15" i="54"/>
  <c r="H15" i="54"/>
  <c r="M15" i="54"/>
  <c r="H21" i="54"/>
  <c r="M21" i="54"/>
  <c r="K21" i="54"/>
  <c r="O21" i="54"/>
  <c r="O21" i="46"/>
  <c r="M21" i="46"/>
  <c r="H21" i="46"/>
  <c r="K21" i="46"/>
  <c r="U20" i="48"/>
  <c r="C20" i="48" s="1"/>
  <c r="G32" i="48"/>
  <c r="AQ32" i="48"/>
  <c r="AR32" i="48"/>
  <c r="AS32" i="48"/>
  <c r="O19" i="50"/>
  <c r="M19" i="50"/>
  <c r="H19" i="50"/>
  <c r="K19" i="50"/>
  <c r="H24" i="54"/>
  <c r="O24" i="54"/>
  <c r="M24" i="54"/>
  <c r="K24" i="54"/>
  <c r="M36" i="55"/>
  <c r="K36" i="55"/>
  <c r="H36" i="55"/>
  <c r="O36" i="55"/>
  <c r="O22" i="48"/>
  <c r="K22" i="48"/>
  <c r="M22" i="48"/>
  <c r="H22" i="48"/>
  <c r="O16" i="49"/>
  <c r="H16" i="49"/>
  <c r="M16" i="49"/>
  <c r="K16" i="49"/>
  <c r="K36" i="48"/>
  <c r="H36" i="48"/>
  <c r="M36" i="48"/>
  <c r="O36" i="48"/>
  <c r="O21" i="48"/>
  <c r="M21" i="48"/>
  <c r="H21" i="48"/>
  <c r="K21" i="48"/>
  <c r="H8" i="48"/>
  <c r="K8" i="48"/>
  <c r="M8" i="48"/>
  <c r="O8" i="48"/>
  <c r="M16" i="50"/>
  <c r="K16" i="50"/>
  <c r="H16" i="50"/>
  <c r="O16" i="50"/>
  <c r="H22" i="50"/>
  <c r="O22" i="50"/>
  <c r="K22" i="50"/>
  <c r="M22" i="50"/>
  <c r="H19" i="52"/>
  <c r="M19" i="52"/>
  <c r="O19" i="52"/>
  <c r="K19" i="52"/>
  <c r="K23" i="52"/>
  <c r="M23" i="52"/>
  <c r="O23" i="52"/>
  <c r="H23" i="52"/>
  <c r="K27" i="54"/>
  <c r="M27" i="54"/>
  <c r="H27" i="54"/>
  <c r="O27" i="54"/>
  <c r="H37" i="54"/>
  <c r="O37" i="54"/>
  <c r="K37" i="54"/>
  <c r="M37" i="54"/>
  <c r="K6" i="55"/>
  <c r="O6" i="55"/>
  <c r="M6" i="55"/>
  <c r="H6" i="55"/>
  <c r="D40" i="55"/>
  <c r="M10" i="55"/>
  <c r="O10" i="55"/>
  <c r="H10" i="55"/>
  <c r="K10" i="55"/>
  <c r="K14" i="55"/>
  <c r="M14" i="55"/>
  <c r="H14" i="55"/>
  <c r="O14" i="55"/>
  <c r="K18" i="55"/>
  <c r="O18" i="55"/>
  <c r="M18" i="55"/>
  <c r="H18" i="55"/>
  <c r="M22" i="55"/>
  <c r="O22" i="55"/>
  <c r="K22" i="55"/>
  <c r="H22" i="55"/>
  <c r="H26" i="55"/>
  <c r="K26" i="55"/>
  <c r="M26" i="55"/>
  <c r="O26" i="55"/>
  <c r="M30" i="55"/>
  <c r="O30" i="55"/>
  <c r="H30" i="55"/>
  <c r="K30" i="55"/>
  <c r="K34" i="55"/>
  <c r="M34" i="55"/>
  <c r="O34" i="55"/>
  <c r="H34" i="55"/>
  <c r="M38" i="55"/>
  <c r="H38" i="55"/>
  <c r="O38" i="55"/>
  <c r="K38" i="55"/>
  <c r="H27" i="56"/>
  <c r="K27" i="56"/>
  <c r="M27" i="56"/>
  <c r="O27" i="56"/>
  <c r="K31" i="56"/>
  <c r="O31" i="56"/>
  <c r="H31" i="56"/>
  <c r="M31" i="56"/>
  <c r="O35" i="56"/>
  <c r="H35" i="56"/>
  <c r="M35" i="56"/>
  <c r="K35" i="56"/>
  <c r="AR9" i="48"/>
  <c r="AQ9" i="48"/>
  <c r="G9" i="48"/>
  <c r="AS9" i="48"/>
  <c r="AQ33" i="48"/>
  <c r="AS33" i="48"/>
  <c r="G33" i="48"/>
  <c r="AR33" i="48"/>
  <c r="AR23" i="48"/>
  <c r="AS23" i="48"/>
  <c r="AQ23" i="48"/>
  <c r="G23" i="48"/>
  <c r="M15" i="48"/>
  <c r="O15" i="48"/>
  <c r="K15" i="48"/>
  <c r="H15" i="48"/>
  <c r="M17" i="52"/>
  <c r="H17" i="52"/>
  <c r="O17" i="52"/>
  <c r="K17" i="52"/>
  <c r="K16" i="55"/>
  <c r="H16" i="55"/>
  <c r="O16" i="55"/>
  <c r="M16" i="55"/>
  <c r="K35" i="48"/>
  <c r="H35" i="48"/>
  <c r="M35" i="48"/>
  <c r="O35" i="48"/>
  <c r="H9" i="49"/>
  <c r="O9" i="49"/>
  <c r="K9" i="49"/>
  <c r="M9" i="49"/>
  <c r="O17" i="49"/>
  <c r="H17" i="49"/>
  <c r="K17" i="49"/>
  <c r="M17" i="49"/>
  <c r="H21" i="49"/>
  <c r="K21" i="49"/>
  <c r="M21" i="49"/>
  <c r="O21" i="49"/>
  <c r="O29" i="49"/>
  <c r="H29" i="49"/>
  <c r="M29" i="49"/>
  <c r="K29" i="49"/>
  <c r="M37" i="49"/>
  <c r="K37" i="49"/>
  <c r="O37" i="49"/>
  <c r="H37" i="49"/>
  <c r="H6" i="50"/>
  <c r="K6" i="50"/>
  <c r="O6" i="50"/>
  <c r="D40" i="50"/>
  <c r="M6" i="50"/>
  <c r="M28" i="50"/>
  <c r="O28" i="50"/>
  <c r="K28" i="50"/>
  <c r="H28" i="50"/>
  <c r="K34" i="50"/>
  <c r="H34" i="50"/>
  <c r="M34" i="50"/>
  <c r="O34" i="50"/>
  <c r="O38" i="50"/>
  <c r="K38" i="50"/>
  <c r="M38" i="50"/>
  <c r="H38" i="50"/>
  <c r="H7" i="52"/>
  <c r="M7" i="52"/>
  <c r="K7" i="52"/>
  <c r="O7" i="52"/>
  <c r="K11" i="52"/>
  <c r="O11" i="52"/>
  <c r="M11" i="52"/>
  <c r="H11" i="52"/>
  <c r="O15" i="52"/>
  <c r="H15" i="52"/>
  <c r="M15" i="52"/>
  <c r="K15" i="52"/>
  <c r="O28" i="52"/>
  <c r="M28" i="52"/>
  <c r="K28" i="52"/>
  <c r="H28" i="52"/>
  <c r="H32" i="52"/>
  <c r="K32" i="52"/>
  <c r="O32" i="52"/>
  <c r="M32" i="52"/>
  <c r="O36" i="52"/>
  <c r="H36" i="52"/>
  <c r="K36" i="52"/>
  <c r="M36" i="52"/>
  <c r="H9" i="53"/>
  <c r="M9" i="53"/>
  <c r="O9" i="53"/>
  <c r="K9" i="53"/>
  <c r="K13" i="53"/>
  <c r="H13" i="53"/>
  <c r="O13" i="53"/>
  <c r="M13" i="53"/>
  <c r="M17" i="53"/>
  <c r="H17" i="53"/>
  <c r="K17" i="53"/>
  <c r="O17" i="53"/>
  <c r="K21" i="53"/>
  <c r="M21" i="53"/>
  <c r="O21" i="53"/>
  <c r="H21" i="53"/>
  <c r="H25" i="53"/>
  <c r="M25" i="53"/>
  <c r="K25" i="53"/>
  <c r="O25" i="53"/>
  <c r="M29" i="53"/>
  <c r="H29" i="53"/>
  <c r="K29" i="53"/>
  <c r="O29" i="53"/>
  <c r="K33" i="53"/>
  <c r="M33" i="53"/>
  <c r="H33" i="53"/>
  <c r="O33" i="53"/>
  <c r="K37" i="53"/>
  <c r="H37" i="53"/>
  <c r="O37" i="53"/>
  <c r="M37" i="53"/>
  <c r="H6" i="54"/>
  <c r="M6" i="54"/>
  <c r="D40" i="54"/>
  <c r="K6" i="54"/>
  <c r="O6" i="54"/>
  <c r="M22" i="54"/>
  <c r="O22" i="54"/>
  <c r="K22" i="54"/>
  <c r="H22" i="54"/>
  <c r="AR26" i="48"/>
  <c r="G26" i="48"/>
  <c r="AS26" i="48"/>
  <c r="AQ26" i="48"/>
  <c r="U18" i="48"/>
  <c r="C18" i="48" s="1"/>
  <c r="U29" i="48"/>
  <c r="C29" i="48" s="1"/>
  <c r="M35" i="54"/>
  <c r="O35" i="54"/>
  <c r="H35" i="54"/>
  <c r="K35" i="54"/>
  <c r="O20" i="55"/>
  <c r="H20" i="55"/>
  <c r="M20" i="55"/>
  <c r="K20" i="55"/>
  <c r="M6" i="48"/>
  <c r="O6" i="48"/>
  <c r="D40" i="48"/>
  <c r="K6" i="48"/>
  <c r="H6" i="48"/>
  <c r="M19" i="48"/>
  <c r="K19" i="48"/>
  <c r="O19" i="48"/>
  <c r="H19" i="48"/>
  <c r="H7" i="48"/>
  <c r="K7" i="48"/>
  <c r="O7" i="48"/>
  <c r="M7" i="48"/>
  <c r="H13" i="49"/>
  <c r="M13" i="49"/>
  <c r="O13" i="49"/>
  <c r="K13" i="49"/>
  <c r="M34" i="48"/>
  <c r="O34" i="48"/>
  <c r="H34" i="48"/>
  <c r="K34" i="48"/>
  <c r="H17" i="48"/>
  <c r="O17" i="48"/>
  <c r="K17" i="48"/>
  <c r="M17" i="48"/>
  <c r="O13" i="50"/>
  <c r="K13" i="50"/>
  <c r="H13" i="50"/>
  <c r="M13" i="50"/>
  <c r="H23" i="50"/>
  <c r="O23" i="50"/>
  <c r="M23" i="50"/>
  <c r="K23" i="50"/>
  <c r="H20" i="52"/>
  <c r="O20" i="52"/>
  <c r="K20" i="52"/>
  <c r="M20" i="52"/>
  <c r="M24" i="52"/>
  <c r="O24" i="52"/>
  <c r="K24" i="52"/>
  <c r="H24" i="52"/>
  <c r="O28" i="54"/>
  <c r="K28" i="54"/>
  <c r="M28" i="54"/>
  <c r="H28" i="54"/>
  <c r="K34" i="54"/>
  <c r="M34" i="54"/>
  <c r="O34" i="54"/>
  <c r="H34" i="54"/>
  <c r="H38" i="54"/>
  <c r="O38" i="54"/>
  <c r="M38" i="54"/>
  <c r="K38" i="54"/>
  <c r="O7" i="55"/>
  <c r="H7" i="55"/>
  <c r="M7" i="55"/>
  <c r="K7" i="55"/>
  <c r="O11" i="55"/>
  <c r="M11" i="55"/>
  <c r="H11" i="55"/>
  <c r="K11" i="55"/>
  <c r="O15" i="55"/>
  <c r="M15" i="55"/>
  <c r="H15" i="55"/>
  <c r="K15" i="55"/>
  <c r="O19" i="55"/>
  <c r="K19" i="55"/>
  <c r="M19" i="55"/>
  <c r="H19" i="55"/>
  <c r="K23" i="55"/>
  <c r="O23" i="55"/>
  <c r="H23" i="55"/>
  <c r="M23" i="55"/>
  <c r="H27" i="55"/>
  <c r="O27" i="55"/>
  <c r="M27" i="55"/>
  <c r="K27" i="55"/>
  <c r="K31" i="55"/>
  <c r="O31" i="55"/>
  <c r="M31" i="55"/>
  <c r="H31" i="55"/>
  <c r="K35" i="55"/>
  <c r="M35" i="55"/>
  <c r="H35" i="55"/>
  <c r="O35" i="55"/>
  <c r="M28" i="56"/>
  <c r="O28" i="56"/>
  <c r="H28" i="56"/>
  <c r="K28" i="56"/>
  <c r="M32" i="56"/>
  <c r="O32" i="56"/>
  <c r="K32" i="56"/>
  <c r="H32" i="56"/>
  <c r="H30" i="48"/>
  <c r="M30" i="48"/>
  <c r="K30" i="48"/>
  <c r="O30" i="48"/>
  <c r="M16" i="48"/>
  <c r="K16" i="48"/>
  <c r="O16" i="48"/>
  <c r="H16" i="48"/>
  <c r="M6" i="49"/>
  <c r="H6" i="49"/>
  <c r="O6" i="49"/>
  <c r="D40" i="49"/>
  <c r="K6" i="49"/>
  <c r="K14" i="49"/>
  <c r="O14" i="49"/>
  <c r="H14" i="49"/>
  <c r="M14" i="49"/>
  <c r="K22" i="49"/>
  <c r="O22" i="49"/>
  <c r="M22" i="49"/>
  <c r="H22" i="49"/>
  <c r="K26" i="49"/>
  <c r="M26" i="49"/>
  <c r="H26" i="49"/>
  <c r="O26" i="49"/>
  <c r="O30" i="49"/>
  <c r="K30" i="49"/>
  <c r="M30" i="49"/>
  <c r="H30" i="49"/>
  <c r="O34" i="49"/>
  <c r="H34" i="49"/>
  <c r="K34" i="49"/>
  <c r="M34" i="49"/>
  <c r="O38" i="49"/>
  <c r="M38" i="49"/>
  <c r="H38" i="49"/>
  <c r="K38" i="49"/>
  <c r="M29" i="50"/>
  <c r="H29" i="50"/>
  <c r="O29" i="50"/>
  <c r="K29" i="50"/>
  <c r="M35" i="50"/>
  <c r="K35" i="50"/>
  <c r="O35" i="50"/>
  <c r="H35" i="50"/>
  <c r="K8" i="52"/>
  <c r="M8" i="52"/>
  <c r="O8" i="52"/>
  <c r="H8" i="52"/>
  <c r="O12" i="52"/>
  <c r="H12" i="52"/>
  <c r="K12" i="52"/>
  <c r="M12" i="52"/>
  <c r="H29" i="52"/>
  <c r="K29" i="52"/>
  <c r="O29" i="52"/>
  <c r="M29" i="52"/>
  <c r="H33" i="52"/>
  <c r="M33" i="52"/>
  <c r="K33" i="52"/>
  <c r="O33" i="52"/>
  <c r="O37" i="52"/>
  <c r="M37" i="52"/>
  <c r="H37" i="52"/>
  <c r="K37" i="52"/>
  <c r="O6" i="53"/>
  <c r="K6" i="53"/>
  <c r="D40" i="53"/>
  <c r="H6" i="53"/>
  <c r="M6" i="53"/>
  <c r="O10" i="53"/>
  <c r="K10" i="53"/>
  <c r="H10" i="53"/>
  <c r="M10" i="53"/>
  <c r="O14" i="53"/>
  <c r="K14" i="53"/>
  <c r="H14" i="53"/>
  <c r="M14" i="53"/>
  <c r="K18" i="53"/>
  <c r="M18" i="53"/>
  <c r="H18" i="53"/>
  <c r="O18" i="53"/>
  <c r="H22" i="53"/>
  <c r="M22" i="53"/>
  <c r="K22" i="53"/>
  <c r="O22" i="53"/>
  <c r="K26" i="53"/>
  <c r="O26" i="53"/>
  <c r="H26" i="53"/>
  <c r="M26" i="53"/>
  <c r="K30" i="53"/>
  <c r="M30" i="53"/>
  <c r="H30" i="53"/>
  <c r="O30" i="53"/>
  <c r="K34" i="53"/>
  <c r="M34" i="53"/>
  <c r="O34" i="53"/>
  <c r="H34" i="53"/>
  <c r="O38" i="53"/>
  <c r="H38" i="53"/>
  <c r="M38" i="53"/>
  <c r="K38" i="53"/>
  <c r="H7" i="54"/>
  <c r="O7" i="54"/>
  <c r="M7" i="54"/>
  <c r="K7" i="54"/>
  <c r="O13" i="54"/>
  <c r="M13" i="54"/>
  <c r="K13" i="54"/>
  <c r="H13" i="54"/>
  <c r="U10" i="48"/>
  <c r="C10" i="48" s="1"/>
  <c r="AQ25" i="48"/>
  <c r="AR25" i="48"/>
  <c r="AS25" i="48"/>
  <c r="G25" i="48"/>
  <c r="G36" i="55" l="1"/>
  <c r="G29" i="50"/>
  <c r="AR29" i="50"/>
  <c r="AS29" i="50"/>
  <c r="AQ29" i="50"/>
  <c r="AQ16" i="48"/>
  <c r="G16" i="48"/>
  <c r="AS16" i="48"/>
  <c r="AR16" i="48"/>
  <c r="AQ23" i="50"/>
  <c r="G23" i="50"/>
  <c r="AR23" i="50"/>
  <c r="AS23" i="50"/>
  <c r="O40" i="54"/>
  <c r="G37" i="49"/>
  <c r="AS37" i="49"/>
  <c r="AQ37" i="49"/>
  <c r="AR37" i="49"/>
  <c r="AQ15" i="48"/>
  <c r="AR15" i="48"/>
  <c r="G15" i="48"/>
  <c r="AS15" i="48"/>
  <c r="AQ35" i="56"/>
  <c r="AR35" i="56"/>
  <c r="AS35" i="56"/>
  <c r="AQ30" i="55"/>
  <c r="AR30" i="55"/>
  <c r="AS30" i="55"/>
  <c r="G30" i="55"/>
  <c r="AS14" i="55"/>
  <c r="AR14" i="55"/>
  <c r="G14" i="55"/>
  <c r="AQ14" i="55"/>
  <c r="AS37" i="54"/>
  <c r="AQ37" i="54"/>
  <c r="G37" i="54"/>
  <c r="AR37" i="54"/>
  <c r="AS22" i="50"/>
  <c r="AR22" i="50"/>
  <c r="G22" i="50"/>
  <c r="AQ22" i="50"/>
  <c r="AS8" i="48"/>
  <c r="AQ8" i="48"/>
  <c r="G8" i="48"/>
  <c r="AR8" i="48"/>
  <c r="AS21" i="54"/>
  <c r="AQ21" i="54"/>
  <c r="AR21" i="54"/>
  <c r="G21" i="54"/>
  <c r="AR12" i="53"/>
  <c r="G12" i="53"/>
  <c r="AS12" i="53"/>
  <c r="AQ12" i="53"/>
  <c r="AS27" i="52"/>
  <c r="AR27" i="52"/>
  <c r="AQ27" i="52"/>
  <c r="G27" i="52"/>
  <c r="AR10" i="52"/>
  <c r="AS10" i="52"/>
  <c r="AQ10" i="52"/>
  <c r="G10" i="52"/>
  <c r="G8" i="49"/>
  <c r="AR8" i="49"/>
  <c r="AS8" i="49"/>
  <c r="AQ8" i="49"/>
  <c r="G19" i="54"/>
  <c r="AR19" i="54"/>
  <c r="AQ19" i="54"/>
  <c r="AS19" i="54"/>
  <c r="AQ6" i="56"/>
  <c r="AR6" i="56"/>
  <c r="AQ15" i="49"/>
  <c r="AS15" i="49"/>
  <c r="G15" i="49"/>
  <c r="AR15" i="49"/>
  <c r="AR29" i="54"/>
  <c r="AQ29" i="54"/>
  <c r="G29" i="54"/>
  <c r="AS29" i="54"/>
  <c r="AR11" i="53"/>
  <c r="AQ11" i="53"/>
  <c r="G11" i="53"/>
  <c r="AS11" i="53"/>
  <c r="AR30" i="52"/>
  <c r="AS30" i="52"/>
  <c r="G30" i="52"/>
  <c r="AQ30" i="52"/>
  <c r="G13" i="52"/>
  <c r="AQ13" i="52"/>
  <c r="AR13" i="52"/>
  <c r="AS13" i="52"/>
  <c r="AR29" i="56"/>
  <c r="AS29" i="56"/>
  <c r="AQ29" i="56"/>
  <c r="AR34" i="49"/>
  <c r="AQ34" i="49"/>
  <c r="AS34" i="49"/>
  <c r="G34" i="49"/>
  <c r="G19" i="55"/>
  <c r="AQ19" i="55"/>
  <c r="AS19" i="55"/>
  <c r="AR19" i="55"/>
  <c r="AS17" i="48"/>
  <c r="AQ17" i="48"/>
  <c r="AR17" i="48"/>
  <c r="G17" i="48"/>
  <c r="AS13" i="49"/>
  <c r="AR13" i="49"/>
  <c r="AQ13" i="49"/>
  <c r="G13" i="49"/>
  <c r="AS29" i="53"/>
  <c r="G29" i="53"/>
  <c r="AQ29" i="53"/>
  <c r="AR29" i="53"/>
  <c r="AQ13" i="53"/>
  <c r="AR13" i="53"/>
  <c r="G13" i="53"/>
  <c r="AS13" i="53"/>
  <c r="AS38" i="56"/>
  <c r="AR38" i="56"/>
  <c r="AQ38" i="56"/>
  <c r="G36" i="50"/>
  <c r="AS36" i="50"/>
  <c r="AR36" i="50"/>
  <c r="AQ36" i="50"/>
  <c r="G24" i="55"/>
  <c r="AQ24" i="55"/>
  <c r="AS24" i="55"/>
  <c r="AR24" i="55"/>
  <c r="AS30" i="53"/>
  <c r="AR30" i="53"/>
  <c r="AQ30" i="53"/>
  <c r="G30" i="53"/>
  <c r="G14" i="53"/>
  <c r="AS14" i="53"/>
  <c r="AR14" i="53"/>
  <c r="AQ14" i="53"/>
  <c r="M40" i="53"/>
  <c r="AS29" i="52"/>
  <c r="G29" i="52"/>
  <c r="AQ29" i="52"/>
  <c r="AR29" i="52"/>
  <c r="AR28" i="56"/>
  <c r="AS28" i="56"/>
  <c r="AQ28" i="56"/>
  <c r="G35" i="55"/>
  <c r="AQ35" i="55"/>
  <c r="AS35" i="55"/>
  <c r="AR35" i="55"/>
  <c r="AQ11" i="55"/>
  <c r="AS11" i="55"/>
  <c r="AR11" i="55"/>
  <c r="G11" i="55"/>
  <c r="AS28" i="54"/>
  <c r="AQ28" i="54"/>
  <c r="AR28" i="54"/>
  <c r="G28" i="54"/>
  <c r="AQ38" i="53"/>
  <c r="AS38" i="53"/>
  <c r="G38" i="53"/>
  <c r="AR38" i="53"/>
  <c r="AQ6" i="53"/>
  <c r="G6" i="53"/>
  <c r="AR6" i="53"/>
  <c r="H40" i="53"/>
  <c r="D47" i="53" s="1"/>
  <c r="G35" i="50"/>
  <c r="AQ35" i="50"/>
  <c r="AR35" i="50"/>
  <c r="AS35" i="50"/>
  <c r="AR30" i="49"/>
  <c r="G30" i="49"/>
  <c r="AQ30" i="49"/>
  <c r="AS30" i="49"/>
  <c r="G22" i="49"/>
  <c r="AR22" i="49"/>
  <c r="AS22" i="49"/>
  <c r="AQ22" i="49"/>
  <c r="AR13" i="50"/>
  <c r="G13" i="50"/>
  <c r="AQ13" i="50"/>
  <c r="AS13" i="50"/>
  <c r="AR34" i="48"/>
  <c r="G34" i="48"/>
  <c r="AS34" i="48"/>
  <c r="AQ34" i="48"/>
  <c r="AQ20" i="55"/>
  <c r="AS20" i="55"/>
  <c r="G20" i="55"/>
  <c r="AR20" i="55"/>
  <c r="K40" i="54"/>
  <c r="U9" i="48"/>
  <c r="C9" i="48" s="1"/>
  <c r="AR27" i="56"/>
  <c r="AS27" i="56"/>
  <c r="AQ27" i="56"/>
  <c r="AQ38" i="55"/>
  <c r="AR38" i="55"/>
  <c r="AS38" i="55"/>
  <c r="G38" i="55"/>
  <c r="H40" i="55"/>
  <c r="D47" i="55" s="1"/>
  <c r="AQ6" i="55"/>
  <c r="G6" i="55"/>
  <c r="AR6" i="55"/>
  <c r="AS32" i="53"/>
  <c r="G32" i="53"/>
  <c r="AQ32" i="53"/>
  <c r="AR32" i="53"/>
  <c r="G14" i="52"/>
  <c r="AQ14" i="52"/>
  <c r="AS14" i="52"/>
  <c r="AR14" i="52"/>
  <c r="AQ36" i="49"/>
  <c r="AS36" i="49"/>
  <c r="AR36" i="49"/>
  <c r="G36" i="49"/>
  <c r="U31" i="48"/>
  <c r="C31" i="48" s="1"/>
  <c r="AQ33" i="55"/>
  <c r="AR33" i="55"/>
  <c r="G33" i="55"/>
  <c r="AS33" i="55"/>
  <c r="AR17" i="55"/>
  <c r="G17" i="55"/>
  <c r="AS17" i="55"/>
  <c r="AQ17" i="55"/>
  <c r="AS9" i="55"/>
  <c r="G9" i="55"/>
  <c r="AR9" i="55"/>
  <c r="AQ9" i="55"/>
  <c r="AR15" i="50"/>
  <c r="AQ15" i="50"/>
  <c r="G15" i="50"/>
  <c r="AS15" i="50"/>
  <c r="AS13" i="48"/>
  <c r="G13" i="48"/>
  <c r="AR13" i="48"/>
  <c r="AQ13" i="48"/>
  <c r="AR33" i="56"/>
  <c r="AS33" i="56"/>
  <c r="AQ33" i="56"/>
  <c r="G31" i="53"/>
  <c r="AS31" i="53"/>
  <c r="AR31" i="53"/>
  <c r="AQ31" i="53"/>
  <c r="AQ7" i="49"/>
  <c r="G7" i="49"/>
  <c r="AR7" i="49"/>
  <c r="AS7" i="49"/>
  <c r="AR21" i="52"/>
  <c r="AQ21" i="52"/>
  <c r="G21" i="52"/>
  <c r="AS21" i="52"/>
  <c r="AS37" i="53"/>
  <c r="AR37" i="53"/>
  <c r="AQ37" i="53"/>
  <c r="G37" i="53"/>
  <c r="AS36" i="52"/>
  <c r="AR36" i="52"/>
  <c r="AQ36" i="52"/>
  <c r="G36" i="52"/>
  <c r="AR6" i="50"/>
  <c r="G6" i="50"/>
  <c r="AQ6" i="50"/>
  <c r="H40" i="50"/>
  <c r="D47" i="50" s="1"/>
  <c r="AR22" i="55"/>
  <c r="AQ22" i="55"/>
  <c r="G22" i="55"/>
  <c r="AS22" i="55"/>
  <c r="AR36" i="48"/>
  <c r="G36" i="48"/>
  <c r="AQ36" i="48"/>
  <c r="AS36" i="48"/>
  <c r="AR28" i="53"/>
  <c r="AQ28" i="53"/>
  <c r="G28" i="53"/>
  <c r="AS28" i="53"/>
  <c r="AS35" i="52"/>
  <c r="AR35" i="52"/>
  <c r="G35" i="52"/>
  <c r="AQ35" i="52"/>
  <c r="AQ37" i="50"/>
  <c r="G37" i="50"/>
  <c r="AS37" i="50"/>
  <c r="AR37" i="50"/>
  <c r="AQ28" i="55"/>
  <c r="AS28" i="55"/>
  <c r="AR28" i="55"/>
  <c r="G28" i="55"/>
  <c r="AR14" i="54"/>
  <c r="AQ14" i="54"/>
  <c r="G14" i="54"/>
  <c r="AS14" i="54"/>
  <c r="AS22" i="53"/>
  <c r="AR22" i="53"/>
  <c r="G22" i="53"/>
  <c r="AQ22" i="53"/>
  <c r="AQ38" i="49"/>
  <c r="G38" i="49"/>
  <c r="AR38" i="49"/>
  <c r="AS38" i="49"/>
  <c r="K40" i="49"/>
  <c r="G27" i="55"/>
  <c r="AQ27" i="55"/>
  <c r="AS27" i="55"/>
  <c r="AR27" i="55"/>
  <c r="AQ6" i="48"/>
  <c r="H40" i="48"/>
  <c r="D47" i="48" s="1"/>
  <c r="G6" i="48"/>
  <c r="AR6" i="48"/>
  <c r="AR33" i="53"/>
  <c r="G33" i="53"/>
  <c r="AS33" i="53"/>
  <c r="AQ33" i="53"/>
  <c r="AR16" i="55"/>
  <c r="AQ16" i="55"/>
  <c r="AS16" i="55"/>
  <c r="G16" i="55"/>
  <c r="M40" i="55"/>
  <c r="G27" i="54"/>
  <c r="AS27" i="54"/>
  <c r="AR27" i="54"/>
  <c r="AQ27" i="54"/>
  <c r="AS16" i="50"/>
  <c r="G16" i="50"/>
  <c r="AQ16" i="50"/>
  <c r="AR16" i="50"/>
  <c r="AR21" i="48"/>
  <c r="G21" i="48"/>
  <c r="AQ21" i="48"/>
  <c r="AS21" i="48"/>
  <c r="AQ24" i="54"/>
  <c r="G24" i="54"/>
  <c r="AR24" i="54"/>
  <c r="AS24" i="54"/>
  <c r="U32" i="48"/>
  <c r="C32" i="48" s="1"/>
  <c r="AS21" i="46"/>
  <c r="G21" i="46"/>
  <c r="AQ21" i="46"/>
  <c r="AR21" i="46"/>
  <c r="AQ15" i="54"/>
  <c r="AS15" i="54"/>
  <c r="G15" i="54"/>
  <c r="AR15" i="54"/>
  <c r="AR24" i="53"/>
  <c r="AS24" i="53"/>
  <c r="G24" i="53"/>
  <c r="AQ24" i="53"/>
  <c r="AR16" i="53"/>
  <c r="AS16" i="53"/>
  <c r="G16" i="53"/>
  <c r="AQ16" i="53"/>
  <c r="K40" i="52"/>
  <c r="AQ37" i="48"/>
  <c r="AR37" i="48"/>
  <c r="G37" i="48"/>
  <c r="AS37" i="48"/>
  <c r="AQ18" i="56"/>
  <c r="AR18" i="56"/>
  <c r="AS18" i="56"/>
  <c r="AR25" i="55"/>
  <c r="G25" i="55"/>
  <c r="AS25" i="55"/>
  <c r="AQ25" i="55"/>
  <c r="AQ22" i="52"/>
  <c r="G22" i="52"/>
  <c r="AS22" i="52"/>
  <c r="AR22" i="52"/>
  <c r="G38" i="48"/>
  <c r="AS38" i="48"/>
  <c r="AQ38" i="48"/>
  <c r="AR38" i="48"/>
  <c r="G8" i="54"/>
  <c r="AR8" i="54"/>
  <c r="AQ8" i="54"/>
  <c r="AS8" i="54"/>
  <c r="AQ23" i="53"/>
  <c r="G23" i="53"/>
  <c r="AS23" i="53"/>
  <c r="AR23" i="53"/>
  <c r="AS34" i="53"/>
  <c r="G34" i="53"/>
  <c r="AQ34" i="53"/>
  <c r="AR34" i="53"/>
  <c r="K40" i="53"/>
  <c r="AQ12" i="52"/>
  <c r="G12" i="52"/>
  <c r="AR12" i="52"/>
  <c r="AS12" i="52"/>
  <c r="AR32" i="56"/>
  <c r="AS32" i="56"/>
  <c r="AQ32" i="56"/>
  <c r="AQ31" i="55"/>
  <c r="G31" i="55"/>
  <c r="AR31" i="55"/>
  <c r="AS31" i="55"/>
  <c r="AS38" i="54"/>
  <c r="G38" i="54"/>
  <c r="AQ38" i="54"/>
  <c r="AR38" i="54"/>
  <c r="G20" i="52"/>
  <c r="AR20" i="52"/>
  <c r="AQ20" i="52"/>
  <c r="AS20" i="52"/>
  <c r="K40" i="48"/>
  <c r="AR22" i="54"/>
  <c r="AS22" i="54"/>
  <c r="AQ22" i="54"/>
  <c r="G22" i="54"/>
  <c r="M40" i="54"/>
  <c r="AQ17" i="53"/>
  <c r="G17" i="53"/>
  <c r="AS17" i="53"/>
  <c r="AR17" i="53"/>
  <c r="AS15" i="52"/>
  <c r="G15" i="52"/>
  <c r="AQ15" i="52"/>
  <c r="AR15" i="52"/>
  <c r="M40" i="50"/>
  <c r="AR21" i="49"/>
  <c r="AQ21" i="49"/>
  <c r="AS21" i="49"/>
  <c r="G21" i="49"/>
  <c r="G9" i="49"/>
  <c r="AS9" i="49"/>
  <c r="AR9" i="49"/>
  <c r="AQ9" i="49"/>
  <c r="U33" i="48"/>
  <c r="C33" i="48" s="1"/>
  <c r="AQ31" i="56"/>
  <c r="AR31" i="56"/>
  <c r="AS31" i="56"/>
  <c r="AQ34" i="55"/>
  <c r="AS34" i="55"/>
  <c r="AR34" i="55"/>
  <c r="G34" i="55"/>
  <c r="AQ18" i="55"/>
  <c r="G18" i="55"/>
  <c r="AR18" i="55"/>
  <c r="AS18" i="55"/>
  <c r="O40" i="55"/>
  <c r="G16" i="49"/>
  <c r="AS16" i="49"/>
  <c r="AQ16" i="49"/>
  <c r="AR16" i="49"/>
  <c r="AS28" i="49"/>
  <c r="G28" i="49"/>
  <c r="AQ28" i="49"/>
  <c r="AR28" i="49"/>
  <c r="G37" i="55"/>
  <c r="AQ37" i="55"/>
  <c r="AR37" i="55"/>
  <c r="AS37" i="55"/>
  <c r="AQ21" i="55"/>
  <c r="G21" i="55"/>
  <c r="AS21" i="55"/>
  <c r="AR21" i="55"/>
  <c r="AS13" i="55"/>
  <c r="AR13" i="55"/>
  <c r="G13" i="55"/>
  <c r="AQ13" i="55"/>
  <c r="AS36" i="54"/>
  <c r="G36" i="54"/>
  <c r="AR36" i="54"/>
  <c r="AQ36" i="54"/>
  <c r="AQ27" i="48"/>
  <c r="G27" i="48"/>
  <c r="AS27" i="48"/>
  <c r="AR27" i="48"/>
  <c r="AQ17" i="56"/>
  <c r="AR17" i="56"/>
  <c r="AS17" i="56"/>
  <c r="G34" i="52"/>
  <c r="AS34" i="52"/>
  <c r="AQ34" i="52"/>
  <c r="AR34" i="52"/>
  <c r="AQ9" i="52"/>
  <c r="G9" i="52"/>
  <c r="AR9" i="52"/>
  <c r="AS9" i="52"/>
  <c r="AR35" i="49"/>
  <c r="AS35" i="49"/>
  <c r="G35" i="49"/>
  <c r="AQ35" i="49"/>
  <c r="AR28" i="48"/>
  <c r="G28" i="48"/>
  <c r="AQ28" i="48"/>
  <c r="AS28" i="48"/>
  <c r="G18" i="53"/>
  <c r="AS18" i="53"/>
  <c r="AQ18" i="53"/>
  <c r="AR18" i="53"/>
  <c r="AQ10" i="53"/>
  <c r="G10" i="53"/>
  <c r="AS10" i="53"/>
  <c r="AR10" i="53"/>
  <c r="O40" i="53"/>
  <c r="AQ33" i="52"/>
  <c r="AR33" i="52"/>
  <c r="G33" i="52"/>
  <c r="AS33" i="52"/>
  <c r="O40" i="49"/>
  <c r="AQ23" i="55"/>
  <c r="AR23" i="55"/>
  <c r="AS23" i="55"/>
  <c r="G23" i="55"/>
  <c r="G15" i="55"/>
  <c r="AS15" i="55"/>
  <c r="AQ15" i="55"/>
  <c r="AR15" i="55"/>
  <c r="AS34" i="54"/>
  <c r="AQ34" i="54"/>
  <c r="G34" i="54"/>
  <c r="AR34" i="54"/>
  <c r="G24" i="52"/>
  <c r="AQ24" i="52"/>
  <c r="AR24" i="52"/>
  <c r="AS24" i="52"/>
  <c r="AR7" i="48"/>
  <c r="AQ7" i="48"/>
  <c r="AS7" i="48"/>
  <c r="G7" i="48"/>
  <c r="AS35" i="54"/>
  <c r="G35" i="54"/>
  <c r="AQ35" i="54"/>
  <c r="AR35" i="54"/>
  <c r="AR6" i="54"/>
  <c r="AQ6" i="54"/>
  <c r="H40" i="54"/>
  <c r="D47" i="54" s="1"/>
  <c r="G6" i="54"/>
  <c r="G25" i="53"/>
  <c r="AQ25" i="53"/>
  <c r="AS25" i="53"/>
  <c r="AR25" i="53"/>
  <c r="AS9" i="53"/>
  <c r="AR9" i="53"/>
  <c r="G9" i="53"/>
  <c r="AQ9" i="53"/>
  <c r="AQ32" i="52"/>
  <c r="AR32" i="52"/>
  <c r="AS32" i="52"/>
  <c r="G32" i="52"/>
  <c r="AS34" i="50"/>
  <c r="AQ34" i="50"/>
  <c r="AR34" i="50"/>
  <c r="G34" i="50"/>
  <c r="U23" i="48"/>
  <c r="C23" i="48" s="1"/>
  <c r="AQ10" i="55"/>
  <c r="AS10" i="55"/>
  <c r="AR10" i="55"/>
  <c r="G10" i="55"/>
  <c r="K40" i="55"/>
  <c r="AQ19" i="52"/>
  <c r="AS19" i="52"/>
  <c r="G19" i="52"/>
  <c r="AR19" i="52"/>
  <c r="AQ36" i="55"/>
  <c r="AS36" i="55"/>
  <c r="AR36" i="55"/>
  <c r="G19" i="50"/>
  <c r="AR19" i="50"/>
  <c r="AS19" i="50"/>
  <c r="AQ19" i="50"/>
  <c r="AS8" i="53"/>
  <c r="G8" i="53"/>
  <c r="AQ8" i="53"/>
  <c r="AR8" i="53"/>
  <c r="AQ31" i="52"/>
  <c r="G31" i="52"/>
  <c r="AS31" i="52"/>
  <c r="AR31" i="52"/>
  <c r="H40" i="52"/>
  <c r="D47" i="52" s="1"/>
  <c r="G6" i="52"/>
  <c r="AQ6" i="52"/>
  <c r="AR6" i="52"/>
  <c r="G27" i="50"/>
  <c r="AQ27" i="50"/>
  <c r="AS27" i="50"/>
  <c r="AR27" i="50"/>
  <c r="AQ12" i="48"/>
  <c r="AS12" i="48"/>
  <c r="AR12" i="48"/>
  <c r="G12" i="48"/>
  <c r="AS25" i="56"/>
  <c r="AQ25" i="56"/>
  <c r="AR25" i="56"/>
  <c r="G8" i="55"/>
  <c r="AS8" i="55"/>
  <c r="AR8" i="55"/>
  <c r="AQ8" i="55"/>
  <c r="AQ24" i="48"/>
  <c r="AS24" i="48"/>
  <c r="G24" i="48"/>
  <c r="AR24" i="48"/>
  <c r="G32" i="55"/>
  <c r="AQ32" i="55"/>
  <c r="AS32" i="55"/>
  <c r="AR32" i="55"/>
  <c r="AS15" i="53"/>
  <c r="G15" i="53"/>
  <c r="AR15" i="53"/>
  <c r="AQ15" i="53"/>
  <c r="G26" i="52"/>
  <c r="AQ26" i="52"/>
  <c r="AS26" i="52"/>
  <c r="AR26" i="52"/>
  <c r="AQ19" i="49"/>
  <c r="G19" i="49"/>
  <c r="AR19" i="49"/>
  <c r="AS19" i="49"/>
  <c r="U25" i="48"/>
  <c r="C25" i="48" s="1"/>
  <c r="G8" i="52"/>
  <c r="AQ8" i="52"/>
  <c r="AS8" i="52"/>
  <c r="AR8" i="52"/>
  <c r="AR6" i="49"/>
  <c r="H40" i="49"/>
  <c r="D47" i="49" s="1"/>
  <c r="G6" i="49"/>
  <c r="AQ6" i="49"/>
  <c r="AS19" i="48"/>
  <c r="AR19" i="48"/>
  <c r="G19" i="48"/>
  <c r="AQ19" i="48"/>
  <c r="O40" i="48"/>
  <c r="U26" i="48"/>
  <c r="C26" i="48" s="1"/>
  <c r="AS21" i="53"/>
  <c r="G21" i="53"/>
  <c r="AR21" i="53"/>
  <c r="AQ21" i="53"/>
  <c r="AS28" i="52"/>
  <c r="AQ28" i="52"/>
  <c r="AR28" i="52"/>
  <c r="G28" i="52"/>
  <c r="AR11" i="52"/>
  <c r="AQ11" i="52"/>
  <c r="G11" i="52"/>
  <c r="AS11" i="52"/>
  <c r="G7" i="52"/>
  <c r="AQ7" i="52"/>
  <c r="AR7" i="52"/>
  <c r="AS7" i="52"/>
  <c r="O40" i="50"/>
  <c r="AQ23" i="52"/>
  <c r="AR23" i="52"/>
  <c r="G23" i="52"/>
  <c r="AS23" i="52"/>
  <c r="G22" i="48"/>
  <c r="AS22" i="48"/>
  <c r="AR22" i="48"/>
  <c r="AQ22" i="48"/>
  <c r="AR36" i="53"/>
  <c r="AQ36" i="53"/>
  <c r="AS36" i="53"/>
  <c r="G36" i="53"/>
  <c r="AS20" i="53"/>
  <c r="G20" i="53"/>
  <c r="AQ20" i="53"/>
  <c r="AR20" i="53"/>
  <c r="O40" i="52"/>
  <c r="G14" i="50"/>
  <c r="AS14" i="50"/>
  <c r="AR14" i="50"/>
  <c r="AQ14" i="50"/>
  <c r="U11" i="48"/>
  <c r="C11" i="48" s="1"/>
  <c r="AS22" i="56"/>
  <c r="AQ22" i="56"/>
  <c r="AR22" i="56"/>
  <c r="AS29" i="55"/>
  <c r="AR29" i="55"/>
  <c r="AQ29" i="55"/>
  <c r="G29" i="55"/>
  <c r="AS27" i="49"/>
  <c r="AQ27" i="49"/>
  <c r="G27" i="49"/>
  <c r="AR27" i="49"/>
  <c r="G7" i="53"/>
  <c r="AR7" i="53"/>
  <c r="AQ7" i="53"/>
  <c r="AS7" i="53"/>
  <c r="AQ14" i="48"/>
  <c r="G14" i="48"/>
  <c r="AR14" i="48"/>
  <c r="AS14" i="48"/>
  <c r="G26" i="53"/>
  <c r="AR26" i="53"/>
  <c r="AS26" i="53"/>
  <c r="AQ26" i="53"/>
  <c r="AS13" i="54"/>
  <c r="G13" i="54"/>
  <c r="AR13" i="54"/>
  <c r="AQ13" i="54"/>
  <c r="AQ7" i="54"/>
  <c r="G7" i="54"/>
  <c r="AS7" i="54"/>
  <c r="AR7" i="54"/>
  <c r="G37" i="52"/>
  <c r="AR37" i="52"/>
  <c r="AS37" i="52"/>
  <c r="AQ37" i="52"/>
  <c r="G26" i="49"/>
  <c r="AR26" i="49"/>
  <c r="AS26" i="49"/>
  <c r="AQ26" i="49"/>
  <c r="G14" i="49"/>
  <c r="AS14" i="49"/>
  <c r="AQ14" i="49"/>
  <c r="AR14" i="49"/>
  <c r="M40" i="49"/>
  <c r="AR30" i="48"/>
  <c r="G30" i="48"/>
  <c r="AQ30" i="48"/>
  <c r="AS30" i="48"/>
  <c r="AS7" i="55"/>
  <c r="G7" i="55"/>
  <c r="AR7" i="55"/>
  <c r="AQ7" i="55"/>
  <c r="M40" i="48"/>
  <c r="AQ38" i="50"/>
  <c r="AR38" i="50"/>
  <c r="AS38" i="50"/>
  <c r="G38" i="50"/>
  <c r="G28" i="50"/>
  <c r="AS28" i="50"/>
  <c r="AR28" i="50"/>
  <c r="AQ28" i="50"/>
  <c r="K40" i="50"/>
  <c r="AS29" i="49"/>
  <c r="G29" i="49"/>
  <c r="AR29" i="49"/>
  <c r="AQ29" i="49"/>
  <c r="AR17" i="49"/>
  <c r="AQ17" i="49"/>
  <c r="AS17" i="49"/>
  <c r="G17" i="49"/>
  <c r="AS35" i="48"/>
  <c r="G35" i="48"/>
  <c r="AR35" i="48"/>
  <c r="AQ35" i="48"/>
  <c r="AQ17" i="52"/>
  <c r="G17" i="52"/>
  <c r="AS17" i="52"/>
  <c r="AR17" i="52"/>
  <c r="AS26" i="55"/>
  <c r="G26" i="55"/>
  <c r="AQ26" i="55"/>
  <c r="AR26" i="55"/>
  <c r="M40" i="52"/>
  <c r="AQ14" i="56"/>
  <c r="AS14" i="56"/>
  <c r="AR14" i="56"/>
  <c r="AQ18" i="52"/>
  <c r="AS18" i="52"/>
  <c r="G18" i="52"/>
  <c r="AR18" i="52"/>
  <c r="AS10" i="50"/>
  <c r="G10" i="50"/>
  <c r="AQ10" i="50"/>
  <c r="AR10" i="50"/>
  <c r="AR35" i="53"/>
  <c r="AQ35" i="53"/>
  <c r="AS35" i="53"/>
  <c r="G35" i="53"/>
  <c r="AS27" i="53"/>
  <c r="AR27" i="53"/>
  <c r="AQ27" i="53"/>
  <c r="G27" i="53"/>
  <c r="AR19" i="53"/>
  <c r="G19" i="53"/>
  <c r="AQ19" i="53"/>
  <c r="AS19" i="53"/>
  <c r="G38" i="52"/>
  <c r="AR38" i="52"/>
  <c r="AS38" i="52"/>
  <c r="AQ38" i="52"/>
  <c r="AS31" i="49"/>
  <c r="G31" i="49"/>
  <c r="AQ31" i="49"/>
  <c r="AR31" i="49"/>
  <c r="AR13" i="56"/>
  <c r="AS13" i="56"/>
  <c r="AQ13" i="56"/>
  <c r="G12" i="55"/>
  <c r="AR12" i="55"/>
  <c r="AS12" i="55"/>
  <c r="AQ12" i="55"/>
  <c r="D8" i="47"/>
  <c r="AS40" i="54" l="1"/>
  <c r="AS40" i="50"/>
  <c r="U11" i="52"/>
  <c r="C11" i="52" s="1"/>
  <c r="U6" i="49"/>
  <c r="G40" i="49"/>
  <c r="U32" i="55"/>
  <c r="C32" i="55" s="1"/>
  <c r="U36" i="54"/>
  <c r="C36" i="54" s="1"/>
  <c r="U21" i="49"/>
  <c r="C21" i="49" s="1"/>
  <c r="U15" i="52"/>
  <c r="C15" i="52" s="1"/>
  <c r="U20" i="52"/>
  <c r="C20" i="52" s="1"/>
  <c r="U12" i="52"/>
  <c r="C12" i="52" s="1"/>
  <c r="U34" i="53"/>
  <c r="C34" i="53" s="1"/>
  <c r="U22" i="52"/>
  <c r="C22" i="52" s="1"/>
  <c r="U24" i="53"/>
  <c r="C24" i="53" s="1"/>
  <c r="U14" i="54"/>
  <c r="C14" i="54" s="1"/>
  <c r="U6" i="50"/>
  <c r="G40" i="50"/>
  <c r="U7" i="49"/>
  <c r="C7" i="49" s="1"/>
  <c r="U31" i="53"/>
  <c r="C31" i="53" s="1"/>
  <c r="U33" i="56"/>
  <c r="C33" i="56" s="1"/>
  <c r="U17" i="55"/>
  <c r="C17" i="55" s="1"/>
  <c r="U32" i="53"/>
  <c r="C32" i="53" s="1"/>
  <c r="U38" i="53"/>
  <c r="C38" i="53" s="1"/>
  <c r="U30" i="53"/>
  <c r="C30" i="53" s="1"/>
  <c r="U36" i="50"/>
  <c r="C36" i="50" s="1"/>
  <c r="U29" i="53"/>
  <c r="C29" i="53" s="1"/>
  <c r="U17" i="48"/>
  <c r="C17" i="48" s="1"/>
  <c r="U8" i="48"/>
  <c r="C8" i="48" s="1"/>
  <c r="U12" i="55"/>
  <c r="C12" i="55" s="1"/>
  <c r="U27" i="50"/>
  <c r="C27" i="50" s="1"/>
  <c r="U8" i="53"/>
  <c r="C8" i="53" s="1"/>
  <c r="U10" i="55"/>
  <c r="C10" i="55" s="1"/>
  <c r="U6" i="54"/>
  <c r="G40" i="54"/>
  <c r="U35" i="54"/>
  <c r="C35" i="54" s="1"/>
  <c r="U34" i="54"/>
  <c r="C34" i="54" s="1"/>
  <c r="U15" i="55"/>
  <c r="C15" i="55" s="1"/>
  <c r="U33" i="52"/>
  <c r="C33" i="52" s="1"/>
  <c r="U34" i="52"/>
  <c r="C34" i="52" s="1"/>
  <c r="U37" i="55"/>
  <c r="C37" i="55" s="1"/>
  <c r="U37" i="48"/>
  <c r="C37" i="48" s="1"/>
  <c r="U16" i="53"/>
  <c r="C16" i="53" s="1"/>
  <c r="U21" i="48"/>
  <c r="C21" i="48" s="1"/>
  <c r="U16" i="55"/>
  <c r="C16" i="55" s="1"/>
  <c r="AQ40" i="48"/>
  <c r="U22" i="53"/>
  <c r="C22" i="53" s="1"/>
  <c r="U35" i="52"/>
  <c r="C35" i="52" s="1"/>
  <c r="AR40" i="50"/>
  <c r="U37" i="53"/>
  <c r="C37" i="53" s="1"/>
  <c r="U38" i="55"/>
  <c r="C38" i="55" s="1"/>
  <c r="AR40" i="53"/>
  <c r="U13" i="53"/>
  <c r="C13" i="53" s="1"/>
  <c r="U19" i="55"/>
  <c r="C19" i="55" s="1"/>
  <c r="U29" i="56"/>
  <c r="C29" i="56" s="1"/>
  <c r="U13" i="52"/>
  <c r="C13" i="52" s="1"/>
  <c r="U29" i="54"/>
  <c r="C29" i="54" s="1"/>
  <c r="U21" i="54"/>
  <c r="C21" i="54" s="1"/>
  <c r="U15" i="48"/>
  <c r="C15" i="48" s="1"/>
  <c r="AS40" i="53"/>
  <c r="U22" i="56"/>
  <c r="C22" i="56" s="1"/>
  <c r="AS40" i="52"/>
  <c r="AS40" i="55"/>
  <c r="U37" i="52"/>
  <c r="C37" i="52" s="1"/>
  <c r="U13" i="54"/>
  <c r="C13" i="54" s="1"/>
  <c r="U20" i="53"/>
  <c r="C20" i="53" s="1"/>
  <c r="AR40" i="49"/>
  <c r="U8" i="52"/>
  <c r="C8" i="52" s="1"/>
  <c r="U15" i="53"/>
  <c r="C15" i="53" s="1"/>
  <c r="U19" i="50"/>
  <c r="C19" i="50" s="1"/>
  <c r="U19" i="52"/>
  <c r="C19" i="52" s="1"/>
  <c r="U18" i="53"/>
  <c r="C18" i="53" s="1"/>
  <c r="U9" i="52"/>
  <c r="C9" i="52" s="1"/>
  <c r="U21" i="55"/>
  <c r="C21" i="55" s="1"/>
  <c r="U31" i="56"/>
  <c r="C31" i="56" s="1"/>
  <c r="U32" i="56"/>
  <c r="C32" i="56" s="1"/>
  <c r="U22" i="55"/>
  <c r="C22" i="55" s="1"/>
  <c r="U21" i="52"/>
  <c r="C21" i="52" s="1"/>
  <c r="U9" i="55"/>
  <c r="C9" i="55" s="1"/>
  <c r="U36" i="49"/>
  <c r="C36" i="49" s="1"/>
  <c r="U14" i="52"/>
  <c r="C14" i="52" s="1"/>
  <c r="U22" i="49"/>
  <c r="C22" i="49" s="1"/>
  <c r="U6" i="53"/>
  <c r="G40" i="53"/>
  <c r="U14" i="55"/>
  <c r="C14" i="55" s="1"/>
  <c r="U37" i="49"/>
  <c r="C37" i="49" s="1"/>
  <c r="U26" i="55"/>
  <c r="C26" i="55" s="1"/>
  <c r="U18" i="52"/>
  <c r="C18" i="52" s="1"/>
  <c r="U35" i="48"/>
  <c r="C35" i="48" s="1"/>
  <c r="U26" i="49"/>
  <c r="C26" i="49" s="1"/>
  <c r="U23" i="52"/>
  <c r="C23" i="52" s="1"/>
  <c r="AR40" i="52"/>
  <c r="U31" i="52"/>
  <c r="C31" i="52" s="1"/>
  <c r="AQ40" i="54"/>
  <c r="U23" i="55"/>
  <c r="C23" i="55" s="1"/>
  <c r="U27" i="48"/>
  <c r="C27" i="48" s="1"/>
  <c r="U31" i="55"/>
  <c r="C31" i="55" s="1"/>
  <c r="U38" i="48"/>
  <c r="C38" i="48" s="1"/>
  <c r="U33" i="53"/>
  <c r="C33" i="53" s="1"/>
  <c r="U38" i="49"/>
  <c r="C38" i="49" s="1"/>
  <c r="U15" i="50"/>
  <c r="C15" i="50" s="1"/>
  <c r="AR40" i="55"/>
  <c r="AQ40" i="53"/>
  <c r="U11" i="55"/>
  <c r="C11" i="55" s="1"/>
  <c r="U13" i="49"/>
  <c r="C13" i="49" s="1"/>
  <c r="U34" i="49"/>
  <c r="C34" i="49" s="1"/>
  <c r="U11" i="53"/>
  <c r="C11" i="53" s="1"/>
  <c r="U37" i="54"/>
  <c r="C37" i="54" s="1"/>
  <c r="U19" i="53"/>
  <c r="C19" i="53" s="1"/>
  <c r="U35" i="53"/>
  <c r="C35" i="53" s="1"/>
  <c r="U7" i="53"/>
  <c r="C7" i="53" s="1"/>
  <c r="U29" i="55"/>
  <c r="C29" i="55" s="1"/>
  <c r="U14" i="50"/>
  <c r="C14" i="50" s="1"/>
  <c r="U7" i="52"/>
  <c r="C7" i="52" s="1"/>
  <c r="U19" i="48"/>
  <c r="C19" i="48" s="1"/>
  <c r="U24" i="48"/>
  <c r="C24" i="48" s="1"/>
  <c r="U25" i="56"/>
  <c r="C25" i="56" s="1"/>
  <c r="AQ40" i="52"/>
  <c r="U36" i="55"/>
  <c r="C36" i="55" s="1"/>
  <c r="U9" i="53"/>
  <c r="C9" i="53" s="1"/>
  <c r="AR40" i="54"/>
  <c r="U7" i="48"/>
  <c r="C7" i="48" s="1"/>
  <c r="U10" i="53"/>
  <c r="C10" i="53" s="1"/>
  <c r="U35" i="49"/>
  <c r="C35" i="49" s="1"/>
  <c r="U13" i="55"/>
  <c r="C13" i="55" s="1"/>
  <c r="U18" i="55"/>
  <c r="C18" i="55" s="1"/>
  <c r="U22" i="54"/>
  <c r="C22" i="54" s="1"/>
  <c r="U28" i="55"/>
  <c r="C28" i="55" s="1"/>
  <c r="U37" i="50"/>
  <c r="C37" i="50" s="1"/>
  <c r="U36" i="52"/>
  <c r="C36" i="52" s="1"/>
  <c r="G40" i="55"/>
  <c r="U6" i="55"/>
  <c r="U13" i="50"/>
  <c r="C13" i="50" s="1"/>
  <c r="U28" i="54"/>
  <c r="C28" i="54" s="1"/>
  <c r="U35" i="55"/>
  <c r="C35" i="55" s="1"/>
  <c r="U24" i="55"/>
  <c r="C24" i="55" s="1"/>
  <c r="U38" i="56"/>
  <c r="C38" i="56" s="1"/>
  <c r="U30" i="52"/>
  <c r="C30" i="52" s="1"/>
  <c r="U6" i="56"/>
  <c r="U8" i="49"/>
  <c r="C8" i="49" s="1"/>
  <c r="U12" i="53"/>
  <c r="C12" i="53" s="1"/>
  <c r="U35" i="56"/>
  <c r="C35" i="56" s="1"/>
  <c r="U38" i="50"/>
  <c r="C38" i="50" s="1"/>
  <c r="U7" i="55"/>
  <c r="C7" i="55" s="1"/>
  <c r="U26" i="53"/>
  <c r="C26" i="53" s="1"/>
  <c r="U22" i="48"/>
  <c r="C22" i="48" s="1"/>
  <c r="U38" i="52"/>
  <c r="C38" i="52" s="1"/>
  <c r="U27" i="53"/>
  <c r="C27" i="53" s="1"/>
  <c r="U14" i="56"/>
  <c r="C14" i="56" s="1"/>
  <c r="U31" i="49"/>
  <c r="C31" i="49" s="1"/>
  <c r="U13" i="56"/>
  <c r="C13" i="56" s="1"/>
  <c r="U17" i="52"/>
  <c r="C17" i="52" s="1"/>
  <c r="U28" i="50"/>
  <c r="C28" i="50" s="1"/>
  <c r="U7" i="54"/>
  <c r="C7" i="54" s="1"/>
  <c r="U14" i="48"/>
  <c r="C14" i="48" s="1"/>
  <c r="U28" i="52"/>
  <c r="C28" i="52" s="1"/>
  <c r="U21" i="53"/>
  <c r="C21" i="53" s="1"/>
  <c r="U26" i="52"/>
  <c r="C26" i="52" s="1"/>
  <c r="U6" i="52"/>
  <c r="G40" i="52"/>
  <c r="U32" i="52"/>
  <c r="C32" i="52" s="1"/>
  <c r="AS40" i="48"/>
  <c r="U17" i="56"/>
  <c r="C17" i="56" s="1"/>
  <c r="U9" i="49"/>
  <c r="C9" i="49" s="1"/>
  <c r="U38" i="54"/>
  <c r="C38" i="54" s="1"/>
  <c r="U8" i="54"/>
  <c r="C8" i="54" s="1"/>
  <c r="U18" i="56"/>
  <c r="C18" i="56" s="1"/>
  <c r="U36" i="48"/>
  <c r="C36" i="48" s="1"/>
  <c r="U33" i="55"/>
  <c r="C33" i="55" s="1"/>
  <c r="AQ40" i="55"/>
  <c r="U27" i="52"/>
  <c r="C27" i="52" s="1"/>
  <c r="U22" i="50"/>
  <c r="C22" i="50" s="1"/>
  <c r="U30" i="55"/>
  <c r="C30" i="55" s="1"/>
  <c r="U16" i="48"/>
  <c r="C16" i="48" s="1"/>
  <c r="U29" i="50"/>
  <c r="C29" i="50" s="1"/>
  <c r="H8" i="47"/>
  <c r="O8" i="47"/>
  <c r="M8" i="47"/>
  <c r="K8" i="47"/>
  <c r="U10" i="50"/>
  <c r="C10" i="50" s="1"/>
  <c r="U17" i="49"/>
  <c r="C17" i="49" s="1"/>
  <c r="U29" i="49"/>
  <c r="C29" i="49" s="1"/>
  <c r="U30" i="48"/>
  <c r="C30" i="48" s="1"/>
  <c r="U14" i="49"/>
  <c r="C14" i="49" s="1"/>
  <c r="U8" i="55"/>
  <c r="C8" i="55" s="1"/>
  <c r="U25" i="53"/>
  <c r="C25" i="53" s="1"/>
  <c r="U24" i="52"/>
  <c r="C24" i="52" s="1"/>
  <c r="U16" i="49"/>
  <c r="C16" i="49" s="1"/>
  <c r="U23" i="53"/>
  <c r="C23" i="53" s="1"/>
  <c r="U25" i="55"/>
  <c r="C25" i="55" s="1"/>
  <c r="U21" i="46"/>
  <c r="C21" i="46" s="1"/>
  <c r="U24" i="54"/>
  <c r="C24" i="54" s="1"/>
  <c r="U27" i="54"/>
  <c r="C27" i="54" s="1"/>
  <c r="AR40" i="48"/>
  <c r="U28" i="53"/>
  <c r="C28" i="53" s="1"/>
  <c r="AS40" i="49"/>
  <c r="U35" i="50"/>
  <c r="C35" i="50" s="1"/>
  <c r="U14" i="53"/>
  <c r="C14" i="53" s="1"/>
  <c r="U27" i="49"/>
  <c r="C27" i="49" s="1"/>
  <c r="U36" i="53"/>
  <c r="C36" i="53" s="1"/>
  <c r="AQ40" i="49"/>
  <c r="U19" i="49"/>
  <c r="C19" i="49" s="1"/>
  <c r="U12" i="48"/>
  <c r="C12" i="48" s="1"/>
  <c r="U34" i="50"/>
  <c r="C34" i="50" s="1"/>
  <c r="U28" i="48"/>
  <c r="C28" i="48" s="1"/>
  <c r="U28" i="49"/>
  <c r="C28" i="49" s="1"/>
  <c r="U34" i="55"/>
  <c r="C34" i="55" s="1"/>
  <c r="U17" i="53"/>
  <c r="C17" i="53" s="1"/>
  <c r="U15" i="54"/>
  <c r="C15" i="54" s="1"/>
  <c r="U16" i="50"/>
  <c r="C16" i="50" s="1"/>
  <c r="U6" i="48"/>
  <c r="G40" i="48"/>
  <c r="U27" i="55"/>
  <c r="C27" i="55" s="1"/>
  <c r="AQ40" i="50"/>
  <c r="U13" i="48"/>
  <c r="C13" i="48" s="1"/>
  <c r="U27" i="56"/>
  <c r="C27" i="56" s="1"/>
  <c r="U20" i="55"/>
  <c r="C20" i="55" s="1"/>
  <c r="U34" i="48"/>
  <c r="C34" i="48" s="1"/>
  <c r="U30" i="49"/>
  <c r="C30" i="49" s="1"/>
  <c r="U28" i="56"/>
  <c r="C28" i="56" s="1"/>
  <c r="U29" i="52"/>
  <c r="C29" i="52" s="1"/>
  <c r="U15" i="49"/>
  <c r="C15" i="49" s="1"/>
  <c r="U19" i="54"/>
  <c r="C19" i="54" s="1"/>
  <c r="U10" i="52"/>
  <c r="C10" i="52" s="1"/>
  <c r="U23" i="50"/>
  <c r="C23" i="50" s="1"/>
  <c r="D34" i="47"/>
  <c r="D25" i="47"/>
  <c r="D29" i="47"/>
  <c r="D12" i="47"/>
  <c r="D20" i="47"/>
  <c r="D10" i="47"/>
  <c r="D18" i="47"/>
  <c r="D24" i="47"/>
  <c r="U40" i="49" l="1"/>
  <c r="C6" i="49"/>
  <c r="C40" i="49" s="1"/>
  <c r="O18" i="47"/>
  <c r="H18" i="47"/>
  <c r="M18" i="47"/>
  <c r="K18" i="47"/>
  <c r="G8" i="47"/>
  <c r="AQ8" i="47"/>
  <c r="AR8" i="47"/>
  <c r="AS8" i="47"/>
  <c r="U40" i="55"/>
  <c r="C6" i="55"/>
  <c r="C40" i="55" s="1"/>
  <c r="K24" i="47"/>
  <c r="O24" i="47"/>
  <c r="M24" i="47"/>
  <c r="H24" i="47"/>
  <c r="O10" i="47"/>
  <c r="H10" i="47"/>
  <c r="K10" i="47"/>
  <c r="M10" i="47"/>
  <c r="U40" i="52"/>
  <c r="C6" i="52"/>
  <c r="C40" i="52" s="1"/>
  <c r="U40" i="54"/>
  <c r="C6" i="54"/>
  <c r="C40" i="54" s="1"/>
  <c r="K20" i="47"/>
  <c r="O20" i="47"/>
  <c r="M20" i="47"/>
  <c r="H20" i="47"/>
  <c r="U40" i="53"/>
  <c r="C6" i="53"/>
  <c r="C40" i="53" s="1"/>
  <c r="H12" i="47"/>
  <c r="M12" i="47"/>
  <c r="O12" i="47"/>
  <c r="K12" i="47"/>
  <c r="H29" i="47"/>
  <c r="K29" i="47"/>
  <c r="O29" i="47"/>
  <c r="M29" i="47"/>
  <c r="C6" i="56"/>
  <c r="U40" i="48"/>
  <c r="C6" i="48"/>
  <c r="C40" i="48" s="1"/>
  <c r="U40" i="50"/>
  <c r="C6" i="50"/>
  <c r="C40" i="50" s="1"/>
  <c r="K25" i="47"/>
  <c r="O25" i="47"/>
  <c r="M25" i="47"/>
  <c r="H25" i="47"/>
  <c r="K34" i="47"/>
  <c r="O34" i="47"/>
  <c r="M34" i="47"/>
  <c r="H34" i="47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G25" i="47" l="1"/>
  <c r="AQ25" i="47"/>
  <c r="AS25" i="47"/>
  <c r="AR25" i="47"/>
  <c r="H32" i="47"/>
  <c r="M32" i="47"/>
  <c r="K32" i="47"/>
  <c r="O32" i="47"/>
  <c r="H19" i="47"/>
  <c r="K19" i="47"/>
  <c r="M19" i="47"/>
  <c r="O19" i="47"/>
  <c r="O7" i="47"/>
  <c r="H7" i="47"/>
  <c r="K7" i="47"/>
  <c r="M7" i="47"/>
  <c r="H30" i="47"/>
  <c r="K30" i="47"/>
  <c r="O30" i="47"/>
  <c r="M30" i="47"/>
  <c r="K17" i="47"/>
  <c r="H17" i="47"/>
  <c r="M17" i="47"/>
  <c r="O17" i="47"/>
  <c r="K31" i="47"/>
  <c r="H31" i="47"/>
  <c r="M31" i="47"/>
  <c r="O31" i="47"/>
  <c r="G10" i="47"/>
  <c r="AR10" i="47"/>
  <c r="AS10" i="47"/>
  <c r="AQ10" i="47"/>
  <c r="H9" i="47"/>
  <c r="O9" i="47"/>
  <c r="K9" i="47"/>
  <c r="M9" i="47"/>
  <c r="O16" i="47"/>
  <c r="K16" i="47"/>
  <c r="H16" i="47"/>
  <c r="M16" i="47"/>
  <c r="K33" i="47"/>
  <c r="M33" i="47"/>
  <c r="H33" i="47"/>
  <c r="O33" i="47"/>
  <c r="AR29" i="47"/>
  <c r="G29" i="47"/>
  <c r="AS29" i="47"/>
  <c r="AQ29" i="47"/>
  <c r="G18" i="47"/>
  <c r="AS18" i="47"/>
  <c r="AR18" i="47"/>
  <c r="AQ18" i="47"/>
  <c r="M28" i="47"/>
  <c r="O28" i="47"/>
  <c r="H28" i="47"/>
  <c r="K28" i="47"/>
  <c r="K27" i="47"/>
  <c r="O27" i="47"/>
  <c r="M27" i="47"/>
  <c r="H27" i="47"/>
  <c r="H15" i="47"/>
  <c r="O15" i="47"/>
  <c r="M15" i="47"/>
  <c r="K15" i="47"/>
  <c r="AS34" i="47"/>
  <c r="AR34" i="47"/>
  <c r="G34" i="47"/>
  <c r="AQ34" i="47"/>
  <c r="K35" i="47"/>
  <c r="M35" i="47"/>
  <c r="H35" i="47"/>
  <c r="O35" i="47"/>
  <c r="O38" i="47"/>
  <c r="M38" i="47"/>
  <c r="K38" i="47"/>
  <c r="H38" i="47"/>
  <c r="M26" i="47"/>
  <c r="H26" i="47"/>
  <c r="O26" i="47"/>
  <c r="K26" i="47"/>
  <c r="M14" i="47"/>
  <c r="O14" i="47"/>
  <c r="H14" i="47"/>
  <c r="K14" i="47"/>
  <c r="U8" i="47"/>
  <c r="C8" i="47" s="1"/>
  <c r="K21" i="47"/>
  <c r="O21" i="47"/>
  <c r="H21" i="47"/>
  <c r="M21" i="47"/>
  <c r="M37" i="47"/>
  <c r="K37" i="47"/>
  <c r="H37" i="47"/>
  <c r="O37" i="47"/>
  <c r="K23" i="47"/>
  <c r="M23" i="47"/>
  <c r="H23" i="47"/>
  <c r="O23" i="47"/>
  <c r="M13" i="47"/>
  <c r="O13" i="47"/>
  <c r="K13" i="47"/>
  <c r="H13" i="47"/>
  <c r="AR24" i="47"/>
  <c r="AQ24" i="47"/>
  <c r="G24" i="47"/>
  <c r="AS24" i="47"/>
  <c r="H36" i="47"/>
  <c r="O36" i="47"/>
  <c r="M36" i="47"/>
  <c r="K36" i="47"/>
  <c r="K22" i="47"/>
  <c r="M22" i="47"/>
  <c r="O22" i="47"/>
  <c r="H22" i="47"/>
  <c r="M11" i="47"/>
  <c r="K11" i="47"/>
  <c r="H11" i="47"/>
  <c r="O11" i="47"/>
  <c r="AQ12" i="47"/>
  <c r="AR12" i="47"/>
  <c r="G12" i="47"/>
  <c r="AS12" i="47"/>
  <c r="AR20" i="47"/>
  <c r="AS20" i="47"/>
  <c r="G20" i="47"/>
  <c r="AQ20" i="47"/>
  <c r="D6" i="47"/>
  <c r="U12" i="47" l="1"/>
  <c r="C12" i="47" s="1"/>
  <c r="AQ38" i="47"/>
  <c r="AR38" i="47"/>
  <c r="AS38" i="47"/>
  <c r="G38" i="47"/>
  <c r="G13" i="47"/>
  <c r="AS13" i="47"/>
  <c r="AR13" i="47"/>
  <c r="AQ13" i="47"/>
  <c r="AR30" i="47"/>
  <c r="AS30" i="47"/>
  <c r="AQ30" i="47"/>
  <c r="G30" i="47"/>
  <c r="AS31" i="47"/>
  <c r="AQ31" i="47"/>
  <c r="G31" i="47"/>
  <c r="AR31" i="47"/>
  <c r="AS32" i="47"/>
  <c r="G32" i="47"/>
  <c r="AQ32" i="47"/>
  <c r="AR32" i="47"/>
  <c r="G14" i="47"/>
  <c r="AS14" i="47"/>
  <c r="AR14" i="47"/>
  <c r="AQ14" i="47"/>
  <c r="U24" i="47"/>
  <c r="C24" i="47" s="1"/>
  <c r="AS37" i="47"/>
  <c r="AQ37" i="47"/>
  <c r="G37" i="47"/>
  <c r="AR37" i="47"/>
  <c r="AQ28" i="47"/>
  <c r="AS28" i="47"/>
  <c r="G28" i="47"/>
  <c r="AR28" i="47"/>
  <c r="G33" i="47"/>
  <c r="AS33" i="47"/>
  <c r="AQ33" i="47"/>
  <c r="AR33" i="47"/>
  <c r="AQ22" i="47"/>
  <c r="AR22" i="47"/>
  <c r="G22" i="47"/>
  <c r="AS22" i="47"/>
  <c r="U29" i="47"/>
  <c r="C29" i="47" s="1"/>
  <c r="AQ11" i="47"/>
  <c r="AR11" i="47"/>
  <c r="G11" i="47"/>
  <c r="AS11" i="47"/>
  <c r="AS15" i="47"/>
  <c r="AR15" i="47"/>
  <c r="G15" i="47"/>
  <c r="AQ15" i="47"/>
  <c r="U18" i="47"/>
  <c r="C18" i="47" s="1"/>
  <c r="G17" i="47"/>
  <c r="AS17" i="47"/>
  <c r="AQ17" i="47"/>
  <c r="AR17" i="47"/>
  <c r="AR19" i="47"/>
  <c r="G19" i="47"/>
  <c r="AS19" i="47"/>
  <c r="AQ19" i="47"/>
  <c r="U34" i="47"/>
  <c r="C34" i="47" s="1"/>
  <c r="AQ27" i="47"/>
  <c r="G27" i="47"/>
  <c r="AR27" i="47"/>
  <c r="AS27" i="47"/>
  <c r="H6" i="47"/>
  <c r="D40" i="47"/>
  <c r="O6" i="47"/>
  <c r="O40" i="47" s="1"/>
  <c r="K6" i="47"/>
  <c r="K40" i="47" s="1"/>
  <c r="M6" i="47"/>
  <c r="M40" i="47" s="1"/>
  <c r="AQ35" i="47"/>
  <c r="AR35" i="47"/>
  <c r="G35" i="47"/>
  <c r="AS35" i="47"/>
  <c r="U20" i="47"/>
  <c r="C20" i="47" s="1"/>
  <c r="AR36" i="47"/>
  <c r="G36" i="47"/>
  <c r="AS36" i="47"/>
  <c r="AQ36" i="47"/>
  <c r="AQ23" i="47"/>
  <c r="AS23" i="47"/>
  <c r="AR23" i="47"/>
  <c r="G23" i="47"/>
  <c r="G21" i="47"/>
  <c r="AR21" i="47"/>
  <c r="AQ21" i="47"/>
  <c r="AS21" i="47"/>
  <c r="AQ26" i="47"/>
  <c r="AR26" i="47"/>
  <c r="G26" i="47"/>
  <c r="AS26" i="47"/>
  <c r="G16" i="47"/>
  <c r="AR16" i="47"/>
  <c r="AQ16" i="47"/>
  <c r="AS16" i="47"/>
  <c r="U10" i="47"/>
  <c r="C10" i="47" s="1"/>
  <c r="U25" i="47"/>
  <c r="C25" i="47" s="1"/>
  <c r="AQ9" i="47"/>
  <c r="AR9" i="47"/>
  <c r="AS9" i="47"/>
  <c r="G9" i="47"/>
  <c r="AQ7" i="47"/>
  <c r="AS7" i="47"/>
  <c r="AR7" i="47"/>
  <c r="G7" i="47"/>
  <c r="H40" i="47" l="1"/>
  <c r="D47" i="47" s="1"/>
  <c r="G6" i="47"/>
  <c r="AQ6" i="47"/>
  <c r="AR6" i="47"/>
  <c r="U15" i="47"/>
  <c r="C15" i="47" s="1"/>
  <c r="U38" i="47"/>
  <c r="C38" i="47" s="1"/>
  <c r="U31" i="47"/>
  <c r="C31" i="47" s="1"/>
  <c r="U9" i="47"/>
  <c r="C9" i="47" s="1"/>
  <c r="U17" i="47"/>
  <c r="C17" i="47" s="1"/>
  <c r="U16" i="47"/>
  <c r="C16" i="47" s="1"/>
  <c r="U7" i="47"/>
  <c r="C7" i="47" s="1"/>
  <c r="U22" i="47"/>
  <c r="C22" i="47" s="1"/>
  <c r="U33" i="47"/>
  <c r="C33" i="47" s="1"/>
  <c r="U32" i="47"/>
  <c r="C32" i="47" s="1"/>
  <c r="U19" i="47"/>
  <c r="C19" i="47" s="1"/>
  <c r="AS40" i="47"/>
  <c r="U21" i="47"/>
  <c r="C21" i="47" s="1"/>
  <c r="U27" i="47"/>
  <c r="C27" i="47" s="1"/>
  <c r="U37" i="47"/>
  <c r="C37" i="47" s="1"/>
  <c r="U30" i="47"/>
  <c r="C30" i="47" s="1"/>
  <c r="U26" i="47"/>
  <c r="C26" i="47" s="1"/>
  <c r="U13" i="47"/>
  <c r="C13" i="47" s="1"/>
  <c r="U23" i="47"/>
  <c r="C23" i="47" s="1"/>
  <c r="U36" i="47"/>
  <c r="C36" i="47" s="1"/>
  <c r="U35" i="47"/>
  <c r="C35" i="47" s="1"/>
  <c r="U11" i="47"/>
  <c r="C11" i="47" s="1"/>
  <c r="U28" i="47"/>
  <c r="C28" i="47" s="1"/>
  <c r="U14" i="47"/>
  <c r="C14" i="47" s="1"/>
  <c r="D11" i="46"/>
  <c r="D20" i="46"/>
  <c r="AR40" i="47" l="1"/>
  <c r="AQ40" i="47"/>
  <c r="O20" i="46"/>
  <c r="H20" i="46"/>
  <c r="M20" i="46"/>
  <c r="K20" i="46"/>
  <c r="K11" i="46"/>
  <c r="M11" i="46"/>
  <c r="H11" i="46"/>
  <c r="O11" i="46"/>
  <c r="G40" i="47"/>
  <c r="U6" i="47"/>
  <c r="D25" i="46"/>
  <c r="D8" i="46"/>
  <c r="D24" i="46"/>
  <c r="K25" i="46" l="1"/>
  <c r="M25" i="46"/>
  <c r="O25" i="46"/>
  <c r="H25" i="46"/>
  <c r="G20" i="46"/>
  <c r="AS20" i="46"/>
  <c r="AQ20" i="46"/>
  <c r="AR20" i="46"/>
  <c r="H8" i="46"/>
  <c r="K8" i="46"/>
  <c r="O8" i="46"/>
  <c r="M8" i="46"/>
  <c r="H24" i="46"/>
  <c r="O24" i="46"/>
  <c r="K24" i="46"/>
  <c r="M24" i="46"/>
  <c r="U40" i="47"/>
  <c r="C6" i="47"/>
  <c r="C40" i="47" s="1"/>
  <c r="AQ11" i="46"/>
  <c r="G11" i="46"/>
  <c r="AR11" i="46"/>
  <c r="AS11" i="46"/>
  <c r="D18" i="46"/>
  <c r="D31" i="46"/>
  <c r="D33" i="46"/>
  <c r="D33" i="45"/>
  <c r="D17" i="46"/>
  <c r="D29" i="45"/>
  <c r="U11" i="46" l="1"/>
  <c r="C11" i="46" s="1"/>
  <c r="M17" i="46"/>
  <c r="K17" i="46"/>
  <c r="H17" i="46"/>
  <c r="O17" i="46"/>
  <c r="D33" i="57"/>
  <c r="K33" i="45"/>
  <c r="M33" i="45"/>
  <c r="O33" i="45"/>
  <c r="H33" i="45"/>
  <c r="M33" i="46"/>
  <c r="O33" i="46"/>
  <c r="K33" i="46"/>
  <c r="H33" i="46"/>
  <c r="AS24" i="46"/>
  <c r="AQ24" i="46"/>
  <c r="AR24" i="46"/>
  <c r="G24" i="46"/>
  <c r="K31" i="46"/>
  <c r="O31" i="46"/>
  <c r="M31" i="46"/>
  <c r="H31" i="46"/>
  <c r="U20" i="46"/>
  <c r="C20" i="46" s="1"/>
  <c r="O18" i="46"/>
  <c r="M18" i="46"/>
  <c r="K18" i="46"/>
  <c r="H18" i="46"/>
  <c r="AS8" i="46"/>
  <c r="G8" i="46"/>
  <c r="AQ8" i="46"/>
  <c r="AR8" i="46"/>
  <c r="AR25" i="46"/>
  <c r="AS25" i="46"/>
  <c r="G25" i="46"/>
  <c r="AQ25" i="46"/>
  <c r="H29" i="45"/>
  <c r="K29" i="45"/>
  <c r="M29" i="45"/>
  <c r="O29" i="45"/>
  <c r="D38" i="46"/>
  <c r="D37" i="46"/>
  <c r="D36" i="46"/>
  <c r="D35" i="46"/>
  <c r="D34" i="46"/>
  <c r="D32" i="46"/>
  <c r="D30" i="46"/>
  <c r="D29" i="46"/>
  <c r="D29" i="57" s="1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K29" i="57" l="1"/>
  <c r="AS29" i="57" s="1"/>
  <c r="O29" i="57"/>
  <c r="M29" i="57"/>
  <c r="M22" i="46"/>
  <c r="H22" i="46"/>
  <c r="K22" i="46"/>
  <c r="O22" i="46"/>
  <c r="U24" i="46"/>
  <c r="C24" i="46" s="1"/>
  <c r="O16" i="46"/>
  <c r="M16" i="46"/>
  <c r="H16" i="46"/>
  <c r="K16" i="46"/>
  <c r="O32" i="46"/>
  <c r="H32" i="46"/>
  <c r="K32" i="46"/>
  <c r="M32" i="46"/>
  <c r="U8" i="46"/>
  <c r="C8" i="46" s="1"/>
  <c r="AS33" i="46"/>
  <c r="G33" i="46"/>
  <c r="AQ33" i="46"/>
  <c r="AR33" i="46"/>
  <c r="M33" i="57"/>
  <c r="O33" i="57"/>
  <c r="K33" i="57"/>
  <c r="AS33" i="57" s="1"/>
  <c r="O36" i="46"/>
  <c r="K36" i="46"/>
  <c r="H36" i="46"/>
  <c r="M36" i="46"/>
  <c r="K23" i="46"/>
  <c r="H23" i="46"/>
  <c r="O23" i="46"/>
  <c r="M23" i="46"/>
  <c r="O37" i="46"/>
  <c r="H37" i="46"/>
  <c r="K37" i="46"/>
  <c r="M37" i="46"/>
  <c r="O27" i="46"/>
  <c r="M27" i="46"/>
  <c r="H27" i="46"/>
  <c r="K27" i="46"/>
  <c r="M12" i="46"/>
  <c r="K12" i="46"/>
  <c r="H12" i="46"/>
  <c r="O12" i="46"/>
  <c r="K28" i="46"/>
  <c r="H28" i="46"/>
  <c r="M28" i="46"/>
  <c r="O28" i="46"/>
  <c r="U25" i="46"/>
  <c r="C25" i="46" s="1"/>
  <c r="H13" i="46"/>
  <c r="M13" i="46"/>
  <c r="K13" i="46"/>
  <c r="O13" i="46"/>
  <c r="AS31" i="46"/>
  <c r="AR31" i="46"/>
  <c r="G31" i="46"/>
  <c r="AQ31" i="46"/>
  <c r="AR17" i="46"/>
  <c r="AS17" i="46"/>
  <c r="AQ17" i="46"/>
  <c r="G17" i="46"/>
  <c r="K29" i="46"/>
  <c r="O29" i="46"/>
  <c r="H29" i="46"/>
  <c r="M29" i="46"/>
  <c r="H34" i="46"/>
  <c r="O34" i="46"/>
  <c r="K34" i="46"/>
  <c r="M34" i="46"/>
  <c r="M38" i="46"/>
  <c r="K38" i="46"/>
  <c r="H38" i="46"/>
  <c r="O38" i="46"/>
  <c r="D40" i="46"/>
  <c r="O6" i="46"/>
  <c r="M6" i="46"/>
  <c r="H6" i="46"/>
  <c r="K6" i="46"/>
  <c r="O9" i="46"/>
  <c r="H9" i="46"/>
  <c r="M9" i="46"/>
  <c r="K9" i="46"/>
  <c r="M14" i="46"/>
  <c r="K14" i="46"/>
  <c r="O14" i="46"/>
  <c r="H14" i="46"/>
  <c r="H19" i="46"/>
  <c r="O19" i="46"/>
  <c r="M19" i="46"/>
  <c r="K19" i="46"/>
  <c r="G18" i="46"/>
  <c r="AQ18" i="46"/>
  <c r="AS18" i="46"/>
  <c r="AR18" i="46"/>
  <c r="G33" i="45"/>
  <c r="AS33" i="45"/>
  <c r="AQ33" i="45"/>
  <c r="AR33" i="45"/>
  <c r="O26" i="46"/>
  <c r="M26" i="46"/>
  <c r="K26" i="46"/>
  <c r="H26" i="46"/>
  <c r="O35" i="46"/>
  <c r="H35" i="46"/>
  <c r="K35" i="46"/>
  <c r="M35" i="46"/>
  <c r="G29" i="45"/>
  <c r="AS29" i="45"/>
  <c r="AQ29" i="45"/>
  <c r="AR29" i="45"/>
  <c r="O10" i="46"/>
  <c r="K10" i="46"/>
  <c r="H10" i="46"/>
  <c r="M10" i="46"/>
  <c r="M30" i="46"/>
  <c r="K30" i="46"/>
  <c r="O30" i="46"/>
  <c r="H30" i="46"/>
  <c r="O15" i="46"/>
  <c r="M15" i="46"/>
  <c r="H15" i="46"/>
  <c r="K15" i="46"/>
  <c r="D19" i="45"/>
  <c r="AQ29" i="46" l="1"/>
  <c r="AS29" i="46"/>
  <c r="G29" i="46"/>
  <c r="AR29" i="46"/>
  <c r="AQ14" i="46"/>
  <c r="AS14" i="46"/>
  <c r="AR14" i="46"/>
  <c r="G14" i="46"/>
  <c r="U33" i="46"/>
  <c r="C33" i="46" s="1"/>
  <c r="K40" i="46"/>
  <c r="U31" i="46"/>
  <c r="C31" i="46" s="1"/>
  <c r="AQ16" i="46"/>
  <c r="AS16" i="46"/>
  <c r="G16" i="46"/>
  <c r="AR16" i="46"/>
  <c r="AS19" i="46"/>
  <c r="AR19" i="46"/>
  <c r="AQ19" i="46"/>
  <c r="G19" i="46"/>
  <c r="G38" i="46"/>
  <c r="AQ38" i="46"/>
  <c r="AR38" i="46"/>
  <c r="AS38" i="46"/>
  <c r="AR35" i="46"/>
  <c r="AS35" i="46"/>
  <c r="AQ35" i="46"/>
  <c r="G35" i="46"/>
  <c r="AQ30" i="46"/>
  <c r="G30" i="46"/>
  <c r="AS30" i="46"/>
  <c r="AR30" i="46"/>
  <c r="H19" i="45"/>
  <c r="O19" i="45"/>
  <c r="K19" i="45"/>
  <c r="M19" i="45"/>
  <c r="AS26" i="46"/>
  <c r="AQ26" i="46"/>
  <c r="AR26" i="46"/>
  <c r="G26" i="46"/>
  <c r="U18" i="46"/>
  <c r="C18" i="46" s="1"/>
  <c r="H40" i="46"/>
  <c r="D47" i="46" s="1"/>
  <c r="G6" i="46"/>
  <c r="AQ6" i="46"/>
  <c r="AR6" i="46"/>
  <c r="U17" i="46"/>
  <c r="C17" i="46" s="1"/>
  <c r="AS27" i="46"/>
  <c r="AQ27" i="46"/>
  <c r="AR27" i="46"/>
  <c r="G27" i="46"/>
  <c r="AS22" i="46"/>
  <c r="AR22" i="46"/>
  <c r="G22" i="46"/>
  <c r="AQ22" i="46"/>
  <c r="AR37" i="46"/>
  <c r="AQ37" i="46"/>
  <c r="AS37" i="46"/>
  <c r="G37" i="46"/>
  <c r="U33" i="45"/>
  <c r="C33" i="45" s="1"/>
  <c r="G33" i="57"/>
  <c r="U33" i="57" s="1"/>
  <c r="M40" i="46"/>
  <c r="G28" i="46"/>
  <c r="AS28" i="46"/>
  <c r="AR28" i="46"/>
  <c r="AQ28" i="46"/>
  <c r="AQ23" i="46"/>
  <c r="AS23" i="46"/>
  <c r="AR23" i="46"/>
  <c r="G23" i="46"/>
  <c r="U29" i="45"/>
  <c r="C29" i="45" s="1"/>
  <c r="O40" i="46"/>
  <c r="G34" i="46"/>
  <c r="AS34" i="46"/>
  <c r="AR34" i="46"/>
  <c r="AQ34" i="46"/>
  <c r="AR13" i="46"/>
  <c r="G13" i="46"/>
  <c r="AQ13" i="46"/>
  <c r="AS13" i="46"/>
  <c r="AS15" i="46"/>
  <c r="AR15" i="46"/>
  <c r="AQ15" i="46"/>
  <c r="G15" i="46"/>
  <c r="AQ10" i="46"/>
  <c r="G10" i="46"/>
  <c r="AS10" i="46"/>
  <c r="AR10" i="46"/>
  <c r="G9" i="46"/>
  <c r="AR9" i="46"/>
  <c r="AS9" i="46"/>
  <c r="AQ9" i="46"/>
  <c r="AQ12" i="46"/>
  <c r="G12" i="46"/>
  <c r="AS12" i="46"/>
  <c r="AR12" i="46"/>
  <c r="AQ36" i="46"/>
  <c r="AR36" i="46"/>
  <c r="G36" i="46"/>
  <c r="AS36" i="46"/>
  <c r="G32" i="46"/>
  <c r="AS32" i="46"/>
  <c r="AQ32" i="46"/>
  <c r="AR32" i="46"/>
  <c r="D34" i="45"/>
  <c r="D31" i="45"/>
  <c r="D37" i="45"/>
  <c r="G29" i="57" l="1"/>
  <c r="U29" i="57" s="1"/>
  <c r="O34" i="45"/>
  <c r="K34" i="45"/>
  <c r="M34" i="45"/>
  <c r="H34" i="45"/>
  <c r="U32" i="46"/>
  <c r="C32" i="46" s="1"/>
  <c r="U23" i="46"/>
  <c r="C23" i="46" s="1"/>
  <c r="U37" i="46"/>
  <c r="C37" i="46" s="1"/>
  <c r="U19" i="46"/>
  <c r="C19" i="46" s="1"/>
  <c r="U13" i="46"/>
  <c r="C13" i="46" s="1"/>
  <c r="U34" i="46"/>
  <c r="C34" i="46" s="1"/>
  <c r="U6" i="46"/>
  <c r="G40" i="46"/>
  <c r="O37" i="45"/>
  <c r="H37" i="45"/>
  <c r="M37" i="45"/>
  <c r="K37" i="45"/>
  <c r="U36" i="46"/>
  <c r="C36" i="46" s="1"/>
  <c r="U22" i="46"/>
  <c r="C22" i="46" s="1"/>
  <c r="U30" i="46"/>
  <c r="C30" i="46" s="1"/>
  <c r="U14" i="46"/>
  <c r="C14" i="46" s="1"/>
  <c r="U29" i="46"/>
  <c r="C29" i="46" s="1"/>
  <c r="D31" i="57"/>
  <c r="K31" i="45"/>
  <c r="H31" i="45"/>
  <c r="O31" i="45"/>
  <c r="M31" i="45"/>
  <c r="U9" i="46"/>
  <c r="C9" i="46" s="1"/>
  <c r="U15" i="46"/>
  <c r="C15" i="46" s="1"/>
  <c r="U28" i="46"/>
  <c r="C28" i="46" s="1"/>
  <c r="AR40" i="46"/>
  <c r="U26" i="46"/>
  <c r="C26" i="46" s="1"/>
  <c r="U35" i="46"/>
  <c r="C35" i="46" s="1"/>
  <c r="AS40" i="46"/>
  <c r="U27" i="46"/>
  <c r="C27" i="46" s="1"/>
  <c r="AQ40" i="46"/>
  <c r="AR19" i="45"/>
  <c r="G19" i="45"/>
  <c r="AQ19" i="45"/>
  <c r="AS19" i="45"/>
  <c r="U38" i="46"/>
  <c r="C38" i="46" s="1"/>
  <c r="U16" i="46"/>
  <c r="C16" i="46" s="1"/>
  <c r="U12" i="46"/>
  <c r="C12" i="46" s="1"/>
  <c r="U10" i="46"/>
  <c r="C10" i="46" s="1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O24" i="45" l="1"/>
  <c r="K24" i="45"/>
  <c r="H24" i="45"/>
  <c r="M24" i="45"/>
  <c r="O25" i="45"/>
  <c r="H25" i="45"/>
  <c r="D25" i="57"/>
  <c r="M25" i="45"/>
  <c r="K25" i="45"/>
  <c r="M38" i="45"/>
  <c r="K38" i="45"/>
  <c r="H38" i="45"/>
  <c r="D38" i="57"/>
  <c r="O38" i="45"/>
  <c r="K31" i="57"/>
  <c r="AS31" i="57" s="1"/>
  <c r="M31" i="57"/>
  <c r="O31" i="57"/>
  <c r="K15" i="45"/>
  <c r="O15" i="45"/>
  <c r="M15" i="45"/>
  <c r="H15" i="45"/>
  <c r="O8" i="45"/>
  <c r="M8" i="45"/>
  <c r="H8" i="45"/>
  <c r="K8" i="45"/>
  <c r="K17" i="45"/>
  <c r="D17" i="57"/>
  <c r="O17" i="45"/>
  <c r="H17" i="45"/>
  <c r="M17" i="45"/>
  <c r="H26" i="45"/>
  <c r="M26" i="45"/>
  <c r="O26" i="45"/>
  <c r="K26" i="45"/>
  <c r="AR37" i="45"/>
  <c r="AQ37" i="45"/>
  <c r="AS37" i="45"/>
  <c r="G37" i="45"/>
  <c r="U40" i="46"/>
  <c r="C6" i="46"/>
  <c r="C40" i="46" s="1"/>
  <c r="D14" i="57"/>
  <c r="O14" i="45"/>
  <c r="H14" i="45"/>
  <c r="K14" i="45"/>
  <c r="M14" i="45"/>
  <c r="M16" i="45"/>
  <c r="H16" i="45"/>
  <c r="K16" i="45"/>
  <c r="O16" i="45"/>
  <c r="M9" i="45"/>
  <c r="O9" i="45"/>
  <c r="K9" i="45"/>
  <c r="H9" i="45"/>
  <c r="H10" i="45"/>
  <c r="K10" i="45"/>
  <c r="M10" i="45"/>
  <c r="O10" i="45"/>
  <c r="K18" i="45"/>
  <c r="O18" i="45"/>
  <c r="H18" i="45"/>
  <c r="M18" i="45"/>
  <c r="H27" i="45"/>
  <c r="K27" i="45"/>
  <c r="M27" i="45"/>
  <c r="D27" i="57"/>
  <c r="O27" i="45"/>
  <c r="H20" i="45"/>
  <c r="O20" i="45"/>
  <c r="K20" i="45"/>
  <c r="M20" i="45"/>
  <c r="AQ34" i="45"/>
  <c r="AS34" i="45"/>
  <c r="G34" i="45"/>
  <c r="AR34" i="45"/>
  <c r="M28" i="45"/>
  <c r="H28" i="45"/>
  <c r="O28" i="45"/>
  <c r="D28" i="57"/>
  <c r="K28" i="45"/>
  <c r="M12" i="45"/>
  <c r="O12" i="45"/>
  <c r="H12" i="45"/>
  <c r="K12" i="45"/>
  <c r="K21" i="45"/>
  <c r="O21" i="45"/>
  <c r="H21" i="45"/>
  <c r="M21" i="45"/>
  <c r="O30" i="45"/>
  <c r="H30" i="45"/>
  <c r="M30" i="45"/>
  <c r="K30" i="45"/>
  <c r="O11" i="45"/>
  <c r="K11" i="45"/>
  <c r="M11" i="45"/>
  <c r="H11" i="45"/>
  <c r="H22" i="45"/>
  <c r="K22" i="45"/>
  <c r="O22" i="45"/>
  <c r="M22" i="45"/>
  <c r="D22" i="57"/>
  <c r="H32" i="45"/>
  <c r="O32" i="45"/>
  <c r="M32" i="45"/>
  <c r="D32" i="57"/>
  <c r="K32" i="45"/>
  <c r="O23" i="45"/>
  <c r="K23" i="45"/>
  <c r="M23" i="45"/>
  <c r="H23" i="45"/>
  <c r="K35" i="45"/>
  <c r="O35" i="45"/>
  <c r="H35" i="45"/>
  <c r="M35" i="45"/>
  <c r="D35" i="57"/>
  <c r="U19" i="45"/>
  <c r="C19" i="45" s="1"/>
  <c r="AQ31" i="45"/>
  <c r="AS31" i="45"/>
  <c r="G31" i="45"/>
  <c r="AR31" i="45"/>
  <c r="O13" i="45"/>
  <c r="D13" i="57"/>
  <c r="M13" i="45"/>
  <c r="H13" i="45"/>
  <c r="K13" i="45"/>
  <c r="K6" i="45"/>
  <c r="O6" i="45"/>
  <c r="M6" i="45"/>
  <c r="D6" i="57"/>
  <c r="D40" i="45"/>
  <c r="D47" i="45" s="1"/>
  <c r="E47" i="45" s="1"/>
  <c r="H6" i="45"/>
  <c r="O36" i="45"/>
  <c r="K36" i="45"/>
  <c r="M36" i="45"/>
  <c r="H36" i="45"/>
  <c r="G26" i="45" l="1"/>
  <c r="AR23" i="45"/>
  <c r="AQ23" i="45"/>
  <c r="G23" i="45"/>
  <c r="AS23" i="45"/>
  <c r="O40" i="45"/>
  <c r="M25" i="57"/>
  <c r="K25" i="57"/>
  <c r="AS25" i="57" s="1"/>
  <c r="O25" i="57"/>
  <c r="AR21" i="45"/>
  <c r="AS21" i="45"/>
  <c r="G21" i="45"/>
  <c r="AQ21" i="45"/>
  <c r="AS20" i="45"/>
  <c r="AR20" i="45"/>
  <c r="G20" i="45"/>
  <c r="AQ20" i="45"/>
  <c r="AS14" i="45"/>
  <c r="AQ14" i="45"/>
  <c r="G14" i="45"/>
  <c r="AR14" i="45"/>
  <c r="AR25" i="45"/>
  <c r="AQ25" i="45"/>
  <c r="AS25" i="45"/>
  <c r="G25" i="45"/>
  <c r="U31" i="45"/>
  <c r="C31" i="45" s="1"/>
  <c r="G31" i="57"/>
  <c r="U31" i="57" s="1"/>
  <c r="O35" i="57"/>
  <c r="M35" i="57"/>
  <c r="K35" i="57"/>
  <c r="AS35" i="57" s="1"/>
  <c r="O28" i="57"/>
  <c r="M28" i="57"/>
  <c r="K28" i="57"/>
  <c r="AS28" i="57" s="1"/>
  <c r="AQ27" i="45"/>
  <c r="AR27" i="45"/>
  <c r="AS27" i="45"/>
  <c r="G27" i="45"/>
  <c r="U37" i="45"/>
  <c r="C37" i="45" s="1"/>
  <c r="O38" i="57"/>
  <c r="K38" i="57"/>
  <c r="AS38" i="57" s="1"/>
  <c r="M38" i="57"/>
  <c r="O32" i="57"/>
  <c r="K32" i="57"/>
  <c r="AS32" i="57" s="1"/>
  <c r="M32" i="57"/>
  <c r="AQ22" i="45"/>
  <c r="AR22" i="45"/>
  <c r="G22" i="45"/>
  <c r="AS22" i="45"/>
  <c r="O14" i="57"/>
  <c r="K14" i="57"/>
  <c r="AS14" i="57" s="1"/>
  <c r="M14" i="57"/>
  <c r="AR26" i="45"/>
  <c r="AQ26" i="45"/>
  <c r="AS26" i="45"/>
  <c r="AS8" i="45"/>
  <c r="AQ8" i="45"/>
  <c r="AR8" i="45"/>
  <c r="G8" i="45"/>
  <c r="AS38" i="45"/>
  <c r="AR38" i="45"/>
  <c r="AQ38" i="45"/>
  <c r="G38" i="45"/>
  <c r="K40" i="45"/>
  <c r="AQ13" i="45"/>
  <c r="AR13" i="45"/>
  <c r="AS13" i="45"/>
  <c r="G13" i="45"/>
  <c r="G6" i="45"/>
  <c r="AR6" i="45"/>
  <c r="H40" i="45"/>
  <c r="AQ6" i="45"/>
  <c r="AQ35" i="45"/>
  <c r="AS35" i="45"/>
  <c r="G35" i="45"/>
  <c r="AR35" i="45"/>
  <c r="AS11" i="45"/>
  <c r="AR11" i="45"/>
  <c r="AQ11" i="45"/>
  <c r="G11" i="45"/>
  <c r="AS28" i="45"/>
  <c r="G28" i="45"/>
  <c r="AQ28" i="45"/>
  <c r="AR28" i="45"/>
  <c r="AS10" i="45"/>
  <c r="G10" i="45"/>
  <c r="AQ10" i="45"/>
  <c r="AR10" i="45"/>
  <c r="G24" i="45"/>
  <c r="AS24" i="45"/>
  <c r="AQ24" i="45"/>
  <c r="AR24" i="45"/>
  <c r="O13" i="57"/>
  <c r="K13" i="57"/>
  <c r="AS13" i="57" s="1"/>
  <c r="M13" i="57"/>
  <c r="AR13" i="57" s="1"/>
  <c r="AR40" i="57" s="1"/>
  <c r="AR30" i="45"/>
  <c r="G30" i="45"/>
  <c r="AQ30" i="45"/>
  <c r="AS30" i="45"/>
  <c r="AR12" i="45"/>
  <c r="AS12" i="45"/>
  <c r="AQ12" i="45"/>
  <c r="G12" i="45"/>
  <c r="AS18" i="45"/>
  <c r="G18" i="45"/>
  <c r="AR18" i="45"/>
  <c r="AQ18" i="45"/>
  <c r="AS9" i="45"/>
  <c r="G9" i="45"/>
  <c r="AR9" i="45"/>
  <c r="AQ9" i="45"/>
  <c r="G16" i="45"/>
  <c r="AQ16" i="45"/>
  <c r="AS16" i="45"/>
  <c r="AR16" i="45"/>
  <c r="AS17" i="45"/>
  <c r="AR17" i="45"/>
  <c r="AQ17" i="45"/>
  <c r="G17" i="45"/>
  <c r="AQ36" i="45"/>
  <c r="G36" i="45"/>
  <c r="AS36" i="45"/>
  <c r="AR36" i="45"/>
  <c r="G32" i="45"/>
  <c r="AS32" i="45"/>
  <c r="AR32" i="45"/>
  <c r="AQ32" i="45"/>
  <c r="AS15" i="45"/>
  <c r="AR15" i="45"/>
  <c r="G15" i="45"/>
  <c r="AQ15" i="45"/>
  <c r="K6" i="57"/>
  <c r="O6" i="57"/>
  <c r="M6" i="57"/>
  <c r="M40" i="45"/>
  <c r="O22" i="57"/>
  <c r="K22" i="57"/>
  <c r="AS22" i="57" s="1"/>
  <c r="M22" i="57"/>
  <c r="U34" i="45"/>
  <c r="C34" i="45" s="1"/>
  <c r="M27" i="57"/>
  <c r="K27" i="57"/>
  <c r="AS27" i="57" s="1"/>
  <c r="O27" i="57"/>
  <c r="K17" i="57"/>
  <c r="AS17" i="57" s="1"/>
  <c r="O17" i="57"/>
  <c r="M17" i="57"/>
  <c r="G13" i="57" l="1"/>
  <c r="U13" i="57" s="1"/>
  <c r="U13" i="45"/>
  <c r="C13" i="45" s="1"/>
  <c r="AS40" i="45"/>
  <c r="U21" i="45"/>
  <c r="C21" i="45" s="1"/>
  <c r="U12" i="45"/>
  <c r="C12" i="45" s="1"/>
  <c r="U24" i="45"/>
  <c r="C24" i="45" s="1"/>
  <c r="U28" i="45"/>
  <c r="C28" i="45" s="1"/>
  <c r="G28" i="57"/>
  <c r="U28" i="57" s="1"/>
  <c r="U11" i="45"/>
  <c r="C11" i="45" s="1"/>
  <c r="U15" i="45"/>
  <c r="C15" i="45" s="1"/>
  <c r="U18" i="45"/>
  <c r="C18" i="45" s="1"/>
  <c r="AQ40" i="45"/>
  <c r="U27" i="45"/>
  <c r="C27" i="45" s="1"/>
  <c r="G27" i="57"/>
  <c r="U27" i="57" s="1"/>
  <c r="U14" i="45"/>
  <c r="C14" i="45" s="1"/>
  <c r="G14" i="57"/>
  <c r="U14" i="57" s="1"/>
  <c r="U20" i="45"/>
  <c r="C20" i="45" s="1"/>
  <c r="U10" i="45"/>
  <c r="C10" i="45" s="1"/>
  <c r="U8" i="45"/>
  <c r="C8" i="45" s="1"/>
  <c r="U26" i="45"/>
  <c r="C26" i="45" s="1"/>
  <c r="G32" i="57"/>
  <c r="U32" i="57" s="1"/>
  <c r="U32" i="45"/>
  <c r="C32" i="45" s="1"/>
  <c r="U17" i="45"/>
  <c r="C17" i="45" s="1"/>
  <c r="G17" i="57"/>
  <c r="U17" i="57" s="1"/>
  <c r="U9" i="45"/>
  <c r="C9" i="45" s="1"/>
  <c r="U23" i="45"/>
  <c r="C23" i="45" s="1"/>
  <c r="G35" i="57"/>
  <c r="U35" i="57" s="1"/>
  <c r="U35" i="45"/>
  <c r="C35" i="45" s="1"/>
  <c r="AR40" i="45"/>
  <c r="U38" i="45"/>
  <c r="C38" i="45" s="1"/>
  <c r="G38" i="57"/>
  <c r="U38" i="57" s="1"/>
  <c r="U25" i="45"/>
  <c r="C25" i="45" s="1"/>
  <c r="G25" i="57"/>
  <c r="U25" i="57" s="1"/>
  <c r="U36" i="45"/>
  <c r="C36" i="45" s="1"/>
  <c r="U16" i="45"/>
  <c r="C16" i="45" s="1"/>
  <c r="G16" i="57"/>
  <c r="U30" i="45"/>
  <c r="C30" i="45" s="1"/>
  <c r="G40" i="45"/>
  <c r="U6" i="45"/>
  <c r="G6" i="57"/>
  <c r="U22" i="45"/>
  <c r="C22" i="45" s="1"/>
  <c r="G22" i="57"/>
  <c r="U22" i="57" s="1"/>
  <c r="U40" i="45" l="1"/>
  <c r="C6" i="45"/>
  <c r="C40" i="45" s="1"/>
  <c r="U6" i="57"/>
  <c r="BR37" i="56" l="1"/>
  <c r="BS37" i="56" s="1"/>
  <c r="BR36" i="56"/>
  <c r="BS36" i="56" s="1"/>
  <c r="BR34" i="56"/>
  <c r="BS34" i="56" s="1"/>
  <c r="BR30" i="56"/>
  <c r="BS30" i="56" s="1"/>
  <c r="D30" i="56" s="1"/>
  <c r="BR26" i="56"/>
  <c r="BS26" i="56" s="1"/>
  <c r="BR24" i="56"/>
  <c r="BS24" i="56" s="1"/>
  <c r="D24" i="56" s="1"/>
  <c r="BR23" i="56"/>
  <c r="BS23" i="56" s="1"/>
  <c r="D23" i="56" s="1"/>
  <c r="BR21" i="56"/>
  <c r="BS21" i="56" s="1"/>
  <c r="BR20" i="56"/>
  <c r="BS20" i="56" s="1"/>
  <c r="D20" i="56" s="1"/>
  <c r="BR19" i="56"/>
  <c r="BS19" i="56" s="1"/>
  <c r="D19" i="56" s="1"/>
  <c r="BR16" i="56"/>
  <c r="BS16" i="56" s="1"/>
  <c r="D16" i="56" s="1"/>
  <c r="BR15" i="56"/>
  <c r="BS15" i="56" s="1"/>
  <c r="BR12" i="56"/>
  <c r="BS12" i="56" s="1"/>
  <c r="D12" i="56" s="1"/>
  <c r="BR11" i="56"/>
  <c r="BS11" i="56" s="1"/>
  <c r="BR9" i="56"/>
  <c r="BS9" i="56" s="1"/>
  <c r="D9" i="56" s="1"/>
  <c r="BR8" i="56"/>
  <c r="BS8" i="56" s="1"/>
  <c r="D8" i="56" s="1"/>
  <c r="BR7" i="56"/>
  <c r="BS7" i="56" s="1"/>
  <c r="H16" i="56" l="1"/>
  <c r="O16" i="56"/>
  <c r="M16" i="56"/>
  <c r="K16" i="56"/>
  <c r="D16" i="57"/>
  <c r="H30" i="56"/>
  <c r="K30" i="56"/>
  <c r="O30" i="56"/>
  <c r="M30" i="56"/>
  <c r="D30" i="57"/>
  <c r="O24" i="56"/>
  <c r="H24" i="56"/>
  <c r="M24" i="56"/>
  <c r="K24" i="56"/>
  <c r="D24" i="57"/>
  <c r="K20" i="56"/>
  <c r="H20" i="56"/>
  <c r="O20" i="56"/>
  <c r="M20" i="56"/>
  <c r="D20" i="57"/>
  <c r="H19" i="56"/>
  <c r="K19" i="56"/>
  <c r="M19" i="56"/>
  <c r="O19" i="56"/>
  <c r="D19" i="57"/>
  <c r="O23" i="56"/>
  <c r="K23" i="56"/>
  <c r="H23" i="56"/>
  <c r="M23" i="56"/>
  <c r="D23" i="57"/>
  <c r="K12" i="56"/>
  <c r="O12" i="56"/>
  <c r="H12" i="56"/>
  <c r="M12" i="56"/>
  <c r="D12" i="57"/>
  <c r="M9" i="56"/>
  <c r="H9" i="56"/>
  <c r="O9" i="56"/>
  <c r="K9" i="56"/>
  <c r="D9" i="57"/>
  <c r="H8" i="56"/>
  <c r="M8" i="56"/>
  <c r="O8" i="56"/>
  <c r="K8" i="56"/>
  <c r="D8" i="57"/>
  <c r="K16" i="57" l="1"/>
  <c r="AS16" i="57" s="1"/>
  <c r="M16" i="57"/>
  <c r="O16" i="57"/>
  <c r="U16" i="56"/>
  <c r="C16" i="56" s="1"/>
  <c r="AS16" i="56"/>
  <c r="AQ16" i="56"/>
  <c r="AR16" i="56"/>
  <c r="O30" i="57"/>
  <c r="K30" i="57"/>
  <c r="AS30" i="57" s="1"/>
  <c r="M30" i="57"/>
  <c r="AQ30" i="56"/>
  <c r="AR30" i="56"/>
  <c r="AS30" i="56"/>
  <c r="O24" i="57"/>
  <c r="M24" i="57"/>
  <c r="K24" i="57"/>
  <c r="AS24" i="57" s="1"/>
  <c r="AQ24" i="56"/>
  <c r="AS24" i="56"/>
  <c r="AR24" i="56"/>
  <c r="O20" i="57"/>
  <c r="M20" i="57"/>
  <c r="K20" i="57"/>
  <c r="AS20" i="57" s="1"/>
  <c r="AS20" i="56"/>
  <c r="AQ20" i="56"/>
  <c r="AR20" i="56"/>
  <c r="M19" i="57"/>
  <c r="O19" i="57"/>
  <c r="K19" i="57"/>
  <c r="AS19" i="57" s="1"/>
  <c r="AQ19" i="56"/>
  <c r="AR19" i="56"/>
  <c r="AS19" i="56"/>
  <c r="O23" i="57"/>
  <c r="K23" i="57"/>
  <c r="AS23" i="57" s="1"/>
  <c r="M23" i="57"/>
  <c r="AS23" i="56"/>
  <c r="AQ23" i="56"/>
  <c r="AR23" i="56"/>
  <c r="M12" i="57"/>
  <c r="K12" i="57"/>
  <c r="AS12" i="57" s="1"/>
  <c r="O12" i="57"/>
  <c r="AR12" i="56"/>
  <c r="AS12" i="56"/>
  <c r="AQ12" i="56"/>
  <c r="O9" i="57"/>
  <c r="K9" i="57"/>
  <c r="AS9" i="57" s="1"/>
  <c r="M9" i="57"/>
  <c r="AQ9" i="56"/>
  <c r="AR9" i="56"/>
  <c r="AS9" i="56"/>
  <c r="K8" i="57"/>
  <c r="AS8" i="57" s="1"/>
  <c r="O8" i="57"/>
  <c r="M8" i="57"/>
  <c r="AQ8" i="56"/>
  <c r="AS8" i="56"/>
  <c r="AR8" i="56"/>
  <c r="U16" i="57" l="1"/>
  <c r="G34" i="57"/>
  <c r="U30" i="56"/>
  <c r="C30" i="56" s="1"/>
  <c r="G30" i="57"/>
  <c r="U30" i="57" s="1"/>
  <c r="U24" i="56"/>
  <c r="C24" i="56" s="1"/>
  <c r="G24" i="57"/>
  <c r="U24" i="57" s="1"/>
  <c r="U20" i="56"/>
  <c r="C20" i="56" s="1"/>
  <c r="G20" i="57"/>
  <c r="U20" i="57" s="1"/>
  <c r="U19" i="56"/>
  <c r="C19" i="56" s="1"/>
  <c r="G19" i="57"/>
  <c r="U19" i="57" s="1"/>
  <c r="U23" i="56"/>
  <c r="C23" i="56" s="1"/>
  <c r="G23" i="57"/>
  <c r="U23" i="57" s="1"/>
  <c r="U12" i="56"/>
  <c r="C12" i="56" s="1"/>
  <c r="G12" i="57"/>
  <c r="U12" i="57" s="1"/>
  <c r="U9" i="56"/>
  <c r="C9" i="56" s="1"/>
  <c r="G9" i="57"/>
  <c r="U9" i="57" s="1"/>
  <c r="U8" i="56"/>
  <c r="G8" i="57"/>
  <c r="U8" i="57" s="1"/>
  <c r="C8" i="56" l="1"/>
  <c r="D37" i="56" l="1"/>
  <c r="D36" i="56"/>
  <c r="D34" i="56"/>
  <c r="D26" i="56"/>
  <c r="D21" i="56"/>
  <c r="D15" i="56"/>
  <c r="D11" i="56"/>
  <c r="D10" i="56"/>
  <c r="D7" i="56"/>
  <c r="K34" i="56" l="1"/>
  <c r="M34" i="56"/>
  <c r="D34" i="57"/>
  <c r="O34" i="56"/>
  <c r="H34" i="56"/>
  <c r="H7" i="56"/>
  <c r="O7" i="56"/>
  <c r="K7" i="56"/>
  <c r="M7" i="56"/>
  <c r="D7" i="57"/>
  <c r="M37" i="56"/>
  <c r="K37" i="56"/>
  <c r="O37" i="56"/>
  <c r="H37" i="56"/>
  <c r="D37" i="57"/>
  <c r="M36" i="56"/>
  <c r="K36" i="56"/>
  <c r="H36" i="56"/>
  <c r="O36" i="56"/>
  <c r="D36" i="57"/>
  <c r="H21" i="56"/>
  <c r="D21" i="57"/>
  <c r="M21" i="56"/>
  <c r="K21" i="56"/>
  <c r="O21" i="56"/>
  <c r="M15" i="56"/>
  <c r="K15" i="56"/>
  <c r="H15" i="56"/>
  <c r="O15" i="56"/>
  <c r="D15" i="57"/>
  <c r="H10" i="56"/>
  <c r="M10" i="56"/>
  <c r="K10" i="56"/>
  <c r="O10" i="56"/>
  <c r="D10" i="57"/>
  <c r="M11" i="56"/>
  <c r="O11" i="56"/>
  <c r="H11" i="56"/>
  <c r="K11" i="56"/>
  <c r="D11" i="57"/>
  <c r="O26" i="56"/>
  <c r="M26" i="56"/>
  <c r="H26" i="56"/>
  <c r="K26" i="56"/>
  <c r="D26" i="57"/>
  <c r="D40" i="56"/>
  <c r="U34" i="56" l="1"/>
  <c r="C34" i="56" s="1"/>
  <c r="AS34" i="56"/>
  <c r="AQ34" i="56"/>
  <c r="AR34" i="56"/>
  <c r="K34" i="57"/>
  <c r="AS34" i="57" s="1"/>
  <c r="M34" i="57"/>
  <c r="O34" i="57"/>
  <c r="K7" i="57"/>
  <c r="AS7" i="57" s="1"/>
  <c r="O7" i="57"/>
  <c r="M7" i="57"/>
  <c r="AS7" i="56"/>
  <c r="AQ7" i="56"/>
  <c r="AR7" i="56"/>
  <c r="O37" i="57"/>
  <c r="K37" i="57"/>
  <c r="AS37" i="57" s="1"/>
  <c r="M37" i="57"/>
  <c r="AQ37" i="56"/>
  <c r="AS37" i="56"/>
  <c r="AR37" i="56"/>
  <c r="O36" i="57"/>
  <c r="K36" i="57"/>
  <c r="AS36" i="57" s="1"/>
  <c r="M36" i="57"/>
  <c r="AS36" i="56"/>
  <c r="AR36" i="56"/>
  <c r="AQ36" i="56"/>
  <c r="M21" i="57"/>
  <c r="O21" i="57"/>
  <c r="K21" i="57"/>
  <c r="AS21" i="57" s="1"/>
  <c r="AS21" i="56"/>
  <c r="AR21" i="56"/>
  <c r="AQ21" i="56"/>
  <c r="M15" i="57"/>
  <c r="K15" i="57"/>
  <c r="AS15" i="57" s="1"/>
  <c r="O15" i="57"/>
  <c r="AS15" i="56"/>
  <c r="AQ15" i="56"/>
  <c r="AR15" i="56"/>
  <c r="M40" i="56"/>
  <c r="K10" i="57"/>
  <c r="AS10" i="57" s="1"/>
  <c r="M10" i="57"/>
  <c r="O10" i="57"/>
  <c r="O40" i="56"/>
  <c r="AQ10" i="56"/>
  <c r="AR10" i="56"/>
  <c r="AS10" i="56"/>
  <c r="O11" i="57"/>
  <c r="M11" i="57"/>
  <c r="K11" i="57"/>
  <c r="AS11" i="57" s="1"/>
  <c r="AR11" i="56"/>
  <c r="AS11" i="56"/>
  <c r="AQ11" i="56"/>
  <c r="K40" i="56"/>
  <c r="O26" i="57"/>
  <c r="K26" i="57"/>
  <c r="M26" i="57"/>
  <c r="AR26" i="56"/>
  <c r="AS26" i="56"/>
  <c r="AQ26" i="56"/>
  <c r="H40" i="56"/>
  <c r="D47" i="56" s="1"/>
  <c r="U34" i="57" l="1"/>
  <c r="U7" i="56"/>
  <c r="C7" i="56" s="1"/>
  <c r="G7" i="57"/>
  <c r="U7" i="57" s="1"/>
  <c r="U37" i="56"/>
  <c r="C37" i="56" s="1"/>
  <c r="G37" i="57"/>
  <c r="U37" i="57" s="1"/>
  <c r="G36" i="57"/>
  <c r="U36" i="57" s="1"/>
  <c r="U36" i="56"/>
  <c r="C36" i="56" s="1"/>
  <c r="U21" i="56"/>
  <c r="C21" i="56" s="1"/>
  <c r="G21" i="57"/>
  <c r="U21" i="57" s="1"/>
  <c r="G15" i="57"/>
  <c r="U15" i="57" s="1"/>
  <c r="U15" i="56"/>
  <c r="C15" i="56" s="1"/>
  <c r="U10" i="56"/>
  <c r="C10" i="56" s="1"/>
  <c r="G10" i="57"/>
  <c r="U10" i="57" s="1"/>
  <c r="U11" i="56"/>
  <c r="C11" i="56" s="1"/>
  <c r="G11" i="57"/>
  <c r="U11" i="57" s="1"/>
  <c r="U26" i="56"/>
  <c r="G26" i="57"/>
  <c r="G40" i="56"/>
  <c r="AS40" i="56"/>
  <c r="AQ40" i="56"/>
  <c r="AR40" i="56"/>
  <c r="AS26" i="57"/>
  <c r="U26" i="57" l="1"/>
  <c r="C26" i="56"/>
  <c r="C40" i="56" s="1"/>
  <c r="U40" i="56"/>
  <c r="E18" i="51" l="1"/>
  <c r="E18" i="57" l="1"/>
  <c r="E40" i="57" s="1"/>
  <c r="F47" i="57" s="1"/>
  <c r="E40" i="51"/>
  <c r="F47" i="51" s="1"/>
  <c r="D18" i="51"/>
  <c r="D18" i="57" l="1"/>
  <c r="K18" i="51"/>
  <c r="K40" i="51" s="1"/>
  <c r="M18" i="51"/>
  <c r="M40" i="51" s="1"/>
  <c r="D40" i="51"/>
  <c r="H18" i="51"/>
  <c r="O18" i="51"/>
  <c r="O40" i="51" s="1"/>
  <c r="F18" i="51"/>
  <c r="G18" i="51" l="1"/>
  <c r="AQ18" i="51"/>
  <c r="AS18" i="51"/>
  <c r="H40" i="51"/>
  <c r="D47" i="51" s="1"/>
  <c r="AR18" i="51"/>
  <c r="F40" i="51"/>
  <c r="F18" i="57"/>
  <c r="F40" i="57" s="1"/>
  <c r="AZ18" i="51"/>
  <c r="K18" i="57"/>
  <c r="O18" i="57"/>
  <c r="O40" i="57" s="1"/>
  <c r="M18" i="57"/>
  <c r="M40" i="57" s="1"/>
  <c r="D40" i="57"/>
  <c r="AR40" i="51" l="1"/>
  <c r="AS40" i="51"/>
  <c r="AQ40" i="51"/>
  <c r="BD18" i="51"/>
  <c r="AZ40" i="51"/>
  <c r="C47" i="51" s="1"/>
  <c r="AZ18" i="57"/>
  <c r="AS18" i="57"/>
  <c r="AS40" i="57" s="1"/>
  <c r="K40" i="57"/>
  <c r="G18" i="57"/>
  <c r="G40" i="51"/>
  <c r="U18" i="51"/>
  <c r="U18" i="57" l="1"/>
  <c r="U40" i="57" s="1"/>
  <c r="G40" i="57"/>
  <c r="AZ85" i="51"/>
  <c r="AZ40" i="57"/>
  <c r="C47" i="57" s="1"/>
  <c r="U40" i="51"/>
  <c r="C18" i="51"/>
  <c r="C40" i="51" s="1"/>
  <c r="BD40" i="51"/>
  <c r="BD43" i="51" s="1"/>
  <c r="BE45" i="51" s="1"/>
  <c r="BD18" i="57"/>
  <c r="BD40" i="57" s="1"/>
  <c r="AZ85" i="5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3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DJUOMBESSY</author>
  </authors>
  <commentList>
    <comment ref="BB6" authorId="0" shapeId="0" xr:uid="{DFD07CBB-B371-4751-A47E-67DB6DB49B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  <comment ref="BR6" authorId="0" shapeId="0" xr:uid="{51A4F66B-5C47-4D69-A324-4098376165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</t>
        </r>
      </text>
    </comment>
    <comment ref="BA7" authorId="0" shapeId="0" xr:uid="{1B4A9B61-A25B-4E28-AC8C-918E5D286A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BAKOP DECEMBRE PAYE EN JANVIER 24</t>
        </r>
      </text>
    </comment>
    <comment ref="BE7" authorId="0" shapeId="0" xr:uid="{03929E82-2A92-4106-906D-B2F44137FC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EN COMPTE</t>
        </r>
      </text>
    </comment>
    <comment ref="BR9" authorId="0" shapeId="0" xr:uid="{E2505F88-B480-47C7-BC33-710A74B174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  <comment ref="BA17" authorId="1" shapeId="0" xr:uid="{875C6A52-052F-4C46-93F1-0F89A5854F04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R18" authorId="0" shapeId="0" xr:uid="{BFDF9C59-EE23-4ADA-95BC-80162F3AF1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DOOSSIER TECHNIQUE</t>
        </r>
      </text>
    </comment>
    <comment ref="BR38" authorId="1" shapeId="0" xr:uid="{1643ADB4-78E3-4404-80C0-78B6BA3D8165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KOUAMOU MOISE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DJUOMBESSY</author>
  </authors>
  <commentList>
    <comment ref="BA6" authorId="0" shapeId="0" xr:uid="{295C484C-4DFA-44C1-9946-216E8ACCF7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  <comment ref="BQ6" authorId="0" shapeId="0" xr:uid="{271068B1-6726-4266-A1A2-819819CDA00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</t>
        </r>
      </text>
    </comment>
    <comment ref="C7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7" authorId="0" shapeId="0" xr:uid="{4D849B9A-D781-446A-9C94-B25D06E0E1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BAKOP DECEMBRE PAYE EN JANVIER 24</t>
        </r>
      </text>
    </comment>
    <comment ref="BD7" authorId="0" shapeId="0" xr:uid="{2F21D60B-4E33-4941-8AE2-620DDCF518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EN COMPTE</t>
        </r>
      </text>
    </comment>
    <comment ref="BQ9" authorId="0" shapeId="0" xr:uid="{1F5A37C8-FFE4-40AD-9232-900ECCA17E0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  <comment ref="AZ17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Q18" authorId="0" shapeId="0" xr:uid="{8AD7E572-4AD1-42C1-9BC7-AE346468BF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DOOSSIER TECHNIQUE</t>
        </r>
      </text>
    </comment>
    <comment ref="C3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Q3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KOUAMOU MOISE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AN12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D12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Q36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  <author>HP</author>
  </authors>
  <commentList>
    <comment ref="BD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F8" authorId="1" shapeId="0" xr:uid="{F6C95CA1-9A6E-4623-930A-75B0C550B64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AOUT 2024</t>
        </r>
      </text>
    </comment>
    <comment ref="BQ1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Q1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AZ24" authorId="1" shapeId="0" xr:uid="{6504DD34-5CEF-4E0A-9F91-C2001975B9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PAIEMENT DETTE BAKOP</t>
        </r>
      </text>
    </comment>
    <comment ref="BQ3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  <author>HP</author>
  </authors>
  <commentList>
    <comment ref="C1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REMBOURSEMENT
RECONDUIT</t>
        </r>
      </text>
    </comment>
    <comment ref="C24" authorId="1" shapeId="0" xr:uid="{F717E511-CEEF-426F-BDE7-F145765FF2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REGLE EN MAI</t>
        </r>
      </text>
    </comment>
    <comment ref="BQ36" authorId="1" shapeId="0" xr:uid="{4F01A132-5929-49E7-AF41-39CD87097E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YOUMBI EMMANUEL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7" authorId="0" shapeId="0" xr:uid="{9A5E7ADB-6417-417D-BE41-F05D7EF340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REGULARISE AU MOIS DE JUIN</t>
        </r>
      </text>
    </comment>
    <comment ref="BQ8" authorId="0" shapeId="0" xr:uid="{67CF9C98-FA5E-481D-8B11-5BB4176239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COMMISSION FERMETURE DE COO?PTE</t>
        </r>
      </text>
    </comment>
    <comment ref="BD11" authorId="0" shapeId="0" xr:uid="{73D327CE-420F-4FCB-B881-738A896B3F9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VERSEMENT T50 BAKOP ACHILLE</t>
        </r>
      </text>
    </comment>
    <comment ref="AZ12" authorId="0" shapeId="0" xr:uid="{3EAD7F69-5027-4709-96C5-8480C4B3E3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100 000 REMBOURSEMENT DETTE</t>
        </r>
      </text>
    </comment>
    <comment ref="BQ36" authorId="0" shapeId="0" xr:uid="{C0B09AAE-451F-4158-AC2B-830EBED476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7" authorId="0" shapeId="0" xr:uid="{D592F3D3-D5E8-46F9-84F7-66494926AF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VERSEMENT CPTE NGONDIEP 103 000
50 000 TONTINE MAI</t>
        </r>
      </text>
    </comment>
    <comment ref="D9" authorId="0" shapeId="0" xr:uid="{7F21D7B9-F98D-4E54-9A24-B2EE32A582A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TRANSFERT 50 000 A KWANTCHO</t>
        </r>
      </text>
    </comment>
    <comment ref="C11" authorId="0" shapeId="0" xr:uid="{2E884AA5-87D4-4BBC-A06F-40FAD863B0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NGONDIEP 103 000 ET 20 000 RECONDUCTION</t>
        </r>
      </text>
    </comment>
    <comment ref="D18" authorId="0" shapeId="0" xr:uid="{87B043E4-CE2A-4498-B5AA-D086527A64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50 000 TRANSFERE PAR DJOMO JP</t>
        </r>
      </text>
    </comment>
    <comment ref="BQ18" authorId="0" shapeId="0" xr:uid="{EE142D95-8DE8-4A9B-8B54-89697CDD0C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TERRAIN</t>
        </r>
      </text>
    </comment>
    <comment ref="BD20" authorId="0" shapeId="0" xr:uid="{87467001-AD71-49D0-B131-17396F6DA4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 30 000 A SIMO BRICE POUR RECONDUCTION</t>
        </r>
      </text>
    </comment>
    <comment ref="AZ25" authorId="0" shapeId="0" xr:uid="{4F895545-2381-4DFD-B129-BD2AB6B82F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TERRAIN 2 000 000</t>
        </r>
      </text>
    </comment>
    <comment ref="C31" authorId="0" shapeId="0" xr:uid="{C1E4FD89-D927-44E6-917A-4D4FEC50A4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Q36" authorId="0" shapeId="0" xr:uid="{F9BE1E19-F141-42AB-A6D9-FC91070381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DJUOMBESSY</author>
  </authors>
  <commentList>
    <comment ref="BA6" authorId="0" shapeId="0" xr:uid="{909A0F45-0BAA-44B4-BDAD-82A71A3FC5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COMMISSION</t>
        </r>
      </text>
    </comment>
    <comment ref="C7" authorId="1" shapeId="0" xr:uid="{00000000-0006-0000-0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Q8" authorId="0" shapeId="0" xr:uid="{7407FAA8-5917-4DA1-BDD2-275ABC2D73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DJUOMBESSY 9 000
MBONGNI      9 000
NDJOMO        9 000
DEJOLI           3 000
NGONDIEP       3 000
THOUAMO        3 000</t>
        </r>
      </text>
    </comment>
    <comment ref="C12" authorId="0" shapeId="0" xr:uid="{51147AA8-8604-434F-9C65-F8DDA8F201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 140 000</t>
        </r>
      </text>
    </comment>
    <comment ref="AK12" authorId="0" shapeId="0" xr:uid="{4BC11575-7936-4645-B848-972B296252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F12" authorId="0" shapeId="0" xr:uid="{A3087AD9-0DAB-40D8-AFF0-27D55E0473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6 MOIS</t>
        </r>
      </text>
    </comment>
    <comment ref="C16" authorId="0" shapeId="0" xr:uid="{F22F0E55-014B-4037-BC81-4C2CD14E3B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DETTE HOTCHO PAR FRAIS EXCEPTIONNEL</t>
        </r>
      </text>
    </comment>
    <comment ref="BF20" authorId="0" shapeId="0" xr:uid="{0239EE15-1A4C-4733-9E67-E95301E1DB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PRÊT 6 MOIS</t>
        </r>
      </text>
    </comment>
    <comment ref="C23" authorId="0" shapeId="0" xr:uid="{AB7332DF-B93C-48C0-9C65-C111E839D8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PRET</t>
        </r>
      </text>
    </comment>
    <comment ref="BF23" authorId="0" shapeId="0" xr:uid="{98BCAB00-540D-4F70-8ECA-BD5B486D67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6 MOIS</t>
        </r>
      </text>
    </comment>
    <comment ref="C24" authorId="0" shapeId="0" xr:uid="{6AB6D058-8962-4C37-8BE5-982DFADA1E5A}">
      <text>
        <r>
          <rPr>
            <b/>
            <sz val="9"/>
            <color indexed="81"/>
            <rFont val="Tahoma"/>
            <family val="2"/>
          </rPr>
          <t>PETIT LOT DEDUIT DE LA TONTINE</t>
        </r>
      </text>
    </comment>
    <comment ref="BF26" authorId="0" shapeId="0" xr:uid="{0129100D-7980-452B-8769-1B648062B6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3 MOIS</t>
        </r>
      </text>
    </comment>
    <comment ref="BQ26" authorId="0" shapeId="0" xr:uid="{E98CC544-6930-47F2-A975-8DF5A0B089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PLAQUETTE</t>
        </r>
      </text>
    </comment>
    <comment ref="BQ27" authorId="0" shapeId="0" xr:uid="{65EB0837-3E1A-43F6-9D9A-8C03D6DD06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HOTCHO NUIT DES ELITES</t>
        </r>
      </text>
    </comment>
    <comment ref="C32" authorId="0" shapeId="0" xr:uid="{F20C75B1-5F43-4E9D-AD7B-5B5C00C4F1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PRET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" authorId="0" shapeId="0" xr:uid="{E7C5A384-1BB4-4C3A-9236-899E487D7A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 ESPECE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34" authorId="0" shapeId="0" xr:uid="{0116B49A-2C6B-4CAB-B4C6-B2199F097F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TONTINE AOUT 2024
PENALITE ECHEC TONTINE AOUT 2024</t>
        </r>
      </text>
    </comment>
    <comment ref="C37" authorId="0" shapeId="0" xr:uid="{38774C48-0A87-427D-9CA4-DF87CED1D2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 240 000
FONDS 700 000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Q26" authorId="0" shapeId="0" xr:uid="{A88FF468-FC4B-4DF0-8DDB-727D92F427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PLAQUETTE</t>
        </r>
      </text>
    </comment>
    <comment ref="C27" authorId="0" shapeId="0" xr:uid="{7453AFC4-3E6B-4DA9-8002-9FAE4458FE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33" authorId="0" shapeId="0" xr:uid="{9A7142CE-5615-46B6-A96A-254222FBB996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EPARGNE RECUPERE DE SA TONTINE SEPTEMBRE</t>
        </r>
      </text>
    </comment>
    <comment ref="BQ36" authorId="0" shapeId="0" xr:uid="{0D0413C7-792E-4F58-87E8-A5FB58BB489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FOYER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K12" authorId="0" shapeId="0" xr:uid="{C83BC544-7633-485A-B4CB-838104CD6A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C16" authorId="0" shapeId="0" xr:uid="{47625023-05DB-470A-853E-900A3563A45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PRÊT FONDS</t>
        </r>
      </text>
    </comment>
    <comment ref="C17" authorId="0" shapeId="0" xr:uid="{BECD93C9-7FCE-4F04-A4BF-7486D04357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NON REMBOURSE</t>
        </r>
      </text>
    </comment>
    <comment ref="C18" authorId="0" shapeId="0" xr:uid="{D525430E-D462-4030-B98E-2E08A29753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 DOHOU PYE PAR KOUQTCHO</t>
        </r>
      </text>
    </comment>
    <comment ref="BQ18" authorId="0" shapeId="0" xr:uid="{639621A8-24E7-49F2-AE52-FB209975E2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TERRAIN NGUIEMENI</t>
        </r>
      </text>
    </comment>
    <comment ref="BQ30" authorId="0" shapeId="0" xr:uid="{DC797420-8C7D-4F38-846A-F839F8157D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DECES BEAU PÈRE MBOGNING GUY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6" authorId="0" shapeId="0" xr:uid="{DAF1D5A2-D32A-43DD-BA00-AF296BE301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>INTERET T75 20 000
T100 4 1000</t>
        </r>
      </text>
    </comment>
    <comment ref="C9" authorId="0" shapeId="0" xr:uid="{BBF0F9D8-3BBB-4B76-A6C0-E955D52B6F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DEFALQUE EPARGNE 2024</t>
        </r>
      </text>
    </comment>
    <comment ref="C16" authorId="0" shapeId="0" xr:uid="{4B2AE657-7978-4A37-BE04-6BD25FB718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PAYE PAR L EPARGNE</t>
        </r>
      </text>
    </comment>
    <comment ref="I16" authorId="0" shapeId="0" xr:uid="{C321EA97-8623-46A4-8947-4619B94ECE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 APRES REPARTITION
40 000
15 000</t>
        </r>
      </text>
    </comment>
    <comment ref="C17" authorId="0" shapeId="0" xr:uid="{06E08B86-1CE3-49A7-940D-50719F6885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AVANCE PRET</t>
        </r>
      </text>
    </comment>
    <comment ref="C19" authorId="0" shapeId="0" xr:uid="{3223F12A-B923-47BF-9ED2-9D32D24092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I19" authorId="0" shapeId="0" xr:uid="{DE516911-9D25-4D0E-90C5-C2F20797E0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REMIS DANS L EPARGNE</t>
        </r>
      </text>
    </comment>
    <comment ref="C22" authorId="0" shapeId="0" xr:uid="{B96EC435-32FD-43F1-8AAD-64343CB351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EN COMPTE EPARGNE </t>
        </r>
      </text>
    </comment>
    <comment ref="C25" authorId="0" shapeId="0" xr:uid="{68A61AFD-E16A-446B-8EBD-003C9DBEE118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PRÊT REMBOURSE PAR COMPENSATION TERRAIN</t>
        </r>
      </text>
    </comment>
    <comment ref="C28" authorId="0" shapeId="0" xr:uid="{3219A5A0-6B6C-41E4-B68F-359DEDF9DA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RELIQUAT REPART  EPARGNE</t>
        </r>
      </text>
    </comment>
    <comment ref="I28" authorId="0" shapeId="0" xr:uid="{4C39DAAB-749B-4062-92F6-C9DFF05C97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APRES REPARTITION
</t>
        </r>
      </text>
    </comment>
    <comment ref="C34" authorId="0" shapeId="0" xr:uid="{50D0E59D-DA8E-4611-9A3C-BCA9324DE4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BD36" authorId="0" shapeId="0" xr:uid="{746F870D-037A-40D0-BA73-F00F197B29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DETTE ANTERIEURE 267 500
LA AGUZE 30 000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6" authorId="0" shapeId="0" xr:uid="{208555A5-7105-41B7-B490-AD4F37448B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>INTERET T75 20 000
T100 4 1000</t>
        </r>
      </text>
    </comment>
    <comment ref="C9" authorId="0" shapeId="0" xr:uid="{2151780E-CC05-4C1F-9A97-A4A23F41C7B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DEFALQUE EPARGNE 2024</t>
        </r>
      </text>
    </comment>
    <comment ref="C16" authorId="0" shapeId="0" xr:uid="{F30AB3F9-DE30-4EB6-A1C2-19957F16C6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PAYE PAR L EPARGNE</t>
        </r>
      </text>
    </comment>
    <comment ref="I16" authorId="0" shapeId="0" xr:uid="{FC7F2469-418B-4E1B-81EE-C657389D2F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 APRES REPARTITION
40 000
15 000</t>
        </r>
      </text>
    </comment>
    <comment ref="C17" authorId="0" shapeId="0" xr:uid="{CAA50338-ACE0-4190-B7E0-33460EF850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AVANCE PRET</t>
        </r>
      </text>
    </comment>
    <comment ref="C19" authorId="0" shapeId="0" xr:uid="{9600051E-9992-4AB5-9669-6466C35D83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I19" authorId="0" shapeId="0" xr:uid="{F140A2B4-03E5-42E8-ABF6-E7E896E529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REMIS DANS L EPARGNE</t>
        </r>
      </text>
    </comment>
    <comment ref="C22" authorId="0" shapeId="0" xr:uid="{9AB6F6FB-790A-4219-AD76-28D94316E9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EN COMPTE EPARGNE </t>
        </r>
      </text>
    </comment>
    <comment ref="C28" authorId="0" shapeId="0" xr:uid="{2F8A7691-BC1D-43AA-8A9D-8D35725A1CC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RELIQUAT REPART  EPARGNE</t>
        </r>
      </text>
    </comment>
    <comment ref="I28" authorId="0" shapeId="0" xr:uid="{BB0895F4-F12C-4ADF-AFE6-A8885A934D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APRES REPARTITION
</t>
        </r>
      </text>
    </comment>
    <comment ref="C34" authorId="0" shapeId="0" xr:uid="{A9BCA8BC-4DD4-46D3-9844-FD0A0B2AE6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BD36" authorId="0" shapeId="0" xr:uid="{822F4335-F18B-42FB-8B55-3390881220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DETTE ANTERIEURE 267 500
LA AGUZE 30 000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K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P8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E6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0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D9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0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D6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8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P8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AZ6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 xr:uid="{00000000-0006-0000-1B00-00000F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 xr:uid="{00000000-0006-0000-1B00-000010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 xr:uid="{00000000-0006-0000-1B00-00001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 xr:uid="{00000000-0006-0000-1B00-00001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8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 xr:uid="{00000000-0006-0000-1C00-00000F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 xr:uid="{00000000-0006-0000-1C00-000010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 xr:uid="{00000000-0006-0000-1C00-00001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 xr:uid="{00000000-0006-0000-1C00-00001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 xr:uid="{00000000-0006-0000-1C00-00001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 xr:uid="{00000000-0006-0000-1C00-00001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 xr:uid="{00000000-0006-0000-1C00-00001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 xr:uid="{00000000-0006-0000-1C00-00001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 xr:uid="{00000000-0006-0000-1C00-00001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 xr:uid="{00000000-0006-0000-1C00-00001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 xr:uid="{00000000-0006-0000-1C00-00001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34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<sst xmlns="http://schemas.openxmlformats.org/spreadsheetml/2006/main" count="5350" uniqueCount="231">
  <si>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</si>
  <si>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</si>
  <si>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</si>
  <si>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</si>
  <si>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</si>
  <si>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</si>
  <si>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</si>
  <si>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</si>
  <si>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</si>
  <si>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</si>
  <si>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</si>
  <si>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</si>
  <si>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</si>
  <si>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</si>
  <si>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</si>
  <si>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</si>
  <si>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</si>
  <si>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</si>
  <si>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</si>
  <si>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</si>
  <si>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</si>
  <si>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</si>
  <si>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</si>
  <si>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</si>
  <si>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</si>
  <si>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</si>
  <si>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</si>
  <si>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</si>
  <si>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</si>
  <si>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</si>
  <si>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</si>
  <si>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</si>
  <si>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</si>
  <si>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</si>
  <si>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</si>
  <si>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</si>
  <si>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</si>
  <si>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</si>
  <si>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</si>
  <si>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</si>
  <si>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</si>
  <si>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</si>
  <si>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</si>
  <si>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</si>
  <si>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</si>
  <si>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</si>
  <si>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</si>
  <si>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</si>
  <si>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</si>
  <si>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</si>
  <si>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</si>
  <si>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</si>
  <si>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</si>
  <si>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</si>
  <si>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</si>
  <si>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</si>
  <si>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</si>
  <si>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</si>
  <si>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</si>
  <si>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</si>
  <si>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</si>
  <si>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</si>
  <si>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</si>
  <si>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</si>
  <si>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</si>
  <si>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</si>
  <si>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</si>
  <si>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</si>
  <si>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</si>
  <si>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</si>
  <si>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</si>
  <si>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</si>
  <si>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</si>
  <si>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</si>
  <si>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</si>
  <si>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</si>
  <si>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</si>
  <si>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</si>
  <si>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</si>
  <si>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</si>
  <si>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</si>
  <si>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</si>
  <si>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</si>
  <si>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</si>
  <si>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</si>
  <si>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</si>
  <si>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</si>
  <si>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</si>
  <si>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</si>
  <si>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</si>
  <si>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</si>
  <si>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</si>
  <si>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</si>
  <si>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</si>
  <si>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</si>
  <si>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</si>
  <si>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</si>
  <si>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</si>
  <si>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</si>
  <si>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</si>
  <si>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</si>
  <si>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</si>
  <si>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</si>
  <si>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</si>
  <si>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</si>
  <si>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</si>
  <si>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</si>
  <si>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</si>
  <si>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</si>
  <si>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</si>
  <si>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</si>
  <si>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</si>
  <si>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</si>
  <si>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</si>
  <si>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</si>
  <si>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</si>
  <si>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</si>
  <si>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</si>
  <si>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</si>
  <si>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</si>
  <si>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</si>
  <si>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</si>
  <si>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</si>
  <si>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</si>
  <si>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</si>
  <si>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</si>
  <si>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</si>
  <si>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</si>
  <si>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</si>
  <si>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</si>
  <si>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</si>
  <si>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</si>
  <si>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</si>
  <si>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</si>
  <si>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</si>
  <si>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</si>
  <si>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</si>
  <si>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</si>
  <si>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</si>
  <si>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</si>
  <si>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</si>
  <si>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</si>
  <si>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</si>
  <si>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</si>
  <si>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</si>
  <si>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</si>
  <si>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</si>
  <si>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</si>
  <si>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</si>
  <si>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</si>
  <si>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</si>
  <si>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</si>
  <si>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</si>
  <si>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</si>
  <si>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</si>
  <si>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</si>
  <si>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</si>
  <si>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</si>
  <si>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</si>
  <si>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</si>
  <si>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</si>
  <si>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</si>
  <si>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</si>
  <si>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</si>
  <si>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</si>
  <si>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</si>
  <si>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</si>
  <si>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</si>
  <si>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</si>
  <si>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</si>
  <si>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</si>
  <si>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</si>
  <si>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</si>
  <si>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</si>
  <si>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</si>
  <si>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</si>
  <si>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</si>
  <si>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</si>
  <si>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</si>
  <si>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</si>
  <si>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</si>
  <si>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</si>
  <si>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</si>
  <si>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</si>
  <si>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</si>
  <si>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</si>
  <si>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</si>
  <si>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</si>
  <si>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</si>
  <si>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</si>
  <si>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</si>
  <si>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</si>
  <si>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</si>
  <si>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</si>
  <si>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</si>
  <si>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</si>
  <si>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</si>
  <si>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</si>
  <si>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</si>
  <si>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</si>
  <si>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</si>
  <si>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</si>
  <si>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</si>
  <si>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</si>
  <si>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</si>
  <si>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</si>
  <si>
    <t>BQNAUE</t>
  </si>
  <si>
    <t>INSTALLATION CHEF LA AGWE</t>
  </si>
  <si>
    <t>OPERATIONS DU JOUR</t>
  </si>
  <si>
    <t>EN COMPTE</t>
  </si>
  <si>
    <t>ACHAT TERRAIN</t>
  </si>
  <si>
    <t>AUTRES DEPENSES</t>
  </si>
  <si>
    <t>TERRAIN NYOM</t>
  </si>
  <si>
    <t>REMBOURSEMENT DETTE HOTCHO</t>
  </si>
  <si>
    <t>REMB DETTE NGONDIEP PLAQUETTE</t>
  </si>
  <si>
    <t>PLUS VALUE</t>
  </si>
  <si>
    <t>COMPLEMENT TONTINE</t>
  </si>
  <si>
    <t>ASCOBA</t>
  </si>
  <si>
    <t>AS201662</t>
  </si>
  <si>
    <t>TONTINE 50 000</t>
  </si>
  <si>
    <t>VERSEMENT BANQUE</t>
  </si>
  <si>
    <t>VERSEMENT ESPECES</t>
  </si>
  <si>
    <t>AUTRE VERSEMENTS</t>
  </si>
  <si>
    <t>NGIEMENI</t>
  </si>
  <si>
    <t>KOUAMOU MOISE</t>
  </si>
  <si>
    <t>KOUATCHO</t>
  </si>
  <si>
    <t>NANKAM</t>
  </si>
  <si>
    <t>DJOHOU JEAN PAUL</t>
  </si>
  <si>
    <t>SEUMOU POLYCARPE</t>
  </si>
  <si>
    <t>DJOMO TCHAPDA</t>
  </si>
  <si>
    <t>NKAMGANG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</si>
</sst>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_€"/>
    <numFmt numFmtId="165" formatCode="#,##0;[Red]#,##0"/>
    <numFmt numFmtId="166" formatCode="#,##0_ ;[Red]\-#,##0\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b/>
      <sz val="14"/>
      <color theme="1"/>
      <name val="Britannic Bold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rgb="FFFFC00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35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3" fontId="3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LISTEADHEREN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TABBHISTOBQU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TONTINE75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TONTINE4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HISTOB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C36" t="str">
            <v>SIMO FONGANG ERIC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  <row r="40">
          <cell r="A40" t="str">
            <v>AS201662</v>
          </cell>
          <cell r="B40">
            <v>44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5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F26">
            <v>100000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D36">
            <v>50000</v>
          </cell>
          <cell r="F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5281000</v>
          </cell>
          <cell r="D40">
            <v>200000</v>
          </cell>
          <cell r="E40">
            <v>0</v>
          </cell>
          <cell r="F40">
            <v>5481000</v>
          </cell>
          <cell r="G40">
            <v>0</v>
          </cell>
        </row>
      </sheetData>
      <sheetData sheetId="4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4574000</v>
          </cell>
          <cell r="D40">
            <v>283000</v>
          </cell>
          <cell r="E40">
            <v>0</v>
          </cell>
          <cell r="F40">
            <v>4857000</v>
          </cell>
          <cell r="G40">
            <v>0</v>
          </cell>
        </row>
      </sheetData>
      <sheetData sheetId="5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6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362000</v>
          </cell>
          <cell r="F18">
            <v>362000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517000</v>
          </cell>
          <cell r="F20">
            <v>517000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5499500</v>
          </cell>
          <cell r="D40">
            <v>400000</v>
          </cell>
          <cell r="E40">
            <v>0</v>
          </cell>
          <cell r="F40">
            <v>5899500</v>
          </cell>
          <cell r="G40">
            <v>0</v>
          </cell>
        </row>
      </sheetData>
      <sheetData sheetId="7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140000</v>
          </cell>
          <cell r="F10">
            <v>140000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376000</v>
          </cell>
          <cell r="F11">
            <v>376000</v>
          </cell>
        </row>
        <row r="12">
          <cell r="A12" t="str">
            <v>AS201608</v>
          </cell>
          <cell r="B12" t="str">
            <v>DJUOMBESSY ANTOINE</v>
          </cell>
          <cell r="C12">
            <v>825000</v>
          </cell>
          <cell r="D12">
            <v>5000</v>
          </cell>
          <cell r="F12">
            <v>830000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365000</v>
          </cell>
          <cell r="D18">
            <v>1003000</v>
          </cell>
          <cell r="F18">
            <v>1368000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296000</v>
          </cell>
          <cell r="D20">
            <v>101000</v>
          </cell>
          <cell r="F20">
            <v>397000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580000</v>
          </cell>
          <cell r="F25">
            <v>580000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226000</v>
          </cell>
          <cell r="F32">
            <v>226000</v>
          </cell>
        </row>
        <row r="33">
          <cell r="A33" t="str">
            <v>AS201660</v>
          </cell>
          <cell r="B33" t="str">
            <v>TCHOUATEU AUGUSTIN</v>
          </cell>
          <cell r="C33">
            <v>160000</v>
          </cell>
          <cell r="F33">
            <v>160000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53000</v>
          </cell>
          <cell r="F36">
            <v>53000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5683000</v>
          </cell>
          <cell r="D40">
            <v>1315000</v>
          </cell>
          <cell r="E40">
            <v>0</v>
          </cell>
          <cell r="F40">
            <v>6998000</v>
          </cell>
          <cell r="G40">
            <v>0</v>
          </cell>
        </row>
      </sheetData>
      <sheetData sheetId="8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D8">
            <v>10000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300000</v>
          </cell>
          <cell r="F9">
            <v>300000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128000</v>
          </cell>
          <cell r="F10">
            <v>128000</v>
          </cell>
        </row>
        <row r="11">
          <cell r="A11" t="str">
            <v>AS201605</v>
          </cell>
          <cell r="B11" t="str">
            <v>DJOUKWE NANGUEN GUY BLAISE</v>
          </cell>
          <cell r="C11">
            <v>404000</v>
          </cell>
          <cell r="F11">
            <v>404000</v>
          </cell>
        </row>
        <row r="12">
          <cell r="A12" t="str">
            <v>AS201608</v>
          </cell>
          <cell r="B12" t="str">
            <v>DJUOMBESSY ANTOINE</v>
          </cell>
          <cell r="C12">
            <v>795000</v>
          </cell>
          <cell r="F12">
            <v>795000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201000</v>
          </cell>
          <cell r="F17">
            <v>201000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128000</v>
          </cell>
          <cell r="F22">
            <v>128000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415000</v>
          </cell>
          <cell r="F25">
            <v>415000</v>
          </cell>
        </row>
        <row r="26">
          <cell r="A26" t="str">
            <v>AS201628</v>
          </cell>
          <cell r="B26" t="str">
            <v>NKAMGANG JUSTIN DEJOLIE</v>
          </cell>
          <cell r="C26">
            <v>101000</v>
          </cell>
          <cell r="F26">
            <v>101000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200000</v>
          </cell>
          <cell r="D31">
            <v>10000</v>
          </cell>
          <cell r="F31">
            <v>210000</v>
          </cell>
        </row>
        <row r="32">
          <cell r="A32" t="str">
            <v>AS201641</v>
          </cell>
          <cell r="B32" t="str">
            <v>TCHOUAMOU MATHIEU</v>
          </cell>
          <cell r="C32">
            <v>327000</v>
          </cell>
          <cell r="F32">
            <v>327000</v>
          </cell>
        </row>
        <row r="33">
          <cell r="A33" t="str">
            <v>AS201660</v>
          </cell>
          <cell r="B33" t="str">
            <v>TCHOUATEU AUGUSTIN</v>
          </cell>
          <cell r="C33">
            <v>170000</v>
          </cell>
          <cell r="F33">
            <v>170000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5610000</v>
          </cell>
          <cell r="D40">
            <v>544000</v>
          </cell>
          <cell r="E40">
            <v>0</v>
          </cell>
          <cell r="F40">
            <v>5936000</v>
          </cell>
          <cell r="G40">
            <v>0</v>
          </cell>
        </row>
      </sheetData>
      <sheetData sheetId="9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159000</v>
          </cell>
          <cell r="F10">
            <v>159000</v>
          </cell>
        </row>
        <row r="11">
          <cell r="A11" t="str">
            <v>AS201605</v>
          </cell>
          <cell r="B11" t="str">
            <v>DJOUKWE NANGUEN GUY BLAISE</v>
          </cell>
          <cell r="C11">
            <v>216000</v>
          </cell>
          <cell r="F11">
            <v>216000</v>
          </cell>
        </row>
        <row r="12">
          <cell r="A12" t="str">
            <v>AS201608</v>
          </cell>
          <cell r="B12" t="str">
            <v>DJUOMBESSY ANTOINE</v>
          </cell>
          <cell r="C12">
            <v>340000</v>
          </cell>
          <cell r="F12">
            <v>340000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240000</v>
          </cell>
          <cell r="F16">
            <v>240000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D17">
            <v>100000</v>
          </cell>
          <cell r="F17">
            <v>250000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D18">
            <v>0</v>
          </cell>
          <cell r="E18">
            <v>0</v>
          </cell>
          <cell r="F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516000</v>
          </cell>
          <cell r="F20">
            <v>516000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502000</v>
          </cell>
          <cell r="F23">
            <v>502000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E24">
            <v>500000</v>
          </cell>
          <cell r="F24">
            <v>740000</v>
          </cell>
        </row>
        <row r="25">
          <cell r="A25" t="str">
            <v>AS201626</v>
          </cell>
          <cell r="B25" t="str">
            <v>NGUIEMEGNI MATHIEU BLAISE</v>
          </cell>
          <cell r="C25">
            <v>436000</v>
          </cell>
          <cell r="F25">
            <v>436000</v>
          </cell>
        </row>
        <row r="26">
          <cell r="A26" t="str">
            <v>AS201628</v>
          </cell>
          <cell r="B26" t="str">
            <v>NKAMGANG JUSTIN DEJOLIE</v>
          </cell>
          <cell r="C26">
            <v>74000</v>
          </cell>
          <cell r="F26">
            <v>74000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379000</v>
          </cell>
          <cell r="F30">
            <v>379000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2227000</v>
          </cell>
          <cell r="F32">
            <v>2227000</v>
          </cell>
        </row>
        <row r="33">
          <cell r="A33" t="str">
            <v>AS201660</v>
          </cell>
          <cell r="B33" t="str">
            <v>TCHOUATEU AUGUSTIN</v>
          </cell>
          <cell r="C33">
            <v>160000</v>
          </cell>
          <cell r="F33">
            <v>160000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7609000</v>
          </cell>
          <cell r="D40">
            <v>150000</v>
          </cell>
          <cell r="E40">
            <v>500000</v>
          </cell>
          <cell r="F40">
            <v>8099000</v>
          </cell>
          <cell r="G40">
            <v>0</v>
          </cell>
        </row>
      </sheetData>
      <sheetData sheetId="10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150000</v>
          </cell>
          <cell r="F33">
            <v>150000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F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4435000</v>
          </cell>
          <cell r="D40">
            <v>0</v>
          </cell>
          <cell r="E40">
            <v>0</v>
          </cell>
          <cell r="F40">
            <v>4435000</v>
          </cell>
          <cell r="G40">
            <v>0</v>
          </cell>
        </row>
      </sheetData>
      <sheetData sheetId="11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110000</v>
          </cell>
          <cell r="F7">
            <v>110000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128000</v>
          </cell>
          <cell r="F8">
            <v>128000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290000</v>
          </cell>
          <cell r="F10">
            <v>290000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D17">
            <v>210000</v>
          </cell>
          <cell r="F17">
            <v>360000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D24">
            <v>209000</v>
          </cell>
          <cell r="F24">
            <v>434000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150000</v>
          </cell>
          <cell r="F33">
            <v>150000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4025000</v>
          </cell>
          <cell r="D40">
            <v>1100000</v>
          </cell>
          <cell r="E40">
            <v>0</v>
          </cell>
          <cell r="F40">
            <v>5125000</v>
          </cell>
          <cell r="G40">
            <v>0</v>
          </cell>
        </row>
      </sheetData>
      <sheetData sheetId="12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452000</v>
          </cell>
          <cell r="F9">
            <v>452000</v>
          </cell>
        </row>
        <row r="10">
          <cell r="A10" t="str">
            <v>AS201654</v>
          </cell>
          <cell r="B10" t="str">
            <v>DJOMOU TCHAPDA</v>
          </cell>
          <cell r="C10">
            <v>238000</v>
          </cell>
          <cell r="F10">
            <v>238000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176500</v>
          </cell>
          <cell r="F11">
            <v>176500</v>
          </cell>
        </row>
        <row r="12">
          <cell r="A12" t="str">
            <v>AS201608</v>
          </cell>
          <cell r="B12" t="str">
            <v>DJUOMBESSY ANTOINE</v>
          </cell>
          <cell r="C12">
            <v>632000</v>
          </cell>
          <cell r="F12">
            <v>632000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442000</v>
          </cell>
          <cell r="F16">
            <v>442000</v>
          </cell>
        </row>
        <row r="17">
          <cell r="A17" t="str">
            <v>AS201617</v>
          </cell>
          <cell r="B17" t="str">
            <v>KOUAMOU MOISE</v>
          </cell>
          <cell r="C17">
            <v>353000</v>
          </cell>
          <cell r="F17">
            <v>353000</v>
          </cell>
        </row>
        <row r="18">
          <cell r="A18" t="str">
            <v>AS201619</v>
          </cell>
          <cell r="B18" t="str">
            <v>KOUATCHO MESSACK</v>
          </cell>
          <cell r="C18">
            <v>251000</v>
          </cell>
          <cell r="F18">
            <v>251000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539000</v>
          </cell>
          <cell r="F20">
            <v>539000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430000</v>
          </cell>
          <cell r="F24">
            <v>430000</v>
          </cell>
        </row>
        <row r="25">
          <cell r="A25" t="str">
            <v>AS201626</v>
          </cell>
          <cell r="B25" t="str">
            <v>NGUIEMEGNI MATHIEU BLAISE</v>
          </cell>
          <cell r="C25">
            <v>618000</v>
          </cell>
          <cell r="F25">
            <v>618000</v>
          </cell>
        </row>
        <row r="26">
          <cell r="A26" t="str">
            <v>AS201628</v>
          </cell>
          <cell r="B26" t="str">
            <v>NKAMGANG JUSTIN DEJOLIE</v>
          </cell>
          <cell r="C26">
            <v>111000</v>
          </cell>
          <cell r="F26">
            <v>111000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452000</v>
          </cell>
          <cell r="F30">
            <v>452000</v>
          </cell>
        </row>
        <row r="31">
          <cell r="A31" t="str">
            <v>AS201638</v>
          </cell>
          <cell r="B31" t="str">
            <v>SIMO PIERRE</v>
          </cell>
          <cell r="C31">
            <v>180000</v>
          </cell>
          <cell r="F31">
            <v>180000</v>
          </cell>
        </row>
        <row r="32">
          <cell r="A32" t="str">
            <v>AS201641</v>
          </cell>
          <cell r="B32" t="str">
            <v>TCHOUAMOU MATHIEU</v>
          </cell>
          <cell r="C32">
            <v>234500</v>
          </cell>
          <cell r="F32">
            <v>234500</v>
          </cell>
        </row>
        <row r="33">
          <cell r="A33" t="str">
            <v>AS201660</v>
          </cell>
          <cell r="B33" t="str">
            <v>TCHOUATEU AUGUSTIN</v>
          </cell>
          <cell r="C33">
            <v>160000</v>
          </cell>
          <cell r="F33">
            <v>160000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6386000</v>
          </cell>
          <cell r="D40">
            <v>633000</v>
          </cell>
          <cell r="E40">
            <v>0</v>
          </cell>
          <cell r="F40">
            <v>7019000</v>
          </cell>
          <cell r="G40">
            <v>0</v>
          </cell>
        </row>
      </sheetData>
      <sheetData sheetId="13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D20">
            <v>51000</v>
          </cell>
          <cell r="F20">
            <v>276000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  <cell r="K23">
            <v>202000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D24">
            <v>205000</v>
          </cell>
          <cell r="F24">
            <v>430000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150000</v>
          </cell>
          <cell r="F33">
            <v>150000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4085000</v>
          </cell>
          <cell r="D40">
            <v>669000</v>
          </cell>
          <cell r="E40">
            <v>0</v>
          </cell>
          <cell r="F40">
            <v>4754000</v>
          </cell>
          <cell r="G40">
            <v>0</v>
          </cell>
        </row>
      </sheetData>
      <sheetData sheetId="14" refreshError="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  <cell r="H6">
            <v>2385</v>
          </cell>
          <cell r="I6" t="str">
            <v>OK</v>
          </cell>
          <cell r="K6">
            <v>-175000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  <cell r="K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D8">
            <v>500000</v>
          </cell>
          <cell r="F8">
            <v>625000</v>
          </cell>
          <cell r="I8" t="str">
            <v>OK</v>
          </cell>
          <cell r="J8">
            <v>125000</v>
          </cell>
          <cell r="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800000</v>
          </cell>
          <cell r="F9">
            <v>1050000</v>
          </cell>
          <cell r="I9" t="str">
            <v>OK</v>
          </cell>
          <cell r="J9">
            <v>351000</v>
          </cell>
          <cell r="K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1307000</v>
          </cell>
          <cell r="F10">
            <v>1307000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228000</v>
          </cell>
          <cell r="F11">
            <v>228000</v>
          </cell>
          <cell r="K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D12">
            <v>637500</v>
          </cell>
          <cell r="F12">
            <v>967500</v>
          </cell>
          <cell r="I12" t="str">
            <v>OK</v>
          </cell>
          <cell r="J12">
            <v>400000</v>
          </cell>
          <cell r="K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  <cell r="I13" t="str">
            <v>OK</v>
          </cell>
          <cell r="J13">
            <v>1050000</v>
          </cell>
          <cell r="K13">
            <v>1000000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  <cell r="I14" t="str">
            <v>OK</v>
          </cell>
          <cell r="J14">
            <v>50000</v>
          </cell>
          <cell r="K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F15">
            <v>125000</v>
          </cell>
          <cell r="K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D16">
            <v>202000</v>
          </cell>
          <cell r="F16">
            <v>452000</v>
          </cell>
          <cell r="I16" t="str">
            <v>OK</v>
          </cell>
          <cell r="J16">
            <v>952000</v>
          </cell>
          <cell r="K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  <cell r="I17" t="str">
            <v>OK</v>
          </cell>
          <cell r="J17">
            <v>260000</v>
          </cell>
          <cell r="K17">
            <v>110000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  <cell r="I18" t="str">
            <v>OK</v>
          </cell>
          <cell r="J18">
            <v>611000</v>
          </cell>
          <cell r="K18">
            <v>461000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  <cell r="I19" t="str">
            <v>OK</v>
          </cell>
          <cell r="J19">
            <v>50000</v>
          </cell>
          <cell r="K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D20">
            <v>1536000</v>
          </cell>
          <cell r="F20">
            <v>1761000</v>
          </cell>
          <cell r="I20" t="str">
            <v>OK</v>
          </cell>
          <cell r="J20">
            <v>202000</v>
          </cell>
          <cell r="K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66500</v>
          </cell>
          <cell r="F21">
            <v>66500</v>
          </cell>
          <cell r="K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  <cell r="I22" t="str">
            <v>OK</v>
          </cell>
          <cell r="J22">
            <v>125000</v>
          </cell>
          <cell r="K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  <cell r="I23" t="str">
            <v>OK</v>
          </cell>
          <cell r="J23">
            <v>1164000</v>
          </cell>
          <cell r="K23">
            <v>904000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D24">
            <v>500000</v>
          </cell>
          <cell r="F24">
            <v>725000</v>
          </cell>
          <cell r="I24" t="str">
            <v>OK</v>
          </cell>
          <cell r="J24">
            <v>442000</v>
          </cell>
          <cell r="K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  <cell r="I25" t="str">
            <v>OK</v>
          </cell>
          <cell r="J25">
            <v>375000</v>
          </cell>
          <cell r="K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1050000</v>
          </cell>
          <cell r="F26">
            <v>1050000</v>
          </cell>
          <cell r="K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I27" t="str">
            <v>OK</v>
          </cell>
          <cell r="J27">
            <v>50000</v>
          </cell>
          <cell r="K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  <cell r="I28" t="str">
            <v>OK</v>
          </cell>
          <cell r="J28">
            <v>125000</v>
          </cell>
          <cell r="K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  <cell r="I29" t="str">
            <v>OK</v>
          </cell>
          <cell r="J29">
            <v>110000</v>
          </cell>
          <cell r="K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D30">
            <v>1000000</v>
          </cell>
          <cell r="F30">
            <v>1250000</v>
          </cell>
          <cell r="I30" t="str">
            <v>OK</v>
          </cell>
          <cell r="J30">
            <v>452000</v>
          </cell>
          <cell r="K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  <cell r="I31" t="str">
            <v>OK</v>
          </cell>
          <cell r="J31">
            <v>1150000</v>
          </cell>
          <cell r="K31">
            <v>1000000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  <cell r="I32" t="str">
            <v>OK</v>
          </cell>
          <cell r="J32">
            <v>125000</v>
          </cell>
          <cell r="K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150000</v>
          </cell>
          <cell r="F33">
            <v>150000</v>
          </cell>
          <cell r="I33" t="str">
            <v>OK</v>
          </cell>
          <cell r="J33">
            <v>160000</v>
          </cell>
          <cell r="K33">
            <v>10000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  <cell r="K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  <cell r="I35" t="str">
            <v>OK</v>
          </cell>
          <cell r="J35">
            <v>350000</v>
          </cell>
          <cell r="K35">
            <v>290000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  <cell r="K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F37">
            <v>150000</v>
          </cell>
          <cell r="K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  <cell r="I38" t="str">
            <v>OK</v>
          </cell>
          <cell r="J38">
            <v>125000</v>
          </cell>
          <cell r="K38">
            <v>0</v>
          </cell>
        </row>
        <row r="40">
          <cell r="B40" t="str">
            <v>TOTAUX</v>
          </cell>
          <cell r="C40">
            <v>3710000</v>
          </cell>
          <cell r="D40">
            <v>8252000</v>
          </cell>
          <cell r="E40">
            <v>0</v>
          </cell>
          <cell r="F40">
            <v>11962000</v>
          </cell>
          <cell r="G40">
            <v>0</v>
          </cell>
          <cell r="H40">
            <v>0</v>
          </cell>
          <cell r="J40">
            <v>8804000</v>
          </cell>
          <cell r="K40">
            <v>3660000</v>
          </cell>
        </row>
      </sheetData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 refreshError="1"/>
      <sheetData sheetId="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ESPECES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  <cell r="Q15">
            <v>288000</v>
          </cell>
          <cell r="R15">
            <v>12000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M17">
            <v>0</v>
          </cell>
          <cell r="N17" t="str">
            <v>ECHEC</v>
          </cell>
          <cell r="O17" t="str">
            <v>BANQUE</v>
          </cell>
          <cell r="P17">
            <v>0</v>
          </cell>
          <cell r="Q17">
            <v>287000</v>
          </cell>
          <cell r="R17">
            <v>13000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287000</v>
          </cell>
          <cell r="R25">
            <v>13000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295000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47000</v>
          </cell>
          <cell r="F35">
            <v>-3000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60000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3000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284000</v>
          </cell>
          <cell r="R10">
            <v>16000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  <cell r="Q16">
            <v>283000</v>
          </cell>
          <cell r="R16">
            <v>17000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51000</v>
          </cell>
          <cell r="I28">
            <v>1000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80000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72000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61000</v>
          </cell>
          <cell r="M6">
            <v>61000</v>
          </cell>
          <cell r="N6" t="str">
            <v>BANQUE</v>
          </cell>
          <cell r="O6" t="str">
            <v>BANQUE</v>
          </cell>
          <cell r="P6">
            <v>0</v>
          </cell>
          <cell r="Q6">
            <v>290000</v>
          </cell>
          <cell r="R6">
            <v>10000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 t="str">
            <v>BANQUE</v>
          </cell>
          <cell r="P8">
            <v>0</v>
          </cell>
          <cell r="Q8">
            <v>282000</v>
          </cell>
          <cell r="R8">
            <v>18000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44000</v>
          </cell>
          <cell r="F9">
            <v>0</v>
          </cell>
          <cell r="G9" t="str">
            <v>BANQUE</v>
          </cell>
          <cell r="H9">
            <v>39000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40000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 t="str">
            <v>BANQUE</v>
          </cell>
          <cell r="P21">
            <v>0</v>
          </cell>
          <cell r="Q21">
            <v>283000</v>
          </cell>
          <cell r="R21">
            <v>17000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53000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40000</v>
          </cell>
          <cell r="I28">
            <v>2500</v>
          </cell>
          <cell r="J28">
            <v>0</v>
          </cell>
          <cell r="K28">
            <v>0</v>
          </cell>
          <cell r="L28">
            <v>52000</v>
          </cell>
          <cell r="M28">
            <v>52000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100000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47500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40000</v>
          </cell>
          <cell r="M9">
            <v>40000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60000</v>
          </cell>
          <cell r="F10">
            <v>0</v>
          </cell>
          <cell r="G10" t="str">
            <v>BANQUE</v>
          </cell>
          <cell r="H10">
            <v>41000</v>
          </cell>
          <cell r="I10">
            <v>2000</v>
          </cell>
          <cell r="J10" t="str">
            <v>BANQUE</v>
          </cell>
          <cell r="K10">
            <v>0</v>
          </cell>
          <cell r="L10">
            <v>41000</v>
          </cell>
          <cell r="M10">
            <v>41000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  <cell r="Q14">
            <v>290000</v>
          </cell>
          <cell r="R14">
            <v>10000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75000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 t="str">
            <v>BANQUE</v>
          </cell>
          <cell r="P24">
            <v>0</v>
          </cell>
          <cell r="Q24">
            <v>289000</v>
          </cell>
          <cell r="R24">
            <v>11000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42500</v>
          </cell>
          <cell r="M28">
            <v>42500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  <cell r="Q31">
            <v>289500</v>
          </cell>
          <cell r="R31">
            <v>10500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130000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48000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43000</v>
          </cell>
          <cell r="M10">
            <v>43000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50000</v>
          </cell>
          <cell r="I16">
            <v>500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63000</v>
          </cell>
          <cell r="F17">
            <v>3000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  <cell r="Q20">
            <v>297000</v>
          </cell>
          <cell r="R20">
            <v>3000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70000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75000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49500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50000</v>
          </cell>
          <cell r="I25">
            <v>500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 t="str">
            <v>BANQUE</v>
          </cell>
          <cell r="P30">
            <v>0</v>
          </cell>
          <cell r="Q30">
            <v>296500</v>
          </cell>
          <cell r="R30">
            <v>3500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60000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46000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ESPECES</v>
          </cell>
          <cell r="H9">
            <v>30000</v>
          </cell>
          <cell r="I9">
            <v>500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55000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59000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50500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50500</v>
          </cell>
          <cell r="M16">
            <v>50500</v>
          </cell>
          <cell r="N16" t="str">
            <v>BANQUE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53000</v>
          </cell>
          <cell r="F21">
            <v>3000</v>
          </cell>
          <cell r="G21" t="str">
            <v>ESPECES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  <cell r="Q22">
            <v>297000</v>
          </cell>
          <cell r="R22">
            <v>3000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  <cell r="Q23">
            <v>297000</v>
          </cell>
          <cell r="R23">
            <v>3000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55500</v>
          </cell>
          <cell r="F24">
            <v>0</v>
          </cell>
          <cell r="G24" t="str">
            <v>BANQUE</v>
          </cell>
          <cell r="H24">
            <v>60000</v>
          </cell>
          <cell r="I24">
            <v>1000</v>
          </cell>
          <cell r="J24" t="str">
            <v>BANQUE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50500</v>
          </cell>
          <cell r="F25">
            <v>0</v>
          </cell>
          <cell r="G25" t="str">
            <v>BANQUE</v>
          </cell>
          <cell r="H25">
            <v>23500</v>
          </cell>
          <cell r="I25">
            <v>500</v>
          </cell>
          <cell r="J25" t="str">
            <v>BANQUE</v>
          </cell>
          <cell r="K25">
            <v>0</v>
          </cell>
          <cell r="L25">
            <v>50500</v>
          </cell>
          <cell r="M25">
            <v>50500</v>
          </cell>
          <cell r="N25" t="str">
            <v>BANQUE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  <cell r="Q29">
            <v>297000</v>
          </cell>
          <cell r="R29">
            <v>3000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70000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6000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53500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30500</v>
          </cell>
          <cell r="M9">
            <v>30500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56600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 t="str">
            <v>BANQUE</v>
          </cell>
          <cell r="P11">
            <v>0</v>
          </cell>
          <cell r="Q11">
            <v>297000</v>
          </cell>
          <cell r="R11">
            <v>3000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297500</v>
          </cell>
          <cell r="R12">
            <v>2500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53000</v>
          </cell>
          <cell r="F16">
            <v>3000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 t="str">
            <v>BANQUE</v>
          </cell>
          <cell r="P19">
            <v>0</v>
          </cell>
          <cell r="Q19">
            <v>297500</v>
          </cell>
          <cell r="R19">
            <v>2500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70000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30000</v>
          </cell>
          <cell r="I24">
            <v>1000</v>
          </cell>
          <cell r="J24" t="str">
            <v>BANQUE</v>
          </cell>
          <cell r="K24">
            <v>0</v>
          </cell>
          <cell r="L24">
            <v>61000</v>
          </cell>
          <cell r="M24">
            <v>61000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24000</v>
          </cell>
          <cell r="M25">
            <v>24000</v>
          </cell>
          <cell r="N25" t="str">
            <v>BANQUE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54500</v>
          </cell>
          <cell r="I28">
            <v>1500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53000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1050000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60000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3000</v>
          </cell>
          <cell r="G6" t="str">
            <v>BANQUE</v>
          </cell>
          <cell r="H6">
            <v>57000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60000</v>
          </cell>
          <cell r="I9">
            <v>1000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297500</v>
          </cell>
          <cell r="R9">
            <v>2500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84000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45000</v>
          </cell>
          <cell r="F16">
            <v>0</v>
          </cell>
          <cell r="G16" t="str">
            <v>BANQUE</v>
          </cell>
          <cell r="H16">
            <v>30000</v>
          </cell>
          <cell r="I16">
            <v>500</v>
          </cell>
          <cell r="J16" t="str">
            <v>BANQUE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58000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46500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297500</v>
          </cell>
          <cell r="R27">
            <v>2500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49000</v>
          </cell>
          <cell r="F28">
            <v>0</v>
          </cell>
          <cell r="G28" t="str">
            <v>BANQUE</v>
          </cell>
          <cell r="H28">
            <v>60000</v>
          </cell>
          <cell r="I28">
            <v>1000</v>
          </cell>
          <cell r="J28" t="str">
            <v>BANQUE</v>
          </cell>
          <cell r="K28">
            <v>0</v>
          </cell>
          <cell r="L28">
            <v>56000</v>
          </cell>
          <cell r="M28">
            <v>56000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60000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52000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58000</v>
          </cell>
          <cell r="M6">
            <v>58000</v>
          </cell>
          <cell r="N6" t="str">
            <v>ESPECES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53000</v>
          </cell>
          <cell r="F7">
            <v>3000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ESPECES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ESPECES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52500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47500</v>
          </cell>
          <cell r="F16">
            <v>3000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30500</v>
          </cell>
          <cell r="M16">
            <v>30500</v>
          </cell>
          <cell r="N16" t="str">
            <v>BANQUE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68000</v>
          </cell>
          <cell r="F23">
            <v>3000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51000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51000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61000</v>
          </cell>
          <cell r="M28">
            <v>61000</v>
          </cell>
          <cell r="N28" t="str">
            <v>BANQUE</v>
          </cell>
          <cell r="O28">
            <v>0</v>
          </cell>
          <cell r="P28">
            <v>0</v>
          </cell>
          <cell r="Q28">
            <v>297000</v>
          </cell>
          <cell r="R28">
            <v>3000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29500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224000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 t="str">
            <v>BANQUE</v>
          </cell>
          <cell r="P32">
            <v>0</v>
          </cell>
          <cell r="Q32">
            <v>294000</v>
          </cell>
          <cell r="R32">
            <v>6000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50000</v>
          </cell>
          <cell r="E33">
            <v>106250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753000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 t="str">
            <v>BANQUE</v>
          </cell>
          <cell r="P36">
            <v>0</v>
          </cell>
          <cell r="Q36">
            <v>296000</v>
          </cell>
          <cell r="R36">
            <v>4000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297500</v>
          </cell>
          <cell r="R7">
            <v>2500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51000</v>
          </cell>
          <cell r="F9">
            <v>0</v>
          </cell>
          <cell r="G9" t="str">
            <v>BANQUE</v>
          </cell>
          <cell r="H9">
            <v>60500</v>
          </cell>
          <cell r="I9">
            <v>1500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50500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  <cell r="Q26">
            <v>297500</v>
          </cell>
          <cell r="R26">
            <v>2500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60000</v>
          </cell>
          <cell r="I28">
            <v>1500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30000</v>
          </cell>
          <cell r="M30">
            <v>30000</v>
          </cell>
          <cell r="N30" t="str">
            <v>BANQUE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145000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 t="str">
            <v>BANQUE</v>
          </cell>
          <cell r="P37">
            <v>0</v>
          </cell>
          <cell r="Q37">
            <v>297500</v>
          </cell>
          <cell r="R37">
            <v>2500</v>
          </cell>
        </row>
        <row r="39">
          <cell r="A39" t="str">
            <v>TOTAL PART</v>
          </cell>
          <cell r="B39">
            <v>32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47000</v>
          </cell>
          <cell r="F9">
            <v>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62000</v>
          </cell>
          <cell r="M9">
            <v>62000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57000</v>
          </cell>
          <cell r="F11">
            <v>0</v>
          </cell>
          <cell r="G11" t="str">
            <v>BANQUE</v>
          </cell>
          <cell r="H11">
            <v>60000</v>
          </cell>
          <cell r="I11">
            <v>1000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53000</v>
          </cell>
          <cell r="F13">
            <v>3000</v>
          </cell>
          <cell r="G13" t="str">
            <v>ESPECES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297500</v>
          </cell>
          <cell r="R13">
            <v>2500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57000</v>
          </cell>
          <cell r="F17">
            <v>3000</v>
          </cell>
          <cell r="G17" t="str">
            <v>ESPECES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130000</v>
          </cell>
          <cell r="I19">
            <v>2000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68000</v>
          </cell>
          <cell r="F23">
            <v>3000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54000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58500</v>
          </cell>
          <cell r="F28">
            <v>0</v>
          </cell>
          <cell r="G28" t="str">
            <v>BANQUE</v>
          </cell>
          <cell r="H28">
            <v>60000</v>
          </cell>
          <cell r="I28">
            <v>1000</v>
          </cell>
          <cell r="J28" t="str">
            <v>BANQUE</v>
          </cell>
          <cell r="K28">
            <v>0</v>
          </cell>
          <cell r="L28">
            <v>61500</v>
          </cell>
          <cell r="M28">
            <v>61500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60000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297500</v>
          </cell>
          <cell r="R34">
            <v>2500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61000</v>
          </cell>
          <cell r="M9">
            <v>61000</v>
          </cell>
          <cell r="N9" t="str">
            <v>ESPECES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ESPECES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61000</v>
          </cell>
          <cell r="M11">
            <v>61000</v>
          </cell>
          <cell r="N11" t="str">
            <v>BANQUE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105000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55500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347500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297500</v>
          </cell>
          <cell r="R18">
            <v>2500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132000</v>
          </cell>
          <cell r="M19">
            <v>132000</v>
          </cell>
          <cell r="N19" t="str">
            <v>BANQUE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ESPECES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77000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49000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61000</v>
          </cell>
          <cell r="M28">
            <v>61000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60000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347500</v>
          </cell>
          <cell r="F33">
            <v>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297500</v>
          </cell>
          <cell r="R33">
            <v>2500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297500</v>
          </cell>
          <cell r="R35">
            <v>2500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/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/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2000</v>
          </cell>
          <cell r="H9">
            <v>0</v>
          </cell>
          <cell r="I9">
            <v>0</v>
          </cell>
          <cell r="J9"/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/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840000</v>
          </cell>
          <cell r="P10">
            <v>60000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/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/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/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/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/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/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835000</v>
          </cell>
          <cell r="P16">
            <v>65000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/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/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/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A21" t="str">
            <v>TOTAL PART</v>
          </cell>
          <cell r="B21">
            <v>16</v>
          </cell>
          <cell r="G21"/>
        </row>
        <row r="22">
          <cell r="A22" t="str">
            <v>NBRE ADHERENT</v>
          </cell>
          <cell r="B22">
            <v>14</v>
          </cell>
          <cell r="C22"/>
          <cell r="D22">
            <v>1200000</v>
          </cell>
          <cell r="E22">
            <v>0</v>
          </cell>
          <cell r="F22">
            <v>200000</v>
          </cell>
          <cell r="G22">
            <v>4000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1675000</v>
          </cell>
          <cell r="P22">
            <v>125000</v>
          </cell>
        </row>
        <row r="23">
          <cell r="B23"/>
          <cell r="C23"/>
          <cell r="D23"/>
          <cell r="E23"/>
          <cell r="F23"/>
          <cell r="G23"/>
          <cell r="H23"/>
          <cell r="I23"/>
          <cell r="J23"/>
          <cell r="L23" t="str">
            <v>NBRE PART</v>
          </cell>
          <cell r="M23" t="str">
            <v>PART VENDUE</v>
          </cell>
          <cell r="N23"/>
        </row>
      </sheetData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101500</v>
          </cell>
          <cell r="G8">
            <v>2500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200000</v>
          </cell>
          <cell r="G9">
            <v>3000</v>
          </cell>
          <cell r="H9" t="str">
            <v>BANQUE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1500</v>
          </cell>
          <cell r="H13" t="str">
            <v>BANQUE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100000</v>
          </cell>
          <cell r="G18">
            <v>1000</v>
          </cell>
          <cell r="H18" t="str">
            <v>BANQUE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501500</v>
          </cell>
          <cell r="G22">
            <v>8000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104000</v>
          </cell>
          <cell r="K8">
            <v>104000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150000</v>
          </cell>
          <cell r="G9">
            <v>2000</v>
          </cell>
          <cell r="H9" t="str">
            <v>BANQUE</v>
          </cell>
          <cell r="I9">
            <v>0</v>
          </cell>
          <cell r="J9">
            <v>203000</v>
          </cell>
          <cell r="K9">
            <v>203000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100000</v>
          </cell>
          <cell r="G10">
            <v>1000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101500</v>
          </cell>
          <cell r="K13">
            <v>101500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34000</v>
          </cell>
          <cell r="G16">
            <v>500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875000</v>
          </cell>
          <cell r="P16">
            <v>25000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200000</v>
          </cell>
          <cell r="G18">
            <v>2000</v>
          </cell>
          <cell r="H18" t="str">
            <v>BANQUE</v>
          </cell>
          <cell r="I18">
            <v>0</v>
          </cell>
          <cell r="J18">
            <v>101000</v>
          </cell>
          <cell r="K18">
            <v>101000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684000</v>
          </cell>
          <cell r="G22">
            <v>7500</v>
          </cell>
          <cell r="H22">
            <v>0</v>
          </cell>
          <cell r="I22">
            <v>0</v>
          </cell>
          <cell r="J22">
            <v>509500</v>
          </cell>
          <cell r="K22">
            <v>509500</v>
          </cell>
          <cell r="L22">
            <v>0</v>
          </cell>
          <cell r="M22">
            <v>0</v>
          </cell>
          <cell r="N22">
            <v>0</v>
          </cell>
          <cell r="O22">
            <v>875000</v>
          </cell>
          <cell r="P22">
            <v>25000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ESPECES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56500</v>
          </cell>
          <cell r="G9">
            <v>1000</v>
          </cell>
          <cell r="H9" t="str">
            <v>BANQUE</v>
          </cell>
          <cell r="I9">
            <v>0</v>
          </cell>
          <cell r="J9">
            <v>152000</v>
          </cell>
          <cell r="K9">
            <v>152000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BANQUE</v>
          </cell>
          <cell r="N12">
            <v>0</v>
          </cell>
          <cell r="O12">
            <v>892500</v>
          </cell>
          <cell r="P12">
            <v>7500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ESPECES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34500</v>
          </cell>
          <cell r="K16">
            <v>34500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100000</v>
          </cell>
          <cell r="G18">
            <v>2000</v>
          </cell>
          <cell r="H18" t="str">
            <v>BANQUE</v>
          </cell>
          <cell r="I18">
            <v>0</v>
          </cell>
          <cell r="J18">
            <v>202000</v>
          </cell>
          <cell r="K18">
            <v>202000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256500</v>
          </cell>
          <cell r="G22">
            <v>5000</v>
          </cell>
          <cell r="H22">
            <v>0</v>
          </cell>
          <cell r="I22">
            <v>0</v>
          </cell>
          <cell r="J22">
            <v>691500</v>
          </cell>
          <cell r="K22">
            <v>691500</v>
          </cell>
          <cell r="L22">
            <v>0</v>
          </cell>
          <cell r="M22">
            <v>0</v>
          </cell>
          <cell r="N22">
            <v>0</v>
          </cell>
          <cell r="O22">
            <v>1785000</v>
          </cell>
          <cell r="P22">
            <v>15000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169000</v>
          </cell>
          <cell r="G9">
            <v>2000</v>
          </cell>
          <cell r="H9" t="str">
            <v>BANQUE</v>
          </cell>
          <cell r="I9">
            <v>0</v>
          </cell>
          <cell r="J9">
            <v>57500</v>
          </cell>
          <cell r="K9">
            <v>57500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200000</v>
          </cell>
          <cell r="G13">
            <v>2500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892500</v>
          </cell>
          <cell r="P15">
            <v>7500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100000</v>
          </cell>
          <cell r="G16">
            <v>1500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100000</v>
          </cell>
          <cell r="G18">
            <v>1000</v>
          </cell>
          <cell r="H18">
            <v>0</v>
          </cell>
          <cell r="I18">
            <v>0</v>
          </cell>
          <cell r="J18">
            <v>102000</v>
          </cell>
          <cell r="K18">
            <v>102000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569000</v>
          </cell>
          <cell r="G22">
            <v>7000</v>
          </cell>
          <cell r="H22">
            <v>0</v>
          </cell>
          <cell r="I22">
            <v>0</v>
          </cell>
          <cell r="J22">
            <v>261500</v>
          </cell>
          <cell r="K22">
            <v>261500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100000</v>
          </cell>
          <cell r="G8">
            <v>1000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101500</v>
          </cell>
          <cell r="G9">
            <v>1000</v>
          </cell>
          <cell r="H9" t="str">
            <v>BANQUE</v>
          </cell>
          <cell r="I9">
            <v>0</v>
          </cell>
          <cell r="J9">
            <v>171000</v>
          </cell>
          <cell r="K9">
            <v>171000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200000</v>
          </cell>
          <cell r="G11">
            <v>2000</v>
          </cell>
          <cell r="H11" t="str">
            <v>BANQUE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202500</v>
          </cell>
          <cell r="K13">
            <v>202500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82000</v>
          </cell>
          <cell r="G16">
            <v>1000</v>
          </cell>
          <cell r="H16" t="str">
            <v>BANQUE</v>
          </cell>
          <cell r="I16">
            <v>0</v>
          </cell>
          <cell r="J16">
            <v>101500</v>
          </cell>
          <cell r="K16">
            <v>101500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200000</v>
          </cell>
          <cell r="G18">
            <v>2000</v>
          </cell>
          <cell r="H18" t="str">
            <v>BANQUE</v>
          </cell>
          <cell r="I18">
            <v>0</v>
          </cell>
          <cell r="J18">
            <v>101000</v>
          </cell>
          <cell r="K18">
            <v>101000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883500</v>
          </cell>
          <cell r="G22">
            <v>9000</v>
          </cell>
          <cell r="H22">
            <v>0</v>
          </cell>
          <cell r="I22">
            <v>0</v>
          </cell>
          <cell r="J22">
            <v>576000</v>
          </cell>
          <cell r="K22">
            <v>576000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ESPECES</v>
          </cell>
          <cell r="F8">
            <v>50000</v>
          </cell>
          <cell r="G8">
            <v>1000</v>
          </cell>
          <cell r="H8" t="str">
            <v>BANQUE</v>
          </cell>
          <cell r="I8">
            <v>0</v>
          </cell>
          <cell r="J8">
            <v>101000</v>
          </cell>
          <cell r="K8">
            <v>101000</v>
          </cell>
          <cell r="L8" t="str">
            <v>ESPECES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102500</v>
          </cell>
          <cell r="K9">
            <v>102500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50000</v>
          </cell>
          <cell r="G13">
            <v>1000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83000</v>
          </cell>
          <cell r="K16">
            <v>83000</v>
          </cell>
          <cell r="L16" t="str">
            <v>BANQUE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107500</v>
          </cell>
          <cell r="G18">
            <v>2000</v>
          </cell>
          <cell r="H18" t="str">
            <v>BANQUE</v>
          </cell>
          <cell r="I18">
            <v>0</v>
          </cell>
          <cell r="J18">
            <v>202000</v>
          </cell>
          <cell r="K18">
            <v>202000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307500</v>
          </cell>
          <cell r="G22">
            <v>6000</v>
          </cell>
          <cell r="H22">
            <v>0</v>
          </cell>
          <cell r="I22">
            <v>0</v>
          </cell>
          <cell r="J22">
            <v>892500</v>
          </cell>
          <cell r="K22">
            <v>892500</v>
          </cell>
          <cell r="L22">
            <v>0</v>
          </cell>
          <cell r="M22">
            <v>0</v>
          </cell>
          <cell r="N22">
            <v>0</v>
          </cell>
          <cell r="O22">
            <v>1785000</v>
          </cell>
          <cell r="P22">
            <v>15000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100000</v>
          </cell>
          <cell r="G8">
            <v>1000</v>
          </cell>
          <cell r="H8" t="str">
            <v>BANQUE</v>
          </cell>
          <cell r="I8">
            <v>0</v>
          </cell>
          <cell r="J8">
            <v>51000</v>
          </cell>
          <cell r="K8">
            <v>51000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1000</v>
          </cell>
          <cell r="H9" t="str">
            <v>BANQUE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50000</v>
          </cell>
          <cell r="G13">
            <v>1000</v>
          </cell>
          <cell r="H13" t="str">
            <v>BANQUE</v>
          </cell>
          <cell r="I13">
            <v>0</v>
          </cell>
          <cell r="J13">
            <v>51000</v>
          </cell>
          <cell r="K13">
            <v>51000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109500</v>
          </cell>
          <cell r="K18">
            <v>109500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BANQUE</v>
          </cell>
          <cell r="N19">
            <v>0</v>
          </cell>
          <cell r="O19">
            <v>892500</v>
          </cell>
          <cell r="P19">
            <v>7500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250000</v>
          </cell>
          <cell r="G22">
            <v>3000</v>
          </cell>
          <cell r="H22">
            <v>0</v>
          </cell>
          <cell r="I22">
            <v>0</v>
          </cell>
          <cell r="J22">
            <v>313500</v>
          </cell>
          <cell r="K22">
            <v>313500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130000</v>
          </cell>
          <cell r="G8">
            <v>2000</v>
          </cell>
          <cell r="H8" t="str">
            <v>BANQUE</v>
          </cell>
          <cell r="I8">
            <v>0</v>
          </cell>
          <cell r="J8">
            <v>101000</v>
          </cell>
          <cell r="K8">
            <v>101000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101000</v>
          </cell>
          <cell r="G9">
            <v>2000</v>
          </cell>
          <cell r="H9" t="str">
            <v>BANQUE</v>
          </cell>
          <cell r="I9">
            <v>0</v>
          </cell>
          <cell r="J9">
            <v>101000</v>
          </cell>
          <cell r="K9">
            <v>101000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100500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200000</v>
          </cell>
          <cell r="G11">
            <v>2000</v>
          </cell>
          <cell r="H11" t="str">
            <v>BANQUE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51000</v>
          </cell>
          <cell r="K13">
            <v>51000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200000</v>
          </cell>
          <cell r="G18">
            <v>2000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931500</v>
          </cell>
          <cell r="G22">
            <v>11000</v>
          </cell>
          <cell r="H22">
            <v>0</v>
          </cell>
          <cell r="I22">
            <v>0</v>
          </cell>
          <cell r="J22">
            <v>253000</v>
          </cell>
          <cell r="K22">
            <v>253000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ESPECES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132000</v>
          </cell>
          <cell r="K8">
            <v>132000</v>
          </cell>
          <cell r="L8" t="str">
            <v>ESPECES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ESPECES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103000</v>
          </cell>
          <cell r="K9">
            <v>103000</v>
          </cell>
          <cell r="L9" t="str">
            <v>ESPECES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101500</v>
          </cell>
          <cell r="K10">
            <v>101500</v>
          </cell>
          <cell r="L10" t="str">
            <v>BANQUE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ESPECES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202000</v>
          </cell>
          <cell r="K18">
            <v>202000</v>
          </cell>
          <cell r="L18" t="str">
            <v>BANQUE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942500</v>
          </cell>
          <cell r="K22">
            <v>942500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/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1085000</v>
          </cell>
          <cell r="P7">
            <v>115000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/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/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>
            <v>0</v>
          </cell>
          <cell r="I10">
            <v>0</v>
          </cell>
          <cell r="J10"/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/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/>
          <cell r="K12">
            <v>0</v>
          </cell>
          <cell r="L12" t="str">
            <v>ECHEC</v>
          </cell>
          <cell r="M12" t="str">
            <v>BANQUE</v>
          </cell>
          <cell r="N12">
            <v>0</v>
          </cell>
          <cell r="O12">
            <v>1085000</v>
          </cell>
          <cell r="P12">
            <v>115000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/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/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/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1075000</v>
          </cell>
          <cell r="P15">
            <v>125000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/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/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/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/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</sheetData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1185000</v>
          </cell>
          <cell r="P9">
            <v>15000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5000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70500</v>
          </cell>
          <cell r="G12">
            <v>1000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101500</v>
          </cell>
          <cell r="G14">
            <v>2000</v>
          </cell>
          <cell r="H14" t="str">
            <v>BANQUE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5500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1160000</v>
          </cell>
          <cell r="P18">
            <v>40000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205000</v>
          </cell>
          <cell r="K11">
            <v>205000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71500</v>
          </cell>
          <cell r="K12">
            <v>71500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103000</v>
          </cell>
          <cell r="G14">
            <v>0</v>
          </cell>
          <cell r="H14" t="str">
            <v>BANQUE</v>
          </cell>
          <cell r="I14">
            <v>0</v>
          </cell>
          <cell r="J14">
            <v>103500</v>
          </cell>
          <cell r="K14">
            <v>500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205500</v>
          </cell>
          <cell r="K15">
            <v>205500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 t="str">
            <v>BANQUE</v>
          </cell>
          <cell r="I14">
            <v>0</v>
          </cell>
          <cell r="J14">
            <v>103000</v>
          </cell>
          <cell r="K14">
            <v>103000</v>
          </cell>
          <cell r="L14" t="str">
            <v>BANQUE</v>
          </cell>
          <cell r="M14" t="str">
            <v>BANQUE</v>
          </cell>
          <cell r="N14">
            <v>0</v>
          </cell>
          <cell r="O14">
            <v>1185000</v>
          </cell>
          <cell r="P14">
            <v>15000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125000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1185000</v>
          </cell>
          <cell r="P16">
            <v>15000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100000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100000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54000</v>
          </cell>
          <cell r="G10">
            <v>1000</v>
          </cell>
          <cell r="H10" t="str">
            <v>BANQUE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 t="str">
            <v>BANQUE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102000</v>
          </cell>
          <cell r="K14">
            <v>102000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126000</v>
          </cell>
          <cell r="K16">
            <v>126000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100000</v>
          </cell>
          <cell r="G7">
            <v>1000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101000</v>
          </cell>
          <cell r="K8">
            <v>101000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101000</v>
          </cell>
          <cell r="K9">
            <v>101000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 t="str">
            <v>BANQUE</v>
          </cell>
          <cell r="I10">
            <v>0</v>
          </cell>
          <cell r="J10">
            <v>55000</v>
          </cell>
          <cell r="K10">
            <v>55000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202000</v>
          </cell>
          <cell r="G14">
            <v>4000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200000</v>
          </cell>
          <cell r="G7">
            <v>3000</v>
          </cell>
          <cell r="H7" t="str">
            <v>BANQUE</v>
          </cell>
          <cell r="I7">
            <v>0</v>
          </cell>
          <cell r="J7">
            <v>101000</v>
          </cell>
          <cell r="K7">
            <v>101000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3000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3500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2500</v>
          </cell>
          <cell r="H10" t="str">
            <v>BANQUE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2500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2500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206000</v>
          </cell>
          <cell r="K14">
            <v>206000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3000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200000</v>
          </cell>
          <cell r="G16">
            <v>2000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BANQUE</v>
          </cell>
          <cell r="N19">
            <v>0</v>
          </cell>
          <cell r="O19">
            <v>1190000</v>
          </cell>
          <cell r="P19">
            <v>10000</v>
          </cell>
        </row>
      </sheetData>
      <sheetData sheetId="10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150000</v>
          </cell>
          <cell r="G7">
            <v>1500</v>
          </cell>
          <cell r="H7" t="str">
            <v>BANQUE</v>
          </cell>
          <cell r="I7">
            <v>0</v>
          </cell>
          <cell r="J7">
            <v>203000</v>
          </cell>
          <cell r="K7">
            <v>203000</v>
          </cell>
          <cell r="L7" t="str">
            <v>BANQUE</v>
          </cell>
          <cell r="M7" t="str">
            <v>BANQUE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400000</v>
          </cell>
          <cell r="G8">
            <v>4000</v>
          </cell>
          <cell r="H8" t="str">
            <v>BANQUE</v>
          </cell>
          <cell r="I8">
            <v>0</v>
          </cell>
          <cell r="J8">
            <v>203000</v>
          </cell>
          <cell r="K8">
            <v>203000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300000</v>
          </cell>
          <cell r="G9">
            <v>3000</v>
          </cell>
          <cell r="H9" t="str">
            <v>BANQUE</v>
          </cell>
          <cell r="I9">
            <v>0</v>
          </cell>
          <cell r="J9">
            <v>203500</v>
          </cell>
          <cell r="K9">
            <v>203500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150000</v>
          </cell>
          <cell r="G10">
            <v>1500</v>
          </cell>
          <cell r="H10" t="str">
            <v>BANQUE</v>
          </cell>
          <cell r="I10">
            <v>0</v>
          </cell>
          <cell r="J10">
            <v>202500</v>
          </cell>
          <cell r="K10">
            <v>202500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400000</v>
          </cell>
          <cell r="G12">
            <v>4000</v>
          </cell>
          <cell r="H12" t="str">
            <v>BANQUE</v>
          </cell>
          <cell r="I12">
            <v>0</v>
          </cell>
          <cell r="J12">
            <v>202500</v>
          </cell>
          <cell r="K12">
            <v>202500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202500</v>
          </cell>
          <cell r="K13">
            <v>202500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203000</v>
          </cell>
          <cell r="K15">
            <v>203000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202000</v>
          </cell>
          <cell r="K16">
            <v>202000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151500</v>
          </cell>
          <cell r="K7">
            <v>151500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500000</v>
          </cell>
          <cell r="G8">
            <v>5000</v>
          </cell>
          <cell r="H8" t="str">
            <v>BANQUE</v>
          </cell>
          <cell r="I8">
            <v>0</v>
          </cell>
          <cell r="J8">
            <v>404000</v>
          </cell>
          <cell r="K8">
            <v>404000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303000</v>
          </cell>
          <cell r="K9">
            <v>303000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101500</v>
          </cell>
          <cell r="G10">
            <v>3000</v>
          </cell>
          <cell r="H10" t="str">
            <v>BANQUE</v>
          </cell>
          <cell r="I10">
            <v>0</v>
          </cell>
          <cell r="J10">
            <v>151500</v>
          </cell>
          <cell r="K10">
            <v>151500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ESPECES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404000</v>
          </cell>
          <cell r="K12">
            <v>404000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400000</v>
          </cell>
          <cell r="G13">
            <v>4000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202000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200000</v>
          </cell>
          <cell r="G16">
            <v>2000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101000</v>
          </cell>
          <cell r="K7">
            <v>101000</v>
          </cell>
          <cell r="L7">
            <v>0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505000</v>
          </cell>
          <cell r="K8">
            <v>505000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202000</v>
          </cell>
          <cell r="K9">
            <v>202000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104500</v>
          </cell>
          <cell r="K10">
            <v>104500</v>
          </cell>
          <cell r="L10">
            <v>0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404000</v>
          </cell>
          <cell r="K13">
            <v>404000</v>
          </cell>
          <cell r="L13">
            <v>0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204000</v>
          </cell>
          <cell r="K14">
            <v>204000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202000</v>
          </cell>
          <cell r="K16">
            <v>202000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>
        <row r="7">
          <cell r="A7" t="str">
            <v>AS201604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5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E9">
            <v>250000</v>
          </cell>
          <cell r="G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D10">
            <v>50000</v>
          </cell>
          <cell r="G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E11">
            <v>150000</v>
          </cell>
          <cell r="G11">
            <v>150000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260000</v>
          </cell>
          <cell r="G12">
            <v>260000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E15">
            <v>125000</v>
          </cell>
          <cell r="G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D16">
            <v>25000</v>
          </cell>
          <cell r="E16">
            <v>250000</v>
          </cell>
          <cell r="G16">
            <v>275000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150000</v>
          </cell>
          <cell r="G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E18">
            <v>160000</v>
          </cell>
          <cell r="G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E19">
            <v>650000</v>
          </cell>
          <cell r="G19">
            <v>650000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E20">
            <v>325000</v>
          </cell>
          <cell r="G20">
            <v>325000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E22">
            <v>125000</v>
          </cell>
          <cell r="G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E23">
            <v>260000</v>
          </cell>
          <cell r="G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E24">
            <v>240000</v>
          </cell>
          <cell r="G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250000</v>
          </cell>
          <cell r="D25">
            <v>25000</v>
          </cell>
          <cell r="E25">
            <v>225000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E26">
            <v>50000</v>
          </cell>
          <cell r="G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E27">
            <v>50000</v>
          </cell>
          <cell r="G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E28">
            <v>125000</v>
          </cell>
          <cell r="G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E30">
            <v>250000</v>
          </cell>
          <cell r="G30">
            <v>250000</v>
          </cell>
        </row>
        <row r="31">
          <cell r="A31" t="str">
            <v>AS201629</v>
          </cell>
          <cell r="B31" t="str">
            <v>SIMO FONGANG ERIC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AS201638</v>
          </cell>
          <cell r="B32" t="str">
            <v>SIMO PIERRE</v>
          </cell>
          <cell r="C32">
            <v>150000</v>
          </cell>
          <cell r="E32">
            <v>150000</v>
          </cell>
          <cell r="G32">
            <v>150000</v>
          </cell>
        </row>
        <row r="33">
          <cell r="A33" t="str">
            <v>AS201641</v>
          </cell>
          <cell r="B33" t="str">
            <v>TCHOUAMOU MATHIEU</v>
          </cell>
          <cell r="C33">
            <v>125000</v>
          </cell>
          <cell r="E33">
            <v>125000</v>
          </cell>
          <cell r="G33">
            <v>125000</v>
          </cell>
        </row>
        <row r="34">
          <cell r="A34" t="str">
            <v>AS201660</v>
          </cell>
          <cell r="B34" t="str">
            <v>TCHOUATEU AUGUSTIN</v>
          </cell>
          <cell r="C34">
            <v>150000</v>
          </cell>
          <cell r="E34">
            <v>150000</v>
          </cell>
          <cell r="G34">
            <v>150000</v>
          </cell>
        </row>
        <row r="35">
          <cell r="A35" t="str">
            <v>AS201643</v>
          </cell>
          <cell r="B35" t="str">
            <v>TCHOUTOU NANA CLAUDE</v>
          </cell>
          <cell r="C35">
            <v>50000</v>
          </cell>
          <cell r="E35">
            <v>50000</v>
          </cell>
          <cell r="G35">
            <v>50000</v>
          </cell>
        </row>
        <row r="36">
          <cell r="A36" t="str">
            <v>AS201662</v>
          </cell>
          <cell r="B36" t="str">
            <v>TIEYAM ERNEST</v>
          </cell>
          <cell r="C36" t="e">
            <v>#N/A</v>
          </cell>
          <cell r="D36">
            <v>50000</v>
          </cell>
          <cell r="G36">
            <v>50000</v>
          </cell>
        </row>
        <row r="37">
          <cell r="A37" t="str">
            <v>AS201658</v>
          </cell>
          <cell r="B37" t="str">
            <v>YANTCHOU GERVAIS</v>
          </cell>
          <cell r="C37">
            <v>125000</v>
          </cell>
          <cell r="D37">
            <v>25000</v>
          </cell>
          <cell r="E37">
            <v>100000</v>
          </cell>
          <cell r="G37">
            <v>125000</v>
          </cell>
        </row>
        <row r="38">
          <cell r="A38" t="str">
            <v>AS201646</v>
          </cell>
          <cell r="B38" t="str">
            <v>YEPMOU JEAN JACQUES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AS201659</v>
          </cell>
          <cell r="B39" t="str">
            <v>YIALA ALAIN OSCAR</v>
          </cell>
          <cell r="C39">
            <v>150000</v>
          </cell>
          <cell r="E39">
            <v>250000</v>
          </cell>
          <cell r="G39">
            <v>250000</v>
          </cell>
        </row>
        <row r="40">
          <cell r="A40" t="str">
            <v>AS201647</v>
          </cell>
          <cell r="B40" t="str">
            <v>YOUMBI EMMANUEL</v>
          </cell>
          <cell r="C40">
            <v>225000</v>
          </cell>
          <cell r="E40">
            <v>225000</v>
          </cell>
          <cell r="G40">
            <v>225000</v>
          </cell>
        </row>
        <row r="42">
          <cell r="B42" t="str">
            <v>TOTAUX</v>
          </cell>
          <cell r="C42" t="e">
            <v>#N/A</v>
          </cell>
          <cell r="D42">
            <v>275000</v>
          </cell>
          <cell r="E42">
            <v>5070000</v>
          </cell>
          <cell r="G42">
            <v>5345000</v>
          </cell>
          <cell r="H4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8" sqref="A8"/>
    </sheetView>
  </sheetViews>
  <sheetFormatPr baseColWidth="10" defaultColWidth="11" defaultRowHeight="14.5" x14ac:dyDescent="0.35"/>
  <sheetData>
    <row r="1" spans="1:1" x14ac:dyDescent="0.35">
      <c r="A1" t="s">
        <v>8</v>
      </c>
    </row>
    <row r="2" spans="1:1" x14ac:dyDescent="0.3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5" x14ac:dyDescent="0.35"/>
  <cols>
    <col min="1" max="1" width="13.81640625" bestFit="1" customWidth="1"/>
    <col min="2" max="2" width="35.1796875" bestFit="1" customWidth="1"/>
    <col min="3" max="3" width="15.81640625" bestFit="1" customWidth="1"/>
    <col min="4" max="4" width="20" customWidth="1"/>
    <col min="5" max="5" width="17.54296875" bestFit="1" customWidth="1"/>
    <col min="6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5" customWidth="1"/>
    <col min="13" max="13" width="11.26953125" customWidth="1"/>
    <col min="14" max="14" width="15" bestFit="1" customWidth="1"/>
    <col min="15" max="15" width="11.26953125" customWidth="1"/>
    <col min="16" max="16" width="15" bestFit="1" customWidth="1"/>
    <col min="17" max="18" width="16" customWidth="1"/>
    <col min="19" max="19" width="20.453125" bestFit="1" customWidth="1"/>
    <col min="20" max="20" width="15.1796875" style="35" bestFit="1" customWidth="1"/>
    <col min="21" max="21" width="16.1796875" style="35" customWidth="1"/>
    <col min="22" max="22" width="20.453125" style="35" customWidth="1"/>
    <col min="23" max="23" width="14.453125" style="35" bestFit="1" customWidth="1"/>
    <col min="24" max="24" width="11.453125" style="35"/>
    <col min="25" max="26" width="13.81640625" style="35" customWidth="1"/>
    <col min="27" max="27" width="16.26953125" style="35" customWidth="1"/>
    <col min="28" max="28" width="13.81640625" style="35" customWidth="1"/>
    <col min="29" max="29" width="18.26953125" style="35" bestFit="1" customWidth="1"/>
    <col min="30" max="30" width="22.54296875" style="35" customWidth="1"/>
    <col min="31" max="32" width="19" style="35" customWidth="1"/>
    <col min="33" max="34" width="16.1796875" style="35" customWidth="1"/>
    <col min="35" max="35" width="11.453125" style="35"/>
    <col min="36" max="41" width="16" style="35" customWidth="1"/>
    <col min="42" max="42" width="15.26953125" style="35" customWidth="1"/>
    <col min="43" max="45" width="11.453125" style="35"/>
    <col min="46" max="46" width="12.453125" style="35" bestFit="1" customWidth="1"/>
    <col min="47" max="49" width="11.453125" style="35"/>
    <col min="50" max="52" width="15" style="35" customWidth="1"/>
    <col min="53" max="53" width="15" style="35" bestFit="1" customWidth="1"/>
    <col min="54" max="55" width="11.453125" style="35"/>
  </cols>
  <sheetData>
    <row r="1" spans="1:55" x14ac:dyDescent="0.35">
      <c r="A1" s="1" t="s">
        <v>2</v>
      </c>
      <c r="B1" s="1" t="s">
        <v>3</v>
      </c>
      <c r="C1" s="1"/>
      <c r="D1" s="1"/>
    </row>
    <row r="2" spans="1:55" x14ac:dyDescent="0.35">
      <c r="A2" s="1" t="s">
        <v>4</v>
      </c>
      <c r="B2" s="1">
        <v>2022</v>
      </c>
      <c r="C2" s="1"/>
      <c r="D2" s="1"/>
    </row>
    <row r="3" spans="1:55" x14ac:dyDescent="0.3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" thickBot="1" x14ac:dyDescent="0.7">
      <c r="B4" s="93" t="s">
        <v>113</v>
      </c>
      <c r="C4" s="93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4">
      <c r="A5" s="49" t="s">
        <v>0</v>
      </c>
      <c r="B5" s="50" t="s">
        <v>1</v>
      </c>
      <c r="C5" s="50"/>
      <c r="D5" s="95" t="s">
        <v>114</v>
      </c>
      <c r="E5" s="96"/>
      <c r="F5" s="96"/>
      <c r="G5" s="96"/>
      <c r="H5" s="96"/>
      <c r="I5" s="96"/>
      <c r="J5" s="96"/>
      <c r="K5" s="96"/>
      <c r="L5" s="96"/>
      <c r="M5" s="95" t="s">
        <v>123</v>
      </c>
      <c r="N5" s="96"/>
      <c r="O5" s="96"/>
      <c r="P5" s="97" t="s">
        <v>126</v>
      </c>
      <c r="Q5" s="98"/>
      <c r="R5" s="97" t="s">
        <v>50</v>
      </c>
      <c r="S5" s="99"/>
      <c r="T5" s="91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3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92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5" x14ac:dyDescent="0.45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5" x14ac:dyDescent="0.45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5" x14ac:dyDescent="0.45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5" x14ac:dyDescent="0.45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5" x14ac:dyDescent="0.45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5" x14ac:dyDescent="0.45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5" x14ac:dyDescent="0.45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5" x14ac:dyDescent="0.45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5" x14ac:dyDescent="0.45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5" x14ac:dyDescent="0.45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5" x14ac:dyDescent="0.45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5" x14ac:dyDescent="0.45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5" x14ac:dyDescent="0.45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5" x14ac:dyDescent="0.45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5" x14ac:dyDescent="0.45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5" x14ac:dyDescent="0.45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5" x14ac:dyDescent="0.45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5" x14ac:dyDescent="0.45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5" x14ac:dyDescent="0.45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5" x14ac:dyDescent="0.45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5" x14ac:dyDescent="0.45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5" x14ac:dyDescent="0.45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5" x14ac:dyDescent="0.45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5" x14ac:dyDescent="0.45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5" x14ac:dyDescent="0.45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5" x14ac:dyDescent="0.45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5" x14ac:dyDescent="0.45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5" x14ac:dyDescent="0.45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5" x14ac:dyDescent="0.45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5" x14ac:dyDescent="0.45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5" x14ac:dyDescent="0.45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4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" thickBot="1" x14ac:dyDescent="0.4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4">
      <c r="AX40" s="44"/>
      <c r="AY40" s="44"/>
      <c r="AZ40" s="44"/>
      <c r="BA40" s="45"/>
    </row>
    <row r="41" spans="1:55" ht="16" x14ac:dyDescent="0.4">
      <c r="AX41" s="44"/>
      <c r="AY41" s="44"/>
      <c r="AZ41" s="44"/>
      <c r="BA41" s="45"/>
    </row>
    <row r="42" spans="1:55" ht="16" x14ac:dyDescent="0.4">
      <c r="AX42" s="44"/>
      <c r="AY42" s="44"/>
      <c r="AZ42" s="44"/>
      <c r="BA42" s="45"/>
    </row>
    <row r="43" spans="1:55" ht="16" x14ac:dyDescent="0.4">
      <c r="AX43" s="44"/>
      <c r="AY43" s="44"/>
      <c r="AZ43" s="44"/>
      <c r="BA43" s="45"/>
    </row>
    <row r="44" spans="1:55" ht="16" x14ac:dyDescent="0.4">
      <c r="AX44" s="44"/>
      <c r="AY44" s="44"/>
      <c r="AZ44" s="44"/>
      <c r="BA44" s="45"/>
    </row>
    <row r="45" spans="1:55" ht="16" x14ac:dyDescent="0.4">
      <c r="AX45" s="44"/>
      <c r="AY45" s="44"/>
      <c r="AZ45" s="44"/>
      <c r="BA45" s="45"/>
    </row>
    <row r="46" spans="1:55" ht="16" x14ac:dyDescent="0.4">
      <c r="AX46" s="44"/>
      <c r="AY46" s="44"/>
      <c r="AZ46" s="44"/>
      <c r="BA46" s="45"/>
    </row>
    <row r="47" spans="1:55" ht="16" x14ac:dyDescent="0.4">
      <c r="AX47" s="44"/>
      <c r="AY47" s="44"/>
      <c r="AZ47" s="44"/>
      <c r="BA47" s="45"/>
    </row>
    <row r="48" spans="1:55" ht="16" x14ac:dyDescent="0.4">
      <c r="AX48" s="44"/>
      <c r="AY48" s="44"/>
      <c r="AZ48" s="44"/>
      <c r="BA48" s="45"/>
    </row>
    <row r="49" spans="50:53" ht="16" x14ac:dyDescent="0.4">
      <c r="AX49" s="44"/>
      <c r="AY49" s="44"/>
      <c r="AZ49" s="44"/>
      <c r="BA49" s="45"/>
    </row>
    <row r="50" spans="50:53" ht="16" x14ac:dyDescent="0.4">
      <c r="AX50" s="44"/>
      <c r="AY50" s="44"/>
      <c r="AZ50" s="44"/>
      <c r="BA50" s="45"/>
    </row>
    <row r="51" spans="50:53" ht="16" x14ac:dyDescent="0.4">
      <c r="AX51" s="44"/>
      <c r="AY51" s="44"/>
      <c r="AZ51" s="44"/>
      <c r="BA51" s="45"/>
    </row>
    <row r="52" spans="50:53" ht="16" x14ac:dyDescent="0.4">
      <c r="AX52" s="44"/>
      <c r="AY52" s="44"/>
      <c r="AZ52" s="44"/>
      <c r="BA52" s="45"/>
    </row>
    <row r="53" spans="50:53" ht="16" x14ac:dyDescent="0.4">
      <c r="AX53" s="44"/>
      <c r="AY53" s="44"/>
      <c r="AZ53" s="44"/>
      <c r="BA53" s="45"/>
    </row>
    <row r="54" spans="50:53" ht="16" x14ac:dyDescent="0.4">
      <c r="AX54" s="44"/>
      <c r="AY54" s="44"/>
      <c r="AZ54" s="44"/>
      <c r="BA54" s="45"/>
    </row>
    <row r="55" spans="50:53" ht="16" x14ac:dyDescent="0.4">
      <c r="AX55" s="44"/>
      <c r="AY55" s="44"/>
      <c r="AZ55" s="44"/>
      <c r="BA55" s="45"/>
    </row>
    <row r="56" spans="50:53" ht="16" x14ac:dyDescent="0.4">
      <c r="AX56" s="44"/>
      <c r="AY56" s="44"/>
      <c r="AZ56" s="44"/>
      <c r="BA56" s="45"/>
    </row>
    <row r="57" spans="50:53" ht="16" x14ac:dyDescent="0.4">
      <c r="AX57" s="44"/>
      <c r="AY57" s="44"/>
      <c r="AZ57" s="44"/>
      <c r="BA57" s="45"/>
    </row>
    <row r="58" spans="50:53" ht="16" x14ac:dyDescent="0.4">
      <c r="AX58" s="44"/>
      <c r="AY58" s="44"/>
      <c r="AZ58" s="44"/>
      <c r="BA58" s="45"/>
    </row>
    <row r="59" spans="50:53" ht="16" x14ac:dyDescent="0.4">
      <c r="AX59" s="44"/>
      <c r="AY59" s="44"/>
      <c r="AZ59" s="44"/>
      <c r="BA59" s="45"/>
    </row>
    <row r="60" spans="50:53" ht="16" x14ac:dyDescent="0.4">
      <c r="AX60" s="44"/>
      <c r="AY60" s="44"/>
      <c r="AZ60" s="44"/>
      <c r="BA60" s="45"/>
    </row>
    <row r="61" spans="50:53" ht="16" x14ac:dyDescent="0.4">
      <c r="AX61" s="44"/>
      <c r="AY61" s="44"/>
      <c r="AZ61" s="44"/>
      <c r="BA61" s="45"/>
    </row>
    <row r="62" spans="50:53" ht="16" x14ac:dyDescent="0.4">
      <c r="AX62" s="44"/>
      <c r="AY62" s="44"/>
      <c r="AZ62" s="44"/>
      <c r="BA62" s="45"/>
    </row>
    <row r="63" spans="50:53" ht="16" x14ac:dyDescent="0.4">
      <c r="AX63" s="44"/>
      <c r="AY63" s="44"/>
      <c r="AZ63" s="44"/>
      <c r="BA63" s="45"/>
    </row>
    <row r="64" spans="50:53" ht="16" x14ac:dyDescent="0.4">
      <c r="AX64" s="44"/>
      <c r="AY64" s="44"/>
      <c r="AZ64" s="44"/>
      <c r="BA64" s="45"/>
    </row>
    <row r="65" spans="50:53" ht="16" x14ac:dyDescent="0.4">
      <c r="AX65" s="44"/>
      <c r="AY65" s="44"/>
      <c r="AZ65" s="44"/>
      <c r="BA65" s="45"/>
    </row>
    <row r="66" spans="50:53" ht="16" x14ac:dyDescent="0.4">
      <c r="AX66" s="44"/>
      <c r="AY66" s="44"/>
      <c r="AZ66" s="44"/>
      <c r="BA66" s="45"/>
    </row>
    <row r="67" spans="50:53" ht="16" x14ac:dyDescent="0.4">
      <c r="AX67" s="44"/>
      <c r="AY67" s="44"/>
      <c r="AZ67" s="44"/>
      <c r="BA67" s="45"/>
    </row>
    <row r="68" spans="50:53" ht="16" x14ac:dyDescent="0.4">
      <c r="AX68" s="44"/>
      <c r="AY68" s="44"/>
      <c r="AZ68" s="44"/>
      <c r="BA68" s="45"/>
    </row>
    <row r="69" spans="50:53" ht="16" x14ac:dyDescent="0.4">
      <c r="AX69" s="44"/>
      <c r="AY69" s="44"/>
      <c r="AZ69" s="44"/>
      <c r="BA69" s="45"/>
    </row>
    <row r="70" spans="50:53" ht="16" x14ac:dyDescent="0.4">
      <c r="AX70" s="44"/>
      <c r="AY70" s="44"/>
      <c r="AZ70" s="44"/>
      <c r="BA70" s="45"/>
    </row>
    <row r="71" spans="50:53" ht="16" x14ac:dyDescent="0.4">
      <c r="AX71" s="44"/>
      <c r="AY71" s="44"/>
      <c r="AZ71" s="44"/>
      <c r="BA71" s="45"/>
    </row>
    <row r="72" spans="50:53" ht="16" x14ac:dyDescent="0.4">
      <c r="AX72" s="44"/>
      <c r="AY72" s="44"/>
      <c r="AZ72" s="44"/>
      <c r="BA72" s="45"/>
    </row>
    <row r="73" spans="50:53" ht="16" x14ac:dyDescent="0.4">
      <c r="AX73" s="44"/>
      <c r="AY73" s="44"/>
      <c r="AZ73" s="44"/>
      <c r="BA73" s="45"/>
    </row>
    <row r="74" spans="50:53" ht="16" x14ac:dyDescent="0.4">
      <c r="AX74" s="44"/>
      <c r="AY74" s="44"/>
      <c r="AZ74" s="44"/>
      <c r="BA74" s="45"/>
    </row>
    <row r="75" spans="50:53" ht="16" x14ac:dyDescent="0.4">
      <c r="AX75" s="44"/>
      <c r="AY75" s="44"/>
      <c r="AZ75" s="44"/>
      <c r="BA75" s="45"/>
    </row>
    <row r="76" spans="50:53" ht="16" x14ac:dyDescent="0.4">
      <c r="AX76" s="44"/>
      <c r="AY76" s="44"/>
      <c r="AZ76" s="44"/>
      <c r="BA76" s="45"/>
    </row>
    <row r="77" spans="50:53" ht="16" x14ac:dyDescent="0.4">
      <c r="AX77" s="44"/>
      <c r="AY77" s="44"/>
      <c r="AZ77" s="44"/>
      <c r="BA77" s="45"/>
    </row>
    <row r="79" spans="50:53" x14ac:dyDescent="0.3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 xr:uid="{00000000-0002-0000-0100-000000000000}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C6" sqref="C6"/>
    </sheetView>
  </sheetViews>
  <sheetFormatPr baseColWidth="10" defaultRowHeight="14.5" x14ac:dyDescent="0.35"/>
  <cols>
    <col min="1" max="1" width="19.1796875" bestFit="1" customWidth="1"/>
    <col min="2" max="2" width="19.1796875" customWidth="1"/>
    <col min="3" max="3" width="16.54296875" bestFit="1" customWidth="1"/>
    <col min="4" max="4" width="15" bestFit="1" customWidth="1"/>
    <col min="5" max="5" width="16.81640625" bestFit="1" customWidth="1"/>
    <col min="7" max="7" width="15" bestFit="1" customWidth="1"/>
    <col min="9" max="9" width="17.54296875" customWidth="1"/>
  </cols>
  <sheetData>
    <row r="1" spans="1:10" ht="26" x14ac:dyDescent="0.6">
      <c r="C1" s="100" t="s">
        <v>88</v>
      </c>
      <c r="D1" s="94"/>
      <c r="E1" s="94"/>
      <c r="H1" s="100" t="s">
        <v>107</v>
      </c>
      <c r="I1" s="94"/>
      <c r="J1" s="94"/>
    </row>
    <row r="2" spans="1:10" ht="15.5" x14ac:dyDescent="0.35">
      <c r="A2" s="18" t="s">
        <v>4</v>
      </c>
      <c r="B2" s="18"/>
      <c r="C2" s="101">
        <v>2022</v>
      </c>
      <c r="D2" s="94"/>
      <c r="E2" s="94"/>
      <c r="H2" s="101">
        <v>2022</v>
      </c>
      <c r="I2" s="94"/>
      <c r="J2" s="94"/>
    </row>
    <row r="3" spans="1:10" ht="15.5" x14ac:dyDescent="0.35">
      <c r="A3" s="18"/>
      <c r="B3" s="18"/>
      <c r="C3" s="18"/>
      <c r="D3" s="18"/>
      <c r="E3" s="18"/>
    </row>
    <row r="4" spans="1:10" ht="15.5" x14ac:dyDescent="0.3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7.5" x14ac:dyDescent="0.35">
      <c r="A5" s="18" t="s">
        <v>92</v>
      </c>
      <c r="E5" s="19">
        <f>14283661-6017000</f>
        <v>8266661</v>
      </c>
    </row>
    <row r="6" spans="1:10" ht="17.5" x14ac:dyDescent="0.3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7.5" x14ac:dyDescent="0.3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7.5" x14ac:dyDescent="0.3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7.5" x14ac:dyDescent="0.3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7.5" x14ac:dyDescent="0.3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7.5" x14ac:dyDescent="0.3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7.5" x14ac:dyDescent="0.3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7.5" x14ac:dyDescent="0.3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7.5" x14ac:dyDescent="0.3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7.5" x14ac:dyDescent="0.3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7.5" x14ac:dyDescent="0.3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7.5" x14ac:dyDescent="0.3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3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83"/>
  <sheetViews>
    <sheetView zoomScale="96" zoomScaleNormal="96" workbookViewId="0">
      <pane xSplit="4" ySplit="5" topLeftCell="H36" activePane="bottomRight" state="frozen"/>
      <selection pane="topRight" activeCell="E1" sqref="E1"/>
      <selection pane="bottomLeft" activeCell="A6" sqref="A6"/>
      <selection pane="bottomRight" activeCell="A25" sqref="A25:XFD25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8" width="16.26953125" customWidth="1"/>
    <col min="9" max="9" width="14.1796875" bestFit="1" customWidth="1"/>
    <col min="10" max="10" width="15" bestFit="1" customWidth="1"/>
    <col min="11" max="11" width="15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8" width="16" customWidth="1"/>
    <col min="19" max="19" width="20.2695312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3" width="16.1796875" customWidth="1"/>
    <col min="35" max="40" width="16" customWidth="1"/>
    <col min="41" max="41" width="15.26953125" customWidth="1"/>
    <col min="45" max="45" width="12.453125" bestFit="1" customWidth="1"/>
    <col min="46" max="46" width="17.26953125" customWidth="1"/>
    <col min="49" max="51" width="15" customWidth="1"/>
    <col min="52" max="52" width="15" bestFit="1" customWidth="1"/>
    <col min="54" max="55" width="12.453125" customWidth="1"/>
    <col min="56" max="56" width="15" bestFit="1" customWidth="1"/>
    <col min="58" max="58" width="15" bestFit="1" customWidth="1"/>
    <col min="66" max="66" width="28.7265625" bestFit="1" customWidth="1"/>
    <col min="67" max="67" width="28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2022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>
        <v>66</v>
      </c>
      <c r="BO3" s="2"/>
      <c r="BP3" s="1"/>
      <c r="BQ3" s="2"/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46</v>
      </c>
      <c r="J5" s="4" t="s">
        <v>66</v>
      </c>
      <c r="K5" s="4" t="s">
        <v>68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67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110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111</v>
      </c>
      <c r="AJ5" s="4" t="s">
        <v>53</v>
      </c>
      <c r="AK5" s="4" t="s">
        <v>54</v>
      </c>
      <c r="AL5" s="4" t="s">
        <v>112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80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60" t="s">
        <v>74</v>
      </c>
      <c r="BO5" s="60" t="s">
        <v>146</v>
      </c>
      <c r="BP5" s="1" t="s">
        <v>154</v>
      </c>
    </row>
    <row r="6" spans="1:69" ht="18.5" x14ac:dyDescent="0.45">
      <c r="A6" s="1" t="s">
        <v>108</v>
      </c>
      <c r="B6" s="1" t="str">
        <f>VLOOKUP(A6,[6]LISTADHERENT!A$5:H$60,3,0)</f>
        <v>ASELBY</v>
      </c>
      <c r="C6" s="5">
        <f>D6+E6+F6-U6-BB6</f>
        <v>0</v>
      </c>
      <c r="D6" s="9">
        <f>VLOOKUP(A6,[7]HISTOBQUEDEC22!$A$6:$G$36,3,0)</f>
        <v>100000</v>
      </c>
      <c r="E6" s="9">
        <f>VLOOKUP(A6,[7]HISTOBQUEDEC22!$A$6:$G$36,4,0)</f>
        <v>0</v>
      </c>
      <c r="F6" s="9">
        <f>VLOOKUP(A6,[7]HISTOBQUEDEC22!$A$6:$G$36,5,0)</f>
        <v>0</v>
      </c>
      <c r="G6" s="5">
        <f t="shared" ref="G6:G36" si="0">IF(H6="ESPECES",3000,0)</f>
        <v>0</v>
      </c>
      <c r="H6" s="10" t="str">
        <f t="shared" ref="H6:H36" si="1">IF($D6&lt;&gt;0,"BANQUE",IF($E6&lt;&gt;0,"ESPECES","ECHEC"))</f>
        <v>BANQUE</v>
      </c>
      <c r="I6" s="11"/>
      <c r="J6" s="11">
        <f t="shared" ref="J6:J36" si="2">IF($D6&lt;&gt;0,I6*30000,IF($E6&lt;&gt;0,I6*30000,0))</f>
        <v>0</v>
      </c>
      <c r="K6" s="11"/>
      <c r="L6" s="6"/>
      <c r="M6" s="11">
        <f t="shared" ref="M6:M36" si="3">IF($D6&lt;&gt;0,L6*75000,IF($E6&lt;&gt;0,L6*75000,0))</f>
        <v>0</v>
      </c>
      <c r="N6" s="6">
        <v>1</v>
      </c>
      <c r="O6" s="11">
        <f t="shared" ref="O6:O36" si="4">IF($D6&lt;&gt;0,N6*100000,IF($E6&lt;&gt;0,N6*100000,0))</f>
        <v>100000</v>
      </c>
      <c r="P6" s="20"/>
      <c r="Q6" s="2"/>
      <c r="R6" s="2">
        <f>VLOOKUP(A6,[8]TONTDEC22!$A$6:$P$21,10,0)</f>
        <v>0</v>
      </c>
      <c r="S6" s="20"/>
      <c r="T6" s="12"/>
      <c r="U6" s="17">
        <f>G6+S6++R6+P6+O6+M6+K6+J6+Q6+V6+W6</f>
        <v>100000</v>
      </c>
      <c r="V6" s="12"/>
      <c r="W6" s="12"/>
      <c r="X6" s="12"/>
      <c r="Y6" s="12"/>
      <c r="Z6" s="12"/>
      <c r="AA6" s="12"/>
      <c r="AB6" s="12"/>
      <c r="AC6" s="12"/>
      <c r="AD6" s="12"/>
      <c r="AE6" s="12">
        <v>100000</v>
      </c>
      <c r="AF6" s="12" t="s">
        <v>8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5">IF(H6="ECHEC",((J6+M6+O6)*20/100),0)</f>
        <v>0</v>
      </c>
      <c r="AR6" s="8">
        <f t="shared" ref="AR6:AR36" si="6">IF(H6="ECHEC",((J6+M6+O6)*20/100),0)</f>
        <v>0</v>
      </c>
      <c r="AS6" s="13"/>
      <c r="AV6" s="15"/>
      <c r="AW6" s="15">
        <f>IF(AC6=0,AI6,(1*23000*13)+(1000+AI6)-AC6)</f>
        <v>0</v>
      </c>
      <c r="AX6" s="15">
        <f>IF(AD6=0,AJ6,(1*75000*16)+(AJ6)-AD6)</f>
        <v>0</v>
      </c>
      <c r="AY6" s="15">
        <f>IF(AE6=0,AK6,(1*100000*13)+(AK6)-AE6)</f>
        <v>1200000</v>
      </c>
      <c r="AZ6" s="16">
        <f>SUM(AV6:AY6)-BF6+Z6-F6+BH6+BI6+BJ6+BK6</f>
        <v>1206000</v>
      </c>
      <c r="BA6" s="58"/>
      <c r="BB6" s="58"/>
      <c r="BC6" s="15"/>
      <c r="BD6" s="57">
        <f>IF(AZ6=0,(AZ6-BA6-BC6),(AZ6-BA6-BB6-BC6))</f>
        <v>1206000</v>
      </c>
      <c r="BF6" s="29">
        <f>Z6*1/100*BG6</f>
        <v>0</v>
      </c>
      <c r="BG6">
        <v>0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5" x14ac:dyDescent="0.45">
      <c r="A7" s="1" t="s">
        <v>12</v>
      </c>
      <c r="B7" s="1" t="str">
        <f>VLOOKUP(A7,[6]LISTADHERENT!A$5:H$60,3,0)</f>
        <v>BOUTCHOUANG WILLIAM</v>
      </c>
      <c r="C7" s="5">
        <f t="shared" ref="C7:C36" si="7">D7+E7+F7-U7-BB7</f>
        <v>0</v>
      </c>
      <c r="D7" s="9">
        <f>VLOOKUP(A7,[7]HISTOBQUEDEC22!$A$6:$G$36,3,0)</f>
        <v>105000</v>
      </c>
      <c r="E7" s="9">
        <f>VLOOKUP(A7,[7]HISTOBQUEDEC22!$A$6:$G$36,4,0)</f>
        <v>0</v>
      </c>
      <c r="F7" s="9">
        <f>VLOOKUP(A7,[7]HISTOBQUEDEC22!$A$6:$G$36,5,0)</f>
        <v>0</v>
      </c>
      <c r="G7" s="5">
        <f t="shared" si="0"/>
        <v>0</v>
      </c>
      <c r="H7" s="10" t="str">
        <f t="shared" si="1"/>
        <v>BANQUE</v>
      </c>
      <c r="I7" s="11">
        <v>1</v>
      </c>
      <c r="J7" s="11">
        <f t="shared" si="2"/>
        <v>30000</v>
      </c>
      <c r="K7" s="11"/>
      <c r="L7" s="6">
        <v>1</v>
      </c>
      <c r="M7" s="11">
        <f t="shared" si="3"/>
        <v>75000</v>
      </c>
      <c r="N7" s="6"/>
      <c r="O7" s="11">
        <f t="shared" si="4"/>
        <v>0</v>
      </c>
      <c r="P7" s="2">
        <f>VLOOKUP(A7,[9]TONTDEC22!$A$6:$R$31,12,0)</f>
        <v>0</v>
      </c>
      <c r="R7" s="2"/>
      <c r="S7" s="20"/>
      <c r="T7" s="12"/>
      <c r="U7" s="17">
        <f t="shared" ref="U7:U36" si="8">G7+S7++R7+P7+O7+M7+K7+J7+Q7+V7+W7</f>
        <v>105000</v>
      </c>
      <c r="V7" s="12"/>
      <c r="W7" s="12"/>
      <c r="X7" s="12"/>
      <c r="Y7" s="12"/>
      <c r="Z7" s="12">
        <v>500000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5"/>
        <v>0</v>
      </c>
      <c r="AR7" s="8">
        <f t="shared" si="6"/>
        <v>0</v>
      </c>
      <c r="AS7" s="13">
        <f t="shared" ref="AS7:AS36" si="9">IF(H7="ECHEC",0,(J7+K7-23000))</f>
        <v>7000</v>
      </c>
      <c r="AT7" s="29">
        <v>20000</v>
      </c>
      <c r="AV7" s="15"/>
      <c r="AW7" s="15">
        <f t="shared" ref="AW7:AW36" si="10">IF(AC7=0,AI7,(1*23000*13)+(1000+AI7)-AC7)</f>
        <v>0</v>
      </c>
      <c r="AX7" s="15">
        <f t="shared" ref="AX7:AX36" si="11">IF(AD7=0,AJ7,(1*75000*16)+(AJ7)-AD7)</f>
        <v>0</v>
      </c>
      <c r="AY7" s="15">
        <f t="shared" ref="AY7:AY36" si="12">IF(AE7=0,AK7,(1*100000*13)+(AK7)-AE7)</f>
        <v>0</v>
      </c>
      <c r="AZ7" s="16">
        <f t="shared" ref="AZ7:AZ36" si="13">SUM(AV7:AY7)-BF7+Z7-F7+BH7+BI7+BJ7+BK7</f>
        <v>490000</v>
      </c>
      <c r="BA7" s="58"/>
      <c r="BB7" s="58"/>
      <c r="BC7" s="15"/>
      <c r="BD7" s="57">
        <f t="shared" ref="BD7:BD36" si="14">IF(AZ7=0,(AZ7-BA7-BC7),(AZ7-BA7-BB7-BC7))</f>
        <v>490000</v>
      </c>
      <c r="BF7" s="29">
        <f t="shared" ref="BF7:BF36" si="15">Z7*1/100*BG7</f>
        <v>10000</v>
      </c>
      <c r="BG7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9" ht="18.5" x14ac:dyDescent="0.45">
      <c r="A8" s="1" t="s">
        <v>13</v>
      </c>
      <c r="B8" s="1" t="str">
        <f>VLOOKUP(A8,[6]LISTADHERENT!A$5:H$60,3,0)</f>
        <v xml:space="preserve">DJOMO JEAN PAUL </v>
      </c>
      <c r="C8" s="5">
        <f t="shared" si="7"/>
        <v>0</v>
      </c>
      <c r="D8" s="9">
        <f>VLOOKUP(A8,[7]HISTOBQUEDEC22!$A$6:$G$36,3,0)</f>
        <v>1105000</v>
      </c>
      <c r="E8" s="9">
        <f>VLOOKUP(A8,[7]HISTOBQUEDEC22!$A$6:$G$36,4,0)</f>
        <v>0</v>
      </c>
      <c r="F8" s="9">
        <f>VLOOKUP(A8,[7]HISTOBQUEDEC22!$A$6:$G$36,5,0)</f>
        <v>0</v>
      </c>
      <c r="G8" s="5">
        <f t="shared" si="0"/>
        <v>0</v>
      </c>
      <c r="H8" s="10" t="str">
        <f t="shared" si="1"/>
        <v>BANQUE</v>
      </c>
      <c r="I8" s="11">
        <v>1</v>
      </c>
      <c r="J8" s="11">
        <f t="shared" si="2"/>
        <v>30000</v>
      </c>
      <c r="K8" s="11"/>
      <c r="L8" s="6">
        <v>1</v>
      </c>
      <c r="M8" s="11">
        <f t="shared" si="3"/>
        <v>75000</v>
      </c>
      <c r="N8" s="6"/>
      <c r="O8" s="11">
        <f t="shared" si="4"/>
        <v>0</v>
      </c>
      <c r="P8" s="2">
        <f>VLOOKUP(A8,[9]TONTDEC22!$A$6:$R$31,12,0)</f>
        <v>0</v>
      </c>
      <c r="Q8" s="2">
        <f>VLOOKUP(A8,[10]TONTDEC22!$A$6:$P$21,10,0)</f>
        <v>0</v>
      </c>
      <c r="R8" s="2"/>
      <c r="S8" s="20">
        <f>775000+130000+95000</f>
        <v>1000000</v>
      </c>
      <c r="T8" s="12" t="s">
        <v>8</v>
      </c>
      <c r="U8" s="17">
        <f t="shared" si="8"/>
        <v>1105000</v>
      </c>
      <c r="V8" s="12"/>
      <c r="W8" s="12"/>
      <c r="X8" s="12"/>
      <c r="Y8" s="12"/>
      <c r="Z8" s="12">
        <v>1000000</v>
      </c>
      <c r="AA8" s="12" t="s">
        <v>8</v>
      </c>
      <c r="AB8" s="12"/>
      <c r="AC8" s="12"/>
      <c r="AD8" s="12"/>
      <c r="AE8" s="12"/>
      <c r="AF8" s="12"/>
      <c r="AG8" s="12"/>
      <c r="AI8" s="12"/>
      <c r="AJ8" s="12"/>
      <c r="AK8" s="12"/>
      <c r="AL8" s="12"/>
      <c r="AM8" s="12"/>
      <c r="AN8" s="12"/>
      <c r="AO8" s="12"/>
      <c r="AP8" s="12"/>
      <c r="AQ8" s="8">
        <f t="shared" si="5"/>
        <v>0</v>
      </c>
      <c r="AR8" s="8">
        <f t="shared" si="6"/>
        <v>0</v>
      </c>
      <c r="AS8" s="13">
        <f t="shared" si="9"/>
        <v>7000</v>
      </c>
      <c r="AT8" s="29">
        <v>20000</v>
      </c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880000</v>
      </c>
      <c r="BA8" s="58"/>
      <c r="BB8" s="58"/>
      <c r="BC8" s="15"/>
      <c r="BD8" s="57">
        <f t="shared" si="14"/>
        <v>880000</v>
      </c>
      <c r="BF8" s="29">
        <f t="shared" si="15"/>
        <v>120000</v>
      </c>
      <c r="BG8">
        <v>12</v>
      </c>
      <c r="BH8" s="15"/>
      <c r="BI8" s="15"/>
      <c r="BJ8" s="15"/>
      <c r="BK8" s="15"/>
      <c r="BL8" s="15"/>
      <c r="BM8" s="15"/>
      <c r="BN8" t="s">
        <v>117</v>
      </c>
      <c r="BO8" t="s">
        <v>114</v>
      </c>
      <c r="BP8" s="6"/>
    </row>
    <row r="9" spans="1:69" ht="18.5" x14ac:dyDescent="0.45">
      <c r="A9" s="1" t="s">
        <v>14</v>
      </c>
      <c r="B9" s="1" t="str">
        <f>VLOOKUP(A9,[6]LISTADHERENT!A$5:H$60,3,0)</f>
        <v>DJOMOU TCHANDA</v>
      </c>
      <c r="C9" s="5">
        <f t="shared" si="7"/>
        <v>0</v>
      </c>
      <c r="D9" s="9">
        <f>VLOOKUP(A9,[7]HISTOBQUEDEC22!$A$6:$G$36,3,0)</f>
        <v>30000</v>
      </c>
      <c r="E9" s="9">
        <f>VLOOKUP(A9,[7]HISTOBQUEDEC22!$A$6:$G$36,4,0)</f>
        <v>0</v>
      </c>
      <c r="F9" s="9">
        <f>VLOOKUP(A9,[7]HISTOBQUEDEC22!$A$6:$G$36,5,0)</f>
        <v>0</v>
      </c>
      <c r="G9" s="5">
        <f t="shared" si="0"/>
        <v>0</v>
      </c>
      <c r="H9" s="10" t="str">
        <f t="shared" si="1"/>
        <v>BANQUE</v>
      </c>
      <c r="I9" s="11">
        <v>1</v>
      </c>
      <c r="J9" s="11">
        <f t="shared" si="2"/>
        <v>30000</v>
      </c>
      <c r="K9" s="11"/>
      <c r="L9" s="6"/>
      <c r="M9" s="11">
        <f t="shared" si="3"/>
        <v>0</v>
      </c>
      <c r="N9" s="6"/>
      <c r="O9" s="11">
        <f t="shared" si="4"/>
        <v>0</v>
      </c>
      <c r="P9" s="2">
        <f>VLOOKUP(A9,[9]TONTDEC22!$A$6:$R$31,12,0)</f>
        <v>0</v>
      </c>
      <c r="Q9" s="2"/>
      <c r="R9" s="2"/>
      <c r="S9" s="20"/>
      <c r="T9" s="12"/>
      <c r="U9" s="17">
        <f t="shared" si="8"/>
        <v>30000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I9" s="12"/>
      <c r="AJ9" s="12"/>
      <c r="AK9" s="12"/>
      <c r="AL9" s="12"/>
      <c r="AM9" s="12"/>
      <c r="AN9" s="12"/>
      <c r="AO9" s="12"/>
      <c r="AP9" s="12"/>
      <c r="AQ9" s="8">
        <f t="shared" si="5"/>
        <v>0</v>
      </c>
      <c r="AR9" s="8">
        <f t="shared" si="6"/>
        <v>0</v>
      </c>
      <c r="AS9" s="13">
        <f t="shared" si="9"/>
        <v>7000</v>
      </c>
      <c r="AT9" s="29">
        <v>20000</v>
      </c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F9" s="29">
        <f t="shared" si="15"/>
        <v>0</v>
      </c>
      <c r="BG9">
        <v>0</v>
      </c>
      <c r="BH9" s="15"/>
      <c r="BI9" s="15"/>
      <c r="BJ9" s="15"/>
      <c r="BK9" s="15"/>
      <c r="BL9" s="15"/>
      <c r="BM9" s="15"/>
      <c r="BN9" t="s">
        <v>147</v>
      </c>
      <c r="BO9" t="s">
        <v>114</v>
      </c>
      <c r="BP9" s="6"/>
    </row>
    <row r="10" spans="1:69" ht="18.5" x14ac:dyDescent="0.45">
      <c r="A10" s="1" t="s">
        <v>15</v>
      </c>
      <c r="B10" s="1" t="str">
        <f>VLOOKUP(A10,[6]LISTADHERENT!A$5:H$60,3,0)</f>
        <v>DJOUKWE NANGUEN GUY BLAISE</v>
      </c>
      <c r="C10" s="5">
        <f t="shared" si="7"/>
        <v>0</v>
      </c>
      <c r="D10" s="9">
        <f>VLOOKUP(A10,[7]HISTOBQUEDEC22!$A$6:$G$36,3,0)</f>
        <v>1105000</v>
      </c>
      <c r="E10" s="9">
        <f>VLOOKUP(A10,[7]HISTOBQUEDEC22!$A$6:$G$36,4,0)</f>
        <v>0</v>
      </c>
      <c r="F10" s="9">
        <f>VLOOKUP(A10,[7]HISTOBQUEDEC22!$A$6:$G$36,5,0)</f>
        <v>0</v>
      </c>
      <c r="G10" s="5">
        <f t="shared" si="0"/>
        <v>0</v>
      </c>
      <c r="H10" s="10" t="str">
        <f t="shared" si="1"/>
        <v>BANQUE</v>
      </c>
      <c r="I10" s="11">
        <v>1</v>
      </c>
      <c r="J10" s="11">
        <f t="shared" si="2"/>
        <v>30000</v>
      </c>
      <c r="K10" s="11"/>
      <c r="L10" s="6">
        <v>1</v>
      </c>
      <c r="M10" s="11">
        <f t="shared" si="3"/>
        <v>75000</v>
      </c>
      <c r="N10" s="6"/>
      <c r="O10" s="11">
        <f t="shared" si="4"/>
        <v>0</v>
      </c>
      <c r="P10" s="2">
        <f>VLOOKUP(A10,[9]TONTDEC22!$A$6:$R$31,12,0)</f>
        <v>0</v>
      </c>
      <c r="Q10" s="2">
        <f>VLOOKUP(A10,[10]TONTDEC22!$A$6:$P$21,10,0)</f>
        <v>0</v>
      </c>
      <c r="R10" s="2"/>
      <c r="S10" s="20">
        <f>900000+100000</f>
        <v>1000000</v>
      </c>
      <c r="T10" s="12" t="s">
        <v>8</v>
      </c>
      <c r="U10" s="17">
        <f t="shared" si="8"/>
        <v>1105000</v>
      </c>
      <c r="V10" s="12"/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5"/>
        <v>0</v>
      </c>
      <c r="AR10" s="8">
        <f t="shared" si="6"/>
        <v>0</v>
      </c>
      <c r="AS10" s="13">
        <f t="shared" si="9"/>
        <v>7000</v>
      </c>
      <c r="AT10" s="29">
        <v>20000</v>
      </c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980000</v>
      </c>
      <c r="BA10" s="58"/>
      <c r="BB10" s="58"/>
      <c r="BC10" s="15"/>
      <c r="BD10" s="57">
        <f t="shared" si="14"/>
        <v>980000</v>
      </c>
      <c r="BF10" s="29">
        <f t="shared" si="15"/>
        <v>20000</v>
      </c>
      <c r="BG10">
        <v>2</v>
      </c>
      <c r="BH10" s="15"/>
      <c r="BI10" s="15"/>
      <c r="BJ10" s="15"/>
      <c r="BK10" s="15"/>
      <c r="BL10" s="15"/>
      <c r="BM10" s="15"/>
      <c r="BN10" t="s">
        <v>118</v>
      </c>
      <c r="BO10" t="s">
        <v>114</v>
      </c>
      <c r="BP10" s="6"/>
    </row>
    <row r="11" spans="1:69" ht="18.5" x14ac:dyDescent="0.45">
      <c r="A11" s="1" t="s">
        <v>16</v>
      </c>
      <c r="B11" s="1" t="str">
        <f>VLOOKUP(A11,[6]LISTADHERENT!A$5:H$60,3,0)</f>
        <v>DJUOMBESSY ANTOINE</v>
      </c>
      <c r="C11" s="5">
        <f t="shared" si="7"/>
        <v>0</v>
      </c>
      <c r="D11" s="9">
        <f>VLOOKUP(A11,[7]HISTOBQUEDEC22!$A$6:$G$36,3,0)</f>
        <v>215000</v>
      </c>
      <c r="E11" s="9">
        <f>VLOOKUP(A11,[7]HISTOBQUEDEC22!$A$6:$G$36,4,0)</f>
        <v>0</v>
      </c>
      <c r="F11" s="9">
        <f>VLOOKUP(A11,[7]HISTOBQUEDEC22!$A$6:$G$36,5,0)</f>
        <v>0</v>
      </c>
      <c r="G11" s="5">
        <f t="shared" si="0"/>
        <v>0</v>
      </c>
      <c r="H11" s="10" t="str">
        <f t="shared" si="1"/>
        <v>BANQUE</v>
      </c>
      <c r="I11" s="11">
        <v>1</v>
      </c>
      <c r="J11" s="11">
        <f t="shared" si="2"/>
        <v>30000</v>
      </c>
      <c r="K11" s="11">
        <v>1000</v>
      </c>
      <c r="L11" s="6">
        <v>1</v>
      </c>
      <c r="M11" s="11">
        <f t="shared" si="3"/>
        <v>75000</v>
      </c>
      <c r="N11" s="6">
        <v>1</v>
      </c>
      <c r="O11" s="11">
        <f t="shared" si="4"/>
        <v>100000</v>
      </c>
      <c r="P11" s="2">
        <f>VLOOKUP(A11,[9]TONTDEC22!$A$6:$R$31,12,0)</f>
        <v>0</v>
      </c>
      <c r="Q11" s="2">
        <f>VLOOKUP(A11,[10]TONTDEC22!$A$6:$P$21,10,0)</f>
        <v>0</v>
      </c>
      <c r="R11" s="2">
        <f>VLOOKUP(A11,[8]TONTDEC22!$A$6:$P$21,10,0)</f>
        <v>0</v>
      </c>
      <c r="S11" s="20"/>
      <c r="T11" s="12"/>
      <c r="U11" s="17">
        <f t="shared" si="8"/>
        <v>206000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5"/>
        <v>0</v>
      </c>
      <c r="AR11" s="8">
        <f t="shared" si="6"/>
        <v>0</v>
      </c>
      <c r="AS11" s="13">
        <f t="shared" si="9"/>
        <v>8000</v>
      </c>
      <c r="AT11" s="29">
        <v>20000</v>
      </c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940000</v>
      </c>
      <c r="BA11" s="58"/>
      <c r="BB11" s="58">
        <v>9000</v>
      </c>
      <c r="BC11" s="15"/>
      <c r="BD11" s="57">
        <f t="shared" si="14"/>
        <v>931000</v>
      </c>
      <c r="BF11" s="29">
        <f t="shared" si="15"/>
        <v>60000</v>
      </c>
      <c r="BG11">
        <v>6</v>
      </c>
      <c r="BH11" s="15"/>
      <c r="BI11" s="15"/>
      <c r="BJ11" s="15"/>
      <c r="BK11" s="15"/>
      <c r="BL11" s="15"/>
      <c r="BM11" s="15"/>
      <c r="BN11" t="s">
        <v>119</v>
      </c>
      <c r="BO11" t="s">
        <v>114</v>
      </c>
      <c r="BP11" s="6"/>
    </row>
    <row r="12" spans="1:69" ht="18.5" x14ac:dyDescent="0.45">
      <c r="A12" s="1" t="s">
        <v>17</v>
      </c>
      <c r="B12" s="1" t="str">
        <f>VLOOKUP(A12,[6]LISTADHERENT!A$5:H$60,3,0)</f>
        <v>DOMOU FABIEN</v>
      </c>
      <c r="C12" s="5">
        <f t="shared" si="7"/>
        <v>0</v>
      </c>
      <c r="D12" s="9">
        <f>VLOOKUP(A12,[7]HISTOBQUEDEC22!$A$6:$G$36,3,0)</f>
        <v>1035000</v>
      </c>
      <c r="E12" s="9">
        <f>VLOOKUP(A12,[7]HISTOBQUEDEC22!$A$6:$G$36,4,0)</f>
        <v>0</v>
      </c>
      <c r="F12" s="9">
        <f>VLOOKUP(A12,[7]HISTOBQUEDEC22!$A$6:$G$36,5,0)</f>
        <v>0</v>
      </c>
      <c r="G12" s="5">
        <f t="shared" si="0"/>
        <v>0</v>
      </c>
      <c r="H12" s="10" t="str">
        <f t="shared" si="1"/>
        <v>BANQUE</v>
      </c>
      <c r="I12" s="11">
        <v>1</v>
      </c>
      <c r="J12" s="11">
        <f t="shared" si="2"/>
        <v>30000</v>
      </c>
      <c r="K12" s="11">
        <v>5000</v>
      </c>
      <c r="L12" s="6"/>
      <c r="M12" s="11">
        <f t="shared" si="3"/>
        <v>0</v>
      </c>
      <c r="N12" s="6"/>
      <c r="O12" s="11">
        <f t="shared" si="4"/>
        <v>0</v>
      </c>
      <c r="P12" s="2">
        <f>VLOOKUP(A12,[9]TONTDEC22!$A$6:$R$31,12,0)</f>
        <v>0</v>
      </c>
      <c r="Q12" s="2"/>
      <c r="R12" s="2"/>
      <c r="S12" s="20">
        <v>1000000</v>
      </c>
      <c r="T12" s="12" t="s">
        <v>8</v>
      </c>
      <c r="U12" s="17">
        <f t="shared" si="8"/>
        <v>1035000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5"/>
        <v>0</v>
      </c>
      <c r="AR12" s="8">
        <f t="shared" si="6"/>
        <v>0</v>
      </c>
      <c r="AS12" s="13">
        <f t="shared" si="9"/>
        <v>12000</v>
      </c>
      <c r="AT12" s="29">
        <v>20000</v>
      </c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880000</v>
      </c>
      <c r="BA12" s="58"/>
      <c r="BB12" s="58"/>
      <c r="BC12" s="15"/>
      <c r="BD12" s="57">
        <f t="shared" si="14"/>
        <v>880000</v>
      </c>
      <c r="BF12" s="29">
        <f t="shared" si="15"/>
        <v>120000</v>
      </c>
      <c r="BG12">
        <v>12</v>
      </c>
      <c r="BH12" s="15"/>
      <c r="BI12" s="15"/>
      <c r="BJ12" s="15"/>
      <c r="BK12" s="15"/>
      <c r="BL12" s="15"/>
      <c r="BM12" s="15"/>
      <c r="BN12" t="s">
        <v>120</v>
      </c>
      <c r="BO12" t="s">
        <v>114</v>
      </c>
      <c r="BP12" s="6"/>
    </row>
    <row r="13" spans="1:69" ht="18.5" x14ac:dyDescent="0.45">
      <c r="A13" s="1" t="s">
        <v>18</v>
      </c>
      <c r="B13" s="1" t="str">
        <f>VLOOKUP(A13,[6]LISTADHERENT!A$5:H$60,3,0)</f>
        <v>DONHOU DAVID</v>
      </c>
      <c r="C13" s="5">
        <f t="shared" si="7"/>
        <v>0</v>
      </c>
      <c r="D13" s="9">
        <f>VLOOKUP(A13,[7]HISTOBQUEDEC22!$A$6:$G$36,3,0)</f>
        <v>35000</v>
      </c>
      <c r="E13" s="9">
        <f>VLOOKUP(A13,[7]HISTOBQUEDEC22!$A$6:$G$36,4,0)</f>
        <v>0</v>
      </c>
      <c r="F13" s="9">
        <f>VLOOKUP(A13,[7]HISTOBQUEDEC22!$A$6:$G$36,5,0)</f>
        <v>0</v>
      </c>
      <c r="G13" s="5">
        <f t="shared" si="0"/>
        <v>0</v>
      </c>
      <c r="H13" s="10" t="str">
        <f t="shared" si="1"/>
        <v>BANQUE</v>
      </c>
      <c r="I13" s="11">
        <v>1</v>
      </c>
      <c r="J13" s="11">
        <f t="shared" si="2"/>
        <v>30000</v>
      </c>
      <c r="K13" s="11">
        <v>5000</v>
      </c>
      <c r="L13" s="6"/>
      <c r="M13" s="11">
        <f t="shared" si="3"/>
        <v>0</v>
      </c>
      <c r="N13" s="6"/>
      <c r="O13" s="11">
        <f t="shared" si="4"/>
        <v>0</v>
      </c>
      <c r="P13" s="2">
        <f>VLOOKUP(A13,[9]TONTDEC22!$A$6:$R$31,12,0)</f>
        <v>0</v>
      </c>
      <c r="Q13" s="2"/>
      <c r="R13" s="2"/>
      <c r="S13" s="20"/>
      <c r="T13" s="12"/>
      <c r="U13" s="17">
        <f t="shared" si="8"/>
        <v>35000</v>
      </c>
      <c r="V13" s="12"/>
      <c r="W13" s="12"/>
      <c r="X13" s="12"/>
      <c r="Y13" s="12"/>
      <c r="Z13" s="12"/>
      <c r="AA13" s="12"/>
      <c r="AB13" s="12"/>
      <c r="AC13" s="12">
        <v>23000</v>
      </c>
      <c r="AD13" s="12"/>
      <c r="AE13" s="12"/>
      <c r="AF13" s="12" t="s">
        <v>8</v>
      </c>
      <c r="AG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5"/>
        <v>0</v>
      </c>
      <c r="AR13" s="8">
        <f t="shared" si="6"/>
        <v>0</v>
      </c>
      <c r="AS13" s="13">
        <f t="shared" si="9"/>
        <v>12000</v>
      </c>
      <c r="AT13" s="29">
        <v>20000</v>
      </c>
      <c r="AV13" s="15"/>
      <c r="AW13" s="15">
        <f t="shared" si="10"/>
        <v>277000</v>
      </c>
      <c r="AX13" s="15">
        <f t="shared" si="11"/>
        <v>0</v>
      </c>
      <c r="AY13" s="15">
        <f t="shared" si="12"/>
        <v>0</v>
      </c>
      <c r="AZ13" s="16">
        <f t="shared" si="13"/>
        <v>277000</v>
      </c>
      <c r="BA13" s="58"/>
      <c r="BB13" s="58"/>
      <c r="BC13" s="15"/>
      <c r="BD13" s="57">
        <f t="shared" si="14"/>
        <v>277000</v>
      </c>
      <c r="BF13" s="29">
        <f t="shared" si="15"/>
        <v>0</v>
      </c>
      <c r="BG13">
        <v>0</v>
      </c>
      <c r="BH13" s="15"/>
      <c r="BI13" s="15"/>
      <c r="BJ13" s="15"/>
      <c r="BK13" s="15"/>
      <c r="BL13" s="15"/>
      <c r="BM13" s="15"/>
      <c r="BN13" t="s">
        <v>145</v>
      </c>
      <c r="BO13" t="s">
        <v>114</v>
      </c>
      <c r="BP13" s="6">
        <v>6000</v>
      </c>
    </row>
    <row r="14" spans="1:69" ht="18.5" x14ac:dyDescent="0.45">
      <c r="A14" s="1" t="s">
        <v>19</v>
      </c>
      <c r="B14" s="1" t="str">
        <f>VLOOKUP(A14,[6]LISTADHERENT!A$5:H$60,3,0)</f>
        <v>FOTSO THOMAS</v>
      </c>
      <c r="C14" s="5">
        <f t="shared" si="7"/>
        <v>0</v>
      </c>
      <c r="D14" s="9">
        <f>VLOOKUP(A14,[7]HISTOBQUEDEC22!$A$6:$G$36,3,0)</f>
        <v>0</v>
      </c>
      <c r="E14" s="9">
        <f>VLOOKUP(A14,[7]HISTOBQUEDEC22!$A$6:$G$36,4,0)</f>
        <v>0</v>
      </c>
      <c r="F14" s="9">
        <f>VLOOKUP(A14,[7]HISTOBQUEDEC22!$A$6:$G$36,5,0)</f>
        <v>0</v>
      </c>
      <c r="G14" s="5">
        <f t="shared" si="0"/>
        <v>0</v>
      </c>
      <c r="H14" s="10" t="str">
        <f t="shared" si="1"/>
        <v>ECHEC</v>
      </c>
      <c r="I14" s="11"/>
      <c r="J14" s="11">
        <f t="shared" si="2"/>
        <v>0</v>
      </c>
      <c r="K14" s="11"/>
      <c r="L14" s="6"/>
      <c r="M14" s="11">
        <f t="shared" si="3"/>
        <v>0</v>
      </c>
      <c r="N14" s="6"/>
      <c r="O14" s="11">
        <f t="shared" si="4"/>
        <v>0</v>
      </c>
      <c r="P14" s="2"/>
      <c r="Q14" s="2"/>
      <c r="R14" s="2"/>
      <c r="S14" s="20"/>
      <c r="T14" s="12"/>
      <c r="U14" s="17">
        <f t="shared" si="8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5"/>
        <v>0</v>
      </c>
      <c r="AR14" s="8">
        <f t="shared" si="6"/>
        <v>0</v>
      </c>
      <c r="AS14" s="13">
        <f t="shared" si="9"/>
        <v>0</v>
      </c>
      <c r="AT14" s="29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F14" s="29">
        <f t="shared" si="15"/>
        <v>0</v>
      </c>
      <c r="BG14">
        <v>0</v>
      </c>
      <c r="BH14" s="15"/>
      <c r="BI14" s="15"/>
      <c r="BJ14" s="15"/>
      <c r="BK14" s="15"/>
      <c r="BL14" s="15"/>
      <c r="BM14" s="15"/>
      <c r="BN14" t="s">
        <v>122</v>
      </c>
      <c r="BO14" t="s">
        <v>114</v>
      </c>
      <c r="BP14" s="6"/>
    </row>
    <row r="15" spans="1:69" ht="18.5" x14ac:dyDescent="0.45">
      <c r="A15" s="1" t="s">
        <v>20</v>
      </c>
      <c r="B15" s="1" t="str">
        <f>VLOOKUP(A15,[6]LISTADHERENT!A$5:H$60,3,0)</f>
        <v>HENGUE PAUL OMER</v>
      </c>
      <c r="C15" s="5">
        <f t="shared" si="7"/>
        <v>0</v>
      </c>
      <c r="D15" s="9">
        <f>VLOOKUP(A15,[7]HISTOBQUEDEC22!$A$6:$G$36,3,0)</f>
        <v>105000</v>
      </c>
      <c r="E15" s="9">
        <f>VLOOKUP(A15,[7]HISTOBQUEDEC22!$A$6:$G$36,4,0)</f>
        <v>0</v>
      </c>
      <c r="F15" s="9">
        <f>VLOOKUP(A15,[7]HISTOBQUEDEC22!$A$6:$G$36,5,0)</f>
        <v>0</v>
      </c>
      <c r="G15" s="5">
        <f t="shared" si="0"/>
        <v>0</v>
      </c>
      <c r="H15" s="10" t="str">
        <f t="shared" si="1"/>
        <v>BANQUE</v>
      </c>
      <c r="I15" s="11">
        <v>1</v>
      </c>
      <c r="J15" s="11">
        <f t="shared" si="2"/>
        <v>30000</v>
      </c>
      <c r="K15" s="11"/>
      <c r="L15" s="6">
        <v>1</v>
      </c>
      <c r="M15" s="11">
        <f t="shared" si="3"/>
        <v>75000</v>
      </c>
      <c r="N15" s="6"/>
      <c r="O15" s="11">
        <f t="shared" si="4"/>
        <v>0</v>
      </c>
      <c r="P15" s="2">
        <f>VLOOKUP(A15,[9]TONTDEC22!$A$6:$R$31,12,0)</f>
        <v>0</v>
      </c>
      <c r="Q15" s="2">
        <f>VLOOKUP(A15,[10]TONTDEC22!$A$6:$P$21,10,0)</f>
        <v>0</v>
      </c>
      <c r="R15" s="2"/>
      <c r="S15" s="20"/>
      <c r="T15" s="12"/>
      <c r="U15" s="17">
        <f t="shared" si="8"/>
        <v>105000</v>
      </c>
      <c r="V15" s="12"/>
      <c r="W15" s="12"/>
      <c r="X15" s="12"/>
      <c r="Y15" s="12"/>
      <c r="Z15" s="12"/>
      <c r="AA15" s="12"/>
      <c r="AB15" s="12"/>
      <c r="AC15" s="12"/>
      <c r="AD15" s="12">
        <v>75000</v>
      </c>
      <c r="AE15" s="12"/>
      <c r="AF15" s="12" t="s">
        <v>8</v>
      </c>
      <c r="AG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5"/>
        <v>0</v>
      </c>
      <c r="AR15" s="8">
        <f t="shared" si="6"/>
        <v>0</v>
      </c>
      <c r="AS15" s="13">
        <f t="shared" si="9"/>
        <v>7000</v>
      </c>
      <c r="AT15" s="29">
        <v>20000</v>
      </c>
      <c r="AV15" s="15"/>
      <c r="AW15" s="15">
        <f t="shared" si="10"/>
        <v>0</v>
      </c>
      <c r="AX15" s="15">
        <f t="shared" si="11"/>
        <v>1125000</v>
      </c>
      <c r="AY15" s="15">
        <f t="shared" si="12"/>
        <v>0</v>
      </c>
      <c r="AZ15" s="16">
        <f t="shared" si="13"/>
        <v>1125000</v>
      </c>
      <c r="BA15" s="58"/>
      <c r="BB15" s="58"/>
      <c r="BC15" s="15"/>
      <c r="BD15" s="57">
        <f t="shared" si="14"/>
        <v>1125000</v>
      </c>
      <c r="BF15" s="29">
        <f t="shared" si="15"/>
        <v>0</v>
      </c>
      <c r="BG15">
        <v>0</v>
      </c>
      <c r="BH15" s="15"/>
      <c r="BI15" s="15"/>
      <c r="BJ15" s="15"/>
      <c r="BK15" s="15"/>
      <c r="BL15" s="15"/>
      <c r="BM15" s="15"/>
      <c r="BP15" s="6"/>
    </row>
    <row r="16" spans="1:69" ht="18.5" x14ac:dyDescent="0.45">
      <c r="A16" s="1" t="s">
        <v>21</v>
      </c>
      <c r="B16" s="1" t="str">
        <f>VLOOKUP(A16,[6]LISTADHERENT!A$5:H$60,3,0)</f>
        <v>HOTCHO BENJAMIN</v>
      </c>
      <c r="C16" s="5">
        <f t="shared" si="7"/>
        <v>0</v>
      </c>
      <c r="D16" s="9">
        <f>VLOOKUP(A16,[7]HISTOBQUEDEC22!$A$6:$G$36,3,0)</f>
        <v>1150000</v>
      </c>
      <c r="E16" s="9">
        <f>VLOOKUP(A16,[7]HISTOBQUEDEC22!$A$6:$G$36,4,0)</f>
        <v>0</v>
      </c>
      <c r="F16" s="9">
        <f>VLOOKUP(A16,[7]HISTOBQUEDEC22!$A$6:$G$36,5,0)</f>
        <v>0</v>
      </c>
      <c r="G16" s="5">
        <f t="shared" si="0"/>
        <v>0</v>
      </c>
      <c r="H16" s="10" t="str">
        <f t="shared" si="1"/>
        <v>BANQUE</v>
      </c>
      <c r="I16" s="11">
        <v>1</v>
      </c>
      <c r="J16" s="11">
        <f t="shared" si="2"/>
        <v>30000</v>
      </c>
      <c r="K16" s="11">
        <v>45000</v>
      </c>
      <c r="L16" s="6">
        <v>1</v>
      </c>
      <c r="M16" s="11">
        <f t="shared" si="3"/>
        <v>75000</v>
      </c>
      <c r="N16" s="6"/>
      <c r="O16" s="11">
        <f t="shared" si="4"/>
        <v>0</v>
      </c>
      <c r="P16" s="2">
        <f>VLOOKUP(A16,[9]TONTDEC22!$A$6:$R$31,12,0)</f>
        <v>0</v>
      </c>
      <c r="Q16" s="2">
        <f>VLOOKUP(A16,[10]TONTDEC22!$A$6:$P$21,10,0)</f>
        <v>0</v>
      </c>
      <c r="R16" s="2"/>
      <c r="S16" s="20">
        <v>1000000</v>
      </c>
      <c r="T16" s="12" t="s">
        <v>8</v>
      </c>
      <c r="U16" s="17">
        <f t="shared" si="8"/>
        <v>1150000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5"/>
        <v>0</v>
      </c>
      <c r="AR16" s="8">
        <f t="shared" si="6"/>
        <v>0</v>
      </c>
      <c r="AS16" s="13">
        <f t="shared" si="9"/>
        <v>52000</v>
      </c>
      <c r="AT16" s="29">
        <v>20000</v>
      </c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880000</v>
      </c>
      <c r="BA16" s="58"/>
      <c r="BB16" s="58"/>
      <c r="BC16" s="15"/>
      <c r="BD16" s="57">
        <f t="shared" si="14"/>
        <v>880000</v>
      </c>
      <c r="BF16" s="29">
        <f t="shared" si="15"/>
        <v>120000</v>
      </c>
      <c r="BG16">
        <v>12</v>
      </c>
      <c r="BH16" s="15"/>
      <c r="BI16" s="15"/>
      <c r="BJ16" s="15"/>
      <c r="BK16" s="15"/>
      <c r="BL16" s="15"/>
      <c r="BM16" s="15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VLOOKUP(A17,[6]LISTADHERENT!A$5:H$60,3,0)</f>
        <v>KOUAMOU MOISE</v>
      </c>
      <c r="C17" s="5">
        <f t="shared" si="7"/>
        <v>0</v>
      </c>
      <c r="D17" s="9">
        <f>VLOOKUP(A17,[7]HISTOBQUEDEC22!$A$6:$G$36,3,0)</f>
        <v>1030000</v>
      </c>
      <c r="E17" s="9">
        <f>VLOOKUP(A17,[7]HISTOBQUEDEC22!$A$6:$G$36,4,0)</f>
        <v>0</v>
      </c>
      <c r="F17" s="9">
        <f>VLOOKUP(A17,[7]HISTOBQUEDEC22!$A$6:$G$36,5,0)</f>
        <v>0</v>
      </c>
      <c r="G17" s="5">
        <f t="shared" si="0"/>
        <v>0</v>
      </c>
      <c r="H17" s="10" t="str">
        <f t="shared" si="1"/>
        <v>BANQUE</v>
      </c>
      <c r="I17" s="11">
        <v>1</v>
      </c>
      <c r="J17" s="11">
        <f t="shared" si="2"/>
        <v>30000</v>
      </c>
      <c r="K17" s="11"/>
      <c r="L17" s="6"/>
      <c r="M17" s="11">
        <f t="shared" si="3"/>
        <v>0</v>
      </c>
      <c r="N17" s="6">
        <v>3</v>
      </c>
      <c r="O17" s="11">
        <f t="shared" si="4"/>
        <v>300000</v>
      </c>
      <c r="P17" s="2">
        <f>VLOOKUP(A17,[9]TONTDEC22!$A$6:$R$31,12,0)</f>
        <v>0</v>
      </c>
      <c r="Q17" s="2"/>
      <c r="R17" s="2">
        <f>VLOOKUP(A17,[8]TONTDEC22!$A$6:$P$21,10,0)</f>
        <v>0</v>
      </c>
      <c r="S17" s="20">
        <v>700000</v>
      </c>
      <c r="T17" s="12" t="s">
        <v>8</v>
      </c>
      <c r="U17" s="17">
        <f t="shared" si="8"/>
        <v>1030000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5"/>
        <v>0</v>
      </c>
      <c r="AR17" s="8">
        <f t="shared" si="6"/>
        <v>0</v>
      </c>
      <c r="AS17" s="13">
        <f t="shared" si="9"/>
        <v>7000</v>
      </c>
      <c r="AT17" s="29">
        <v>20000</v>
      </c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F17" s="29">
        <f t="shared" si="15"/>
        <v>0</v>
      </c>
      <c r="BG17">
        <v>0</v>
      </c>
      <c r="BH17" s="15"/>
      <c r="BI17" s="15"/>
      <c r="BJ17" s="15"/>
      <c r="BK17" s="15"/>
      <c r="BL17" s="15"/>
      <c r="BM17" s="15"/>
      <c r="BN17" s="62"/>
      <c r="BP17" s="6"/>
    </row>
    <row r="18" spans="1:68" ht="18.5" x14ac:dyDescent="0.45">
      <c r="A18" s="1" t="s">
        <v>23</v>
      </c>
      <c r="B18" s="1" t="str">
        <f>VLOOKUP(A18,[6]LISTADHERENT!A$5:H$60,3,0)</f>
        <v>KOUATCHO MESSACK</v>
      </c>
      <c r="C18" s="5">
        <f t="shared" si="7"/>
        <v>0</v>
      </c>
      <c r="D18" s="9">
        <f>VLOOKUP(A18,[7]HISTOBQUEDEC22!$A$6:$G$36,3,0)</f>
        <v>1205000</v>
      </c>
      <c r="E18" s="9">
        <f>VLOOKUP(A18,[7]HISTOBQUEDEC22!$A$6:$G$36,4,0)</f>
        <v>0</v>
      </c>
      <c r="F18" s="9">
        <f>VLOOKUP(A18,[7]HISTOBQUEDEC22!$A$6:$G$36,5,0)</f>
        <v>0</v>
      </c>
      <c r="G18" s="5">
        <f t="shared" si="0"/>
        <v>0</v>
      </c>
      <c r="H18" s="10" t="str">
        <f t="shared" si="1"/>
        <v>BANQUE</v>
      </c>
      <c r="I18" s="11">
        <v>1</v>
      </c>
      <c r="J18" s="11">
        <f t="shared" si="2"/>
        <v>30000</v>
      </c>
      <c r="K18" s="11"/>
      <c r="L18" s="6">
        <v>1</v>
      </c>
      <c r="M18" s="11">
        <f t="shared" si="3"/>
        <v>75000</v>
      </c>
      <c r="N18" s="6">
        <v>1</v>
      </c>
      <c r="O18" s="11">
        <f t="shared" si="4"/>
        <v>100000</v>
      </c>
      <c r="P18" s="2">
        <f>VLOOKUP(A18,[9]TONTDEC22!$A$6:$R$31,12,0)</f>
        <v>0</v>
      </c>
      <c r="Q18" s="2">
        <f>VLOOKUP(A18,[10]TONTDEC22!$A$6:$P$21,10,0)</f>
        <v>0</v>
      </c>
      <c r="R18" s="2">
        <f>VLOOKUP(A18,[8]TONTDEC22!$A$6:$P$21,10,0)</f>
        <v>0</v>
      </c>
      <c r="S18" s="20">
        <v>1000000</v>
      </c>
      <c r="T18" s="12" t="s">
        <v>8</v>
      </c>
      <c r="U18" s="17">
        <f t="shared" si="8"/>
        <v>1205000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5"/>
        <v>0</v>
      </c>
      <c r="AR18" s="8">
        <f t="shared" si="6"/>
        <v>0</v>
      </c>
      <c r="AS18" s="13">
        <f t="shared" si="9"/>
        <v>7000</v>
      </c>
      <c r="AT18" s="29">
        <v>20000</v>
      </c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940000</v>
      </c>
      <c r="BA18" s="58"/>
      <c r="BB18" s="58"/>
      <c r="BC18" s="15"/>
      <c r="BD18" s="57">
        <f t="shared" si="14"/>
        <v>940000</v>
      </c>
      <c r="BF18" s="29">
        <f t="shared" si="15"/>
        <v>60000</v>
      </c>
      <c r="BG18">
        <v>6</v>
      </c>
      <c r="BH18" s="15"/>
      <c r="BI18" s="15"/>
      <c r="BJ18" s="15"/>
      <c r="BK18" s="15"/>
      <c r="BL18" s="15"/>
      <c r="BM18" s="15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VLOOKUP(A19,[6]LISTADHERENT!A$5:H$60,3,0)</f>
        <v>LOWE JEAN</v>
      </c>
      <c r="C19" s="5">
        <f t="shared" si="7"/>
        <v>0</v>
      </c>
      <c r="D19" s="9">
        <f>VLOOKUP(A19,[7]HISTOBQUEDEC22!$A$6:$G$36,3,0)</f>
        <v>1030000</v>
      </c>
      <c r="E19" s="9">
        <f>VLOOKUP(A19,[7]HISTOBQUEDEC22!$A$6:$G$36,4,0)</f>
        <v>0</v>
      </c>
      <c r="F19" s="9">
        <f>VLOOKUP(A19,[7]HISTOBQUEDEC22!$A$6:$G$36,5,0)</f>
        <v>0</v>
      </c>
      <c r="G19" s="5">
        <f t="shared" si="0"/>
        <v>0</v>
      </c>
      <c r="H19" s="10" t="str">
        <f t="shared" si="1"/>
        <v>BANQUE</v>
      </c>
      <c r="I19" s="11">
        <v>1</v>
      </c>
      <c r="J19" s="11">
        <f t="shared" si="2"/>
        <v>30000</v>
      </c>
      <c r="K19" s="11"/>
      <c r="L19" s="6"/>
      <c r="M19" s="11">
        <f t="shared" si="3"/>
        <v>0</v>
      </c>
      <c r="N19" s="6"/>
      <c r="O19" s="11">
        <f t="shared" si="4"/>
        <v>0</v>
      </c>
      <c r="P19" s="2">
        <f>VLOOKUP(A19,[9]TONTDEC22!$A$6:$R$31,12,0)</f>
        <v>0</v>
      </c>
      <c r="Q19" s="2"/>
      <c r="R19" s="2"/>
      <c r="S19" s="20">
        <v>1000000</v>
      </c>
      <c r="T19" s="12" t="s">
        <v>8</v>
      </c>
      <c r="U19" s="17">
        <f t="shared" si="8"/>
        <v>1030000</v>
      </c>
      <c r="V19" s="12"/>
      <c r="W19" s="12"/>
      <c r="X19" s="12"/>
      <c r="Y19" s="12"/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5"/>
        <v>0</v>
      </c>
      <c r="AR19" s="8">
        <f t="shared" si="6"/>
        <v>0</v>
      </c>
      <c r="AS19" s="13">
        <f t="shared" si="9"/>
        <v>7000</v>
      </c>
      <c r="AT19" s="29">
        <v>20000</v>
      </c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960000</v>
      </c>
      <c r="BA19" s="58"/>
      <c r="BB19" s="58"/>
      <c r="BC19" s="15"/>
      <c r="BD19" s="57">
        <f t="shared" si="14"/>
        <v>960000</v>
      </c>
      <c r="BF19" s="29">
        <f t="shared" si="15"/>
        <v>40000</v>
      </c>
      <c r="BG19">
        <v>4</v>
      </c>
      <c r="BH19" s="15"/>
      <c r="BI19" s="15"/>
      <c r="BJ19" s="15"/>
      <c r="BK19" s="15"/>
      <c r="BL19" s="15"/>
      <c r="BM19" s="15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VLOOKUP(A20,[6]LISTADHERENT!A$5:H$60,3,0)</f>
        <v>MBOGNING TUGMA GUY</v>
      </c>
      <c r="C20" s="5">
        <f t="shared" si="7"/>
        <v>0</v>
      </c>
      <c r="D20" s="9">
        <f>VLOOKUP(A20,[7]HISTOBQUEDEC22!$A$6:$G$36,3,0)</f>
        <v>1627500</v>
      </c>
      <c r="E20" s="9">
        <f>VLOOKUP(A20,[7]HISTOBQUEDEC22!$A$6:$G$36,4,0)</f>
        <v>0</v>
      </c>
      <c r="F20" s="9">
        <f>VLOOKUP(A20,[7]HISTOBQUEDEC22!$A$6:$G$36,5,0)</f>
        <v>0</v>
      </c>
      <c r="G20" s="5">
        <f t="shared" si="0"/>
        <v>0</v>
      </c>
      <c r="H20" s="10" t="str">
        <f t="shared" si="1"/>
        <v>BANQUE</v>
      </c>
      <c r="I20" s="11">
        <v>1</v>
      </c>
      <c r="J20" s="11">
        <f t="shared" si="2"/>
        <v>30000</v>
      </c>
      <c r="K20" s="11"/>
      <c r="L20" s="6">
        <v>3</v>
      </c>
      <c r="M20" s="11">
        <f t="shared" si="3"/>
        <v>225000</v>
      </c>
      <c r="N20" s="6">
        <v>2</v>
      </c>
      <c r="O20" s="11">
        <f t="shared" si="4"/>
        <v>200000</v>
      </c>
      <c r="P20" s="2">
        <f>VLOOKUP(A20,[9]TONTDEC22!$A$6:$R$31,12,0)</f>
        <v>0</v>
      </c>
      <c r="Q20" s="2">
        <f>VLOOKUP(A20,[10]TONTDEC22!$A$6:$P$21,10,0)</f>
        <v>0</v>
      </c>
      <c r="R20" s="2">
        <f>VLOOKUP(A20,[8]TONTDEC22!$A$6:$P$21,10,0)</f>
        <v>172500</v>
      </c>
      <c r="S20" s="20">
        <v>1000000</v>
      </c>
      <c r="T20" s="12" t="s">
        <v>8</v>
      </c>
      <c r="U20" s="17">
        <f t="shared" si="8"/>
        <v>1627500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5"/>
        <v>0</v>
      </c>
      <c r="AR20" s="8">
        <f t="shared" si="6"/>
        <v>0</v>
      </c>
      <c r="AS20" s="13">
        <f t="shared" si="9"/>
        <v>7000</v>
      </c>
      <c r="AT20" s="29">
        <v>20000</v>
      </c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940000</v>
      </c>
      <c r="BA20" s="58"/>
      <c r="BB20" s="58"/>
      <c r="BC20" s="15"/>
      <c r="BD20" s="57">
        <f t="shared" si="14"/>
        <v>940000</v>
      </c>
      <c r="BF20" s="29">
        <f t="shared" si="15"/>
        <v>60000</v>
      </c>
      <c r="BG20">
        <v>6</v>
      </c>
      <c r="BH20" s="15"/>
      <c r="BI20" s="15"/>
      <c r="BJ20" s="15"/>
      <c r="BK20" s="15"/>
      <c r="BL20" s="15"/>
      <c r="BM20" s="15"/>
      <c r="BP20" s="6"/>
    </row>
    <row r="21" spans="1:68" ht="18.5" x14ac:dyDescent="0.45">
      <c r="A21" s="1" t="s">
        <v>26</v>
      </c>
      <c r="B21" s="1" t="str">
        <f>VLOOKUP(A21,[6]LISTADHERENT!A$5:H$60,3,0)</f>
        <v>NANGUEN MARTIN</v>
      </c>
      <c r="C21" s="5">
        <f t="shared" si="7"/>
        <v>0</v>
      </c>
      <c r="D21" s="9">
        <f>VLOOKUP(A21,[7]HISTOBQUEDEC22!$A$6:$G$36,3,0)</f>
        <v>30000</v>
      </c>
      <c r="E21" s="9">
        <f>VLOOKUP(A21,[7]HISTOBQUEDEC22!$A$6:$G$36,4,0)</f>
        <v>0</v>
      </c>
      <c r="F21" s="9">
        <f>VLOOKUP(A21,[7]HISTOBQUEDEC22!$A$6:$G$36,5,0)</f>
        <v>0</v>
      </c>
      <c r="G21" s="5">
        <f t="shared" si="0"/>
        <v>0</v>
      </c>
      <c r="H21" s="10" t="str">
        <f t="shared" si="1"/>
        <v>BANQUE</v>
      </c>
      <c r="I21" s="11">
        <v>1</v>
      </c>
      <c r="J21" s="11">
        <f t="shared" si="2"/>
        <v>30000</v>
      </c>
      <c r="K21" s="11"/>
      <c r="L21" s="6"/>
      <c r="M21" s="11">
        <f t="shared" si="3"/>
        <v>0</v>
      </c>
      <c r="N21" s="6"/>
      <c r="O21" s="11">
        <f t="shared" si="4"/>
        <v>0</v>
      </c>
      <c r="P21" s="2">
        <f>VLOOKUP(A21,[9]TONTDEC22!$A$6:$R$31,12,0)</f>
        <v>0</v>
      </c>
      <c r="Q21" s="2"/>
      <c r="R21" s="2"/>
      <c r="S21" s="20"/>
      <c r="T21" s="12"/>
      <c r="U21" s="17">
        <f t="shared" si="8"/>
        <v>30000</v>
      </c>
      <c r="V21" s="12"/>
      <c r="W21" s="12"/>
      <c r="X21" s="12"/>
      <c r="Y21" s="12"/>
      <c r="Z21" s="12">
        <v>500000</v>
      </c>
      <c r="AA21" s="12" t="s">
        <v>8</v>
      </c>
      <c r="AB21" s="12"/>
      <c r="AC21" s="12"/>
      <c r="AD21" s="12"/>
      <c r="AE21" s="12"/>
      <c r="AF21" s="12"/>
      <c r="AG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5"/>
        <v>0</v>
      </c>
      <c r="AR21" s="8">
        <f t="shared" si="6"/>
        <v>0</v>
      </c>
      <c r="AS21" s="13">
        <f t="shared" si="9"/>
        <v>7000</v>
      </c>
      <c r="AT21" s="29">
        <v>20000</v>
      </c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510000</v>
      </c>
      <c r="BA21" s="58"/>
      <c r="BB21" s="58"/>
      <c r="BC21" s="15"/>
      <c r="BD21" s="57">
        <f t="shared" si="14"/>
        <v>510000</v>
      </c>
      <c r="BF21" s="29">
        <f t="shared" si="15"/>
        <v>60000</v>
      </c>
      <c r="BG21">
        <v>12</v>
      </c>
      <c r="BH21" s="15"/>
      <c r="BI21" s="15"/>
      <c r="BJ21" s="15"/>
      <c r="BK21" s="15">
        <v>70000</v>
      </c>
      <c r="BL21" s="15"/>
      <c r="BM21" s="15"/>
      <c r="BP21" s="6"/>
    </row>
    <row r="22" spans="1:68" ht="18.5" x14ac:dyDescent="0.45">
      <c r="A22" s="1" t="s">
        <v>27</v>
      </c>
      <c r="B22" s="1" t="str">
        <f>VLOOKUP(A22,[6]LISTADHERENT!A$5:H$60,3,0)</f>
        <v>NANKAM APPOLINAIRE</v>
      </c>
      <c r="C22" s="5">
        <f t="shared" si="7"/>
        <v>0</v>
      </c>
      <c r="D22" s="9">
        <f>VLOOKUP(A22,[7]HISTOBQUEDEC22!$A$6:$G$36,3,0)</f>
        <v>1105000</v>
      </c>
      <c r="E22" s="9">
        <f>VLOOKUP(A22,[7]HISTOBQUEDEC22!$A$6:$G$36,4,0)</f>
        <v>0</v>
      </c>
      <c r="F22" s="9">
        <f>VLOOKUP(A22,[7]HISTOBQUEDEC22!$A$6:$G$36,5,0)</f>
        <v>0</v>
      </c>
      <c r="G22" s="5">
        <f t="shared" si="0"/>
        <v>0</v>
      </c>
      <c r="H22" s="10" t="str">
        <f t="shared" si="1"/>
        <v>BANQUE</v>
      </c>
      <c r="I22" s="11">
        <v>1</v>
      </c>
      <c r="J22" s="11">
        <f t="shared" si="2"/>
        <v>30000</v>
      </c>
      <c r="K22" s="11"/>
      <c r="L22" s="6">
        <v>1</v>
      </c>
      <c r="M22" s="11">
        <f t="shared" si="3"/>
        <v>75000</v>
      </c>
      <c r="N22" s="6"/>
      <c r="O22" s="11">
        <f t="shared" si="4"/>
        <v>0</v>
      </c>
      <c r="P22" s="2">
        <f>VLOOKUP(A22,[9]TONTDEC22!$A$6:$R$31,12,0)</f>
        <v>0</v>
      </c>
      <c r="Q22" s="2">
        <f>VLOOKUP(A22,[10]TONTDEC22!$A$6:$P$21,10,0)</f>
        <v>0</v>
      </c>
      <c r="R22" s="2"/>
      <c r="S22" s="20">
        <v>1000000</v>
      </c>
      <c r="T22" s="12" t="s">
        <v>8</v>
      </c>
      <c r="U22" s="17">
        <f t="shared" si="8"/>
        <v>1105000</v>
      </c>
      <c r="V22" s="12"/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5"/>
        <v>0</v>
      </c>
      <c r="AR22" s="8">
        <f t="shared" si="6"/>
        <v>0</v>
      </c>
      <c r="AS22" s="13">
        <f t="shared" si="9"/>
        <v>7000</v>
      </c>
      <c r="AT22" s="29">
        <v>20000</v>
      </c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>SUM(AV22:AY22)-BF22+Z22-F22+BH22+BI22+BJ22+BK22</f>
        <v>880000</v>
      </c>
      <c r="BA22" s="58"/>
      <c r="BB22" s="58"/>
      <c r="BC22" s="15"/>
      <c r="BD22" s="57">
        <f>IF(AZ22=0,(AZ22-BA22-BC22),(AZ22-BA22-BB22-BC22))+71000</f>
        <v>951000</v>
      </c>
      <c r="BF22" s="29">
        <f t="shared" si="15"/>
        <v>120000</v>
      </c>
      <c r="BG22">
        <v>12</v>
      </c>
      <c r="BH22" s="15"/>
      <c r="BI22" s="15"/>
      <c r="BJ22" s="15"/>
      <c r="BK22" s="15"/>
      <c r="BL22" s="15"/>
      <c r="BM22" s="15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VLOOKUP(A23,[6]LISTADHERENT!A$5:H$60,3,0)</f>
        <v>NDJOMO ETIENNE</v>
      </c>
      <c r="C23" s="5">
        <f t="shared" si="7"/>
        <v>0</v>
      </c>
      <c r="D23" s="9">
        <f>VLOOKUP(A23,[7]HISTOBQUEDEC22!$A$6:$G$36,3,0)</f>
        <v>680000</v>
      </c>
      <c r="E23" s="9">
        <f>VLOOKUP(A23,[7]HISTOBQUEDEC22!$A$6:$G$36,4,0)</f>
        <v>101000</v>
      </c>
      <c r="F23" s="9">
        <f>VLOOKUP(A23,[7]HISTOBQUEDEC22!$A$6:$G$36,5,0)</f>
        <v>0</v>
      </c>
      <c r="G23" s="5">
        <f t="shared" si="0"/>
        <v>0</v>
      </c>
      <c r="H23" s="10" t="str">
        <f t="shared" si="1"/>
        <v>BANQUE</v>
      </c>
      <c r="I23" s="11">
        <v>1</v>
      </c>
      <c r="J23" s="11">
        <f t="shared" si="2"/>
        <v>30000</v>
      </c>
      <c r="K23" s="11">
        <v>20000</v>
      </c>
      <c r="L23" s="6"/>
      <c r="M23" s="11">
        <f t="shared" si="3"/>
        <v>0</v>
      </c>
      <c r="N23" s="6">
        <v>1</v>
      </c>
      <c r="O23" s="11">
        <f t="shared" si="4"/>
        <v>100000</v>
      </c>
      <c r="P23" s="2">
        <f>VLOOKUP(A23,[9]TONTDEC22!$A$6:$R$31,12,0)</f>
        <v>0</v>
      </c>
      <c r="Q23" s="2"/>
      <c r="R23" s="2">
        <f>VLOOKUP(A23,[8]TONTDEC22!$A$6:$P$21,10,0)</f>
        <v>101000</v>
      </c>
      <c r="S23" s="20">
        <f>449000+81000</f>
        <v>530000</v>
      </c>
      <c r="T23" s="12" t="s">
        <v>8</v>
      </c>
      <c r="U23" s="17">
        <f t="shared" si="8"/>
        <v>781000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/>
      <c r="AF23" s="12"/>
      <c r="AG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5"/>
        <v>0</v>
      </c>
      <c r="AR23" s="8">
        <f t="shared" si="6"/>
        <v>0</v>
      </c>
      <c r="AS23" s="13">
        <f t="shared" si="9"/>
        <v>27000</v>
      </c>
      <c r="AT23" s="29">
        <v>20000</v>
      </c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552000</v>
      </c>
      <c r="BA23" s="58"/>
      <c r="BB23" s="58"/>
      <c r="BC23" s="15"/>
      <c r="BD23" s="57">
        <f t="shared" si="14"/>
        <v>552000</v>
      </c>
      <c r="BF23" s="29">
        <f t="shared" si="15"/>
        <v>48000</v>
      </c>
      <c r="BG23">
        <v>8</v>
      </c>
      <c r="BH23" s="15"/>
      <c r="BI23" s="15"/>
      <c r="BJ23" s="15"/>
      <c r="BK23" s="15"/>
      <c r="BL23" s="15"/>
      <c r="BM23" s="15"/>
    </row>
    <row r="24" spans="1:68" ht="18.5" x14ac:dyDescent="0.45">
      <c r="A24" s="1" t="s">
        <v>29</v>
      </c>
      <c r="B24" s="1" t="str">
        <f>VLOOKUP(A24,[6]LISTADHERENT!A$5:H$60,3,0)</f>
        <v>NGONDIEP CLAUDE</v>
      </c>
      <c r="C24" s="5">
        <f t="shared" si="7"/>
        <v>0</v>
      </c>
      <c r="D24" s="9">
        <f>VLOOKUP(A24,[7]HISTOBQUEDEC22!$A$6:$G$36,3,0)</f>
        <v>1240000</v>
      </c>
      <c r="E24" s="9">
        <f>VLOOKUP(A24,[7]HISTOBQUEDEC22!$A$6:$G$36,4,0)</f>
        <v>0</v>
      </c>
      <c r="F24" s="9">
        <f>VLOOKUP(A24,[7]HISTOBQUEDEC22!$A$6:$G$36,5,0)</f>
        <v>0</v>
      </c>
      <c r="G24" s="5">
        <f t="shared" si="0"/>
        <v>0</v>
      </c>
      <c r="H24" s="10" t="str">
        <f t="shared" si="1"/>
        <v>BANQUE</v>
      </c>
      <c r="I24" s="11">
        <v>1</v>
      </c>
      <c r="J24" s="11">
        <f t="shared" si="2"/>
        <v>30000</v>
      </c>
      <c r="K24" s="11">
        <v>35000</v>
      </c>
      <c r="L24" s="6">
        <v>1</v>
      </c>
      <c r="M24" s="11">
        <f t="shared" si="3"/>
        <v>75000</v>
      </c>
      <c r="N24" s="6">
        <v>1</v>
      </c>
      <c r="O24" s="11">
        <f t="shared" si="4"/>
        <v>100000</v>
      </c>
      <c r="P24" s="2">
        <f>VLOOKUP(A24,[9]TONTDEC22!$A$6:$R$31,12,0)</f>
        <v>0</v>
      </c>
      <c r="Q24" s="2">
        <f>VLOOKUP(A24,[10]TONTDEC22!$A$6:$P$21,10,0)</f>
        <v>0</v>
      </c>
      <c r="R24" s="2">
        <f>VLOOKUP(A24,[8]TONTDEC22!$A$6:$P$21,10,0)</f>
        <v>0</v>
      </c>
      <c r="S24" s="20">
        <v>1000000</v>
      </c>
      <c r="T24" s="12" t="s">
        <v>8</v>
      </c>
      <c r="U24" s="17">
        <f t="shared" si="8"/>
        <v>1240000</v>
      </c>
      <c r="V24" s="12"/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5"/>
        <v>0</v>
      </c>
      <c r="AR24" s="8">
        <f t="shared" si="6"/>
        <v>0</v>
      </c>
      <c r="AS24" s="13">
        <f t="shared" si="9"/>
        <v>42000</v>
      </c>
      <c r="AT24" s="29">
        <v>20000</v>
      </c>
      <c r="AV24" s="15"/>
      <c r="AW24" s="15">
        <f t="shared" si="10"/>
        <v>0</v>
      </c>
      <c r="AX24" s="15">
        <f t="shared" si="11"/>
        <v>0</v>
      </c>
      <c r="AY24" s="15">
        <f t="shared" si="12"/>
        <v>0</v>
      </c>
      <c r="AZ24" s="16">
        <f t="shared" si="13"/>
        <v>880000</v>
      </c>
      <c r="BA24" s="58"/>
      <c r="BB24" s="58"/>
      <c r="BC24" s="15"/>
      <c r="BD24" s="57">
        <f t="shared" si="14"/>
        <v>880000</v>
      </c>
      <c r="BF24" s="29">
        <f t="shared" si="15"/>
        <v>120000</v>
      </c>
      <c r="BG24">
        <v>12</v>
      </c>
      <c r="BH24" s="15"/>
      <c r="BI24" s="15"/>
      <c r="BJ24" s="15"/>
      <c r="BK24" s="15"/>
      <c r="BL24" s="15"/>
      <c r="BM24" s="15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tr">
        <f>VLOOKUP(A25,[6]LISTADHERENT!A$5:H$60,3,0)</f>
        <v>NGUIEMEGNI MATHIEU BLAISE</v>
      </c>
      <c r="C25" s="5">
        <f t="shared" si="7"/>
        <v>0</v>
      </c>
      <c r="D25" s="9">
        <f>VLOOKUP(A25,[7]HISTOBQUEDEC22!$A$6:$G$36,3,0)</f>
        <v>1280000</v>
      </c>
      <c r="E25" s="9">
        <f>VLOOKUP(A25,[7]HISTOBQUEDEC22!$A$6:$G$36,4,0)</f>
        <v>0</v>
      </c>
      <c r="F25" s="9">
        <f>VLOOKUP(A25,[7]HISTOBQUEDEC22!$A$6:$G$36,5,0)</f>
        <v>0</v>
      </c>
      <c r="G25" s="5">
        <f t="shared" si="0"/>
        <v>0</v>
      </c>
      <c r="H25" s="10" t="str">
        <f t="shared" si="1"/>
        <v>BANQUE</v>
      </c>
      <c r="I25" s="11">
        <v>1</v>
      </c>
      <c r="J25" s="11">
        <f t="shared" si="2"/>
        <v>30000</v>
      </c>
      <c r="K25" s="11"/>
      <c r="L25" s="6">
        <v>2</v>
      </c>
      <c r="M25" s="11">
        <f t="shared" si="3"/>
        <v>150000</v>
      </c>
      <c r="N25" s="6">
        <v>1</v>
      </c>
      <c r="O25" s="11">
        <f t="shared" si="4"/>
        <v>100000</v>
      </c>
      <c r="P25" s="2">
        <f>VLOOKUP(A25,[9]TONTDEC22!$A$6:$R$31,12,0)</f>
        <v>0</v>
      </c>
      <c r="Q25" s="2">
        <f>VLOOKUP(A25,[10]TONTDEC22!$A$6:$P$21,10,0)</f>
        <v>0</v>
      </c>
      <c r="R25" s="2">
        <f>VLOOKUP(A25,[8]TONTDEC22!$A$6:$P$21,10,0)</f>
        <v>0</v>
      </c>
      <c r="S25" s="20">
        <v>1000000</v>
      </c>
      <c r="T25" s="12" t="s">
        <v>8</v>
      </c>
      <c r="U25" s="17">
        <f t="shared" si="8"/>
        <v>1280000</v>
      </c>
      <c r="V25" s="12"/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5"/>
        <v>0</v>
      </c>
      <c r="AR25" s="8">
        <f t="shared" si="6"/>
        <v>0</v>
      </c>
      <c r="AS25" s="13">
        <f t="shared" si="9"/>
        <v>7000</v>
      </c>
      <c r="AT25" s="29">
        <v>20000</v>
      </c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F25" s="29">
        <f t="shared" si="15"/>
        <v>120000</v>
      </c>
      <c r="BG25">
        <v>12</v>
      </c>
      <c r="BH25" s="15"/>
      <c r="BI25" s="15"/>
      <c r="BJ25" s="15"/>
      <c r="BK25" s="15"/>
      <c r="BL25" s="15"/>
      <c r="BM25" s="15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VLOOKUP(A26,[6]LISTADHERENT!A$5:H$60,3,0)</f>
        <v>NKAMGANG JUSTIN DEJOLIE</v>
      </c>
      <c r="C26" s="5">
        <f t="shared" si="7"/>
        <v>0</v>
      </c>
      <c r="D26" s="9">
        <f>VLOOKUP(A26,[7]HISTOBQUEDEC22!$A$6:$G$36,3,0)</f>
        <v>1105000</v>
      </c>
      <c r="E26" s="9">
        <f>VLOOKUP(A26,[7]HISTOBQUEDEC22!$A$6:$G$36,4,0)</f>
        <v>79500</v>
      </c>
      <c r="F26" s="9">
        <f>VLOOKUP(A26,[7]HISTOBQUEDEC22!$A$6:$G$36,5,0)</f>
        <v>0</v>
      </c>
      <c r="G26" s="5">
        <f t="shared" si="0"/>
        <v>0</v>
      </c>
      <c r="H26" s="10" t="str">
        <f t="shared" si="1"/>
        <v>BANQUE</v>
      </c>
      <c r="I26" s="11">
        <v>1</v>
      </c>
      <c r="J26" s="11">
        <f t="shared" si="2"/>
        <v>30000</v>
      </c>
      <c r="K26" s="11"/>
      <c r="L26" s="6">
        <v>1</v>
      </c>
      <c r="M26" s="11">
        <f t="shared" si="3"/>
        <v>75000</v>
      </c>
      <c r="N26" s="6"/>
      <c r="O26" s="11">
        <f t="shared" si="4"/>
        <v>0</v>
      </c>
      <c r="P26" s="2">
        <f>VLOOKUP(A26,[9]TONTDEC22!$A$6:$R$31,12,0)</f>
        <v>41000</v>
      </c>
      <c r="Q26" s="2">
        <f>VLOOKUP(A26,[10]TONTDEC22!$A$6:$P$21,10,0)</f>
        <v>38500</v>
      </c>
      <c r="R26" s="2"/>
      <c r="S26" s="20">
        <v>1000000</v>
      </c>
      <c r="T26" s="12" t="s">
        <v>8</v>
      </c>
      <c r="U26" s="17">
        <f t="shared" si="8"/>
        <v>1184500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5"/>
        <v>0</v>
      </c>
      <c r="AR26" s="8">
        <f t="shared" si="6"/>
        <v>0</v>
      </c>
      <c r="AS26" s="13">
        <f t="shared" si="9"/>
        <v>7000</v>
      </c>
      <c r="AT26" s="29">
        <v>20000</v>
      </c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980000</v>
      </c>
      <c r="BA26" s="58"/>
      <c r="BB26" s="58"/>
      <c r="BC26" s="15"/>
      <c r="BD26" s="57">
        <f t="shared" si="14"/>
        <v>980000</v>
      </c>
      <c r="BF26" s="29">
        <f t="shared" si="15"/>
        <v>20000</v>
      </c>
      <c r="BG26">
        <v>2</v>
      </c>
      <c r="BH26" s="15"/>
      <c r="BI26" s="15"/>
      <c r="BJ26" s="15"/>
      <c r="BK26" s="15"/>
      <c r="BL26" s="15"/>
      <c r="BM26" s="15"/>
      <c r="BN26" t="s">
        <v>144</v>
      </c>
      <c r="BO26" t="s">
        <v>143</v>
      </c>
      <c r="BP26" s="62"/>
    </row>
    <row r="27" spans="1:68" ht="18.5" x14ac:dyDescent="0.45">
      <c r="A27" s="1" t="s">
        <v>32</v>
      </c>
      <c r="B27" s="1" t="str">
        <f>VLOOKUP(A27,[6]LISTADHERENT!A$5:H$60,3,0)</f>
        <v>NKEHE DAVID</v>
      </c>
      <c r="C27" s="5">
        <f t="shared" si="7"/>
        <v>520000</v>
      </c>
      <c r="D27" s="9">
        <f>VLOOKUP(A27,[7]HISTOBQUEDEC22!$A$6:$G$36,3,0)</f>
        <v>520000</v>
      </c>
      <c r="E27" s="9">
        <f>VLOOKUP(A27,[7]HISTOBQUEDEC22!$A$6:$G$36,4,0)</f>
        <v>0</v>
      </c>
      <c r="F27" s="9">
        <f>VLOOKUP(A27,[7]HISTOBQUEDEC22!$A$6:$G$36,5,0)</f>
        <v>0</v>
      </c>
      <c r="G27" s="5">
        <f t="shared" si="0"/>
        <v>0</v>
      </c>
      <c r="H27" s="10" t="str">
        <f t="shared" si="1"/>
        <v>BANQUE</v>
      </c>
      <c r="I27" s="11">
        <v>0</v>
      </c>
      <c r="J27" s="11">
        <f t="shared" si="2"/>
        <v>0</v>
      </c>
      <c r="K27" s="11"/>
      <c r="L27" s="6"/>
      <c r="M27" s="11">
        <f t="shared" si="3"/>
        <v>0</v>
      </c>
      <c r="N27" s="6">
        <v>0</v>
      </c>
      <c r="O27" s="11">
        <f t="shared" si="4"/>
        <v>0</v>
      </c>
      <c r="P27" s="2"/>
      <c r="Q27" s="2"/>
      <c r="R27" s="2"/>
      <c r="S27" s="20"/>
      <c r="T27" s="12"/>
      <c r="U27" s="17">
        <f t="shared" si="8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5"/>
        <v>0</v>
      </c>
      <c r="AR27" s="8">
        <f t="shared" si="6"/>
        <v>0</v>
      </c>
      <c r="AS27" s="13">
        <f>IF(H27="ECHEC",0,(J27+K27))</f>
        <v>0</v>
      </c>
      <c r="AT27" s="29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F27" s="29">
        <f t="shared" si="15"/>
        <v>0</v>
      </c>
      <c r="BG27">
        <v>0</v>
      </c>
      <c r="BH27" s="15"/>
      <c r="BI27" s="15"/>
      <c r="BJ27" s="15"/>
      <c r="BK27" s="15"/>
      <c r="BL27" s="15"/>
      <c r="BM27" s="15"/>
      <c r="BP27" s="6"/>
    </row>
    <row r="28" spans="1:68" ht="18.5" x14ac:dyDescent="0.45">
      <c r="A28" s="1" t="s">
        <v>33</v>
      </c>
      <c r="B28" s="1" t="str">
        <f>VLOOKUP(A28,[6]LISTADHERENT!A$5:H$60,3,0)</f>
        <v>NKEPSEU DIEUDONNE</v>
      </c>
      <c r="C28" s="5">
        <f t="shared" si="7"/>
        <v>0</v>
      </c>
      <c r="D28" s="9">
        <f>VLOOKUP(A28,[7]HISTOBQUEDEC22!$A$6:$G$36,3,0)</f>
        <v>1130000</v>
      </c>
      <c r="E28" s="9">
        <f>VLOOKUP(A28,[7]HISTOBQUEDEC22!$A$6:$G$36,4,0)</f>
        <v>0</v>
      </c>
      <c r="F28" s="9">
        <f>VLOOKUP(A28,[7]HISTOBQUEDEC22!$A$6:$G$36,5,0)</f>
        <v>0</v>
      </c>
      <c r="G28" s="5">
        <f t="shared" si="0"/>
        <v>0</v>
      </c>
      <c r="H28" s="10" t="str">
        <f t="shared" si="1"/>
        <v>BANQUE</v>
      </c>
      <c r="I28" s="11">
        <v>1</v>
      </c>
      <c r="J28" s="11">
        <f t="shared" si="2"/>
        <v>30000</v>
      </c>
      <c r="K28" s="11"/>
      <c r="L28" s="6"/>
      <c r="M28" s="11">
        <f t="shared" si="3"/>
        <v>0</v>
      </c>
      <c r="N28" s="6">
        <v>1</v>
      </c>
      <c r="O28" s="11">
        <f t="shared" si="4"/>
        <v>100000</v>
      </c>
      <c r="P28" s="2">
        <f>VLOOKUP(A28,[9]TONTDEC22!$A$6:$R$31,12,0)</f>
        <v>0</v>
      </c>
      <c r="Q28" s="2"/>
      <c r="R28" s="2">
        <f>VLOOKUP(A28,[8]TONTDEC22!$A$6:$P$21,10,0)</f>
        <v>0</v>
      </c>
      <c r="S28" s="20">
        <f>600000+400000</f>
        <v>1000000</v>
      </c>
      <c r="T28" s="12" t="s">
        <v>8</v>
      </c>
      <c r="U28" s="17">
        <f t="shared" si="8"/>
        <v>1130000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5"/>
        <v>0</v>
      </c>
      <c r="AR28" s="8">
        <f t="shared" si="6"/>
        <v>0</v>
      </c>
      <c r="AS28" s="13">
        <f t="shared" si="9"/>
        <v>7000</v>
      </c>
      <c r="AT28" s="29">
        <v>20000</v>
      </c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F28" s="29">
        <f t="shared" si="15"/>
        <v>0</v>
      </c>
      <c r="BG28">
        <v>0</v>
      </c>
      <c r="BH28" s="15"/>
      <c r="BI28" s="15"/>
      <c r="BJ28" s="15"/>
      <c r="BK28" s="15"/>
      <c r="BL28" s="15"/>
      <c r="BM28" s="15"/>
      <c r="BN28" s="62" t="s">
        <v>142</v>
      </c>
      <c r="BP28" s="62">
        <f>SUM(BP24:BP26)</f>
        <v>0</v>
      </c>
    </row>
    <row r="29" spans="1:68" ht="18.5" x14ac:dyDescent="0.45">
      <c r="A29" s="1" t="s">
        <v>34</v>
      </c>
      <c r="B29" s="1" t="str">
        <f>VLOOKUP(A29,[6]LISTADHERENT!A$5:H$60,3,0)</f>
        <v>PATEGO NJOSSU GUSTAVE</v>
      </c>
      <c r="C29" s="5">
        <f t="shared" si="7"/>
        <v>0</v>
      </c>
      <c r="D29" s="9">
        <f>VLOOKUP(A29,[7]HISTOBQUEDEC22!$A$6:$G$36,3,0)</f>
        <v>105000</v>
      </c>
      <c r="E29" s="9">
        <f>VLOOKUP(A29,[7]HISTOBQUEDEC22!$A$6:$G$36,4,0)</f>
        <v>0</v>
      </c>
      <c r="F29" s="9">
        <f>VLOOKUP(A29,[7]HISTOBQUEDEC22!$A$6:$G$36,5,0)</f>
        <v>0</v>
      </c>
      <c r="G29" s="5">
        <f t="shared" si="0"/>
        <v>0</v>
      </c>
      <c r="H29" s="10" t="str">
        <f t="shared" si="1"/>
        <v>BANQUE</v>
      </c>
      <c r="I29" s="11">
        <v>1</v>
      </c>
      <c r="J29" s="11">
        <f t="shared" si="2"/>
        <v>30000</v>
      </c>
      <c r="K29" s="11"/>
      <c r="L29" s="6">
        <v>1</v>
      </c>
      <c r="M29" s="11">
        <f t="shared" si="3"/>
        <v>75000</v>
      </c>
      <c r="N29" s="6"/>
      <c r="O29" s="11">
        <f t="shared" si="4"/>
        <v>0</v>
      </c>
      <c r="P29" s="2">
        <f>VLOOKUP(A29,[9]TONTDEC22!$A$6:$R$31,12,0)</f>
        <v>0</v>
      </c>
      <c r="Q29" s="2">
        <f>VLOOKUP(A29,[10]TONTDEC22!$A$6:$P$21,10,0)</f>
        <v>0</v>
      </c>
      <c r="R29" s="2"/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5"/>
        <v>0</v>
      </c>
      <c r="AR29" s="8">
        <f t="shared" si="6"/>
        <v>0</v>
      </c>
      <c r="AS29" s="13">
        <f t="shared" si="9"/>
        <v>7000</v>
      </c>
      <c r="AT29" s="29">
        <v>20000</v>
      </c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F29" s="29">
        <f t="shared" si="15"/>
        <v>0</v>
      </c>
      <c r="BG29">
        <v>0</v>
      </c>
      <c r="BH29" s="15"/>
      <c r="BI29" s="15"/>
      <c r="BJ29" s="15"/>
      <c r="BK29" s="15"/>
      <c r="BL29" s="15"/>
      <c r="BM29" s="15"/>
      <c r="BN29" s="62"/>
      <c r="BP29" s="6"/>
    </row>
    <row r="30" spans="1:68" ht="18.5" x14ac:dyDescent="0.45">
      <c r="A30" s="1" t="s">
        <v>35</v>
      </c>
      <c r="B30" s="1" t="str">
        <f>VLOOKUP(A30,[6]LISTADHERENT!A$5:H$60,3,0)</f>
        <v>SIME BRICE</v>
      </c>
      <c r="C30" s="5">
        <f t="shared" si="7"/>
        <v>-100000</v>
      </c>
      <c r="D30" s="9">
        <f>VLOOKUP(A30,[7]HISTOBQUEDEC22!$A$6:$G$36,3,0)</f>
        <v>105000</v>
      </c>
      <c r="E30" s="9">
        <f>VLOOKUP(A30,[7]HISTOBQUEDEC22!$A$6:$G$36,4,0)</f>
        <v>0</v>
      </c>
      <c r="F30" s="9">
        <f>VLOOKUP(A30,[7]HISTOBQUEDEC22!$A$6:$G$36,5,0)</f>
        <v>0</v>
      </c>
      <c r="G30" s="5">
        <f t="shared" si="0"/>
        <v>0</v>
      </c>
      <c r="H30" s="10" t="str">
        <f t="shared" si="1"/>
        <v>BANQUE</v>
      </c>
      <c r="I30" s="11">
        <v>1</v>
      </c>
      <c r="J30" s="11">
        <f t="shared" si="2"/>
        <v>30000</v>
      </c>
      <c r="K30" s="11"/>
      <c r="L30" s="6">
        <v>1</v>
      </c>
      <c r="M30" s="11">
        <f t="shared" si="3"/>
        <v>75000</v>
      </c>
      <c r="N30" s="6"/>
      <c r="O30" s="11">
        <f t="shared" si="4"/>
        <v>0</v>
      </c>
      <c r="P30" s="2">
        <f>VLOOKUP(A30,[9]TONTDEC22!$A$6:$R$31,12,0)</f>
        <v>0</v>
      </c>
      <c r="Q30" s="2">
        <f>VLOOKUP(A30,[10]TONTDEC22!$A$6:$P$21,10,0)</f>
        <v>0</v>
      </c>
      <c r="R30" s="2"/>
      <c r="S30" s="20"/>
      <c r="T30" s="12"/>
      <c r="U30" s="17">
        <f t="shared" si="8"/>
        <v>105000</v>
      </c>
      <c r="V30" s="12"/>
      <c r="W30" s="12"/>
      <c r="X30" s="12"/>
      <c r="Y30" s="12"/>
      <c r="Z30" s="12"/>
      <c r="AA30" s="12"/>
      <c r="AB30" s="12"/>
      <c r="AC30" s="12">
        <v>23000</v>
      </c>
      <c r="AD30" s="12"/>
      <c r="AE30" s="12"/>
      <c r="AF30" s="12" t="s">
        <v>8</v>
      </c>
      <c r="AG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5"/>
        <v>0</v>
      </c>
      <c r="AR30" s="8">
        <f t="shared" si="6"/>
        <v>0</v>
      </c>
      <c r="AS30" s="13">
        <f t="shared" si="9"/>
        <v>7000</v>
      </c>
      <c r="AT30" s="29">
        <v>20000</v>
      </c>
      <c r="AV30" s="15"/>
      <c r="AW30" s="15">
        <f t="shared" si="10"/>
        <v>277000</v>
      </c>
      <c r="AX30" s="15">
        <f t="shared" si="11"/>
        <v>0</v>
      </c>
      <c r="AY30" s="15">
        <f t="shared" si="12"/>
        <v>0</v>
      </c>
      <c r="AZ30" s="16">
        <f t="shared" si="13"/>
        <v>277000</v>
      </c>
      <c r="BA30" s="58"/>
      <c r="BB30" s="58">
        <v>100000</v>
      </c>
      <c r="BC30" s="15"/>
      <c r="BD30" s="57">
        <f t="shared" si="14"/>
        <v>177000</v>
      </c>
      <c r="BF30" s="29">
        <f t="shared" si="15"/>
        <v>0</v>
      </c>
      <c r="BG30">
        <v>0</v>
      </c>
      <c r="BH30" s="15"/>
      <c r="BI30" s="15"/>
      <c r="BJ30" s="15"/>
      <c r="BK30" s="15"/>
      <c r="BL30" s="15"/>
      <c r="BM30" s="15"/>
      <c r="BN30" t="s">
        <v>128</v>
      </c>
      <c r="BO30" t="s">
        <v>50</v>
      </c>
      <c r="BP30" s="6"/>
    </row>
    <row r="31" spans="1:68" ht="18.5" x14ac:dyDescent="0.45">
      <c r="A31" s="1" t="s">
        <v>36</v>
      </c>
      <c r="B31" s="1" t="str">
        <f>VLOOKUP(A31,[6]LISTADHERENT!A$5:H$60,3,0)</f>
        <v>SIMO FONGANG ERIC</v>
      </c>
      <c r="C31" s="5">
        <f t="shared" si="7"/>
        <v>0</v>
      </c>
      <c r="D31" s="9">
        <f>VLOOKUP(A31,[7]HISTOBQUEDEC22!$A$6:$G$36,3,0)</f>
        <v>0</v>
      </c>
      <c r="E31" s="9">
        <f>VLOOKUP(A31,[7]HISTOBQUEDEC22!$A$6:$G$36,4,0)</f>
        <v>0</v>
      </c>
      <c r="F31" s="9">
        <f>VLOOKUP(A31,[7]HISTOBQUEDEC22!$A$6:$G$36,5,0)</f>
        <v>0</v>
      </c>
      <c r="G31" s="5">
        <f t="shared" si="0"/>
        <v>0</v>
      </c>
      <c r="H31" s="10" t="str">
        <f t="shared" si="1"/>
        <v>ECHEC</v>
      </c>
      <c r="I31" s="11"/>
      <c r="J31" s="11">
        <f t="shared" si="2"/>
        <v>0</v>
      </c>
      <c r="K31" s="11"/>
      <c r="L31" s="6"/>
      <c r="M31" s="11">
        <f t="shared" si="3"/>
        <v>0</v>
      </c>
      <c r="N31" s="6"/>
      <c r="O31" s="11">
        <f t="shared" si="4"/>
        <v>0</v>
      </c>
      <c r="P31" s="2"/>
      <c r="Q31" s="2"/>
      <c r="R31" s="2"/>
      <c r="S31" s="20"/>
      <c r="T31" s="12"/>
      <c r="U31" s="17">
        <f t="shared" si="8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5"/>
        <v>0</v>
      </c>
      <c r="AR31" s="8">
        <f t="shared" si="6"/>
        <v>0</v>
      </c>
      <c r="AS31" s="13">
        <f t="shared" si="9"/>
        <v>0</v>
      </c>
      <c r="AT31" s="29">
        <v>20000</v>
      </c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F31" s="29">
        <f t="shared" si="15"/>
        <v>0</v>
      </c>
      <c r="BG31">
        <v>0</v>
      </c>
      <c r="BH31" s="15"/>
      <c r="BI31" s="15"/>
      <c r="BJ31" s="15"/>
      <c r="BK31" s="15"/>
      <c r="BL31" s="15"/>
      <c r="BM31" s="15"/>
      <c r="BN31" t="s">
        <v>129</v>
      </c>
      <c r="BO31" t="s">
        <v>50</v>
      </c>
      <c r="BP31" s="6"/>
    </row>
    <row r="32" spans="1:68" ht="18.5" x14ac:dyDescent="0.45">
      <c r="A32" s="1" t="s">
        <v>37</v>
      </c>
      <c r="B32" s="1" t="str">
        <f>VLOOKUP(A32,[6]LISTADHERENT!A$5:H$60,3,0)</f>
        <v>SIMO PIERRE</v>
      </c>
      <c r="C32" s="5">
        <f t="shared" si="7"/>
        <v>0</v>
      </c>
      <c r="D32" s="9">
        <f>VLOOKUP(A32,[7]HISTOBQUEDEC22!$A$6:$G$36,3,0)</f>
        <v>905000</v>
      </c>
      <c r="E32" s="9">
        <f>VLOOKUP(A32,[7]HISTOBQUEDEC22!$A$6:$G$36,4,0)</f>
        <v>0</v>
      </c>
      <c r="F32" s="9">
        <f>VLOOKUP(A32,[7]HISTOBQUEDEC22!$A$6:$G$36,5,0)</f>
        <v>0</v>
      </c>
      <c r="G32" s="5">
        <f t="shared" si="0"/>
        <v>0</v>
      </c>
      <c r="H32" s="10" t="str">
        <f t="shared" si="1"/>
        <v>BANQUE</v>
      </c>
      <c r="I32" s="11">
        <v>1</v>
      </c>
      <c r="J32" s="11">
        <f t="shared" si="2"/>
        <v>30000</v>
      </c>
      <c r="K32" s="11"/>
      <c r="L32" s="6">
        <v>1</v>
      </c>
      <c r="M32" s="11">
        <f t="shared" si="3"/>
        <v>75000</v>
      </c>
      <c r="N32" s="6"/>
      <c r="O32" s="11">
        <f t="shared" si="4"/>
        <v>0</v>
      </c>
      <c r="P32" s="2">
        <f>VLOOKUP(A32,[9]TONTDEC22!$A$6:$R$31,12,0)</f>
        <v>0</v>
      </c>
      <c r="Q32" s="2">
        <f>VLOOKUP(A32,[10]TONTDEC22!$A$6:$P$21,10,0)</f>
        <v>0</v>
      </c>
      <c r="R32" s="2"/>
      <c r="S32" s="20">
        <f>395000+378000+27000</f>
        <v>800000</v>
      </c>
      <c r="T32" s="12" t="s">
        <v>8</v>
      </c>
      <c r="U32" s="17">
        <f t="shared" si="8"/>
        <v>905000</v>
      </c>
      <c r="V32" s="12"/>
      <c r="W32" s="12"/>
      <c r="X32" s="12"/>
      <c r="Y32" s="12"/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5"/>
        <v>0</v>
      </c>
      <c r="AR32" s="8">
        <f t="shared" si="6"/>
        <v>0</v>
      </c>
      <c r="AS32" s="13">
        <f t="shared" si="9"/>
        <v>7000</v>
      </c>
      <c r="AT32" s="29">
        <v>20000</v>
      </c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F32" s="29">
        <f t="shared" si="15"/>
        <v>120000</v>
      </c>
      <c r="BG32">
        <v>12</v>
      </c>
      <c r="BH32" s="15"/>
      <c r="BI32" s="15"/>
      <c r="BJ32" s="15"/>
      <c r="BK32" s="15"/>
      <c r="BL32" s="15"/>
      <c r="BM32" s="15"/>
    </row>
    <row r="33" spans="1:68" ht="18.5" x14ac:dyDescent="0.45">
      <c r="A33" s="1" t="s">
        <v>38</v>
      </c>
      <c r="B33" s="1" t="str">
        <f>VLOOKUP(A33,[6]LISTADHERENT!A$5:H$60,3,0)</f>
        <v>TCHOUAMOU MATHIEU</v>
      </c>
      <c r="C33" s="5">
        <f t="shared" si="7"/>
        <v>0</v>
      </c>
      <c r="D33" s="9">
        <f>VLOOKUP(A33,[7]HISTOBQUEDEC22!$A$6:$G$36,3,0)</f>
        <v>1030000</v>
      </c>
      <c r="E33" s="9">
        <f>VLOOKUP(A33,[7]HISTOBQUEDEC22!$A$6:$G$36,4,0)</f>
        <v>0</v>
      </c>
      <c r="F33" s="9">
        <f>VLOOKUP(A33,[7]HISTOBQUEDEC22!$A$6:$G$36,5,0)</f>
        <v>0</v>
      </c>
      <c r="G33" s="5">
        <f t="shared" si="0"/>
        <v>0</v>
      </c>
      <c r="H33" s="10" t="str">
        <f t="shared" si="1"/>
        <v>BANQUE</v>
      </c>
      <c r="I33" s="11">
        <v>1</v>
      </c>
      <c r="J33" s="11">
        <f t="shared" si="2"/>
        <v>30000</v>
      </c>
      <c r="K33" s="11"/>
      <c r="L33" s="6"/>
      <c r="M33" s="11">
        <f t="shared" si="3"/>
        <v>0</v>
      </c>
      <c r="N33" s="6"/>
      <c r="O33" s="11">
        <f t="shared" si="4"/>
        <v>0</v>
      </c>
      <c r="P33" s="2">
        <f>VLOOKUP(A33,[9]TONTDEC22!$A$6:$R$31,12,0)</f>
        <v>0</v>
      </c>
      <c r="Q33" s="2"/>
      <c r="R33" s="2"/>
      <c r="S33" s="20">
        <v>1000000</v>
      </c>
      <c r="T33" s="12" t="s">
        <v>8</v>
      </c>
      <c r="U33" s="17">
        <f t="shared" si="8"/>
        <v>1030000</v>
      </c>
      <c r="V33" s="12"/>
      <c r="W33" s="12"/>
      <c r="X33" s="12"/>
      <c r="Y33" s="12"/>
      <c r="Z33" s="12">
        <v>1000000</v>
      </c>
      <c r="AA33" s="12" t="s">
        <v>8</v>
      </c>
      <c r="AB33" s="12"/>
      <c r="AC33" s="12"/>
      <c r="AD33" s="12"/>
      <c r="AE33" s="12"/>
      <c r="AF33" s="12"/>
      <c r="AG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5"/>
        <v>0</v>
      </c>
      <c r="AR33" s="8">
        <f t="shared" si="6"/>
        <v>0</v>
      </c>
      <c r="AS33" s="13">
        <f t="shared" si="9"/>
        <v>7000</v>
      </c>
      <c r="AT33" s="29">
        <v>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970000</v>
      </c>
      <c r="BA33" s="58"/>
      <c r="BB33" s="58"/>
      <c r="BC33" s="15"/>
      <c r="BD33" s="57">
        <f t="shared" si="14"/>
        <v>970000</v>
      </c>
      <c r="BF33" s="29">
        <f t="shared" si="15"/>
        <v>30000</v>
      </c>
      <c r="BG33">
        <v>3</v>
      </c>
      <c r="BH33" s="15"/>
      <c r="BI33" s="15"/>
      <c r="BJ33" s="15"/>
      <c r="BK33" s="15"/>
      <c r="BL33" s="15"/>
      <c r="BM33" s="15"/>
      <c r="BN33" s="62" t="s">
        <v>142</v>
      </c>
      <c r="BP33" s="62">
        <f>SUM(BP30:BP32)</f>
        <v>0</v>
      </c>
    </row>
    <row r="34" spans="1:68" ht="18.5" x14ac:dyDescent="0.45">
      <c r="A34" s="1" t="s">
        <v>39</v>
      </c>
      <c r="B34" s="1" t="str">
        <f>VLOOKUP(A34,[6]LISTADHERENT!A$5:H$60,3,0)</f>
        <v>TIEYAM ERNEST</v>
      </c>
      <c r="C34" s="5">
        <f t="shared" si="7"/>
        <v>0</v>
      </c>
      <c r="D34" s="9">
        <f>VLOOKUP(A34,[7]HISTOBQUEDEC22!$A$6:$G$36,3,0)</f>
        <v>0</v>
      </c>
      <c r="E34" s="9">
        <f>VLOOKUP(A34,[7]HISTOBQUEDEC22!$A$6:$G$36,4,0)</f>
        <v>0</v>
      </c>
      <c r="F34" s="9">
        <f>VLOOKUP(A34,[7]HISTOBQUEDEC22!$A$6:$G$36,5,0)</f>
        <v>0</v>
      </c>
      <c r="G34" s="5">
        <f t="shared" si="0"/>
        <v>0</v>
      </c>
      <c r="H34" s="10" t="str">
        <f t="shared" si="1"/>
        <v>ECHEC</v>
      </c>
      <c r="I34" s="11">
        <v>0</v>
      </c>
      <c r="J34" s="11">
        <f t="shared" si="2"/>
        <v>0</v>
      </c>
      <c r="K34" s="11"/>
      <c r="L34" s="6"/>
      <c r="M34" s="11">
        <f t="shared" si="3"/>
        <v>0</v>
      </c>
      <c r="N34" s="6">
        <v>0</v>
      </c>
      <c r="O34" s="11">
        <f t="shared" si="4"/>
        <v>0</v>
      </c>
      <c r="P34" s="2"/>
      <c r="Q34" s="2"/>
      <c r="R34" s="2"/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5"/>
        <v>0</v>
      </c>
      <c r="AR34" s="8">
        <f t="shared" si="6"/>
        <v>0</v>
      </c>
      <c r="AS34" s="13">
        <f>IF(H34="ECHEC",0,(J34+K34))</f>
        <v>0</v>
      </c>
      <c r="AT34" s="29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F34" s="29">
        <f t="shared" si="15"/>
        <v>0</v>
      </c>
      <c r="BG34">
        <v>0</v>
      </c>
      <c r="BH34" s="15"/>
      <c r="BI34" s="15"/>
      <c r="BJ34" s="15"/>
      <c r="BK34" s="15"/>
      <c r="BL34" s="15"/>
      <c r="BM34" s="15"/>
    </row>
    <row r="35" spans="1:68" ht="18.5" x14ac:dyDescent="0.45">
      <c r="A35" s="1" t="s">
        <v>40</v>
      </c>
      <c r="B35" s="1" t="str">
        <f>VLOOKUP(A35,[6]LISTADHERENT!A$5:H$60,3,0)</f>
        <v>YEPMOU JEAN JACQUES</v>
      </c>
      <c r="C35" s="5">
        <f t="shared" si="7"/>
        <v>0</v>
      </c>
      <c r="D35" s="9">
        <f>VLOOKUP(A35,[7]HISTOBQUEDEC22!$A$6:$G$36,3,0)</f>
        <v>1041250</v>
      </c>
      <c r="E35" s="9">
        <f>VLOOKUP(A35,[7]HISTOBQUEDEC22!$A$6:$G$36,4,0)</f>
        <v>0</v>
      </c>
      <c r="F35" s="9">
        <f>VLOOKUP(A35,[7]HISTOBQUEDEC22!$A$6:$G$36,5,0)</f>
        <v>0</v>
      </c>
      <c r="G35" s="5">
        <f t="shared" si="0"/>
        <v>0</v>
      </c>
      <c r="H35" s="10" t="str">
        <f t="shared" si="1"/>
        <v>BANQUE</v>
      </c>
      <c r="I35" s="11">
        <v>1</v>
      </c>
      <c r="J35" s="11">
        <f t="shared" si="2"/>
        <v>30000</v>
      </c>
      <c r="K35" s="11"/>
      <c r="L35" s="6"/>
      <c r="M35" s="11">
        <f t="shared" si="3"/>
        <v>0</v>
      </c>
      <c r="N35" s="6"/>
      <c r="O35" s="11">
        <f t="shared" si="4"/>
        <v>0</v>
      </c>
      <c r="P35" s="2">
        <f>VLOOKUP(A35,[9]TONTDEC22!$A$6:$R$31,12,0)</f>
        <v>0</v>
      </c>
      <c r="Q35" s="2"/>
      <c r="R35" s="2"/>
      <c r="S35" s="20">
        <v>1011250</v>
      </c>
      <c r="T35" s="12" t="s">
        <v>8</v>
      </c>
      <c r="U35" s="17">
        <f t="shared" si="8"/>
        <v>1041250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5"/>
        <v>0</v>
      </c>
      <c r="AR35" s="8">
        <f t="shared" si="6"/>
        <v>0</v>
      </c>
      <c r="AS35" s="13">
        <f t="shared" si="9"/>
        <v>7000</v>
      </c>
      <c r="AT35" s="29">
        <v>20000</v>
      </c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F35" s="29">
        <f t="shared" si="15"/>
        <v>0</v>
      </c>
      <c r="BG35">
        <v>0</v>
      </c>
      <c r="BH35" s="15"/>
      <c r="BI35" s="15"/>
      <c r="BJ35" s="15"/>
      <c r="BK35" s="15"/>
      <c r="BL35" s="15"/>
      <c r="BM35" s="15"/>
      <c r="BN35" t="s">
        <v>126</v>
      </c>
      <c r="BO35" t="s">
        <v>126</v>
      </c>
      <c r="BP35" s="6"/>
    </row>
    <row r="36" spans="1:68" ht="18.5" x14ac:dyDescent="0.45">
      <c r="A36" s="1" t="s">
        <v>41</v>
      </c>
      <c r="B36" s="1" t="str">
        <f>VLOOKUP(A36,[6]LISTADHERENT!A$5:H$60,3,0)</f>
        <v>YOUMBI EMMANUEL</v>
      </c>
      <c r="C36" s="5">
        <f t="shared" si="7"/>
        <v>0</v>
      </c>
      <c r="D36" s="9">
        <f>VLOOKUP(A36,[7]HISTOBQUEDEC22!$A$6:$G$36,3,0)</f>
        <v>280000</v>
      </c>
      <c r="E36" s="9">
        <f>VLOOKUP(A36,[7]HISTOBQUEDEC22!$A$6:$G$36,4,0)</f>
        <v>0</v>
      </c>
      <c r="F36" s="9">
        <f>VLOOKUP(A36,[7]HISTOBQUEDEC22!$A$6:$G$36,5,0)</f>
        <v>0</v>
      </c>
      <c r="G36" s="5">
        <f t="shared" si="0"/>
        <v>0</v>
      </c>
      <c r="H36" s="10" t="str">
        <f t="shared" si="1"/>
        <v>BANQUE</v>
      </c>
      <c r="I36" s="11">
        <v>1</v>
      </c>
      <c r="J36" s="11">
        <f t="shared" si="2"/>
        <v>30000</v>
      </c>
      <c r="K36" s="11"/>
      <c r="L36" s="6">
        <v>2</v>
      </c>
      <c r="M36" s="11">
        <f t="shared" si="3"/>
        <v>150000</v>
      </c>
      <c r="N36" s="6">
        <v>1</v>
      </c>
      <c r="O36" s="11">
        <f t="shared" si="4"/>
        <v>100000</v>
      </c>
      <c r="P36" s="2">
        <f>VLOOKUP(A36,[9]TONTDEC22!$A$6:$R$31,12,0)</f>
        <v>0</v>
      </c>
      <c r="Q36" s="2">
        <f>VLOOKUP(A36,[10]TONTDEC22!$A$6:$P$21,10,0)</f>
        <v>0</v>
      </c>
      <c r="R36" s="2">
        <f>VLOOKUP(A36,[8]TONTDEC22!$A$6:$P$21,10,0)</f>
        <v>0</v>
      </c>
      <c r="S36" s="6"/>
      <c r="T36" s="12"/>
      <c r="U36" s="17">
        <f t="shared" si="8"/>
        <v>280000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5"/>
        <v>0</v>
      </c>
      <c r="AR36" s="8">
        <f t="shared" si="6"/>
        <v>0</v>
      </c>
      <c r="AS36" s="13">
        <f t="shared" si="9"/>
        <v>7000</v>
      </c>
      <c r="AT36" s="29">
        <v>20000</v>
      </c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F36" s="29">
        <f t="shared" si="15"/>
        <v>0</v>
      </c>
      <c r="BG36">
        <v>0</v>
      </c>
      <c r="BH36" s="15"/>
      <c r="BI36" s="15"/>
      <c r="BJ36" s="15"/>
      <c r="BK36" s="15"/>
      <c r="BL36" s="15"/>
      <c r="BM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AH38" si="16">SUM(C6:C37)</f>
        <v>420000</v>
      </c>
      <c r="D38" s="5">
        <f t="shared" si="16"/>
        <v>20433750</v>
      </c>
      <c r="E38" s="5">
        <f t="shared" si="16"/>
        <v>180500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26</v>
      </c>
      <c r="J38" s="5">
        <f t="shared" si="16"/>
        <v>780000</v>
      </c>
      <c r="K38" s="5">
        <f t="shared" si="16"/>
        <v>111000</v>
      </c>
      <c r="L38" s="5">
        <f t="shared" si="16"/>
        <v>20</v>
      </c>
      <c r="M38" s="5">
        <f t="shared" si="16"/>
        <v>1500000</v>
      </c>
      <c r="N38" s="5">
        <f t="shared" si="16"/>
        <v>13</v>
      </c>
      <c r="O38" s="5">
        <f t="shared" si="16"/>
        <v>1300000</v>
      </c>
      <c r="P38" s="5">
        <f t="shared" si="16"/>
        <v>41000</v>
      </c>
      <c r="Q38" s="5">
        <f t="shared" si="16"/>
        <v>38500</v>
      </c>
      <c r="R38" s="5">
        <f t="shared" si="16"/>
        <v>273500</v>
      </c>
      <c r="S38" s="5">
        <f t="shared" si="16"/>
        <v>16041250</v>
      </c>
      <c r="T38" s="5">
        <f t="shared" si="16"/>
        <v>0</v>
      </c>
      <c r="U38" s="5">
        <f t="shared" si="16"/>
        <v>20085250</v>
      </c>
      <c r="V38" s="5">
        <f t="shared" si="16"/>
        <v>0</v>
      </c>
      <c r="W38" s="5">
        <f t="shared" si="16"/>
        <v>0</v>
      </c>
      <c r="X38" s="5">
        <f t="shared" si="16"/>
        <v>0</v>
      </c>
      <c r="Y38" s="5">
        <f t="shared" si="16"/>
        <v>0</v>
      </c>
      <c r="Z38" s="5">
        <f t="shared" si="16"/>
        <v>15600000</v>
      </c>
      <c r="AA38" s="5">
        <f t="shared" si="16"/>
        <v>0</v>
      </c>
      <c r="AB38" s="5">
        <f t="shared" si="16"/>
        <v>0</v>
      </c>
      <c r="AC38" s="5">
        <f t="shared" si="16"/>
        <v>46000</v>
      </c>
      <c r="AD38" s="5">
        <f t="shared" si="16"/>
        <v>75000</v>
      </c>
      <c r="AE38" s="5">
        <f t="shared" si="16"/>
        <v>100000</v>
      </c>
      <c r="AF38" s="5">
        <f t="shared" si="16"/>
        <v>0</v>
      </c>
      <c r="AG38" s="5">
        <f t="shared" si="16"/>
        <v>0</v>
      </c>
      <c r="AH38" s="5">
        <f t="shared" si="16"/>
        <v>0</v>
      </c>
      <c r="AI38" s="5">
        <f t="shared" ref="AI38:BD38" si="17">SUM(AI6:AI37)</f>
        <v>0</v>
      </c>
      <c r="AJ38" s="5">
        <f t="shared" si="17"/>
        <v>0</v>
      </c>
      <c r="AK38" s="5">
        <f t="shared" si="17"/>
        <v>0</v>
      </c>
      <c r="AL38" s="5">
        <f t="shared" si="17"/>
        <v>0</v>
      </c>
      <c r="AM38" s="5">
        <f t="shared" si="17"/>
        <v>0</v>
      </c>
      <c r="AN38" s="5">
        <f t="shared" si="17"/>
        <v>0</v>
      </c>
      <c r="AO38" s="5">
        <f t="shared" si="17"/>
        <v>0</v>
      </c>
      <c r="AP38" s="5">
        <f t="shared" si="17"/>
        <v>0</v>
      </c>
      <c r="AQ38" s="5">
        <f t="shared" si="17"/>
        <v>0</v>
      </c>
      <c r="AR38" s="5">
        <f t="shared" si="17"/>
        <v>0</v>
      </c>
      <c r="AS38" s="5">
        <f t="shared" si="17"/>
        <v>293000</v>
      </c>
      <c r="AT38" s="5">
        <f t="shared" si="17"/>
        <v>540000</v>
      </c>
      <c r="AU38" s="5">
        <f t="shared" si="17"/>
        <v>0</v>
      </c>
      <c r="AV38" s="5">
        <f t="shared" si="17"/>
        <v>0</v>
      </c>
      <c r="AW38" s="5">
        <f t="shared" si="17"/>
        <v>554000</v>
      </c>
      <c r="AX38" s="5">
        <f t="shared" si="17"/>
        <v>1125000</v>
      </c>
      <c r="AY38" s="5">
        <f t="shared" si="17"/>
        <v>1200000</v>
      </c>
      <c r="AZ38" s="5">
        <f t="shared" si="17"/>
        <v>17307000</v>
      </c>
      <c r="BA38" s="5">
        <f t="shared" si="17"/>
        <v>0</v>
      </c>
      <c r="BB38" s="5">
        <f t="shared" si="17"/>
        <v>109000</v>
      </c>
      <c r="BC38" s="5">
        <f t="shared" si="17"/>
        <v>0</v>
      </c>
      <c r="BD38" s="5">
        <f t="shared" si="17"/>
        <v>17269000</v>
      </c>
      <c r="BF38" s="5">
        <f t="shared" ref="BF38:BM38" si="18">SUM(BF6:BF37)</f>
        <v>1248000</v>
      </c>
      <c r="BH38" s="5">
        <f t="shared" si="18"/>
        <v>6000</v>
      </c>
      <c r="BI38" s="5">
        <f t="shared" si="18"/>
        <v>0</v>
      </c>
      <c r="BJ38" s="5">
        <f t="shared" si="18"/>
        <v>0</v>
      </c>
      <c r="BK38" s="5">
        <f t="shared" si="18"/>
        <v>70000</v>
      </c>
      <c r="BL38" s="5">
        <f t="shared" si="18"/>
        <v>0</v>
      </c>
      <c r="BM38" s="5">
        <f t="shared" si="18"/>
        <v>0</v>
      </c>
      <c r="BN38" s="62" t="s">
        <v>142</v>
      </c>
      <c r="BP38" s="62">
        <f>SUM(BP35:BP37)</f>
        <v>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AW40" s="15"/>
      <c r="AX40" s="15"/>
      <c r="AY40" s="15"/>
      <c r="AZ40" s="16"/>
    </row>
    <row r="41" spans="1:68" ht="18.5" x14ac:dyDescent="0.45">
      <c r="B41" s="1"/>
      <c r="H41" s="1"/>
      <c r="AW41" s="15"/>
      <c r="AX41" s="15"/>
      <c r="AY41" s="15"/>
      <c r="AZ41" s="16"/>
    </row>
    <row r="42" spans="1:68" ht="18.5" x14ac:dyDescent="0.45">
      <c r="C42" s="3" t="s">
        <v>8</v>
      </c>
      <c r="D42" s="68"/>
      <c r="E42" s="68"/>
      <c r="F42" s="3" t="s">
        <v>9</v>
      </c>
      <c r="G42" s="68"/>
      <c r="H42" s="68"/>
      <c r="AI42" s="5"/>
      <c r="AV42" s="3"/>
      <c r="AW42" s="68"/>
      <c r="AX42" s="15"/>
      <c r="AY42" s="15"/>
      <c r="AZ42" s="16"/>
    </row>
    <row r="43" spans="1:68" ht="18.5" x14ac:dyDescent="0.45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AI43" s="5"/>
      <c r="AW43" s="15"/>
      <c r="AX43" s="15"/>
      <c r="AY43" s="15"/>
      <c r="AZ43" s="16"/>
    </row>
    <row r="44" spans="1:68" ht="18.5" x14ac:dyDescent="0.45">
      <c r="B44" s="1" t="s">
        <v>78</v>
      </c>
      <c r="AW44" s="15"/>
      <c r="AX44" s="15"/>
      <c r="AY44" s="15"/>
      <c r="AZ44" s="16"/>
    </row>
    <row r="45" spans="1:68" ht="18.5" x14ac:dyDescent="0.45">
      <c r="B45" s="1" t="s">
        <v>79</v>
      </c>
      <c r="C45" s="14">
        <f>AZ38</f>
        <v>17307000</v>
      </c>
      <c r="D45" s="9">
        <f>SUMIFS(D7:D38,H7:H38,"BANQUE")</f>
        <v>20333750</v>
      </c>
      <c r="F45" s="9">
        <f>E38</f>
        <v>180500</v>
      </c>
      <c r="G45" s="14"/>
      <c r="I45" s="5"/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3" spans="49:52" ht="17.5" x14ac:dyDescent="0.35">
      <c r="AW83" s="5"/>
      <c r="AX83" s="5"/>
      <c r="AY83" s="5"/>
      <c r="AZ83" s="5">
        <f>SUM(AZ7:AZ82)</f>
        <v>33408000</v>
      </c>
    </row>
  </sheetData>
  <autoFilter ref="A5:AF36" xr:uid="{00000000-0009-0000-0000-000003000000}"/>
  <mergeCells count="1">
    <mergeCell ref="B4:M4"/>
  </mergeCells>
  <dataValidations count="1">
    <dataValidation type="list" allowBlank="1" showInputMessage="1" showErrorMessage="1" sqref="T6:T36 AA6:AA36 AF6:AF36 AP6:AP36" xr:uid="{00000000-0002-0000-03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DF5A-9985-44E3-BBD7-03EEE81D5D0B}">
  <dimension ref="A1:BR87"/>
  <sheetViews>
    <sheetView tabSelected="1" zoomScale="87" zoomScaleNormal="87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M8" sqref="M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10" width="16.26953125" customWidth="1"/>
    <col min="11" max="11" width="14.1796875" bestFit="1" customWidth="1"/>
    <col min="12" max="12" width="15" bestFit="1" customWidth="1"/>
    <col min="13" max="13" width="11.26953125" customWidth="1"/>
    <col min="14" max="14" width="15" bestFit="1" customWidth="1"/>
    <col min="15" max="15" width="11.26953125" customWidth="1"/>
    <col min="16" max="16" width="15" bestFit="1" customWidth="1"/>
    <col min="17" max="17" width="16" customWidth="1"/>
    <col min="18" max="18" width="19.453125" customWidth="1"/>
    <col min="19" max="19" width="16" customWidth="1"/>
    <col min="20" max="20" width="15.1796875" bestFit="1" customWidth="1"/>
    <col min="21" max="21" width="16.1796875" customWidth="1"/>
    <col min="22" max="22" width="20.453125" customWidth="1"/>
    <col min="23" max="23" width="14.453125" bestFit="1" customWidth="1"/>
    <col min="24" max="24" width="12.453125" bestFit="1" customWidth="1"/>
    <col min="25" max="26" width="13.81640625" customWidth="1"/>
    <col min="27" max="27" width="16.26953125" customWidth="1"/>
    <col min="28" max="28" width="13.81640625" customWidth="1"/>
    <col min="29" max="29" width="18.26953125" bestFit="1" customWidth="1"/>
    <col min="30" max="30" width="22.54296875" customWidth="1"/>
    <col min="31" max="32" width="19" customWidth="1"/>
    <col min="33" max="35" width="16.1796875" customWidth="1"/>
    <col min="36" max="41" width="16" customWidth="1"/>
    <col min="42" max="42" width="15.26953125" customWidth="1"/>
    <col min="46" max="46" width="15" bestFit="1" customWidth="1"/>
    <col min="47" max="47" width="12.453125" bestFit="1" customWidth="1"/>
    <col min="50" max="52" width="15" customWidth="1"/>
    <col min="53" max="53" width="16.81640625" bestFit="1" customWidth="1"/>
    <col min="54" max="54" width="12.81640625" bestFit="1" customWidth="1"/>
    <col min="55" max="56" width="12.453125" customWidth="1"/>
    <col min="57" max="57" width="16.81640625" bestFit="1" customWidth="1"/>
    <col min="58" max="58" width="17.1796875" customWidth="1"/>
    <col min="59" max="59" width="15" bestFit="1" customWidth="1"/>
    <col min="64" max="65" width="12.453125" bestFit="1" customWidth="1"/>
    <col min="66" max="67" width="14.81640625" customWidth="1"/>
    <col min="68" max="68" width="20" customWidth="1"/>
    <col min="69" max="69" width="28.453125" bestFit="1" customWidth="1"/>
    <col min="70" max="70" width="27.81640625" bestFit="1" customWidth="1"/>
    <col min="71" max="71" width="21.453125" bestFit="1" customWidth="1"/>
  </cols>
  <sheetData>
    <row r="1" spans="1:70" x14ac:dyDescent="0.35">
      <c r="A1" s="1" t="s">
        <v>2</v>
      </c>
      <c r="B1" s="1" t="s">
        <v>3</v>
      </c>
      <c r="C1" s="1"/>
    </row>
    <row r="2" spans="1:70" x14ac:dyDescent="0.35">
      <c r="A2" s="1" t="s">
        <v>4</v>
      </c>
      <c r="B2" s="1">
        <v>2025</v>
      </c>
      <c r="C2" s="1"/>
    </row>
    <row r="3" spans="1:70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1"/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1">
        <v>19</v>
      </c>
      <c r="U3" s="2">
        <v>20</v>
      </c>
      <c r="V3" s="1">
        <v>21</v>
      </c>
      <c r="W3" s="2">
        <v>22</v>
      </c>
      <c r="X3" s="1">
        <v>23</v>
      </c>
      <c r="Y3" s="2">
        <v>24</v>
      </c>
      <c r="Z3" s="1">
        <v>25</v>
      </c>
      <c r="AA3" s="2">
        <v>26</v>
      </c>
      <c r="AB3" s="1">
        <v>27</v>
      </c>
      <c r="AC3" s="2">
        <v>28</v>
      </c>
      <c r="AD3" s="1">
        <v>29</v>
      </c>
      <c r="AE3" s="2">
        <v>30</v>
      </c>
      <c r="AF3" s="1">
        <v>31</v>
      </c>
      <c r="AG3" s="2">
        <v>32</v>
      </c>
      <c r="AH3" s="1">
        <v>33</v>
      </c>
      <c r="AI3" s="2">
        <v>34</v>
      </c>
      <c r="AJ3" s="1">
        <v>35</v>
      </c>
      <c r="AK3" s="2">
        <v>36</v>
      </c>
      <c r="AL3" s="1">
        <v>37</v>
      </c>
      <c r="AM3" s="2">
        <v>38</v>
      </c>
      <c r="AN3" s="1">
        <v>39</v>
      </c>
      <c r="AO3" s="2">
        <v>40</v>
      </c>
      <c r="AP3" s="1">
        <v>41</v>
      </c>
      <c r="AQ3" s="2">
        <v>42</v>
      </c>
      <c r="AR3" s="1">
        <v>43</v>
      </c>
      <c r="AS3" s="2">
        <v>44</v>
      </c>
      <c r="AT3" s="1">
        <v>45</v>
      </c>
      <c r="AU3" s="2">
        <v>46</v>
      </c>
      <c r="AV3" s="1">
        <v>47</v>
      </c>
      <c r="AW3" s="2">
        <v>48</v>
      </c>
      <c r="AX3" s="1">
        <v>49</v>
      </c>
      <c r="AY3" s="2">
        <v>50</v>
      </c>
      <c r="AZ3" s="1">
        <v>51</v>
      </c>
      <c r="BA3" s="2">
        <v>52</v>
      </c>
      <c r="BB3" s="1">
        <v>53</v>
      </c>
      <c r="BC3" s="2">
        <v>54</v>
      </c>
      <c r="BD3" s="1">
        <v>55</v>
      </c>
      <c r="BE3" s="2">
        <v>56</v>
      </c>
      <c r="BF3" s="1">
        <v>57</v>
      </c>
      <c r="BG3" s="2">
        <v>58</v>
      </c>
      <c r="BH3" s="1">
        <v>59</v>
      </c>
      <c r="BI3" s="2">
        <v>60</v>
      </c>
      <c r="BJ3" s="1">
        <v>61</v>
      </c>
      <c r="BK3" s="2">
        <v>62</v>
      </c>
      <c r="BL3" s="1">
        <v>63</v>
      </c>
      <c r="BM3" s="2">
        <v>64</v>
      </c>
      <c r="BN3" s="1">
        <v>65</v>
      </c>
      <c r="BO3" s="1"/>
      <c r="BP3" s="2">
        <v>66</v>
      </c>
      <c r="BQ3" s="1">
        <v>67</v>
      </c>
      <c r="BR3" s="2">
        <v>68</v>
      </c>
    </row>
    <row r="4" spans="1:70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X4" s="8"/>
      <c r="AY4" s="8"/>
      <c r="AZ4" s="8"/>
    </row>
    <row r="5" spans="1:70" ht="68.25" customHeight="1" x14ac:dyDescent="0.35">
      <c r="A5" s="1" t="s">
        <v>0</v>
      </c>
      <c r="B5" s="1" t="s">
        <v>1</v>
      </c>
      <c r="C5" s="1" t="s">
        <v>47</v>
      </c>
      <c r="D5" s="4" t="s">
        <v>220</v>
      </c>
      <c r="E5" s="4" t="s">
        <v>221</v>
      </c>
      <c r="F5" s="4" t="s">
        <v>222</v>
      </c>
      <c r="G5" s="4" t="s">
        <v>73</v>
      </c>
      <c r="H5" s="4" t="s">
        <v>45</v>
      </c>
      <c r="I5" s="4" t="s">
        <v>48</v>
      </c>
      <c r="J5" s="4" t="s">
        <v>68</v>
      </c>
      <c r="K5" s="4" t="s">
        <v>46</v>
      </c>
      <c r="L5" s="4" t="s">
        <v>219</v>
      </c>
      <c r="M5" s="4" t="s">
        <v>46</v>
      </c>
      <c r="N5" s="4" t="s">
        <v>5</v>
      </c>
      <c r="O5" s="4" t="s">
        <v>46</v>
      </c>
      <c r="P5" s="4" t="s">
        <v>6</v>
      </c>
      <c r="Q5" s="4" t="s">
        <v>198</v>
      </c>
      <c r="R5" s="4" t="s">
        <v>10</v>
      </c>
      <c r="S5" s="4" t="s">
        <v>11</v>
      </c>
      <c r="T5" s="4" t="s">
        <v>85</v>
      </c>
      <c r="U5" s="4" t="s">
        <v>84</v>
      </c>
      <c r="V5" s="4" t="s">
        <v>58</v>
      </c>
      <c r="W5" s="4" t="s">
        <v>7</v>
      </c>
      <c r="X5" s="4" t="s">
        <v>51</v>
      </c>
      <c r="Y5" s="4" t="s">
        <v>59</v>
      </c>
      <c r="Z5" s="4" t="s">
        <v>60</v>
      </c>
      <c r="AA5" s="4" t="s">
        <v>52</v>
      </c>
      <c r="AB5" s="4" t="s">
        <v>61</v>
      </c>
      <c r="AC5" s="4" t="s">
        <v>57</v>
      </c>
      <c r="AD5" s="4" t="s">
        <v>162</v>
      </c>
      <c r="AE5" s="4" t="s">
        <v>42</v>
      </c>
      <c r="AF5" s="4" t="s">
        <v>62</v>
      </c>
      <c r="AG5" s="4" t="s">
        <v>49</v>
      </c>
      <c r="AH5" s="4" t="s">
        <v>57</v>
      </c>
      <c r="AI5" s="4" t="s">
        <v>45</v>
      </c>
      <c r="AJ5" s="4" t="s">
        <v>199</v>
      </c>
      <c r="AK5" s="4" t="s">
        <v>53</v>
      </c>
      <c r="AL5" s="4" t="s">
        <v>54</v>
      </c>
      <c r="AM5" s="4" t="s">
        <v>200</v>
      </c>
      <c r="AN5" s="4" t="s">
        <v>55</v>
      </c>
      <c r="AO5" s="4" t="s">
        <v>56</v>
      </c>
      <c r="AP5" s="4" t="s">
        <v>57</v>
      </c>
      <c r="AQ5" s="4" t="s">
        <v>63</v>
      </c>
      <c r="AR5" s="4" t="s">
        <v>64</v>
      </c>
      <c r="AS5" s="4" t="s">
        <v>65</v>
      </c>
      <c r="AT5" s="4" t="s">
        <v>69</v>
      </c>
      <c r="AU5" s="4" t="s">
        <v>50</v>
      </c>
      <c r="AV5" s="4" t="s">
        <v>70</v>
      </c>
      <c r="AW5" s="4" t="s">
        <v>86</v>
      </c>
      <c r="AX5" s="4" t="s">
        <v>166</v>
      </c>
      <c r="AY5" s="4" t="s">
        <v>83</v>
      </c>
      <c r="AZ5" s="4" t="s">
        <v>81</v>
      </c>
      <c r="BA5" s="4" t="s">
        <v>82</v>
      </c>
      <c r="BB5" s="4" t="s">
        <v>87</v>
      </c>
      <c r="BC5" s="4" t="s">
        <v>109</v>
      </c>
      <c r="BD5" s="4" t="s">
        <v>138</v>
      </c>
      <c r="BE5" s="4" t="s">
        <v>133</v>
      </c>
      <c r="BF5" s="4" t="s">
        <v>90</v>
      </c>
      <c r="BG5" s="4" t="s">
        <v>139</v>
      </c>
      <c r="BH5" s="4" t="s">
        <v>140</v>
      </c>
      <c r="BI5" s="4" t="s">
        <v>153</v>
      </c>
      <c r="BJ5" s="4" t="s">
        <v>152</v>
      </c>
      <c r="BK5" s="4" t="s">
        <v>150</v>
      </c>
      <c r="BL5" s="4" t="s">
        <v>151</v>
      </c>
      <c r="BM5" s="59" t="s">
        <v>141</v>
      </c>
      <c r="BN5" s="4" t="s">
        <v>155</v>
      </c>
      <c r="BO5" s="4" t="s">
        <v>211</v>
      </c>
      <c r="BP5" s="4" t="s">
        <v>74</v>
      </c>
      <c r="BQ5" s="60" t="s">
        <v>146</v>
      </c>
      <c r="BR5" s="1" t="s">
        <v>154</v>
      </c>
    </row>
    <row r="6" spans="1:70" ht="18.5" x14ac:dyDescent="0.45">
      <c r="A6" s="1" t="s">
        <v>108</v>
      </c>
      <c r="B6" s="1" t="str">
        <f>VLOOKUP(A6,[11]LISTADHERENT!A$5:H$50,3,0)</f>
        <v>ASELBY</v>
      </c>
      <c r="C6" s="5">
        <f ca="1">D6+E6+F6+G6-V6-BC6</f>
        <v>0</v>
      </c>
      <c r="D6" s="9">
        <f>VLOOKUP(A6,[21]HISTOBQUEJANV25!$A$6:$H$46,5,0)</f>
        <v>250000</v>
      </c>
      <c r="E6" s="102">
        <f>VLOOKUP(A6,[21]HISTOBQUEJANV25!$A$6:$H$41,4,0)</f>
        <v>0</v>
      </c>
      <c r="F6" s="102">
        <f>VLOOKUP(A6,[21]HISTOBQUEJANV25!$A$6:$H$41,6,0)</f>
        <v>0</v>
      </c>
      <c r="G6" s="9"/>
      <c r="H6" s="5">
        <f>IF(I6="ESPECES",3000,0)</f>
        <v>0</v>
      </c>
      <c r="I6" s="10" t="str">
        <f t="shared" ref="I6:I40" si="0">IF($D6&lt;&gt;0,"BANQUE",IF($E6&lt;&gt;0,"ESPECES","ECHEC"))</f>
        <v>BANQUE</v>
      </c>
      <c r="J6" s="10"/>
      <c r="K6" s="11"/>
      <c r="L6" s="11">
        <f>IF($D6&lt;&gt;0,K6*50000,IF($E6&lt;&gt;0,K6*50000,0))</f>
        <v>0</v>
      </c>
      <c r="M6" s="6">
        <v>2</v>
      </c>
      <c r="N6" s="11">
        <f t="shared" ref="N6:N40" si="1">IF($D6&lt;&gt;0,M6*75000,IF($E6&lt;&gt;0,M6*75000,0))</f>
        <v>150000</v>
      </c>
      <c r="O6" s="6">
        <v>1</v>
      </c>
      <c r="P6" s="11">
        <f t="shared" ref="P6:P40" si="2">IF($D6&lt;&gt;0,O6*100000,IF($E6&lt;&gt;0,O6*100000,0))</f>
        <v>100000</v>
      </c>
      <c r="Q6" s="2">
        <f ca="1">IFERROR(CHERCHEV(A6,[13]TONTJANV24!$A$6:$R$39,12,0),0)</f>
        <v>0</v>
      </c>
      <c r="R6" s="2">
        <f>IFERROR(VLOOKUP(A6,[14]TONTJANV24!$A$7:$P$23,10,0),0)</f>
        <v>0</v>
      </c>
      <c r="S6" s="2">
        <f>IFERROR(VLOOKUP(A6,[15]TONTJANV24!$A$7:$P$20,10,0),0)</f>
        <v>0</v>
      </c>
      <c r="T6" s="20"/>
      <c r="U6" s="12"/>
      <c r="V6" s="17">
        <f ca="1">H6+T6++S6+Q6+P6+N6+J6+L6+R6+W6+X6</f>
        <v>250000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8">
        <f t="shared" ref="AR6:AR40" si="3">IF(I6="ECHEC",((L6+N6+P6)*20/100),0)</f>
        <v>0</v>
      </c>
      <c r="AS6" s="8">
        <f t="shared" ref="AS6:AS40" si="4">IF(I6="ECHEC",((L6+N6+P6)*20/100),0)</f>
        <v>0</v>
      </c>
      <c r="AT6" s="13"/>
      <c r="AU6" s="15"/>
      <c r="AW6" s="15"/>
      <c r="AX6" s="15">
        <f>IF(AD6=0,AJ6,(1*25000*12)+AJ6-AD6)</f>
        <v>0</v>
      </c>
      <c r="AY6" s="15">
        <f>IF(AE6=0,AK6,(1*75000*12)+(AK6)-AE6)</f>
        <v>0</v>
      </c>
      <c r="AZ6" s="15">
        <f>IF(AF6=0,AL6,(1*100000*12)+(AL6)-AF6)</f>
        <v>0</v>
      </c>
      <c r="BA6" s="16">
        <f>SUM(AW6:AZ6)-BG6+AA6-G6+BI6+BJ6+BK6+BL6+BM6+BN6</f>
        <v>227000</v>
      </c>
      <c r="BB6" s="58"/>
      <c r="BC6" s="58"/>
      <c r="BD6" s="15"/>
      <c r="BE6" s="57">
        <f>IF(BA6=0,(BA6-BB6-BD6),(BA6-BB6-BC6-BD6))</f>
        <v>227000</v>
      </c>
      <c r="BF6" s="82"/>
      <c r="BG6" s="29">
        <f t="shared" ref="BG6:BG40" si="5">AA6*1/100*BH6</f>
        <v>0</v>
      </c>
      <c r="BH6" s="29">
        <v>11</v>
      </c>
      <c r="BI6" s="15">
        <f>BR16</f>
        <v>27000</v>
      </c>
      <c r="BJ6" s="15">
        <f>BR28</f>
        <v>200000</v>
      </c>
      <c r="BK6" s="15">
        <f>BR34</f>
        <v>0</v>
      </c>
      <c r="BL6" s="15"/>
      <c r="BM6" s="15"/>
      <c r="BN6" s="15"/>
      <c r="BO6" s="15">
        <f>+BR22</f>
        <v>300000</v>
      </c>
      <c r="BP6" t="s">
        <v>115</v>
      </c>
      <c r="BQ6" t="s">
        <v>114</v>
      </c>
      <c r="BR6" s="6">
        <v>8500</v>
      </c>
    </row>
    <row r="7" spans="1:70" ht="18.5" x14ac:dyDescent="0.45">
      <c r="A7" s="1" t="s">
        <v>161</v>
      </c>
      <c r="B7" s="1" t="str">
        <f>VLOOKUP(A7,[11]LISTADHERENT!A$5:H$50,3,0)</f>
        <v>BAKOP ACHILLE</v>
      </c>
      <c r="C7" s="5">
        <f t="shared" ref="C7:C40" si="6">D7+E7+F7+G7-V7-BC7</f>
        <v>0</v>
      </c>
      <c r="D7" s="9">
        <f>VLOOKUP(A7,[21]HISTOBQUEJANV25!$A$6:$H$46,5,0)</f>
        <v>0</v>
      </c>
      <c r="E7" s="102">
        <f>VLOOKUP(A7,[21]HISTOBQUEJANV25!$A$6:$H$41,4,0)</f>
        <v>50000</v>
      </c>
      <c r="F7" s="102">
        <f>VLOOKUP(A7,[21]HISTOBQUEJANV25!$A$6:$H$41,6,0)</f>
        <v>0</v>
      </c>
      <c r="G7" s="9"/>
      <c r="H7" s="5">
        <v>0</v>
      </c>
      <c r="I7" s="10" t="str">
        <f t="shared" si="0"/>
        <v>ESPECES</v>
      </c>
      <c r="J7" s="10"/>
      <c r="K7" s="11">
        <v>1</v>
      </c>
      <c r="L7" s="11">
        <f t="shared" ref="L7:L40" si="7">IF($D7&lt;&gt;0,K7*50000,IF($E7&lt;&gt;0,K7*50000,0))</f>
        <v>50000</v>
      </c>
      <c r="M7" s="6"/>
      <c r="N7" s="11">
        <f t="shared" si="1"/>
        <v>0</v>
      </c>
      <c r="O7" s="6"/>
      <c r="P7" s="11">
        <f t="shared" si="2"/>
        <v>0</v>
      </c>
      <c r="Q7" s="2">
        <f>VLOOKUP(A7,[13]TONTJANV24!$A$6:$R$39,12,0)</f>
        <v>0</v>
      </c>
      <c r="R7" s="2">
        <f>IFERROR(VLOOKUP(A7,[14]TONTJANV24!$A$7:$P$23,10,0),0)</f>
        <v>0</v>
      </c>
      <c r="S7" s="2">
        <f>IFERROR(VLOOKUP(A7,[15]TONTJANV24!$A$7:$P$20,10,0),0)</f>
        <v>0</v>
      </c>
      <c r="T7" s="20"/>
      <c r="U7" s="12"/>
      <c r="V7" s="17">
        <f>H7+T7++S7+Q7+P7+N7+J7+L7+R7+W7+X7</f>
        <v>50000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8">
        <f t="shared" si="3"/>
        <v>0</v>
      </c>
      <c r="AS7" s="8">
        <f t="shared" si="4"/>
        <v>0</v>
      </c>
      <c r="AT7" s="13">
        <f t="shared" ref="AT7:AT40" si="8">IF(I7="ECHEC",0,(L7+J7-25000))</f>
        <v>25000</v>
      </c>
      <c r="AU7" s="15"/>
      <c r="AW7" s="15"/>
      <c r="AX7" s="15">
        <f t="shared" ref="AX7:AX40" si="9">IF(AD7=0,AJ7,(1*25000*12)+AJ7-AD7)</f>
        <v>0</v>
      </c>
      <c r="AY7" s="15">
        <f t="shared" ref="AY7:AY40" si="10">IF(AE7=0,AK7,(1*75000*12)+(AK7)-AE7)</f>
        <v>0</v>
      </c>
      <c r="AZ7" s="15">
        <f t="shared" ref="AZ7:AZ40" si="11">IF(AF7=0,AL7,(1*100000*12)+(AL7)-AF7)</f>
        <v>0</v>
      </c>
      <c r="BA7" s="16">
        <f>SUM(AW7:AZ7)-BG7+AA7-G7+BI7+BJ7+BK7+BL7+BM7+BN7+6000+600000</f>
        <v>600000</v>
      </c>
      <c r="BB7" s="58"/>
      <c r="BC7" s="58"/>
      <c r="BD7" s="15"/>
      <c r="BE7" s="57">
        <f>IF(BA7=0,(BA7-BB7-BD7),(BA7-BB7-BC7-BD7))+G7-600000</f>
        <v>0</v>
      </c>
      <c r="BF7" s="82"/>
      <c r="BG7" s="29">
        <f>AA7*1/100*BH7+6000</f>
        <v>6000</v>
      </c>
      <c r="BH7" s="29">
        <v>11</v>
      </c>
      <c r="BI7" s="15"/>
      <c r="BJ7" s="15"/>
      <c r="BK7" s="15"/>
      <c r="BL7" s="15"/>
      <c r="BM7" s="15"/>
      <c r="BN7" s="15"/>
      <c r="BO7" s="15"/>
      <c r="BP7" t="s">
        <v>116</v>
      </c>
      <c r="BQ7" t="s">
        <v>114</v>
      </c>
      <c r="BR7" s="6"/>
    </row>
    <row r="8" spans="1:70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VLOOKUP(A8,[21]HISTOBQUEJANV25!$A$6:$H$46,5,0)</f>
        <v>125000</v>
      </c>
      <c r="E8" s="102">
        <f>VLOOKUP(A8,[21]HISTOBQUEJANV25!$A$6:$H$41,4,0)</f>
        <v>0</v>
      </c>
      <c r="F8" s="102">
        <f>VLOOKUP(A8,[21]HISTOBQUEJANV25!$A$6:$H$41,6,0)</f>
        <v>0</v>
      </c>
      <c r="G8" s="9"/>
      <c r="H8" s="5">
        <f t="shared" ref="H8:H40" si="12">IF(I8="ESPECES",3000,0)</f>
        <v>0</v>
      </c>
      <c r="I8" s="10" t="str">
        <f t="shared" si="0"/>
        <v>BANQUE</v>
      </c>
      <c r="J8" s="10"/>
      <c r="K8" s="11">
        <v>1</v>
      </c>
      <c r="L8" s="11">
        <f t="shared" si="7"/>
        <v>50000</v>
      </c>
      <c r="M8" s="6">
        <v>1</v>
      </c>
      <c r="N8" s="11">
        <f t="shared" si="1"/>
        <v>75000</v>
      </c>
      <c r="O8" s="6"/>
      <c r="P8" s="11">
        <f t="shared" si="2"/>
        <v>0</v>
      </c>
      <c r="Q8" s="2">
        <f>VLOOKUP(A8,[13]TONTJANV24!$A$6:$R$39,12,0)</f>
        <v>0</v>
      </c>
      <c r="R8" s="2">
        <f>IFERROR(VLOOKUP(A8,[14]TONTJANV24!$A$7:$P$23,10,0),0)</f>
        <v>0</v>
      </c>
      <c r="S8" s="2">
        <f>IFERROR(VLOOKUP(A8,[15]TONTJANV24!$A$7:$P$20,10,0),0)</f>
        <v>0</v>
      </c>
      <c r="T8" s="20"/>
      <c r="U8" s="12"/>
      <c r="V8" s="17">
        <f t="shared" ref="V8:V40" si="13">H8+T8++S8+Q8+P8+N8+J8+L8+R8+W8+X8</f>
        <v>125000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8">
        <f t="shared" si="3"/>
        <v>0</v>
      </c>
      <c r="AS8" s="8">
        <f t="shared" si="4"/>
        <v>0</v>
      </c>
      <c r="AT8" s="13">
        <f t="shared" si="8"/>
        <v>25000</v>
      </c>
      <c r="AU8" s="15"/>
      <c r="AW8" s="15"/>
      <c r="AX8" s="15">
        <f t="shared" si="9"/>
        <v>0</v>
      </c>
      <c r="AY8" s="15">
        <f t="shared" si="10"/>
        <v>0</v>
      </c>
      <c r="AZ8" s="15">
        <f t="shared" si="11"/>
        <v>0</v>
      </c>
      <c r="BA8" s="16">
        <f t="shared" ref="BA8:BA40" si="14">SUM(AW8:AZ8)-BG8+AA8-G8+BI8+BJ8+BK8+BL8+BM8+BN8</f>
        <v>0</v>
      </c>
      <c r="BB8" s="58"/>
      <c r="BC8" s="58"/>
      <c r="BD8" s="15"/>
      <c r="BE8" s="57">
        <f t="shared" ref="BE8:BE40" si="15">IF(BA8=0,(BA8-BB8-BD8),(BA8-BB8-BC8-BD8))+G8</f>
        <v>0</v>
      </c>
      <c r="BF8" s="82"/>
      <c r="BG8" s="29">
        <f t="shared" si="5"/>
        <v>0</v>
      </c>
      <c r="BH8" s="29">
        <v>11</v>
      </c>
      <c r="BI8" s="15"/>
      <c r="BJ8" s="15"/>
      <c r="BK8" s="15"/>
      <c r="BL8" s="15"/>
      <c r="BM8" s="61"/>
      <c r="BP8" t="s">
        <v>117</v>
      </c>
      <c r="BQ8" t="s">
        <v>114</v>
      </c>
      <c r="BR8" s="6"/>
    </row>
    <row r="9" spans="1:70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VLOOKUP(A9,[21]HISTOBQUEJANV25!$A$6:$H$46,5,0)</f>
        <v>250000</v>
      </c>
      <c r="E9" s="102">
        <f>VLOOKUP(A9,[21]HISTOBQUEJANV25!$A$6:$H$41,4,0)</f>
        <v>0</v>
      </c>
      <c r="F9" s="102">
        <f>VLOOKUP(A9,[21]HISTOBQUEJANV25!$A$6:$H$41,6,0)</f>
        <v>0</v>
      </c>
      <c r="G9" s="9"/>
      <c r="H9" s="5">
        <f t="shared" si="12"/>
        <v>0</v>
      </c>
      <c r="I9" s="10" t="str">
        <f t="shared" si="0"/>
        <v>BANQUE</v>
      </c>
      <c r="J9" s="10"/>
      <c r="K9" s="11">
        <v>1</v>
      </c>
      <c r="L9" s="11">
        <f t="shared" si="7"/>
        <v>50000</v>
      </c>
      <c r="M9" s="6"/>
      <c r="N9" s="11">
        <f t="shared" si="1"/>
        <v>0</v>
      </c>
      <c r="O9" s="6">
        <v>2</v>
      </c>
      <c r="P9" s="11">
        <f t="shared" si="2"/>
        <v>200000</v>
      </c>
      <c r="Q9" s="2">
        <f>VLOOKUP(A9,[13]TONTJANV24!$A$6:$R$39,12,0)</f>
        <v>0</v>
      </c>
      <c r="R9" s="2">
        <f>IFERROR(VLOOKUP(A9,[14]TONTJANV24!$A$7:$P$23,10,0),0)</f>
        <v>0</v>
      </c>
      <c r="S9" s="2">
        <f>IFERROR(VLOOKUP(A9,[15]TONTJANV24!$A$7:$P$20,10,0),0)</f>
        <v>0</v>
      </c>
      <c r="T9" s="20"/>
      <c r="U9" s="12"/>
      <c r="V9" s="17">
        <f t="shared" si="13"/>
        <v>250000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8">
        <f t="shared" si="3"/>
        <v>0</v>
      </c>
      <c r="AS9" s="8">
        <f t="shared" si="4"/>
        <v>0</v>
      </c>
      <c r="AT9" s="13">
        <f t="shared" si="8"/>
        <v>25000</v>
      </c>
      <c r="AU9" s="15"/>
      <c r="AW9" s="15"/>
      <c r="AX9" s="15">
        <f t="shared" si="9"/>
        <v>0</v>
      </c>
      <c r="AY9" s="15">
        <f t="shared" si="10"/>
        <v>0</v>
      </c>
      <c r="AZ9" s="15">
        <f t="shared" si="11"/>
        <v>0</v>
      </c>
      <c r="BA9" s="16">
        <f t="shared" si="14"/>
        <v>0</v>
      </c>
      <c r="BB9" s="58"/>
      <c r="BC9" s="58"/>
      <c r="BD9" s="15"/>
      <c r="BE9" s="57">
        <f t="shared" si="15"/>
        <v>0</v>
      </c>
      <c r="BF9" s="82"/>
      <c r="BG9" s="29">
        <f t="shared" si="5"/>
        <v>0</v>
      </c>
      <c r="BH9" s="29">
        <v>11</v>
      </c>
      <c r="BI9" s="15"/>
      <c r="BJ9" s="15"/>
      <c r="BK9" s="15"/>
      <c r="BL9" s="15"/>
      <c r="BM9" s="61"/>
      <c r="BP9" t="s">
        <v>196</v>
      </c>
      <c r="BQ9" t="s">
        <v>114</v>
      </c>
      <c r="BR9" s="6">
        <v>18500</v>
      </c>
    </row>
    <row r="10" spans="1:70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VLOOKUP(A10,[21]HISTOBQUEJANV25!$A$6:$H$46,5,0)</f>
        <v>0</v>
      </c>
      <c r="E10" s="102">
        <f>VLOOKUP(A10,[21]HISTOBQUEJANV25!$A$6:$H$41,4,0)</f>
        <v>50000</v>
      </c>
      <c r="F10" s="102">
        <f>VLOOKUP(A10,[21]HISTOBQUEJANV25!$A$6:$H$41,6,0)</f>
        <v>0</v>
      </c>
      <c r="G10" s="9"/>
      <c r="H10" s="5">
        <v>0</v>
      </c>
      <c r="I10" s="10" t="str">
        <f t="shared" si="0"/>
        <v>ESPECES</v>
      </c>
      <c r="J10" s="10"/>
      <c r="K10" s="11">
        <v>1</v>
      </c>
      <c r="L10" s="11">
        <f t="shared" si="7"/>
        <v>50000</v>
      </c>
      <c r="M10" s="6"/>
      <c r="N10" s="11">
        <f t="shared" si="1"/>
        <v>0</v>
      </c>
      <c r="O10" s="6"/>
      <c r="P10" s="11">
        <f t="shared" si="2"/>
        <v>0</v>
      </c>
      <c r="Q10" s="2">
        <f>VLOOKUP(A10,[13]TONTJANV24!$A$6:$R$39,12,0)</f>
        <v>0</v>
      </c>
      <c r="R10" s="2">
        <f>IFERROR(VLOOKUP(A10,[14]TONTJANV24!$A$7:$P$23,10,0),0)</f>
        <v>0</v>
      </c>
      <c r="S10" s="2">
        <f>IFERROR(VLOOKUP(A10,[15]TONTJANV24!$A$7:$P$20,10,0),0)</f>
        <v>0</v>
      </c>
      <c r="T10" s="20"/>
      <c r="U10" s="12"/>
      <c r="V10" s="17">
        <f t="shared" si="13"/>
        <v>50000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8">
        <f t="shared" si="3"/>
        <v>0</v>
      </c>
      <c r="AS10" s="8">
        <f t="shared" si="4"/>
        <v>0</v>
      </c>
      <c r="AT10" s="13">
        <f t="shared" si="8"/>
        <v>25000</v>
      </c>
      <c r="AU10" s="15"/>
      <c r="AW10" s="15"/>
      <c r="AX10" s="15">
        <f t="shared" si="9"/>
        <v>0</v>
      </c>
      <c r="AY10" s="15">
        <f t="shared" si="10"/>
        <v>0</v>
      </c>
      <c r="AZ10" s="15">
        <f t="shared" si="11"/>
        <v>0</v>
      </c>
      <c r="BA10" s="16">
        <f t="shared" si="14"/>
        <v>0</v>
      </c>
      <c r="BB10" s="58"/>
      <c r="BC10" s="58"/>
      <c r="BD10" s="15"/>
      <c r="BE10" s="57">
        <f t="shared" si="15"/>
        <v>0</v>
      </c>
      <c r="BF10" s="82"/>
      <c r="BG10" s="29">
        <f t="shared" si="5"/>
        <v>0</v>
      </c>
      <c r="BH10" s="29">
        <v>11</v>
      </c>
      <c r="BI10" s="15"/>
      <c r="BJ10" s="15"/>
      <c r="BK10" s="15"/>
      <c r="BL10" s="15"/>
      <c r="BM10" s="61"/>
      <c r="BP10" t="s">
        <v>118</v>
      </c>
      <c r="BQ10" t="s">
        <v>114</v>
      </c>
      <c r="BR10" s="6"/>
    </row>
    <row r="11" spans="1:70" ht="17.5" customHeight="1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VLOOKUP(A11,[21]HISTOBQUEJANV25!$A$6:$H$46,5,0)</f>
        <v>150000</v>
      </c>
      <c r="E11" s="102">
        <f>VLOOKUP(A11,[21]HISTOBQUEJANV25!$A$6:$H$41,4,0)</f>
        <v>0</v>
      </c>
      <c r="F11" s="102">
        <f>VLOOKUP(A11,[21]HISTOBQUEJANV25!$A$6:$H$41,6,0)</f>
        <v>0</v>
      </c>
      <c r="G11" s="9"/>
      <c r="H11" s="5">
        <f t="shared" si="12"/>
        <v>0</v>
      </c>
      <c r="I11" s="10" t="str">
        <f t="shared" si="0"/>
        <v>BANQUE</v>
      </c>
      <c r="J11" s="10"/>
      <c r="K11" s="11">
        <v>1</v>
      </c>
      <c r="L11" s="11">
        <f t="shared" si="7"/>
        <v>50000</v>
      </c>
      <c r="M11" s="6"/>
      <c r="N11" s="11">
        <f t="shared" si="1"/>
        <v>0</v>
      </c>
      <c r="O11" s="6">
        <v>1</v>
      </c>
      <c r="P11" s="11">
        <f t="shared" si="2"/>
        <v>100000</v>
      </c>
      <c r="Q11" s="2">
        <f>VLOOKUP(A11,[13]TONTJANV24!$A$6:$R$39,12,0)</f>
        <v>0</v>
      </c>
      <c r="R11" s="2">
        <f>IFERROR(VLOOKUP(A11,[14]TONTJANV24!$A$7:$P$23,10,0),0)</f>
        <v>0</v>
      </c>
      <c r="S11" s="2">
        <f>IFERROR(VLOOKUP(A11,[15]TONTJANV24!$A$7:$P$20,10,0),0)</f>
        <v>0</v>
      </c>
      <c r="T11" s="20"/>
      <c r="U11" s="12"/>
      <c r="V11" s="17">
        <f t="shared" si="13"/>
        <v>150000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8">
        <f t="shared" si="3"/>
        <v>0</v>
      </c>
      <c r="AS11" s="8">
        <f t="shared" si="4"/>
        <v>0</v>
      </c>
      <c r="AT11" s="13">
        <f t="shared" si="8"/>
        <v>25000</v>
      </c>
      <c r="AU11" s="15"/>
      <c r="AW11" s="15"/>
      <c r="AX11" s="15">
        <f t="shared" si="9"/>
        <v>0</v>
      </c>
      <c r="AY11" s="15">
        <f t="shared" si="10"/>
        <v>0</v>
      </c>
      <c r="AZ11" s="15">
        <f t="shared" si="11"/>
        <v>0</v>
      </c>
      <c r="BA11" s="16">
        <f t="shared" si="14"/>
        <v>0</v>
      </c>
      <c r="BB11" s="58"/>
      <c r="BC11" s="58"/>
      <c r="BD11" s="15"/>
      <c r="BE11" s="57">
        <f t="shared" si="15"/>
        <v>0</v>
      </c>
      <c r="BF11" s="82"/>
      <c r="BG11" s="29">
        <f t="shared" si="5"/>
        <v>0</v>
      </c>
      <c r="BH11" s="29">
        <v>11</v>
      </c>
      <c r="BI11" s="15"/>
      <c r="BJ11" s="15"/>
      <c r="BK11" s="15"/>
      <c r="BL11" s="15"/>
      <c r="BM11" s="61"/>
      <c r="BP11" t="s">
        <v>119</v>
      </c>
      <c r="BQ11" t="s">
        <v>114</v>
      </c>
      <c r="BR11" s="6"/>
    </row>
    <row r="12" spans="1:70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VLOOKUP(A12,[21]HISTOBQUEJANV25!$A$6:$H$46,5,0)</f>
        <v>260000</v>
      </c>
      <c r="E12" s="102">
        <f>VLOOKUP(A12,[21]HISTOBQUEJANV25!$A$6:$H$41,4,0)</f>
        <v>0</v>
      </c>
      <c r="F12" s="102">
        <f>VLOOKUP(A12,[21]HISTOBQUEJANV25!$A$6:$H$41,6,0)</f>
        <v>0</v>
      </c>
      <c r="G12" s="9"/>
      <c r="H12" s="5">
        <f t="shared" si="12"/>
        <v>0</v>
      </c>
      <c r="I12" s="10" t="str">
        <f t="shared" si="0"/>
        <v>BANQUE</v>
      </c>
      <c r="J12" s="10">
        <v>10000</v>
      </c>
      <c r="K12" s="11">
        <v>1</v>
      </c>
      <c r="L12" s="11">
        <f t="shared" si="7"/>
        <v>50000</v>
      </c>
      <c r="M12" s="6"/>
      <c r="N12" s="11">
        <f t="shared" si="1"/>
        <v>0</v>
      </c>
      <c r="O12" s="6">
        <v>2</v>
      </c>
      <c r="P12" s="11">
        <f t="shared" si="2"/>
        <v>200000</v>
      </c>
      <c r="Q12" s="2">
        <f>VLOOKUP(A12,[13]TONTJANV24!$A$6:$R$39,12,0)</f>
        <v>0</v>
      </c>
      <c r="R12" s="2">
        <f>IFERROR(VLOOKUP(A12,[14]TONTJANV24!$A$7:$P$23,10,0),0)</f>
        <v>0</v>
      </c>
      <c r="S12" s="2">
        <f>IFERROR(VLOOKUP(A12,[15]TONTJANV24!$A$7:$P$20,10,0),0)</f>
        <v>0</v>
      </c>
      <c r="T12" s="20"/>
      <c r="U12" s="12"/>
      <c r="V12" s="17">
        <f t="shared" si="13"/>
        <v>260000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8">
        <f t="shared" si="3"/>
        <v>0</v>
      </c>
      <c r="AS12" s="8">
        <f t="shared" si="4"/>
        <v>0</v>
      </c>
      <c r="AT12" s="13">
        <f t="shared" si="8"/>
        <v>35000</v>
      </c>
      <c r="AU12" s="15"/>
      <c r="AW12" s="15"/>
      <c r="AX12" s="15">
        <f t="shared" si="9"/>
        <v>0</v>
      </c>
      <c r="AY12" s="15">
        <f t="shared" si="10"/>
        <v>0</v>
      </c>
      <c r="AZ12" s="15">
        <f t="shared" si="11"/>
        <v>0</v>
      </c>
      <c r="BA12" s="16">
        <f t="shared" si="14"/>
        <v>0</v>
      </c>
      <c r="BB12" s="58"/>
      <c r="BC12" s="58"/>
      <c r="BD12" s="15"/>
      <c r="BE12" s="57">
        <f t="shared" si="15"/>
        <v>0</v>
      </c>
      <c r="BF12" s="82"/>
      <c r="BG12" s="29">
        <f t="shared" si="5"/>
        <v>0</v>
      </c>
      <c r="BH12" s="29">
        <v>11</v>
      </c>
      <c r="BI12" s="15"/>
      <c r="BJ12" s="15"/>
      <c r="BK12" s="15"/>
      <c r="BL12" s="15"/>
      <c r="BM12" s="61"/>
      <c r="BP12" t="s">
        <v>120</v>
      </c>
      <c r="BQ12" t="s">
        <v>114</v>
      </c>
      <c r="BR12" s="6"/>
    </row>
    <row r="13" spans="1:70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VLOOKUP(A13,[21]HISTOBQUEJANV25!$A$6:$H$46,5,0)</f>
        <v>50000</v>
      </c>
      <c r="E13" s="102">
        <f>VLOOKUP(A13,[21]HISTOBQUEJANV25!$A$6:$H$41,4,0)</f>
        <v>0</v>
      </c>
      <c r="F13" s="102">
        <f>VLOOKUP(A13,[21]HISTOBQUEJANV25!$A$6:$H$41,6,0)</f>
        <v>0</v>
      </c>
      <c r="G13" s="9"/>
      <c r="H13" s="5">
        <f t="shared" si="12"/>
        <v>0</v>
      </c>
      <c r="I13" s="10" t="str">
        <f t="shared" si="0"/>
        <v>BANQUE</v>
      </c>
      <c r="J13" s="10"/>
      <c r="K13" s="11">
        <v>1</v>
      </c>
      <c r="L13" s="11">
        <f t="shared" si="7"/>
        <v>50000</v>
      </c>
      <c r="M13" s="6"/>
      <c r="N13" s="11">
        <f t="shared" si="1"/>
        <v>0</v>
      </c>
      <c r="O13" s="6"/>
      <c r="P13" s="11">
        <f t="shared" si="2"/>
        <v>0</v>
      </c>
      <c r="Q13" s="2">
        <f>VLOOKUP(A13,[13]TONTJANV24!$A$6:$R$39,12,0)</f>
        <v>0</v>
      </c>
      <c r="R13" s="2">
        <f>IFERROR(VLOOKUP(A13,[14]TONTJANV24!$A$7:$P$23,10,0),0)</f>
        <v>0</v>
      </c>
      <c r="S13" s="2">
        <f>IFERROR(VLOOKUP(A13,[15]TONTJANV24!$A$7:$P$20,10,0),0)</f>
        <v>0</v>
      </c>
      <c r="T13" s="20"/>
      <c r="U13" s="12"/>
      <c r="V13" s="17">
        <f t="shared" si="13"/>
        <v>50000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8">
        <f t="shared" si="3"/>
        <v>0</v>
      </c>
      <c r="AS13" s="8">
        <f t="shared" si="4"/>
        <v>0</v>
      </c>
      <c r="AT13" s="13">
        <f t="shared" si="8"/>
        <v>25000</v>
      </c>
      <c r="AU13" s="15"/>
      <c r="AW13" s="15"/>
      <c r="AX13" s="15">
        <f t="shared" si="9"/>
        <v>0</v>
      </c>
      <c r="AY13" s="15">
        <f t="shared" si="10"/>
        <v>0</v>
      </c>
      <c r="AZ13" s="15">
        <f t="shared" si="11"/>
        <v>0</v>
      </c>
      <c r="BA13" s="16">
        <f t="shared" si="14"/>
        <v>0</v>
      </c>
      <c r="BB13" s="58"/>
      <c r="BC13" s="58"/>
      <c r="BD13" s="15"/>
      <c r="BE13" s="57">
        <f t="shared" si="15"/>
        <v>0</v>
      </c>
      <c r="BF13" s="82"/>
      <c r="BG13" s="29">
        <f t="shared" si="5"/>
        <v>0</v>
      </c>
      <c r="BH13" s="29">
        <v>11</v>
      </c>
      <c r="BI13" s="15"/>
      <c r="BJ13" s="15"/>
      <c r="BK13" s="15"/>
      <c r="BL13" s="15"/>
      <c r="BM13" s="61"/>
      <c r="BP13" t="s">
        <v>145</v>
      </c>
      <c r="BQ13" t="s">
        <v>114</v>
      </c>
      <c r="BR13" s="6"/>
    </row>
    <row r="14" spans="1:70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VLOOKUP(A14,[21]HISTOBQUEJANV25!$A$6:$H$46,5,0)</f>
        <v>50000</v>
      </c>
      <c r="E14" s="102">
        <f>VLOOKUP(A14,[21]HISTOBQUEJANV25!$A$6:$H$41,4,0)</f>
        <v>0</v>
      </c>
      <c r="F14" s="102">
        <f>VLOOKUP(A14,[21]HISTOBQUEJANV25!$A$6:$H$41,6,0)</f>
        <v>0</v>
      </c>
      <c r="G14" s="9"/>
      <c r="H14" s="5">
        <v>0</v>
      </c>
      <c r="I14" s="10" t="str">
        <f t="shared" si="0"/>
        <v>BANQUE</v>
      </c>
      <c r="J14" s="10"/>
      <c r="K14" s="11">
        <v>1</v>
      </c>
      <c r="L14" s="11">
        <f t="shared" si="7"/>
        <v>50000</v>
      </c>
      <c r="M14" s="6"/>
      <c r="N14" s="11">
        <f t="shared" si="1"/>
        <v>0</v>
      </c>
      <c r="O14" s="6"/>
      <c r="P14" s="11">
        <f t="shared" si="2"/>
        <v>0</v>
      </c>
      <c r="Q14" s="2">
        <f>VLOOKUP(A14,[13]TONTJANV24!$A$6:$R$39,12,0)</f>
        <v>0</v>
      </c>
      <c r="R14" s="2">
        <f>IFERROR(VLOOKUP(A14,[14]TONTJANV24!$A$7:$P$23,10,0),0)</f>
        <v>0</v>
      </c>
      <c r="S14" s="2">
        <f>IFERROR(VLOOKUP(A14,[15]TONTJANV24!$A$7:$P$20,10,0),0)</f>
        <v>0</v>
      </c>
      <c r="T14" s="20"/>
      <c r="U14" s="12"/>
      <c r="V14" s="17">
        <f t="shared" si="13"/>
        <v>50000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8">
        <f t="shared" si="3"/>
        <v>0</v>
      </c>
      <c r="AS14" s="8">
        <f t="shared" si="4"/>
        <v>0</v>
      </c>
      <c r="AT14" s="13">
        <f t="shared" si="8"/>
        <v>25000</v>
      </c>
      <c r="AU14" s="15"/>
      <c r="AW14" s="15"/>
      <c r="AX14" s="15">
        <f t="shared" si="9"/>
        <v>0</v>
      </c>
      <c r="AY14" s="15">
        <f t="shared" si="10"/>
        <v>0</v>
      </c>
      <c r="AZ14" s="15">
        <f t="shared" si="11"/>
        <v>0</v>
      </c>
      <c r="BA14" s="16">
        <f t="shared" si="14"/>
        <v>0</v>
      </c>
      <c r="BB14" s="58"/>
      <c r="BC14" s="58"/>
      <c r="BD14" s="15"/>
      <c r="BE14" s="57">
        <f t="shared" si="15"/>
        <v>0</v>
      </c>
      <c r="BF14" s="82"/>
      <c r="BG14" s="29">
        <f t="shared" si="5"/>
        <v>0</v>
      </c>
      <c r="BH14" s="29">
        <v>11</v>
      </c>
      <c r="BI14" s="15"/>
      <c r="BJ14" s="15"/>
      <c r="BK14" s="15"/>
      <c r="BL14" s="15"/>
      <c r="BM14" s="61"/>
      <c r="BP14" t="s">
        <v>210</v>
      </c>
      <c r="BQ14" t="s">
        <v>114</v>
      </c>
      <c r="BR14" s="6"/>
    </row>
    <row r="15" spans="1:70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VLOOKUP(A15,[21]HISTOBQUEJANV25!$A$6:$H$46,5,0)</f>
        <v>125000</v>
      </c>
      <c r="E15" s="102">
        <f>VLOOKUP(A15,[21]HISTOBQUEJANV25!$A$6:$H$41,4,0)</f>
        <v>0</v>
      </c>
      <c r="F15" s="102">
        <f>VLOOKUP(A15,[21]HISTOBQUEJANV25!$A$6:$H$41,6,0)</f>
        <v>0</v>
      </c>
      <c r="G15" s="9"/>
      <c r="H15" s="5">
        <f t="shared" si="12"/>
        <v>0</v>
      </c>
      <c r="I15" s="10" t="str">
        <f t="shared" si="0"/>
        <v>BANQUE</v>
      </c>
      <c r="J15" s="10"/>
      <c r="K15" s="11">
        <v>1</v>
      </c>
      <c r="L15" s="11">
        <f t="shared" si="7"/>
        <v>50000</v>
      </c>
      <c r="M15" s="6">
        <v>1</v>
      </c>
      <c r="N15" s="11">
        <f t="shared" si="1"/>
        <v>75000</v>
      </c>
      <c r="O15" s="6"/>
      <c r="P15" s="11">
        <f t="shared" si="2"/>
        <v>0</v>
      </c>
      <c r="Q15" s="2">
        <f>VLOOKUP(A15,[13]TONTJANV24!$A$6:$R$39,12,0)</f>
        <v>0</v>
      </c>
      <c r="R15" s="2">
        <f>IFERROR(VLOOKUP(A15,[14]TONTJANV24!$A$7:$P$23,10,0),0)</f>
        <v>0</v>
      </c>
      <c r="S15" s="2">
        <f>IFERROR(VLOOKUP(A15,[15]TONTJANV24!$A$7:$P$20,10,0),0)</f>
        <v>0</v>
      </c>
      <c r="T15" s="20"/>
      <c r="U15" s="12"/>
      <c r="V15" s="17">
        <f t="shared" si="13"/>
        <v>125000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8">
        <f t="shared" si="3"/>
        <v>0</v>
      </c>
      <c r="AS15" s="8">
        <f t="shared" si="4"/>
        <v>0</v>
      </c>
      <c r="AT15" s="13">
        <f t="shared" si="8"/>
        <v>25000</v>
      </c>
      <c r="AU15" s="15"/>
      <c r="AW15" s="15"/>
      <c r="AX15" s="15">
        <f t="shared" si="9"/>
        <v>0</v>
      </c>
      <c r="AY15" s="15">
        <f t="shared" si="10"/>
        <v>0</v>
      </c>
      <c r="AZ15" s="15">
        <f t="shared" si="11"/>
        <v>0</v>
      </c>
      <c r="BA15" s="16">
        <f t="shared" si="14"/>
        <v>0</v>
      </c>
      <c r="BB15" s="58"/>
      <c r="BC15" s="58"/>
      <c r="BD15" s="15"/>
      <c r="BE15" s="57">
        <f t="shared" si="15"/>
        <v>0</v>
      </c>
      <c r="BF15" s="82"/>
      <c r="BG15" s="29">
        <f t="shared" si="5"/>
        <v>0</v>
      </c>
      <c r="BH15" s="29">
        <v>11</v>
      </c>
      <c r="BI15" s="15"/>
      <c r="BJ15" s="15"/>
      <c r="BK15" s="15"/>
      <c r="BL15" s="15"/>
      <c r="BM15" s="61"/>
      <c r="BR15" s="6"/>
    </row>
    <row r="16" spans="1:70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VLOOKUP(A16,[21]HISTOBQUEJANV25!$A$6:$H$46,5,0)</f>
        <v>250000</v>
      </c>
      <c r="E16" s="102">
        <f>VLOOKUP(A16,[21]HISTOBQUEJANV25!$A$6:$H$41,4,0)</f>
        <v>25000</v>
      </c>
      <c r="F16" s="102">
        <f>VLOOKUP(A16,[21]HISTOBQUEJANV25!$A$6:$H$41,6,0)</f>
        <v>0</v>
      </c>
      <c r="G16" s="9"/>
      <c r="H16" s="5">
        <f t="shared" si="12"/>
        <v>0</v>
      </c>
      <c r="I16" s="10" t="str">
        <f t="shared" si="0"/>
        <v>BANQUE</v>
      </c>
      <c r="J16" s="10">
        <v>50000</v>
      </c>
      <c r="K16" s="11">
        <v>1</v>
      </c>
      <c r="L16" s="11">
        <f t="shared" si="7"/>
        <v>50000</v>
      </c>
      <c r="M16" s="6">
        <v>1</v>
      </c>
      <c r="N16" s="11">
        <f t="shared" si="1"/>
        <v>75000</v>
      </c>
      <c r="O16" s="6">
        <v>1</v>
      </c>
      <c r="P16" s="11">
        <f t="shared" si="2"/>
        <v>100000</v>
      </c>
      <c r="Q16" s="2">
        <f>VLOOKUP(A16,[13]TONTJANV24!$A$6:$R$39,12,0)</f>
        <v>0</v>
      </c>
      <c r="R16" s="2">
        <f>IFERROR(VLOOKUP(A16,[14]TONTJANV24!$A$7:$P$23,10,0),0)</f>
        <v>0</v>
      </c>
      <c r="S16" s="2">
        <f>IFERROR(VLOOKUP(A16,[15]TONTJANV24!$A$7:$P$20,10,0),0)</f>
        <v>0</v>
      </c>
      <c r="T16" s="20"/>
      <c r="U16" s="12"/>
      <c r="V16" s="17">
        <f t="shared" si="13"/>
        <v>275000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8">
        <f t="shared" si="3"/>
        <v>0</v>
      </c>
      <c r="AS16" s="8">
        <f t="shared" si="4"/>
        <v>0</v>
      </c>
      <c r="AT16" s="13">
        <f t="shared" si="8"/>
        <v>75000</v>
      </c>
      <c r="AU16" s="15"/>
      <c r="AW16" s="15"/>
      <c r="AX16" s="15">
        <f t="shared" si="9"/>
        <v>0</v>
      </c>
      <c r="AY16" s="15">
        <f t="shared" si="10"/>
        <v>0</v>
      </c>
      <c r="AZ16" s="15">
        <f t="shared" si="11"/>
        <v>0</v>
      </c>
      <c r="BA16" s="16">
        <f t="shared" si="14"/>
        <v>0</v>
      </c>
      <c r="BB16" s="58"/>
      <c r="BC16" s="58"/>
      <c r="BD16" s="15"/>
      <c r="BE16" s="57">
        <f t="shared" si="15"/>
        <v>0</v>
      </c>
      <c r="BF16" s="82"/>
      <c r="BG16" s="29">
        <f t="shared" si="5"/>
        <v>0</v>
      </c>
      <c r="BH16" s="29">
        <v>11</v>
      </c>
      <c r="BI16" s="15"/>
      <c r="BJ16" s="15"/>
      <c r="BK16" s="15"/>
      <c r="BL16" s="15"/>
      <c r="BM16" s="61"/>
      <c r="BP16" s="62" t="s">
        <v>142</v>
      </c>
      <c r="BR16" s="62">
        <f>SUM(BR6:BR15)</f>
        <v>27000</v>
      </c>
    </row>
    <row r="17" spans="1:70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VLOOKUP(A17,[21]HISTOBQUEJANV25!$A$6:$H$46,5,0)</f>
        <v>150000</v>
      </c>
      <c r="E17" s="102">
        <f>VLOOKUP(A17,[21]HISTOBQUEJANV25!$A$6:$H$41,4,0)</f>
        <v>0</v>
      </c>
      <c r="F17" s="102">
        <f>VLOOKUP(A17,[21]HISTOBQUEJANV25!$A$6:$H$41,6,0)</f>
        <v>0</v>
      </c>
      <c r="G17" s="9"/>
      <c r="H17" s="5">
        <f t="shared" si="12"/>
        <v>0</v>
      </c>
      <c r="I17" s="10" t="str">
        <f t="shared" si="0"/>
        <v>BANQUE</v>
      </c>
      <c r="J17" s="10"/>
      <c r="K17" s="11">
        <v>1</v>
      </c>
      <c r="L17" s="11">
        <f t="shared" si="7"/>
        <v>50000</v>
      </c>
      <c r="M17" s="6"/>
      <c r="N17" s="11">
        <f t="shared" si="1"/>
        <v>0</v>
      </c>
      <c r="O17" s="6">
        <v>1</v>
      </c>
      <c r="P17" s="11">
        <f t="shared" si="2"/>
        <v>100000</v>
      </c>
      <c r="Q17" s="2">
        <f>VLOOKUP(A17,[13]TONTJANV24!$A$6:$R$39,12,0)</f>
        <v>0</v>
      </c>
      <c r="R17" s="2">
        <f>IFERROR(VLOOKUP(A17,[14]TONTJANV24!$A$7:$P$23,10,0),0)</f>
        <v>0</v>
      </c>
      <c r="S17" s="2">
        <f>IFERROR(VLOOKUP(A17,[15]TONTJANV24!$A$7:$P$20,10,0),0)</f>
        <v>0</v>
      </c>
      <c r="T17" s="20"/>
      <c r="U17" s="12"/>
      <c r="V17" s="17">
        <f t="shared" si="13"/>
        <v>150000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8">
        <f t="shared" si="3"/>
        <v>0</v>
      </c>
      <c r="AS17" s="8">
        <f t="shared" si="4"/>
        <v>0</v>
      </c>
      <c r="AT17" s="13">
        <f t="shared" si="8"/>
        <v>25000</v>
      </c>
      <c r="AU17" s="15"/>
      <c r="AW17" s="15"/>
      <c r="AX17" s="15">
        <f t="shared" si="9"/>
        <v>0</v>
      </c>
      <c r="AY17" s="15">
        <f t="shared" si="10"/>
        <v>0</v>
      </c>
      <c r="AZ17" s="15">
        <f t="shared" si="11"/>
        <v>0</v>
      </c>
      <c r="BA17" s="16">
        <f>SUM(AW17:AZ17)-BG17+AA17-G17+BI17+BJ17+BK17+BL17+BM17+BN17+60000</f>
        <v>160000</v>
      </c>
      <c r="BB17" s="58"/>
      <c r="BC17" s="58"/>
      <c r="BD17" s="15"/>
      <c r="BE17" s="57">
        <f t="shared" si="15"/>
        <v>160000</v>
      </c>
      <c r="BF17" s="82"/>
      <c r="BG17" s="29">
        <f t="shared" si="5"/>
        <v>0</v>
      </c>
      <c r="BH17" s="29">
        <v>11</v>
      </c>
      <c r="BI17" s="15"/>
      <c r="BJ17" s="15"/>
      <c r="BK17" s="15"/>
      <c r="BL17" s="15">
        <v>100000</v>
      </c>
      <c r="BM17" s="61"/>
      <c r="BP17" s="62"/>
      <c r="BR17" s="6"/>
    </row>
    <row r="18" spans="1:70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VLOOKUP(A18,[21]HISTOBQUEJANV25!$A$6:$H$46,5,0)</f>
        <v>160000</v>
      </c>
      <c r="E18" s="102">
        <f>VLOOKUP(A18,[21]HISTOBQUEJANV25!$A$6:$H$41,4,0)</f>
        <v>0</v>
      </c>
      <c r="F18" s="102">
        <f>VLOOKUP(A18,[21]HISTOBQUEJANV25!$A$6:$H$41,6,0)</f>
        <v>0</v>
      </c>
      <c r="G18" s="9"/>
      <c r="H18" s="5">
        <f t="shared" si="12"/>
        <v>0</v>
      </c>
      <c r="I18" s="10" t="str">
        <f t="shared" si="0"/>
        <v>BANQUE</v>
      </c>
      <c r="J18" s="10">
        <v>10000</v>
      </c>
      <c r="K18" s="11">
        <v>1</v>
      </c>
      <c r="L18" s="11">
        <f t="shared" si="7"/>
        <v>50000</v>
      </c>
      <c r="M18" s="6"/>
      <c r="N18" s="11">
        <f t="shared" si="1"/>
        <v>0</v>
      </c>
      <c r="O18" s="6">
        <v>1</v>
      </c>
      <c r="P18" s="11">
        <f t="shared" si="2"/>
        <v>100000</v>
      </c>
      <c r="Q18" s="2">
        <f>VLOOKUP(A18,[13]TONTJANV24!$A$6:$R$39,12,0)</f>
        <v>0</v>
      </c>
      <c r="R18" s="2">
        <f>IFERROR(VLOOKUP(A18,[14]TONTJANV24!$A$7:$P$23,10,0),0)</f>
        <v>0</v>
      </c>
      <c r="S18" s="2">
        <f>IFERROR(VLOOKUP(A18,[15]TONTJANV24!$A$7:$P$20,10,0),0)</f>
        <v>0</v>
      </c>
      <c r="T18" s="20"/>
      <c r="U18" s="12"/>
      <c r="V18" s="17">
        <f t="shared" si="13"/>
        <v>160000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8">
        <f t="shared" si="3"/>
        <v>0</v>
      </c>
      <c r="AS18" s="8">
        <f t="shared" si="4"/>
        <v>0</v>
      </c>
      <c r="AT18" s="13">
        <f t="shared" si="8"/>
        <v>35000</v>
      </c>
      <c r="AU18" s="15"/>
      <c r="AW18" s="15"/>
      <c r="AX18" s="15">
        <f t="shared" si="9"/>
        <v>0</v>
      </c>
      <c r="AY18" s="15">
        <f t="shared" si="10"/>
        <v>0</v>
      </c>
      <c r="AZ18" s="15">
        <f t="shared" si="11"/>
        <v>0</v>
      </c>
      <c r="BA18" s="16">
        <f t="shared" si="14"/>
        <v>0</v>
      </c>
      <c r="BB18" s="58"/>
      <c r="BC18" s="58"/>
      <c r="BD18" s="15"/>
      <c r="BE18" s="57">
        <f t="shared" si="15"/>
        <v>0</v>
      </c>
      <c r="BF18" s="82"/>
      <c r="BG18" s="29">
        <f t="shared" si="5"/>
        <v>0</v>
      </c>
      <c r="BH18" s="29">
        <v>11</v>
      </c>
      <c r="BI18" s="15"/>
      <c r="BJ18" s="15"/>
      <c r="BK18" s="15"/>
      <c r="BL18" s="15"/>
      <c r="BM18" s="61"/>
      <c r="BP18" t="s">
        <v>212</v>
      </c>
      <c r="BQ18" t="s">
        <v>211</v>
      </c>
      <c r="BR18" s="6">
        <v>300000</v>
      </c>
    </row>
    <row r="19" spans="1:70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VLOOKUP(A19,[21]HISTOBQUEJANV25!$A$6:$H$46,5,0)</f>
        <v>650000</v>
      </c>
      <c r="E19" s="102">
        <f>VLOOKUP(A19,[21]HISTOBQUEJANV25!$A$6:$H$41,4,0)</f>
        <v>0</v>
      </c>
      <c r="F19" s="102">
        <f>VLOOKUP(A19,[21]HISTOBQUEJANV25!$A$6:$H$41,6,0)</f>
        <v>0</v>
      </c>
      <c r="G19" s="9"/>
      <c r="H19" s="5">
        <f t="shared" si="12"/>
        <v>0</v>
      </c>
      <c r="I19" s="10" t="str">
        <f t="shared" si="0"/>
        <v>BANQUE</v>
      </c>
      <c r="J19" s="10">
        <v>600000</v>
      </c>
      <c r="K19" s="11">
        <v>1</v>
      </c>
      <c r="L19" s="11">
        <f t="shared" si="7"/>
        <v>50000</v>
      </c>
      <c r="M19" s="6"/>
      <c r="N19" s="11">
        <f t="shared" si="1"/>
        <v>0</v>
      </c>
      <c r="O19" s="6"/>
      <c r="P19" s="11">
        <f t="shared" si="2"/>
        <v>0</v>
      </c>
      <c r="Q19" s="2">
        <f>VLOOKUP(A19,[13]TONTJANV24!$A$6:$R$39,12,0)</f>
        <v>0</v>
      </c>
      <c r="R19" s="2">
        <f>IFERROR(VLOOKUP(A19,[14]TONTJANV24!$A$7:$P$23,10,0),0)</f>
        <v>0</v>
      </c>
      <c r="S19" s="2">
        <f>IFERROR(VLOOKUP(A19,[15]TONTJANV24!$A$7:$P$20,10,0),0)</f>
        <v>0</v>
      </c>
      <c r="T19" s="20"/>
      <c r="U19" s="12"/>
      <c r="V19" s="17">
        <f t="shared" si="13"/>
        <v>650000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8">
        <f t="shared" si="3"/>
        <v>0</v>
      </c>
      <c r="AS19" s="8">
        <f t="shared" si="4"/>
        <v>0</v>
      </c>
      <c r="AT19" s="13">
        <f t="shared" si="8"/>
        <v>625000</v>
      </c>
      <c r="AU19" s="15"/>
      <c r="AW19" s="15"/>
      <c r="AX19" s="15">
        <f t="shared" si="9"/>
        <v>0</v>
      </c>
      <c r="AY19" s="15">
        <f t="shared" si="10"/>
        <v>0</v>
      </c>
      <c r="AZ19" s="15">
        <f t="shared" si="11"/>
        <v>0</v>
      </c>
      <c r="BA19" s="16">
        <f t="shared" si="14"/>
        <v>0</v>
      </c>
      <c r="BB19" s="58"/>
      <c r="BC19" s="58"/>
      <c r="BD19" s="15"/>
      <c r="BE19" s="57">
        <f t="shared" si="15"/>
        <v>0</v>
      </c>
      <c r="BF19" s="82"/>
      <c r="BG19" s="29">
        <f t="shared" si="5"/>
        <v>0</v>
      </c>
      <c r="BH19" s="29">
        <v>11</v>
      </c>
      <c r="BI19" s="15"/>
      <c r="BJ19" s="15"/>
      <c r="BK19" s="15"/>
      <c r="BL19" s="15"/>
      <c r="BM19" s="61"/>
      <c r="BR19" s="6"/>
    </row>
    <row r="20" spans="1:70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VLOOKUP(A20,[21]HISTOBQUEJANV25!$A$6:$H$46,5,0)</f>
        <v>325000</v>
      </c>
      <c r="E20" s="102">
        <f>VLOOKUP(A20,[21]HISTOBQUEJANV25!$A$6:$H$41,4,0)</f>
        <v>0</v>
      </c>
      <c r="F20" s="102">
        <f>VLOOKUP(A20,[21]HISTOBQUEJANV25!$A$6:$H$41,6,0)</f>
        <v>0</v>
      </c>
      <c r="G20" s="9"/>
      <c r="H20" s="5">
        <f t="shared" si="12"/>
        <v>0</v>
      </c>
      <c r="I20" s="10" t="str">
        <f t="shared" si="0"/>
        <v>BANQUE</v>
      </c>
      <c r="J20" s="10"/>
      <c r="K20" s="11">
        <v>1</v>
      </c>
      <c r="L20" s="11">
        <f t="shared" si="7"/>
        <v>50000</v>
      </c>
      <c r="M20" s="6">
        <v>1</v>
      </c>
      <c r="N20" s="11">
        <f t="shared" si="1"/>
        <v>75000</v>
      </c>
      <c r="O20" s="6">
        <v>2</v>
      </c>
      <c r="P20" s="11">
        <f t="shared" si="2"/>
        <v>200000</v>
      </c>
      <c r="Q20" s="2">
        <f>VLOOKUP(A20,[13]TONTJANV24!$A$6:$R$39,12,0)</f>
        <v>0</v>
      </c>
      <c r="R20" s="2">
        <f>IFERROR(VLOOKUP(A20,[14]TONTJANV24!$A$7:$P$23,10,0),0)</f>
        <v>0</v>
      </c>
      <c r="S20" s="2">
        <f>IFERROR(VLOOKUP(A20,[15]TONTJANV24!$A$7:$P$20,10,0),0)</f>
        <v>0</v>
      </c>
      <c r="T20" s="20"/>
      <c r="U20" s="12"/>
      <c r="V20" s="17">
        <f t="shared" si="13"/>
        <v>325000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8">
        <f t="shared" si="3"/>
        <v>0</v>
      </c>
      <c r="AS20" s="8">
        <f t="shared" si="4"/>
        <v>0</v>
      </c>
      <c r="AT20" s="13">
        <f t="shared" si="8"/>
        <v>25000</v>
      </c>
      <c r="AU20" s="15"/>
      <c r="AW20" s="15"/>
      <c r="AX20" s="15">
        <f t="shared" si="9"/>
        <v>0</v>
      </c>
      <c r="AY20" s="15">
        <f t="shared" si="10"/>
        <v>0</v>
      </c>
      <c r="AZ20" s="15">
        <f t="shared" si="11"/>
        <v>0</v>
      </c>
      <c r="BA20" s="16">
        <f t="shared" si="14"/>
        <v>0</v>
      </c>
      <c r="BB20" s="58"/>
      <c r="BC20" s="58"/>
      <c r="BD20" s="15"/>
      <c r="BE20" s="57">
        <f t="shared" si="15"/>
        <v>0</v>
      </c>
      <c r="BF20" s="82"/>
      <c r="BG20" s="29">
        <f t="shared" si="5"/>
        <v>0</v>
      </c>
      <c r="BH20" s="29">
        <v>11</v>
      </c>
      <c r="BI20" s="15"/>
      <c r="BJ20" s="15"/>
      <c r="BK20" s="15"/>
      <c r="BL20" s="15"/>
      <c r="BM20" s="61"/>
      <c r="BR20" s="6"/>
    </row>
    <row r="21" spans="1:70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VLOOKUP(A21,[21]HISTOBQUEJANV25!$A$6:$H$46,5,0)</f>
        <v>50000</v>
      </c>
      <c r="E21" s="102">
        <f>VLOOKUP(A21,[21]HISTOBQUEJANV25!$A$6:$H$41,4,0)</f>
        <v>0</v>
      </c>
      <c r="F21" s="102">
        <f>VLOOKUP(A21,[21]HISTOBQUEJANV25!$A$6:$H$41,6,0)</f>
        <v>0</v>
      </c>
      <c r="G21" s="9"/>
      <c r="H21" s="5">
        <f t="shared" si="12"/>
        <v>0</v>
      </c>
      <c r="I21" s="10" t="str">
        <f t="shared" si="0"/>
        <v>BANQUE</v>
      </c>
      <c r="J21" s="10"/>
      <c r="K21" s="11">
        <v>1</v>
      </c>
      <c r="L21" s="11">
        <f t="shared" si="7"/>
        <v>50000</v>
      </c>
      <c r="M21" s="6"/>
      <c r="N21" s="11">
        <f t="shared" si="1"/>
        <v>0</v>
      </c>
      <c r="O21" s="6"/>
      <c r="P21" s="11">
        <f t="shared" si="2"/>
        <v>0</v>
      </c>
      <c r="Q21" s="2">
        <f>VLOOKUP(A21,[13]TONTJANV24!$A$6:$R$39,12,0)</f>
        <v>0</v>
      </c>
      <c r="R21" s="2">
        <f>IFERROR(VLOOKUP(A21,[14]TONTJANV24!$A$7:$P$23,10,0),0)</f>
        <v>0</v>
      </c>
      <c r="S21" s="2">
        <f>IFERROR(VLOOKUP(A21,[15]TONTJANV24!$A$7:$P$20,10,0),0)</f>
        <v>0</v>
      </c>
      <c r="T21" s="20"/>
      <c r="U21" s="12"/>
      <c r="V21" s="17">
        <f t="shared" si="13"/>
        <v>50000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8">
        <f t="shared" si="3"/>
        <v>0</v>
      </c>
      <c r="AS21" s="8">
        <f t="shared" si="4"/>
        <v>0</v>
      </c>
      <c r="AT21" s="13">
        <f t="shared" si="8"/>
        <v>25000</v>
      </c>
      <c r="AU21" s="15"/>
      <c r="AW21" s="15"/>
      <c r="AX21" s="15">
        <f t="shared" si="9"/>
        <v>0</v>
      </c>
      <c r="AY21" s="15">
        <f t="shared" si="10"/>
        <v>0</v>
      </c>
      <c r="AZ21" s="15">
        <f t="shared" si="11"/>
        <v>0</v>
      </c>
      <c r="BA21" s="16">
        <f t="shared" si="14"/>
        <v>0</v>
      </c>
      <c r="BB21" s="58"/>
      <c r="BC21" s="58"/>
      <c r="BD21" s="15"/>
      <c r="BE21" s="57">
        <f t="shared" si="15"/>
        <v>0</v>
      </c>
      <c r="BF21" s="82"/>
      <c r="BG21" s="29">
        <f t="shared" si="5"/>
        <v>0</v>
      </c>
      <c r="BH21" s="29">
        <v>11</v>
      </c>
      <c r="BI21" s="15"/>
      <c r="BJ21" s="15"/>
      <c r="BK21" s="15"/>
      <c r="BL21" s="15"/>
      <c r="BM21" s="61"/>
      <c r="BR21" s="6"/>
    </row>
    <row r="22" spans="1:70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VLOOKUP(A22,[21]HISTOBQUEJANV25!$A$6:$H$46,5,0)</f>
        <v>125000</v>
      </c>
      <c r="E22" s="102">
        <f>VLOOKUP(A22,[21]HISTOBQUEJANV25!$A$6:$H$41,4,0)</f>
        <v>0</v>
      </c>
      <c r="F22" s="102">
        <f>VLOOKUP(A22,[21]HISTOBQUEJANV25!$A$6:$H$41,6,0)</f>
        <v>0</v>
      </c>
      <c r="G22" s="9"/>
      <c r="H22" s="5">
        <f t="shared" si="12"/>
        <v>0</v>
      </c>
      <c r="I22" s="10" t="str">
        <f t="shared" si="0"/>
        <v>BANQUE</v>
      </c>
      <c r="J22" s="10"/>
      <c r="K22" s="11">
        <v>1</v>
      </c>
      <c r="L22" s="11">
        <f t="shared" si="7"/>
        <v>50000</v>
      </c>
      <c r="M22" s="6">
        <v>1</v>
      </c>
      <c r="N22" s="11">
        <f t="shared" si="1"/>
        <v>75000</v>
      </c>
      <c r="O22" s="6"/>
      <c r="P22" s="11">
        <f t="shared" si="2"/>
        <v>0</v>
      </c>
      <c r="Q22" s="2">
        <f>VLOOKUP(A22,[13]TONTJANV24!$A$6:$R$39,12,0)</f>
        <v>0</v>
      </c>
      <c r="R22" s="2">
        <f>IFERROR(VLOOKUP(A22,[14]TONTJANV24!$A$7:$P$23,10,0),0)</f>
        <v>0</v>
      </c>
      <c r="S22" s="2">
        <f>IFERROR(VLOOKUP(A22,[15]TONTJANV24!$A$7:$P$20,10,0),0)</f>
        <v>0</v>
      </c>
      <c r="T22" s="20"/>
      <c r="U22" s="12"/>
      <c r="V22" s="17">
        <f t="shared" si="13"/>
        <v>125000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8">
        <f t="shared" si="3"/>
        <v>0</v>
      </c>
      <c r="AS22" s="8">
        <f t="shared" si="4"/>
        <v>0</v>
      </c>
      <c r="AT22" s="13">
        <f t="shared" si="8"/>
        <v>25000</v>
      </c>
      <c r="AU22" s="15"/>
      <c r="AW22" s="15"/>
      <c r="AX22" s="15">
        <f t="shared" si="9"/>
        <v>0</v>
      </c>
      <c r="AY22" s="15">
        <f t="shared" si="10"/>
        <v>0</v>
      </c>
      <c r="AZ22" s="15">
        <f t="shared" si="11"/>
        <v>0</v>
      </c>
      <c r="BA22" s="16">
        <f t="shared" si="14"/>
        <v>0</v>
      </c>
      <c r="BB22" s="58"/>
      <c r="BC22" s="58"/>
      <c r="BD22" s="15"/>
      <c r="BE22" s="57">
        <f t="shared" si="15"/>
        <v>0</v>
      </c>
      <c r="BF22" s="82"/>
      <c r="BG22" s="29">
        <f t="shared" si="5"/>
        <v>0</v>
      </c>
      <c r="BH22" s="29">
        <v>11</v>
      </c>
      <c r="BI22" s="15"/>
      <c r="BJ22" s="15"/>
      <c r="BK22" s="15"/>
      <c r="BL22" s="15"/>
      <c r="BM22" s="61"/>
      <c r="BP22" s="62" t="s">
        <v>142</v>
      </c>
      <c r="BR22" s="62">
        <f>SUM(BR18:BR21)</f>
        <v>300000</v>
      </c>
    </row>
    <row r="23" spans="1:70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VLOOKUP(A23,[21]HISTOBQUEJANV25!$A$6:$H$46,5,0)</f>
        <v>260000</v>
      </c>
      <c r="E23" s="102">
        <f>VLOOKUP(A23,[21]HISTOBQUEJANV25!$A$6:$H$41,4,0)</f>
        <v>0</v>
      </c>
      <c r="F23" s="102">
        <f>VLOOKUP(A23,[21]HISTOBQUEJANV25!$A$6:$H$41,6,0)</f>
        <v>0</v>
      </c>
      <c r="G23" s="9"/>
      <c r="H23" s="5">
        <f t="shared" si="12"/>
        <v>0</v>
      </c>
      <c r="I23" s="10" t="str">
        <f t="shared" si="0"/>
        <v>BANQUE</v>
      </c>
      <c r="J23" s="10">
        <v>10000</v>
      </c>
      <c r="K23" s="11">
        <v>1</v>
      </c>
      <c r="L23" s="11">
        <f t="shared" si="7"/>
        <v>50000</v>
      </c>
      <c r="M23" s="6"/>
      <c r="N23" s="11">
        <f t="shared" si="1"/>
        <v>0</v>
      </c>
      <c r="O23" s="6">
        <v>2</v>
      </c>
      <c r="P23" s="11">
        <f t="shared" si="2"/>
        <v>200000</v>
      </c>
      <c r="Q23" s="2">
        <f>VLOOKUP(A23,[13]TONTJANV24!$A$6:$R$39,12,0)</f>
        <v>0</v>
      </c>
      <c r="R23" s="2">
        <f>IFERROR(VLOOKUP(A23,[14]TONTJANV24!$A$7:$P$23,10,0),0)</f>
        <v>0</v>
      </c>
      <c r="S23" s="2">
        <f>IFERROR(VLOOKUP(A23,[15]TONTJANV24!$A$7:$P$20,10,0),0)</f>
        <v>0</v>
      </c>
      <c r="T23" s="20"/>
      <c r="U23" s="12"/>
      <c r="V23" s="17">
        <f t="shared" si="13"/>
        <v>260000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8">
        <f t="shared" si="3"/>
        <v>0</v>
      </c>
      <c r="AS23" s="8">
        <f t="shared" si="4"/>
        <v>0</v>
      </c>
      <c r="AT23" s="13">
        <f t="shared" si="8"/>
        <v>35000</v>
      </c>
      <c r="AU23" s="15"/>
      <c r="AW23" s="15"/>
      <c r="AX23" s="15">
        <f t="shared" si="9"/>
        <v>0</v>
      </c>
      <c r="AY23" s="15">
        <f t="shared" si="10"/>
        <v>0</v>
      </c>
      <c r="AZ23" s="15">
        <f t="shared" si="11"/>
        <v>0</v>
      </c>
      <c r="BA23" s="16">
        <f t="shared" si="14"/>
        <v>0</v>
      </c>
      <c r="BB23" s="58"/>
      <c r="BC23" s="58"/>
      <c r="BD23" s="15"/>
      <c r="BE23" s="57">
        <f>IF(BA23=0,(BA23-BB23-BD23),(BA23-BB23-BC23-BD23))+G23+56000</f>
        <v>56000</v>
      </c>
      <c r="BF23" s="82"/>
      <c r="BG23" s="29">
        <f t="shared" si="5"/>
        <v>0</v>
      </c>
      <c r="BH23" s="29">
        <v>11</v>
      </c>
      <c r="BI23" s="15"/>
      <c r="BJ23" s="15"/>
      <c r="BK23" s="15"/>
      <c r="BL23" s="15"/>
      <c r="BM23" s="61"/>
    </row>
    <row r="24" spans="1:70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VLOOKUP(A24,[21]HISTOBQUEJANV25!$A$6:$H$46,5,0)</f>
        <v>240000</v>
      </c>
      <c r="E24" s="102">
        <f>VLOOKUP(A24,[21]HISTOBQUEJANV25!$A$6:$H$41,4,0)</f>
        <v>0</v>
      </c>
      <c r="F24" s="102">
        <f>VLOOKUP(A24,[21]HISTOBQUEJANV25!$A$6:$H$41,6,0)</f>
        <v>0</v>
      </c>
      <c r="G24" s="9"/>
      <c r="H24" s="5">
        <f t="shared" si="12"/>
        <v>0</v>
      </c>
      <c r="I24" s="10" t="str">
        <f t="shared" si="0"/>
        <v>BANQUE</v>
      </c>
      <c r="J24" s="10">
        <v>15000</v>
      </c>
      <c r="K24" s="11">
        <v>1</v>
      </c>
      <c r="L24" s="11">
        <f t="shared" si="7"/>
        <v>50000</v>
      </c>
      <c r="M24" s="6">
        <v>1</v>
      </c>
      <c r="N24" s="11">
        <f t="shared" si="1"/>
        <v>75000</v>
      </c>
      <c r="O24" s="6">
        <v>1</v>
      </c>
      <c r="P24" s="11">
        <f t="shared" si="2"/>
        <v>100000</v>
      </c>
      <c r="Q24" s="2">
        <f>VLOOKUP(A24,[13]TONTJANV24!$A$6:$R$39,12,0)</f>
        <v>0</v>
      </c>
      <c r="R24" s="2">
        <f>IFERROR(VLOOKUP(A24,[14]TONTJANV24!$A$7:$P$23,10,0),0)</f>
        <v>0</v>
      </c>
      <c r="S24" s="2">
        <f>IFERROR(VLOOKUP(A24,[15]TONTJANV24!$A$7:$P$20,10,0),0)</f>
        <v>0</v>
      </c>
      <c r="T24" s="20"/>
      <c r="U24" s="12"/>
      <c r="V24" s="17">
        <f t="shared" si="13"/>
        <v>240000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8">
        <f t="shared" si="3"/>
        <v>0</v>
      </c>
      <c r="AS24" s="8">
        <f t="shared" si="4"/>
        <v>0</v>
      </c>
      <c r="AT24" s="13">
        <f t="shared" si="8"/>
        <v>40000</v>
      </c>
      <c r="AU24" s="15"/>
      <c r="AW24" s="15"/>
      <c r="AX24" s="15">
        <f t="shared" si="9"/>
        <v>0</v>
      </c>
      <c r="AY24" s="15">
        <f t="shared" si="10"/>
        <v>0</v>
      </c>
      <c r="AZ24" s="15">
        <f>IF(AF24=0,AL24,(1*100000*12)+(AL24)-AF24)</f>
        <v>0</v>
      </c>
      <c r="BA24" s="16">
        <f t="shared" si="14"/>
        <v>0</v>
      </c>
      <c r="BB24" s="58"/>
      <c r="BC24" s="58"/>
      <c r="BD24" s="15"/>
      <c r="BE24" s="57">
        <f t="shared" si="15"/>
        <v>0</v>
      </c>
      <c r="BF24" s="82"/>
      <c r="BG24" s="29">
        <f t="shared" si="5"/>
        <v>0</v>
      </c>
      <c r="BH24" s="29">
        <v>11</v>
      </c>
      <c r="BI24" s="15"/>
      <c r="BJ24" s="15"/>
      <c r="BK24" s="15"/>
      <c r="BL24" s="15"/>
      <c r="BM24" s="61"/>
      <c r="BP24" t="s">
        <v>197</v>
      </c>
      <c r="BQ24" t="s">
        <v>143</v>
      </c>
      <c r="BR24" s="6">
        <v>200000</v>
      </c>
    </row>
    <row r="25" spans="1:70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VLOOKUP(A25,[21]HISTOBQUEJANV25!$A$6:$H$46,5,0)</f>
        <v>225000</v>
      </c>
      <c r="E25" s="102">
        <f>VLOOKUP(A25,[21]HISTOBQUEJANV25!$A$6:$H$41,4,0)</f>
        <v>25000</v>
      </c>
      <c r="F25" s="102">
        <f>VLOOKUP(A25,[21]HISTOBQUEJANV25!$A$6:$H$41,6,0)</f>
        <v>0</v>
      </c>
      <c r="G25" s="9"/>
      <c r="H25" s="5">
        <f t="shared" si="12"/>
        <v>0</v>
      </c>
      <c r="I25" s="10" t="str">
        <f t="shared" si="0"/>
        <v>BANQUE</v>
      </c>
      <c r="J25" s="10"/>
      <c r="K25" s="11">
        <v>1</v>
      </c>
      <c r="L25" s="11">
        <f t="shared" si="7"/>
        <v>50000</v>
      </c>
      <c r="M25" s="6"/>
      <c r="N25" s="11">
        <f t="shared" si="1"/>
        <v>0</v>
      </c>
      <c r="O25" s="6">
        <v>2</v>
      </c>
      <c r="P25" s="11">
        <f t="shared" si="2"/>
        <v>200000</v>
      </c>
      <c r="Q25" s="2">
        <f>VLOOKUP(A25,[13]TONTJANV24!$A$6:$R$39,12,0)</f>
        <v>0</v>
      </c>
      <c r="R25" s="2">
        <f>IFERROR(VLOOKUP(A25,[14]TONTJANV24!$A$7:$P$23,10,0),0)</f>
        <v>0</v>
      </c>
      <c r="S25" s="2">
        <f>IFERROR(VLOOKUP(A25,[15]TONTJANV24!$A$7:$P$20,10,0),0)</f>
        <v>0</v>
      </c>
      <c r="T25" s="20"/>
      <c r="U25" s="12"/>
      <c r="V25" s="17">
        <f t="shared" si="13"/>
        <v>250000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8">
        <f t="shared" si="3"/>
        <v>0</v>
      </c>
      <c r="AS25" s="8">
        <f t="shared" si="4"/>
        <v>0</v>
      </c>
      <c r="AT25" s="13">
        <f t="shared" si="8"/>
        <v>25000</v>
      </c>
      <c r="AU25" s="15"/>
      <c r="AW25" s="15"/>
      <c r="AX25" s="15">
        <f t="shared" si="9"/>
        <v>0</v>
      </c>
      <c r="AY25" s="15">
        <f t="shared" si="10"/>
        <v>0</v>
      </c>
      <c r="AZ25" s="15">
        <f t="shared" si="11"/>
        <v>0</v>
      </c>
      <c r="BA25" s="16">
        <f t="shared" si="14"/>
        <v>0</v>
      </c>
      <c r="BB25" s="58"/>
      <c r="BC25" s="58"/>
      <c r="BD25" s="15"/>
      <c r="BE25" s="57">
        <f t="shared" si="15"/>
        <v>0</v>
      </c>
      <c r="BF25" s="82"/>
      <c r="BG25" s="29">
        <f t="shared" si="5"/>
        <v>0</v>
      </c>
      <c r="BH25" s="29">
        <v>11</v>
      </c>
      <c r="BI25" s="15"/>
      <c r="BJ25" s="15"/>
      <c r="BK25" s="15"/>
      <c r="BL25" s="15"/>
      <c r="BM25" s="61"/>
      <c r="BP25" t="s">
        <v>204</v>
      </c>
      <c r="BQ25" t="s">
        <v>143</v>
      </c>
      <c r="BR25" s="6"/>
    </row>
    <row r="26" spans="1:70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VLOOKUP(A26,[21]HISTOBQUEJANV25!$A$6:$H$46,5,0)</f>
        <v>50000</v>
      </c>
      <c r="E26" s="102">
        <f>VLOOKUP(A26,[21]HISTOBQUEJANV25!$A$6:$H$41,4,0)</f>
        <v>0</v>
      </c>
      <c r="F26" s="102">
        <f>VLOOKUP(A26,[21]HISTOBQUEJANV25!$A$6:$H$41,6,0)</f>
        <v>0</v>
      </c>
      <c r="G26" s="9"/>
      <c r="H26" s="5">
        <f>IF(I26="ESPECES",3000,0)</f>
        <v>0</v>
      </c>
      <c r="I26" s="10" t="str">
        <f t="shared" si="0"/>
        <v>BANQUE</v>
      </c>
      <c r="J26" s="10"/>
      <c r="K26" s="11">
        <v>1</v>
      </c>
      <c r="L26" s="11">
        <f t="shared" si="7"/>
        <v>50000</v>
      </c>
      <c r="M26" s="6"/>
      <c r="N26" s="11">
        <f t="shared" si="1"/>
        <v>0</v>
      </c>
      <c r="O26" s="6"/>
      <c r="P26" s="11">
        <f t="shared" si="2"/>
        <v>0</v>
      </c>
      <c r="Q26" s="2">
        <f>VLOOKUP(A26,[13]TONTJANV24!$A$6:$R$39,12,0)</f>
        <v>0</v>
      </c>
      <c r="R26" s="2">
        <f>IFERROR(VLOOKUP(A26,[14]TONTJANV24!$A$7:$P$23,10,0),0)</f>
        <v>0</v>
      </c>
      <c r="S26" s="2">
        <f>IFERROR(VLOOKUP(A26,[15]TONTJANV24!$A$7:$P$20,10,0),0)</f>
        <v>0</v>
      </c>
      <c r="T26" s="20"/>
      <c r="U26" s="12"/>
      <c r="V26" s="17">
        <f t="shared" si="13"/>
        <v>50000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8">
        <f t="shared" si="3"/>
        <v>0</v>
      </c>
      <c r="AS26" s="8">
        <f t="shared" si="4"/>
        <v>0</v>
      </c>
      <c r="AT26" s="13">
        <f t="shared" si="8"/>
        <v>25000</v>
      </c>
      <c r="AU26" s="15"/>
      <c r="AW26" s="15"/>
      <c r="AX26" s="15">
        <f t="shared" si="9"/>
        <v>0</v>
      </c>
      <c r="AY26" s="15">
        <f t="shared" si="10"/>
        <v>0</v>
      </c>
      <c r="AZ26" s="15">
        <f t="shared" si="11"/>
        <v>0</v>
      </c>
      <c r="BA26" s="16">
        <f t="shared" si="14"/>
        <v>0</v>
      </c>
      <c r="BB26" s="58"/>
      <c r="BC26" s="58"/>
      <c r="BD26" s="15"/>
      <c r="BE26" s="57">
        <f t="shared" si="15"/>
        <v>0</v>
      </c>
      <c r="BF26" s="82"/>
      <c r="BG26" s="29">
        <f t="shared" si="5"/>
        <v>0</v>
      </c>
      <c r="BH26" s="29">
        <v>11</v>
      </c>
      <c r="BI26" s="15"/>
      <c r="BJ26" s="15"/>
      <c r="BK26" s="15"/>
      <c r="BL26" s="15"/>
      <c r="BM26" s="61"/>
      <c r="BP26" t="s">
        <v>144</v>
      </c>
      <c r="BQ26" t="s">
        <v>143</v>
      </c>
      <c r="BR26" s="62"/>
    </row>
    <row r="27" spans="1:70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VLOOKUP(A27,[21]HISTOBQUEJANV25!$A$6:$H$46,5,0)</f>
        <v>50000</v>
      </c>
      <c r="E27" s="102">
        <f>VLOOKUP(A27,[21]HISTOBQUEJANV25!$A$6:$H$41,4,0)</f>
        <v>0</v>
      </c>
      <c r="F27" s="102">
        <f>VLOOKUP(A27,[21]HISTOBQUEJANV25!$A$6:$H$41,6,0)</f>
        <v>0</v>
      </c>
      <c r="G27" s="9"/>
      <c r="H27" s="5">
        <f t="shared" si="12"/>
        <v>0</v>
      </c>
      <c r="I27" s="10" t="str">
        <f t="shared" si="0"/>
        <v>BANQUE</v>
      </c>
      <c r="J27" s="10"/>
      <c r="K27" s="11">
        <v>1</v>
      </c>
      <c r="L27" s="11">
        <f t="shared" si="7"/>
        <v>50000</v>
      </c>
      <c r="M27" s="6"/>
      <c r="N27" s="11">
        <f t="shared" si="1"/>
        <v>0</v>
      </c>
      <c r="O27" s="6"/>
      <c r="P27" s="11">
        <f t="shared" si="2"/>
        <v>0</v>
      </c>
      <c r="Q27" s="2">
        <f>VLOOKUP(A27,[13]TONTJANV24!$A$6:$R$39,12,0)</f>
        <v>0</v>
      </c>
      <c r="R27" s="2">
        <f>IFERROR(VLOOKUP(A27,[14]TONTJANV24!$A$7:$P$23,10,0),0)</f>
        <v>0</v>
      </c>
      <c r="S27" s="2">
        <f>IFERROR(VLOOKUP(A27,[15]TONTJANV24!$A$7:$P$20,10,0),0)</f>
        <v>0</v>
      </c>
      <c r="T27" s="20"/>
      <c r="U27" s="12"/>
      <c r="V27" s="17">
        <f t="shared" si="13"/>
        <v>50000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8">
        <f t="shared" si="3"/>
        <v>0</v>
      </c>
      <c r="AS27" s="8">
        <f t="shared" si="4"/>
        <v>0</v>
      </c>
      <c r="AT27" s="13">
        <f t="shared" si="8"/>
        <v>25000</v>
      </c>
      <c r="AU27" s="15"/>
      <c r="AW27" s="15"/>
      <c r="AX27" s="15">
        <f t="shared" si="9"/>
        <v>0</v>
      </c>
      <c r="AY27" s="15">
        <f t="shared" si="10"/>
        <v>0</v>
      </c>
      <c r="AZ27" s="15">
        <f t="shared" si="11"/>
        <v>0</v>
      </c>
      <c r="BA27" s="16">
        <f t="shared" si="14"/>
        <v>0</v>
      </c>
      <c r="BB27" s="58"/>
      <c r="BC27" s="58"/>
      <c r="BD27" s="15"/>
      <c r="BE27" s="57">
        <f t="shared" si="15"/>
        <v>0</v>
      </c>
      <c r="BF27" s="82"/>
      <c r="BG27" s="29">
        <f t="shared" si="5"/>
        <v>0</v>
      </c>
      <c r="BH27" s="29">
        <v>11</v>
      </c>
      <c r="BI27" s="15"/>
      <c r="BJ27" s="15"/>
      <c r="BK27" s="15"/>
      <c r="BL27" s="15"/>
      <c r="BM27" s="61"/>
      <c r="BR27" s="6"/>
    </row>
    <row r="28" spans="1:70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VLOOKUP(A28,[21]HISTOBQUEJANV25!$A$6:$H$46,5,0)</f>
        <v>125000</v>
      </c>
      <c r="E28" s="102">
        <f>VLOOKUP(A28,[21]HISTOBQUEJANV25!$A$6:$H$41,4,0)</f>
        <v>0</v>
      </c>
      <c r="F28" s="102">
        <f>VLOOKUP(A28,[21]HISTOBQUEJANV25!$A$6:$H$41,6,0)</f>
        <v>0</v>
      </c>
      <c r="G28" s="9"/>
      <c r="H28" s="5">
        <f t="shared" si="12"/>
        <v>0</v>
      </c>
      <c r="I28" s="10" t="str">
        <f t="shared" si="0"/>
        <v>BANQUE</v>
      </c>
      <c r="J28" s="10"/>
      <c r="K28" s="11">
        <v>1</v>
      </c>
      <c r="L28" s="11">
        <f t="shared" si="7"/>
        <v>50000</v>
      </c>
      <c r="M28" s="6">
        <v>1</v>
      </c>
      <c r="N28" s="11">
        <f t="shared" si="1"/>
        <v>75000</v>
      </c>
      <c r="O28" s="6"/>
      <c r="P28" s="11">
        <f t="shared" si="2"/>
        <v>0</v>
      </c>
      <c r="Q28" s="2">
        <f>VLOOKUP(A28,[13]TONTJANV24!$A$6:$R$39,12,0)</f>
        <v>0</v>
      </c>
      <c r="R28" s="2">
        <f>IFERROR(VLOOKUP(A28,[14]TONTJANV24!$A$7:$P$23,10,0),0)</f>
        <v>0</v>
      </c>
      <c r="S28" s="2">
        <f>IFERROR(VLOOKUP(A28,[15]TONTJANV24!$A$7:$P$20,10,0),0)</f>
        <v>0</v>
      </c>
      <c r="T28" s="20"/>
      <c r="U28" s="12"/>
      <c r="V28" s="17">
        <f t="shared" si="13"/>
        <v>125000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8">
        <f t="shared" si="3"/>
        <v>0</v>
      </c>
      <c r="AS28" s="8">
        <f t="shared" si="4"/>
        <v>0</v>
      </c>
      <c r="AT28" s="13">
        <f t="shared" si="8"/>
        <v>25000</v>
      </c>
      <c r="AU28" s="15"/>
      <c r="AW28" s="15"/>
      <c r="AX28" s="15">
        <f t="shared" si="9"/>
        <v>0</v>
      </c>
      <c r="AY28" s="15">
        <f t="shared" si="10"/>
        <v>0</v>
      </c>
      <c r="AZ28" s="15">
        <f t="shared" si="11"/>
        <v>0</v>
      </c>
      <c r="BA28" s="16">
        <f t="shared" si="14"/>
        <v>0</v>
      </c>
      <c r="BB28" s="58"/>
      <c r="BC28" s="58"/>
      <c r="BD28" s="15"/>
      <c r="BE28" s="57">
        <f t="shared" si="15"/>
        <v>0</v>
      </c>
      <c r="BF28" s="82"/>
      <c r="BG28" s="29">
        <f t="shared" si="5"/>
        <v>0</v>
      </c>
      <c r="BH28" s="29">
        <v>11</v>
      </c>
      <c r="BI28" s="15"/>
      <c r="BJ28" s="15"/>
      <c r="BK28" s="15"/>
      <c r="BL28" s="15"/>
      <c r="BM28" s="61"/>
      <c r="BP28" s="62" t="s">
        <v>142</v>
      </c>
      <c r="BR28" s="62">
        <f>SUM(BR24:BR26)</f>
        <v>200000</v>
      </c>
    </row>
    <row r="29" spans="1:70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VLOOKUP(A29,[21]HISTOBQUEJANV25!$A$6:$H$46,5,0)</f>
        <v>50000</v>
      </c>
      <c r="E29" s="102">
        <f>VLOOKUP(A29,[21]HISTOBQUEJANV25!$A$6:$H$41,4,0)</f>
        <v>0</v>
      </c>
      <c r="F29" s="102">
        <f>VLOOKUP(A29,[21]HISTOBQUEJANV25!$A$6:$H$41,6,0)</f>
        <v>0</v>
      </c>
      <c r="G29" s="9"/>
      <c r="H29" s="5">
        <f t="shared" si="12"/>
        <v>0</v>
      </c>
      <c r="I29" s="10" t="str">
        <f t="shared" si="0"/>
        <v>BANQUE</v>
      </c>
      <c r="J29" s="10"/>
      <c r="K29" s="11">
        <v>1</v>
      </c>
      <c r="L29" s="11">
        <f t="shared" si="7"/>
        <v>50000</v>
      </c>
      <c r="M29" s="6"/>
      <c r="N29" s="11">
        <f t="shared" si="1"/>
        <v>0</v>
      </c>
      <c r="O29" s="6"/>
      <c r="P29" s="11">
        <f t="shared" si="2"/>
        <v>0</v>
      </c>
      <c r="Q29" s="2">
        <f>VLOOKUP(A29,[13]TONTJANV24!$A$6:$R$39,12,0)</f>
        <v>0</v>
      </c>
      <c r="R29" s="2">
        <f>IFERROR(VLOOKUP(A29,[14]TONTJANV24!$A$7:$P$23,10,0),0)</f>
        <v>0</v>
      </c>
      <c r="S29" s="2">
        <f>IFERROR(VLOOKUP(A29,[15]TONTJANV24!$A$7:$P$20,10,0),0)</f>
        <v>0</v>
      </c>
      <c r="T29" s="20"/>
      <c r="U29" s="12"/>
      <c r="V29" s="17">
        <f t="shared" si="13"/>
        <v>50000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8">
        <f t="shared" si="3"/>
        <v>0</v>
      </c>
      <c r="AS29" s="8">
        <f t="shared" si="4"/>
        <v>0</v>
      </c>
      <c r="AT29" s="13">
        <f t="shared" si="8"/>
        <v>25000</v>
      </c>
      <c r="AU29" s="15"/>
      <c r="AW29" s="15"/>
      <c r="AX29" s="15">
        <f t="shared" si="9"/>
        <v>0</v>
      </c>
      <c r="AY29" s="15">
        <f t="shared" si="10"/>
        <v>0</v>
      </c>
      <c r="AZ29" s="15">
        <f t="shared" si="11"/>
        <v>0</v>
      </c>
      <c r="BA29" s="16">
        <f t="shared" si="14"/>
        <v>0</v>
      </c>
      <c r="BB29" s="58"/>
      <c r="BC29" s="58"/>
      <c r="BD29" s="15"/>
      <c r="BE29" s="57">
        <f t="shared" si="15"/>
        <v>0</v>
      </c>
      <c r="BF29" s="82"/>
      <c r="BG29" s="29">
        <f t="shared" si="5"/>
        <v>0</v>
      </c>
      <c r="BH29" s="29">
        <v>11</v>
      </c>
      <c r="BI29" s="15"/>
      <c r="BJ29" s="15"/>
      <c r="BK29" s="15"/>
      <c r="BL29" s="15"/>
      <c r="BM29" s="61"/>
      <c r="BP29" s="62"/>
      <c r="BR29" s="6"/>
    </row>
    <row r="30" spans="1:70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VLOOKUP(A30,[21]HISTOBQUEJANV25!$A$6:$H$46,5,0)</f>
        <v>250000</v>
      </c>
      <c r="E30" s="102">
        <f>VLOOKUP(A30,[21]HISTOBQUEJANV25!$A$6:$H$41,4,0)</f>
        <v>0</v>
      </c>
      <c r="F30" s="102">
        <f>VLOOKUP(A30,[21]HISTOBQUEJANV25!$A$6:$H$41,6,0)</f>
        <v>0</v>
      </c>
      <c r="G30" s="9"/>
      <c r="H30" s="5">
        <f t="shared" si="12"/>
        <v>0</v>
      </c>
      <c r="I30" s="10" t="str">
        <f t="shared" si="0"/>
        <v>BANQUE</v>
      </c>
      <c r="J30" s="10"/>
      <c r="K30" s="11">
        <v>1</v>
      </c>
      <c r="L30" s="11">
        <f t="shared" si="7"/>
        <v>50000</v>
      </c>
      <c r="M30" s="6"/>
      <c r="N30" s="11">
        <f t="shared" si="1"/>
        <v>0</v>
      </c>
      <c r="O30" s="6">
        <v>2</v>
      </c>
      <c r="P30" s="11">
        <f t="shared" si="2"/>
        <v>200000</v>
      </c>
      <c r="Q30" s="2">
        <f>VLOOKUP(A30,[13]TONTJANV24!$A$6:$R$39,12,0)</f>
        <v>0</v>
      </c>
      <c r="R30" s="2">
        <f>IFERROR(VLOOKUP(A30,[14]TONTJANV24!$A$7:$P$23,10,0),0)</f>
        <v>0</v>
      </c>
      <c r="S30" s="2">
        <f>IFERROR(VLOOKUP(A30,[15]TONTJANV24!$A$7:$P$20,10,0),0)</f>
        <v>0</v>
      </c>
      <c r="T30" s="20"/>
      <c r="U30" s="12"/>
      <c r="V30" s="17">
        <f t="shared" si="13"/>
        <v>250000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8">
        <f t="shared" si="3"/>
        <v>0</v>
      </c>
      <c r="AS30" s="8">
        <f t="shared" si="4"/>
        <v>0</v>
      </c>
      <c r="AT30" s="13">
        <f t="shared" si="8"/>
        <v>25000</v>
      </c>
      <c r="AU30" s="15"/>
      <c r="AW30" s="15"/>
      <c r="AX30" s="15">
        <f t="shared" si="9"/>
        <v>0</v>
      </c>
      <c r="AY30" s="15">
        <f t="shared" si="10"/>
        <v>0</v>
      </c>
      <c r="AZ30" s="15">
        <f t="shared" si="11"/>
        <v>0</v>
      </c>
      <c r="BA30" s="16">
        <f t="shared" si="14"/>
        <v>0</v>
      </c>
      <c r="BB30" s="58"/>
      <c r="BC30" s="58"/>
      <c r="BD30" s="15"/>
      <c r="BE30" s="57">
        <f t="shared" si="15"/>
        <v>0</v>
      </c>
      <c r="BF30" s="82"/>
      <c r="BG30" s="29">
        <f t="shared" si="5"/>
        <v>0</v>
      </c>
      <c r="BH30" s="29">
        <v>11</v>
      </c>
      <c r="BI30" s="15"/>
      <c r="BJ30" s="15"/>
      <c r="BK30" s="15"/>
      <c r="BL30" s="15"/>
      <c r="BM30" s="61"/>
      <c r="BP30" t="s">
        <v>128</v>
      </c>
      <c r="BQ30" t="s">
        <v>50</v>
      </c>
      <c r="BR30" s="6"/>
    </row>
    <row r="31" spans="1:70" ht="18.5" x14ac:dyDescent="0.45">
      <c r="A31" s="21" t="s">
        <v>33</v>
      </c>
      <c r="B31" s="1" t="str">
        <f>VLOOKUP(A31,[11]LISTADHERENT!A$5:H$50,3,0)</f>
        <v>SIMO FONGANG ERIC</v>
      </c>
      <c r="C31" s="5" t="e">
        <f t="shared" si="6"/>
        <v>#N/A</v>
      </c>
      <c r="D31" s="9">
        <f>VLOOKUP(A31,[21]HISTOBQUEJANV25!$A$6:$H$46,5,0)</f>
        <v>50000</v>
      </c>
      <c r="E31" s="102">
        <f>VLOOKUP(A31,[21]HISTOBQUEJANV25!$A$6:$H$41,4,0)</f>
        <v>0</v>
      </c>
      <c r="F31" s="102">
        <f>VLOOKUP(A31,[21]HISTOBQUEJANV25!$A$6:$H$41,6,0)</f>
        <v>0</v>
      </c>
      <c r="G31" s="9"/>
      <c r="H31" s="5">
        <f t="shared" si="12"/>
        <v>0</v>
      </c>
      <c r="I31" s="10" t="str">
        <f t="shared" si="0"/>
        <v>BANQUE</v>
      </c>
      <c r="J31" s="10"/>
      <c r="K31" s="11">
        <v>1</v>
      </c>
      <c r="L31" s="11">
        <f t="shared" si="7"/>
        <v>50000</v>
      </c>
      <c r="M31" s="6"/>
      <c r="N31" s="11"/>
      <c r="O31" s="6"/>
      <c r="P31" s="11"/>
      <c r="Q31" s="2" t="e">
        <f>VLOOKUP(A31,[13]TONTJANV24!$A$6:$R$39,12,0)</f>
        <v>#N/A</v>
      </c>
      <c r="R31" s="2">
        <f>IFERROR(VLOOKUP(A31,[14]TONTJANV24!$A$7:$P$23,10,0),0)</f>
        <v>0</v>
      </c>
      <c r="S31" s="2">
        <f>IFERROR(VLOOKUP(A31,[15]TONTJANV24!$A$7:$P$20,10,0),0)</f>
        <v>0</v>
      </c>
      <c r="T31" s="20"/>
      <c r="U31" s="12"/>
      <c r="V31" s="17" t="e">
        <f t="shared" si="13"/>
        <v>#N/A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8"/>
      <c r="AS31" s="8"/>
      <c r="AT31" s="13"/>
      <c r="AU31" s="15"/>
      <c r="AW31" s="15"/>
      <c r="AX31" s="15"/>
      <c r="AY31" s="15"/>
      <c r="AZ31" s="15"/>
      <c r="BA31" s="16"/>
      <c r="BB31" s="58"/>
      <c r="BC31" s="58"/>
      <c r="BD31" s="15"/>
      <c r="BE31" s="57"/>
      <c r="BF31" s="82"/>
      <c r="BG31" s="29"/>
      <c r="BH31" s="29"/>
      <c r="BI31" s="15"/>
      <c r="BJ31" s="15"/>
      <c r="BK31" s="15"/>
      <c r="BL31" s="15"/>
      <c r="BM31" s="61"/>
      <c r="BR31" s="6"/>
    </row>
    <row r="32" spans="1:70" ht="18.5" x14ac:dyDescent="0.45">
      <c r="A32" s="1" t="s">
        <v>37</v>
      </c>
      <c r="B32" s="1" t="str">
        <f>VLOOKUP(A32,[11]LISTADHERENT!A$5:H$50,3,0)</f>
        <v>SIMO PIERRE</v>
      </c>
      <c r="C32" s="5">
        <f t="shared" si="6"/>
        <v>0</v>
      </c>
      <c r="D32" s="9">
        <f>VLOOKUP(A32,[21]HISTOBQUEJANV25!$A$6:$H$46,5,0)</f>
        <v>150000</v>
      </c>
      <c r="E32" s="102">
        <f>VLOOKUP(A32,[21]HISTOBQUEJANV25!$A$6:$H$41,4,0)</f>
        <v>0</v>
      </c>
      <c r="F32" s="102">
        <f>VLOOKUP(A32,[21]HISTOBQUEJANV25!$A$6:$H$41,6,0)</f>
        <v>0</v>
      </c>
      <c r="G32" s="9"/>
      <c r="H32" s="5">
        <f t="shared" si="12"/>
        <v>0</v>
      </c>
      <c r="I32" s="10" t="str">
        <f t="shared" si="0"/>
        <v>BANQUE</v>
      </c>
      <c r="J32" s="10"/>
      <c r="K32" s="11">
        <v>1</v>
      </c>
      <c r="L32" s="11">
        <f t="shared" si="7"/>
        <v>50000</v>
      </c>
      <c r="M32" s="6"/>
      <c r="N32" s="11">
        <f t="shared" si="1"/>
        <v>0</v>
      </c>
      <c r="O32" s="6">
        <v>1</v>
      </c>
      <c r="P32" s="11">
        <f t="shared" si="2"/>
        <v>100000</v>
      </c>
      <c r="Q32" s="2">
        <f>VLOOKUP(A32,[13]TONTJANV24!$A$6:$R$39,12,0)</f>
        <v>0</v>
      </c>
      <c r="R32" s="2">
        <f>IFERROR(VLOOKUP(A32,[14]TONTJANV24!$A$7:$P$23,10,0),0)</f>
        <v>0</v>
      </c>
      <c r="S32" s="2">
        <f>IFERROR(VLOOKUP(A32,[15]TONTJANV24!$A$7:$P$20,10,0),0)</f>
        <v>0</v>
      </c>
      <c r="T32" s="20"/>
      <c r="U32" s="12"/>
      <c r="V32" s="17">
        <f t="shared" si="13"/>
        <v>150000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8">
        <f t="shared" si="3"/>
        <v>0</v>
      </c>
      <c r="AS32" s="8">
        <f t="shared" si="4"/>
        <v>0</v>
      </c>
      <c r="AT32" s="13">
        <f t="shared" si="8"/>
        <v>25000</v>
      </c>
      <c r="AU32" s="15"/>
      <c r="AW32" s="15"/>
      <c r="AX32" s="15">
        <f t="shared" si="9"/>
        <v>0</v>
      </c>
      <c r="AY32" s="15">
        <f t="shared" si="10"/>
        <v>0</v>
      </c>
      <c r="AZ32" s="15">
        <f t="shared" si="11"/>
        <v>0</v>
      </c>
      <c r="BA32" s="16">
        <f t="shared" si="14"/>
        <v>0</v>
      </c>
      <c r="BB32" s="58"/>
      <c r="BC32" s="58"/>
      <c r="BD32" s="15"/>
      <c r="BE32" s="57">
        <f t="shared" si="15"/>
        <v>0</v>
      </c>
      <c r="BF32" s="82"/>
      <c r="BG32" s="29">
        <f t="shared" si="5"/>
        <v>0</v>
      </c>
      <c r="BH32" s="29">
        <v>11</v>
      </c>
      <c r="BI32" s="15"/>
      <c r="BJ32" s="15"/>
      <c r="BK32" s="15"/>
      <c r="BL32" s="15"/>
      <c r="BM32" s="61"/>
      <c r="BP32" t="s">
        <v>129</v>
      </c>
      <c r="BQ32" t="s">
        <v>50</v>
      </c>
      <c r="BR32" s="6"/>
    </row>
    <row r="33" spans="1:70" ht="18.5" x14ac:dyDescent="0.45">
      <c r="A33" s="1" t="s">
        <v>38</v>
      </c>
      <c r="B33" s="1" t="str">
        <f>VLOOKUP(A33,[11]LISTADHERENT!A$5:H$50,3,0)</f>
        <v>TCHOUAMOU MATHIEU</v>
      </c>
      <c r="C33" s="5">
        <f t="shared" si="6"/>
        <v>0</v>
      </c>
      <c r="D33" s="9">
        <f>VLOOKUP(A33,[21]HISTOBQUEJANV25!$A$6:$H$46,5,0)</f>
        <v>125000</v>
      </c>
      <c r="E33" s="102">
        <f>VLOOKUP(A33,[21]HISTOBQUEJANV25!$A$6:$H$41,4,0)</f>
        <v>0</v>
      </c>
      <c r="F33" s="102">
        <f>VLOOKUP(A33,[21]HISTOBQUEJANV25!$A$6:$H$41,6,0)</f>
        <v>0</v>
      </c>
      <c r="G33" s="9"/>
      <c r="H33" s="5">
        <f t="shared" si="12"/>
        <v>0</v>
      </c>
      <c r="I33" s="10" t="str">
        <f t="shared" si="0"/>
        <v>BANQUE</v>
      </c>
      <c r="J33" s="10"/>
      <c r="K33" s="11">
        <v>1</v>
      </c>
      <c r="L33" s="11">
        <f t="shared" si="7"/>
        <v>50000</v>
      </c>
      <c r="M33" s="6">
        <v>1</v>
      </c>
      <c r="N33" s="11">
        <f t="shared" si="1"/>
        <v>75000</v>
      </c>
      <c r="O33" s="6"/>
      <c r="P33" s="11">
        <f t="shared" si="2"/>
        <v>0</v>
      </c>
      <c r="Q33" s="2">
        <f>VLOOKUP(A33,[13]TONTJANV24!$A$6:$R$39,12,0)</f>
        <v>0</v>
      </c>
      <c r="R33" s="2">
        <f>IFERROR(VLOOKUP(A33,[14]TONTJANV24!$A$7:$P$23,10,0),0)</f>
        <v>0</v>
      </c>
      <c r="S33" s="2">
        <f>IFERROR(VLOOKUP(A33,[15]TONTJANV24!$A$7:$P$20,10,0),0)</f>
        <v>0</v>
      </c>
      <c r="T33" s="20"/>
      <c r="U33" s="12"/>
      <c r="V33" s="17">
        <f t="shared" si="13"/>
        <v>125000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8">
        <f t="shared" si="3"/>
        <v>0</v>
      </c>
      <c r="AS33" s="8">
        <f t="shared" si="4"/>
        <v>0</v>
      </c>
      <c r="AT33" s="13">
        <f t="shared" si="8"/>
        <v>25000</v>
      </c>
      <c r="AU33" s="15"/>
      <c r="AW33" s="15"/>
      <c r="AX33" s="15">
        <f t="shared" si="9"/>
        <v>0</v>
      </c>
      <c r="AY33" s="15">
        <f t="shared" si="10"/>
        <v>0</v>
      </c>
      <c r="AZ33" s="15">
        <f t="shared" si="11"/>
        <v>0</v>
      </c>
      <c r="BA33" s="16">
        <f t="shared" si="14"/>
        <v>0</v>
      </c>
      <c r="BB33" s="58"/>
      <c r="BC33" s="58"/>
      <c r="BD33" s="15"/>
      <c r="BE33" s="57">
        <f t="shared" si="15"/>
        <v>0</v>
      </c>
      <c r="BF33" s="82"/>
      <c r="BG33" s="29">
        <f t="shared" si="5"/>
        <v>0</v>
      </c>
      <c r="BH33" s="29">
        <v>6</v>
      </c>
      <c r="BI33" s="15"/>
      <c r="BJ33" s="15"/>
      <c r="BK33" s="15"/>
      <c r="BL33" s="15"/>
      <c r="BM33" s="61"/>
    </row>
    <row r="34" spans="1:70" ht="18.5" x14ac:dyDescent="0.45">
      <c r="A34" s="1" t="s">
        <v>194</v>
      </c>
      <c r="B34" s="1" t="str">
        <f>VLOOKUP(A34,[11]LISTADHERENT!A$5:H$50,3,0)</f>
        <v>TCHOUATEU AUGUSTIN</v>
      </c>
      <c r="C34" s="5">
        <f t="shared" si="6"/>
        <v>0</v>
      </c>
      <c r="D34" s="9">
        <f>VLOOKUP(A34,[21]HISTOBQUEJANV25!$A$6:$H$46,5,0)</f>
        <v>150000</v>
      </c>
      <c r="E34" s="102">
        <f>VLOOKUP(A34,[21]HISTOBQUEJANV25!$A$6:$H$41,4,0)</f>
        <v>0</v>
      </c>
      <c r="F34" s="102">
        <f>VLOOKUP(A34,[21]HISTOBQUEJANV25!$A$6:$H$41,6,0)</f>
        <v>0</v>
      </c>
      <c r="G34" s="9"/>
      <c r="H34" s="5">
        <f t="shared" si="12"/>
        <v>0</v>
      </c>
      <c r="I34" s="10" t="str">
        <f t="shared" si="0"/>
        <v>BANQUE</v>
      </c>
      <c r="J34" s="10"/>
      <c r="K34" s="11">
        <v>1</v>
      </c>
      <c r="L34" s="11">
        <f t="shared" si="7"/>
        <v>50000</v>
      </c>
      <c r="M34" s="6"/>
      <c r="N34" s="11">
        <f t="shared" si="1"/>
        <v>0</v>
      </c>
      <c r="O34" s="6">
        <v>1</v>
      </c>
      <c r="P34" s="11">
        <f t="shared" si="2"/>
        <v>100000</v>
      </c>
      <c r="Q34" s="2">
        <f>VLOOKUP(A34,[13]TONTJANV24!$A$6:$R$39,12,0)</f>
        <v>0</v>
      </c>
      <c r="R34" s="2">
        <f>IFERROR(VLOOKUP(A34,[14]TONTJANV24!$A$7:$P$23,10,0),0)</f>
        <v>0</v>
      </c>
      <c r="S34" s="2">
        <f>IFERROR(VLOOKUP(A34,[15]TONTJANV24!$A$7:$P$20,10,0),0)</f>
        <v>0</v>
      </c>
      <c r="T34" s="20"/>
      <c r="U34" s="12"/>
      <c r="V34" s="17">
        <f t="shared" si="13"/>
        <v>150000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8">
        <f t="shared" si="3"/>
        <v>0</v>
      </c>
      <c r="AS34" s="8">
        <f t="shared" si="4"/>
        <v>0</v>
      </c>
      <c r="AT34" s="13">
        <f t="shared" si="8"/>
        <v>25000</v>
      </c>
      <c r="AU34" s="15"/>
      <c r="AW34" s="15"/>
      <c r="AX34" s="15">
        <f t="shared" si="9"/>
        <v>0</v>
      </c>
      <c r="AY34" s="15">
        <f t="shared" si="10"/>
        <v>0</v>
      </c>
      <c r="AZ34" s="15">
        <f t="shared" si="11"/>
        <v>0</v>
      </c>
      <c r="BA34" s="16">
        <f t="shared" si="14"/>
        <v>0</v>
      </c>
      <c r="BB34" s="58"/>
      <c r="BC34" s="58"/>
      <c r="BD34" s="15"/>
      <c r="BE34" s="57">
        <f t="shared" si="15"/>
        <v>0</v>
      </c>
      <c r="BF34" s="82"/>
      <c r="BG34" s="29">
        <f t="shared" si="5"/>
        <v>0</v>
      </c>
      <c r="BH34" s="29">
        <v>11</v>
      </c>
      <c r="BI34" s="15"/>
      <c r="BJ34" s="15"/>
      <c r="BK34" s="15"/>
      <c r="BL34" s="15"/>
      <c r="BM34" s="61"/>
      <c r="BP34" s="62" t="s">
        <v>142</v>
      </c>
      <c r="BR34" s="62">
        <f>SUM(BR30:BR33)</f>
        <v>0</v>
      </c>
    </row>
    <row r="35" spans="1:70" ht="18.5" x14ac:dyDescent="0.45">
      <c r="A35" s="1" t="s">
        <v>157</v>
      </c>
      <c r="B35" s="1" t="str">
        <f>VLOOKUP(A35,[11]LISTADHERENT!A$5:H$50,3,0)</f>
        <v>TCHOUTOU NANA CLAUDE</v>
      </c>
      <c r="C35" s="5">
        <f t="shared" si="6"/>
        <v>0</v>
      </c>
      <c r="D35" s="9">
        <f>VLOOKUP(A35,[21]HISTOBQUEJANV25!$A$6:$H$46,5,0)</f>
        <v>50000</v>
      </c>
      <c r="E35" s="102">
        <f>VLOOKUP(A35,[21]HISTOBQUEJANV25!$A$6:$H$41,4,0)</f>
        <v>0</v>
      </c>
      <c r="F35" s="102">
        <f>VLOOKUP(A35,[21]HISTOBQUEJANV25!$A$6:$H$41,6,0)</f>
        <v>0</v>
      </c>
      <c r="G35" s="9"/>
      <c r="H35" s="5">
        <f t="shared" si="12"/>
        <v>0</v>
      </c>
      <c r="I35" s="10" t="str">
        <f t="shared" si="0"/>
        <v>BANQUE</v>
      </c>
      <c r="J35" s="10"/>
      <c r="K35" s="11">
        <v>1</v>
      </c>
      <c r="L35" s="11">
        <f t="shared" si="7"/>
        <v>50000</v>
      </c>
      <c r="M35" s="6"/>
      <c r="N35" s="11">
        <f t="shared" si="1"/>
        <v>0</v>
      </c>
      <c r="O35" s="6"/>
      <c r="P35" s="11">
        <f t="shared" si="2"/>
        <v>0</v>
      </c>
      <c r="Q35" s="2">
        <f>VLOOKUP(A35,[13]TONTJANV24!$A$6:$R$39,12,0)</f>
        <v>0</v>
      </c>
      <c r="R35" s="2">
        <f>IFERROR(VLOOKUP(A35,[14]TONTJANV24!$A$7:$P$23,10,0),0)</f>
        <v>0</v>
      </c>
      <c r="S35" s="2">
        <f>IFERROR(VLOOKUP(A35,[15]TONTJANV24!$A$7:$P$20,10,0),0)</f>
        <v>0</v>
      </c>
      <c r="T35" s="20"/>
      <c r="U35" s="12"/>
      <c r="V35" s="17">
        <f t="shared" si="13"/>
        <v>50000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8">
        <f t="shared" si="3"/>
        <v>0</v>
      </c>
      <c r="AS35" s="8">
        <f t="shared" si="4"/>
        <v>0</v>
      </c>
      <c r="AT35" s="13">
        <f t="shared" si="8"/>
        <v>25000</v>
      </c>
      <c r="AU35" s="15"/>
      <c r="AW35" s="15"/>
      <c r="AX35" s="15">
        <f t="shared" si="9"/>
        <v>0</v>
      </c>
      <c r="AY35" s="15">
        <f t="shared" si="10"/>
        <v>0</v>
      </c>
      <c r="AZ35" s="15">
        <f t="shared" si="11"/>
        <v>0</v>
      </c>
      <c r="BA35" s="16">
        <f t="shared" si="14"/>
        <v>0</v>
      </c>
      <c r="BB35" s="58"/>
      <c r="BC35" s="58"/>
      <c r="BD35" s="15"/>
      <c r="BE35" s="57">
        <f t="shared" si="15"/>
        <v>0</v>
      </c>
      <c r="BF35" s="82"/>
      <c r="BG35" s="29">
        <f t="shared" si="5"/>
        <v>0</v>
      </c>
      <c r="BH35" s="29">
        <v>11</v>
      </c>
      <c r="BI35" s="15"/>
      <c r="BJ35" s="15"/>
      <c r="BK35" s="15"/>
      <c r="BL35" s="15"/>
      <c r="BM35" s="61"/>
      <c r="BP35" s="62" t="s">
        <v>142</v>
      </c>
      <c r="BR35" s="62">
        <f>SUM(BR32:BR34)</f>
        <v>0</v>
      </c>
    </row>
    <row r="36" spans="1:70" ht="18.5" x14ac:dyDescent="0.45">
      <c r="A36" s="1" t="s">
        <v>218</v>
      </c>
      <c r="B36" s="1" t="str">
        <f>VLOOKUP(A36,[11]LISTADHERENT!A$5:H$50,3,0)</f>
        <v>TIEYAM ERNEST</v>
      </c>
      <c r="C36" s="5" t="e">
        <f t="shared" si="6"/>
        <v>#N/A</v>
      </c>
      <c r="D36" s="9">
        <f>VLOOKUP(A36,[21]HISTOBQUEJANV25!$A$6:$H$46,5,0)</f>
        <v>0</v>
      </c>
      <c r="E36" s="102">
        <f>VLOOKUP(A36,[21]HISTOBQUEJANV25!$A$6:$H$41,4,0)</f>
        <v>50000</v>
      </c>
      <c r="F36" s="102">
        <f>VLOOKUP(A36,[21]HISTOBQUEJANV25!$A$6:$H$41,6,0)</f>
        <v>0</v>
      </c>
      <c r="G36" s="9"/>
      <c r="H36" s="5">
        <v>0</v>
      </c>
      <c r="I36" s="10" t="str">
        <f t="shared" si="0"/>
        <v>ESPECES</v>
      </c>
      <c r="J36" s="10"/>
      <c r="K36" s="11">
        <v>1</v>
      </c>
      <c r="L36" s="11">
        <f t="shared" ref="L36" si="16">IF($D36&lt;&gt;0,K36*50000,IF($E36&lt;&gt;0,K36*50000,0))</f>
        <v>50000</v>
      </c>
      <c r="M36" s="6"/>
      <c r="N36" s="11">
        <f t="shared" ref="N36" si="17">IF($D36&lt;&gt;0,M36*75000,IF($E36&lt;&gt;0,M36*75000,0))</f>
        <v>0</v>
      </c>
      <c r="O36" s="6"/>
      <c r="P36" s="11">
        <f t="shared" ref="P36" si="18">IF($D36&lt;&gt;0,O36*100000,IF($E36&lt;&gt;0,O36*100000,0))</f>
        <v>0</v>
      </c>
      <c r="Q36" s="2" t="e">
        <f>VLOOKUP(A36,[13]TONTJANV24!$A$6:$R$39,12,0)</f>
        <v>#N/A</v>
      </c>
      <c r="R36" s="2">
        <f>IFERROR(VLOOKUP(A36,[14]TONTJANV24!$A$7:$P$23,10,0),0)</f>
        <v>0</v>
      </c>
      <c r="S36" s="2">
        <f>IFERROR(VLOOKUP(A36,[15]TONTJANV24!$A$7:$P$20,10,0),0)</f>
        <v>0</v>
      </c>
      <c r="T36" s="20"/>
      <c r="U36" s="12"/>
      <c r="V36" s="17" t="e">
        <f t="shared" ref="V36" si="19">H36+T36++S36+Q36+P36+N36+J36+L36+R36+W36+X36</f>
        <v>#N/A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8">
        <f t="shared" ref="AR36" si="20">IF(I36="ECHEC",((L36+N36+P36)*20/100),0)</f>
        <v>0</v>
      </c>
      <c r="AS36" s="8">
        <f t="shared" ref="AS36" si="21">IF(I36="ECHEC",((L36+N36+P36)*20/100),0)</f>
        <v>0</v>
      </c>
      <c r="AT36" s="13">
        <f t="shared" ref="AT36" si="22">IF(I36="ECHEC",0,(L36+J36-25000))</f>
        <v>25000</v>
      </c>
      <c r="AU36" s="15"/>
      <c r="AW36" s="15"/>
      <c r="AX36" s="15">
        <f t="shared" ref="AX36" si="23">IF(AD36=0,AJ36,(1*25000*12)+AJ36-AD36)</f>
        <v>0</v>
      </c>
      <c r="AY36" s="15">
        <f t="shared" ref="AY36" si="24">IF(AE36=0,AK36,(1*75000*12)+(AK36)-AE36)</f>
        <v>0</v>
      </c>
      <c r="AZ36" s="15">
        <f t="shared" ref="AZ36" si="25">IF(AF36=0,AL36,(1*100000*12)+(AL36)-AF36)</f>
        <v>0</v>
      </c>
      <c r="BA36" s="16">
        <f t="shared" ref="BA36" si="26">SUM(AW36:AZ36)-BG36+AA36-G36+BI36+BJ36+BK36+BL36+BM36+BN36</f>
        <v>0</v>
      </c>
      <c r="BB36" s="58"/>
      <c r="BC36" s="58"/>
      <c r="BD36" s="15"/>
      <c r="BE36" s="57"/>
      <c r="BF36" s="82"/>
      <c r="BG36" s="29"/>
      <c r="BH36" s="29"/>
      <c r="BI36" s="15"/>
      <c r="BJ36" s="15"/>
      <c r="BK36" s="15"/>
      <c r="BL36" s="15"/>
      <c r="BM36" s="61"/>
      <c r="BP36" s="62"/>
      <c r="BR36" s="62"/>
    </row>
    <row r="37" spans="1:70" ht="18.5" x14ac:dyDescent="0.45">
      <c r="A37" s="21" t="s">
        <v>160</v>
      </c>
      <c r="B37" s="1" t="str">
        <f>VLOOKUP(A37,[11]LISTADHERENT!A$5:H$50,3,0)</f>
        <v>YANTCHOU GERVAIS</v>
      </c>
      <c r="C37" s="5">
        <f t="shared" si="6"/>
        <v>0</v>
      </c>
      <c r="D37" s="9">
        <f>VLOOKUP(A37,[21]HISTOBQUEJANV25!$A$6:$H$46,5,0)</f>
        <v>100000</v>
      </c>
      <c r="E37" s="102">
        <f>VLOOKUP(A37,[21]HISTOBQUEJANV25!$A$6:$H$41,4,0)</f>
        <v>25000</v>
      </c>
      <c r="F37" s="102">
        <f>VLOOKUP(A37,[21]HISTOBQUEJANV25!$A$6:$H$41,6,0)</f>
        <v>0</v>
      </c>
      <c r="G37" s="9"/>
      <c r="H37" s="5">
        <f t="shared" si="12"/>
        <v>0</v>
      </c>
      <c r="I37" s="10" t="str">
        <f t="shared" si="0"/>
        <v>BANQUE</v>
      </c>
      <c r="J37" s="10"/>
      <c r="K37" s="11">
        <v>1</v>
      </c>
      <c r="L37" s="11">
        <f t="shared" si="7"/>
        <v>50000</v>
      </c>
      <c r="M37" s="6">
        <v>1</v>
      </c>
      <c r="N37" s="11">
        <f t="shared" si="1"/>
        <v>75000</v>
      </c>
      <c r="O37" s="6"/>
      <c r="P37" s="11">
        <f t="shared" si="2"/>
        <v>0</v>
      </c>
      <c r="Q37" s="2">
        <f>VLOOKUP(A37,[13]TONTJANV24!$A$6:$R$39,12,0)</f>
        <v>0</v>
      </c>
      <c r="R37" s="2">
        <f>IFERROR(VLOOKUP(A37,[14]TONTJANV24!$A$7:$P$23,10,0),0)</f>
        <v>0</v>
      </c>
      <c r="S37" s="2">
        <f>IFERROR(VLOOKUP(A37,[15]TONTJANV24!$A$7:$P$20,10,0),0)</f>
        <v>0</v>
      </c>
      <c r="T37" s="20"/>
      <c r="U37" s="12"/>
      <c r="V37" s="17">
        <f t="shared" si="13"/>
        <v>125000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8">
        <f t="shared" si="3"/>
        <v>0</v>
      </c>
      <c r="AS37" s="8">
        <f t="shared" si="4"/>
        <v>0</v>
      </c>
      <c r="AT37" s="13">
        <f t="shared" si="8"/>
        <v>25000</v>
      </c>
      <c r="AU37" s="15"/>
      <c r="AW37" s="15"/>
      <c r="AX37" s="15">
        <f t="shared" si="9"/>
        <v>0</v>
      </c>
      <c r="AY37" s="15">
        <f t="shared" si="10"/>
        <v>0</v>
      </c>
      <c r="AZ37" s="15">
        <f t="shared" si="11"/>
        <v>0</v>
      </c>
      <c r="BA37" s="16">
        <f t="shared" si="14"/>
        <v>0</v>
      </c>
      <c r="BB37" s="58"/>
      <c r="BC37" s="58"/>
      <c r="BD37" s="15"/>
      <c r="BE37" s="57">
        <f t="shared" si="15"/>
        <v>0</v>
      </c>
      <c r="BF37" s="82"/>
      <c r="BG37" s="29">
        <f t="shared" si="5"/>
        <v>0</v>
      </c>
      <c r="BH37" s="29">
        <v>11</v>
      </c>
      <c r="BI37" s="15"/>
      <c r="BJ37" s="15"/>
      <c r="BK37" s="15"/>
      <c r="BL37" s="15"/>
      <c r="BM37" s="61"/>
    </row>
    <row r="38" spans="1:70" ht="18.5" x14ac:dyDescent="0.45">
      <c r="A38" s="1" t="s">
        <v>40</v>
      </c>
      <c r="B38" s="1" t="str">
        <f>VLOOKUP(A38,[11]LISTADHERENT!A$5:H$50,3,0)</f>
        <v>YEPMOU JEAN JACQUES</v>
      </c>
      <c r="C38" s="5">
        <f t="shared" si="6"/>
        <v>0</v>
      </c>
      <c r="D38" s="9">
        <f>VLOOKUP(A38,[21]HISTOBQUEJANV25!$A$6:$H$46,5,0)</f>
        <v>0</v>
      </c>
      <c r="E38" s="102">
        <f>VLOOKUP(A38,[21]HISTOBQUEJANV25!$A$6:$H$41,4,0)</f>
        <v>50000</v>
      </c>
      <c r="F38" s="102">
        <f>VLOOKUP(A38,[21]HISTOBQUEJANV25!$A$6:$H$41,6,0)</f>
        <v>0</v>
      </c>
      <c r="G38" s="9"/>
      <c r="H38" s="5">
        <f>IF(I38="ESPECES",3000,0)-3000</f>
        <v>0</v>
      </c>
      <c r="I38" s="10" t="str">
        <f t="shared" si="0"/>
        <v>ESPECES</v>
      </c>
      <c r="J38" s="10"/>
      <c r="K38" s="11">
        <v>1</v>
      </c>
      <c r="L38" s="11">
        <f t="shared" si="7"/>
        <v>50000</v>
      </c>
      <c r="M38" s="6"/>
      <c r="N38" s="11">
        <f t="shared" si="1"/>
        <v>0</v>
      </c>
      <c r="O38" s="6"/>
      <c r="P38" s="11">
        <f t="shared" si="2"/>
        <v>0</v>
      </c>
      <c r="Q38" s="2">
        <f>VLOOKUP(A38,[13]TONTJANV24!$A$6:$R$39,12,0)</f>
        <v>0</v>
      </c>
      <c r="R38" s="2">
        <f>IFERROR(VLOOKUP(A38,[14]TONTJANV24!$A$7:$P$23,10,0),0)</f>
        <v>0</v>
      </c>
      <c r="S38" s="2">
        <f>IFERROR(VLOOKUP(A38,[15]TONTJANV24!$A$7:$P$20,10,0),0)</f>
        <v>0</v>
      </c>
      <c r="T38" s="20"/>
      <c r="U38" s="12"/>
      <c r="V38" s="17">
        <f t="shared" si="13"/>
        <v>50000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8">
        <f t="shared" si="3"/>
        <v>0</v>
      </c>
      <c r="AS38" s="8">
        <f t="shared" si="4"/>
        <v>0</v>
      </c>
      <c r="AT38" s="13">
        <f t="shared" si="8"/>
        <v>25000</v>
      </c>
      <c r="AU38" s="15"/>
      <c r="AW38" s="15"/>
      <c r="AX38" s="15">
        <f t="shared" si="9"/>
        <v>0</v>
      </c>
      <c r="AY38" s="15">
        <f t="shared" si="10"/>
        <v>0</v>
      </c>
      <c r="AZ38" s="15">
        <f t="shared" si="11"/>
        <v>0</v>
      </c>
      <c r="BA38" s="16">
        <f t="shared" si="14"/>
        <v>0</v>
      </c>
      <c r="BB38" s="58"/>
      <c r="BC38" s="58"/>
      <c r="BD38" s="15"/>
      <c r="BE38" s="57">
        <f t="shared" si="15"/>
        <v>0</v>
      </c>
      <c r="BF38" s="82"/>
      <c r="BG38" s="29">
        <f t="shared" si="5"/>
        <v>0</v>
      </c>
      <c r="BH38" s="29">
        <v>11</v>
      </c>
      <c r="BI38" s="15"/>
      <c r="BJ38" s="15"/>
      <c r="BK38" s="15"/>
      <c r="BL38" s="15"/>
      <c r="BM38" s="61"/>
      <c r="BP38" t="s">
        <v>126</v>
      </c>
      <c r="BQ38" t="s">
        <v>126</v>
      </c>
      <c r="BR38" s="6">
        <v>100000</v>
      </c>
    </row>
    <row r="39" spans="1:70" ht="18.5" x14ac:dyDescent="0.45">
      <c r="A39" s="1" t="s">
        <v>193</v>
      </c>
      <c r="B39" s="1" t="str">
        <f>VLOOKUP(A39,[11]LISTADHERENT!A$5:H$50,3,0)</f>
        <v>YIALA ALAIN OSCAR</v>
      </c>
      <c r="C39" s="5">
        <f t="shared" si="6"/>
        <v>0</v>
      </c>
      <c r="D39" s="9">
        <f>VLOOKUP(A39,[21]HISTOBQUEJANV25!$A$6:$H$46,5,0)</f>
        <v>250000</v>
      </c>
      <c r="E39" s="102">
        <f>VLOOKUP(A39,[21]HISTOBQUEJANV25!$A$6:$H$41,4,0)</f>
        <v>0</v>
      </c>
      <c r="F39" s="102">
        <f>VLOOKUP(A39,[21]HISTOBQUEJANV25!$A$6:$H$41,6,0)</f>
        <v>0</v>
      </c>
      <c r="G39" s="9"/>
      <c r="H39" s="5">
        <f t="shared" ref="H39" si="27">IF(I39="ESPECES",3000,0)</f>
        <v>0</v>
      </c>
      <c r="I39" s="10" t="str">
        <f t="shared" si="0"/>
        <v>BANQUE</v>
      </c>
      <c r="J39" s="10"/>
      <c r="K39" s="11">
        <v>1</v>
      </c>
      <c r="L39" s="11">
        <f t="shared" si="7"/>
        <v>50000</v>
      </c>
      <c r="M39" s="6"/>
      <c r="N39" s="11">
        <f t="shared" si="1"/>
        <v>0</v>
      </c>
      <c r="O39" s="6">
        <v>2</v>
      </c>
      <c r="P39" s="11">
        <f t="shared" si="2"/>
        <v>200000</v>
      </c>
      <c r="Q39" s="2">
        <f>VLOOKUP(A39,[13]TONTJANV24!$A$6:$R$39,12,0)</f>
        <v>0</v>
      </c>
      <c r="R39" s="2">
        <f>IFERROR(VLOOKUP(A39,[14]TONTJANV24!$A$7:$P$23,10,0),0)</f>
        <v>0</v>
      </c>
      <c r="S39" s="2">
        <f>IFERROR(VLOOKUP(A39,[15]TONTJANV24!$A$7:$P$20,10,0),0)</f>
        <v>0</v>
      </c>
      <c r="T39" s="6"/>
      <c r="U39" s="12"/>
      <c r="V39" s="17">
        <f t="shared" si="13"/>
        <v>250000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1"/>
      <c r="AK39" s="11"/>
      <c r="AL39" s="11"/>
      <c r="AM39" s="11"/>
      <c r="AN39" s="11"/>
      <c r="AO39" s="11"/>
      <c r="AP39" s="11"/>
      <c r="AQ39" s="12"/>
      <c r="AR39" s="8">
        <f t="shared" si="3"/>
        <v>0</v>
      </c>
      <c r="AS39" s="8">
        <f t="shared" si="4"/>
        <v>0</v>
      </c>
      <c r="AT39" s="13">
        <f t="shared" si="8"/>
        <v>25000</v>
      </c>
      <c r="AU39" s="15"/>
      <c r="AW39" s="15"/>
      <c r="AX39" s="15">
        <f t="shared" si="9"/>
        <v>0</v>
      </c>
      <c r="AY39" s="15">
        <f t="shared" si="10"/>
        <v>0</v>
      </c>
      <c r="AZ39" s="15">
        <f t="shared" si="11"/>
        <v>0</v>
      </c>
      <c r="BA39" s="16">
        <f t="shared" si="14"/>
        <v>0</v>
      </c>
      <c r="BB39" s="58"/>
      <c r="BC39" s="58"/>
      <c r="BD39" s="15"/>
      <c r="BE39" s="57">
        <f t="shared" si="15"/>
        <v>0</v>
      </c>
      <c r="BF39" s="82"/>
      <c r="BG39" s="29">
        <f t="shared" si="5"/>
        <v>0</v>
      </c>
      <c r="BH39" s="29">
        <v>11</v>
      </c>
      <c r="BI39" s="15"/>
      <c r="BJ39" s="15"/>
      <c r="BK39" s="15"/>
      <c r="BL39" s="15"/>
      <c r="BM39" s="15"/>
      <c r="BP39" t="s">
        <v>127</v>
      </c>
      <c r="BQ39" t="s">
        <v>126</v>
      </c>
      <c r="BR39" s="6"/>
    </row>
    <row r="40" spans="1:70" ht="18.5" x14ac:dyDescent="0.45">
      <c r="A40" s="1" t="s">
        <v>41</v>
      </c>
      <c r="B40" s="1" t="str">
        <f>VLOOKUP(A40,[11]LISTADHERENT!A$5:H$50,3,0)</f>
        <v>YOUMBI EMMANUEL</v>
      </c>
      <c r="C40" s="5">
        <f t="shared" si="6"/>
        <v>0</v>
      </c>
      <c r="D40" s="9">
        <f>VLOOKUP(A40,[21]HISTOBQUEJANV25!$A$6:$H$46,5,0)</f>
        <v>225000</v>
      </c>
      <c r="E40" s="102">
        <f>VLOOKUP(A40,[21]HISTOBQUEJANV25!$A$6:$H$41,4,0)</f>
        <v>0</v>
      </c>
      <c r="F40" s="102">
        <f>VLOOKUP(A40,[21]HISTOBQUEJANV25!$A$6:$H$41,6,0)</f>
        <v>0</v>
      </c>
      <c r="G40" s="9"/>
      <c r="H40" s="5">
        <f t="shared" si="12"/>
        <v>0</v>
      </c>
      <c r="I40" s="10" t="str">
        <f t="shared" si="0"/>
        <v>BANQUE</v>
      </c>
      <c r="J40" s="10"/>
      <c r="K40" s="11">
        <v>1</v>
      </c>
      <c r="L40" s="11">
        <f t="shared" si="7"/>
        <v>50000</v>
      </c>
      <c r="M40" s="6">
        <v>1</v>
      </c>
      <c r="N40" s="11">
        <f t="shared" si="1"/>
        <v>75000</v>
      </c>
      <c r="O40" s="6">
        <v>1</v>
      </c>
      <c r="P40" s="11">
        <f t="shared" si="2"/>
        <v>100000</v>
      </c>
      <c r="Q40" s="2">
        <f>VLOOKUP(A40,[13]TONTJANV24!$A$6:$R$39,12,0)</f>
        <v>0</v>
      </c>
      <c r="R40" s="2">
        <f>IFERROR(VLOOKUP(A40,[14]TONTJANV24!$A$7:$P$23,10,0),0)</f>
        <v>0</v>
      </c>
      <c r="S40" s="2">
        <f>IFERROR(VLOOKUP(A40,[15]TONTJANV24!$A$7:$P$20,10,0),0)</f>
        <v>0</v>
      </c>
      <c r="T40" s="6"/>
      <c r="U40" s="12"/>
      <c r="V40" s="17">
        <f t="shared" si="13"/>
        <v>225000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1"/>
      <c r="AK40" s="11"/>
      <c r="AL40" s="11"/>
      <c r="AM40" s="11"/>
      <c r="AN40" s="11"/>
      <c r="AO40" s="11"/>
      <c r="AP40" s="11"/>
      <c r="AQ40" s="12"/>
      <c r="AR40" s="8">
        <f t="shared" si="3"/>
        <v>0</v>
      </c>
      <c r="AS40" s="8">
        <f t="shared" si="4"/>
        <v>0</v>
      </c>
      <c r="AT40" s="13">
        <f t="shared" si="8"/>
        <v>25000</v>
      </c>
      <c r="AU40" s="15"/>
      <c r="AW40" s="15"/>
      <c r="AX40" s="15">
        <f t="shared" si="9"/>
        <v>0</v>
      </c>
      <c r="AY40" s="15">
        <f t="shared" si="10"/>
        <v>0</v>
      </c>
      <c r="AZ40" s="15">
        <f t="shared" si="11"/>
        <v>0</v>
      </c>
      <c r="BA40" s="16">
        <f t="shared" si="14"/>
        <v>0</v>
      </c>
      <c r="BB40" s="58"/>
      <c r="BC40" s="58"/>
      <c r="BD40" s="15"/>
      <c r="BE40" s="57">
        <f t="shared" si="15"/>
        <v>0</v>
      </c>
      <c r="BF40" s="82"/>
      <c r="BG40" s="29">
        <f t="shared" si="5"/>
        <v>0</v>
      </c>
      <c r="BH40" s="29">
        <v>11</v>
      </c>
      <c r="BI40" s="15"/>
      <c r="BJ40" s="15"/>
      <c r="BK40" s="15"/>
      <c r="BL40" s="15"/>
      <c r="BM40" s="15"/>
      <c r="BP40" t="s">
        <v>127</v>
      </c>
      <c r="BQ40" t="s">
        <v>126</v>
      </c>
      <c r="BR40" s="6"/>
    </row>
    <row r="41" spans="1:70" ht="18.5" x14ac:dyDescent="0.45">
      <c r="Q41" s="6"/>
      <c r="R41" s="6"/>
      <c r="S41" s="6"/>
      <c r="T41" s="6"/>
      <c r="AX41" s="15"/>
      <c r="AY41" s="15"/>
      <c r="AZ41" s="15"/>
      <c r="BA41" s="16"/>
      <c r="BG41" s="29"/>
    </row>
    <row r="42" spans="1:70" ht="18.5" x14ac:dyDescent="0.45">
      <c r="B42" s="1" t="s">
        <v>44</v>
      </c>
      <c r="C42" s="5" t="e">
        <f ca="1">SUM(C6:C41)</f>
        <v>#N/A</v>
      </c>
      <c r="D42" s="5">
        <f>SUM(D6:D41)</f>
        <v>5320000</v>
      </c>
      <c r="E42" s="5">
        <f>SUM(E6:E41)</f>
        <v>275000</v>
      </c>
      <c r="F42" s="5"/>
      <c r="G42" s="5">
        <f>SUM(G6:G41)</f>
        <v>0</v>
      </c>
      <c r="H42" s="5">
        <f>SUM(H6:H41)</f>
        <v>0</v>
      </c>
      <c r="I42" s="5">
        <f>SUM(I6:I41)</f>
        <v>0</v>
      </c>
      <c r="J42" s="5">
        <f>SUM(J6:J41)</f>
        <v>695000</v>
      </c>
      <c r="K42" s="5">
        <f>SUM(K6:K41)</f>
        <v>34</v>
      </c>
      <c r="L42" s="5">
        <f>SUM(L6:L41)</f>
        <v>1700000</v>
      </c>
      <c r="M42" s="5">
        <f>SUM(M6:M41)</f>
        <v>12</v>
      </c>
      <c r="N42" s="5">
        <f>SUM(N6:N41)</f>
        <v>900000</v>
      </c>
      <c r="O42" s="5">
        <f>SUM(O6:O41)</f>
        <v>23</v>
      </c>
      <c r="P42" s="5">
        <f>SUM(P6:P41)</f>
        <v>2300000</v>
      </c>
      <c r="Q42" s="5" t="e">
        <f ca="1">SUM(Q6:Q41)</f>
        <v>#N/A</v>
      </c>
      <c r="R42" s="5">
        <f>SUM(R6:R41)</f>
        <v>0</v>
      </c>
      <c r="S42" s="5">
        <f>SUM(S6:S41)</f>
        <v>0</v>
      </c>
      <c r="T42" s="5">
        <f>SUM(T6:T41)</f>
        <v>0</v>
      </c>
      <c r="U42" s="5"/>
      <c r="V42" s="5" t="e">
        <f ca="1">SUM(V6:V41)</f>
        <v>#N/A</v>
      </c>
      <c r="W42" s="5">
        <f>SUM(W6:W41)</f>
        <v>0</v>
      </c>
      <c r="X42" s="5">
        <f>SUM(X6:X41)</f>
        <v>0</v>
      </c>
      <c r="Y42" s="5">
        <f>SUM(Y6:Y41)</f>
        <v>0</v>
      </c>
      <c r="Z42" s="5">
        <f>SUM(Z6:Z41)</f>
        <v>0</v>
      </c>
      <c r="AA42" s="5">
        <f>SUM(AA6:AA41)</f>
        <v>0</v>
      </c>
      <c r="AB42" s="5">
        <f>SUM(AB6:AB41)</f>
        <v>0</v>
      </c>
      <c r="AC42" s="5"/>
      <c r="AD42" s="5">
        <f>SUM(AD6:AD41)</f>
        <v>0</v>
      </c>
      <c r="AE42" s="5">
        <f>SUM(AE6:AE41)</f>
        <v>0</v>
      </c>
      <c r="AF42" s="5">
        <f>SUM(AF6:AF41)</f>
        <v>0</v>
      </c>
      <c r="AG42" s="5">
        <f>SUM(AG6:AG41)</f>
        <v>0</v>
      </c>
      <c r="AH42" s="5">
        <f>SUM(AH6:AH41)</f>
        <v>0</v>
      </c>
      <c r="AI42" s="5"/>
      <c r="AJ42" s="5">
        <f>SUM(AJ6:AJ41)</f>
        <v>0</v>
      </c>
      <c r="AK42" s="5">
        <f>SUM(AK6:AK41)</f>
        <v>0</v>
      </c>
      <c r="AL42" s="5">
        <f>SUM(AL6:AL41)</f>
        <v>0</v>
      </c>
      <c r="AM42" s="5">
        <f>SUM(AM6:AM41)</f>
        <v>0</v>
      </c>
      <c r="AN42" s="5">
        <f>SUM(AN6:AN41)</f>
        <v>0</v>
      </c>
      <c r="AO42" s="5">
        <f>SUM(AO6:AO41)</f>
        <v>0</v>
      </c>
      <c r="AP42" s="5">
        <f>SUM(AP6:AP41)</f>
        <v>0</v>
      </c>
      <c r="AQ42" s="5">
        <f>SUM(AQ6:AQ41)</f>
        <v>0</v>
      </c>
      <c r="AR42" s="5">
        <f>SUM(AR6:AR41)</f>
        <v>0</v>
      </c>
      <c r="AS42" s="5">
        <f>SUM(AS6:AS41)</f>
        <v>0</v>
      </c>
      <c r="AT42" s="5">
        <f>SUM(AT6:AT41)</f>
        <v>1520000</v>
      </c>
      <c r="AU42" s="5">
        <f>SUM(AU6:AU41)</f>
        <v>0</v>
      </c>
      <c r="AV42" s="5">
        <f>SUM(AV6:AV41)</f>
        <v>0</v>
      </c>
      <c r="AW42" s="5">
        <f>SUM(AW6:AW41)</f>
        <v>0</v>
      </c>
      <c r="AX42" s="5">
        <f>SUM(AX6:AX41)</f>
        <v>0</v>
      </c>
      <c r="AY42" s="5">
        <f>SUM(AY6:AY41)</f>
        <v>0</v>
      </c>
      <c r="AZ42" s="5">
        <f>SUM(AZ6:AZ41)</f>
        <v>0</v>
      </c>
      <c r="BA42" s="5">
        <f>SUM(BA6:BA41)</f>
        <v>987000</v>
      </c>
      <c r="BB42" s="5">
        <f>SUM(BB6:BB41)</f>
        <v>0</v>
      </c>
      <c r="BC42" s="5">
        <f>SUM(BC6:BC41)</f>
        <v>0</v>
      </c>
      <c r="BD42" s="5">
        <f>SUM(BD6:BD41)</f>
        <v>0</v>
      </c>
      <c r="BE42" s="5">
        <f>SUM(BE6:BE41)</f>
        <v>443000</v>
      </c>
      <c r="BF42" s="5">
        <f>SUM(BF6:BF41)</f>
        <v>0</v>
      </c>
      <c r="BG42" s="5">
        <f>SUM(BG6:BG41)</f>
        <v>6000</v>
      </c>
      <c r="BI42" s="5">
        <f t="shared" ref="BI42:BM42" si="28">SUM(BI6:BI41)</f>
        <v>27000</v>
      </c>
      <c r="BJ42" s="5">
        <f t="shared" si="28"/>
        <v>200000</v>
      </c>
      <c r="BK42" s="5">
        <f t="shared" si="28"/>
        <v>0</v>
      </c>
      <c r="BL42" s="5">
        <f t="shared" si="28"/>
        <v>100000</v>
      </c>
      <c r="BM42" s="5">
        <f t="shared" si="28"/>
        <v>0</v>
      </c>
      <c r="BN42" s="5">
        <f>SUM(BN6:BN41)</f>
        <v>0</v>
      </c>
      <c r="BO42" s="5"/>
      <c r="BP42" s="62" t="s">
        <v>142</v>
      </c>
      <c r="BR42" s="62">
        <f>SUM(BR38:BR40)</f>
        <v>100000</v>
      </c>
    </row>
    <row r="43" spans="1:70" ht="18.5" x14ac:dyDescent="0.45">
      <c r="AX43" s="15"/>
      <c r="AY43" s="15"/>
      <c r="AZ43" s="15"/>
      <c r="BA43" s="16"/>
    </row>
    <row r="44" spans="1:70" ht="18.5" x14ac:dyDescent="0.45">
      <c r="AA44" s="12"/>
      <c r="AX44" s="15"/>
      <c r="AY44" s="15"/>
      <c r="AZ44" s="15"/>
      <c r="BA44" s="16"/>
    </row>
    <row r="45" spans="1:70" ht="18.5" x14ac:dyDescent="0.45">
      <c r="B45" s="21" t="s">
        <v>157</v>
      </c>
      <c r="I45" s="1"/>
      <c r="J45" s="1"/>
      <c r="AA45" s="12"/>
      <c r="AX45" s="15"/>
      <c r="AY45" s="15"/>
      <c r="AZ45" s="15"/>
      <c r="BA45" s="16"/>
      <c r="BE45" s="70"/>
      <c r="BF45" s="6"/>
      <c r="BP45" t="s">
        <v>129</v>
      </c>
      <c r="BQ45" t="s">
        <v>50</v>
      </c>
    </row>
    <row r="46" spans="1:70" ht="18.5" x14ac:dyDescent="0.45">
      <c r="C46" s="3" t="s">
        <v>8</v>
      </c>
      <c r="D46" s="90"/>
      <c r="E46" s="90"/>
      <c r="F46" s="90"/>
      <c r="G46" s="3" t="s">
        <v>9</v>
      </c>
      <c r="H46" s="90"/>
      <c r="I46" s="90"/>
      <c r="J46" s="90"/>
      <c r="AA46" s="12"/>
      <c r="AJ46" s="5"/>
      <c r="AW46" s="3"/>
      <c r="AX46" s="90"/>
      <c r="AY46" s="15"/>
      <c r="AZ46" s="15"/>
      <c r="BA46" s="16"/>
    </row>
    <row r="47" spans="1:70" ht="18.5" x14ac:dyDescent="0.45">
      <c r="B47" s="1" t="s">
        <v>74</v>
      </c>
      <c r="C47" s="1" t="s">
        <v>76</v>
      </c>
      <c r="D47" s="1" t="s">
        <v>75</v>
      </c>
      <c r="E47" s="1" t="s">
        <v>209</v>
      </c>
      <c r="F47" s="1"/>
      <c r="G47" s="1" t="s">
        <v>75</v>
      </c>
      <c r="H47" s="1" t="s">
        <v>76</v>
      </c>
      <c r="I47" s="1" t="s">
        <v>77</v>
      </c>
      <c r="J47" s="1"/>
      <c r="K47" s="1"/>
      <c r="L47" s="1"/>
      <c r="AA47" s="12"/>
      <c r="AJ47" s="5"/>
      <c r="AX47" s="15"/>
      <c r="AY47" s="15"/>
      <c r="AZ47" s="15"/>
      <c r="BA47" s="16"/>
      <c r="BP47" s="62" t="s">
        <v>142</v>
      </c>
      <c r="BR47" s="62">
        <f>SUM(BR44:BR46)</f>
        <v>0</v>
      </c>
    </row>
    <row r="48" spans="1:70" ht="18.5" x14ac:dyDescent="0.45">
      <c r="B48" s="1" t="s">
        <v>78</v>
      </c>
      <c r="AX48" s="15"/>
      <c r="AY48" s="15"/>
      <c r="AZ48" s="15"/>
      <c r="BA48" s="16"/>
    </row>
    <row r="49" spans="2:53" ht="18.5" x14ac:dyDescent="0.45">
      <c r="B49" s="1" t="s">
        <v>208</v>
      </c>
      <c r="C49" s="14">
        <f>BE42</f>
        <v>443000</v>
      </c>
      <c r="D49" s="9">
        <f>+D42</f>
        <v>5320000</v>
      </c>
      <c r="E49" s="9">
        <f>+C49-D49</f>
        <v>-4877000</v>
      </c>
      <c r="F49" s="9"/>
      <c r="G49" s="9">
        <f>E42</f>
        <v>275000</v>
      </c>
      <c r="H49" s="14">
        <f>+BB42</f>
        <v>0</v>
      </c>
      <c r="I49" s="88">
        <f>+G49-H49</f>
        <v>275000</v>
      </c>
      <c r="K49" s="5"/>
      <c r="AX49" s="15"/>
      <c r="AY49" s="15"/>
      <c r="AZ49" s="15"/>
      <c r="BA49" s="16"/>
    </row>
    <row r="50" spans="2:53" ht="18.5" x14ac:dyDescent="0.45">
      <c r="AX50" s="15"/>
      <c r="AY50" s="15"/>
      <c r="AZ50" s="15"/>
      <c r="BA50" s="16"/>
    </row>
    <row r="51" spans="2:53" ht="18.5" x14ac:dyDescent="0.45">
      <c r="AX51" s="15"/>
      <c r="AY51" s="15"/>
      <c r="AZ51" s="15"/>
      <c r="BA51" s="16"/>
    </row>
    <row r="52" spans="2:53" ht="18.5" x14ac:dyDescent="0.45">
      <c r="C52" t="s">
        <v>223</v>
      </c>
      <c r="K52">
        <v>120000</v>
      </c>
      <c r="AX52" s="15"/>
      <c r="AY52" s="15"/>
      <c r="AZ52" s="15"/>
      <c r="BA52" s="16"/>
    </row>
    <row r="53" spans="2:53" ht="18.5" x14ac:dyDescent="0.45">
      <c r="C53" t="s">
        <v>224</v>
      </c>
      <c r="K53">
        <v>115000</v>
      </c>
      <c r="AX53" s="15"/>
      <c r="AY53" s="15"/>
      <c r="AZ53" s="15"/>
      <c r="BA53" s="16"/>
    </row>
    <row r="54" spans="2:53" ht="18.5" x14ac:dyDescent="0.45">
      <c r="C54" t="s">
        <v>225</v>
      </c>
      <c r="K54">
        <v>105000</v>
      </c>
      <c r="AX54" s="15"/>
      <c r="AY54" s="15"/>
      <c r="AZ54" s="15"/>
      <c r="BA54" s="16"/>
    </row>
    <row r="55" spans="2:53" ht="18.5" x14ac:dyDescent="0.45">
      <c r="C55" t="s">
        <v>226</v>
      </c>
      <c r="L55">
        <v>7500</v>
      </c>
      <c r="AX55" s="15"/>
      <c r="AY55" s="15"/>
      <c r="AZ55" s="15"/>
      <c r="BA55" s="16"/>
    </row>
    <row r="56" spans="2:53" ht="18.5" x14ac:dyDescent="0.45">
      <c r="C56" t="s">
        <v>227</v>
      </c>
      <c r="M56">
        <v>31000</v>
      </c>
      <c r="AX56" s="15"/>
      <c r="AY56" s="15"/>
      <c r="AZ56" s="15"/>
      <c r="BA56" s="16"/>
    </row>
    <row r="57" spans="2:53" ht="18.5" x14ac:dyDescent="0.45">
      <c r="C57" t="s">
        <v>228</v>
      </c>
      <c r="M57">
        <v>30000</v>
      </c>
      <c r="AX57" s="15"/>
      <c r="AY57" s="15"/>
      <c r="AZ57" s="15"/>
      <c r="BA57" s="16"/>
    </row>
    <row r="58" spans="2:53" ht="18.5" x14ac:dyDescent="0.45">
      <c r="C58" t="s">
        <v>229</v>
      </c>
      <c r="M58">
        <v>30000</v>
      </c>
      <c r="AX58" s="15"/>
      <c r="AY58" s="15"/>
      <c r="AZ58" s="15"/>
      <c r="BA58" s="16"/>
    </row>
    <row r="59" spans="2:53" ht="18.5" x14ac:dyDescent="0.45">
      <c r="C59" t="s">
        <v>230</v>
      </c>
      <c r="N59">
        <v>41000</v>
      </c>
      <c r="AX59" s="15"/>
      <c r="AY59" s="15"/>
      <c r="AZ59" s="15"/>
      <c r="BA59" s="16"/>
    </row>
    <row r="60" spans="2:53" ht="18.5" x14ac:dyDescent="0.45">
      <c r="AX60" s="15"/>
      <c r="AY60" s="15"/>
      <c r="AZ60" s="15"/>
      <c r="BA60" s="16"/>
    </row>
    <row r="61" spans="2:53" ht="18.5" x14ac:dyDescent="0.45">
      <c r="AX61" s="15"/>
      <c r="AY61" s="15"/>
      <c r="AZ61" s="15"/>
      <c r="BA61" s="16"/>
    </row>
    <row r="62" spans="2:53" ht="18.5" x14ac:dyDescent="0.45">
      <c r="AX62" s="15"/>
      <c r="AY62" s="15"/>
      <c r="AZ62" s="15"/>
      <c r="BA62" s="16"/>
    </row>
    <row r="63" spans="2:53" ht="18.5" x14ac:dyDescent="0.45">
      <c r="AX63" s="15"/>
      <c r="AY63" s="15"/>
      <c r="AZ63" s="15"/>
      <c r="BA63" s="16"/>
    </row>
    <row r="64" spans="2:53" ht="18.5" x14ac:dyDescent="0.45">
      <c r="AX64" s="15"/>
      <c r="AY64" s="15"/>
      <c r="AZ64" s="15"/>
      <c r="BA64" s="16"/>
    </row>
    <row r="65" spans="50:53" ht="18.5" x14ac:dyDescent="0.45">
      <c r="AX65" s="15"/>
      <c r="AY65" s="15"/>
      <c r="AZ65" s="15"/>
      <c r="BA65" s="16"/>
    </row>
    <row r="66" spans="50:53" ht="18.5" x14ac:dyDescent="0.45">
      <c r="AX66" s="15"/>
      <c r="AY66" s="15"/>
      <c r="AZ66" s="15"/>
      <c r="BA66" s="16"/>
    </row>
    <row r="67" spans="50:53" ht="18.5" x14ac:dyDescent="0.45">
      <c r="AX67" s="15"/>
      <c r="AY67" s="15"/>
      <c r="AZ67" s="15"/>
      <c r="BA67" s="16"/>
    </row>
    <row r="68" spans="50:53" ht="18.5" x14ac:dyDescent="0.45">
      <c r="AX68" s="15"/>
      <c r="AY68" s="15"/>
      <c r="AZ68" s="15"/>
      <c r="BA68" s="16"/>
    </row>
    <row r="69" spans="50:53" ht="18.5" x14ac:dyDescent="0.45">
      <c r="AX69" s="15"/>
      <c r="AY69" s="15"/>
      <c r="AZ69" s="15"/>
      <c r="BA69" s="16"/>
    </row>
    <row r="70" spans="50:53" ht="18.5" x14ac:dyDescent="0.45">
      <c r="AX70" s="15"/>
      <c r="AY70" s="15"/>
      <c r="AZ70" s="15"/>
      <c r="BA70" s="16"/>
    </row>
    <row r="71" spans="50:53" ht="18.5" x14ac:dyDescent="0.45">
      <c r="AX71" s="15"/>
      <c r="AY71" s="15"/>
      <c r="AZ71" s="15"/>
      <c r="BA71" s="16"/>
    </row>
    <row r="72" spans="50:53" ht="18.5" x14ac:dyDescent="0.45">
      <c r="AX72" s="15"/>
      <c r="AY72" s="15"/>
      <c r="AZ72" s="15"/>
      <c r="BA72" s="16"/>
    </row>
    <row r="73" spans="50:53" ht="18.5" x14ac:dyDescent="0.45">
      <c r="AX73" s="15"/>
      <c r="AY73" s="15"/>
      <c r="AZ73" s="15"/>
      <c r="BA73" s="16"/>
    </row>
    <row r="74" spans="50:53" ht="18.5" x14ac:dyDescent="0.45">
      <c r="AX74" s="15"/>
      <c r="AY74" s="15"/>
      <c r="AZ74" s="15"/>
      <c r="BA74" s="16"/>
    </row>
    <row r="75" spans="50:53" ht="18.5" x14ac:dyDescent="0.45">
      <c r="AX75" s="15"/>
      <c r="AY75" s="15"/>
      <c r="AZ75" s="15"/>
      <c r="BA75" s="16"/>
    </row>
    <row r="76" spans="50:53" ht="18.5" x14ac:dyDescent="0.45">
      <c r="AX76" s="15"/>
      <c r="AY76" s="15"/>
      <c r="AZ76" s="15"/>
      <c r="BA76" s="16"/>
    </row>
    <row r="77" spans="50:53" ht="18.5" x14ac:dyDescent="0.45">
      <c r="AX77" s="15"/>
      <c r="AY77" s="15"/>
      <c r="AZ77" s="15"/>
      <c r="BA77" s="16"/>
    </row>
    <row r="78" spans="50:53" ht="18.5" x14ac:dyDescent="0.45">
      <c r="AX78" s="15"/>
      <c r="AY78" s="15"/>
      <c r="AZ78" s="15"/>
      <c r="BA78" s="16"/>
    </row>
    <row r="79" spans="50:53" ht="18.5" x14ac:dyDescent="0.45">
      <c r="AX79" s="15"/>
      <c r="AY79" s="15"/>
      <c r="AZ79" s="15"/>
      <c r="BA79" s="16"/>
    </row>
    <row r="80" spans="50:53" ht="18.5" x14ac:dyDescent="0.45">
      <c r="AX80" s="15"/>
      <c r="AY80" s="15"/>
      <c r="AZ80" s="15"/>
      <c r="BA80" s="16"/>
    </row>
    <row r="81" spans="50:53" ht="18.5" x14ac:dyDescent="0.45">
      <c r="AX81" s="15"/>
      <c r="AY81" s="15"/>
      <c r="AZ81" s="15"/>
      <c r="BA81" s="16"/>
    </row>
    <row r="82" spans="50:53" ht="18.5" x14ac:dyDescent="0.45">
      <c r="AX82" s="15"/>
      <c r="AY82" s="15"/>
      <c r="AZ82" s="15"/>
      <c r="BA82" s="16"/>
    </row>
    <row r="83" spans="50:53" ht="18.5" x14ac:dyDescent="0.45">
      <c r="AX83" s="15"/>
      <c r="AY83" s="15"/>
      <c r="AZ83" s="15"/>
      <c r="BA83" s="16"/>
    </row>
    <row r="84" spans="50:53" ht="18.5" x14ac:dyDescent="0.45">
      <c r="AX84" s="15"/>
      <c r="AY84" s="15"/>
      <c r="AZ84" s="15"/>
      <c r="BA84" s="16"/>
    </row>
    <row r="85" spans="50:53" ht="18.5" x14ac:dyDescent="0.45">
      <c r="AX85" s="15"/>
      <c r="AY85" s="15"/>
      <c r="AZ85" s="15"/>
      <c r="BA85" s="16"/>
    </row>
    <row r="87" spans="50:53" ht="17.5" x14ac:dyDescent="0.35">
      <c r="AX87" s="5"/>
      <c r="AY87" s="5"/>
      <c r="AZ87" s="5"/>
      <c r="BA87" s="5">
        <f>SUM(BA8:BA86)</f>
        <v>1147000</v>
      </c>
    </row>
  </sheetData>
  <autoFilter ref="A5:AG40" xr:uid="{00000000-0009-0000-0000-000004000000}"/>
  <mergeCells count="1">
    <mergeCell ref="B4:N4"/>
  </mergeCells>
  <dataValidations count="2">
    <dataValidation type="list" allowBlank="1" showInputMessage="1" showErrorMessage="1" sqref="AQ6:AQ40 AB6:AB40 U6:U40" xr:uid="{60DB025F-D15E-43FF-A948-CBC277C4BDBB}">
      <formula1>"BANQUE,ESPECES, "</formula1>
    </dataValidation>
    <dataValidation type="list" allowBlank="1" showInputMessage="1" showErrorMessage="1" sqref="AG6:AG40" xr:uid="{D49E7205-CA86-44E9-A453-1D5CACFB6AEA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85"/>
  <sheetViews>
    <sheetView zoomScale="87" zoomScaleNormal="87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26" sqref="G2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 t="shared" ref="C6:C38" ca="1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>
        <f ca="1">IFERROR(CHERCHEV(A6,[13]TONTJANV24!$A$6:$R$39,12,0),0)</f>
        <v>0</v>
      </c>
      <c r="Q6" s="2">
        <f>IFERROR(VLOOKUP(A6,[14]TONTJANV24!$A$7:$P$23,10,0),0)</f>
        <v>0</v>
      </c>
      <c r="R6" s="2">
        <f>IFERROR(VLOOKUP(A6,[15]TONTJANV24!$A$7:$P$20,10,0),0)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>
        <v>27000</v>
      </c>
      <c r="BB6" s="58"/>
      <c r="BC6" s="15"/>
      <c r="BD6" s="57">
        <f>IF(AZ6=0,(AZ6-BA6-BC6),(AZ6-BA6-BB6-BC6))</f>
        <v>200000</v>
      </c>
      <c r="BE6" s="82" t="s">
        <v>186</v>
      </c>
      <c r="BF6" s="29">
        <f t="shared" ref="BF6:BF38" si="6">Z6*1/100*BG6</f>
        <v>0</v>
      </c>
      <c r="BG6" s="29">
        <v>11</v>
      </c>
      <c r="BH6" s="15">
        <f>BQ16</f>
        <v>27000</v>
      </c>
      <c r="BI6" s="15">
        <f>BQ28</f>
        <v>200000</v>
      </c>
      <c r="BJ6" s="15">
        <f>BQ33</f>
        <v>0</v>
      </c>
      <c r="BK6" s="15"/>
      <c r="BL6" s="15"/>
      <c r="BM6" s="15"/>
      <c r="BN6" s="15">
        <f>+BQ22</f>
        <v>300000</v>
      </c>
      <c r="BO6" t="s">
        <v>115</v>
      </c>
      <c r="BP6" t="s">
        <v>114</v>
      </c>
      <c r="BQ6" s="6">
        <v>8500</v>
      </c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VLOOKUP(A7,[13]TONTJANV24!$A$6:$R$39,12,0)</f>
        <v>0</v>
      </c>
      <c r="Q7" s="2">
        <f>IFERROR(VLOOKUP(A7,[14]TONTJANV24!$A$7:$P$23,10,0),0)</f>
        <v>0</v>
      </c>
      <c r="R7" s="2">
        <f>IFERROR(VLOOKUP(A7,[15]TONTJANV24!$A$7:$P$20,10,0),0)</f>
        <v>0</v>
      </c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SUM(AV7:AY7)-BF7+Z7-F7+BH7+BI7+BJ7+BK7+BL7+BM7+6000+600000</f>
        <v>600000</v>
      </c>
      <c r="BA7" s="58"/>
      <c r="BB7" s="58"/>
      <c r="BC7" s="15"/>
      <c r="BD7" s="57">
        <f>IF(AZ7=0,(AZ7-BA7-BC7),(AZ7-BA7-BB7-BC7))+F7-600000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VLOOKUP(A8,[13]TONTJANV24!$A$6:$R$39,12,0)</f>
        <v>0</v>
      </c>
      <c r="Q8" s="2">
        <f>IFERROR(VLOOKUP(A8,[14]TONTJANV24!$A$7:$P$23,10,0),0)</f>
        <v>0</v>
      </c>
      <c r="R8" s="2">
        <f>IFERROR(VLOOKUP(A8,[15]TONTJANV24!$A$7:$P$20,10,0),0)</f>
        <v>0</v>
      </c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VLOOKUP(A9,[13]TONTJANV24!$A$6:$R$39,12,0)</f>
        <v>0</v>
      </c>
      <c r="Q9" s="2">
        <f>IFERROR(VLOOKUP(A9,[14]TONTJANV24!$A$7:$P$23,10,0),0)</f>
        <v>0</v>
      </c>
      <c r="R9" s="2">
        <f>IFERROR(VLOOKUP(A9,[15]TONTJANV24!$A$7:$P$20,10,0),0)</f>
        <v>0</v>
      </c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 t="s">
        <v>186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O9" t="s">
        <v>196</v>
      </c>
      <c r="BP9" t="s">
        <v>114</v>
      </c>
      <c r="BQ9" s="6">
        <v>18500</v>
      </c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VLOOKUP(A10,[13]TONTJANV24!$A$6:$R$39,12,0)</f>
        <v>0</v>
      </c>
      <c r="Q10" s="2">
        <f>IFERROR(VLOOKUP(A10,[14]TONTJANV24!$A$7:$P$23,10,0),0)</f>
        <v>0</v>
      </c>
      <c r="R10" s="2">
        <f>IFERROR(VLOOKUP(A10,[15]TONTJANV24!$A$7:$P$20,10,0),0)</f>
        <v>0</v>
      </c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 t="s">
        <v>186</v>
      </c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VLOOKUP(A11,[13]TONTJANV24!$A$6:$R$39,12,0)</f>
        <v>0</v>
      </c>
      <c r="Q11" s="2">
        <f>IFERROR(VLOOKUP(A11,[14]TONTJANV24!$A$7:$P$23,10,0),0)</f>
        <v>0</v>
      </c>
      <c r="R11" s="2">
        <f>IFERROR(VLOOKUP(A11,[15]TONTJANV24!$A$7:$P$20,10,0),0)</f>
        <v>0</v>
      </c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VLOOKUP(A12,[13]TONTJANV24!$A$6:$R$39,12,0)</f>
        <v>0</v>
      </c>
      <c r="Q12" s="2">
        <f>IFERROR(VLOOKUP(A12,[14]TONTJANV24!$A$7:$P$23,10,0),0)</f>
        <v>0</v>
      </c>
      <c r="R12" s="2">
        <f>IFERROR(VLOOKUP(A12,[15]TONTJANV24!$A$7:$P$20,10,0),0)</f>
        <v>0</v>
      </c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 t="s">
        <v>186</v>
      </c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VLOOKUP(A13,[13]TONTJANV24!$A$6:$R$39,12,0)</f>
        <v>0</v>
      </c>
      <c r="Q13" s="2">
        <f>IFERROR(VLOOKUP(A13,[14]TONTJANV24!$A$7:$P$23,10,0),0)</f>
        <v>0</v>
      </c>
      <c r="R13" s="2">
        <f>IFERROR(VLOOKUP(A13,[15]TONTJANV24!$A$7:$P$20,10,0),0)</f>
        <v>0</v>
      </c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/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VLOOKUP(A14,[13]TONTJANV24!$A$6:$R$39,12,0)</f>
        <v>0</v>
      </c>
      <c r="Q14" s="2">
        <f>IFERROR(VLOOKUP(A14,[14]TONTJANV24!$A$7:$P$23,10,0),0)</f>
        <v>0</v>
      </c>
      <c r="R14" s="2">
        <f>IFERROR(VLOOKUP(A14,[15]TONTJANV24!$A$7:$P$20,10,0),0)</f>
        <v>0</v>
      </c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VLOOKUP(A15,[13]TONTJANV24!$A$6:$R$39,12,0)</f>
        <v>0</v>
      </c>
      <c r="Q15" s="2">
        <f>IFERROR(VLOOKUP(A15,[14]TONTJANV24!$A$7:$P$23,10,0),0)</f>
        <v>0</v>
      </c>
      <c r="R15" s="2">
        <f>IFERROR(VLOOKUP(A15,[15]TONTJANV24!$A$7:$P$20,10,0),0)</f>
        <v>0</v>
      </c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VLOOKUP(A16,[13]TONTJANV24!$A$6:$R$39,12,0)</f>
        <v>0</v>
      </c>
      <c r="Q16" s="2">
        <f>IFERROR(VLOOKUP(A16,[14]TONTJANV24!$A$7:$P$23,10,0),0)</f>
        <v>0</v>
      </c>
      <c r="R16" s="2">
        <f>IFERROR(VLOOKUP(A16,[15]TONTJANV24!$A$7:$P$20,10,0),0)</f>
        <v>0</v>
      </c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 t="s">
        <v>186</v>
      </c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O16" s="62" t="s">
        <v>142</v>
      </c>
      <c r="BQ16" s="62">
        <f>SUM(BQ6:BQ15)</f>
        <v>27000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VLOOKUP(A17,[13]TONTJANV24!$A$6:$R$39,12,0)</f>
        <v>0</v>
      </c>
      <c r="Q17" s="2">
        <f>IFERROR(VLOOKUP(A17,[14]TONTJANV24!$A$7:$P$23,10,0),0)</f>
        <v>0</v>
      </c>
      <c r="R17" s="2">
        <f>IFERROR(VLOOKUP(A17,[15]TONTJANV24!$A$7:$P$20,10,0),0)</f>
        <v>0</v>
      </c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 t="s">
        <v>186</v>
      </c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VLOOKUP(A18,[13]TONTJANV24!$A$6:$R$39,12,0)</f>
        <v>0</v>
      </c>
      <c r="Q18" s="2">
        <f>IFERROR(VLOOKUP(A18,[14]TONTJANV24!$A$7:$P$23,10,0),0)</f>
        <v>0</v>
      </c>
      <c r="R18" s="2">
        <f>IFERROR(VLOOKUP(A18,[15]TONTJANV24!$A$7:$P$20,10,0),0)</f>
        <v>0</v>
      </c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 t="s">
        <v>186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300000</v>
      </c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">
        <f>VLOOKUP(A19,[13]TONTJANV24!$A$6:$R$39,12,0)</f>
        <v>0</v>
      </c>
      <c r="Q19" s="2">
        <f>IFERROR(VLOOKUP(A19,[14]TONTJANV24!$A$7:$P$23,10,0),0)</f>
        <v>0</v>
      </c>
      <c r="R19" s="2">
        <f>IFERROR(VLOOKUP(A19,[15]TONTJANV24!$A$7:$P$20,10,0),0)</f>
        <v>0</v>
      </c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VLOOKUP(A20,[13]TONTJANV24!$A$6:$R$39,12,0)</f>
        <v>0</v>
      </c>
      <c r="Q20" s="2">
        <f>IFERROR(VLOOKUP(A20,[14]TONTJANV24!$A$7:$P$23,10,0),0)</f>
        <v>0</v>
      </c>
      <c r="R20" s="2">
        <f>IFERROR(VLOOKUP(A20,[15]TONTJANV24!$A$7:$P$20,10,0),0)</f>
        <v>0</v>
      </c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 t="s">
        <v>186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VLOOKUP(A21,[13]TONTJANV24!$A$6:$R$39,12,0)</f>
        <v>0</v>
      </c>
      <c r="Q21" s="2">
        <f>IFERROR(VLOOKUP(A21,[14]TONTJANV24!$A$7:$P$23,10,0),0)</f>
        <v>0</v>
      </c>
      <c r="R21" s="2">
        <f>IFERROR(VLOOKUP(A21,[15]TONTJANV24!$A$7:$P$20,10,0),0)</f>
        <v>0</v>
      </c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VLOOKUP(A22,[13]TONTJANV24!$A$6:$R$39,12,0)</f>
        <v>0</v>
      </c>
      <c r="Q22" s="2">
        <f>IFERROR(VLOOKUP(A22,[14]TONTJANV24!$A$7:$P$23,10,0),0)</f>
        <v>0</v>
      </c>
      <c r="R22" s="2">
        <f>IFERROR(VLOOKUP(A22,[15]TONTJANV24!$A$7:$P$20,10,0),0)</f>
        <v>0</v>
      </c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300000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VLOOKUP(A23,[13]TONTJANV24!$A$6:$R$39,12,0)</f>
        <v>0</v>
      </c>
      <c r="Q23" s="2">
        <f>IFERROR(VLOOKUP(A23,[14]TONTJANV24!$A$7:$P$23,10,0),0)</f>
        <v>0</v>
      </c>
      <c r="R23" s="2">
        <f>IFERROR(VLOOKUP(A23,[15]TONTJANV24!$A$7:$P$20,10,0),0)</f>
        <v>0</v>
      </c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VLOOKUP(A24,[13]TONTJANV24!$A$6:$R$39,12,0)</f>
        <v>0</v>
      </c>
      <c r="Q24" s="2">
        <f>IFERROR(VLOOKUP(A24,[14]TONTJANV24!$A$7:$P$23,10,0),0)</f>
        <v>0</v>
      </c>
      <c r="R24" s="2">
        <f>IFERROR(VLOOKUP(A24,[15]TONTJANV24!$A$7:$P$20,10,0),0)</f>
        <v>0</v>
      </c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O24" t="s">
        <v>197</v>
      </c>
      <c r="BP24" t="s">
        <v>143</v>
      </c>
      <c r="BQ24" s="6">
        <v>200000</v>
      </c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VLOOKUP(A25,[13]TONTJANV24!$A$6:$R$39,12,0)</f>
        <v>0</v>
      </c>
      <c r="Q25" s="2">
        <f>IFERROR(VLOOKUP(A25,[14]TONTJANV24!$A$7:$P$23,10,0),0)</f>
        <v>0</v>
      </c>
      <c r="R25" s="2">
        <f>IFERROR(VLOOKUP(A25,[15]TONTJANV24!$A$7:$P$20,10,0),0)</f>
        <v>0</v>
      </c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 t="s">
        <v>186</v>
      </c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O25" t="s">
        <v>204</v>
      </c>
      <c r="BP25" t="s">
        <v>143</v>
      </c>
      <c r="BQ25" s="6"/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0"/>
        <v>50000</v>
      </c>
      <c r="D26" s="9">
        <f>VLOOKUP(A26,[12]HISTOBQUEJANV24!$A$6:$G$46,3,0)</f>
        <v>50000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</f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VLOOKUP(A26,[13]TONTJANV24!$A$6:$R$39,12,0)</f>
        <v>0</v>
      </c>
      <c r="Q26" s="2">
        <f>IFERROR(VLOOKUP(A26,[14]TONTJANV24!$A$7:$P$23,10,0),0)</f>
        <v>0</v>
      </c>
      <c r="R26" s="2">
        <f>IFERROR(VLOOKUP(A26,[15]TONTJANV24!$A$7:$P$20,10,0),0)</f>
        <v>0</v>
      </c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 t="s">
        <v>186</v>
      </c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VLOOKUP(A27,[13]TONTJANV24!$A$6:$R$39,12,0)</f>
        <v>0</v>
      </c>
      <c r="Q27" s="2">
        <f>IFERROR(VLOOKUP(A27,[14]TONTJANV24!$A$7:$P$23,10,0),0)</f>
        <v>0</v>
      </c>
      <c r="R27" s="2">
        <f>IFERROR(VLOOKUP(A27,[15]TONTJANV24!$A$7:$P$20,10,0),0)</f>
        <v>0</v>
      </c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VLOOKUP(A28,[13]TONTJANV24!$A$6:$R$39,12,0)</f>
        <v>0</v>
      </c>
      <c r="Q28" s="2">
        <f>IFERROR(VLOOKUP(A28,[14]TONTJANV24!$A$7:$P$23,10,0),0)</f>
        <v>0</v>
      </c>
      <c r="R28" s="2">
        <f>IFERROR(VLOOKUP(A28,[15]TONTJANV24!$A$7:$P$20,10,0),0)</f>
        <v>0</v>
      </c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200000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VLOOKUP(A29,[13]TONTJANV24!$A$6:$R$39,12,0)</f>
        <v>0</v>
      </c>
      <c r="Q29" s="2">
        <f>IFERROR(VLOOKUP(A29,[14]TONTJANV24!$A$7:$P$23,10,0),0)</f>
        <v>0</v>
      </c>
      <c r="R29" s="2">
        <f>IFERROR(VLOOKUP(A29,[15]TONTJANV24!$A$7:$P$20,10,0),0)</f>
        <v>0</v>
      </c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VLOOKUP(A30,[13]TONTJANV24!$A$6:$R$39,12,0)</f>
        <v>0</v>
      </c>
      <c r="Q30" s="2">
        <f>IFERROR(VLOOKUP(A30,[14]TONTJANV24!$A$7:$P$23,10,0),0)</f>
        <v>0</v>
      </c>
      <c r="R30" s="2">
        <f>IFERROR(VLOOKUP(A30,[15]TONTJANV24!$A$7:$P$20,10,0),0)</f>
        <v>0</v>
      </c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VLOOKUP(A31,[13]TONTJANV24!$A$6:$R$39,12,0)</f>
        <v>0</v>
      </c>
      <c r="Q31" s="2">
        <f>IFERROR(VLOOKUP(A31,[14]TONTJANV24!$A$7:$P$23,10,0),0)</f>
        <v>0</v>
      </c>
      <c r="R31" s="2">
        <f>IFERROR(VLOOKUP(A31,[15]TONTJANV24!$A$7:$P$20,10,0),0)</f>
        <v>0</v>
      </c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VLOOKUP(A32,[13]TONTJANV24!$A$6:$R$39,12,0)</f>
        <v>0</v>
      </c>
      <c r="Q32" s="2">
        <f>IFERROR(VLOOKUP(A32,[14]TONTJANV24!$A$7:$P$23,10,0),0)</f>
        <v>0</v>
      </c>
      <c r="R32" s="2">
        <f>IFERROR(VLOOKUP(A32,[15]TONTJANV24!$A$7:$P$20,10,0),0)</f>
        <v>0</v>
      </c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 t="s">
        <v>186</v>
      </c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VLOOKUP(A33,[13]TONTJANV24!$A$6:$R$39,12,0)</f>
        <v>0</v>
      </c>
      <c r="Q33" s="2">
        <f>IFERROR(VLOOKUP(A33,[14]TONTJANV24!$A$7:$P$23,10,0),0)</f>
        <v>0</v>
      </c>
      <c r="R33" s="2">
        <f>IFERROR(VLOOKUP(A33,[15]TONTJANV24!$A$7:$P$20,10,0),0)</f>
        <v>0</v>
      </c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">
        <f>VLOOKUP(A34,[13]TONTJANV24!$A$6:$R$39,12,0)</f>
        <v>0</v>
      </c>
      <c r="Q34" s="2">
        <f>IFERROR(VLOOKUP(A34,[14]TONTJANV24!$A$7:$P$23,10,0),0)</f>
        <v>0</v>
      </c>
      <c r="R34" s="2">
        <f>IFERROR(VLOOKUP(A34,[15]TONTJANV24!$A$7:$P$20,10,0),0)</f>
        <v>0</v>
      </c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VLOOKUP(A35,[13]TONTJANV24!$A$6:$R$39,12,0)</f>
        <v>0</v>
      </c>
      <c r="Q35" s="2">
        <f>IFERROR(VLOOKUP(A35,[14]TONTJANV24!$A$7:$P$23,10,0),0)</f>
        <v>0</v>
      </c>
      <c r="R35" s="2">
        <f>IFERROR(VLOOKUP(A35,[15]TONTJANV24!$A$7:$P$20,10,0),0)</f>
        <v>0</v>
      </c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0"/>
        <v>53000</v>
      </c>
      <c r="D36" s="9">
        <f>VLOOKUP(A36,[12]HISTOBQUEJANV24!$A$6:$G$46,3,0)</f>
        <v>50000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-3000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VLOOKUP(A36,[13]TONTJANV24!$A$6:$R$39,12,0)</f>
        <v>0</v>
      </c>
      <c r="Q36" s="2">
        <f>IFERROR(VLOOKUP(A36,[14]TONTJANV24!$A$7:$P$23,10,0),0)</f>
        <v>0</v>
      </c>
      <c r="R36" s="2">
        <f>IFERROR(VLOOKUP(A36,[15]TONTJANV24!$A$7:$P$20,10,0),0)</f>
        <v>0</v>
      </c>
      <c r="S36" s="20"/>
      <c r="T36" s="12"/>
      <c r="U36" s="17">
        <f t="shared" si="13"/>
        <v>47000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2">
        <f>VLOOKUP(A37,[13]TONTJANV24!$A$6:$R$39,12,0)</f>
        <v>0</v>
      </c>
      <c r="Q37" s="2">
        <f>IFERROR(VLOOKUP(A37,[14]TONTJANV24!$A$7:$P$23,10,0),0)</f>
        <v>0</v>
      </c>
      <c r="R37" s="2">
        <f>IFERROR(VLOOKUP(A37,[15]TONTJANV24!$A$7:$P$20,10,0),0)</f>
        <v>0</v>
      </c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VLOOKUP(A38,[13]TONTJANV24!$A$6:$R$39,12,0)</f>
        <v>0</v>
      </c>
      <c r="Q38" s="2">
        <f>IFERROR(VLOOKUP(A38,[14]TONTJANV24!$A$7:$P$23,10,0),0)</f>
        <v>0</v>
      </c>
      <c r="R38" s="2">
        <f>IFERROR(VLOOKUP(A38,[15]TONTJANV24!$A$7:$P$20,10,0),0)</f>
        <v>0</v>
      </c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ca="1" si="59">SUM(C6:C39)</f>
        <v>229000</v>
      </c>
      <c r="D40" s="5">
        <f t="shared" si="59"/>
        <v>5456000</v>
      </c>
      <c r="E40" s="5">
        <f t="shared" si="59"/>
        <v>200000</v>
      </c>
      <c r="F40" s="5">
        <f t="shared" si="59"/>
        <v>0</v>
      </c>
      <c r="G40" s="5">
        <f t="shared" si="59"/>
        <v>-3000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ca="1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ca="1" si="60">SUM(U6:U39)</f>
        <v>5427000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8899000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7565000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200000</v>
      </c>
      <c r="BJ40" s="5">
        <f t="shared" si="62"/>
        <v>0</v>
      </c>
      <c r="BK40" s="5">
        <f t="shared" si="62"/>
        <v>100000</v>
      </c>
      <c r="BL40" s="5">
        <f t="shared" si="62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209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208</v>
      </c>
      <c r="C47" s="14">
        <f>BD40</f>
        <v>7565000</v>
      </c>
      <c r="D47" s="9">
        <f>+D40</f>
        <v>5456000</v>
      </c>
      <c r="E47" s="9">
        <f>+C47-D47</f>
        <v>2109000</v>
      </c>
      <c r="F47" s="9">
        <f>E40</f>
        <v>200000</v>
      </c>
      <c r="G47" s="14">
        <f>+BA40</f>
        <v>790000</v>
      </c>
      <c r="H47" s="88">
        <f>+F47-G47</f>
        <v>-590000</v>
      </c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16971000</v>
      </c>
    </row>
  </sheetData>
  <autoFilter ref="A5:AF38" xr:uid="{00000000-0009-0000-0000-000004000000}"/>
  <mergeCells count="1">
    <mergeCell ref="B4:M4"/>
  </mergeCells>
  <dataValidations disablePrompts="1" count="2">
    <dataValidation type="list" allowBlank="1" showInputMessage="1" showErrorMessage="1" sqref="AF6:AF38" xr:uid="{00000000-0002-0000-0400-000000000000}">
      <formula1>MODEVERSEMENTS</formula1>
    </dataValidation>
    <dataValidation type="list" allowBlank="1" showInputMessage="1" showErrorMessage="1" sqref="T6:T38 AA6:AA38 AP6:AP38" xr:uid="{00000000-0002-0000-0400-000001000000}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85"/>
  <sheetViews>
    <sheetView zoomScaleNormal="100" workbookViewId="0">
      <pane xSplit="4" ySplit="5" topLeftCell="BH39" activePane="bottomRight" state="frozen"/>
      <selection pane="topRight" activeCell="E1" sqref="E1"/>
      <selection pane="bottomLeft" activeCell="A6" sqref="A6"/>
      <selection pane="bottomRight" activeCell="A33" sqref="A33:XFD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 t="shared" ref="C6:C38" ca="1" si="0">D6+E6+F6-U6-BB6</f>
        <v>0</v>
      </c>
      <c r="D6" s="9">
        <f>VLOOKUP(A6,[12]HISTOBQUEFEV24!$A$6:$G$46,3,0)</f>
        <v>175000</v>
      </c>
      <c r="E6" s="9">
        <f>VLOOKUP(A6,[12]HISTOBQUEFEV24!$A$6:$G$41,4,0)</f>
        <v>0</v>
      </c>
      <c r="F6" s="9">
        <f>VLOOKUP(A6,[12]HISTOBQUEFEV24!$A$6:$G$41,5,0)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>
        <f ca="1">IFERROR(CHERCHEV(A6,[13]TONTFEV24!$A$6:$R$39,12,0),0)</f>
        <v>0</v>
      </c>
      <c r="Q6" s="2">
        <f>IFERROR(VLOOKUP(A6,[14]TONTFEV24!$A$7:$P$23,10,0),0)</f>
        <v>0</v>
      </c>
      <c r="R6" s="2">
        <f>IFERROR(VLOOKUP(A6,[15]TONTFEV24!$A$7:$P$20,10,0),0)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127000</v>
      </c>
      <c r="BA6" s="58"/>
      <c r="BB6" s="58"/>
      <c r="BC6" s="15"/>
      <c r="BD6" s="57">
        <f>IF(AZ6=0,(AZ6-BA6-BC6),(AZ6-BA6-BB6-BC6))</f>
        <v>127000</v>
      </c>
      <c r="BE6" s="82" t="s">
        <v>186</v>
      </c>
      <c r="BF6" s="29">
        <f t="shared" ref="BF6:BF38" si="6">Z6*1/100*BG6</f>
        <v>0</v>
      </c>
      <c r="BG6" s="29">
        <v>10</v>
      </c>
      <c r="BH6" s="15">
        <f>BQ16</f>
        <v>27000</v>
      </c>
      <c r="BI6" s="15">
        <f>BQ28</f>
        <v>0</v>
      </c>
      <c r="BJ6" s="15">
        <f>BQ33</f>
        <v>100000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>
        <v>3000</v>
      </c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VLOOKUP(A7,[12]HISTOBQUEFEV24!$A$6:$G$46,3,0)</f>
        <v>56000</v>
      </c>
      <c r="E7" s="9">
        <f>VLOOKUP(A7,[12]HISTOBQUEFEV24!$A$6:$G$41,4,0)</f>
        <v>0</v>
      </c>
      <c r="F7" s="9">
        <f>VLOOKUP(A7,[12]HISTOBQUEFEV24!$A$6:$G$41,5,0)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VLOOKUP(A7,[13]TONTFEV24!$A$6:$R$39,12,0)</f>
        <v>0</v>
      </c>
      <c r="Q7" s="2">
        <f>IFERROR(VLOOKUP(A7,[14]TONTFEV24!$A$7:$P$23,10,0),0)</f>
        <v>0</v>
      </c>
      <c r="R7" s="2">
        <f>IFERROR(VLOOKUP(A7,[15]TONTFEV24!$A$7:$P$20,10,0),0)</f>
        <v>0</v>
      </c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 t="s">
        <v>186</v>
      </c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9">
        <f t="shared" si="0"/>
        <v>0</v>
      </c>
      <c r="D8" s="9">
        <f>VLOOKUP(A8,[12]HISTOBQUEFEV24!$A$6:$G$46,3,0)</f>
        <v>100000</v>
      </c>
      <c r="E8" s="9">
        <f>VLOOKUP(A8,[12]HISTOBQUEFEV24!$A$6:$G$41,4,0)</f>
        <v>25000</v>
      </c>
      <c r="F8" s="9">
        <f>VLOOKUP(A8,[12]HISTOBQUEFEV24!$A$6:$G$41,5,0)</f>
        <v>0</v>
      </c>
      <c r="G8" s="5">
        <f>IF(H8="ESPECES",3000,0)+3000</f>
        <v>3000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VLOOKUP(A8,[13]TONTFEV24!$A$6:$R$39,12,0)</f>
        <v>0</v>
      </c>
      <c r="Q8" s="2">
        <f>IFERROR(VLOOKUP(A8,[14]TONTFEV24!$A$7:$P$23,10,0),0)</f>
        <v>0</v>
      </c>
      <c r="R8" s="2">
        <f>IFERROR(VLOOKUP(A8,[15]TONTFEV24!$A$7:$P$20,10,0),0)</f>
        <v>0</v>
      </c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12000</v>
      </c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VLOOKUP(A9,[12]HISTOBQUEFEV24!$A$6:$G$46,3,0)</f>
        <v>250000</v>
      </c>
      <c r="E9" s="9">
        <f>VLOOKUP(A9,[12]HISTOBQUEFEV24!$A$6:$G$41,4,0)</f>
        <v>0</v>
      </c>
      <c r="F9" s="9">
        <f>VLOOKUP(A9,[12]HISTOBQUEFEV24!$A$6:$G$41,5,0)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VLOOKUP(A9,[13]TONTFEV24!$A$6:$R$39,12,0)</f>
        <v>0</v>
      </c>
      <c r="Q9" s="2">
        <f>IFERROR(VLOOKUP(A9,[14]TONTFEV24!$A$7:$P$23,10,0),0)</f>
        <v>0</v>
      </c>
      <c r="R9" s="2">
        <f>IFERROR(VLOOKUP(A9,[15]TONTFEV24!$A$7:$P$20,10,0),0)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VLOOKUP(A10,[12]HISTOBQUEFEV24!$A$6:$G$46,3,0)</f>
        <v>125000</v>
      </c>
      <c r="E10" s="9">
        <f>VLOOKUP(A10,[12]HISTOBQUEFEV24!$A$6:$G$41,4,0)</f>
        <v>105000</v>
      </c>
      <c r="F10" s="9">
        <f>VLOOKUP(A10,[12]HISTOBQUEFEV24!$A$6:$G$41,5,0)</f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VLOOKUP(A10,[13]TONTFEV24!$A$6:$R$39,12,0)</f>
        <v>0</v>
      </c>
      <c r="Q10" s="2">
        <f>IFERROR(VLOOKUP(A10,[14]TONTFEV24!$A$7:$P$23,10,0),0)</f>
        <v>102000</v>
      </c>
      <c r="R10" s="2">
        <f>IFERROR(VLOOKUP(A10,[15]TONTFEV24!$A$7:$P$20,10,0),0)</f>
        <v>0</v>
      </c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VLOOKUP(A11,[12]HISTOBQUEFEV24!$A$6:$G$46,3,0)</f>
        <v>227000</v>
      </c>
      <c r="E11" s="9">
        <f>VLOOKUP(A11,[12]HISTOBQUEFEV24!$A$6:$G$41,4,0)</f>
        <v>0</v>
      </c>
      <c r="F11" s="9">
        <f>VLOOKUP(A11,[12]HISTOBQUEFEV24!$A$6:$G$41,5,0)+1000000</f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VLOOKUP(A11,[13]TONTFEV24!$A$6:$R$39,12,0)</f>
        <v>0</v>
      </c>
      <c r="Q11" s="2">
        <f>IFERROR(VLOOKUP(A11,[14]TONTFEV24!$A$7:$P$23,10,0),0)</f>
        <v>102000</v>
      </c>
      <c r="R11" s="2">
        <f>IFERROR(VLOOKUP(A11,[15]TONTFEV24!$A$7:$P$20,10,0),0)</f>
        <v>0</v>
      </c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 t="s">
        <v>186</v>
      </c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VLOOKUP(A12,[12]HISTOBQUEFEV24!$A$6:$G$46,3,0)</f>
        <v>330000</v>
      </c>
      <c r="E12" s="9">
        <f>VLOOKUP(A12,[12]HISTOBQUEFEV24!$A$6:$G$41,4,0)</f>
        <v>0</v>
      </c>
      <c r="F12" s="9">
        <f>VLOOKUP(A12,[12]HISTOBQUEFEV24!$A$6:$G$41,5,0)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VLOOKUP(A12,[13]TONTFEV24!$A$6:$R$39,12,0)</f>
        <v>0</v>
      </c>
      <c r="Q12" s="2">
        <f>IFERROR(VLOOKUP(A12,[14]TONTFEV24!$A$7:$P$23,10,0),0)</f>
        <v>0</v>
      </c>
      <c r="R12" s="2">
        <f>IFERROR(VLOOKUP(A12,[15]TONTFEV24!$A$7:$P$20,10,0),0)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 t="s">
        <v>186</v>
      </c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VLOOKUP(A13,[12]HISTOBQUEFEV24!$A$6:$G$46,3,0)</f>
        <v>50000</v>
      </c>
      <c r="E13" s="9">
        <f>VLOOKUP(A13,[12]HISTOBQUEFEV24!$A$6:$G$41,4,0)</f>
        <v>0</v>
      </c>
      <c r="F13" s="9">
        <f>VLOOKUP(A13,[12]HISTOBQUEFEV24!$A$6:$G$41,5,0)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VLOOKUP(A13,[13]TONTFEV24!$A$6:$R$39,12,0)</f>
        <v>0</v>
      </c>
      <c r="Q13" s="2">
        <f>IFERROR(VLOOKUP(A13,[14]TONTFEV24!$A$7:$P$23,10,0),0)</f>
        <v>0</v>
      </c>
      <c r="R13" s="2">
        <f>IFERROR(VLOOKUP(A13,[15]TONTFEV24!$A$7:$P$20,10,0),0)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12000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VLOOKUP(A14,[12]HISTOBQUEFEV24!$A$6:$G$46,3,0)</f>
        <v>50000</v>
      </c>
      <c r="E14" s="9">
        <f>VLOOKUP(A14,[12]HISTOBQUEFEV24!$A$6:$G$41,4,0)</f>
        <v>0</v>
      </c>
      <c r="F14" s="9">
        <f>VLOOKUP(A14,[12]HISTOBQUEFEV24!$A$6:$G$41,5,0)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VLOOKUP(A14,[13]TONTFEV24!$A$6:$R$39,12,0)</f>
        <v>0</v>
      </c>
      <c r="Q14" s="2">
        <f>IFERROR(VLOOKUP(A14,[14]TONTFEV24!$A$7:$P$23,10,0),0)</f>
        <v>0</v>
      </c>
      <c r="R14" s="2">
        <f>IFERROR(VLOOKUP(A14,[15]TONTFEV24!$A$7:$P$20,10,0),0)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VLOOKUP(A15,[12]HISTOBQUEFEV24!$A$6:$G$46,3,0)</f>
        <v>125000</v>
      </c>
      <c r="E15" s="9">
        <f>VLOOKUP(A15,[12]HISTOBQUEFEV24!$A$6:$G$41,4,0)</f>
        <v>0</v>
      </c>
      <c r="F15" s="9">
        <f>VLOOKUP(A15,[12]HISTOBQUEFEV24!$A$6:$G$41,5,0)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VLOOKUP(A15,[13]TONTFEV24!$A$6:$R$39,12,0)</f>
        <v>0</v>
      </c>
      <c r="Q15" s="2">
        <f>IFERROR(VLOOKUP(A15,[14]TONTFEV24!$A$7:$P$23,10,0),0)</f>
        <v>0</v>
      </c>
      <c r="R15" s="2">
        <f>IFERROR(VLOOKUP(A15,[15]TONTFEV24!$A$7:$P$20,10,0),0)</f>
        <v>0</v>
      </c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VLOOKUP(A16,[12]HISTOBQUEFEV24!$A$6:$G$46,3,0)</f>
        <v>260000</v>
      </c>
      <c r="E16" s="9">
        <f>VLOOKUP(A16,[12]HISTOBQUEFEV24!$A$6:$G$41,4,0)</f>
        <v>0</v>
      </c>
      <c r="F16" s="9">
        <f>VLOOKUP(A16,[12]HISTOBQUEFEV24!$A$6:$G$41,5,0)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VLOOKUP(A16,[13]TONTFEV24!$A$6:$R$39,12,0)</f>
        <v>0</v>
      </c>
      <c r="Q16" s="2">
        <f>IFERROR(VLOOKUP(A16,[14]TONTFEV24!$A$7:$P$23,10,0),0)</f>
        <v>0</v>
      </c>
      <c r="R16" s="2">
        <f>IFERROR(VLOOKUP(A16,[15]TONTFEV24!$A$7:$P$20,10,0),0)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O16" s="62" t="s">
        <v>142</v>
      </c>
      <c r="BQ16" s="62">
        <f>SUM(BQ6:BQ15)</f>
        <v>27000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VLOOKUP(A17,[12]HISTOBQUEFEV24!$A$6:$G$46,3,0)</f>
        <v>251000</v>
      </c>
      <c r="E17" s="9">
        <f>VLOOKUP(A17,[12]HISTOBQUEFEV24!$A$6:$G$41,4,0)</f>
        <v>0</v>
      </c>
      <c r="F17" s="9">
        <f>VLOOKUP(A17,[12]HISTOBQUEFEV24!$A$6:$G$41,5,0)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VLOOKUP(A17,[13]TONTFEV24!$A$6:$R$39,12,0)</f>
        <v>0</v>
      </c>
      <c r="Q17" s="2">
        <f>IFERROR(VLOOKUP(A17,[14]TONTFEV24!$A$7:$P$23,10,0),0)</f>
        <v>0</v>
      </c>
      <c r="R17" s="2">
        <f>IFERROR(VLOOKUP(A17,[15]TONTFEV24!$A$7:$P$20,10,0),0)</f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 t="s">
        <v>186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VLOOKUP(A18,[12]HISTOBQUEFEV24!$A$6:$G$46,3,0)</f>
        <v>160000</v>
      </c>
      <c r="E18" s="9">
        <f>VLOOKUP(A18,[12]HISTOBQUEFEV24!$A$6:$G$41,4,0)</f>
        <v>0</v>
      </c>
      <c r="F18" s="9">
        <f>VLOOKUP(A18,[12]HISTOBQUEFEV24!$A$6:$G$41,5,0)</f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VLOOKUP(A18,[13]TONTFEV24!$A$6:$R$39,12,0)</f>
        <v>0</v>
      </c>
      <c r="Q18" s="2">
        <f>IFERROR(VLOOKUP(A18,[14]TONTFEV24!$A$7:$P$23,10,0),0)</f>
        <v>0</v>
      </c>
      <c r="R18" s="2">
        <f>IFERROR(VLOOKUP(A18,[15]TONTFEV24!$A$7:$P$20,10,0),0)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 t="s">
        <v>186</v>
      </c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0"/>
        <v>0</v>
      </c>
      <c r="D19" s="9">
        <f>VLOOKUP(A19,[12]HISTOBQUEFEV24!$A$6:$G$46,3,0)</f>
        <v>50000</v>
      </c>
      <c r="E19" s="9">
        <f>VLOOKUP(A19,[12]HISTOBQUEFEV24!$A$6:$G$41,4,0)</f>
        <v>0</v>
      </c>
      <c r="F19" s="9">
        <f>VLOOKUP(A19,[12]HISTOBQUEFEV24!$A$6:$G$41,5,0)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VLOOKUP(A19,[13]TONTFEV24!$A$6:$R$39,12,0)</f>
        <v>0</v>
      </c>
      <c r="Q19" s="2">
        <f>IFERROR(VLOOKUP(A19,[14]TONTFEV24!$A$7:$P$23,10,0),0)</f>
        <v>0</v>
      </c>
      <c r="R19" s="2">
        <f>IFERROR(VLOOKUP(A19,[15]TONTFEV24!$A$7:$P$20,10,0),0)</f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VLOOKUP(A20,[12]HISTOBQUEFEV24!$A$6:$G$46,3,0)</f>
        <v>225000</v>
      </c>
      <c r="E20" s="9">
        <f>VLOOKUP(A20,[12]HISTOBQUEFEV24!$A$6:$G$41,4,0)</f>
        <v>0</v>
      </c>
      <c r="F20" s="9">
        <f>VLOOKUP(A20,[12]HISTOBQUEFEV24!$A$6:$G$41,5,0)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VLOOKUP(A20,[13]TONTFEV24!$A$6:$R$39,12,0)</f>
        <v>0</v>
      </c>
      <c r="Q20" s="2">
        <f>IFERROR(VLOOKUP(A20,[14]TONTFEV24!$A$7:$P$23,10,0),0)</f>
        <v>0</v>
      </c>
      <c r="R20" s="2">
        <f>IFERROR(VLOOKUP(A20,[15]TONTFEV24!$A$7:$P$20,10,0),0)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140000</v>
      </c>
      <c r="BB20" s="58"/>
      <c r="BC20" s="15"/>
      <c r="BD20" s="57">
        <f t="shared" si="14"/>
        <v>944000</v>
      </c>
      <c r="BE20" s="82" t="s">
        <v>186</v>
      </c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VLOOKUP(A21,[12]HISTOBQUEFEV24!$A$6:$G$46,3,0)</f>
        <v>50000</v>
      </c>
      <c r="E21" s="9">
        <f>VLOOKUP(A21,[12]HISTOBQUEFEV24!$A$6:$G$41,4,0)</f>
        <v>0</v>
      </c>
      <c r="F21" s="9">
        <f>VLOOKUP(A21,[12]HISTOBQUEFEV24!$A$6:$G$41,5,0)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VLOOKUP(A21,[13]TONTFEV24!$A$6:$R$39,12,0)</f>
        <v>0</v>
      </c>
      <c r="Q21" s="2">
        <f>IFERROR(VLOOKUP(A21,[14]TONTFEV24!$A$7:$P$23,10,0),0)</f>
        <v>0</v>
      </c>
      <c r="R21" s="2">
        <f>IFERROR(VLOOKUP(A21,[15]TONTFEV24!$A$7:$P$20,10,0),0)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VLOOKUP(A22,[12]HISTOBQUEFEV24!$A$6:$G$46,3,0)</f>
        <v>125000</v>
      </c>
      <c r="E22" s="9">
        <f>VLOOKUP(A22,[12]HISTOBQUEFEV24!$A$6:$G$41,4,0)</f>
        <v>0</v>
      </c>
      <c r="F22" s="9">
        <f>VLOOKUP(A22,[12]HISTOBQUEFEV24!$A$6:$G$41,5,0)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VLOOKUP(A22,[13]TONTFEV24!$A$6:$R$39,12,0)</f>
        <v>0</v>
      </c>
      <c r="Q22" s="2">
        <f>IFERROR(VLOOKUP(A22,[14]TONTFEV24!$A$7:$P$23,10,0),0)</f>
        <v>0</v>
      </c>
      <c r="R22" s="2">
        <f>IFERROR(VLOOKUP(A22,[15]TONTFEV24!$A$7:$P$20,10,0),0)</f>
        <v>0</v>
      </c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VLOOKUP(A23,[12]HISTOBQUEFEV24!$A$6:$G$46,3,0)</f>
        <v>260000</v>
      </c>
      <c r="E23" s="9">
        <f>VLOOKUP(A23,[12]HISTOBQUEFEV24!$A$6:$G$41,4,0)</f>
        <v>0</v>
      </c>
      <c r="F23" s="9">
        <f>VLOOKUP(A23,[12]HISTOBQUEFEV24!$A$6:$G$41,5,0)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VLOOKUP(A23,[13]TONTFEV24!$A$6:$R$39,12,0)</f>
        <v>0</v>
      </c>
      <c r="Q23" s="2">
        <f>IFERROR(VLOOKUP(A23,[14]TONTFEV24!$A$7:$P$23,10,0),0)</f>
        <v>0</v>
      </c>
      <c r="R23" s="2">
        <f>IFERROR(VLOOKUP(A23,[15]TONTFEV24!$A$7:$P$20,10,0),0)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VLOOKUP(A24,[12]HISTOBQUEFEV24!$A$6:$G$46,3,0)</f>
        <v>240000</v>
      </c>
      <c r="E24" s="9">
        <f>VLOOKUP(A24,[12]HISTOBQUEFEV24!$A$6:$G$41,4,0)</f>
        <v>0</v>
      </c>
      <c r="F24" s="9">
        <f>VLOOKUP(A24,[12]HISTOBQUEFEV24!$A$6:$G$41,5,0)</f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VLOOKUP(A24,[13]TONTFEV24!$A$6:$R$39,12,0)</f>
        <v>0</v>
      </c>
      <c r="Q24" s="2">
        <f>IFERROR(VLOOKUP(A24,[14]TONTFEV24!$A$7:$P$23,10,0),0)</f>
        <v>0</v>
      </c>
      <c r="R24" s="2">
        <f>IFERROR(VLOOKUP(A24,[15]TONTFEV24!$A$7:$P$20,10,0),0)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100000</v>
      </c>
      <c r="BA24" s="58"/>
      <c r="BB24" s="58"/>
      <c r="BC24" s="15"/>
      <c r="BD24" s="57">
        <f t="shared" si="14"/>
        <v>100000</v>
      </c>
      <c r="BE24" s="82" t="s">
        <v>186</v>
      </c>
      <c r="BF24" s="29">
        <f t="shared" si="6"/>
        <v>0</v>
      </c>
      <c r="BG24" s="29">
        <v>10</v>
      </c>
      <c r="BH24" s="15"/>
      <c r="BI24" s="15"/>
      <c r="BJ24" s="15"/>
      <c r="BK24" s="15">
        <v>100000</v>
      </c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VLOOKUP(A25,[12]HISTOBQUEFEV24!$A$6:$G$46,3,0)</f>
        <v>375000</v>
      </c>
      <c r="E25" s="9">
        <f>VLOOKUP(A25,[12]HISTOBQUEFEV24!$A$6:$G$41,4,0)</f>
        <v>0</v>
      </c>
      <c r="F25" s="9">
        <f>VLOOKUP(A25,[12]HISTOBQUEFEV24!$A$6:$G$41,5,0)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VLOOKUP(A25,[13]TONTFEV24!$A$6:$R$39,12,0)</f>
        <v>0</v>
      </c>
      <c r="Q25" s="2">
        <f>IFERROR(VLOOKUP(A25,[14]TONTFEV24!$A$7:$P$23,10,0),0)</f>
        <v>0</v>
      </c>
      <c r="R25" s="2">
        <f>IFERROR(VLOOKUP(A25,[15]TONTFEV24!$A$7:$P$20,10,0),0)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VLOOKUP(A26,[12]HISTOBQUEFEV24!$A$6:$G$46,3,0)</f>
        <v>50000</v>
      </c>
      <c r="E26" s="9">
        <f>VLOOKUP(A26,[12]HISTOBQUEFEV24!$A$6:$G$41,4,0)</f>
        <v>0</v>
      </c>
      <c r="F26" s="9">
        <f>VLOOKUP(A26,[12]HISTOBQUEFEV24!$A$6:$G$41,5,0)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VLOOKUP(A26,[13]TONTFEV24!$A$6:$R$39,12,0)</f>
        <v>0</v>
      </c>
      <c r="Q26" s="2">
        <f>IFERROR(VLOOKUP(A26,[14]TONTFEV24!$A$7:$P$23,10,0),0)</f>
        <v>0</v>
      </c>
      <c r="R26" s="2">
        <f>IFERROR(VLOOKUP(A26,[15]TONTFEV24!$A$7:$P$20,10,0),0)</f>
        <v>0</v>
      </c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VLOOKUP(A27,[12]HISTOBQUEFEV24!$A$6:$G$46,3,0)</f>
        <v>50000</v>
      </c>
      <c r="E27" s="9">
        <f>VLOOKUP(A27,[12]HISTOBQUEFEV24!$A$6:$G$41,4,0)</f>
        <v>0</v>
      </c>
      <c r="F27" s="9">
        <f>VLOOKUP(A27,[12]HISTOBQUEFEV24!$A$6:$G$41,5,0)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VLOOKUP(A27,[13]TONTFEV24!$A$6:$R$39,12,0)</f>
        <v>0</v>
      </c>
      <c r="Q27" s="2">
        <f>IFERROR(VLOOKUP(A27,[14]TONTFEV24!$A$7:$P$23,10,0),0)</f>
        <v>0</v>
      </c>
      <c r="R27" s="2">
        <f>IFERROR(VLOOKUP(A27,[15]TONTFEV24!$A$7:$P$20,10,0),0)</f>
        <v>0</v>
      </c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VLOOKUP(A28,[12]HISTOBQUEFEV24!$A$6:$G$46,3,0)</f>
        <v>125000</v>
      </c>
      <c r="E28" s="9">
        <f>VLOOKUP(A28,[12]HISTOBQUEFEV24!$A$6:$G$41,4,0)</f>
        <v>0</v>
      </c>
      <c r="F28" s="9">
        <f>VLOOKUP(A28,[12]HISTOBQUEFEV24!$A$6:$G$41,5,0)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VLOOKUP(A28,[13]TONTFEV24!$A$6:$R$39,12,0)</f>
        <v>0</v>
      </c>
      <c r="Q28" s="2">
        <f>IFERROR(VLOOKUP(A28,[14]TONTFEV24!$A$7:$P$23,10,0),0)</f>
        <v>0</v>
      </c>
      <c r="R28" s="2">
        <f>IFERROR(VLOOKUP(A28,[15]TONTFEV24!$A$7:$P$20,10,0),0)</f>
        <v>0</v>
      </c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VLOOKUP(A29,[12]HISTOBQUEFEV24!$A$6:$G$46,3,0)</f>
        <v>50000</v>
      </c>
      <c r="E29" s="9">
        <f>VLOOKUP(A29,[12]HISTOBQUEFEV24!$A$6:$G$41,4,0)</f>
        <v>0</v>
      </c>
      <c r="F29" s="9">
        <f>VLOOKUP(A29,[12]HISTOBQUEFEV24!$A$6:$G$41,5,0)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VLOOKUP(A29,[13]TONTFEV24!$A$6:$R$39,12,0)</f>
        <v>0</v>
      </c>
      <c r="Q29" s="2">
        <f>IFERROR(VLOOKUP(A29,[14]TONTFEV24!$A$7:$P$23,10,0),0)</f>
        <v>0</v>
      </c>
      <c r="R29" s="2">
        <f>IFERROR(VLOOKUP(A29,[15]TONTFEV24!$A$7:$P$20,10,0),0)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 t="s">
        <v>186</v>
      </c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VLOOKUP(A30,[12]HISTOBQUEFEV24!$A$6:$G$46,3,0)</f>
        <v>250000</v>
      </c>
      <c r="E30" s="9">
        <f>VLOOKUP(A30,[12]HISTOBQUEFEV24!$A$6:$G$41,4,0)</f>
        <v>0</v>
      </c>
      <c r="F30" s="9">
        <f>VLOOKUP(A30,[12]HISTOBQUEFEV24!$A$6:$G$41,5,0)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VLOOKUP(A30,[13]TONTFEV24!$A$6:$R$39,12,0)</f>
        <v>0</v>
      </c>
      <c r="Q30" s="2">
        <f>IFERROR(VLOOKUP(A30,[14]TONTFEV24!$A$7:$P$23,10,0),0)</f>
        <v>0</v>
      </c>
      <c r="R30" s="2">
        <f>IFERROR(VLOOKUP(A30,[15]TONTFEV24!$A$7:$P$20,10,0),0)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 t="s">
        <v>186</v>
      </c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VLOOKUP(A31,[12]HISTOBQUEFEV24!$A$6:$G$46,3,0)</f>
        <v>150000</v>
      </c>
      <c r="E31" s="9">
        <f>VLOOKUP(A31,[12]HISTOBQUEFEV24!$A$6:$G$41,4,0)</f>
        <v>0</v>
      </c>
      <c r="F31" s="9">
        <f>VLOOKUP(A31,[12]HISTOBQUEFEV24!$A$6:$G$41,5,0)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VLOOKUP(A31,[13]TONTFEV24!$A$6:$R$39,12,0)</f>
        <v>0</v>
      </c>
      <c r="Q31" s="2">
        <f>IFERROR(VLOOKUP(A31,[14]TONTFEV24!$A$7:$P$23,10,0),0)</f>
        <v>0</v>
      </c>
      <c r="R31" s="2">
        <f>IFERROR(VLOOKUP(A31,[15]TONTFEV24!$A$7:$P$20,10,0),0)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VLOOKUP(A32,[12]HISTOBQUEFEV24!$A$6:$G$46,3,0)</f>
        <v>125000</v>
      </c>
      <c r="E32" s="9">
        <f>VLOOKUP(A32,[12]HISTOBQUEFEV24!$A$6:$G$41,4,0)</f>
        <v>0</v>
      </c>
      <c r="F32" s="9">
        <f>VLOOKUP(A32,[12]HISTOBQUEFEV24!$A$6:$G$41,5,0)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VLOOKUP(A32,[13]TONTFEV24!$A$6:$R$39,12,0)</f>
        <v>0</v>
      </c>
      <c r="Q32" s="2">
        <f>IFERROR(VLOOKUP(A32,[14]TONTFEV24!$A$7:$P$23,10,0),0)</f>
        <v>0</v>
      </c>
      <c r="R32" s="2">
        <f>IFERROR(VLOOKUP(A32,[15]TONTFEV24!$A$7:$P$20,10,0),0)</f>
        <v>0</v>
      </c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O32" t="s">
        <v>203</v>
      </c>
      <c r="BQ32" s="6">
        <v>100000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0"/>
        <v>0</v>
      </c>
      <c r="D33" s="9">
        <f>VLOOKUP(A33,[12]HISTOBQUEFEV24!$A$6:$G$46,3,0)</f>
        <v>180000</v>
      </c>
      <c r="E33" s="9">
        <f>VLOOKUP(A33,[12]HISTOBQUEFEV24!$A$6:$G$41,4,0)</f>
        <v>0</v>
      </c>
      <c r="F33" s="9">
        <f>VLOOKUP(A33,[12]HISTOBQUEFEV24!$A$6:$G$41,5,0)</f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VLOOKUP(A33,[13]TONTFEV24!$A$6:$R$39,12,0)</f>
        <v>0</v>
      </c>
      <c r="Q33" s="2">
        <f>IFERROR(VLOOKUP(A33,[14]TONTFEV24!$A$7:$P$23,10,0),0)</f>
        <v>0</v>
      </c>
      <c r="R33" s="2">
        <f>IFERROR(VLOOKUP(A33,[15]TONTFEV24!$A$7:$P$20,10,0),0)</f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100000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0"/>
        <v>0</v>
      </c>
      <c r="D34" s="9">
        <f>VLOOKUP(A34,[12]HISTOBQUEFEV24!$A$6:$G$46,3,0)</f>
        <v>50000</v>
      </c>
      <c r="E34" s="9">
        <f>VLOOKUP(A34,[12]HISTOBQUEFEV24!$A$6:$G$41,4,0)</f>
        <v>0</v>
      </c>
      <c r="F34" s="9">
        <f>VLOOKUP(A34,[12]HISTOBQUEFEV24!$A$6:$G$41,5,0)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VLOOKUP(A34,[13]TONTFEV24!$A$6:$R$39,12,0)</f>
        <v>0</v>
      </c>
      <c r="Q34" s="2">
        <f>IFERROR(VLOOKUP(A34,[14]TONTFEV24!$A$7:$P$23,10,0),0)</f>
        <v>0</v>
      </c>
      <c r="R34" s="2">
        <f>IFERROR(VLOOKUP(A34,[15]TONTFEV24!$A$7:$P$20,10,0),0)</f>
        <v>0</v>
      </c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200000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VLOOKUP(A35,[12]HISTOBQUEFEV24!$A$6:$G$46,3,0)</f>
        <v>60000</v>
      </c>
      <c r="E35" s="9">
        <f>VLOOKUP(A35,[12]HISTOBQUEFEV24!$A$6:$G$41,4,0)</f>
        <v>0</v>
      </c>
      <c r="F35" s="9">
        <f>VLOOKUP(A35,[12]HISTOBQUEFEV24!$A$6:$G$41,5,0)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VLOOKUP(A35,[13]TONTFEV24!$A$6:$R$39,12,0)</f>
        <v>0</v>
      </c>
      <c r="Q35" s="2">
        <f>IFERROR(VLOOKUP(A35,[14]TONTFEV24!$A$7:$P$23,10,0),0)</f>
        <v>0</v>
      </c>
      <c r="R35" s="2">
        <f>IFERROR(VLOOKUP(A35,[15]TONTFEV24!$A$7:$P$20,10,0),0)</f>
        <v>0</v>
      </c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VLOOKUP(A36,[12]HISTOBQUEFEV24!$A$6:$G$46,3,0)</f>
        <v>50000</v>
      </c>
      <c r="E36" s="9">
        <f>VLOOKUP(A36,[12]HISTOBQUEFEV24!$A$6:$G$41,4,0)</f>
        <v>0</v>
      </c>
      <c r="F36" s="9">
        <f>VLOOKUP(A36,[12]HISTOBQUEFEV24!$A$6:$G$41,5,0)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VLOOKUP(A36,[13]TONTFEV24!$A$6:$R$39,12,0)</f>
        <v>0</v>
      </c>
      <c r="Q36" s="2">
        <f>IFERROR(VLOOKUP(A36,[14]TONTFEV24!$A$7:$P$23,10,0),0)</f>
        <v>0</v>
      </c>
      <c r="R36" s="2">
        <f>IFERROR(VLOOKUP(A36,[15]TONTFEV24!$A$7:$P$20,10,0),0)</f>
        <v>0</v>
      </c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VLOOKUP(A37,[12]HISTOBQUEFEV24!$A$6:$G$46,3,0)</f>
        <v>0</v>
      </c>
      <c r="E37" s="9">
        <f>VLOOKUP(A37,[12]HISTOBQUEFEV24!$A$6:$G$41,4,0)</f>
        <v>153000</v>
      </c>
      <c r="F37" s="9">
        <f>VLOOKUP(A37,[12]HISTOBQUEFEV24!$A$6:$G$41,5,0)</f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f>VLOOKUP(A37,[13]TONTFEV24!$A$6:$R$39,12,0)</f>
        <v>0</v>
      </c>
      <c r="Q37" s="2">
        <f>IFERROR(VLOOKUP(A37,[14]TONTFEV24!$A$7:$P$23,10,0),0)</f>
        <v>0</v>
      </c>
      <c r="R37" s="2">
        <f>IFERROR(VLOOKUP(A37,[15]TONTFEV24!$A$7:$P$20,10,0),0)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VLOOKUP(A38,[12]HISTOBQUEFEV24!$A$6:$G$46,3,0)</f>
        <v>125000</v>
      </c>
      <c r="E38" s="9">
        <f>VLOOKUP(A38,[12]HISTOBQUEFEV24!$A$6:$G$41,4,0)</f>
        <v>0</v>
      </c>
      <c r="F38" s="9">
        <f>VLOOKUP(A38,[12]HISTOBQUEFEV24!$A$6:$G$41,5,0)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VLOOKUP(A38,[13]TONTFEV24!$A$6:$R$39,12,0)</f>
        <v>0</v>
      </c>
      <c r="Q38" s="2">
        <f>IFERROR(VLOOKUP(A38,[14]TONTFEV24!$A$7:$P$23,10,0),0)</f>
        <v>0</v>
      </c>
      <c r="R38" s="2">
        <f>IFERROR(VLOOKUP(A38,[15]TONTFEV24!$A$7:$P$20,10,0),0)</f>
        <v>0</v>
      </c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ca="1">SUM(C6:C39)</f>
        <v>6000</v>
      </c>
      <c r="D40" s="5">
        <f>SUM(D6:D39)</f>
        <v>4749000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9000</v>
      </c>
      <c r="H40" s="5">
        <f t="shared" si="16"/>
        <v>0</v>
      </c>
      <c r="I40" s="5">
        <f t="shared" si="16"/>
        <v>112000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ca="1" si="17">SUM(U6:U39)</f>
        <v>6026000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912000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10751000</v>
      </c>
    </row>
  </sheetData>
  <autoFilter ref="A5:AF38" xr:uid="{00000000-0009-0000-0000-000005000000}"/>
  <mergeCells count="1">
    <mergeCell ref="B4:M4"/>
  </mergeCells>
  <dataValidations count="2">
    <dataValidation type="list" allowBlank="1" showInputMessage="1" showErrorMessage="1" sqref="T6:T38 AP6:AP38 AF6:AF38" xr:uid="{00000000-0002-0000-0500-000000000000}">
      <formula1>MODEVERSEMENTS</formula1>
    </dataValidation>
    <dataValidation type="list" allowBlank="1" showInputMessage="1" showErrorMessage="1" sqref="AA6:AA38" xr:uid="{00000000-0002-0000-0500-000001000000}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85"/>
  <sheetViews>
    <sheetView zoomScaleNormal="100" workbookViewId="0">
      <pane xSplit="4" ySplit="5" topLeftCell="BL39" activePane="bottomRight" state="frozen"/>
      <selection pane="topRight" activeCell="E1" sqref="E1"/>
      <selection pane="bottomLeft" activeCell="A6" sqref="A6"/>
      <selection pane="bottomRight" activeCell="BN6" sqref="BN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VLOOKUP(A6,[12]HISTOBQUEMARS24!$A$6:$G$46,3,0)</f>
        <v>175000</v>
      </c>
      <c r="E6" s="9">
        <f>VLOOKUP(A6,[12]HISTOBQUEMARS24!$A$6:$G$41,4,0)</f>
        <v>0</v>
      </c>
      <c r="F6" s="9">
        <f>VLOOKUP(A6,[12]HISTOBQUEMARS24!$A$6:$G$41,5,0)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48000</v>
      </c>
      <c r="BA6" s="58"/>
      <c r="BB6" s="58"/>
      <c r="BC6" s="15"/>
      <c r="BD6" s="57">
        <f>IF(AZ6=0,(AZ6-BA6-BC6),(AZ6-BA6-BB6-BC6))</f>
        <v>48000</v>
      </c>
      <c r="BE6" s="82" t="s">
        <v>186</v>
      </c>
      <c r="BF6" s="29">
        <f t="shared" ref="BF6:BF38" si="5">Z6*1/100*BG6</f>
        <v>0</v>
      </c>
      <c r="BG6" s="29">
        <v>9</v>
      </c>
      <c r="BH6" s="15">
        <f>BQ16</f>
        <v>48000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6000</v>
      </c>
      <c r="D7" s="9">
        <f>VLOOKUP(A7,[12]HISTOBQUEMARS24!$A$6:$G$46,3,0)+22000</f>
        <v>78000</v>
      </c>
      <c r="E7" s="9">
        <f>VLOOKUP(A7,[12]HISTOBQUEMARS24!$A$6:$G$41,4,0)</f>
        <v>61000</v>
      </c>
      <c r="F7" s="9">
        <f>VLOOKUP(A7,[12]HISTOBQUEMARS24!$A$6:$G$41,5,0)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VLOOKUP(A7,[13]TONTMARS24!$A$6:$R$39,12,0)</f>
        <v>61000</v>
      </c>
      <c r="Q7" s="2"/>
      <c r="R7" s="2"/>
      <c r="S7" s="20"/>
      <c r="T7" s="12"/>
      <c r="U7" s="17">
        <f t="shared" ref="U7:U38" si="9">G7+S7++R7+P7+O7+M7+I7+K7+Q7+V7+W7</f>
        <v>133000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 t="s">
        <v>186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14">
        <f t="shared" si="6"/>
        <v>25000</v>
      </c>
      <c r="D8" s="9">
        <f>VLOOKUP(A8,[12]HISTOBQUEMARS24!$A$6:$G$46,3,0)</f>
        <v>150000</v>
      </c>
      <c r="E8" s="9">
        <f>VLOOKUP(A8,[12]HISTOBQUEMARS24!$A$6:$G$41,4,0)</f>
        <v>0</v>
      </c>
      <c r="F8" s="9">
        <f>VLOOKUP(A8,[12]HISTOBQUEMARS24!$A$6:$G$41,5,0)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VLOOKUP(A8,[13]TONTMARS24!$A$6:$R$39,12,0)</f>
        <v>0</v>
      </c>
      <c r="Q8" s="2">
        <f>VLOOKUP(A8,[14]TONTMARS24!$A$7:$P$23,10,0)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VLOOKUP(A9,[12]HISTOBQUEMARS24!$A$6:$G$46,3,0)</f>
        <v>250000</v>
      </c>
      <c r="E9" s="9">
        <f>VLOOKUP(A9,[12]HISTOBQUEMARS24!$A$6:$G$41,4,0)</f>
        <v>0</v>
      </c>
      <c r="F9" s="9">
        <f>VLOOKUP(A9,[12]HISTOBQUEMARS24!$A$6:$G$41,5,0)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VLOOKUP(A9,[13]TONTMARS24!$A$6:$R$39,12,0)</f>
        <v>0</v>
      </c>
      <c r="Q9" s="2"/>
      <c r="R9" s="2">
        <f>VLOOKUP(A9,[15]TONTMARS24!$A$7:$P$20,10,0)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 t="s">
        <v>186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VLOOKUP(A10,[12]HISTOBQUEMARS24!$A$6:$G$46,3,0)</f>
        <v>180000</v>
      </c>
      <c r="E10" s="9">
        <f>VLOOKUP(A10,[12]HISTOBQUEMARS24!$A$6:$G$41,4,0)</f>
        <v>0</v>
      </c>
      <c r="F10" s="9">
        <f>VLOOKUP(A10,[12]HISTOBQUEMARS24!$A$6:$G$41,5,0)</f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VLOOKUP(A10,[13]TONTMARS24!$A$6:$R$39,12,0)</f>
        <v>61000</v>
      </c>
      <c r="Q10" s="2">
        <f>VLOOKUP(A10,[14]TONTMARS24!$A$7:$P$23,10,0)</f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 t="s">
        <v>186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VLOOKUP(A11,[12]HISTOBQUEMARS24!$A$6:$G$46,3,0)</f>
        <v>125000</v>
      </c>
      <c r="E11" s="9">
        <f>VLOOKUP(A11,[12]HISTOBQUEMARS24!$A$6:$G$41,4,0)</f>
        <v>0</v>
      </c>
      <c r="F11" s="9">
        <f>VLOOKUP(A11,[12]HISTOBQUEMARS24!$A$6:$G$41,5,0)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VLOOKUP(A11,[13]TONTMARS24!$A$6:$R$39,12,0)</f>
        <v>0</v>
      </c>
      <c r="Q11" s="2">
        <f>VLOOKUP(A11,[14]TONTMARS24!$A$7:$P$23,10,0)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 t="s">
        <v>186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>
        <v>30000</v>
      </c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VLOOKUP(A12,[12]HISTOBQUEMARS24!$A$6:$G$46,3,0)</f>
        <v>462000</v>
      </c>
      <c r="E12" s="9">
        <f>VLOOKUP(A12,[12]HISTOBQUEMARS24!$A$6:$G$41,4,0)</f>
        <v>0</v>
      </c>
      <c r="F12" s="9">
        <f>VLOOKUP(A12,[12]HISTOBQUEMARS24!$A$6:$G$41,5,0)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VLOOKUP(A12,[13]TONTMARS24!$A$6:$R$39,12,0)</f>
        <v>0</v>
      </c>
      <c r="Q12" s="2">
        <f>VLOOKUP(A12,[14]TONTMARS24!$A$7:$P$23,10,0)</f>
        <v>0</v>
      </c>
      <c r="R12" s="2">
        <f>VLOOKUP(A12,[15]TONTMARS24!$A$7:$P$20,10,0)</f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VLOOKUP(A13,[12]HISTOBQUEMARS24!$A$6:$G$46,3,0)</f>
        <v>50000</v>
      </c>
      <c r="E13" s="9">
        <f>VLOOKUP(A13,[12]HISTOBQUEMARS24!$A$6:$G$41,4,0)</f>
        <v>0</v>
      </c>
      <c r="F13" s="9">
        <f>VLOOKUP(A13,[12]HISTOBQUEMARS24!$A$6:$G$41,5,0)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VLOOKUP(A13,[13]TONTMARS24!$A$6:$R$39,12,0)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18000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VLOOKUP(A14,[12]HISTOBQUEMARS24!$A$6:$G$46,3,0)</f>
        <v>50000</v>
      </c>
      <c r="E14" s="9">
        <f>VLOOKUP(A14,[12]HISTOBQUEMARS24!$A$6:$G$41,4,0)</f>
        <v>0</v>
      </c>
      <c r="F14" s="9">
        <f>VLOOKUP(A14,[12]HISTOBQUEMARS24!$A$6:$G$41,5,0)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VLOOKUP(A14,[13]TONTMARS24!$A$6:$R$39,12,0)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VLOOKUP(A15,[12]HISTOBQUEMARS24!$A$6:$G$46,3,0)</f>
        <v>125000</v>
      </c>
      <c r="E15" s="9">
        <f>VLOOKUP(A15,[12]HISTOBQUEMARS24!$A$6:$G$41,4,0)</f>
        <v>0</v>
      </c>
      <c r="F15" s="9">
        <f>VLOOKUP(A15,[12]HISTOBQUEMARS24!$A$6:$G$41,5,0)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VLOOKUP(A15,[13]TONTMARS24!$A$6:$R$39,12,0)</f>
        <v>0</v>
      </c>
      <c r="Q15" s="2">
        <f>VLOOKUP(A15,[14]TONTMARS24!$A$7:$P$23,10,0)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VLOOKUP(A16,[12]HISTOBQUEMARS24!$A$6:$G$46,3,0)</f>
        <v>260000</v>
      </c>
      <c r="E16" s="9">
        <f>VLOOKUP(A16,[12]HISTOBQUEMARS24!$A$6:$G$41,4,0)</f>
        <v>0</v>
      </c>
      <c r="F16" s="9">
        <f>VLOOKUP(A16,[12]HISTOBQUEMARS24!$A$6:$G$41,5,0)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VLOOKUP(A16,[13]TONTMARS24!$A$6:$R$39,12,0)</f>
        <v>0</v>
      </c>
      <c r="Q16" s="2">
        <f>VLOOKUP(A16,[14]TONTMARS24!$A$7:$P$23,10,0)</f>
        <v>0</v>
      </c>
      <c r="R16" s="2">
        <f>VLOOKUP(A16,[15]TONTFEV24!$A$7:$P$20,10,0)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O16" s="62" t="s">
        <v>142</v>
      </c>
      <c r="BQ16" s="62">
        <f>SUM(BQ6:BQ15)</f>
        <v>48000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VLOOKUP(A17,[12]HISTOBQUEMARS24!$A$6:$G$46,3,0)</f>
        <v>150000</v>
      </c>
      <c r="E17" s="9">
        <f>VLOOKUP(A17,[12]HISTOBQUEMARS24!$A$6:$G$41,4,0)</f>
        <v>0</v>
      </c>
      <c r="F17" s="9">
        <f>VLOOKUP(A17,[12]HISTOBQUEMARS24!$A$6:$G$41,5,0)</f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VLOOKUP(A17,[13]TONTMARS24!$A$6:$R$39,12,0)</f>
        <v>0</v>
      </c>
      <c r="Q17" s="2"/>
      <c r="R17" s="2">
        <f>VLOOKUP(A17,[15]TONTMARS24!$A$7:$P$20,10,0)</f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 t="s">
        <v>186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VLOOKUP(A18,[12]HISTOBQUEMARS24!$A$6:$G$46,3,0)</f>
        <v>160000</v>
      </c>
      <c r="E18" s="9">
        <f>VLOOKUP(A18,[12]HISTOBQUEMARS24!$A$6:$G$41,4,0)</f>
        <v>0</v>
      </c>
      <c r="F18" s="9">
        <f>VLOOKUP(A18,[12]HISTOBQUEMARS24!$A$6:$G$41,5,0)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VLOOKUP(A18,[13]TONTMARS24!$A$6:$R$39,12,0)</f>
        <v>0</v>
      </c>
      <c r="Q18" s="2"/>
      <c r="R18" s="2">
        <f>VLOOKUP(A18,[15]TONTMARS24!$A$7:$P$20,10,0)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 t="s">
        <v>186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VLOOKUP(A19,[12]HISTOBQUEMARS24!$A$6:$G$46,3,0)</f>
        <v>50000</v>
      </c>
      <c r="E19" s="9">
        <f>VLOOKUP(A19,[12]HISTOBQUEMARS24!$A$6:$G$41,4,0)</f>
        <v>0</v>
      </c>
      <c r="F19" s="9">
        <f>VLOOKUP(A19,[12]HISTOBQUEMARS24!$A$6:$G$41,5,0)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VLOOKUP(A19,[13]TONTMARS24!$A$6:$R$39,12,0)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VLOOKUP(A20,[12]HISTOBQUEMARS24!$A$6:$G$46,3,0)</f>
        <v>427000</v>
      </c>
      <c r="E20" s="9">
        <f>VLOOKUP(A20,[12]HISTOBQUEMARS24!$A$6:$G$41,4,0)</f>
        <v>0</v>
      </c>
      <c r="F20" s="9">
        <f>VLOOKUP(A20,[12]HISTOBQUEMARS24!$A$6:$G$41,5,0)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VLOOKUP(A20,[13]TONTMARS24!$A$6:$R$39,12,0)</f>
        <v>0</v>
      </c>
      <c r="Q20" s="2">
        <f>VLOOKUP(A20,[14]TONTMARS24!$A$7:$P$23,10,0)</f>
        <v>0</v>
      </c>
      <c r="R20" s="2">
        <f>VLOOKUP(A20,[15]TONTMARS24!$A$7:$P$20,10,0)</f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 t="s">
        <v>186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VLOOKUP(A21,[12]HISTOBQUEMARS24!$A$6:$G$46,3,0)</f>
        <v>50000</v>
      </c>
      <c r="E21" s="9">
        <f>VLOOKUP(A21,[12]HISTOBQUEMARS24!$A$6:$G$41,4,0)</f>
        <v>0</v>
      </c>
      <c r="F21" s="9">
        <f>VLOOKUP(A21,[12]HISTOBQUEMARS24!$A$6:$G$41,5,0)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VLOOKUP(A21,[13]TONTMARS24!$A$6:$R$39,12,0)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VLOOKUP(A22,[12]HISTOBQUEMARS24!$A$6:$G$46,3,0)</f>
        <v>125000</v>
      </c>
      <c r="E22" s="9">
        <f>VLOOKUP(A22,[12]HISTOBQUEMARS24!$A$6:$G$41,4,0)</f>
        <v>0</v>
      </c>
      <c r="F22" s="9">
        <f>VLOOKUP(A22,[12]HISTOBQUEMARS24!$A$6:$G$41,5,0)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VLOOKUP(A22,[13]TONTMARS24!$A$6:$R$39,12,0)</f>
        <v>0</v>
      </c>
      <c r="Q22" s="2">
        <f>VLOOKUP(A22,[14]TONTMARS24!$A$7:$P$23,10,0)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 t="s">
        <v>186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VLOOKUP(A23,[12]HISTOBQUEMARS24!$A$6:$G$46,3,0)</f>
        <v>260000</v>
      </c>
      <c r="E23" s="9">
        <f>VLOOKUP(A23,[12]HISTOBQUEMARS24!$A$6:$G$41,4,0)</f>
        <v>0</v>
      </c>
      <c r="F23" s="9">
        <f>VLOOKUP(A23,[12]HISTOBQUEMARS24!$A$6:$G$41,5,0)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VLOOKUP(A23,[13]TONTMARS24!$A$6:$R$39,12,0)</f>
        <v>0</v>
      </c>
      <c r="Q23" s="2"/>
      <c r="R23" s="2">
        <f>VLOOKUP(A23,[15]TONTMARS24!$A$7:$P$20,10,0)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 t="s">
        <v>186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VLOOKUP(A24,[12]HISTOBQUEMARS24!$A$6:$G$46,3,0)</f>
        <v>240000</v>
      </c>
      <c r="E24" s="9">
        <f>VLOOKUP(A24,[12]HISTOBQUEMARS24!$A$6:$G$41,4,0)</f>
        <v>0</v>
      </c>
      <c r="F24" s="9">
        <f>VLOOKUP(A24,[12]HISTOBQUEMARS24!$A$6:$G$41,5,0)</f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VLOOKUP(A24,[13]TONTMARS24!$A$6:$R$39,12,0)</f>
        <v>0</v>
      </c>
      <c r="Q24" s="2">
        <f>VLOOKUP(A24,[14]TONTMARS24!$A$7:$P$23,10,0)</f>
        <v>0</v>
      </c>
      <c r="R24" s="2">
        <f>VLOOKUP(A24,[15]TONTMARS24!$A$7:$P$20,10,0)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1000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>SUM(AV24:AY24)-BF24+Z24-F24+BH24+BI24+BJ24+BK24+BL24+BM24-100000</f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VLOOKUP(A25,[12]HISTOBQUEMARS24!$A$6:$G$46,3,0)</f>
        <v>375000</v>
      </c>
      <c r="E25" s="9">
        <f>VLOOKUP(A25,[12]HISTOBQUEMARS24!$A$6:$G$41,4,0)</f>
        <v>104500</v>
      </c>
      <c r="F25" s="9">
        <f>VLOOKUP(A25,[12]HISTOBQUEMARS24!$A$6:$G$41,5,0)</f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VLOOKUP(A25,[13]TONTMARS24!$A$6:$R$39,12,0)</f>
        <v>0</v>
      </c>
      <c r="Q25" s="2">
        <f>VLOOKUP(A25,[14]TONTMARS24!$A$7:$P$23,10,0)</f>
        <v>0</v>
      </c>
      <c r="R25" s="2">
        <f>VLOOKUP(A25,[15]TONTMARS24!$A$7:$P$20,10,0)</f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 t="s">
        <v>186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VLOOKUP(A26,[12]HISTOBQUEMARS24!$A$6:$G$46,3,0)</f>
        <v>50000</v>
      </c>
      <c r="E26" s="9">
        <f>VLOOKUP(A26,[12]HISTOBQUEMARS24!$A$6:$G$41,4,0)</f>
        <v>0</v>
      </c>
      <c r="F26" s="9">
        <f>VLOOKUP(A26,[12]HISTOBQUEMARS24!$A$6:$G$41,5,0)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VLOOKUP(A26,[13]TONTMARS24!$A$6:$R$39,12,0)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VLOOKUP(A27,[12]HISTOBQUEMARS24!$A$6:$G$46,3,0)</f>
        <v>50000</v>
      </c>
      <c r="E27" s="9">
        <f>VLOOKUP(A27,[12]HISTOBQUEMARS24!$A$6:$G$41,4,0)</f>
        <v>0</v>
      </c>
      <c r="F27" s="9">
        <f>VLOOKUP(A27,[12]HISTOBQUEMARS24!$A$6:$G$41,5,0)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VLOOKUP(A27,[13]TONTMARS24!$A$6:$R$39,12,0)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 t="s">
        <v>186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VLOOKUP(A28,[12]HISTOBQUEMARS24!$A$6:$G$46,3,0)</f>
        <v>125000</v>
      </c>
      <c r="E28" s="9">
        <f>VLOOKUP(A28,[12]HISTOBQUEMARS24!$A$6:$G$41,4,0)</f>
        <v>0</v>
      </c>
      <c r="F28" s="9">
        <f>VLOOKUP(A28,[12]HISTOBQUEMARS24!$A$6:$G$41,5,0)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VLOOKUP(A28,[13]TONTMARS24!$A$6:$R$39,12,0)</f>
        <v>0</v>
      </c>
      <c r="Q28" s="2">
        <f>VLOOKUP(A28,[14]TONTMARS24!$A$7:$P$23,10,0)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VLOOKUP(A29,[12]HISTOBQUEMARS24!$A$6:$G$46,3,0)</f>
        <v>102000</v>
      </c>
      <c r="E29" s="9">
        <f>VLOOKUP(A29,[12]HISTOBQUEMARS24!$A$6:$G$41,4,0)</f>
        <v>0</v>
      </c>
      <c r="F29" s="9">
        <f>VLOOKUP(A29,[12]HISTOBQUEMARS24!$A$6:$G$41,5,0)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VLOOKUP(A29,[13]TONTMARS24!$A$6:$R$39,12,0)</f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VLOOKUP(A30,[12]HISTOBQUEMARS24!$A$6:$G$46,3,0)</f>
        <v>250000</v>
      </c>
      <c r="E30" s="9">
        <f>VLOOKUP(A30,[12]HISTOBQUEMARS24!$A$6:$G$41,4,0)</f>
        <v>0</v>
      </c>
      <c r="F30" s="9">
        <f>VLOOKUP(A30,[12]HISTOBQUEMARS24!$A$6:$G$41,5,0)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VLOOKUP(A30,[13]TONTMARS24!$A$6:$R$39,12,0)</f>
        <v>0</v>
      </c>
      <c r="Q30" s="2"/>
      <c r="R30" s="2">
        <f>VLOOKUP(A30,[15]TONTMARS24!$A$7:$P$20,10,0)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VLOOKUP(A31,[12]HISTOBQUEMARS24!$A$6:$G$46,3,0)+250000</f>
        <v>400000</v>
      </c>
      <c r="E31" s="9">
        <f>VLOOKUP(A31,[12]HISTOBQUEMARS24!$A$6:$G$41,4,0)</f>
        <v>0</v>
      </c>
      <c r="F31" s="9">
        <f>VLOOKUP(A31,[12]HISTOBQUEMARS24!$A$6:$G$41,5,0)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VLOOKUP(A31,[13]TONTMARS24!$A$6:$R$39,12,0)</f>
        <v>0</v>
      </c>
      <c r="Q31" s="2"/>
      <c r="R31" s="2">
        <f>VLOOKUP(A31,[15]TONTMARS24!$A$7:$P$20,10,0)</f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 t="s">
        <v>186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VLOOKUP(A32,[12]HISTOBQUEMARS24!$A$6:$G$46,3,0)</f>
        <v>125000</v>
      </c>
      <c r="E32" s="9">
        <f>VLOOKUP(A32,[12]HISTOBQUEMARS24!$A$6:$G$41,4,0)</f>
        <v>0</v>
      </c>
      <c r="F32" s="9">
        <f>VLOOKUP(A32,[12]HISTOBQUEMARS24!$A$6:$G$41,5,0)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VLOOKUP(A32,[13]TONTMARS24!$A$6:$R$39,12,0)</f>
        <v>0</v>
      </c>
      <c r="Q32" s="2">
        <f>VLOOKUP(A32,[14]TONTMARS24!$A$7:$P$23,10,0)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VLOOKUP(A33,[12]HISTOBQUEMARS24!$A$6:$G$46,3,0)</f>
        <v>200000</v>
      </c>
      <c r="E33" s="9">
        <f>VLOOKUP(A33,[12]HISTOBQUEMARS24!$A$6:$G$41,4,0)</f>
        <v>0</v>
      </c>
      <c r="F33" s="9">
        <f>VLOOKUP(A33,[12]HISTOBQUEMARS24!$A$6:$G$41,5,0)</f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VLOOKUP(A33,[13]TONTMARS24!$A$6:$R$39,12,0)</f>
        <v>0</v>
      </c>
      <c r="Q33" s="2"/>
      <c r="R33" s="2">
        <f>VLOOKUP(A33,[15]TONTMARS24!$A$7:$P$20,10,0)</f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VLOOKUP(A34,[12]HISTOBQUEMARS24!$A$6:$G$46,3,0)</f>
        <v>50000</v>
      </c>
      <c r="E34" s="9">
        <f>VLOOKUP(A34,[12]HISTOBQUEMARS24!$A$6:$G$41,4,0)</f>
        <v>0</v>
      </c>
      <c r="F34" s="9">
        <f>VLOOKUP(A34,[12]HISTOBQUEMARS24!$A$6:$G$41,5,0)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VLOOKUP(A34,[13]TONTMARS24!$A$6:$R$39,12,0)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VLOOKUP(A35,[12]HISTOBQUEMARS24!$A$6:$G$46,3,0)</f>
        <v>60000</v>
      </c>
      <c r="E35" s="9">
        <f>VLOOKUP(A35,[12]HISTOBQUEMARS24!$A$6:$G$41,4,0)</f>
        <v>0</v>
      </c>
      <c r="F35" s="9">
        <f>VLOOKUP(A35,[12]HISTOBQUEMARS24!$A$6:$G$41,5,0)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VLOOKUP(A35,[13]TONTMARS24!$A$6:$R$39,12,0)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VLOOKUP(A36,[12]HISTOBQUEMARS24!$A$6:$G$46,3,0)</f>
        <v>50000</v>
      </c>
      <c r="E36" s="9">
        <f>VLOOKUP(A36,[12]HISTOBQUEMARS24!$A$6:$G$41,4,0)</f>
        <v>0</v>
      </c>
      <c r="F36" s="9">
        <f>VLOOKUP(A36,[12]HISTOBQUEMARS24!$A$6:$G$41,5,0)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VLOOKUP(A36,[13]TONTMARS24!$A$6:$R$39,12,0)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VLOOKUP(A37,[12]HISTOBQUEMARS24!$A$6:$G$46,3,0)</f>
        <v>0</v>
      </c>
      <c r="E37" s="9">
        <f>VLOOKUP(A37,[12]HISTOBQUEMARS24!$A$6:$G$41,4,0)</f>
        <v>153000</v>
      </c>
      <c r="F37" s="9">
        <f>VLOOKUP(A37,[12]HISTOBQUEMARS24!$A$6:$G$41,5,0)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VLOOKUP(A37,[13]TONTMARS24!$A$6:$R$39,12,0)</f>
        <v>0</v>
      </c>
      <c r="Q37" s="2"/>
      <c r="R37" s="2">
        <f>VLOOKUP(A37,[15]TONTMARS24!$A$7:$P$20,10,0)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VLOOKUP(A38,[12]HISTOBQUEMARS24!$A$6:$G$46,3,0)</f>
        <v>125000</v>
      </c>
      <c r="E38" s="9">
        <f>VLOOKUP(A38,[12]HISTOBQUEMARS24!$A$6:$G$41,4,0)</f>
        <v>0</v>
      </c>
      <c r="F38" s="9">
        <f>VLOOKUP(A38,[12]HISTOBQUEMARS24!$A$6:$G$41,5,0)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VLOOKUP(A38,[13]TONTMARS24!$A$6:$R$39,12,0)</f>
        <v>0</v>
      </c>
      <c r="Q38" s="2">
        <f>VLOOKUP(A38,[14]TONTMARS24!$A$7:$P$23,10,0)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100000</v>
      </c>
      <c r="BA38" s="58"/>
      <c r="BB38" s="58"/>
      <c r="BC38" s="15"/>
      <c r="BD38" s="57">
        <f t="shared" si="15"/>
        <v>100000</v>
      </c>
      <c r="BE38" s="82" t="s">
        <v>186</v>
      </c>
      <c r="BF38" s="29">
        <f t="shared" si="5"/>
        <v>0</v>
      </c>
      <c r="BG38" s="29">
        <v>9</v>
      </c>
      <c r="BH38" s="15"/>
      <c r="BI38" s="15"/>
      <c r="BJ38" s="15"/>
      <c r="BK38" s="15">
        <v>100000</v>
      </c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31000</v>
      </c>
      <c r="D40" s="5">
        <f t="shared" si="16"/>
        <v>5329000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151000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6116500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11000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951000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4861000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4200500</v>
      </c>
      <c r="BE40" s="5">
        <f t="shared" si="18"/>
        <v>2889015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4861000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9390000</v>
      </c>
    </row>
  </sheetData>
  <autoFilter ref="A5:AF38" xr:uid="{00000000-0009-0000-0000-000006000000}"/>
  <mergeCells count="1">
    <mergeCell ref="B4:M4"/>
  </mergeCells>
  <dataValidations count="1">
    <dataValidation type="list" allowBlank="1" showInputMessage="1" showErrorMessage="1" sqref="T6:T38 AP6:AP38 AF6:AF38 AA6:AA38" xr:uid="{00000000-0002-0000-06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85"/>
  <sheetViews>
    <sheetView zoomScaleNormal="100" workbookViewId="0">
      <pane xSplit="4" ySplit="5" topLeftCell="BJ102" activePane="bottomRight" state="frozen"/>
      <selection pane="topRight" activeCell="E1" sqref="E1"/>
      <selection pane="bottomLeft" activeCell="A6" sqref="A6"/>
      <selection pane="bottomRight" activeCell="BN6" sqref="BN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175000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221000</v>
      </c>
      <c r="BA6" s="58"/>
      <c r="BB6" s="58"/>
      <c r="BC6" s="15"/>
      <c r="BD6" s="57">
        <f>IF(AZ6=0,(AZ6-BA6-BC6),(AZ6-BA6-BB6-BC6))</f>
        <v>221000</v>
      </c>
      <c r="BE6" s="82" t="s">
        <v>186</v>
      </c>
      <c r="BF6" s="29">
        <f t="shared" ref="BF6:BF38" si="5">Z6*1/100*BG6</f>
        <v>0</v>
      </c>
      <c r="BG6" s="29">
        <v>8</v>
      </c>
      <c r="BH6" s="15">
        <f>BQ16</f>
        <v>21000</v>
      </c>
      <c r="BI6" s="15">
        <f>BQ28</f>
        <v>100000</v>
      </c>
      <c r="BJ6" s="15">
        <f>BQ33</f>
        <v>0</v>
      </c>
      <c r="BK6" s="15">
        <f>+BQ40</f>
        <v>100000</v>
      </c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VLOOKUP(A7,[13]TONTAVRIL24!$A$6:$R$39,12,0)</f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22000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8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VLOOKUP(A8,[13]TONTAVRIL24!$A$6:$R$39,12,0)</f>
        <v>0</v>
      </c>
      <c r="Q8" s="2">
        <f>VLOOKUP(A8,[14]TONTAVRIL24!$A$7:$P$23,10,0)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8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15000</v>
      </c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>
        <v>-2500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VLOOKUP(A9,[13]TONTAVRIL24!$A$6:$R$39,12,0)</f>
        <v>0</v>
      </c>
      <c r="Q9" s="2"/>
      <c r="R9" s="2">
        <f>VLOOKUP(A9,[15]TONTAVRIL24!$A$7:$P$20,10,0)</f>
        <v>207500</v>
      </c>
      <c r="S9" s="20"/>
      <c r="T9" s="12"/>
      <c r="U9" s="17">
        <f t="shared" si="9"/>
        <v>455000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22500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8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VLOOKUP(A10,[13]TONTAVRIL24!$A$6:$R$39,12,0)</f>
        <v>40000</v>
      </c>
      <c r="Q10" s="2">
        <f>VLOOKUP(A10,[14]TONTAVRIL24!$A$7:$P$23,10,0)</f>
        <v>0</v>
      </c>
      <c r="R10" s="2"/>
      <c r="S10" s="20"/>
      <c r="T10" s="12"/>
      <c r="U10" s="17">
        <f t="shared" si="9"/>
        <v>165000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101500</v>
      </c>
      <c r="AK10" s="12"/>
      <c r="AL10" s="12"/>
      <c r="AM10" s="12">
        <v>2500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101500</v>
      </c>
      <c r="AY10" s="15">
        <f t="shared" si="13"/>
        <v>0</v>
      </c>
      <c r="AZ10" s="16">
        <f t="shared" si="14"/>
        <v>101500</v>
      </c>
      <c r="BA10" s="58">
        <v>100000</v>
      </c>
      <c r="BB10" s="58"/>
      <c r="BC10" s="15"/>
      <c r="BD10" s="57">
        <f t="shared" si="15"/>
        <v>1500</v>
      </c>
      <c r="BE10" s="82" t="s">
        <v>186</v>
      </c>
      <c r="BF10" s="29">
        <f t="shared" si="5"/>
        <v>0</v>
      </c>
      <c r="BG10" s="29">
        <v>8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14">
        <f t="shared" si="6"/>
        <v>-41000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>
        <v>10000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VLOOKUP(A11,[13]TONTAVRIL24!$A$6:$R$39,12,0)</f>
        <v>41000</v>
      </c>
      <c r="Q11" s="2">
        <f>VLOOKUP(A11,[14]TONTAVRIL24!$A$7:$P$23,10,0)</f>
        <v>103000</v>
      </c>
      <c r="R11" s="2"/>
      <c r="S11" s="20"/>
      <c r="T11" s="12"/>
      <c r="U11" s="17">
        <f t="shared" si="9"/>
        <v>279000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41000</v>
      </c>
      <c r="AJ11" s="12">
        <v>200000</v>
      </c>
      <c r="AK11" s="12"/>
      <c r="AL11" s="12">
        <v>2000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35000</v>
      </c>
      <c r="AT11" s="15"/>
      <c r="AV11" s="15"/>
      <c r="AW11" s="15">
        <f t="shared" si="11"/>
        <v>41000</v>
      </c>
      <c r="AX11" s="15">
        <f t="shared" si="12"/>
        <v>200000</v>
      </c>
      <c r="AY11" s="15">
        <f t="shared" si="13"/>
        <v>0</v>
      </c>
      <c r="AZ11" s="16">
        <f>SUM(AV11:AY11)-BF11+Z11-F11+BH11+BI11+BJ11+BK11+BL11+BM11-41000</f>
        <v>200000</v>
      </c>
      <c r="BA11" s="58">
        <v>200000</v>
      </c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VLOOKUP(A12,[13]TONTAVRIL24!$A$6:$R$39,12,0)</f>
        <v>0</v>
      </c>
      <c r="Q12" s="2">
        <f>VLOOKUP(A12,[14]TONTAVRIL24!$A$7:$P$23,10,0)</f>
        <v>0</v>
      </c>
      <c r="R12" s="2">
        <f>VLOOKUP(A12,[15]TONTAVRIL24!$A$7:$P$20,10,0)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8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VLOOKUP(A13,[13]TONTAVRIL24!$A$6:$R$39,12,0)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8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50000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VLOOKUP(A14,[13]TONTAVRIL24!$A$6:$R$39,12,0)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8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VLOOKUP(A15,[13]TONTAVRIL24!$A$6:$R$39,12,0)</f>
        <v>0</v>
      </c>
      <c r="Q15" s="2">
        <f>VLOOKUP(A15,[14]TONTAVRIL24!$A$7:$P$23,10,0)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>
        <v>10000</v>
      </c>
      <c r="AD15" s="12"/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290000</v>
      </c>
      <c r="AX15" s="15">
        <f t="shared" si="12"/>
        <v>0</v>
      </c>
      <c r="AY15" s="15">
        <f t="shared" si="13"/>
        <v>0</v>
      </c>
      <c r="AZ15" s="16">
        <f t="shared" si="14"/>
        <v>290000</v>
      </c>
      <c r="BA15" s="58"/>
      <c r="BB15" s="58"/>
      <c r="BC15" s="15"/>
      <c r="BD15" s="57">
        <f t="shared" si="15"/>
        <v>290000</v>
      </c>
      <c r="BE15" s="82" t="s">
        <v>186</v>
      </c>
      <c r="BF15" s="29">
        <f t="shared" si="5"/>
        <v>0</v>
      </c>
      <c r="BG15" s="29">
        <v>8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VLOOKUP(A16,[13]TONTAVRIL24!$A$6:$R$39,12,0)</f>
        <v>0</v>
      </c>
      <c r="Q16" s="2">
        <f>VLOOKUP(A16,[14]TONTAVRIL24!$A$7:$P$23,10,0)</f>
        <v>0</v>
      </c>
      <c r="R16" s="2">
        <f>VLOOKUP(A16,[15]TONTFEV24!$A$7:$P$20,10,0)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15000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1185000</v>
      </c>
      <c r="AZ16" s="16">
        <f t="shared" si="14"/>
        <v>1185000</v>
      </c>
      <c r="BA16" s="58"/>
      <c r="BB16" s="58"/>
      <c r="BC16" s="15"/>
      <c r="BD16" s="57">
        <f t="shared" si="15"/>
        <v>1185000</v>
      </c>
      <c r="BE16" s="82" t="s">
        <v>186</v>
      </c>
      <c r="BF16" s="29">
        <f t="shared" si="5"/>
        <v>0</v>
      </c>
      <c r="BG16" s="29">
        <v>8</v>
      </c>
      <c r="BH16" s="15"/>
      <c r="BI16" s="15"/>
      <c r="BJ16" s="15"/>
      <c r="BK16" s="15"/>
      <c r="BL16" s="61"/>
      <c r="BO16" s="62" t="s">
        <v>142</v>
      </c>
      <c r="BQ16" s="62">
        <f>SUM(BQ6:BQ15)</f>
        <v>21000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VLOOKUP(A17,[13]TONTAVRIL24!$A$6:$R$39,12,0)</f>
        <v>0</v>
      </c>
      <c r="Q17" s="2"/>
      <c r="R17" s="2">
        <f>VLOOKUP(A17,[15]TONTAVRIL24!$A$7:$P$20,10,0)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8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VLOOKUP(A18,[13]TONTAVRIL24!$A$6:$R$39,12,0)</f>
        <v>0</v>
      </c>
      <c r="Q18" s="2"/>
      <c r="R18" s="2">
        <f>VLOOKUP(A18,[15]TONTAVRIL24!$A$7:$P$20,10,0)</f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f>2500+2500</f>
        <v>5000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 t="s">
        <v>186</v>
      </c>
      <c r="BF18" s="29">
        <f t="shared" si="5"/>
        <v>0</v>
      </c>
      <c r="BG18" s="29">
        <v>8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VLOOKUP(A19,[13]TONTAVRIL24!$A$6:$R$39,12,0)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8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>
        <v>-1000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VLOOKUP(A20,[13]TONTAVRIL24!$A$6:$R$39,12,0)</f>
        <v>0</v>
      </c>
      <c r="Q20" s="2">
        <f>VLOOKUP(A20,[14]TONTAVRIL24!$A$7:$P$23,10,0)</f>
        <v>91000</v>
      </c>
      <c r="R20" s="2">
        <f>VLOOKUP(A20,[15]TONTAVRIL24!$A$7:$P$20,10,0)</f>
        <v>202000</v>
      </c>
      <c r="S20" s="20"/>
      <c r="T20" s="12"/>
      <c r="U20" s="17">
        <f t="shared" si="9"/>
        <v>517000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70500</v>
      </c>
      <c r="AL20" s="12"/>
      <c r="AM20" s="12">
        <v>1500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24000</v>
      </c>
      <c r="AT20" s="15"/>
      <c r="AV20" s="15"/>
      <c r="AW20" s="15">
        <f t="shared" si="11"/>
        <v>0</v>
      </c>
      <c r="AX20" s="15">
        <f t="shared" si="12"/>
        <v>100000</v>
      </c>
      <c r="AY20" s="15">
        <f t="shared" si="13"/>
        <v>70500</v>
      </c>
      <c r="AZ20" s="16">
        <f t="shared" si="14"/>
        <v>170500</v>
      </c>
      <c r="BA20" s="58">
        <v>80000</v>
      </c>
      <c r="BB20" s="58"/>
      <c r="BC20" s="15"/>
      <c r="BD20" s="57">
        <f t="shared" si="15"/>
        <v>90500</v>
      </c>
      <c r="BE20" s="82" t="s">
        <v>186</v>
      </c>
      <c r="BF20" s="29">
        <f t="shared" si="5"/>
        <v>0</v>
      </c>
      <c r="BG20" s="29">
        <v>8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VLOOKUP(A21,[13]TONTAVRIL24!$A$6:$R$39,12,0)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8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VLOOKUP(A22,[13]TONTAVRIL24!$A$6:$R$39,12,0)</f>
        <v>0</v>
      </c>
      <c r="Q22" s="2">
        <f>VLOOKUP(A22,[14]TONTAVRIL24!$A$7:$P$23,10,0)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8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VLOOKUP(A23,[13]TONTAVRIL24!$A$6:$R$39,12,0)</f>
        <v>0</v>
      </c>
      <c r="Q23" s="2"/>
      <c r="R23" s="2">
        <f>VLOOKUP(A23,[15]TONTAVRIL24!$A$7:$P$20,10,0)</f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8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-101000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>
        <v>22000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VLOOKUP(A24,[13]TONTAVRIL24!$A$6:$R$39,12,0)</f>
        <v>0</v>
      </c>
      <c r="Q24" s="2">
        <f>VLOOKUP(A24,[14]TONTAVRIL24!$A$7:$P$23,10,0)</f>
        <v>0</v>
      </c>
      <c r="R24" s="2">
        <f>VLOOKUP(A24,[15]TONTAVRIL24!$A$7:$P$20,10,0)</f>
        <v>101000</v>
      </c>
      <c r="S24" s="20"/>
      <c r="T24" s="12"/>
      <c r="U24" s="17">
        <f t="shared" si="9"/>
        <v>351000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101500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47000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101500</v>
      </c>
      <c r="AZ24" s="16">
        <f t="shared" si="14"/>
        <v>101500</v>
      </c>
      <c r="BA24" s="58"/>
      <c r="BB24" s="58"/>
      <c r="BC24" s="15"/>
      <c r="BD24" s="57">
        <f>IF(AZ24=0,(AZ24-BA24-BC24),(AZ24-BA24-BB24-BC24))-101500</f>
        <v>0</v>
      </c>
      <c r="BE24" s="82"/>
      <c r="BF24" s="29">
        <f t="shared" si="5"/>
        <v>0</v>
      </c>
      <c r="BG24" s="29">
        <v>8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>
        <v>-2000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VLOOKUP(A25,[13]TONTAVRIL24!$A$6:$R$39,12,0)</f>
        <v>0</v>
      </c>
      <c r="Q25" s="2">
        <f>VLOOKUP(A25,[14]TONTAVRIL24!$A$7:$P$23,10,0)</f>
        <v>0</v>
      </c>
      <c r="R25" s="2">
        <f>VLOOKUP(A25,[15]TONTAVRIL24!$A$7:$P$20,10,0)</f>
        <v>202000</v>
      </c>
      <c r="S25" s="20"/>
      <c r="T25" s="12"/>
      <c r="U25" s="17">
        <f t="shared" si="9"/>
        <v>575000</v>
      </c>
      <c r="V25" s="12"/>
      <c r="W25" s="12"/>
      <c r="X25" s="12"/>
      <c r="Y25" s="12"/>
      <c r="Z25" s="12"/>
      <c r="AA25" s="12"/>
      <c r="AB25" s="12"/>
      <c r="AC25" s="12">
        <v>11000</v>
      </c>
      <c r="AD25" s="12"/>
      <c r="AE25" s="12"/>
      <c r="AF25" s="12" t="s">
        <v>8</v>
      </c>
      <c r="AG25" s="12"/>
      <c r="AH25" s="12"/>
      <c r="AI25" s="12"/>
      <c r="AJ25" s="12"/>
      <c r="AK25" s="12">
        <v>200000</v>
      </c>
      <c r="AL25" s="12"/>
      <c r="AM25" s="12"/>
      <c r="AN25" s="12">
        <f>3000+2500</f>
        <v>5500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23000</v>
      </c>
      <c r="AT25" s="15"/>
      <c r="AV25" s="15"/>
      <c r="AW25" s="15">
        <f t="shared" si="11"/>
        <v>289000</v>
      </c>
      <c r="AX25" s="15">
        <f t="shared" si="12"/>
        <v>0</v>
      </c>
      <c r="AY25" s="15">
        <f t="shared" si="13"/>
        <v>200000</v>
      </c>
      <c r="AZ25" s="16">
        <f t="shared" si="14"/>
        <v>489000</v>
      </c>
      <c r="BA25" s="58"/>
      <c r="BB25" s="58"/>
      <c r="BC25" s="15"/>
      <c r="BD25" s="57">
        <f t="shared" si="15"/>
        <v>489000</v>
      </c>
      <c r="BE25" s="82" t="s">
        <v>186</v>
      </c>
      <c r="BF25" s="29">
        <f t="shared" si="5"/>
        <v>0</v>
      </c>
      <c r="BG25" s="29">
        <v>8</v>
      </c>
      <c r="BH25" s="15"/>
      <c r="BI25" s="15"/>
      <c r="BJ25" s="15"/>
      <c r="BK25" s="15"/>
      <c r="BL25" s="61"/>
      <c r="BO25" t="s">
        <v>207</v>
      </c>
      <c r="BP25" t="s">
        <v>143</v>
      </c>
      <c r="BQ25" s="6">
        <v>100000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VLOOKUP(A26,[12]HISTOBQUEAVRIL24!$A$6:$G$46,3,0)-3000</f>
        <v>50000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VLOOKUP(A26,[13]TONTAVRIL24!$A$6:$R$39,12,0)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8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VLOOKUP(A27,[13]TONTAVRIL24!$A$6:$R$39,12,0)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8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VLOOKUP(A28,[13]TONTAVRIL24!$A$6:$R$39,12,0)</f>
        <v>0</v>
      </c>
      <c r="Q28" s="2">
        <f>VLOOKUP(A28,[14]TONTAVRIL24!$A$7:$P$23,10,0)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8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100000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VLOOKUP(A29,[13]TONTAVRIL24!$A$6:$R$39,12,0)</f>
        <v>42500</v>
      </c>
      <c r="Q29" s="2"/>
      <c r="R29" s="2"/>
      <c r="S29" s="20"/>
      <c r="T29" s="12"/>
      <c r="U29" s="17">
        <f t="shared" si="9"/>
        <v>92500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8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VLOOKUP(A30,[13]TONTAVRIL24!$A$6:$R$39,12,0)</f>
        <v>0</v>
      </c>
      <c r="Q30" s="2"/>
      <c r="R30" s="2">
        <f>VLOOKUP(A30,[15]TONTAVRIL24!$A$7:$P$20,10,0)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8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VLOOKUP(A31,[13]TONTAVRIL24!$A$6:$R$39,12,0)</f>
        <v>0</v>
      </c>
      <c r="Q31" s="2"/>
      <c r="R31" s="2">
        <f>VLOOKUP(A31,[15]TONTAVRIL24!$A$7:$P$20,10,0)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40000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1160000</v>
      </c>
      <c r="AZ31" s="16">
        <f t="shared" si="14"/>
        <v>1160000</v>
      </c>
      <c r="BA31" s="58"/>
      <c r="BB31" s="58"/>
      <c r="BC31" s="15"/>
      <c r="BD31" s="57">
        <f t="shared" si="15"/>
        <v>1160000</v>
      </c>
      <c r="BE31" s="82" t="s">
        <v>186</v>
      </c>
      <c r="BF31" s="29">
        <f t="shared" si="5"/>
        <v>0</v>
      </c>
      <c r="BG31" s="29">
        <v>8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VLOOKUP(A32,[13]TONTAVRIL24!$A$6:$R$39,12,0)</f>
        <v>0</v>
      </c>
      <c r="Q32" s="2">
        <f>VLOOKUP(A32,[14]TONTAVRIL24!$A$7:$P$23,10,0)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>
        <v>10500</v>
      </c>
      <c r="AD32" s="12">
        <v>7500</v>
      </c>
      <c r="AE32" s="12"/>
      <c r="AF32" s="12" t="s">
        <v>8</v>
      </c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289500</v>
      </c>
      <c r="AX32" s="15">
        <f t="shared" si="12"/>
        <v>992500</v>
      </c>
      <c r="AY32" s="15">
        <f t="shared" si="13"/>
        <v>0</v>
      </c>
      <c r="AZ32" s="16">
        <f t="shared" si="14"/>
        <v>1282000</v>
      </c>
      <c r="BA32" s="58">
        <v>20000</v>
      </c>
      <c r="BB32" s="58"/>
      <c r="BC32" s="15"/>
      <c r="BD32" s="57">
        <f t="shared" si="15"/>
        <v>1262000</v>
      </c>
      <c r="BE32" s="82" t="s">
        <v>186</v>
      </c>
      <c r="BF32" s="29">
        <f t="shared" si="5"/>
        <v>0</v>
      </c>
      <c r="BG32" s="29">
        <v>8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>
        <v>80000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VLOOKUP(A33,[13]TONTAVRIL24!$A$6:$R$39,12,0)</f>
        <v>0</v>
      </c>
      <c r="Q33" s="2"/>
      <c r="R33" s="2">
        <f>VLOOKUP(A33,[15]TONTAVRIL24!$A$7:$P$20,10,0)</f>
        <v>0</v>
      </c>
      <c r="S33" s="20"/>
      <c r="T33" s="12"/>
      <c r="U33" s="17">
        <f t="shared" si="9"/>
        <v>230000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105000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8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>
        <v>-3000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VLOOKUP(A34,[13]TONTAVRIL24!$A$6:$R$39,12,0)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22000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8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VLOOKUP(A35,[13]TONTAVRIL24!$A$6:$R$39,12,0)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8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VLOOKUP(A36,[12]HISTOBQUEAVRIL24!$A$6:$G$41,4,0)+3000</f>
        <v>53000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VLOOKUP(A36,[13]TONTAVRIL24!$A$6:$R$39,12,0)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8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VLOOKUP(A37,[13]TONTAVRIL24!$A$6:$R$39,12,0)</f>
        <v>0</v>
      </c>
      <c r="Q37" s="2"/>
      <c r="R37" s="2">
        <f>VLOOKUP(A37,[15]TONTAVRIL24!$A$7:$P$20,10,0)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8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VLOOKUP(A38,[13]TONTAVRIL24!$A$6:$R$39,12,0)</f>
        <v>0</v>
      </c>
      <c r="Q38" s="2">
        <f>VLOOKUP(A38,[14]TONTAVRIL24!$A$7:$P$23,10,0)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8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-142000</v>
      </c>
      <c r="D40" s="5">
        <f t="shared" si="16"/>
        <v>5671500</v>
      </c>
      <c r="E40" s="5">
        <f t="shared" si="16"/>
        <v>403000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170500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123500</v>
      </c>
      <c r="Q40" s="5">
        <f t="shared" si="16"/>
        <v>194000</v>
      </c>
      <c r="R40" s="5">
        <f t="shared" si="16"/>
        <v>1116500</v>
      </c>
      <c r="S40" s="5">
        <f t="shared" si="16"/>
        <v>0</v>
      </c>
      <c r="T40" s="5"/>
      <c r="U40" s="5">
        <f t="shared" ref="U40:AA40" si="17">SUM(U6:U39)</f>
        <v>6216500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31500</v>
      </c>
      <c r="AD40" s="5">
        <f>SUM(AD6:AD39)</f>
        <v>7500</v>
      </c>
      <c r="AE40" s="5">
        <f>SUM(AE6:AE39)</f>
        <v>55000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41000</v>
      </c>
      <c r="AJ40" s="5">
        <f t="shared" si="18"/>
        <v>501500</v>
      </c>
      <c r="AK40" s="5">
        <f t="shared" si="18"/>
        <v>572000</v>
      </c>
      <c r="AL40" s="5">
        <f t="shared" si="18"/>
        <v>2000</v>
      </c>
      <c r="AM40" s="5">
        <f t="shared" si="18"/>
        <v>8000</v>
      </c>
      <c r="AN40" s="5">
        <f t="shared" si="18"/>
        <v>13500</v>
      </c>
      <c r="AO40" s="5">
        <f t="shared" si="18"/>
        <v>0</v>
      </c>
      <c r="AP40" s="5"/>
      <c r="AQ40" s="5">
        <f t="shared" si="18"/>
        <v>0</v>
      </c>
      <c r="AR40" s="5">
        <f t="shared" si="18"/>
        <v>0</v>
      </c>
      <c r="AS40" s="5">
        <f t="shared" si="18"/>
        <v>970500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909500</v>
      </c>
      <c r="AX40" s="5">
        <f t="shared" si="18"/>
        <v>1394000</v>
      </c>
      <c r="AY40" s="5">
        <f t="shared" si="18"/>
        <v>2917000</v>
      </c>
      <c r="AZ40" s="5">
        <f t="shared" si="18"/>
        <v>5400500</v>
      </c>
      <c r="BA40" s="5">
        <f t="shared" si="18"/>
        <v>400000</v>
      </c>
      <c r="BB40" s="5">
        <f t="shared" si="18"/>
        <v>0</v>
      </c>
      <c r="BC40" s="5">
        <f t="shared" si="18"/>
        <v>0</v>
      </c>
      <c r="BD40" s="5">
        <f t="shared" si="18"/>
        <v>4899000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21000</v>
      </c>
      <c r="BI40" s="5">
        <f t="shared" si="19"/>
        <v>100000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5400500</v>
      </c>
      <c r="D47" s="9">
        <f>SUMIFS(D8:D40,H8:H40,"BANQUE")</f>
        <v>5496500</v>
      </c>
      <c r="F47" s="9">
        <f>E40</f>
        <v>403000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10580000</v>
      </c>
    </row>
  </sheetData>
  <autoFilter ref="A5:AF38" xr:uid="{00000000-0009-0000-0000-000007000000}"/>
  <mergeCells count="1">
    <mergeCell ref="B4:M4"/>
  </mergeCells>
  <dataValidations count="1">
    <dataValidation type="list" allowBlank="1" showInputMessage="1" showErrorMessage="1" sqref="T6:T38 AP6:AP38 AF6:AF38 AA6:AA38" xr:uid="{00000000-0002-0000-07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85"/>
  <sheetViews>
    <sheetView zoomScale="93" zoomScaleNormal="93" workbookViewId="0">
      <pane xSplit="4" ySplit="5" topLeftCell="BL21" activePane="bottomRight" state="frozen"/>
      <selection pane="topRight" activeCell="E1" sqref="E1"/>
      <selection pane="bottomLeft" activeCell="A6" sqref="A6"/>
      <selection pane="bottomRight" activeCell="BN6" sqref="BN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3.0898437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VLOOKUP(A6,[12]HISTOBQUEMAI24!$A$6:$G$46,3,0)</f>
        <v>175000</v>
      </c>
      <c r="E6" s="9">
        <f>VLOOKUP(A6,[12]HISTOBQUEMAI24!$A$6:$G$41,4,0)</f>
        <v>0</v>
      </c>
      <c r="F6" s="9">
        <f>VLOOKUP(A6,[12]HISTOBQUEMAI24!$A$6:$G$41,5,0)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119000</v>
      </c>
      <c r="BA6" s="58">
        <v>19000</v>
      </c>
      <c r="BB6" s="58"/>
      <c r="BC6" s="15"/>
      <c r="BD6" s="57">
        <f>IF(AZ6=0,(AZ6-BA6-BC6),(AZ6-BA6-BB6-BC6))</f>
        <v>100000</v>
      </c>
      <c r="BE6" s="82"/>
      <c r="BF6" s="29">
        <f t="shared" ref="BF6:BF38" si="5">Z6*1/100*BG6</f>
        <v>0</v>
      </c>
      <c r="BG6" s="29">
        <v>7</v>
      </c>
      <c r="BH6" s="15">
        <f>BQ16</f>
        <v>19000</v>
      </c>
      <c r="BI6" s="15">
        <f>BQ28</f>
        <v>0</v>
      </c>
      <c r="BJ6" s="15">
        <f>BQ33</f>
        <v>0</v>
      </c>
      <c r="BK6" s="15">
        <v>100000</v>
      </c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VLOOKUP(A7,[12]HISTOBQUEMAI24!$A$6:$G$46,3,0)</f>
        <v>50000</v>
      </c>
      <c r="E7" s="9">
        <f>VLOOKUP(A7,[12]HISTOBQUEMAI24!$A$6:$G$41,4,0)</f>
        <v>0</v>
      </c>
      <c r="F7" s="9">
        <f>VLOOKUP(A7,[12]HISTOBQUEMAI24!$A$6:$G$41,5,0)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VLOOKUP(A7,[13]TONTMAI24!$A$6:$R$39,12,0)</f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VLOOKUP(A8,[12]HISTOBQUEMAI24!$A$6:$G$46,3,0)</f>
        <v>125000</v>
      </c>
      <c r="E8" s="9">
        <f>VLOOKUP(A8,[12]HISTOBQUEMAI24!$A$6:$G$41,4,0)</f>
        <v>0</v>
      </c>
      <c r="F8" s="9">
        <f>VLOOKUP(A8,[12]HISTOBQUEMAI24!$A$6:$G$41,5,0)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VLOOKUP(A8,[13]TONTMAI24!$A$6:$R$39,12,0)</f>
        <v>0</v>
      </c>
      <c r="Q8" s="2">
        <f>VLOOKUP(A8,[14]TONTMAI24!$A$7:$P$23,10,0)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13000</v>
      </c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VLOOKUP(A9,[12]HISTOBQUEMAI24!$A$6:$G$46,3,0)</f>
        <v>250000</v>
      </c>
      <c r="E9" s="9">
        <f>VLOOKUP(A9,[12]HISTOBQUEMAI24!$A$6:$G$41,4,0)</f>
        <v>0</v>
      </c>
      <c r="F9" s="9">
        <f>VLOOKUP(A9,[12]HISTOBQUEMAI24!$A$6:$G$41,5,0)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VLOOKUP(A9,[13]TONTMAI24!$A$6:$R$39,12,0)</f>
        <v>0</v>
      </c>
      <c r="Q9" s="2"/>
      <c r="R9" s="2">
        <f>VLOOKUP(A9,[15]TONTMAI24!$A$7:$P$20,10,0)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VLOOKUP(A10,[12]HISTOBQUEMAI24!$A$6:$G$46,3,0)+87000</f>
        <v>227000</v>
      </c>
      <c r="E10" s="9">
        <f>VLOOKUP(A10,[12]HISTOBQUEMAI24!$A$6:$G$41,4,0)</f>
        <v>0</v>
      </c>
      <c r="F10" s="9">
        <f>VLOOKUP(A10,[12]HISTOBQUEMAI24!$A$6:$G$41,5,0)</f>
        <v>0</v>
      </c>
      <c r="G10" s="5">
        <f t="shared" si="7"/>
        <v>0</v>
      </c>
      <c r="H10" s="10" t="str">
        <f t="shared" si="0"/>
        <v>BANQUE</v>
      </c>
      <c r="I10" s="10">
        <v>-2000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VLOOKUP(A10,[13]TONTMAI24!$A$6:$R$39,12,0)</f>
        <v>0</v>
      </c>
      <c r="Q10" s="2">
        <f>VLOOKUP(A10,[14]TONTMAI24!$A$7:$P$23,10,0)</f>
        <v>104000</v>
      </c>
      <c r="R10" s="2"/>
      <c r="S10" s="20"/>
      <c r="T10" s="12"/>
      <c r="U10" s="17">
        <f t="shared" si="9"/>
        <v>227000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23000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VLOOKUP(A11,[12]HISTOBQUEMAI24!$A$6:$G$46,3,0)</f>
        <v>376000</v>
      </c>
      <c r="E11" s="9">
        <f>VLOOKUP(A11,[12]HISTOBQUEMAI24!$A$6:$G$41,4,0)</f>
        <v>0</v>
      </c>
      <c r="F11" s="9">
        <f>VLOOKUP(A11,[12]HISTOBQUEMAI24!$A$6:$G$41,5,0)</f>
        <v>0</v>
      </c>
      <c r="G11" s="5">
        <f t="shared" si="7"/>
        <v>0</v>
      </c>
      <c r="H11" s="10" t="str">
        <f t="shared" si="0"/>
        <v>BANQUE</v>
      </c>
      <c r="I11" s="10">
        <v>5000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VLOOKUP(A11,[13]TONTMAI24!$A$6:$R$39,12,0)</f>
        <v>43000</v>
      </c>
      <c r="Q11" s="2">
        <f>VLOOKUP(A11,[14]TONTMAI24!$A$7:$P$23,10,0)</f>
        <v>203000</v>
      </c>
      <c r="R11" s="2"/>
      <c r="S11" s="20"/>
      <c r="T11" s="12"/>
      <c r="U11" s="17">
        <f t="shared" si="9"/>
        <v>376000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150000</v>
      </c>
      <c r="AK11" s="12"/>
      <c r="AL11" s="12"/>
      <c r="AM11" s="12">
        <v>2000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30000</v>
      </c>
      <c r="AT11" s="15"/>
      <c r="AV11" s="15"/>
      <c r="AW11" s="15">
        <f t="shared" si="11"/>
        <v>0</v>
      </c>
      <c r="AX11" s="15">
        <f t="shared" si="12"/>
        <v>150000</v>
      </c>
      <c r="AY11" s="15">
        <f t="shared" si="13"/>
        <v>0</v>
      </c>
      <c r="AZ11" s="16">
        <f t="shared" si="14"/>
        <v>150000</v>
      </c>
      <c r="BA11" s="58">
        <v>100000</v>
      </c>
      <c r="BB11" s="58"/>
      <c r="BC11" s="15"/>
      <c r="BD11" s="57">
        <f>IF(AZ11=0,(AZ11-BA11-BC11),(AZ11-BA11-BB11-BC11))-50000</f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VLOOKUP(A12,[12]HISTOBQUEMAI24!$A$6:$G$46,3,0)</f>
        <v>825000</v>
      </c>
      <c r="E12" s="9">
        <f>VLOOKUP(A12,[12]HISTOBQUEMAI24!$A$6:$G$41,4,0)</f>
        <v>5000</v>
      </c>
      <c r="F12" s="9">
        <f>VLOOKUP(A12,[12]HISTOBQUEMAI24!$A$6:$G$41,5,0)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VLOOKUP(A12,[13]TONTMAI24!$A$6:$R$39,12,0)</f>
        <v>0</v>
      </c>
      <c r="Q12" s="2">
        <f>VLOOKUP(A12,[14]TONTMAI24!$A$7:$P$23,10,0)</f>
        <v>0</v>
      </c>
      <c r="R12" s="2">
        <f>VLOOKUP(A12,[15]TONTMAI24!$A$7:$P$20,10,0)</f>
        <v>0</v>
      </c>
      <c r="S12" s="20">
        <v>500000</v>
      </c>
      <c r="T12" s="12" t="s">
        <v>8</v>
      </c>
      <c r="U12" s="17">
        <f t="shared" si="9"/>
        <v>830000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>
        <v>100000</v>
      </c>
      <c r="AK12" s="12"/>
      <c r="AL12" s="12"/>
      <c r="AM12" s="12">
        <v>1000</v>
      </c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100000</v>
      </c>
      <c r="AY12" s="15">
        <f t="shared" si="13"/>
        <v>1190000</v>
      </c>
      <c r="AZ12" s="16">
        <f>SUM(AV12:AY12)-BF12+Z12-F12+BH12+BI12+BJ12+BK12+BL12+BM12-100000</f>
        <v>1190000</v>
      </c>
      <c r="BA12" s="58"/>
      <c r="BB12" s="58"/>
      <c r="BC12" s="15"/>
      <c r="BD12" s="57">
        <f t="shared" si="15"/>
        <v>1190000</v>
      </c>
      <c r="BE12" s="82" t="s">
        <v>186</v>
      </c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VLOOKUP(A13,[12]HISTOBQUEMAI24!$A$6:$G$46,3,0)</f>
        <v>50000</v>
      </c>
      <c r="E13" s="9">
        <f>VLOOKUP(A13,[12]HISTOBQUEMAI24!$A$6:$G$41,4,0)</f>
        <v>0</v>
      </c>
      <c r="F13" s="9">
        <f>VLOOKUP(A13,[12]HISTOBQUEMAI24!$A$6:$G$41,5,0)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VLOOKUP(A13,[13]TONTMAI24!$A$6:$R$39,12,0)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VLOOKUP(A14,[12]HISTOBQUEMAI24!$A$6:$G$46,3,0)</f>
        <v>50000</v>
      </c>
      <c r="E14" s="9">
        <f>VLOOKUP(A14,[12]HISTOBQUEMAI24!$A$6:$G$41,4,0)</f>
        <v>0</v>
      </c>
      <c r="F14" s="9">
        <f>VLOOKUP(A14,[12]HISTOBQUEMAI24!$A$6:$G$41,5,0)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VLOOKUP(A14,[13]TONTMAI24!$A$6:$R$39,12,0)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VLOOKUP(A15,[12]HISTOBQUEMAI24!$A$6:$G$46,3,0)</f>
        <v>125000</v>
      </c>
      <c r="E15" s="9">
        <f>VLOOKUP(A15,[12]HISTOBQUEMAI24!$A$6:$G$41,4,0)</f>
        <v>0</v>
      </c>
      <c r="F15" s="9">
        <f>VLOOKUP(A15,[12]HISTOBQUEMAI24!$A$6:$G$41,5,0)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VLOOKUP(A15,[13]TONTMAI24!$A$6:$R$39,12,0)</f>
        <v>0</v>
      </c>
      <c r="Q15" s="2">
        <f>VLOOKUP(A15,[14]TONTMAI24!$A$7:$P$23,10,0)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>
        <v>1000000</v>
      </c>
      <c r="AA15" s="12" t="s">
        <v>206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930000</v>
      </c>
      <c r="BA15" s="58"/>
      <c r="BB15" s="58"/>
      <c r="BC15" s="15"/>
      <c r="BD15" s="57">
        <f t="shared" si="15"/>
        <v>930000</v>
      </c>
      <c r="BE15" s="82" t="s">
        <v>186</v>
      </c>
      <c r="BF15" s="29">
        <f t="shared" si="5"/>
        <v>70000</v>
      </c>
      <c r="BG15" s="29">
        <v>7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VLOOKUP(A16,[12]HISTOBQUEMAI24!$A$6:$G$46,3,0)</f>
        <v>260000</v>
      </c>
      <c r="E16" s="9">
        <f>VLOOKUP(A16,[12]HISTOBQUEMAI24!$A$6:$G$41,4,0)</f>
        <v>0</v>
      </c>
      <c r="F16" s="9">
        <f>VLOOKUP(A16,[12]HISTOBQUEMAI24!$A$6:$G$41,5,0)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VLOOKUP(A16,[13]TONTMAI24!$A$6:$R$39,12,0)</f>
        <v>0</v>
      </c>
      <c r="Q16" s="2">
        <f>VLOOKUP(A16,[14]TONTMAI24!$A$7:$P$23,10,0)</f>
        <v>0</v>
      </c>
      <c r="R16" s="2">
        <f>VLOOKUP(A16,[15]TONTFEV24!$A$7:$P$20,10,0)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O16" s="62" t="s">
        <v>142</v>
      </c>
      <c r="BQ16" s="62">
        <f>SUM(BQ6:BQ15)</f>
        <v>19000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VLOOKUP(A17,[12]HISTOBQUEMAI24!$A$6:$G$46,3,0)</f>
        <v>150000</v>
      </c>
      <c r="E17" s="9">
        <f>VLOOKUP(A17,[12]HISTOBQUEMAI24!$A$6:$G$41,4,0)</f>
        <v>0</v>
      </c>
      <c r="F17" s="9">
        <f>VLOOKUP(A17,[12]HISTOBQUEMAI24!$A$6:$G$41,5,0)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VLOOKUP(A17,[13]TONTMAI24!$A$6:$R$39,12,0)</f>
        <v>0</v>
      </c>
      <c r="Q17" s="2"/>
      <c r="R17" s="2">
        <f>VLOOKUP(A17,[15]TONTMAI24!$A$7:$P$20,10,0)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>
        <v>50000</v>
      </c>
      <c r="AJ17" s="12"/>
      <c r="AK17" s="12"/>
      <c r="AL17" s="12">
        <v>500</v>
      </c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50000</v>
      </c>
      <c r="AX17" s="15">
        <f t="shared" si="12"/>
        <v>0</v>
      </c>
      <c r="AY17" s="15">
        <f t="shared" si="13"/>
        <v>0</v>
      </c>
      <c r="AZ17" s="16">
        <f t="shared" si="14"/>
        <v>50000</v>
      </c>
      <c r="BA17" s="58">
        <v>50000</v>
      </c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VLOOKUP(A18,[12]HISTOBQUEMAI24!$A$6:$G$46,3,0)</f>
        <v>365000</v>
      </c>
      <c r="E18" s="9">
        <f>VLOOKUP(A18,[12]HISTOBQUEMAI24!$A$6:$G$41,4,0)</f>
        <v>1003000</v>
      </c>
      <c r="F18" s="9">
        <f>VLOOKUP(A18,[12]HISTOBQUEMAI24!$A$6:$G$41,5,0)</f>
        <v>0</v>
      </c>
      <c r="G18" s="5">
        <f>IF(H18="ESPECES",3000,0)+3000</f>
        <v>3000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VLOOKUP(A18,[13]TONTMAI24!$A$6:$R$39,12,0)</f>
        <v>0</v>
      </c>
      <c r="Q18" s="2"/>
      <c r="R18" s="2">
        <f>VLOOKUP(A18,[15]TONTMAI24!$A$7:$P$20,10,0)</f>
        <v>205000</v>
      </c>
      <c r="S18" s="20">
        <v>1000000</v>
      </c>
      <c r="T18" s="12" t="s">
        <v>8</v>
      </c>
      <c r="U18" s="17">
        <f t="shared" si="9"/>
        <v>1368000</v>
      </c>
      <c r="V18" s="12"/>
      <c r="W18" s="12"/>
      <c r="X18" s="12"/>
      <c r="Y18" s="12"/>
      <c r="Z18" s="12">
        <v>350000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336000</v>
      </c>
      <c r="BA18" s="58">
        <v>336000</v>
      </c>
      <c r="BB18" s="58"/>
      <c r="BC18" s="15"/>
      <c r="BD18" s="57">
        <f t="shared" si="15"/>
        <v>0</v>
      </c>
      <c r="BE18" s="82"/>
      <c r="BF18" s="29">
        <f t="shared" si="5"/>
        <v>14000</v>
      </c>
      <c r="BG18" s="29">
        <v>4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VLOOKUP(A19,[12]HISTOBQUEMAI24!$A$6:$G$46,3,0)</f>
        <v>50000</v>
      </c>
      <c r="E19" s="9">
        <f>VLOOKUP(A19,[12]HISTOBQUEMAI24!$A$6:$G$41,4,0)</f>
        <v>0</v>
      </c>
      <c r="F19" s="9">
        <f>VLOOKUP(A19,[12]HISTOBQUEMAI24!$A$6:$G$41,5,0)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VLOOKUP(A19,[13]TONTMAI24!$A$6:$R$39,12,0)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-500</v>
      </c>
      <c r="D20" s="9">
        <f>VLOOKUP(A20,[12]HISTOBQUEMAI24!$A$6:$G$46,3,0)</f>
        <v>296000</v>
      </c>
      <c r="E20" s="9">
        <f>VLOOKUP(A20,[12]HISTOBQUEMAI24!$A$6:$G$41,4,0)</f>
        <v>101000</v>
      </c>
      <c r="F20" s="9">
        <f>VLOOKUP(A20,[12]HISTOBQUEMAI24!$A$6:$G$41,5,0)</f>
        <v>0</v>
      </c>
      <c r="G20" s="5">
        <f t="shared" si="7"/>
        <v>0</v>
      </c>
      <c r="H20" s="10" t="str">
        <f t="shared" si="0"/>
        <v>BANQUE</v>
      </c>
      <c r="I20" s="10">
        <v>-500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VLOOKUP(A20,[13]TONTMAI24!$A$6:$R$39,12,0)</f>
        <v>0</v>
      </c>
      <c r="Q20" s="2">
        <f>VLOOKUP(A20,[14]TONTMAI24!$A$7:$P$23,10,0)</f>
        <v>101500</v>
      </c>
      <c r="R20" s="2">
        <f>VLOOKUP(A20,[15]TONTMAI24!$A$7:$P$20,10,0)</f>
        <v>71500</v>
      </c>
      <c r="S20" s="20"/>
      <c r="T20" s="12"/>
      <c r="U20" s="17">
        <f t="shared" si="9"/>
        <v>397500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200000</v>
      </c>
      <c r="AK20" s="12"/>
      <c r="AL20" s="12"/>
      <c r="AM20" s="12">
        <v>2000</v>
      </c>
      <c r="AN20" s="12"/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24500</v>
      </c>
      <c r="AT20" s="15"/>
      <c r="AV20" s="15"/>
      <c r="AW20" s="15">
        <f t="shared" si="11"/>
        <v>0</v>
      </c>
      <c r="AX20" s="15">
        <f t="shared" si="12"/>
        <v>200000</v>
      </c>
      <c r="AY20" s="15">
        <f t="shared" si="13"/>
        <v>0</v>
      </c>
      <c r="AZ20" s="16">
        <f t="shared" si="14"/>
        <v>200000</v>
      </c>
      <c r="BA20" s="58">
        <v>200000</v>
      </c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VLOOKUP(A21,[12]HISTOBQUEMAI24!$A$6:$G$46,3,0)</f>
        <v>50000</v>
      </c>
      <c r="E21" s="9">
        <f>VLOOKUP(A21,[12]HISTOBQUEMAI24!$A$6:$G$41,4,0)</f>
        <v>0</v>
      </c>
      <c r="F21" s="9">
        <f>VLOOKUP(A21,[12]HISTOBQUEMAI24!$A$6:$G$41,5,0)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VLOOKUP(A21,[13]TONTMAI24!$A$6:$R$39,12,0)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>
        <v>3000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297000</v>
      </c>
      <c r="AX21" s="15">
        <f t="shared" si="12"/>
        <v>0</v>
      </c>
      <c r="AY21" s="15">
        <f t="shared" si="13"/>
        <v>0</v>
      </c>
      <c r="AZ21" s="16">
        <f t="shared" si="14"/>
        <v>297000</v>
      </c>
      <c r="BA21" s="58">
        <v>297000</v>
      </c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VLOOKUP(A22,[12]HISTOBQUEMAI24!$A$6:$G$46,3,0)</f>
        <v>125000</v>
      </c>
      <c r="E22" s="9">
        <f>VLOOKUP(A22,[12]HISTOBQUEMAI24!$A$6:$G$41,4,0)</f>
        <v>0</v>
      </c>
      <c r="F22" s="9">
        <f>VLOOKUP(A22,[12]HISTOBQUEMAI24!$A$6:$G$41,5,0)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VLOOKUP(A22,[13]TONTMAI24!$A$6:$R$39,12,0)</f>
        <v>0</v>
      </c>
      <c r="Q22" s="2">
        <f>VLOOKUP(A22,[14]TONTMAI24!$A$7:$P$23,10,0)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VLOOKUP(A23,[12]HISTOBQUEMAI24!$A$6:$G$46,3,0)</f>
        <v>270000</v>
      </c>
      <c r="E23" s="9">
        <f>VLOOKUP(A23,[12]HISTOBQUEMAI24!$A$6:$G$41,4,0)</f>
        <v>0</v>
      </c>
      <c r="F23" s="9">
        <f>VLOOKUP(A23,[12]HISTOBQUEMAI24!$A$6:$G$41,5,0)</f>
        <v>0</v>
      </c>
      <c r="G23" s="5">
        <f t="shared" si="7"/>
        <v>0</v>
      </c>
      <c r="H23" s="10" t="str">
        <f t="shared" si="0"/>
        <v>BANQUE</v>
      </c>
      <c r="I23" s="10">
        <v>20000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VLOOKUP(A23,[13]TONTMAI24!$A$6:$R$39,12,0)</f>
        <v>0</v>
      </c>
      <c r="Q23" s="2"/>
      <c r="R23" s="2">
        <f>VLOOKUP(A23,[15]TONTMAI24!$A$7:$P$20,10,0)</f>
        <v>0</v>
      </c>
      <c r="S23" s="20"/>
      <c r="T23" s="12"/>
      <c r="U23" s="17">
        <f t="shared" si="9"/>
        <v>270000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45000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 t="s">
        <v>186</v>
      </c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-500</v>
      </c>
      <c r="D24" s="9">
        <f>VLOOKUP(A24,[12]HISTOBQUEMAI24!$A$6:$G$46,3,0)</f>
        <v>250000</v>
      </c>
      <c r="E24" s="9">
        <f>VLOOKUP(A24,[12]HISTOBQUEMAI24!$A$6:$G$41,4,0)</f>
        <v>0</v>
      </c>
      <c r="F24" s="9">
        <f>VLOOKUP(A24,[12]HISTOBQUEMAI24!$A$6:$G$41,5,0)</f>
        <v>0</v>
      </c>
      <c r="G24" s="5">
        <f t="shared" si="7"/>
        <v>0</v>
      </c>
      <c r="H24" s="10" t="str">
        <f t="shared" si="0"/>
        <v>BANQUE</v>
      </c>
      <c r="I24" s="10">
        <v>25000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VLOOKUP(A24,[13]TONTMAI24!$A$6:$R$39,12,0)</f>
        <v>0</v>
      </c>
      <c r="Q24" s="2">
        <f>VLOOKUP(A24,[14]TONTMAI24!$A$7:$P$23,10,0)</f>
        <v>0</v>
      </c>
      <c r="R24" s="2">
        <f>VLOOKUP(A24,[15]TONTMAI24!$A$7:$P$20,10,0)-103000</f>
        <v>500</v>
      </c>
      <c r="S24" s="20"/>
      <c r="T24" s="12"/>
      <c r="U24" s="17">
        <f t="shared" si="9"/>
        <v>250500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103000</v>
      </c>
      <c r="AL24" s="12"/>
      <c r="AM24" s="12"/>
      <c r="AN24" s="12">
        <v>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50000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103000</v>
      </c>
      <c r="AZ24" s="16">
        <f t="shared" si="14"/>
        <v>103000</v>
      </c>
      <c r="BA24" s="58"/>
      <c r="BB24" s="58"/>
      <c r="BC24" s="15"/>
      <c r="BD24" s="57">
        <f>IF(AZ24=0,(AZ24-BA24-BC24),(AZ24-BA24-BB24-BC24))-103000</f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VLOOKUP(A25,[12]HISTOBQUEMAI24!$A$6:$G$46,3,0)</f>
        <v>580000</v>
      </c>
      <c r="E25" s="9">
        <f>VLOOKUP(A25,[12]HISTOBQUEMAI24!$A$6:$G$41,4,0)</f>
        <v>0</v>
      </c>
      <c r="F25" s="9">
        <f>VLOOKUP(A25,[12]HISTOBQUEMAI24!$A$6:$G$41,5,0)</f>
        <v>0</v>
      </c>
      <c r="G25" s="5">
        <f t="shared" si="7"/>
        <v>0</v>
      </c>
      <c r="H25" s="10" t="str">
        <f t="shared" si="0"/>
        <v>BANQUE</v>
      </c>
      <c r="I25" s="10">
        <v>-500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VLOOKUP(A25,[13]TONTMAI24!$A$6:$R$39,12,0)</f>
        <v>0</v>
      </c>
      <c r="Q25" s="2">
        <f>VLOOKUP(A25,[14]TONTMAI24!$A$7:$P$23,10,0)</f>
        <v>0</v>
      </c>
      <c r="R25" s="2">
        <f>VLOOKUP(A25,[15]TONTMAI24!$A$7:$P$20,10,0)</f>
        <v>205500</v>
      </c>
      <c r="S25" s="20"/>
      <c r="T25" s="12"/>
      <c r="U25" s="17">
        <f t="shared" si="9"/>
        <v>580000</v>
      </c>
      <c r="V25" s="12"/>
      <c r="W25" s="12"/>
      <c r="X25" s="12"/>
      <c r="Y25" s="12"/>
      <c r="Z25" s="12"/>
      <c r="AA25" s="12"/>
      <c r="AB25" s="12"/>
      <c r="AC25" s="12"/>
      <c r="AD25" s="12">
        <v>25000</v>
      </c>
      <c r="AE25" s="12"/>
      <c r="AF25" s="12" t="s">
        <v>8</v>
      </c>
      <c r="AG25" s="12"/>
      <c r="AH25" s="12"/>
      <c r="AI25" s="12"/>
      <c r="AJ25" s="12">
        <v>34000</v>
      </c>
      <c r="AK25" s="12"/>
      <c r="AL25" s="12"/>
      <c r="AM25" s="12">
        <v>500</v>
      </c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24500</v>
      </c>
      <c r="AT25" s="15"/>
      <c r="AV25" s="15"/>
      <c r="AW25" s="15">
        <f t="shared" si="11"/>
        <v>0</v>
      </c>
      <c r="AX25" s="15">
        <f t="shared" si="12"/>
        <v>909000</v>
      </c>
      <c r="AY25" s="15">
        <f t="shared" si="13"/>
        <v>0</v>
      </c>
      <c r="AZ25" s="16">
        <f t="shared" si="14"/>
        <v>909000</v>
      </c>
      <c r="BA25" s="58">
        <v>34000</v>
      </c>
      <c r="BB25" s="58"/>
      <c r="BC25" s="15"/>
      <c r="BD25" s="57">
        <f t="shared" si="15"/>
        <v>875000</v>
      </c>
      <c r="BE25" s="82" t="s">
        <v>186</v>
      </c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VLOOKUP(A26,[12]HISTOBQUEMAI24!$A$6:$G$46,3,0)</f>
        <v>50000</v>
      </c>
      <c r="E26" s="9">
        <f>VLOOKUP(A26,[12]HISTOBQUEMAI24!$A$6:$G$41,4,0)</f>
        <v>0</v>
      </c>
      <c r="F26" s="9">
        <f>VLOOKUP(A26,[12]HISTOBQUEMAI24!$A$6:$G$41,5,0)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VLOOKUP(A26,[13]TONTMAI24!$A$6:$R$39,12,0)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50000</v>
      </c>
      <c r="AJ26" s="12"/>
      <c r="AK26" s="12"/>
      <c r="AL26" s="12">
        <v>500</v>
      </c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50000</v>
      </c>
      <c r="AX26" s="15">
        <f t="shared" si="12"/>
        <v>0</v>
      </c>
      <c r="AY26" s="15">
        <f t="shared" si="13"/>
        <v>0</v>
      </c>
      <c r="AZ26" s="16">
        <f t="shared" si="14"/>
        <v>50000</v>
      </c>
      <c r="BA26" s="58">
        <v>50000</v>
      </c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VLOOKUP(A27,[12]HISTOBQUEMAI24!$A$6:$G$46,3,0)</f>
        <v>50000</v>
      </c>
      <c r="E27" s="9">
        <f>VLOOKUP(A27,[12]HISTOBQUEMAI24!$A$6:$G$41,4,0)</f>
        <v>0</v>
      </c>
      <c r="F27" s="9">
        <f>VLOOKUP(A27,[12]HISTOBQUEMAI24!$A$6:$G$41,5,0)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VLOOKUP(A27,[13]TONTMAI24!$A$6:$R$39,12,0)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VLOOKUP(A28,[12]HISTOBQUEMAI24!$A$6:$G$46,3,0)</f>
        <v>125000</v>
      </c>
      <c r="E28" s="9">
        <f>VLOOKUP(A28,[12]HISTOBQUEMAI24!$A$6:$G$41,4,0)</f>
        <v>0</v>
      </c>
      <c r="F28" s="9">
        <f>VLOOKUP(A28,[12]HISTOBQUEMAI24!$A$6:$G$41,5,0)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VLOOKUP(A28,[13]TONTMAI24!$A$6:$R$39,12,0)</f>
        <v>0</v>
      </c>
      <c r="Q28" s="2">
        <f>VLOOKUP(A28,[14]TONTMAI24!$A$7:$P$23,10,0)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VLOOKUP(A29,[12]HISTOBQUEMAI24!$A$6:$G$46,3,0)</f>
        <v>50000</v>
      </c>
      <c r="E29" s="9">
        <f>VLOOKUP(A29,[12]HISTOBQUEMAI24!$A$6:$G$41,4,0)</f>
        <v>0</v>
      </c>
      <c r="F29" s="9">
        <f>VLOOKUP(A29,[12]HISTOBQUEMAI24!$A$6:$G$41,5,0)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VLOOKUP(A29,[13]TONTMAI24!$A$6:$R$39,12,0)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VLOOKUP(A30,[12]HISTOBQUEMAI24!$A$6:$G$46,3,0)</f>
        <v>250000</v>
      </c>
      <c r="E30" s="9">
        <f>VLOOKUP(A30,[12]HISTOBQUEMAI24!$A$6:$G$41,4,0)</f>
        <v>0</v>
      </c>
      <c r="F30" s="9">
        <f>VLOOKUP(A30,[12]HISTOBQUEMAI24!$A$6:$G$41,5,0)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VLOOKUP(A30,[13]TONTMAI24!$A$6:$R$39,12,0)</f>
        <v>0</v>
      </c>
      <c r="Q30" s="2"/>
      <c r="R30" s="2">
        <f>VLOOKUP(A30,[15]TONTMAI24!$A$7:$P$20,10,0)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VLOOKUP(A31,[12]HISTOBQUEMAI24!$A$6:$G$46,3,0)</f>
        <v>150000</v>
      </c>
      <c r="E31" s="9">
        <f>VLOOKUP(A31,[12]HISTOBQUEMAI24!$A$6:$G$41,4,0)</f>
        <v>0</v>
      </c>
      <c r="F31" s="9">
        <f>VLOOKUP(A31,[12]HISTOBQUEMAI24!$A$6:$G$41,5,0)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VLOOKUP(A31,[13]TONTMAI24!$A$6:$R$39,12,0)</f>
        <v>0</v>
      </c>
      <c r="Q31" s="2"/>
      <c r="R31" s="2">
        <f>VLOOKUP(A31,[15]TONTMAI24!$A$7:$P$20,10,0)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>
        <v>3500</v>
      </c>
      <c r="AD31" s="12"/>
      <c r="AE31" s="12"/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296500</v>
      </c>
      <c r="AX31" s="15">
        <f t="shared" si="12"/>
        <v>0</v>
      </c>
      <c r="AY31" s="15">
        <f t="shared" si="13"/>
        <v>0</v>
      </c>
      <c r="AZ31" s="16">
        <f t="shared" si="14"/>
        <v>296500</v>
      </c>
      <c r="BA31" s="58">
        <v>29500</v>
      </c>
      <c r="BB31" s="58"/>
      <c r="BC31" s="15"/>
      <c r="BD31" s="57">
        <f t="shared" si="15"/>
        <v>267000</v>
      </c>
      <c r="BE31" s="82" t="s">
        <v>186</v>
      </c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VLOOKUP(A32,[12]HISTOBQUEMAI24!$A$6:$G$46,3,0)</f>
        <v>226000</v>
      </c>
      <c r="E32" s="9">
        <f>VLOOKUP(A32,[12]HISTOBQUEMAI24!$A$6:$G$41,4,0)</f>
        <v>0</v>
      </c>
      <c r="F32" s="9">
        <f>VLOOKUP(A32,[12]HISTOBQUEMAI24!$A$6:$G$41,5,0)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VLOOKUP(A32,[13]TONTMAI24!$A$6:$R$39,12,0)</f>
        <v>0</v>
      </c>
      <c r="Q32" s="2">
        <f>VLOOKUP(A32,[14]TONTMAI24!$A$7:$P$23,10,0)</f>
        <v>101000</v>
      </c>
      <c r="R32" s="2"/>
      <c r="S32" s="20"/>
      <c r="T32" s="12"/>
      <c r="U32" s="17">
        <f t="shared" si="9"/>
        <v>226000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200000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200000</v>
      </c>
      <c r="AY32" s="15">
        <f t="shared" si="13"/>
        <v>0</v>
      </c>
      <c r="AZ32" s="16">
        <f t="shared" si="14"/>
        <v>200000</v>
      </c>
      <c r="BA32" s="58">
        <v>200000</v>
      </c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VLOOKUP(A33,[12]HISTOBQUEMAI24!$A$6:$G$46,3,0)</f>
        <v>160000</v>
      </c>
      <c r="E33" s="9">
        <f>VLOOKUP(A33,[12]HISTOBQUEMAI24!$A$6:$G$41,4,0)</f>
        <v>0</v>
      </c>
      <c r="F33" s="9">
        <f>VLOOKUP(A33,[12]HISTOBQUEMAI24!$A$6:$G$41,5,0)</f>
        <v>0</v>
      </c>
      <c r="G33" s="5">
        <f t="shared" si="7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VLOOKUP(A33,[13]TONTMAI24!$A$6:$R$39,12,0)</f>
        <v>0</v>
      </c>
      <c r="Q33" s="2"/>
      <c r="R33" s="2">
        <f>VLOOKUP(A33,[15]TONTMAI24!$A$7:$P$20,10,0)</f>
        <v>0</v>
      </c>
      <c r="S33" s="20"/>
      <c r="T33" s="12"/>
      <c r="U33" s="17">
        <f t="shared" si="9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35000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VLOOKUP(A34,[12]HISTOBQUEMAI24!$A$6:$G$46,3,0)</f>
        <v>50000</v>
      </c>
      <c r="E34" s="9">
        <f>VLOOKUP(A34,[12]HISTOBQUEMAI24!$A$6:$G$41,4,0)</f>
        <v>0</v>
      </c>
      <c r="F34" s="9">
        <f>VLOOKUP(A34,[12]HISTOBQUEMAI24!$A$6:$G$41,5,0)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VLOOKUP(A34,[13]TONTMAI24!$A$6:$R$39,12,0)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VLOOKUP(A35,[12]HISTOBQUEMAI24!$A$6:$G$46,3,0)</f>
        <v>60000</v>
      </c>
      <c r="E35" s="9">
        <f>VLOOKUP(A35,[12]HISTOBQUEMAI24!$A$6:$G$41,4,0)</f>
        <v>0</v>
      </c>
      <c r="F35" s="9">
        <f>VLOOKUP(A35,[12]HISTOBQUEMAI24!$A$6:$G$41,5,0)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VLOOKUP(A35,[13]TONTMAI24!$A$6:$R$39,12,0)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VLOOKUP(A36,[12]HISTOBQUEMAI24!$A$6:$G$46,3,0)</f>
        <v>0</v>
      </c>
      <c r="E36" s="9">
        <f>VLOOKUP(A36,[12]HISTOBQUEMAI24!$A$6:$G$41,4,0)</f>
        <v>53000</v>
      </c>
      <c r="F36" s="9">
        <f>VLOOKUP(A36,[12]HISTOBQUEMAI24!$A$6:$G$41,5,0)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VLOOKUP(A36,[13]TONTMAI24!$A$6:$R$39,12,0)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VLOOKUP(A37,[12]HISTOBQUEMAI24!$A$6:$G$46,3,0)</f>
        <v>0</v>
      </c>
      <c r="E37" s="9">
        <f>VLOOKUP(A37,[12]HISTOBQUEMAI24!$A$6:$G$41,4,0)</f>
        <v>153000</v>
      </c>
      <c r="F37" s="9">
        <f>VLOOKUP(A37,[12]HISTOBQUEMAI24!$A$6:$G$41,5,0)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VLOOKUP(A37,[13]TONTMAI24!$A$6:$R$39,12,0)</f>
        <v>0</v>
      </c>
      <c r="Q37" s="2"/>
      <c r="R37" s="2">
        <f>VLOOKUP(A37,[15]TONTMAI24!$A$7:$P$20,10,0)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VLOOKUP(A38,[12]HISTOBQUEMAI24!$A$6:$G$46,3,0)</f>
        <v>125000</v>
      </c>
      <c r="E38" s="9">
        <f>VLOOKUP(A38,[12]HISTOBQUEMAI24!$A$6:$G$41,4,0)</f>
        <v>0</v>
      </c>
      <c r="F38" s="9">
        <f>VLOOKUP(A38,[12]HISTOBQUEMAI24!$A$6:$G$41,5,0)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VLOOKUP(A38,[13]TONTMAI24!$A$6:$R$39,12,0)</f>
        <v>0</v>
      </c>
      <c r="Q38" s="2">
        <f>VLOOKUP(A38,[14]TONTMAI24!$A$7:$P$23,10,0)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-1000</v>
      </c>
      <c r="D40" s="5">
        <f t="shared" si="16"/>
        <v>5945000</v>
      </c>
      <c r="E40" s="5">
        <f t="shared" si="16"/>
        <v>1315000</v>
      </c>
      <c r="F40" s="5">
        <f t="shared" si="16"/>
        <v>0</v>
      </c>
      <c r="G40" s="5">
        <f t="shared" si="16"/>
        <v>9000</v>
      </c>
      <c r="H40" s="5">
        <f t="shared" si="16"/>
        <v>0</v>
      </c>
      <c r="I40" s="5">
        <f t="shared" si="16"/>
        <v>117000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43000</v>
      </c>
      <c r="Q40" s="5">
        <f t="shared" si="16"/>
        <v>509500</v>
      </c>
      <c r="R40" s="5">
        <f t="shared" si="16"/>
        <v>482500</v>
      </c>
      <c r="S40" s="5">
        <f t="shared" si="16"/>
        <v>1500000</v>
      </c>
      <c r="T40" s="5"/>
      <c r="U40" s="5">
        <f t="shared" ref="U40:AA40" si="17">SUM(U6:U39)</f>
        <v>7261000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1350000</v>
      </c>
      <c r="AA40" s="5">
        <f t="shared" si="17"/>
        <v>0</v>
      </c>
      <c r="AB40" s="5"/>
      <c r="AC40" s="5">
        <f>SUM(AC6:AC39)</f>
        <v>6500</v>
      </c>
      <c r="AD40" s="5">
        <f>SUM(AD6:AD39)</f>
        <v>25000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100000</v>
      </c>
      <c r="AJ40" s="5">
        <f t="shared" si="18"/>
        <v>684000</v>
      </c>
      <c r="AK40" s="5">
        <f t="shared" si="18"/>
        <v>103000</v>
      </c>
      <c r="AL40" s="5">
        <f t="shared" si="18"/>
        <v>1000</v>
      </c>
      <c r="AM40" s="5">
        <f t="shared" si="18"/>
        <v>7500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917000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693500</v>
      </c>
      <c r="AX40" s="5">
        <f t="shared" si="18"/>
        <v>1559000</v>
      </c>
      <c r="AY40" s="5">
        <f t="shared" si="18"/>
        <v>1293000</v>
      </c>
      <c r="AZ40" s="5">
        <f t="shared" si="18"/>
        <v>4830500</v>
      </c>
      <c r="BA40" s="5">
        <f t="shared" si="18"/>
        <v>1315500</v>
      </c>
      <c r="BB40" s="5">
        <f t="shared" si="18"/>
        <v>0</v>
      </c>
      <c r="BC40" s="5">
        <f t="shared" si="18"/>
        <v>0</v>
      </c>
      <c r="BD40" s="5">
        <f t="shared" si="18"/>
        <v>3362000</v>
      </c>
      <c r="BE40" s="5">
        <f t="shared" si="18"/>
        <v>0</v>
      </c>
      <c r="BF40" s="5">
        <f t="shared" si="18"/>
        <v>84000</v>
      </c>
      <c r="BH40" s="5">
        <f t="shared" ref="BH40:BL40" si="19">SUM(BH6:BH39)</f>
        <v>19000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4830500</v>
      </c>
      <c r="D47" s="9">
        <f>SUMIFS(D8:D40,H8:H40,"BANQUE")</f>
        <v>5720000</v>
      </c>
      <c r="F47" s="9">
        <f>E40</f>
        <v>1315000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9542000</v>
      </c>
    </row>
  </sheetData>
  <autoFilter ref="A5:AF38" xr:uid="{00000000-0009-0000-0000-000008000000}"/>
  <mergeCells count="1">
    <mergeCell ref="B4:M4"/>
  </mergeCells>
  <dataValidations count="1">
    <dataValidation type="list" allowBlank="1" showInputMessage="1" showErrorMessage="1" sqref="T6:T38 AP6:AP38 AF6:AF38 AA6:AA38" xr:uid="{00000000-0002-0000-08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85"/>
  <sheetViews>
    <sheetView zoomScale="96" zoomScaleNormal="96" workbookViewId="0">
      <pane xSplit="4" ySplit="5" topLeftCell="BH30" activePane="bottomRight" state="frozen"/>
      <selection pane="topRight" activeCell="E1" sqref="E1"/>
      <selection pane="bottomLeft" activeCell="A6" sqref="A6"/>
      <selection pane="bottomRight" activeCell="AK1" sqref="AK1:AK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36" width="16" customWidth="1"/>
    <col min="37" max="37" width="12" customWidth="1"/>
    <col min="38" max="38" width="12.1796875" customWidth="1"/>
    <col min="39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VLOOKUP(A6,[12]HISTOBQUEJUIN24!$A$6:$G$46,3,0)</f>
        <v>175000</v>
      </c>
      <c r="E6" s="9">
        <f>VLOOKUP(A6,[12]HISTOBQUEJUIN24!$A$6:$G$41,4,0)</f>
        <v>0</v>
      </c>
      <c r="F6" s="9">
        <f>VLOOKUP(A6,[12]HISTOBQUEJUIN24!$A$6:$G$41,5,0)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12000</v>
      </c>
      <c r="BA6" s="58">
        <v>6000</v>
      </c>
      <c r="BB6" s="58"/>
      <c r="BC6" s="15"/>
      <c r="BD6" s="57">
        <f>IF(AZ6=0,(AZ6-BA6-BC6),(AZ6-BA6-BB6-BC6))</f>
        <v>6000</v>
      </c>
      <c r="BE6" s="82" t="s">
        <v>186</v>
      </c>
      <c r="BF6" s="29">
        <f t="shared" ref="BF6:BF38" si="5">Z6*1/100*BG6</f>
        <v>0</v>
      </c>
      <c r="BG6" s="29">
        <v>6</v>
      </c>
      <c r="BH6" s="15">
        <f>BQ16</f>
        <v>12000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2000000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5">
        <f>D7+E7+F7-U7-BB7</f>
        <v>54000</v>
      </c>
      <c r="D7" s="9">
        <f>VLOOKUP(A7,[12]HISTOBQUEJUIN24!$A$6:$G$46,3,0)+153000-103000</f>
        <v>50000</v>
      </c>
      <c r="E7" s="9">
        <f>VLOOKUP(A7,[12]HISTOBQUEJUIN24!$A$6:$G$41,4,0)</f>
        <v>50000</v>
      </c>
      <c r="F7" s="9">
        <f>VLOOKUP(A7,[12]HISTOBQUEJUIN24!$A$6:$G$41,5,0)</f>
        <v>0</v>
      </c>
      <c r="G7" s="5">
        <f t="shared" ref="G7:G38" si="6">IF(H7="ESPECES",3000,0)</f>
        <v>0</v>
      </c>
      <c r="H7" s="10" t="str">
        <f t="shared" si="0"/>
        <v>BANQUE</v>
      </c>
      <c r="I7" s="10">
        <f>-3000-1000</f>
        <v>-4000</v>
      </c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VLOOKUP(A7,[13]TONTJUIN24!$A$6:$R$39,12,0)</f>
        <v>0</v>
      </c>
      <c r="Q7" s="2"/>
      <c r="R7" s="2"/>
      <c r="S7" s="20"/>
      <c r="T7" s="12"/>
      <c r="U7" s="17">
        <f t="shared" ref="U7:U38" si="8">G7+S7++R7+P7+O7+M7+I7+K7+Q7+V7+W7</f>
        <v>46000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21000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5">
        <f t="shared" ref="C8:C38" si="15">D8+E8+F8-U8-BB8</f>
        <v>0</v>
      </c>
      <c r="D8" s="9">
        <f>VLOOKUP(A8,[12]HISTOBQUEJUIN24!$A$6:$G$46,3,0)</f>
        <v>115000</v>
      </c>
      <c r="E8" s="9">
        <f>VLOOKUP(A8,[12]HISTOBQUEJUIN24!$A$6:$G$41,4,0)</f>
        <v>10000</v>
      </c>
      <c r="F8" s="9">
        <f>VLOOKUP(A8,[12]HISTOBQUEJUIN24!$A$6:$G$41,5,0)</f>
        <v>0</v>
      </c>
      <c r="G8" s="5">
        <f t="shared" si="6"/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VLOOKUP(A8,[13]TONTJUIN24!$A$6:$R$39,12,0)</f>
        <v>0</v>
      </c>
      <c r="Q8" s="2">
        <f>VLOOKUP(A8,[14]TONTJUIN24!$A$7:$P$23,10,0)</f>
        <v>0</v>
      </c>
      <c r="R8" s="2"/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15"/>
        <v>0</v>
      </c>
      <c r="D9" s="9">
        <f>VLOOKUP(A9,[12]HISTOBQUEJUIN24!$A$6:$G$46,3,0)-50000</f>
        <v>250000</v>
      </c>
      <c r="E9" s="9">
        <f>VLOOKUP(A9,[12]HISTOBQUEJUIN24!$A$6:$G$41,4,0)</f>
        <v>0</v>
      </c>
      <c r="F9" s="9">
        <f>VLOOKUP(A9,[12]HISTOBQUEJUIN24!$A$6:$G$41,5,0)</f>
        <v>0</v>
      </c>
      <c r="G9" s="5">
        <f t="shared" si="6"/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VLOOKUP(A9,[13]TONTJUIN24!$A$6:$R$39,12,0)</f>
        <v>0</v>
      </c>
      <c r="Q9" s="2"/>
      <c r="R9" s="2">
        <f>VLOOKUP(A9,[15]TONTJUIN24!$A$7:$P$20,10,0)</f>
        <v>0</v>
      </c>
      <c r="S9" s="20"/>
      <c r="T9" s="12"/>
      <c r="U9" s="17">
        <f t="shared" si="8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15"/>
        <v>0</v>
      </c>
      <c r="D10" s="9">
        <f>VLOOKUP(A10,[12]HISTOBQUEJUIN24!$A$6:$G$46,3,0)</f>
        <v>0</v>
      </c>
      <c r="E10" s="9">
        <f>VLOOKUP(A10,[12]HISTOBQUEJUIN24!$A$6:$G$41,4,0)</f>
        <v>128000</v>
      </c>
      <c r="F10" s="9">
        <f>VLOOKUP(A10,[12]HISTOBQUEJUIN24!$A$6:$G$41,5,0)</f>
        <v>0</v>
      </c>
      <c r="G10" s="5">
        <f t="shared" si="6"/>
        <v>3000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VLOOKUP(A10,[13]TONTJUIN24!$A$6:$R$39,12,0)</f>
        <v>0</v>
      </c>
      <c r="Q10" s="2">
        <f>VLOOKUP(A10,[14]TONTJUIN24!$A$7:$P$23,10,0)</f>
        <v>0</v>
      </c>
      <c r="R10" s="2"/>
      <c r="S10" s="20"/>
      <c r="T10" s="12"/>
      <c r="U10" s="17">
        <f t="shared" si="8"/>
        <v>128000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30000</v>
      </c>
      <c r="AJ10" s="12"/>
      <c r="AK10" s="12"/>
      <c r="AL10" s="12">
        <v>500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30000</v>
      </c>
      <c r="AX10" s="15">
        <f t="shared" si="11"/>
        <v>0</v>
      </c>
      <c r="AY10" s="15">
        <f t="shared" si="12"/>
        <v>0</v>
      </c>
      <c r="AZ10" s="16">
        <f t="shared" si="13"/>
        <v>30000</v>
      </c>
      <c r="BA10" s="58">
        <v>30000</v>
      </c>
      <c r="BB10" s="58"/>
      <c r="BC10" s="15"/>
      <c r="BD10" s="57">
        <f t="shared" si="14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15"/>
        <v>122000</v>
      </c>
      <c r="D11" s="9">
        <f>VLOOKUP(A11,[12]HISTOBQUEJUIN24!$A$6:$G$46,3,0)</f>
        <v>404000</v>
      </c>
      <c r="E11" s="9">
        <f>VLOOKUP(A11,[12]HISTOBQUEJUIN24!$A$6:$G$41,4,0)</f>
        <v>0</v>
      </c>
      <c r="F11" s="9">
        <f>VLOOKUP(A11,[12]HISTOBQUEJUIN24!$A$6:$G$41,5,0)</f>
        <v>0</v>
      </c>
      <c r="G11" s="5">
        <f t="shared" si="6"/>
        <v>0</v>
      </c>
      <c r="H11" s="10" t="str">
        <f t="shared" si="0"/>
        <v>BANQUE</v>
      </c>
      <c r="I11" s="10">
        <v>5000</v>
      </c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VLOOKUP(A11,[13]TONTJUIN24!$A$6:$R$39,12,0)</f>
        <v>0</v>
      </c>
      <c r="Q11" s="2">
        <f>VLOOKUP(A11,[14]TONTJUIN24!$A$7:$P$23,10,0)</f>
        <v>152000</v>
      </c>
      <c r="R11" s="2"/>
      <c r="S11" s="20"/>
      <c r="T11" s="12"/>
      <c r="U11" s="17">
        <f t="shared" si="8"/>
        <v>282000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56500</v>
      </c>
      <c r="AK11" s="12"/>
      <c r="AL11" s="12">
        <v>500</v>
      </c>
      <c r="AM11" s="12">
        <v>1000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30000</v>
      </c>
      <c r="AT11" s="15"/>
      <c r="AV11" s="15"/>
      <c r="AW11" s="15">
        <f t="shared" si="10"/>
        <v>30000</v>
      </c>
      <c r="AX11" s="15">
        <f t="shared" si="11"/>
        <v>56500</v>
      </c>
      <c r="AY11" s="15">
        <f t="shared" si="12"/>
        <v>0</v>
      </c>
      <c r="AZ11" s="16">
        <f>SUM(AV11:AY11)-BF11+Z11-F11+BH11+BI11+BJ11+BK11+BL11+BM11+20000</f>
        <v>86500</v>
      </c>
      <c r="BA11" s="58">
        <v>86500</v>
      </c>
      <c r="BB11" s="58"/>
      <c r="BC11" s="15"/>
      <c r="BD11" s="57">
        <f>IF(AZ11=0,(AZ11-BA11-BC11),(AZ11-BA11-BB11-BC11))</f>
        <v>0</v>
      </c>
      <c r="BE11" s="82"/>
      <c r="BF11" s="29">
        <f>Z11*1/100*BG11+20000</f>
        <v>20000</v>
      </c>
      <c r="BG11" s="29">
        <v>6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15"/>
        <v>0</v>
      </c>
      <c r="D12" s="9">
        <f>VLOOKUP(A12,[12]HISTOBQUEJUIN24!$A$6:$G$46,3,0)</f>
        <v>795000</v>
      </c>
      <c r="E12" s="9">
        <f>VLOOKUP(A12,[12]HISTOBQUEJUIN24!$A$6:$G$41,4,0)</f>
        <v>0</v>
      </c>
      <c r="F12" s="9">
        <f>VLOOKUP(A12,[12]HISTOBQUEJUIN24!$A$6:$G$41,5,0)</f>
        <v>0</v>
      </c>
      <c r="G12" s="5">
        <f t="shared" si="6"/>
        <v>0</v>
      </c>
      <c r="H12" s="10" t="str">
        <f t="shared" si="0"/>
        <v>BANQUE</v>
      </c>
      <c r="I12" s="10">
        <v>9000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VLOOKUP(A12,[13]TONTJUIN24!$A$6:$R$39,12,0)</f>
        <v>0</v>
      </c>
      <c r="Q12" s="2">
        <f>VLOOKUP(A12,[14]TONTJUIN24!$A$7:$P$23,10,0)</f>
        <v>101000</v>
      </c>
      <c r="R12" s="2">
        <f>VLOOKUP(A12,[15]TONTJUIN24!$A$7:$P$20,10,0)</f>
        <v>0</v>
      </c>
      <c r="S12" s="20">
        <v>360000</v>
      </c>
      <c r="T12" s="12" t="s">
        <v>8</v>
      </c>
      <c r="U12" s="17">
        <f t="shared" si="8"/>
        <v>795000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34000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15"/>
        <v>0</v>
      </c>
      <c r="D13" s="9">
        <f>VLOOKUP(A13,[12]HISTOBQUEJUIN24!$A$6:$G$46,3,0)</f>
        <v>50000</v>
      </c>
      <c r="E13" s="9">
        <f>VLOOKUP(A13,[12]HISTOBQUEJUIN24!$A$6:$G$41,4,0)</f>
        <v>0</v>
      </c>
      <c r="F13" s="9">
        <f>VLOOKUP(A13,[12]HISTOBQUEJUIN24!$A$6:$G$41,5,0)</f>
        <v>0</v>
      </c>
      <c r="G13" s="5">
        <f t="shared" si="6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VLOOKUP(A13,[13]TONTJUIN24!$A$6:$R$39,12,0)</f>
        <v>0</v>
      </c>
      <c r="Q13" s="2"/>
      <c r="R13" s="2"/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12000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15"/>
        <v>0</v>
      </c>
      <c r="D14" s="9">
        <f>VLOOKUP(A14,[12]HISTOBQUEJUIN24!$A$6:$G$46,3,0)</f>
        <v>50000</v>
      </c>
      <c r="E14" s="9">
        <f>VLOOKUP(A14,[12]HISTOBQUEJUIN24!$A$6:$G$41,4,0)</f>
        <v>0</v>
      </c>
      <c r="F14" s="9">
        <f>VLOOKUP(A14,[12]HISTOBQUEJUIN24!$A$6:$G$41,5,0)</f>
        <v>0</v>
      </c>
      <c r="G14" s="5">
        <f t="shared" si="6"/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VLOOKUP(A14,[13]TONTJUIN24!$A$6:$R$39,12,0)</f>
        <v>0</v>
      </c>
      <c r="Q14" s="2"/>
      <c r="R14" s="2"/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15"/>
        <v>0</v>
      </c>
      <c r="D15" s="9">
        <f>VLOOKUP(A15,[12]HISTOBQUEJUIN24!$A$6:$G$46,3,0)</f>
        <v>125000</v>
      </c>
      <c r="E15" s="9">
        <f>VLOOKUP(A15,[12]HISTOBQUEJUIN24!$A$6:$G$41,4,0)</f>
        <v>0</v>
      </c>
      <c r="F15" s="9">
        <f>VLOOKUP(A15,[12]HISTOBQUEJUIN24!$A$6:$G$41,5,0)</f>
        <v>0</v>
      </c>
      <c r="G15" s="5">
        <f t="shared" si="6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VLOOKUP(A15,[13]TONTJUIN24!$A$6:$R$39,12,0)</f>
        <v>0</v>
      </c>
      <c r="Q15" s="2">
        <f>VLOOKUP(A15,[14]TONTJUIN24!$A$7:$P$23,10,0)</f>
        <v>0</v>
      </c>
      <c r="R15" s="2"/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892500</v>
      </c>
      <c r="AY15" s="15">
        <f t="shared" si="12"/>
        <v>0</v>
      </c>
      <c r="AZ15" s="16">
        <f t="shared" si="13"/>
        <v>892500</v>
      </c>
      <c r="BA15" s="58"/>
      <c r="BB15" s="58"/>
      <c r="BC15" s="15"/>
      <c r="BD15" s="57">
        <f t="shared" si="14"/>
        <v>892500</v>
      </c>
      <c r="BE15" s="82" t="s">
        <v>186</v>
      </c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15"/>
        <v>0</v>
      </c>
      <c r="D16" s="9">
        <f>VLOOKUP(A16,[12]HISTOBQUEJUIN24!$A$6:$G$46,3,0)</f>
        <v>260000</v>
      </c>
      <c r="E16" s="9">
        <f>VLOOKUP(A16,[12]HISTOBQUEJUIN24!$A$6:$G$41,4,0)</f>
        <v>0</v>
      </c>
      <c r="F16" s="9">
        <f>VLOOKUP(A16,[12]HISTOBQUEJUIN24!$A$6:$G$41,5,0)</f>
        <v>0</v>
      </c>
      <c r="G16" s="5">
        <f t="shared" si="6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VLOOKUP(A16,[13]TONTJUIN24!$A$6:$R$39,12,0)</f>
        <v>0</v>
      </c>
      <c r="Q16" s="2">
        <f>VLOOKUP(A16,[14]TONTJUIN24!$A$7:$P$23,10,0)</f>
        <v>0</v>
      </c>
      <c r="R16" s="2">
        <f>VLOOKUP(A16,[15]TONTFEV24!$A$7:$P$20,10,0)</f>
        <v>0</v>
      </c>
      <c r="S16" s="20"/>
      <c r="T16" s="12"/>
      <c r="U16" s="17">
        <f t="shared" si="8"/>
        <v>260000</v>
      </c>
      <c r="V16" s="12"/>
      <c r="W16" s="12"/>
      <c r="X16" s="12"/>
      <c r="Y16" s="12"/>
      <c r="Z16" s="12"/>
      <c r="AA16" s="12"/>
      <c r="AB16" s="12"/>
      <c r="AC16" s="12"/>
      <c r="AD16" s="12">
        <v>7500</v>
      </c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60000</v>
      </c>
      <c r="AT16" s="15"/>
      <c r="AV16" s="15"/>
      <c r="AW16" s="15">
        <f t="shared" si="10"/>
        <v>0</v>
      </c>
      <c r="AX16" s="15">
        <f t="shared" si="11"/>
        <v>892500</v>
      </c>
      <c r="AY16" s="15">
        <f t="shared" si="12"/>
        <v>0</v>
      </c>
      <c r="AZ16" s="16">
        <f t="shared" si="13"/>
        <v>892500</v>
      </c>
      <c r="BA16" s="58"/>
      <c r="BB16" s="58"/>
      <c r="BC16" s="15"/>
      <c r="BD16" s="57">
        <f t="shared" si="14"/>
        <v>892500</v>
      </c>
      <c r="BE16" s="82" t="s">
        <v>186</v>
      </c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O16" s="62" t="s">
        <v>142</v>
      </c>
      <c r="BQ16" s="62">
        <f>SUM(BQ6:BQ15)</f>
        <v>12000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15"/>
        <v>0</v>
      </c>
      <c r="D17" s="9">
        <f>VLOOKUP(A17,[12]HISTOBQUEJUIN24!$A$6:$G$46,3,0)</f>
        <v>201000</v>
      </c>
      <c r="E17" s="9">
        <f>VLOOKUP(A17,[12]HISTOBQUEJUIN24!$A$6:$G$41,4,0)</f>
        <v>0</v>
      </c>
      <c r="F17" s="9">
        <f>VLOOKUP(A17,[12]HISTOBQUEJUIN24!$A$6:$G$41,5,0)</f>
        <v>0</v>
      </c>
      <c r="G17" s="5">
        <f t="shared" si="6"/>
        <v>0</v>
      </c>
      <c r="H17" s="10" t="str">
        <f t="shared" si="0"/>
        <v>BANQUE</v>
      </c>
      <c r="I17" s="10">
        <v>500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VLOOKUP(A17,[13]TONTJUIN24!$A$6:$R$39,12,0)</f>
        <v>50500</v>
      </c>
      <c r="Q17" s="2"/>
      <c r="R17" s="2">
        <f>VLOOKUP(A17,[15]TONTJUIN24!$A$7:$P$20,10,0)</f>
        <v>0</v>
      </c>
      <c r="S17" s="20"/>
      <c r="T17" s="12"/>
      <c r="U17" s="17">
        <f t="shared" si="8"/>
        <v>201000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25500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 t="shared" si="13"/>
        <v>100000</v>
      </c>
      <c r="BA17" s="58"/>
      <c r="BB17" s="58"/>
      <c r="BC17" s="15"/>
      <c r="BD17" s="57">
        <f t="shared" si="14"/>
        <v>100000</v>
      </c>
      <c r="BE17" s="82" t="s">
        <v>186</v>
      </c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15"/>
        <v>0</v>
      </c>
      <c r="D18" s="9">
        <f>VLOOKUP(A18,[12]HISTOBQUEJUIN24!$A$6:$G$46,3,0)</f>
        <v>160000</v>
      </c>
      <c r="E18" s="9">
        <f>VLOOKUP(A18,[12]HISTOBQUEJUIN24!$A$6:$G$41,4,0)</f>
        <v>0</v>
      </c>
      <c r="F18" s="9">
        <f>VLOOKUP(A18,[12]HISTOBQUEJUIN24!$A$6:$G$41,5,0)</f>
        <v>0</v>
      </c>
      <c r="G18" s="5">
        <f t="shared" si="6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VLOOKUP(A18,[13]TONTJUIN24!$A$6:$R$39,12,0)</f>
        <v>0</v>
      </c>
      <c r="Q18" s="2"/>
      <c r="R18" s="2">
        <f>VLOOKUP(A18,[15]TONTJUIN24!$A$7:$P$20,10,0)</f>
        <v>0</v>
      </c>
      <c r="S18" s="20"/>
      <c r="T18" s="12"/>
      <c r="U18" s="17">
        <f t="shared" si="8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0</v>
      </c>
      <c r="BA18" s="58"/>
      <c r="BB18" s="58"/>
      <c r="BC18" s="15"/>
      <c r="BD18" s="57">
        <f t="shared" si="14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2000000</v>
      </c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15"/>
        <v>0</v>
      </c>
      <c r="D19" s="9">
        <f>VLOOKUP(A19,[12]HISTOBQUEJUIN24!$A$6:$G$46,3,0)</f>
        <v>50000</v>
      </c>
      <c r="E19" s="9">
        <f>VLOOKUP(A19,[12]HISTOBQUEJUIN24!$A$6:$G$41,4,0)</f>
        <v>0</v>
      </c>
      <c r="F19" s="9">
        <f>VLOOKUP(A19,[12]HISTOBQUEJUIN24!$A$6:$G$41,5,0)</f>
        <v>0</v>
      </c>
      <c r="G19" s="5">
        <f t="shared" si="6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VLOOKUP(A19,[13]TONTJUIN24!$A$6:$R$39,12,0)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15"/>
        <v>0</v>
      </c>
      <c r="D20" s="9">
        <f>VLOOKUP(A20,[12]HISTOBQUEJUIN24!$A$6:$G$46,3,0)</f>
        <v>427000</v>
      </c>
      <c r="E20" s="9">
        <f>VLOOKUP(A20,[12]HISTOBQUEJUIN24!$A$6:$G$41,4,0)</f>
        <v>0</v>
      </c>
      <c r="F20" s="9">
        <f>VLOOKUP(A20,[12]HISTOBQUEJUIN24!$A$6:$G$41,5,0)</f>
        <v>0</v>
      </c>
      <c r="G20" s="5">
        <f t="shared" si="6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VLOOKUP(A20,[13]TONTJUIN24!$A$6:$R$39,12,0)</f>
        <v>0</v>
      </c>
      <c r="Q20" s="2">
        <f>VLOOKUP(A20,[14]TONTJUIN24!$A$7:$P$23,10,0)</f>
        <v>202000</v>
      </c>
      <c r="R20" s="2">
        <f>VLOOKUP(A20,[15]TONTJUIN24!$A$7:$P$20,10,0)</f>
        <v>0</v>
      </c>
      <c r="S20" s="20"/>
      <c r="T20" s="12"/>
      <c r="U20" s="17">
        <f t="shared" si="8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100000</v>
      </c>
      <c r="AK20" s="12">
        <v>100000</v>
      </c>
      <c r="AL20" s="12">
        <v>500</v>
      </c>
      <c r="AM20" s="12">
        <v>2000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30000</v>
      </c>
      <c r="AX20" s="15">
        <f t="shared" si="11"/>
        <v>100000</v>
      </c>
      <c r="AY20" s="15">
        <f t="shared" si="12"/>
        <v>100000</v>
      </c>
      <c r="AZ20" s="16">
        <f t="shared" si="13"/>
        <v>230000</v>
      </c>
      <c r="BA20" s="58">
        <v>100000</v>
      </c>
      <c r="BB20" s="58"/>
      <c r="BC20" s="15"/>
      <c r="BD20" s="57">
        <f>IF(AZ20=0,(AZ20-BA20-BC20),(AZ20-BA20-BB20-BC20))-30000</f>
        <v>100000</v>
      </c>
      <c r="BE20" s="82" t="s">
        <v>186</v>
      </c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15"/>
        <v>0</v>
      </c>
      <c r="D21" s="9">
        <f>VLOOKUP(A21,[12]HISTOBQUEJUIN24!$A$6:$G$46,3,0)</f>
        <v>50000</v>
      </c>
      <c r="E21" s="9">
        <f>VLOOKUP(A21,[12]HISTOBQUEJUIN24!$A$6:$G$41,4,0)</f>
        <v>0</v>
      </c>
      <c r="F21" s="9">
        <f>VLOOKUP(A21,[12]HISTOBQUEJUIN24!$A$6:$G$41,5,0)</f>
        <v>0</v>
      </c>
      <c r="G21" s="5">
        <f t="shared" si="6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VLOOKUP(A21,[13]TONTJUIN24!$A$6:$R$39,12,0)</f>
        <v>0</v>
      </c>
      <c r="Q21" s="2"/>
      <c r="R21" s="2"/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15"/>
        <v>0</v>
      </c>
      <c r="D22" s="9">
        <f>VLOOKUP(A22,[12]HISTOBQUEJUIN24!$A$6:$G$46,3,0)</f>
        <v>0</v>
      </c>
      <c r="E22" s="9">
        <f>VLOOKUP(A22,[12]HISTOBQUEJUIN24!$A$6:$G$41,4,0)</f>
        <v>128000</v>
      </c>
      <c r="F22" s="9">
        <f>VLOOKUP(A22,[12]HISTOBQUEJUIN24!$A$6:$G$41,5,0)</f>
        <v>0</v>
      </c>
      <c r="G22" s="5">
        <f t="shared" si="6"/>
        <v>3000</v>
      </c>
      <c r="H22" s="10" t="str">
        <f t="shared" si="0"/>
        <v>ESPECES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VLOOKUP(A22,[13]TONTJUIN24!$A$6:$R$39,12,0)</f>
        <v>0</v>
      </c>
      <c r="Q22" s="2">
        <f>VLOOKUP(A22,[14]TONTJUIN24!$A$7:$P$23,10,0)</f>
        <v>0</v>
      </c>
      <c r="R22" s="2"/>
      <c r="S22" s="20"/>
      <c r="T22" s="12"/>
      <c r="U22" s="17">
        <f t="shared" si="8"/>
        <v>128000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2000000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15"/>
        <v>0</v>
      </c>
      <c r="D23" s="9">
        <f>VLOOKUP(A23,[12]HISTOBQUEJUIN24!$A$6:$G$46,3,0)</f>
        <v>260000</v>
      </c>
      <c r="E23" s="9">
        <f>VLOOKUP(A23,[12]HISTOBQUEJUIN24!$A$6:$G$41,4,0)</f>
        <v>0</v>
      </c>
      <c r="F23" s="9">
        <f>VLOOKUP(A23,[12]HISTOBQUEJUIN24!$A$6:$G$41,5,0)</f>
        <v>0</v>
      </c>
      <c r="G23" s="5">
        <f t="shared" si="6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VLOOKUP(A23,[13]TONTJUIN24!$A$6:$R$39,12,0)</f>
        <v>0</v>
      </c>
      <c r="Q23" s="2"/>
      <c r="R23" s="2">
        <f>VLOOKUP(A23,[15]TONTJUIN24!$A$7:$P$20,10,0)</f>
        <v>0</v>
      </c>
      <c r="S23" s="20"/>
      <c r="T23" s="12"/>
      <c r="U23" s="17">
        <f t="shared" si="8"/>
        <v>260000</v>
      </c>
      <c r="V23" s="12"/>
      <c r="W23" s="12"/>
      <c r="X23" s="12"/>
      <c r="Y23" s="12"/>
      <c r="Z23" s="12"/>
      <c r="AA23" s="12"/>
      <c r="AB23" s="12"/>
      <c r="AC23" s="12">
        <v>3000</v>
      </c>
      <c r="AD23" s="12"/>
      <c r="AE23" s="12"/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297000</v>
      </c>
      <c r="AX23" s="15">
        <f t="shared" si="11"/>
        <v>0</v>
      </c>
      <c r="AY23" s="15">
        <f t="shared" si="12"/>
        <v>200000</v>
      </c>
      <c r="AZ23" s="16">
        <f t="shared" si="13"/>
        <v>497000</v>
      </c>
      <c r="BA23" s="58">
        <v>100000</v>
      </c>
      <c r="BB23" s="58"/>
      <c r="BC23" s="15"/>
      <c r="BD23" s="57">
        <f t="shared" si="14"/>
        <v>397000</v>
      </c>
      <c r="BE23" s="82" t="s">
        <v>186</v>
      </c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15"/>
        <v>0</v>
      </c>
      <c r="D24" s="9">
        <f>VLOOKUP(A24,[12]HISTOBQUEJUIN24!$A$6:$G$46,3,0)+103000</f>
        <v>343000</v>
      </c>
      <c r="E24" s="9">
        <f>VLOOKUP(A24,[12]HISTOBQUEJUIN24!$A$6:$G$41,4,0)</f>
        <v>0</v>
      </c>
      <c r="F24" s="9">
        <f>VLOOKUP(A24,[12]HISTOBQUEJUIN24!$A$6:$G$41,5,0)</f>
        <v>0</v>
      </c>
      <c r="G24" s="5">
        <f t="shared" si="6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VLOOKUP(A24,[13]TONTJUIN24!$A$6:$R$39,12,0)</f>
        <v>0</v>
      </c>
      <c r="Q24" s="2">
        <f>VLOOKUP(A24,[14]TONTJUIN24!$A$7:$P$23,10,0)</f>
        <v>0</v>
      </c>
      <c r="R24" s="2">
        <f>VLOOKUP(A24,[15]TONTJUIN24!$A$7:$P$20,10,0)</f>
        <v>103000</v>
      </c>
      <c r="S24" s="20"/>
      <c r="T24" s="12"/>
      <c r="U24" s="17">
        <f t="shared" si="8"/>
        <v>343000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>
        <v>15000</v>
      </c>
      <c r="AF24" s="12" t="s">
        <v>8</v>
      </c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297000</v>
      </c>
      <c r="AX24" s="15">
        <f t="shared" si="11"/>
        <v>0</v>
      </c>
      <c r="AY24" s="15">
        <f>IF(AE24=0,AK24,(1*100000*12)+(AK24)-AE24)</f>
        <v>1285000</v>
      </c>
      <c r="AZ24" s="16">
        <f t="shared" si="13"/>
        <v>1582000</v>
      </c>
      <c r="BA24" s="58"/>
      <c r="BB24" s="58"/>
      <c r="BC24" s="15"/>
      <c r="BD24" s="57">
        <f t="shared" si="14"/>
        <v>1582000</v>
      </c>
      <c r="BE24" s="82" t="s">
        <v>186</v>
      </c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15"/>
        <v>0</v>
      </c>
      <c r="D25" s="9">
        <f>VLOOKUP(A25,[12]HISTOBQUEJUIN24!$A$6:$G$46,3,0)</f>
        <v>415000</v>
      </c>
      <c r="E25" s="9">
        <f>VLOOKUP(A25,[12]HISTOBQUEJUIN24!$A$6:$G$41,4,0)</f>
        <v>0</v>
      </c>
      <c r="F25" s="9">
        <f>VLOOKUP(A25,[12]HISTOBQUEJUIN24!$A$6:$G$41,5,0)</f>
        <v>0</v>
      </c>
      <c r="G25" s="5">
        <f t="shared" si="6"/>
        <v>0</v>
      </c>
      <c r="H25" s="10" t="str">
        <f t="shared" si="0"/>
        <v>BANQUE</v>
      </c>
      <c r="I25" s="10">
        <v>5500</v>
      </c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VLOOKUP(A25,[13]TONTJUIN24!$A$6:$R$39,12,0)</f>
        <v>0</v>
      </c>
      <c r="Q25" s="2">
        <f>VLOOKUP(A25,[14]TONTJUIN24!$A$7:$P$23,10,0)</f>
        <v>34500</v>
      </c>
      <c r="R25" s="2">
        <f>VLOOKUP(A25,[15]TONTJUIN24!$A$7:$P$20,10,0)</f>
        <v>0</v>
      </c>
      <c r="S25" s="20"/>
      <c r="T25" s="12"/>
      <c r="U25" s="17">
        <f t="shared" si="8"/>
        <v>415000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60000</v>
      </c>
      <c r="AJ25" s="12"/>
      <c r="AK25" s="12"/>
      <c r="AL25" s="12">
        <v>1000</v>
      </c>
      <c r="AM25" s="12"/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30500</v>
      </c>
      <c r="AT25" s="15"/>
      <c r="AV25" s="15"/>
      <c r="AW25" s="15">
        <f t="shared" si="10"/>
        <v>60000</v>
      </c>
      <c r="AX25" s="15">
        <f t="shared" si="11"/>
        <v>0</v>
      </c>
      <c r="AY25" s="15">
        <f t="shared" si="12"/>
        <v>0</v>
      </c>
      <c r="AZ25" s="16">
        <f>SUM(AV25:AY25)-BF25+Z25-F25+BH25+BI25+BJ25+BK25+BL25+BM25</f>
        <v>60000</v>
      </c>
      <c r="BA25" s="58"/>
      <c r="BB25" s="58"/>
      <c r="BC25" s="15"/>
      <c r="BD25" s="57">
        <f t="shared" si="14"/>
        <v>60000</v>
      </c>
      <c r="BE25" s="82" t="s">
        <v>186</v>
      </c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15"/>
        <v>0</v>
      </c>
      <c r="D26" s="9">
        <f>VLOOKUP(A26,[12]HISTOBQUEJUIN24!$A$6:$G$46,3,0)</f>
        <v>101000</v>
      </c>
      <c r="E26" s="9">
        <f>VLOOKUP(A26,[12]HISTOBQUEJUIN24!$A$6:$G$41,4,0)</f>
        <v>0</v>
      </c>
      <c r="F26" s="9">
        <f>VLOOKUP(A26,[12]HISTOBQUEJUIN24!$A$6:$G$41,5,0)</f>
        <v>0</v>
      </c>
      <c r="G26" s="5">
        <f t="shared" si="6"/>
        <v>0</v>
      </c>
      <c r="H26" s="10" t="str">
        <f t="shared" si="0"/>
        <v>BANQUE</v>
      </c>
      <c r="I26" s="10">
        <v>500</v>
      </c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VLOOKUP(A26,[13]TONTJUIN24!$A$6:$R$39,12,0)</f>
        <v>50500</v>
      </c>
      <c r="Q26" s="2"/>
      <c r="R26" s="2"/>
      <c r="S26" s="20"/>
      <c r="T26" s="12"/>
      <c r="U26" s="17">
        <f t="shared" si="8"/>
        <v>101000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23500</v>
      </c>
      <c r="AJ26" s="12"/>
      <c r="AK26" s="12"/>
      <c r="AL26" s="12">
        <v>500</v>
      </c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9"/>
        <v>25500</v>
      </c>
      <c r="AT26" s="15"/>
      <c r="AV26" s="15"/>
      <c r="AW26" s="15">
        <f t="shared" si="10"/>
        <v>23500</v>
      </c>
      <c r="AX26" s="15">
        <f t="shared" si="11"/>
        <v>0</v>
      </c>
      <c r="AY26" s="15">
        <f t="shared" si="12"/>
        <v>0</v>
      </c>
      <c r="AZ26" s="16">
        <f t="shared" si="13"/>
        <v>23500</v>
      </c>
      <c r="BA26" s="58">
        <v>2500</v>
      </c>
      <c r="BB26" s="58"/>
      <c r="BC26" s="15"/>
      <c r="BD26" s="57">
        <f t="shared" si="14"/>
        <v>21000</v>
      </c>
      <c r="BE26" s="82" t="s">
        <v>186</v>
      </c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15"/>
        <v>0</v>
      </c>
      <c r="D27" s="9">
        <f>VLOOKUP(A27,[12]HISTOBQUEJUIN24!$A$6:$G$46,3,0)</f>
        <v>50000</v>
      </c>
      <c r="E27" s="9">
        <f>VLOOKUP(A27,[12]HISTOBQUEJUIN24!$A$6:$G$41,4,0)</f>
        <v>0</v>
      </c>
      <c r="F27" s="9">
        <f>VLOOKUP(A27,[12]HISTOBQUEJUIN24!$A$6:$G$41,5,0)</f>
        <v>0</v>
      </c>
      <c r="G27" s="5">
        <f t="shared" si="6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VLOOKUP(A27,[13]TONTJUIN24!$A$6:$R$39,12,0)</f>
        <v>0</v>
      </c>
      <c r="Q27" s="2"/>
      <c r="R27" s="2"/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15"/>
        <v>0</v>
      </c>
      <c r="D28" s="9">
        <f>VLOOKUP(A28,[12]HISTOBQUEJUIN24!$A$6:$G$46,3,0)</f>
        <v>125000</v>
      </c>
      <c r="E28" s="9">
        <f>VLOOKUP(A28,[12]HISTOBQUEJUIN24!$A$6:$G$41,4,0)</f>
        <v>0</v>
      </c>
      <c r="F28" s="9">
        <f>VLOOKUP(A28,[12]HISTOBQUEJUIN24!$A$6:$G$41,5,0)</f>
        <v>0</v>
      </c>
      <c r="G28" s="5">
        <f t="shared" si="6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VLOOKUP(A28,[13]TONTJUIN24!$A$6:$R$39,12,0)</f>
        <v>0</v>
      </c>
      <c r="Q28" s="2">
        <f>VLOOKUP(A28,[14]TONTJUIN24!$A$7:$P$23,10,0)</f>
        <v>0</v>
      </c>
      <c r="R28" s="2"/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15"/>
        <v>0</v>
      </c>
      <c r="D29" s="9">
        <f>VLOOKUP(A29,[12]HISTOBQUEJUIN24!$A$6:$G$46,3,0)</f>
        <v>50000</v>
      </c>
      <c r="E29" s="9">
        <f>VLOOKUP(A29,[12]HISTOBQUEJUIN24!$A$6:$G$41,4,0)</f>
        <v>0</v>
      </c>
      <c r="F29" s="9">
        <f>VLOOKUP(A29,[12]HISTOBQUEJUIN24!$A$6:$G$41,5,0)</f>
        <v>0</v>
      </c>
      <c r="G29" s="5">
        <f t="shared" si="6"/>
        <v>0</v>
      </c>
      <c r="H29" s="10" t="str">
        <f t="shared" si="0"/>
        <v>BANQUE</v>
      </c>
      <c r="I29" s="10"/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VLOOKUP(A29,[13]TONTJUIN24!$A$6:$R$39,12,0)</f>
        <v>0</v>
      </c>
      <c r="Q29" s="2"/>
      <c r="R29" s="2"/>
      <c r="S29" s="20"/>
      <c r="T29" s="12"/>
      <c r="U29" s="17">
        <f t="shared" si="8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15"/>
        <v>0</v>
      </c>
      <c r="D30" s="9">
        <f>VLOOKUP(A30,[12]HISTOBQUEJUIN24!$A$6:$G$46,3,0)</f>
        <v>250000</v>
      </c>
      <c r="E30" s="9">
        <f>VLOOKUP(A30,[12]HISTOBQUEJUIN24!$A$6:$G$41,4,0)</f>
        <v>0</v>
      </c>
      <c r="F30" s="9">
        <f>VLOOKUP(A30,[12]HISTOBQUEJUIN24!$A$6:$G$41,5,0)</f>
        <v>0</v>
      </c>
      <c r="G30" s="5">
        <f t="shared" si="6"/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VLOOKUP(A30,[13]TONTJUIN24!$A$6:$R$39,12,0)</f>
        <v>0</v>
      </c>
      <c r="Q30" s="2"/>
      <c r="R30" s="2">
        <f>VLOOKUP(A30,[15]TONTJUIN24!$A$7:$P$20,10,0)</f>
        <v>0</v>
      </c>
      <c r="S30" s="20"/>
      <c r="T30" s="12"/>
      <c r="U30" s="17">
        <f t="shared" si="8"/>
        <v>250000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/>
      <c r="AE30" s="12">
        <v>15000</v>
      </c>
      <c r="AF30" s="12" t="s">
        <v>8</v>
      </c>
      <c r="AG30" s="12"/>
      <c r="AH30" s="12"/>
      <c r="AI30" s="12"/>
      <c r="AJ30" s="12"/>
      <c r="AK30" s="12">
        <v>125000</v>
      </c>
      <c r="AL30" s="12"/>
      <c r="AM30" s="12"/>
      <c r="AN30" s="12">
        <v>1000</v>
      </c>
      <c r="AO30" s="12"/>
      <c r="AP30" s="12" t="s">
        <v>8</v>
      </c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297000</v>
      </c>
      <c r="AX30" s="15">
        <f t="shared" si="11"/>
        <v>0</v>
      </c>
      <c r="AY30" s="15">
        <f t="shared" si="12"/>
        <v>1310000</v>
      </c>
      <c r="AZ30" s="16">
        <f>SUM(AV30:AY30)-BF30+Z30-F30+BH30+BI30+BJ30+BK30+BL30+BM30+30000</f>
        <v>1607000</v>
      </c>
      <c r="BA30" s="58">
        <v>125000</v>
      </c>
      <c r="BB30" s="58"/>
      <c r="BC30" s="15"/>
      <c r="BD30" s="57">
        <f t="shared" si="14"/>
        <v>1482000</v>
      </c>
      <c r="BE30" s="82" t="s">
        <v>186</v>
      </c>
      <c r="BF30" s="29">
        <f>Z30*1/100*BG30+30000</f>
        <v>30000</v>
      </c>
      <c r="BG30" s="29">
        <v>6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15"/>
        <v>60000</v>
      </c>
      <c r="D31" s="9">
        <f>VLOOKUP(A31,[12]HISTOBQUEJUIN24!$A$6:$G$46,3,0)</f>
        <v>200000</v>
      </c>
      <c r="E31" s="9">
        <f>VLOOKUP(A31,[12]HISTOBQUEJUIN24!$A$6:$G$41,4,0)</f>
        <v>10000</v>
      </c>
      <c r="F31" s="9">
        <f>VLOOKUP(A31,[12]HISTOBQUEJUIN24!$A$6:$G$41,5,0)</f>
        <v>0</v>
      </c>
      <c r="G31" s="5">
        <f t="shared" si="6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VLOOKUP(A31,[13]TONTJUIN24!$A$6:$R$39,12,0)</f>
        <v>0</v>
      </c>
      <c r="Q31" s="2"/>
      <c r="R31" s="2">
        <f>VLOOKUP(A31,[15]TONTJUIN24!$A$7:$P$20,10,0)</f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>SUM(AV31:AY31)-BF31+Z31-F31+BH31+BI31+BJ31+BK31+BL31+BM31+60000</f>
        <v>100000</v>
      </c>
      <c r="BA31" s="58"/>
      <c r="BB31" s="58"/>
      <c r="BC31" s="15"/>
      <c r="BD31" s="57">
        <f>IF(AZ31=0,(AZ31-BA31-BC31),(AZ31-BA31-BB31-BC31))</f>
        <v>100000</v>
      </c>
      <c r="BE31" s="82" t="s">
        <v>186</v>
      </c>
      <c r="BF31" s="29">
        <f>Z31*1/100*BG31+60000</f>
        <v>60000</v>
      </c>
      <c r="BG31" s="29">
        <v>6</v>
      </c>
      <c r="BH31" s="15"/>
      <c r="BI31" s="15"/>
      <c r="BJ31" s="15"/>
      <c r="BK31" s="15">
        <v>100000</v>
      </c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15"/>
        <v>0</v>
      </c>
      <c r="D32" s="9">
        <f>VLOOKUP(A32,[12]HISTOBQUEJUIN24!$A$6:$G$46,3,0)</f>
        <v>327000</v>
      </c>
      <c r="E32" s="9">
        <f>VLOOKUP(A32,[12]HISTOBQUEJUIN24!$A$6:$G$41,4,0)</f>
        <v>0</v>
      </c>
      <c r="F32" s="9">
        <f>VLOOKUP(A32,[12]HISTOBQUEJUIN24!$A$6:$G$41,5,0)</f>
        <v>0</v>
      </c>
      <c r="G32" s="5">
        <f t="shared" si="6"/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VLOOKUP(A32,[13]TONTJUIN24!$A$6:$R$39,12,0)</f>
        <v>0</v>
      </c>
      <c r="Q32" s="2">
        <f>VLOOKUP(A32,[14]TONTJUIN24!$A$7:$P$23,10,0)</f>
        <v>202000</v>
      </c>
      <c r="R32" s="2"/>
      <c r="S32" s="20"/>
      <c r="T32" s="12"/>
      <c r="U32" s="17">
        <f t="shared" si="8"/>
        <v>327000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100000</v>
      </c>
      <c r="AY32" s="15">
        <f t="shared" si="12"/>
        <v>0</v>
      </c>
      <c r="AZ32" s="16">
        <f t="shared" si="13"/>
        <v>100000</v>
      </c>
      <c r="BA32" s="58">
        <v>100000</v>
      </c>
      <c r="BB32" s="58"/>
      <c r="BC32" s="15"/>
      <c r="BD32" s="57">
        <f t="shared" si="14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15"/>
        <v>0</v>
      </c>
      <c r="D33" s="9">
        <f>VLOOKUP(A33,[12]HISTOBQUEJUIN24!$A$6:$G$46,3,0)</f>
        <v>170000</v>
      </c>
      <c r="E33" s="9">
        <f>VLOOKUP(A33,[12]HISTOBQUEJUIN24!$A$6:$G$41,4,0)</f>
        <v>0</v>
      </c>
      <c r="F33" s="9">
        <f>VLOOKUP(A33,[12]HISTOBQUEJUIN24!$A$6:$G$41,5,0)</f>
        <v>0</v>
      </c>
      <c r="G33" s="5">
        <f t="shared" si="6"/>
        <v>0</v>
      </c>
      <c r="H33" s="10" t="str">
        <f t="shared" si="0"/>
        <v>BANQUE</v>
      </c>
      <c r="I33" s="10">
        <v>20000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VLOOKUP(A33,[13]TONTJUIN24!$A$6:$R$39,12,0)</f>
        <v>0</v>
      </c>
      <c r="Q33" s="2"/>
      <c r="R33" s="2">
        <f>VLOOKUP(A33,[15]TONTJUIN24!$A$7:$P$20,10,0)</f>
        <v>0</v>
      </c>
      <c r="S33" s="20"/>
      <c r="T33" s="12"/>
      <c r="U33" s="17">
        <f t="shared" si="8"/>
        <v>170000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45000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15"/>
        <v>0</v>
      </c>
      <c r="D34" s="9">
        <f>VLOOKUP(A34,[12]HISTOBQUEJUIN24!$A$6:$G$46,3,0)</f>
        <v>50000</v>
      </c>
      <c r="E34" s="9">
        <f>VLOOKUP(A34,[12]HISTOBQUEJUIN24!$A$6:$G$41,4,0)</f>
        <v>0</v>
      </c>
      <c r="F34" s="9">
        <f>VLOOKUP(A34,[12]HISTOBQUEJUIN24!$A$6:$G$41,5,0)</f>
        <v>0</v>
      </c>
      <c r="G34" s="5">
        <f t="shared" si="6"/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VLOOKUP(A34,[13]TONTJUIN24!$A$6:$R$39,12,0)</f>
        <v>0</v>
      </c>
      <c r="Q34" s="2"/>
      <c r="R34" s="2"/>
      <c r="S34" s="20"/>
      <c r="T34" s="12"/>
      <c r="U34" s="17">
        <f t="shared" si="8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15"/>
        <v>0</v>
      </c>
      <c r="D35" s="9">
        <f>VLOOKUP(A35,[12]HISTOBQUEJUIN24!$A$6:$G$46,3,0)</f>
        <v>60000</v>
      </c>
      <c r="E35" s="9">
        <f>VLOOKUP(A35,[12]HISTOBQUEJUIN24!$A$6:$G$41,4,0)</f>
        <v>0</v>
      </c>
      <c r="F35" s="9">
        <f>VLOOKUP(A35,[12]HISTOBQUEJUIN24!$A$6:$G$41,5,0)</f>
        <v>0</v>
      </c>
      <c r="G35" s="5">
        <f t="shared" si="6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VLOOKUP(A35,[13]TONTJUIN24!$A$6:$R$39,12,0)</f>
        <v>0</v>
      </c>
      <c r="Q35" s="2"/>
      <c r="R35" s="2"/>
      <c r="S35" s="20"/>
      <c r="T35" s="12"/>
      <c r="U35" s="17">
        <f t="shared" si="8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15"/>
        <v>0</v>
      </c>
      <c r="D36" s="9">
        <f>VLOOKUP(A36,[12]HISTOBQUEJUIN24!$A$6:$G$46,3,0)</f>
        <v>50000</v>
      </c>
      <c r="E36" s="9">
        <f>VLOOKUP(A36,[12]HISTOBQUEJUIN24!$A$6:$G$41,4,0)</f>
        <v>0</v>
      </c>
      <c r="F36" s="9">
        <f>VLOOKUP(A36,[12]HISTOBQUEJUIN24!$A$6:$G$41,5,0)</f>
        <v>0</v>
      </c>
      <c r="G36" s="5">
        <f t="shared" si="6"/>
        <v>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VLOOKUP(A36,[13]TONTJUIN24!$A$6:$R$39,12,0)</f>
        <v>0</v>
      </c>
      <c r="Q36" s="2"/>
      <c r="R36" s="2"/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15"/>
        <v>0</v>
      </c>
      <c r="D37" s="9">
        <f>VLOOKUP(A37,[12]HISTOBQUEJUIN24!$A$6:$G$46,3,0)</f>
        <v>150000</v>
      </c>
      <c r="E37" s="9">
        <f>VLOOKUP(A37,[12]HISTOBQUEJUIN24!$A$6:$G$41,4,0)</f>
        <v>0</v>
      </c>
      <c r="F37" s="9">
        <f>VLOOKUP(A37,[12]HISTOBQUEJUIN24!$A$6:$G$41,5,0)</f>
        <v>0</v>
      </c>
      <c r="G37" s="5">
        <f t="shared" si="6"/>
        <v>0</v>
      </c>
      <c r="H37" s="10" t="str">
        <f t="shared" si="0"/>
        <v>BANQUE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VLOOKUP(A37,[13]TONTJUIN24!$A$6:$R$39,12,0)</f>
        <v>0</v>
      </c>
      <c r="Q37" s="2"/>
      <c r="R37" s="2">
        <f>VLOOKUP(A37,[15]TONTJUIN24!$A$7:$P$20,10,0)</f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15"/>
        <v>0</v>
      </c>
      <c r="D38" s="9">
        <f>VLOOKUP(A38,[12]HISTOBQUEJUIN24!$A$6:$G$46,3,0)</f>
        <v>125000</v>
      </c>
      <c r="E38" s="9">
        <f>VLOOKUP(A38,[12]HISTOBQUEJUIN24!$A$6:$G$41,4,0)</f>
        <v>0</v>
      </c>
      <c r="F38" s="9">
        <f>VLOOKUP(A38,[12]HISTOBQUEJUIN24!$A$6:$G$41,5,0)</f>
        <v>0</v>
      </c>
      <c r="G38" s="5">
        <f t="shared" si="6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VLOOKUP(A38,[13]TONTJUIN24!$A$6:$R$39,12,0)</f>
        <v>0</v>
      </c>
      <c r="Q38" s="2">
        <f>VLOOKUP(A38,[14]TONTJUIN24!$A$7:$P$23,10,0)</f>
        <v>0</v>
      </c>
      <c r="R38" s="2"/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236000</v>
      </c>
      <c r="D40" s="5">
        <f t="shared" si="16"/>
        <v>5888000</v>
      </c>
      <c r="E40" s="5">
        <f t="shared" si="16"/>
        <v>326000</v>
      </c>
      <c r="F40" s="5">
        <f t="shared" si="16"/>
        <v>0</v>
      </c>
      <c r="G40" s="5">
        <f t="shared" si="16"/>
        <v>6000</v>
      </c>
      <c r="H40" s="5">
        <f t="shared" si="16"/>
        <v>0</v>
      </c>
      <c r="I40" s="5">
        <f t="shared" si="16"/>
        <v>116500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101000</v>
      </c>
      <c r="Q40" s="5">
        <f t="shared" si="16"/>
        <v>691500</v>
      </c>
      <c r="R40" s="5">
        <f t="shared" si="16"/>
        <v>103000</v>
      </c>
      <c r="S40" s="5">
        <f t="shared" si="16"/>
        <v>360000</v>
      </c>
      <c r="T40" s="5"/>
      <c r="U40" s="5">
        <f t="shared" ref="U40:AA40" si="17">SUM(U6:U39)</f>
        <v>5978000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9000</v>
      </c>
      <c r="AD40" s="5">
        <f>SUM(AD6:AD39)</f>
        <v>15000</v>
      </c>
      <c r="AE40" s="5">
        <f>SUM(AE6:AE39)</f>
        <v>30000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173500</v>
      </c>
      <c r="AJ40" s="5">
        <f t="shared" si="18"/>
        <v>256500</v>
      </c>
      <c r="AK40" s="5">
        <f t="shared" si="18"/>
        <v>625000</v>
      </c>
      <c r="AL40" s="5">
        <f t="shared" si="18"/>
        <v>3000</v>
      </c>
      <c r="AM40" s="5">
        <f t="shared" si="18"/>
        <v>5000</v>
      </c>
      <c r="AN40" s="5">
        <f t="shared" si="18"/>
        <v>7000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916500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1064500</v>
      </c>
      <c r="AX40" s="5">
        <f t="shared" si="18"/>
        <v>2041500</v>
      </c>
      <c r="AY40" s="5">
        <f t="shared" si="18"/>
        <v>2995000</v>
      </c>
      <c r="AZ40" s="5">
        <f t="shared" si="18"/>
        <v>6213000</v>
      </c>
      <c r="BA40" s="5">
        <f t="shared" si="18"/>
        <v>550000</v>
      </c>
      <c r="BB40" s="5">
        <f t="shared" si="18"/>
        <v>0</v>
      </c>
      <c r="BC40" s="5">
        <f t="shared" si="18"/>
        <v>0</v>
      </c>
      <c r="BD40" s="5">
        <f t="shared" si="18"/>
        <v>5633000</v>
      </c>
      <c r="BE40" s="5">
        <f t="shared" si="18"/>
        <v>0</v>
      </c>
      <c r="BF40" s="5">
        <f t="shared" si="18"/>
        <v>110000</v>
      </c>
      <c r="BH40" s="5">
        <f t="shared" ref="BH40:BL40" si="19">SUM(BH6:BH39)</f>
        <v>12000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6213000</v>
      </c>
      <c r="D47" s="9">
        <f>SUMIFS(D8:D40,H8:H40,"BANQUE")</f>
        <v>5663000</v>
      </c>
      <c r="F47" s="9">
        <f>E40</f>
        <v>326000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12414000</v>
      </c>
    </row>
  </sheetData>
  <autoFilter ref="A5:AF38" xr:uid="{00000000-0009-0000-0000-000009000000}"/>
  <mergeCells count="1">
    <mergeCell ref="B4:M4"/>
  </mergeCells>
  <dataValidations count="1">
    <dataValidation type="list" allowBlank="1" showInputMessage="1" showErrorMessage="1" sqref="T6:T38 AP6:AP38 AF6:AF38 AA6:AA38" xr:uid="{00000000-0002-0000-09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Q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7" sqref="G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0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18" customHeight="1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30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0</v>
      </c>
      <c r="D6" s="9">
        <f>VLOOKUP(A6,[12]HISTOBQUEJUIL24!$A$6:$G$46,3,0)</f>
        <v>175000</v>
      </c>
      <c r="E6" s="9">
        <f>VLOOKUP(A6,[12]HISTOBQUEJUIL24!$A$6:$G$41,4,0)</f>
        <v>0</v>
      </c>
      <c r="F6" s="9">
        <f>VLOOKUP(A6,[12]HISTOBQUEJUIL24!$A$6:$G$41,5,0)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IFERROR(CHERCHEV(A6,[13]TONTJUIL24!$A$6:$R$39,12,0),0)</f>
        <v>0</v>
      </c>
      <c r="Q6" s="2">
        <f>IFERROR(VLOOKUP(A6,[14]TONTJUIL24!$A$7:$P$23,10,0),0)</f>
        <v>0</v>
      </c>
      <c r="R6" s="2">
        <f>IFERROR(VLOOKUP(A6,[15]TONTJUIL24!$A$7:$P$20,10,0),0)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330500</v>
      </c>
      <c r="BA6" s="58">
        <v>36000</v>
      </c>
      <c r="BB6" s="58"/>
      <c r="BC6" s="15"/>
      <c r="BD6" s="57">
        <f>IF(AZ6=0,(AZ6-BA6-BC6),(AZ6-BA6-BB6-BC6))-559500</f>
        <v>-265000</v>
      </c>
      <c r="BE6" s="82" t="s">
        <v>186</v>
      </c>
      <c r="BF6" s="29">
        <f t="shared" ref="BF6:BF38" si="5">Z6*1/100*BG6</f>
        <v>0</v>
      </c>
      <c r="BG6" s="29">
        <v>5</v>
      </c>
      <c r="BH6" s="15">
        <f>BQ16</f>
        <v>42000</v>
      </c>
      <c r="BI6" s="15">
        <f>BQ28</f>
        <v>288500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VLOOKUP(A7,[12]HISTOBQUEJUIL24!$A$6:$G$46,3,0)</f>
        <v>0</v>
      </c>
      <c r="E7" s="9">
        <f>VLOOKUP(A7,[12]HISTOBQUEJUIL24!$A$6:$G$41,4,0)</f>
        <v>50000</v>
      </c>
      <c r="F7" s="9">
        <f>VLOOKUP(A7,[12]HISTOBQUEJUIL24!$A$6:$G$41,5,0)</f>
        <v>0</v>
      </c>
      <c r="G7" s="5">
        <f>IF(H7="ESPECES",3000,0)+3000</f>
        <v>6000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VLOOKUP(A7,[13]TONTJUIL24!$A$6:$R$39,12,0)</f>
        <v>0</v>
      </c>
      <c r="Q7" s="2">
        <f>IFERROR(VLOOKUP(A7,[14]TONTJUIL24!$A$7:$P$23,10,0),0)</f>
        <v>0</v>
      </c>
      <c r="R7" s="2">
        <f>IFERROR(VLOOKUP(A7,[15]TONTJUIL24!$A$7:$P$20,10,0),0)</f>
        <v>0</v>
      </c>
      <c r="S7" s="20"/>
      <c r="T7" s="12"/>
      <c r="U7" s="17">
        <f t="shared" ref="U7:U38" si="8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22000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VLOOKUP(A8,[12]HISTOBQUEJUIL24!$A$6:$G$46,3,0)</f>
        <v>125000</v>
      </c>
      <c r="E8" s="9">
        <f>VLOOKUP(A8,[12]HISTOBQUEJUIL24!$A$6:$G$41,4,0)</f>
        <v>0</v>
      </c>
      <c r="F8" s="9">
        <f>VLOOKUP(A8,[12]HISTOBQUEJUIL24!$A$6:$G$41,5,0)</f>
        <v>0</v>
      </c>
      <c r="G8" s="5">
        <f t="shared" ref="G8:G38" si="15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VLOOKUP(A8,[13]TONTJUIL24!$A$6:$R$39,12,0)</f>
        <v>0</v>
      </c>
      <c r="Q8" s="2">
        <f>IFERROR(VLOOKUP(A8,[14]TONTJUIL24!$A$7:$P$23,10,0),0)</f>
        <v>0</v>
      </c>
      <c r="R8" s="2">
        <f>IFERROR(VLOOKUP(A8,[15]TONTJUIL24!$A$7:$P$20,10,0),0)</f>
        <v>0</v>
      </c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36000</v>
      </c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VLOOKUP(A9,[12]HISTOBQUEJUIL24!$A$6:$G$46,3,0)</f>
        <v>250000</v>
      </c>
      <c r="E9" s="9">
        <f>VLOOKUP(A9,[12]HISTOBQUEJUIL24!$A$6:$G$41,4,0)</f>
        <v>0</v>
      </c>
      <c r="F9" s="9">
        <f>VLOOKUP(A9,[12]HISTOBQUEJUIL24!$A$6:$G$41,5,0)</f>
        <v>0</v>
      </c>
      <c r="G9" s="5">
        <f t="shared" si="15"/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VLOOKUP(A9,[13]TONTJUIL24!$A$6:$R$39,12,0)</f>
        <v>0</v>
      </c>
      <c r="Q9" s="2">
        <f>IFERROR(VLOOKUP(A9,[14]TONTJUIL24!$A$7:$P$23,10,0),0)</f>
        <v>0</v>
      </c>
      <c r="R9" s="2">
        <f>IFERROR(VLOOKUP(A9,[15]TONTJUIL24!$A$7:$P$20,10,0),0)</f>
        <v>0</v>
      </c>
      <c r="S9" s="20"/>
      <c r="T9" s="12"/>
      <c r="U9" s="17">
        <f t="shared" si="8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VLOOKUP(A10,[12]HISTOBQUEJUIL24!$A$6:$G$46,3,0)</f>
        <v>159000</v>
      </c>
      <c r="E10" s="9">
        <f>VLOOKUP(A10,[12]HISTOBQUEJUIL24!$A$6:$G$41,4,0)</f>
        <v>0</v>
      </c>
      <c r="F10" s="9">
        <f>VLOOKUP(A10,[12]HISTOBQUEJUIL24!$A$6:$G$41,5,0)</f>
        <v>0</v>
      </c>
      <c r="G10" s="5">
        <f t="shared" si="15"/>
        <v>0</v>
      </c>
      <c r="H10" s="10" t="str">
        <f t="shared" si="0"/>
        <v>BANQUE</v>
      </c>
      <c r="I10" s="10">
        <v>3500</v>
      </c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VLOOKUP(A10,[13]TONTJUIL24!$A$6:$R$39,12,0)</f>
        <v>30500</v>
      </c>
      <c r="Q10" s="2">
        <f>IFERROR(VLOOKUP(A10,[14]TONTJUIL24!$A$7:$P$23,10,0),0)</f>
        <v>0</v>
      </c>
      <c r="R10" s="2">
        <f>IFERROR(VLOOKUP(A10,[15]TONTJUIL24!$A$7:$P$20,10,0),0)</f>
        <v>0</v>
      </c>
      <c r="S10" s="20"/>
      <c r="T10" s="12"/>
      <c r="U10" s="17">
        <f t="shared" si="8"/>
        <v>159000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9"/>
        <v>28500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0</v>
      </c>
      <c r="BA10" s="58"/>
      <c r="BB10" s="58"/>
      <c r="BC10" s="15"/>
      <c r="BD10" s="57">
        <f t="shared" si="14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VLOOKUP(A11,[12]HISTOBQUEJUIL24!$A$6:$G$46,3,0)</f>
        <v>216000</v>
      </c>
      <c r="E11" s="9">
        <f>VLOOKUP(A11,[12]HISTOBQUEJUIL24!$A$6:$G$41,4,0)</f>
        <v>0</v>
      </c>
      <c r="F11" s="9">
        <f>VLOOKUP(A11,[12]HISTOBQUEJUIL24!$A$6:$G$41,5,0)</f>
        <v>0</v>
      </c>
      <c r="G11" s="5">
        <f>IF(H11="ESPECES",3000,0)+3000</f>
        <v>3000</v>
      </c>
      <c r="H11" s="10" t="str">
        <f t="shared" si="0"/>
        <v>BANQUE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VLOOKUP(A11,[13]TONTJUIL24!$A$6:$R$39,12,0)</f>
        <v>30500</v>
      </c>
      <c r="Q11" s="2">
        <f>IFERROR(VLOOKUP(A11,[14]TONTJUIL24!$A$7:$P$23,10,0),0)</f>
        <v>57500</v>
      </c>
      <c r="R11" s="2">
        <f>IFERROR(VLOOKUP(A11,[15]TONTJUIL24!$A$7:$P$20,10,0),0)</f>
        <v>0</v>
      </c>
      <c r="S11" s="20"/>
      <c r="T11" s="12"/>
      <c r="U11" s="17">
        <f t="shared" si="8"/>
        <v>216000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69000+100000</f>
        <v>169000</v>
      </c>
      <c r="AK11" s="12"/>
      <c r="AL11" s="12"/>
      <c r="AM11" s="12">
        <v>2000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169000</v>
      </c>
      <c r="AY11" s="15">
        <f t="shared" si="12"/>
        <v>0</v>
      </c>
      <c r="AZ11" s="16">
        <f t="shared" si="13"/>
        <v>169000</v>
      </c>
      <c r="BA11" s="58"/>
      <c r="BB11" s="58"/>
      <c r="BC11" s="15"/>
      <c r="BD11" s="57">
        <f>IF(AZ11=0,(AZ11-BA11-BC11),(AZ11-BA11-BB11-BC11))-60000</f>
        <v>109000</v>
      </c>
      <c r="BE11" s="82" t="s">
        <v>186</v>
      </c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14">
        <f t="shared" si="6"/>
        <v>8400</v>
      </c>
      <c r="D12" s="9">
        <f>VLOOKUP(A12,[12]HISTOBQUEJUIL24!$A$6:$G$46,3,0)</f>
        <v>340000</v>
      </c>
      <c r="E12" s="9">
        <f>VLOOKUP(A12,[12]HISTOBQUEJUIL24!$A$6:$G$41,4,0)</f>
        <v>0</v>
      </c>
      <c r="F12" s="9">
        <f>VLOOKUP(A12,[12]HISTOBQUEJUIL24!$A$6:$G$41,5,0)</f>
        <v>0</v>
      </c>
      <c r="G12" s="5">
        <f t="shared" si="15"/>
        <v>0</v>
      </c>
      <c r="H12" s="10" t="str">
        <f t="shared" si="0"/>
        <v>BANQUE</v>
      </c>
      <c r="I12" s="10">
        <f>1600+5000</f>
        <v>6600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VLOOKUP(A12,[13]TONTJUIL24!$A$6:$R$39,12,0)</f>
        <v>0</v>
      </c>
      <c r="Q12" s="2">
        <f>IFERROR(VLOOKUP(A12,[14]TONTJUIL24!$A$7:$P$23,10,0),0)</f>
        <v>0</v>
      </c>
      <c r="R12" s="2">
        <f>IFERROR(VLOOKUP(A12,[15]TONTJUIL24!$A$7:$P$20,10,0),0)</f>
        <v>0</v>
      </c>
      <c r="S12" s="20"/>
      <c r="T12" s="12"/>
      <c r="U12" s="17">
        <f t="shared" si="8"/>
        <v>331600</v>
      </c>
      <c r="V12" s="12"/>
      <c r="W12" s="12"/>
      <c r="X12" s="12"/>
      <c r="Y12" s="12"/>
      <c r="Z12" s="12"/>
      <c r="AA12" s="12"/>
      <c r="AB12" s="12"/>
      <c r="AC12" s="12">
        <v>3000</v>
      </c>
      <c r="AD12" s="12"/>
      <c r="AE12" s="12">
        <v>10000</v>
      </c>
      <c r="AF12" s="12" t="s">
        <v>8</v>
      </c>
      <c r="AG12" s="12"/>
      <c r="AH12" s="12"/>
      <c r="AI12" s="12"/>
      <c r="AJ12" s="12"/>
      <c r="AK12" s="12">
        <v>100000</v>
      </c>
      <c r="AL12" s="12"/>
      <c r="AM12" s="12"/>
      <c r="AN12" s="12">
        <v>1000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9"/>
        <v>31600</v>
      </c>
      <c r="AT12" s="15"/>
      <c r="AV12" s="15"/>
      <c r="AW12" s="15">
        <f t="shared" si="10"/>
        <v>297000</v>
      </c>
      <c r="AX12" s="15">
        <f t="shared" si="11"/>
        <v>0</v>
      </c>
      <c r="AY12" s="15">
        <f t="shared" si="12"/>
        <v>1290000</v>
      </c>
      <c r="AZ12" s="16">
        <f t="shared" si="13"/>
        <v>1578600</v>
      </c>
      <c r="BA12" s="58"/>
      <c r="BB12" s="58"/>
      <c r="BC12" s="15"/>
      <c r="BD12" s="57">
        <f>IF(AZ12=0,(AZ12-BA12-BC12),(AZ12-BA12-BB12-BC12))+8400</f>
        <v>1587000</v>
      </c>
      <c r="BE12" s="82" t="s">
        <v>186</v>
      </c>
      <c r="BF12" s="29">
        <f>Z12*1/100*BG12+8400</f>
        <v>8400</v>
      </c>
      <c r="BG12" s="29">
        <v>5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VLOOKUP(A13,[12]HISTOBQUEJUIL24!$A$6:$G$46,3,0)</f>
        <v>50000</v>
      </c>
      <c r="E13" s="9">
        <f>VLOOKUP(A13,[12]HISTOBQUEJUIL24!$A$6:$G$41,4,0)</f>
        <v>0</v>
      </c>
      <c r="F13" s="9">
        <f>VLOOKUP(A13,[12]HISTOBQUEJUIL24!$A$6:$G$41,5,0)</f>
        <v>0</v>
      </c>
      <c r="G13" s="5">
        <f t="shared" si="15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VLOOKUP(A13,[13]TONTJUIL24!$A$6:$R$39,12,0)</f>
        <v>0</v>
      </c>
      <c r="Q13" s="2">
        <f>IFERROR(VLOOKUP(A13,[14]TONTJUIL24!$A$7:$P$23,10,0),0)</f>
        <v>0</v>
      </c>
      <c r="R13" s="2">
        <f>IFERROR(VLOOKUP(A13,[15]TONTJUIL24!$A$7:$P$20,10,0),0)</f>
        <v>0</v>
      </c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>
        <v>2500</v>
      </c>
      <c r="AD13" s="12"/>
      <c r="AE13" s="12"/>
      <c r="AF13" s="12" t="s">
        <v>8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297500</v>
      </c>
      <c r="AX13" s="15">
        <f t="shared" si="11"/>
        <v>0</v>
      </c>
      <c r="AY13" s="15">
        <f t="shared" si="12"/>
        <v>0</v>
      </c>
      <c r="AZ13" s="16">
        <f t="shared" si="13"/>
        <v>297500</v>
      </c>
      <c r="BA13" s="58">
        <v>100000</v>
      </c>
      <c r="BB13" s="58"/>
      <c r="BC13" s="15"/>
      <c r="BD13" s="57">
        <f t="shared" si="14"/>
        <v>197500</v>
      </c>
      <c r="BE13" s="82" t="s">
        <v>186</v>
      </c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VLOOKUP(A14,[12]HISTOBQUEJUIL24!$A$6:$G$46,3,0)</f>
        <v>50000</v>
      </c>
      <c r="E14" s="9">
        <f>VLOOKUP(A14,[12]HISTOBQUEJUIL24!$A$6:$G$41,4,0)</f>
        <v>0</v>
      </c>
      <c r="F14" s="9">
        <f>VLOOKUP(A14,[12]HISTOBQUEJUIL24!$A$6:$G$41,5,0)</f>
        <v>0</v>
      </c>
      <c r="G14" s="5">
        <f t="shared" si="15"/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VLOOKUP(A14,[13]TONTJUIL24!$A$6:$R$39,12,0)</f>
        <v>0</v>
      </c>
      <c r="Q14" s="2">
        <f>IFERROR(VLOOKUP(A14,[14]TONTJUIL24!$A$7:$P$23,10,0),0)</f>
        <v>0</v>
      </c>
      <c r="R14" s="2">
        <f>IFERROR(VLOOKUP(A14,[15]TONTJUIL24!$A$7:$P$20,10,0),0)</f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VLOOKUP(A15,[12]HISTOBQUEJUIL24!$A$6:$G$46,3,0)</f>
        <v>125000</v>
      </c>
      <c r="E15" s="9">
        <f>VLOOKUP(A15,[12]HISTOBQUEJUIL24!$A$6:$G$41,4,0)</f>
        <v>0</v>
      </c>
      <c r="F15" s="9">
        <f>VLOOKUP(A15,[12]HISTOBQUEJUIL24!$A$6:$G$41,5,0)</f>
        <v>0</v>
      </c>
      <c r="G15" s="5">
        <f t="shared" si="15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VLOOKUP(A15,[13]TONTJUIL24!$A$6:$R$39,12,0)</f>
        <v>0</v>
      </c>
      <c r="Q15" s="2">
        <f>IFERROR(VLOOKUP(A15,[14]TONTJUIL24!$A$7:$P$23,10,0),0)</f>
        <v>0</v>
      </c>
      <c r="R15" s="2">
        <f>IFERROR(VLOOKUP(A15,[15]TONTJUIL24!$A$7:$P$20,10,0),0)</f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14">
        <f t="shared" si="6"/>
        <v>-238500</v>
      </c>
      <c r="D16" s="9">
        <f>VLOOKUP(A16,[12]HISTOBQUEJUIL24!$A$6:$G$46,3,0)</f>
        <v>240000</v>
      </c>
      <c r="E16" s="9">
        <f>VLOOKUP(A16,[12]HISTOBQUEJUIL24!$A$6:$G$41,4,0)</f>
        <v>0</v>
      </c>
      <c r="F16" s="9">
        <f>VLOOKUP(A16,[12]HISTOBQUEJUIL24!$A$6:$G$41,5,0)</f>
        <v>0</v>
      </c>
      <c r="G16" s="5">
        <f t="shared" si="15"/>
        <v>0</v>
      </c>
      <c r="H16" s="10" t="str">
        <f t="shared" si="0"/>
        <v>BANQUE</v>
      </c>
      <c r="I16" s="10">
        <v>15000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VLOOKUP(A16,[13]TONTJUIL24!$A$6:$R$39,12,0)</f>
        <v>0</v>
      </c>
      <c r="Q16" s="2">
        <f>IFERROR(VLOOKUP(A16,[14]TONTJUIL24!$A$7:$P$23,10,0),0)</f>
        <v>0</v>
      </c>
      <c r="R16" s="2">
        <f>IFERROR(VLOOKUP(A16,[15]TONTJUIL24!$A$7:$P$20,10,0),0)</f>
        <v>0</v>
      </c>
      <c r="S16" s="20">
        <v>238500</v>
      </c>
      <c r="T16" s="12"/>
      <c r="U16" s="17">
        <f t="shared" si="8"/>
        <v>478500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100000</v>
      </c>
      <c r="AL16" s="12"/>
      <c r="AM16" s="12"/>
      <c r="AN16" s="12">
        <v>1000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9"/>
        <v>40000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100000</v>
      </c>
      <c r="AZ16" s="16">
        <f t="shared" si="13"/>
        <v>100000</v>
      </c>
      <c r="BA16" s="58"/>
      <c r="BB16" s="58"/>
      <c r="BC16" s="15"/>
      <c r="BD16" s="57">
        <f t="shared" si="14"/>
        <v>100000</v>
      </c>
      <c r="BE16" s="82" t="s">
        <v>186</v>
      </c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O16" s="62" t="s">
        <v>142</v>
      </c>
      <c r="BQ16" s="62">
        <f>SUM(BQ6:BQ15)</f>
        <v>42000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-4000</v>
      </c>
      <c r="D17" s="9">
        <f>VLOOKUP(A17,[12]HISTOBQUEJUIL24!$A$6:$G$46,3,0)</f>
        <v>150000</v>
      </c>
      <c r="E17" s="9">
        <f>VLOOKUP(A17,[12]HISTOBQUEJUIL24!$A$6:$G$41,4,0)</f>
        <v>100000</v>
      </c>
      <c r="F17" s="9">
        <f>VLOOKUP(A17,[12]HISTOBQUEJUIL24!$A$6:$G$41,5,0)</f>
        <v>0</v>
      </c>
      <c r="G17" s="5">
        <f>IF(H17="ESPECES",3000,0)+3000</f>
        <v>3000</v>
      </c>
      <c r="H17" s="10" t="str">
        <f t="shared" si="0"/>
        <v>BANQUE</v>
      </c>
      <c r="I17" s="10"/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VLOOKUP(A17,[13]TONTJUIL24!$A$6:$R$39,12,0)</f>
        <v>0</v>
      </c>
      <c r="Q17" s="2">
        <f>IFERROR(VLOOKUP(A17,[14]TONTJUIL24!$A$7:$P$23,10,0),0)</f>
        <v>0</v>
      </c>
      <c r="R17" s="2">
        <f>IFERROR(VLOOKUP(A17,[15]TONTJUIL24!$A$7:$P$20,10,0),0)</f>
        <v>101000</v>
      </c>
      <c r="S17" s="20"/>
      <c r="T17" s="12"/>
      <c r="U17" s="17">
        <f t="shared" si="8"/>
        <v>254000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54000</v>
      </c>
      <c r="AL17" s="12"/>
      <c r="AM17" s="12"/>
      <c r="AN17" s="12">
        <v>1000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54000</v>
      </c>
      <c r="AZ17" s="16">
        <f t="shared" si="13"/>
        <v>54000</v>
      </c>
      <c r="BA17" s="58"/>
      <c r="BB17" s="58"/>
      <c r="BC17" s="15"/>
      <c r="BD17" s="57">
        <f>IF(AZ17=0,(AZ17-BA17-BC17),(AZ17-BA17-BB17-BC17))-54000</f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VLOOKUP(A18,[12]HISTOBQUEJUIL24!$A$6:$G$46,3,0)</f>
        <v>160000</v>
      </c>
      <c r="E18" s="9">
        <f>VLOOKUP(A18,[12]HISTOBQUEJUIL24!$A$6:$G$41,4,0)</f>
        <v>0</v>
      </c>
      <c r="F18" s="9">
        <f>VLOOKUP(A18,[12]HISTOBQUEJUIL24!$A$6:$G$41,5,0)</f>
        <v>0</v>
      </c>
      <c r="G18" s="5">
        <f t="shared" si="15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VLOOKUP(A18,[13]TONTJUIL24!$A$6:$R$39,12,0)</f>
        <v>0</v>
      </c>
      <c r="Q18" s="2">
        <f>IFERROR(VLOOKUP(A18,[14]TONTJUIL24!$A$7:$P$23,10,0),0)</f>
        <v>0</v>
      </c>
      <c r="R18" s="2">
        <f>IFERROR(VLOOKUP(A18,[15]TONTJUIL24!$A$7:$P$20,10,0),0)</f>
        <v>0</v>
      </c>
      <c r="S18" s="20"/>
      <c r="T18" s="12"/>
      <c r="U18" s="17">
        <f t="shared" si="8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200000</v>
      </c>
      <c r="AZ18" s="16">
        <f t="shared" si="13"/>
        <v>200000</v>
      </c>
      <c r="BA18" s="58"/>
      <c r="BB18" s="58"/>
      <c r="BC18" s="15"/>
      <c r="BD18" s="57">
        <f t="shared" si="14"/>
        <v>200000</v>
      </c>
      <c r="BE18" s="82" t="s">
        <v>186</v>
      </c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VLOOKUP(A19,[12]HISTOBQUEJUIL24!$A$6:$G$46,3,0)</f>
        <v>50000</v>
      </c>
      <c r="E19" s="9">
        <f>VLOOKUP(A19,[12]HISTOBQUEJUIL24!$A$6:$G$41,4,0)</f>
        <v>0</v>
      </c>
      <c r="F19" s="9">
        <f>VLOOKUP(A19,[12]HISTOBQUEJUIL24!$A$6:$G$41,5,0)</f>
        <v>0</v>
      </c>
      <c r="G19" s="5">
        <f t="shared" si="15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VLOOKUP(A19,[13]TONTJUIL24!$A$6:$R$39,12,0)</f>
        <v>0</v>
      </c>
      <c r="Q19" s="2">
        <f>IFERROR(VLOOKUP(A19,[14]TONTJUIL24!$A$7:$P$23,10,0),0)</f>
        <v>0</v>
      </c>
      <c r="R19" s="2">
        <f>IFERROR(VLOOKUP(A19,[15]TONTJUIL24!$A$7:$P$20,10,0),0)</f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14">
        <f t="shared" si="6"/>
        <v>57500</v>
      </c>
      <c r="D20" s="9">
        <f>VLOOKUP(A20,[12]HISTOBQUEJUIL24!$A$6:$G$46,3,0)</f>
        <v>516000</v>
      </c>
      <c r="E20" s="9">
        <f>VLOOKUP(A20,[12]HISTOBQUEJUIL24!$A$6:$G$41,4,0)</f>
        <v>0</v>
      </c>
      <c r="F20" s="9">
        <f>VLOOKUP(A20,[12]HISTOBQUEJUIL24!$A$6:$G$41,5,0)</f>
        <v>0</v>
      </c>
      <c r="G20" s="5">
        <f t="shared" si="15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VLOOKUP(A20,[13]TONTJUIL24!$A$6:$R$39,12,0)</f>
        <v>30500</v>
      </c>
      <c r="Q20" s="2">
        <f>IFERROR(VLOOKUP(A20,[14]TONTJUIL24!$A$7:$P$23,10,0),0)</f>
        <v>102000</v>
      </c>
      <c r="R20" s="2">
        <f>IFERROR(VLOOKUP(A20,[15]TONTJUIL24!$A$7:$P$20,10,0),0)</f>
        <v>101000</v>
      </c>
      <c r="S20" s="20"/>
      <c r="T20" s="12"/>
      <c r="U20" s="17">
        <f t="shared" si="8"/>
        <v>458500</v>
      </c>
      <c r="V20" s="12"/>
      <c r="W20" s="12"/>
      <c r="X20" s="12"/>
      <c r="Y20" s="12"/>
      <c r="Z20" s="12"/>
      <c r="AA20" s="12"/>
      <c r="AB20" s="12"/>
      <c r="AC20" s="12">
        <v>2500</v>
      </c>
      <c r="AD20" s="12"/>
      <c r="AE20" s="12"/>
      <c r="AF20" s="12" t="s">
        <v>8</v>
      </c>
      <c r="AG20" s="12"/>
      <c r="AH20" s="12"/>
      <c r="AI20" s="12"/>
      <c r="AJ20" s="12">
        <v>200000</v>
      </c>
      <c r="AK20" s="12">
        <v>200000</v>
      </c>
      <c r="AL20" s="12"/>
      <c r="AM20" s="12">
        <v>2500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297500</v>
      </c>
      <c r="AX20" s="15">
        <f t="shared" si="11"/>
        <v>200000</v>
      </c>
      <c r="AY20" s="15">
        <f t="shared" si="12"/>
        <v>200000</v>
      </c>
      <c r="AZ20" s="16">
        <f>SUM(AV20:AY20)-BF20+Z20-F20+BH20+BI20+BJ20+BK20+BL20+BM20+57500</f>
        <v>695000</v>
      </c>
      <c r="BA20" s="58">
        <v>23500</v>
      </c>
      <c r="BB20" s="58"/>
      <c r="BC20" s="15"/>
      <c r="BD20" s="71">
        <f>IF(AZ20=0,(AZ20-BA20-BC20),(AZ20-BA20-BB20-BC20))</f>
        <v>671500</v>
      </c>
      <c r="BE20" s="82"/>
      <c r="BF20" s="29">
        <f>Z20*1/100*BG20+60000</f>
        <v>60000</v>
      </c>
      <c r="BG20" s="29">
        <v>5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VLOOKUP(A21,[12]HISTOBQUEJUIL24!$A$6:$G$46,3,0)</f>
        <v>50000</v>
      </c>
      <c r="E21" s="9">
        <f>VLOOKUP(A21,[12]HISTOBQUEJUIL24!$A$6:$G$41,4,0)</f>
        <v>0</v>
      </c>
      <c r="F21" s="9">
        <f>VLOOKUP(A21,[12]HISTOBQUEJUIL24!$A$6:$G$41,5,0)</f>
        <v>0</v>
      </c>
      <c r="G21" s="5">
        <f t="shared" si="15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VLOOKUP(A21,[13]TONTJUIL24!$A$6:$R$39,12,0)</f>
        <v>0</v>
      </c>
      <c r="Q21" s="2">
        <f>IFERROR(VLOOKUP(A21,[14]TONTJUIL24!$A$7:$P$23,10,0),0)</f>
        <v>0</v>
      </c>
      <c r="R21" s="2">
        <f>IFERROR(VLOOKUP(A21,[15]TONTJUIL24!$A$7:$P$20,10,0),0)</f>
        <v>0</v>
      </c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VLOOKUP(A22,[12]HISTOBQUEJUIL24!$A$6:$G$46,3,0)</f>
        <v>125000</v>
      </c>
      <c r="E22" s="9">
        <f>VLOOKUP(A22,[12]HISTOBQUEJUIL24!$A$6:$G$41,4,0)</f>
        <v>0</v>
      </c>
      <c r="F22" s="9">
        <f>VLOOKUP(A22,[12]HISTOBQUEJUIL24!$A$6:$G$41,5,0)</f>
        <v>0</v>
      </c>
      <c r="G22" s="5">
        <f t="shared" si="15"/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VLOOKUP(A22,[13]TONTJUIL24!$A$6:$R$39,12,0)</f>
        <v>0</v>
      </c>
      <c r="Q22" s="2">
        <f>IFERROR(VLOOKUP(A22,[14]TONTJUIL24!$A$7:$P$23,10,0),0)</f>
        <v>0</v>
      </c>
      <c r="R22" s="2">
        <f>IFERROR(VLOOKUP(A22,[15]TONTJUIL24!$A$7:$P$20,10,0),0)</f>
        <v>0</v>
      </c>
      <c r="S22" s="20"/>
      <c r="T22" s="12"/>
      <c r="U22" s="17">
        <f t="shared" si="8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14">
        <f t="shared" si="6"/>
        <v>30000</v>
      </c>
      <c r="D23" s="9">
        <f>VLOOKUP(A23,[12]HISTOBQUEJUIL24!$A$6:$G$46,3,0)</f>
        <v>502000</v>
      </c>
      <c r="E23" s="9">
        <f>VLOOKUP(A23,[12]HISTOBQUEJUIL24!$A$6:$G$41,4,0)</f>
        <v>0</v>
      </c>
      <c r="F23" s="9">
        <f>VLOOKUP(A23,[12]HISTOBQUEJUIL24!$A$6:$G$41,5,0)</f>
        <v>0</v>
      </c>
      <c r="G23" s="5">
        <f t="shared" si="15"/>
        <v>0</v>
      </c>
      <c r="H23" s="10" t="str">
        <f t="shared" si="0"/>
        <v>BANQUE</v>
      </c>
      <c r="I23" s="10">
        <v>20000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VLOOKUP(A23,[13]TONTJUIL24!$A$6:$R$39,12,0)</f>
        <v>0</v>
      </c>
      <c r="Q23" s="2">
        <f>IFERROR(VLOOKUP(A23,[14]TONTJUIL24!$A$7:$P$23,10,0),0)</f>
        <v>0</v>
      </c>
      <c r="R23" s="2">
        <f>IFERROR(VLOOKUP(A23,[15]TONTJUIL24!$A$7:$P$20,10,0),0)</f>
        <v>202000</v>
      </c>
      <c r="S23" s="20"/>
      <c r="T23" s="12"/>
      <c r="U23" s="17">
        <f t="shared" si="8"/>
        <v>472000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45000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1390000</v>
      </c>
      <c r="AZ23" s="16">
        <f t="shared" si="13"/>
        <v>1360000</v>
      </c>
      <c r="BA23" s="58"/>
      <c r="BB23" s="58"/>
      <c r="BC23" s="15"/>
      <c r="BD23" s="57">
        <f>IF(AZ23=0,(AZ23-BA23-BC23),(AZ23-BA23-BB23-BC23))+30000</f>
        <v>1390000</v>
      </c>
      <c r="BE23" s="82" t="s">
        <v>186</v>
      </c>
      <c r="BF23" s="29">
        <f>Z23*1/100*BG23+30000</f>
        <v>30000</v>
      </c>
      <c r="BG23" s="29">
        <v>5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14">
        <f t="shared" si="6"/>
        <v>-102000</v>
      </c>
      <c r="D24" s="9">
        <f>VLOOKUP(A24,[12]HISTOBQUEJUIL24!$A$6:$G$46,3,0)</f>
        <v>240000</v>
      </c>
      <c r="E24" s="9">
        <f>VLOOKUP(A24,[12]HISTOBQUEJUIL24!$A$6:$G$41,4,0)</f>
        <v>0</v>
      </c>
      <c r="F24" s="9">
        <f>VLOOKUP(A24,[12]HISTOBQUEJUIL24!$A$6:$G$41,5,0)</f>
        <v>500000</v>
      </c>
      <c r="G24" s="5">
        <f t="shared" si="15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VLOOKUP(A24,[13]TONTJUIL24!$A$6:$R$39,12,0)</f>
        <v>0</v>
      </c>
      <c r="Q24" s="2">
        <f>IFERROR(VLOOKUP(A24,[14]TONTJUIL24!$A$7:$P$23,10,0),0)</f>
        <v>0</v>
      </c>
      <c r="R24" s="2">
        <f>IFERROR(VLOOKUP(A24,[15]TONTJUIL24!$A$7:$P$20,10,0),0)</f>
        <v>102000</v>
      </c>
      <c r="S24" s="20">
        <v>500000</v>
      </c>
      <c r="T24" s="12" t="s">
        <v>8</v>
      </c>
      <c r="U24" s="17">
        <f t="shared" si="8"/>
        <v>842000</v>
      </c>
      <c r="V24" s="12"/>
      <c r="W24" s="12"/>
      <c r="X24" s="12"/>
      <c r="Y24" s="12"/>
      <c r="Z24" s="12"/>
      <c r="AA24" s="12"/>
      <c r="AB24" s="12"/>
      <c r="AC24" s="12"/>
      <c r="AD24" s="12">
        <v>7500</v>
      </c>
      <c r="AE24" s="12"/>
      <c r="AF24" s="12" t="s">
        <v>8</v>
      </c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0</v>
      </c>
      <c r="AX24" s="15">
        <f t="shared" si="11"/>
        <v>892500</v>
      </c>
      <c r="AY24" s="15">
        <f>IF(AE24=0,AK24,(1*100000*12)+(AK24)-AE24)</f>
        <v>200000</v>
      </c>
      <c r="AZ24" s="16">
        <f>SUM(AV24:AY24)-BF24+Z24-F24+BH24+BI24+BJ24+BK24+BL24+BM24-102000</f>
        <v>490500</v>
      </c>
      <c r="BA24" s="58"/>
      <c r="BB24" s="58"/>
      <c r="BC24" s="15"/>
      <c r="BD24" s="57">
        <f>IF(AZ24=0,(AZ24-BA24-BC24),(AZ24-BA24-BB24-BC24))</f>
        <v>490500</v>
      </c>
      <c r="BE24" s="82" t="s">
        <v>186</v>
      </c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VLOOKUP(A25,[12]HISTOBQUEJUIL24!$A$6:$G$46,3,0)</f>
        <v>436000</v>
      </c>
      <c r="E25" s="9">
        <f>VLOOKUP(A25,[12]HISTOBQUEJUIL24!$A$6:$G$41,4,0)</f>
        <v>0</v>
      </c>
      <c r="F25" s="9">
        <f>VLOOKUP(A25,[12]HISTOBQUEJUIL24!$A$6:$G$41,5,0)</f>
        <v>0</v>
      </c>
      <c r="G25" s="5">
        <f t="shared" si="15"/>
        <v>0</v>
      </c>
      <c r="H25" s="10" t="str">
        <f t="shared" si="0"/>
        <v>BANQUE</v>
      </c>
      <c r="I25" s="10"/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VLOOKUP(A25,[13]TONTJUIL24!$A$6:$R$39,12,0)</f>
        <v>61000</v>
      </c>
      <c r="Q25" s="2">
        <f>IFERROR(VLOOKUP(A25,[14]TONTJUIL24!$A$7:$P$23,10,0),0)</f>
        <v>0</v>
      </c>
      <c r="R25" s="2">
        <f>IFERROR(VLOOKUP(A25,[15]TONTJUIL24!$A$7:$P$20,10,0),0)</f>
        <v>0</v>
      </c>
      <c r="S25" s="20"/>
      <c r="T25" s="12"/>
      <c r="U25" s="17">
        <f t="shared" si="8"/>
        <v>436000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v>100000</v>
      </c>
      <c r="AK25" s="12">
        <v>100000</v>
      </c>
      <c r="AL25" s="12">
        <v>1000</v>
      </c>
      <c r="AM25" s="12">
        <v>1500</v>
      </c>
      <c r="AN25" s="12">
        <v>1000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25000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100000</v>
      </c>
      <c r="AZ25" s="16">
        <f t="shared" si="13"/>
        <v>230000</v>
      </c>
      <c r="BA25" s="58">
        <v>4000</v>
      </c>
      <c r="BB25" s="58"/>
      <c r="BC25" s="15"/>
      <c r="BD25" s="57">
        <f>IF(AZ25=0,(AZ25-BA25-BC25),(AZ25-BA25-BB25-BC25))-26000</f>
        <v>200000</v>
      </c>
      <c r="BE25" s="82" t="s">
        <v>186</v>
      </c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O25" t="s">
        <v>125</v>
      </c>
      <c r="BP25" t="s">
        <v>143</v>
      </c>
      <c r="BQ25" s="6">
        <v>50000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VLOOKUP(A26,[12]HISTOBQUEJUIL24!$A$6:$G$46,3,0)</f>
        <v>74000</v>
      </c>
      <c r="E26" s="9">
        <f>VLOOKUP(A26,[12]HISTOBQUEJUIL24!$A$6:$G$41,4,0)</f>
        <v>0</v>
      </c>
      <c r="F26" s="9">
        <f>VLOOKUP(A26,[12]HISTOBQUEJUIL24!$A$6:$G$41,5,0)</f>
        <v>0</v>
      </c>
      <c r="G26" s="5">
        <f t="shared" si="15"/>
        <v>0</v>
      </c>
      <c r="H26" s="10" t="str">
        <f t="shared" si="0"/>
        <v>BANQUE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VLOOKUP(A26,[13]TONTJUIL24!$A$6:$R$39,12,0)</f>
        <v>24000</v>
      </c>
      <c r="Q26" s="2">
        <f>IFERROR(VLOOKUP(A26,[14]TONTJUIL24!$A$7:$P$23,10,0),0)</f>
        <v>0</v>
      </c>
      <c r="R26" s="2">
        <f>IFERROR(VLOOKUP(A26,[15]TONTJUIL24!$A$7:$P$20,10,0),0)</f>
        <v>0</v>
      </c>
      <c r="S26" s="20"/>
      <c r="T26" s="12"/>
      <c r="U26" s="17">
        <f t="shared" si="8"/>
        <v>74000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-30000</v>
      </c>
      <c r="BA26" s="58"/>
      <c r="BB26" s="58"/>
      <c r="BC26" s="15"/>
      <c r="BD26" s="57">
        <f>IF(AZ26=0,(AZ26-BA26-BC26),(AZ26-BA26-BB26-BC26))+30000</f>
        <v>0</v>
      </c>
      <c r="BE26" s="82"/>
      <c r="BF26" s="29">
        <f>Z26*1/100*BG26+30000</f>
        <v>30000</v>
      </c>
      <c r="BG26" s="29">
        <v>5</v>
      </c>
      <c r="BH26" s="15"/>
      <c r="BI26" s="15"/>
      <c r="BJ26" s="15"/>
      <c r="BK26" s="15"/>
      <c r="BL26" s="61"/>
      <c r="BP26" t="s">
        <v>143</v>
      </c>
      <c r="BQ26" s="6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VLOOKUP(A27,[12]HISTOBQUEJUIL24!$A$6:$G$46,3,0)</f>
        <v>50000</v>
      </c>
      <c r="E27" s="9">
        <f>VLOOKUP(A27,[12]HISTOBQUEJUIL24!$A$6:$G$41,4,0)</f>
        <v>0</v>
      </c>
      <c r="F27" s="9">
        <f>VLOOKUP(A27,[12]HISTOBQUEJUIL24!$A$6:$G$41,5,0)</f>
        <v>0</v>
      </c>
      <c r="G27" s="5">
        <f t="shared" si="15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VLOOKUP(A27,[13]TONTJUIL24!$A$6:$R$39,12,0)</f>
        <v>0</v>
      </c>
      <c r="Q27" s="2">
        <f>IFERROR(VLOOKUP(A27,[14]TONTJUIL24!$A$7:$P$23,10,0),0)</f>
        <v>0</v>
      </c>
      <c r="R27" s="2">
        <f>IFERROR(VLOOKUP(A27,[15]TONTJUIL24!$A$7:$P$20,10,0),0)</f>
        <v>0</v>
      </c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O27" t="s">
        <v>213</v>
      </c>
      <c r="BP27" t="s">
        <v>143</v>
      </c>
      <c r="BQ27" s="6">
        <v>238500</v>
      </c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VLOOKUP(A28,[12]HISTOBQUEJUIL24!$A$6:$G$46,3,0)</f>
        <v>125000</v>
      </c>
      <c r="E28" s="9">
        <f>VLOOKUP(A28,[12]HISTOBQUEJUIL24!$A$6:$G$41,4,0)</f>
        <v>0</v>
      </c>
      <c r="F28" s="9">
        <f>VLOOKUP(A28,[12]HISTOBQUEJUIL24!$A$6:$G$41,5,0)</f>
        <v>0</v>
      </c>
      <c r="G28" s="5">
        <f t="shared" si="15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VLOOKUP(A28,[13]TONTJUIL24!$A$6:$R$39,12,0)</f>
        <v>0</v>
      </c>
      <c r="Q28" s="2">
        <f>IFERROR(VLOOKUP(A28,[14]TONTJUIL24!$A$7:$P$23,10,0),0)</f>
        <v>0</v>
      </c>
      <c r="R28" s="2">
        <f>IFERROR(VLOOKUP(A28,[15]TONTJUIL24!$A$7:$P$20,10,0),0)</f>
        <v>0</v>
      </c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O28" s="62" t="s">
        <v>142</v>
      </c>
      <c r="BQ28" s="62">
        <f>SUM(BQ24:BQ27)</f>
        <v>288500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VLOOKUP(A29,[12]HISTOBQUEJUIL24!$A$6:$G$46,3,0)</f>
        <v>50000</v>
      </c>
      <c r="E29" s="9">
        <f>VLOOKUP(A29,[12]HISTOBQUEJUIL24!$A$6:$G$41,4,0)</f>
        <v>0</v>
      </c>
      <c r="F29" s="9">
        <f>VLOOKUP(A29,[12]HISTOBQUEJUIL24!$A$6:$G$41,5,0)</f>
        <v>0</v>
      </c>
      <c r="G29" s="5">
        <f t="shared" si="15"/>
        <v>0</v>
      </c>
      <c r="H29" s="10" t="str">
        <f t="shared" si="0"/>
        <v>BANQUE</v>
      </c>
      <c r="I29" s="10"/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VLOOKUP(A29,[13]TONTJUIL24!$A$6:$R$39,12,0)</f>
        <v>0</v>
      </c>
      <c r="Q29" s="2">
        <f>IFERROR(VLOOKUP(A29,[14]TONTJUIL24!$A$7:$P$23,10,0),0)</f>
        <v>0</v>
      </c>
      <c r="R29" s="2">
        <f>IFERROR(VLOOKUP(A29,[15]TONTJUIL24!$A$7:$P$20,10,0),0)</f>
        <v>0</v>
      </c>
      <c r="S29" s="20"/>
      <c r="T29" s="12"/>
      <c r="U29" s="17">
        <f t="shared" si="8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54500</v>
      </c>
      <c r="AJ29" s="12"/>
      <c r="AK29" s="12"/>
      <c r="AL29" s="12">
        <v>1500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25000</v>
      </c>
      <c r="AT29" s="15"/>
      <c r="AV29" s="15"/>
      <c r="AW29" s="15">
        <f t="shared" si="10"/>
        <v>54500</v>
      </c>
      <c r="AX29" s="15">
        <f t="shared" si="11"/>
        <v>0</v>
      </c>
      <c r="AY29" s="15">
        <f t="shared" si="12"/>
        <v>0</v>
      </c>
      <c r="AZ29" s="16">
        <f t="shared" si="13"/>
        <v>54500</v>
      </c>
      <c r="BA29" s="58"/>
      <c r="BB29" s="58"/>
      <c r="BC29" s="15"/>
      <c r="BD29" s="57">
        <f t="shared" si="14"/>
        <v>54500</v>
      </c>
      <c r="BE29" s="82" t="s">
        <v>186</v>
      </c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VLOOKUP(A30,[12]HISTOBQUEJUIL24!$A$6:$G$46,3,0)</f>
        <v>379000</v>
      </c>
      <c r="E30" s="9">
        <f>VLOOKUP(A30,[12]HISTOBQUEJUIL24!$A$6:$G$41,4,0)</f>
        <v>0</v>
      </c>
      <c r="F30" s="9">
        <f>VLOOKUP(A30,[12]HISTOBQUEJUIL24!$A$6:$G$41,5,0)</f>
        <v>0</v>
      </c>
      <c r="G30" s="5">
        <f t="shared" si="15"/>
        <v>0</v>
      </c>
      <c r="H30" s="10" t="str">
        <f t="shared" si="0"/>
        <v>BANQUE</v>
      </c>
      <c r="I30" s="10">
        <v>3000</v>
      </c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VLOOKUP(A30,[13]TONTJUIL24!$A$6:$R$39,12,0)</f>
        <v>0</v>
      </c>
      <c r="Q30" s="2">
        <f>IFERROR(VLOOKUP(A30,[14]TONTJUIL24!$A$7:$P$23,10,0),0)</f>
        <v>0</v>
      </c>
      <c r="R30" s="2">
        <f>IFERROR(VLOOKUP(A30,[15]TONTJUIL24!$A$7:$P$20,10,0),0)</f>
        <v>126000</v>
      </c>
      <c r="S30" s="20"/>
      <c r="T30" s="12"/>
      <c r="U30" s="17">
        <f t="shared" si="8"/>
        <v>379000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 t="s">
        <v>8</v>
      </c>
      <c r="AQ30" s="8">
        <f t="shared" si="3"/>
        <v>0</v>
      </c>
      <c r="AR30" s="8">
        <f t="shared" si="4"/>
        <v>0</v>
      </c>
      <c r="AS30" s="13">
        <f t="shared" si="9"/>
        <v>28000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VLOOKUP(A31,[12]HISTOBQUEJUIL24!$A$6:$G$46,3,0)</f>
        <v>150000</v>
      </c>
      <c r="E31" s="9">
        <f>VLOOKUP(A31,[12]HISTOBQUEJUIL24!$A$6:$G$41,4,0)</f>
        <v>0</v>
      </c>
      <c r="F31" s="9">
        <f>VLOOKUP(A31,[12]HISTOBQUEJUIL24!$A$6:$G$41,5,0)</f>
        <v>0</v>
      </c>
      <c r="G31" s="5">
        <f t="shared" si="15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VLOOKUP(A31,[13]TONTJUIL24!$A$6:$R$39,12,0)</f>
        <v>0</v>
      </c>
      <c r="Q31" s="2">
        <f>IFERROR(VLOOKUP(A31,[14]TONTJUIL24!$A$7:$P$23,10,0),0)</f>
        <v>0</v>
      </c>
      <c r="R31" s="2">
        <f>IFERROR(VLOOKUP(A31,[15]TONTJUIL24!$A$7:$P$20,10,0),0)</f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VLOOKUP(A32,[12]HISTOBQUEJUIL24!$A$6:$G$46,3,0)</f>
        <v>2227000</v>
      </c>
      <c r="E32" s="9">
        <f>VLOOKUP(A32,[12]HISTOBQUEJUIL24!$A$6:$G$41,4,0)</f>
        <v>0</v>
      </c>
      <c r="F32" s="9">
        <f>VLOOKUP(A32,[12]HISTOBQUEJUIL24!$A$6:$G$41,5,0)</f>
        <v>0</v>
      </c>
      <c r="G32" s="5">
        <f t="shared" si="15"/>
        <v>0</v>
      </c>
      <c r="H32" s="10" t="str">
        <f t="shared" si="0"/>
        <v>BANQUE</v>
      </c>
      <c r="I32" s="10">
        <v>1000000</v>
      </c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VLOOKUP(A32,[13]TONTJUIL24!$A$6:$R$39,12,0)</f>
        <v>0</v>
      </c>
      <c r="Q32" s="2">
        <f>IFERROR(VLOOKUP(A32,[14]TONTJUIL24!$A$7:$P$23,10,0),0)</f>
        <v>102000</v>
      </c>
      <c r="R32" s="2">
        <f>IFERROR(VLOOKUP(A32,[15]TONTJUIL24!$A$7:$P$20,10,0),0)</f>
        <v>0</v>
      </c>
      <c r="S32" s="20">
        <v>1000000</v>
      </c>
      <c r="T32" s="12" t="s">
        <v>8</v>
      </c>
      <c r="U32" s="17">
        <f t="shared" si="8"/>
        <v>2227000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1025000</v>
      </c>
      <c r="AT32" s="15"/>
      <c r="AV32" s="15"/>
      <c r="AW32" s="15">
        <f t="shared" si="10"/>
        <v>0</v>
      </c>
      <c r="AX32" s="15">
        <f t="shared" si="11"/>
        <v>100000</v>
      </c>
      <c r="AY32" s="15">
        <f t="shared" si="12"/>
        <v>0</v>
      </c>
      <c r="AZ32" s="16">
        <f t="shared" si="13"/>
        <v>100000</v>
      </c>
      <c r="BA32" s="58">
        <v>20000</v>
      </c>
      <c r="BB32" s="58"/>
      <c r="BC32" s="15"/>
      <c r="BD32" s="57">
        <f>IF(AZ32=0,(AZ32-BA32-BC32),(AZ32-BA32-BB32-BC32))-30000</f>
        <v>50000</v>
      </c>
      <c r="BE32" s="82" t="s">
        <v>186</v>
      </c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VLOOKUP(A33,[12]HISTOBQUEJUIL24!$A$6:$G$46,3,0)</f>
        <v>160000</v>
      </c>
      <c r="E33" s="9">
        <f>VLOOKUP(A33,[12]HISTOBQUEJUIL24!$A$6:$G$41,4,0)</f>
        <v>0</v>
      </c>
      <c r="F33" s="9">
        <f>VLOOKUP(A33,[12]HISTOBQUEJUIL24!$A$6:$G$41,5,0)</f>
        <v>0</v>
      </c>
      <c r="G33" s="5">
        <f t="shared" si="15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VLOOKUP(A33,[13]TONTJUIL24!$A$6:$R$39,12,0)</f>
        <v>0</v>
      </c>
      <c r="Q33" s="2">
        <f>IFERROR(VLOOKUP(A33,[14]TONTJUIL24!$A$7:$P$23,10,0),0)</f>
        <v>0</v>
      </c>
      <c r="R33" s="2">
        <f>IFERROR(VLOOKUP(A33,[15]TONTJUIL24!$A$7:$P$20,10,0),0)</f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VLOOKUP(A34,[12]HISTOBQUEJUIL24!$A$6:$G$46,3,0)</f>
        <v>50000</v>
      </c>
      <c r="E34" s="9">
        <f>VLOOKUP(A34,[12]HISTOBQUEJUIL24!$A$6:$G$41,4,0)</f>
        <v>0</v>
      </c>
      <c r="F34" s="9">
        <f>VLOOKUP(A34,[12]HISTOBQUEJUIL24!$A$6:$G$41,5,0)</f>
        <v>0</v>
      </c>
      <c r="G34" s="5">
        <f t="shared" si="15"/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VLOOKUP(A34,[13]TONTJUIL24!$A$6:$R$39,12,0)</f>
        <v>0</v>
      </c>
      <c r="Q34" s="2">
        <f>IFERROR(VLOOKUP(A34,[14]TONTJUIL24!$A$7:$P$23,10,0),0)</f>
        <v>0</v>
      </c>
      <c r="R34" s="2">
        <f>IFERROR(VLOOKUP(A34,[15]TONTJUIL24!$A$7:$P$20,10,0),0)</f>
        <v>0</v>
      </c>
      <c r="S34" s="20"/>
      <c r="T34" s="12"/>
      <c r="U34" s="17">
        <f t="shared" si="8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VLOOKUP(A35,[12]HISTOBQUEJUIL24!$A$6:$G$46,3,0)</f>
        <v>60000</v>
      </c>
      <c r="E35" s="9">
        <f>VLOOKUP(A35,[12]HISTOBQUEJUIL24!$A$6:$G$41,4,0)</f>
        <v>0</v>
      </c>
      <c r="F35" s="9">
        <f>VLOOKUP(A35,[12]HISTOBQUEJUIL24!$A$6:$G$41,5,0)</f>
        <v>0</v>
      </c>
      <c r="G35" s="5">
        <f t="shared" si="15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VLOOKUP(A35,[13]TONTJUIL24!$A$6:$R$39,12,0)</f>
        <v>0</v>
      </c>
      <c r="Q35" s="2">
        <f>IFERROR(VLOOKUP(A35,[14]TONTJUIL24!$A$7:$P$23,10,0),0)</f>
        <v>0</v>
      </c>
      <c r="R35" s="2">
        <f>IFERROR(VLOOKUP(A35,[15]TONTJUIL24!$A$7:$P$20,10,0),0)</f>
        <v>0</v>
      </c>
      <c r="S35" s="20"/>
      <c r="T35" s="12"/>
      <c r="U35" s="17">
        <f t="shared" si="8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VLOOKUP(A36,[12]HISTOBQUEJUIL24!$A$6:$G$46,3,0)</f>
        <v>50000</v>
      </c>
      <c r="E36" s="9">
        <f>VLOOKUP(A36,[12]HISTOBQUEJUIL24!$A$6:$G$41,4,0)</f>
        <v>0</v>
      </c>
      <c r="F36" s="9">
        <f>VLOOKUP(A36,[12]HISTOBQUEJUIL24!$A$6:$G$41,5,0)</f>
        <v>0</v>
      </c>
      <c r="G36" s="5">
        <f t="shared" si="15"/>
        <v>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VLOOKUP(A36,[13]TONTJUIL24!$A$6:$R$39,12,0)</f>
        <v>0</v>
      </c>
      <c r="Q36" s="2">
        <f>IFERROR(VLOOKUP(A36,[14]TONTJUIL24!$A$7:$P$23,10,0),0)</f>
        <v>0</v>
      </c>
      <c r="R36" s="2">
        <f>IFERROR(VLOOKUP(A36,[15]TONTJUIL24!$A$7:$P$20,10,0),0)</f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100000</v>
      </c>
      <c r="BA36" s="58"/>
      <c r="BB36" s="58"/>
      <c r="BC36" s="15"/>
      <c r="BD36" s="57">
        <f t="shared" si="14"/>
        <v>100000</v>
      </c>
      <c r="BE36" s="82" t="s">
        <v>186</v>
      </c>
      <c r="BF36" s="29">
        <f t="shared" si="5"/>
        <v>0</v>
      </c>
      <c r="BG36" s="29">
        <v>5</v>
      </c>
      <c r="BH36" s="15"/>
      <c r="BI36" s="15"/>
      <c r="BJ36" s="15"/>
      <c r="BK36" s="15">
        <v>100000</v>
      </c>
      <c r="BL36" s="61"/>
      <c r="BO36" t="s">
        <v>126</v>
      </c>
      <c r="BP36" t="s">
        <v>126</v>
      </c>
      <c r="BQ36" s="6"/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VLOOKUP(A37,[12]HISTOBQUEJUIL24!$A$6:$G$46,3,0)</f>
        <v>150000</v>
      </c>
      <c r="E37" s="9">
        <f>VLOOKUP(A37,[12]HISTOBQUEJUIL24!$A$6:$G$41,4,0)</f>
        <v>0</v>
      </c>
      <c r="F37" s="9">
        <f>VLOOKUP(A37,[12]HISTOBQUEJUIL24!$A$6:$G$41,5,0)</f>
        <v>0</v>
      </c>
      <c r="G37" s="5">
        <f t="shared" si="15"/>
        <v>0</v>
      </c>
      <c r="H37" s="10" t="str">
        <f t="shared" si="0"/>
        <v>BANQUE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VLOOKUP(A37,[13]TONTJUIL24!$A$6:$R$39,12,0)</f>
        <v>0</v>
      </c>
      <c r="Q37" s="2">
        <f>IFERROR(VLOOKUP(A37,[14]TONTJUIL24!$A$7:$P$23,10,0),0)</f>
        <v>0</v>
      </c>
      <c r="R37" s="2">
        <f>IFERROR(VLOOKUP(A37,[15]TONTJUIL24!$A$7:$P$20,10,0),0)</f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VLOOKUP(A38,[12]HISTOBQUEJUIL24!$A$6:$G$46,3,0)</f>
        <v>125000</v>
      </c>
      <c r="E38" s="9">
        <f>VLOOKUP(A38,[12]HISTOBQUEJUIL24!$A$6:$G$41,4,0)</f>
        <v>0</v>
      </c>
      <c r="F38" s="9">
        <f>VLOOKUP(A38,[12]HISTOBQUEJUIL24!$A$6:$G$41,5,0)</f>
        <v>0</v>
      </c>
      <c r="G38" s="5">
        <f t="shared" si="15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VLOOKUP(A38,[13]TONTJUIL24!$A$6:$R$39,12,0)</f>
        <v>0</v>
      </c>
      <c r="Q38" s="2">
        <f>IFERROR(VLOOKUP(A38,[14]TONTJUIL24!$A$7:$P$23,10,0),0)</f>
        <v>0</v>
      </c>
      <c r="R38" s="2">
        <f>IFERROR(VLOOKUP(A38,[15]TONTJUIL24!$A$7:$P$20,10,0),0)</f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ca="1" si="16">SUM(C6:C39)</f>
        <v>-251600</v>
      </c>
      <c r="D40" s="5">
        <f t="shared" si="16"/>
        <v>7609000</v>
      </c>
      <c r="E40" s="5">
        <f t="shared" si="16"/>
        <v>150000</v>
      </c>
      <c r="F40" s="5">
        <f t="shared" si="16"/>
        <v>500000</v>
      </c>
      <c r="G40" s="5">
        <f t="shared" si="16"/>
        <v>12000</v>
      </c>
      <c r="H40" s="5">
        <f t="shared" si="16"/>
        <v>0</v>
      </c>
      <c r="I40" s="5">
        <f t="shared" si="16"/>
        <v>1090100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176500</v>
      </c>
      <c r="Q40" s="5">
        <f t="shared" si="16"/>
        <v>261500</v>
      </c>
      <c r="R40" s="5">
        <f t="shared" si="16"/>
        <v>632000</v>
      </c>
      <c r="S40" s="5">
        <f t="shared" si="16"/>
        <v>1738500</v>
      </c>
      <c r="T40" s="5"/>
      <c r="U40" s="5">
        <f t="shared" ref="U40:AA40" ca="1" si="17">SUM(U6:U39)</f>
        <v>8510600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8000</v>
      </c>
      <c r="AD40" s="5">
        <f>SUM(AD6:AD39)</f>
        <v>7500</v>
      </c>
      <c r="AE40" s="5">
        <f>SUM(AE6:AE39)</f>
        <v>20000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84500</v>
      </c>
      <c r="AJ40" s="5">
        <f t="shared" si="18"/>
        <v>569000</v>
      </c>
      <c r="AK40" s="5">
        <f t="shared" si="18"/>
        <v>1154000</v>
      </c>
      <c r="AL40" s="5">
        <f t="shared" si="18"/>
        <v>2500</v>
      </c>
      <c r="AM40" s="5">
        <f t="shared" si="18"/>
        <v>7000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1890100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976500</v>
      </c>
      <c r="AX40" s="5">
        <f t="shared" si="18"/>
        <v>1461500</v>
      </c>
      <c r="AY40" s="5">
        <f t="shared" si="18"/>
        <v>3534000</v>
      </c>
      <c r="AZ40" s="5">
        <f t="shared" si="18"/>
        <v>5729600</v>
      </c>
      <c r="BA40" s="5">
        <f t="shared" si="18"/>
        <v>183500</v>
      </c>
      <c r="BB40" s="5">
        <f t="shared" si="18"/>
        <v>0</v>
      </c>
      <c r="BC40" s="5">
        <f t="shared" si="18"/>
        <v>0</v>
      </c>
      <c r="BD40" s="5">
        <f t="shared" si="18"/>
        <v>4885000</v>
      </c>
      <c r="BE40" s="5">
        <f t="shared" si="18"/>
        <v>0</v>
      </c>
      <c r="BF40" s="5">
        <f t="shared" si="18"/>
        <v>128400</v>
      </c>
      <c r="BH40" s="5">
        <f t="shared" ref="BH40:BL40" si="19">SUM(BH6:BH39)</f>
        <v>42000</v>
      </c>
      <c r="BI40" s="5">
        <f t="shared" si="19"/>
        <v>288500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  <c r="BD42">
        <v>5208500</v>
      </c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>
        <f>BD40-BD42</f>
        <v>-323500</v>
      </c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E45" s="6">
        <f>+BD43-BE43</f>
        <v>-323500</v>
      </c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5729600</v>
      </c>
      <c r="D47" s="9">
        <f>SUMIFS(D8:D40,H8:H40,"BANQUE")</f>
        <v>7434000</v>
      </c>
      <c r="F47" s="9">
        <f>E40</f>
        <v>150000</v>
      </c>
      <c r="G47" s="14"/>
      <c r="J47" s="5"/>
      <c r="AW47" s="15"/>
      <c r="AX47" s="15"/>
      <c r="AY47" s="15"/>
      <c r="AZ47" s="16"/>
      <c r="BC47">
        <v>297000</v>
      </c>
      <c r="BD47" t="s">
        <v>186</v>
      </c>
    </row>
    <row r="48" spans="1:69" ht="18.5" x14ac:dyDescent="0.45">
      <c r="AW48" s="15"/>
      <c r="AX48" s="15"/>
      <c r="AY48" s="15"/>
      <c r="AZ48" s="16"/>
      <c r="BC48">
        <v>297500</v>
      </c>
      <c r="BD48" t="s">
        <v>186</v>
      </c>
    </row>
    <row r="49" spans="49:56" ht="18.5" x14ac:dyDescent="0.45">
      <c r="AW49" s="15"/>
      <c r="AX49" s="15"/>
      <c r="AY49" s="15"/>
      <c r="AZ49" s="16"/>
      <c r="BC49">
        <v>197500</v>
      </c>
      <c r="BD49" t="s">
        <v>186</v>
      </c>
    </row>
    <row r="50" spans="49:56" ht="18.5" x14ac:dyDescent="0.45">
      <c r="AW50" s="15"/>
      <c r="AX50" s="15"/>
      <c r="AY50" s="15"/>
      <c r="AZ50" s="16"/>
      <c r="BC50">
        <v>54500</v>
      </c>
      <c r="BD50" t="s">
        <v>186</v>
      </c>
    </row>
    <row r="51" spans="49:56" ht="18.5" x14ac:dyDescent="0.45">
      <c r="AW51" s="15"/>
      <c r="AX51" s="15"/>
      <c r="AY51" s="15"/>
      <c r="AZ51" s="16"/>
      <c r="BC51">
        <v>592500</v>
      </c>
      <c r="BD51" t="s">
        <v>186</v>
      </c>
    </row>
    <row r="52" spans="49:56" ht="18.5" x14ac:dyDescent="0.45">
      <c r="AW52" s="15"/>
      <c r="AX52" s="15"/>
      <c r="AY52" s="15"/>
      <c r="AZ52" s="16"/>
      <c r="BC52">
        <v>200000</v>
      </c>
      <c r="BD52" t="s">
        <v>186</v>
      </c>
    </row>
    <row r="53" spans="49:56" ht="18.5" x14ac:dyDescent="0.45">
      <c r="AW53" s="15"/>
      <c r="AX53" s="15"/>
      <c r="AY53" s="15"/>
      <c r="AZ53" s="16"/>
      <c r="BC53">
        <v>50000</v>
      </c>
      <c r="BD53" t="s">
        <v>186</v>
      </c>
    </row>
    <row r="54" spans="49:56" ht="18.5" x14ac:dyDescent="0.45">
      <c r="AW54" s="15"/>
      <c r="AX54" s="15"/>
      <c r="AY54" s="15"/>
      <c r="AZ54" s="16"/>
      <c r="BC54">
        <v>109000</v>
      </c>
      <c r="BD54" t="s">
        <v>186</v>
      </c>
    </row>
    <row r="55" spans="49:56" ht="18.5" x14ac:dyDescent="0.45">
      <c r="AW55" s="15"/>
      <c r="AX55" s="15"/>
      <c r="AY55" s="15"/>
      <c r="AZ55" s="16"/>
      <c r="BC55">
        <v>100000</v>
      </c>
      <c r="BD55" t="s">
        <v>186</v>
      </c>
    </row>
    <row r="56" spans="49:56" ht="18.5" x14ac:dyDescent="0.45">
      <c r="AW56" s="15"/>
      <c r="AX56" s="15"/>
      <c r="AY56" s="15"/>
      <c r="AZ56" s="16"/>
      <c r="BC56">
        <v>1190000</v>
      </c>
      <c r="BD56" t="s">
        <v>186</v>
      </c>
    </row>
    <row r="57" spans="49:56" ht="18.5" x14ac:dyDescent="0.45">
      <c r="AW57" s="15"/>
      <c r="AX57" s="15"/>
      <c r="AY57" s="15"/>
      <c r="AZ57" s="16"/>
      <c r="BC57">
        <v>1190000</v>
      </c>
      <c r="BD57" t="s">
        <v>186</v>
      </c>
    </row>
    <row r="58" spans="49:56" ht="18.5" x14ac:dyDescent="0.45">
      <c r="AW58" s="15"/>
      <c r="AX58" s="15"/>
      <c r="AY58" s="15"/>
      <c r="AZ58" s="16"/>
      <c r="BC58">
        <f>170000+6000</f>
        <v>176000</v>
      </c>
      <c r="BD58" t="s">
        <v>186</v>
      </c>
    </row>
    <row r="59" spans="49:56" ht="18.5" x14ac:dyDescent="0.45">
      <c r="AW59" s="15"/>
      <c r="AX59" s="15"/>
      <c r="AY59" s="15"/>
      <c r="AZ59" s="16"/>
      <c r="BC59">
        <v>100000</v>
      </c>
      <c r="BD59" t="s">
        <v>186</v>
      </c>
    </row>
    <row r="60" spans="49:56" ht="18.5" x14ac:dyDescent="0.45">
      <c r="AW60" s="15"/>
      <c r="AX60" s="15"/>
      <c r="AY60" s="15"/>
      <c r="AZ60" s="16"/>
      <c r="BC60">
        <v>200000</v>
      </c>
      <c r="BD60" t="s">
        <v>186</v>
      </c>
    </row>
    <row r="61" spans="49:56" ht="18.5" x14ac:dyDescent="0.45">
      <c r="AW61" s="15"/>
      <c r="AX61" s="15"/>
      <c r="AY61" s="15"/>
      <c r="AZ61" s="16"/>
      <c r="BC61">
        <v>100000</v>
      </c>
      <c r="BD61" t="s">
        <v>186</v>
      </c>
    </row>
    <row r="62" spans="49:56" ht="18.5" x14ac:dyDescent="0.45">
      <c r="AW62" s="15"/>
      <c r="AX62" s="15"/>
      <c r="AY62" s="15"/>
      <c r="AZ62" s="16"/>
      <c r="BC62">
        <v>200000</v>
      </c>
      <c r="BD62" t="s">
        <v>186</v>
      </c>
    </row>
    <row r="63" spans="49:56" ht="18.5" x14ac:dyDescent="0.45">
      <c r="AW63" s="15"/>
      <c r="AX63" s="15"/>
      <c r="AY63" s="15"/>
      <c r="AZ63" s="16"/>
      <c r="BC63">
        <v>98000</v>
      </c>
      <c r="BD63" t="s">
        <v>186</v>
      </c>
    </row>
    <row r="64" spans="49:56" ht="18.5" x14ac:dyDescent="0.45">
      <c r="AW64" s="15"/>
      <c r="AX64" s="15"/>
      <c r="AY64" s="15"/>
      <c r="AZ64" s="16"/>
      <c r="BC64">
        <v>100000</v>
      </c>
      <c r="BD64" t="s">
        <v>186</v>
      </c>
    </row>
    <row r="65" spans="49:56" ht="18.5" x14ac:dyDescent="0.45">
      <c r="AW65" s="15"/>
      <c r="AX65" s="15"/>
      <c r="AY65" s="15"/>
      <c r="AZ65" s="16"/>
      <c r="BC65">
        <v>100000</v>
      </c>
      <c r="BD65" t="s">
        <v>186</v>
      </c>
    </row>
    <row r="66" spans="49:56" ht="18.5" x14ac:dyDescent="0.45">
      <c r="AW66" s="15"/>
      <c r="AX66" s="15"/>
      <c r="AY66" s="15"/>
      <c r="AZ66" s="16"/>
      <c r="BC66">
        <v>6000</v>
      </c>
      <c r="BD66" t="s">
        <v>186</v>
      </c>
    </row>
    <row r="67" spans="49:56" ht="18.5" x14ac:dyDescent="0.45">
      <c r="AW67" s="15"/>
      <c r="AX67" s="15"/>
      <c r="AY67" s="15"/>
      <c r="AZ67" s="16"/>
      <c r="BC67">
        <v>50000</v>
      </c>
      <c r="BD67" t="s">
        <v>186</v>
      </c>
    </row>
    <row r="68" spans="49:56" ht="18.5" x14ac:dyDescent="0.45">
      <c r="AW68" s="15"/>
      <c r="AX68" s="15"/>
      <c r="AY68" s="15"/>
      <c r="AZ68" s="16"/>
      <c r="BC68">
        <f>SUM(BC47:BC67)</f>
        <v>5408000</v>
      </c>
    </row>
    <row r="69" spans="49:56" ht="18.5" x14ac:dyDescent="0.45">
      <c r="AW69" s="15"/>
      <c r="AX69" s="15"/>
      <c r="AY69" s="15"/>
      <c r="AZ69" s="16"/>
    </row>
    <row r="70" spans="49:56" ht="18.5" x14ac:dyDescent="0.45">
      <c r="AW70" s="15"/>
      <c r="AX70" s="15"/>
      <c r="AY70" s="15"/>
      <c r="AZ70" s="16"/>
    </row>
    <row r="71" spans="49:56" ht="18.5" x14ac:dyDescent="0.45">
      <c r="AW71" s="15"/>
      <c r="AX71" s="15"/>
      <c r="AY71" s="15"/>
      <c r="AZ71" s="16"/>
    </row>
    <row r="72" spans="49:56" ht="18.5" x14ac:dyDescent="0.45">
      <c r="AW72" s="15"/>
      <c r="AX72" s="15"/>
      <c r="AY72" s="15"/>
      <c r="AZ72" s="16"/>
    </row>
    <row r="73" spans="49:56" ht="18.5" x14ac:dyDescent="0.45">
      <c r="AW73" s="15"/>
      <c r="AX73" s="15"/>
      <c r="AY73" s="15"/>
      <c r="AZ73" s="16"/>
    </row>
    <row r="74" spans="49:56" ht="18.5" x14ac:dyDescent="0.45">
      <c r="AW74" s="15"/>
      <c r="AX74" s="15"/>
      <c r="AY74" s="15"/>
      <c r="AZ74" s="16"/>
    </row>
    <row r="75" spans="49:56" ht="18.5" x14ac:dyDescent="0.45">
      <c r="AW75" s="15"/>
      <c r="AX75" s="15"/>
      <c r="AY75" s="15"/>
      <c r="AZ75" s="16"/>
    </row>
    <row r="76" spans="49:56" ht="18.5" x14ac:dyDescent="0.45">
      <c r="AW76" s="15"/>
      <c r="AX76" s="15"/>
      <c r="AY76" s="15"/>
      <c r="AZ76" s="16"/>
    </row>
    <row r="77" spans="49:56" ht="18.5" x14ac:dyDescent="0.45">
      <c r="AW77" s="15"/>
      <c r="AX77" s="15"/>
      <c r="AY77" s="15"/>
      <c r="AZ77" s="16"/>
    </row>
    <row r="78" spans="49:56" ht="18.5" x14ac:dyDescent="0.45">
      <c r="AW78" s="15"/>
      <c r="AX78" s="15"/>
      <c r="AY78" s="15"/>
      <c r="AZ78" s="16"/>
    </row>
    <row r="79" spans="49:56" ht="18.5" x14ac:dyDescent="0.45">
      <c r="AW79" s="15"/>
      <c r="AX79" s="15"/>
      <c r="AY79" s="15"/>
      <c r="AZ79" s="16"/>
    </row>
    <row r="80" spans="49:56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11128700</v>
      </c>
    </row>
  </sheetData>
  <autoFilter ref="A5:AF38" xr:uid="{00000000-0009-0000-0000-00000A000000}"/>
  <mergeCells count="1">
    <mergeCell ref="B4:M4"/>
  </mergeCells>
  <dataValidations count="1">
    <dataValidation type="list" allowBlank="1" showInputMessage="1" showErrorMessage="1" sqref="T6:T38 AP6:AP38 AF6:AF38 AA6:AA38" xr:uid="{00000000-0002-0000-0A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85"/>
  <sheetViews>
    <sheetView zoomScaleNormal="100" workbookViewId="0">
      <pane xSplit="4" ySplit="5" topLeftCell="BJ6" activePane="bottomRight" state="frozen"/>
      <selection pane="topRight" activeCell="E1" sqref="E1"/>
      <selection pane="bottomLeft" activeCell="A6" sqref="A6"/>
      <selection pane="bottomRight" activeCell="BL10" sqref="BL1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0</v>
      </c>
      <c r="D6" s="9">
        <f>VLOOKUP(A6,[12]HISTOBQUEAOUT24!$A$6:$G$46,3,0)</f>
        <v>175000</v>
      </c>
      <c r="E6" s="9">
        <f>VLOOKUP(A6,[12]HISTOBQUEAOUT24!$A$6:$G$41,4,0)</f>
        <v>0</v>
      </c>
      <c r="F6" s="9">
        <f>VLOOKUP(A6,[12]HISTOBQUEAOUT24!$A$6:$G$41,5,0)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IFERROR(CHERCHEV(A6,[13]TONTAOUT24!$A$6:$R$39,12,0),0)</f>
        <v>0</v>
      </c>
      <c r="Q6" s="2">
        <f>IFERROR(VLOOKUP(A6,[14]TONTAOUT24!$A$7:$P$23,10,0),0)</f>
        <v>0</v>
      </c>
      <c r="R6" s="2">
        <f>IFERROR(VLOOKUP(A6,[15]TONTAOUT24!$A$7:$P$20,10,0),0)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6000</v>
      </c>
      <c r="BA6" s="58"/>
      <c r="BB6" s="58"/>
      <c r="BC6" s="15"/>
      <c r="BD6" s="57">
        <f>IF(AZ6=0,(AZ6-BA6-BC6),(AZ6-BA6-BB6-BC6))</f>
        <v>6000</v>
      </c>
      <c r="BE6" s="82"/>
      <c r="BF6" s="29">
        <f t="shared" ref="BF6:BF38" si="5">Z6*1/100*BG6</f>
        <v>0</v>
      </c>
      <c r="BG6" s="29">
        <v>4</v>
      </c>
      <c r="BH6" s="15">
        <f>BQ16</f>
        <v>6000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VLOOKUP(A7,[12]HISTOBQUEAOUT24!$A$6:$G$46,3,0)</f>
        <v>50000</v>
      </c>
      <c r="E7" s="9">
        <f>VLOOKUP(A7,[12]HISTOBQUEAOUT24!$A$6:$G$41,4,0)</f>
        <v>0</v>
      </c>
      <c r="F7" s="9">
        <f>VLOOKUP(A7,[12]HISTOBQUEAOUT24!$A$6:$G$41,5,0)</f>
        <v>0</v>
      </c>
      <c r="G7" s="5">
        <f>IF(H7="ESPECES",3000,0)+3000</f>
        <v>3000</v>
      </c>
      <c r="H7" s="10" t="str">
        <f t="shared" si="0"/>
        <v>BANQUE</v>
      </c>
      <c r="I7" s="10">
        <v>-3000</v>
      </c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VLOOKUP(A7,[13]TONTAOUT24!$A$6:$R$39,12,0)</f>
        <v>0</v>
      </c>
      <c r="Q7" s="2">
        <f>IFERROR(VLOOKUP(A7,[14]TONTAOUT24!$A$7:$P$23,10,0),0)</f>
        <v>0</v>
      </c>
      <c r="R7" s="2">
        <f>IFERROR(VLOOKUP(A7,[15]TONTAOUT24!$A$7:$P$20,10,0),0)</f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57000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22000</v>
      </c>
      <c r="AT7" s="15"/>
      <c r="AV7" s="15"/>
      <c r="AW7" s="15">
        <f t="shared" ref="AW7:AW38" si="10">IF(AC7=0,AI7,(1*25000*12)+AI7-AC7)</f>
        <v>57000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57000</v>
      </c>
      <c r="BA7" s="58">
        <v>10000</v>
      </c>
      <c r="BB7" s="58"/>
      <c r="BC7" s="15"/>
      <c r="BD7" s="57">
        <f t="shared" ref="BD7:BD38" si="14">IF(AZ7=0,(AZ7-BA7-BC7),(AZ7-BA7-BB7-BC7))</f>
        <v>47000</v>
      </c>
      <c r="BE7" s="82" t="s">
        <v>186</v>
      </c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" customHeight="1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VLOOKUP(A8,[12]HISTOBQUEAOUT24!$A$6:$G$46,3,0)</f>
        <v>125000</v>
      </c>
      <c r="E8" s="9">
        <f>VLOOKUP(A8,[12]HISTOBQUEAOUT24!$A$6:$G$41,4,0)</f>
        <v>0</v>
      </c>
      <c r="F8" s="9">
        <f>VLOOKUP(A8,[12]HISTOBQUEAOUT24!$A$6:$G$41,5,0)</f>
        <v>0</v>
      </c>
      <c r="G8" s="5">
        <f t="shared" ref="G8:G38" si="15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VLOOKUP(A8,[13]TONTAOUT24!$A$6:$R$39,12,0)</f>
        <v>0</v>
      </c>
      <c r="Q8" s="2">
        <f>IFERROR(VLOOKUP(A8,[14]TONTAOUT24!$A$7:$P$23,10,0),0)</f>
        <v>0</v>
      </c>
      <c r="R8" s="2">
        <f>IFERROR(VLOOKUP(A8,[15]TONTAOUT24!$A$7:$P$20,10,0),0)</f>
        <v>0</v>
      </c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-12250</v>
      </c>
      <c r="BA8" s="58"/>
      <c r="BB8" s="58"/>
      <c r="BC8" s="15"/>
      <c r="BD8" s="57">
        <f t="shared" si="14"/>
        <v>-12250</v>
      </c>
      <c r="BE8" s="82"/>
      <c r="BF8" s="29">
        <f>Z8*1/100*BG8+20000</f>
        <v>20000</v>
      </c>
      <c r="BG8" s="29">
        <v>4</v>
      </c>
      <c r="BH8" s="15"/>
      <c r="BI8" s="15"/>
      <c r="BJ8" s="15"/>
      <c r="BK8" s="15"/>
      <c r="BL8" s="61">
        <v>7750</v>
      </c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10000</v>
      </c>
      <c r="D9" s="9">
        <f>VLOOKUP(A9,[12]HISTOBQUEAOUT24!$A$6:$G$46,3,0)</f>
        <v>250000</v>
      </c>
      <c r="E9" s="9">
        <f>VLOOKUP(A9,[12]HISTOBQUEAOUT24!$A$6:$G$41,4,0)</f>
        <v>0</v>
      </c>
      <c r="F9" s="9">
        <f>VLOOKUP(A9,[12]HISTOBQUEAOUT24!$A$6:$G$41,5,0)</f>
        <v>0</v>
      </c>
      <c r="G9" s="5">
        <f t="shared" si="15"/>
        <v>0</v>
      </c>
      <c r="H9" s="10" t="str">
        <f t="shared" si="0"/>
        <v>BANQUE</v>
      </c>
      <c r="I9" s="10">
        <v>-10000</v>
      </c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VLOOKUP(A9,[13]TONTAOUT24!$A$6:$R$39,12,0)</f>
        <v>0</v>
      </c>
      <c r="Q9" s="2">
        <f>IFERROR(VLOOKUP(A9,[14]TONTAOUT24!$A$7:$P$23,10,0),0)</f>
        <v>0</v>
      </c>
      <c r="R9" s="2">
        <f>IFERROR(VLOOKUP(A9,[15]TONTAOUT24!$A$7:$P$20,10,0),0)</f>
        <v>0</v>
      </c>
      <c r="S9" s="20"/>
      <c r="T9" s="12"/>
      <c r="U9" s="17">
        <f t="shared" si="8"/>
        <v>240000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100000</v>
      </c>
      <c r="AL9" s="12"/>
      <c r="AM9" s="12"/>
      <c r="AN9" s="12">
        <v>1000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15000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100000</v>
      </c>
      <c r="AZ9" s="16">
        <f t="shared" si="13"/>
        <v>100000</v>
      </c>
      <c r="BA9" s="58"/>
      <c r="BB9" s="58"/>
      <c r="BC9" s="15"/>
      <c r="BD9" s="57">
        <f t="shared" si="14"/>
        <v>100000</v>
      </c>
      <c r="BE9" s="82" t="s">
        <v>186</v>
      </c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VLOOKUP(A10,[12]HISTOBQUEAOUT24!$A$6:$G$46,3,0)</f>
        <v>125000</v>
      </c>
      <c r="E10" s="9">
        <f>VLOOKUP(A10,[12]HISTOBQUEAOUT24!$A$6:$G$41,4,0)</f>
        <v>0</v>
      </c>
      <c r="F10" s="9">
        <f>VLOOKUP(A10,[12]HISTOBQUEAOUT24!$A$6:$G$41,5,0)</f>
        <v>0</v>
      </c>
      <c r="G10" s="5">
        <f t="shared" si="15"/>
        <v>0</v>
      </c>
      <c r="H10" s="10" t="str">
        <f t="shared" si="0"/>
        <v>BANQUE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VLOOKUP(A10,[13]TONTAOUT24!$A$6:$R$39,12,0)</f>
        <v>0</v>
      </c>
      <c r="Q10" s="2">
        <f>IFERROR(VLOOKUP(A10,[14]TONTAOUT24!$A$7:$P$23,10,0),0)</f>
        <v>0</v>
      </c>
      <c r="R10" s="2">
        <f>IFERROR(VLOOKUP(A10,[15]TONTAOUT24!$A$7:$P$20,10,0),0)</f>
        <v>0</v>
      </c>
      <c r="S10" s="20"/>
      <c r="T10" s="12"/>
      <c r="U10" s="17">
        <f t="shared" si="8"/>
        <v>125000</v>
      </c>
      <c r="V10" s="12"/>
      <c r="W10" s="12"/>
      <c r="X10" s="12"/>
      <c r="Y10" s="12"/>
      <c r="Z10" s="12"/>
      <c r="AA10" s="12"/>
      <c r="AB10" s="12"/>
      <c r="AC10" s="12">
        <v>2500</v>
      </c>
      <c r="AD10" s="12"/>
      <c r="AE10" s="12"/>
      <c r="AF10" s="12"/>
      <c r="AG10" s="12"/>
      <c r="AH10" s="12"/>
      <c r="AI10" s="12">
        <v>60000</v>
      </c>
      <c r="AJ10" s="12">
        <v>100000</v>
      </c>
      <c r="AK10" s="12"/>
      <c r="AL10" s="12">
        <v>1000</v>
      </c>
      <c r="AM10" s="12">
        <v>1000</v>
      </c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357500</v>
      </c>
      <c r="AX10" s="15">
        <f t="shared" si="11"/>
        <v>100000</v>
      </c>
      <c r="AY10" s="15">
        <f t="shared" si="12"/>
        <v>0</v>
      </c>
      <c r="AZ10" s="16">
        <f t="shared" si="13"/>
        <v>457500</v>
      </c>
      <c r="BA10" s="58">
        <v>40000</v>
      </c>
      <c r="BB10" s="58"/>
      <c r="BC10" s="15"/>
      <c r="BD10" s="57">
        <f t="shared" si="14"/>
        <v>417500</v>
      </c>
      <c r="BE10" s="82" t="s">
        <v>186</v>
      </c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-2000</v>
      </c>
      <c r="D11" s="9">
        <f>VLOOKUP(A11,[12]HISTOBQUEAOUT24!$A$6:$G$46,3,0)+169000</f>
        <v>294000</v>
      </c>
      <c r="E11" s="9">
        <f>VLOOKUP(A11,[12]HISTOBQUEAOUT24!$A$6:$G$41,4,0)</f>
        <v>0</v>
      </c>
      <c r="F11" s="9">
        <f>VLOOKUP(A11,[12]HISTOBQUEAOUT24!$A$6:$G$41,5,0)</f>
        <v>0</v>
      </c>
      <c r="G11" s="5">
        <f t="shared" si="15"/>
        <v>0</v>
      </c>
      <c r="H11" s="10" t="str">
        <f t="shared" si="0"/>
        <v>BANQUE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VLOOKUP(A11,[13]TONTAOUT24!$A$6:$R$39,12,0)</f>
        <v>0</v>
      </c>
      <c r="Q11" s="2">
        <f>IFERROR(VLOOKUP(A11,[14]TONTAOUT24!$A$7:$P$23,10,0),0)</f>
        <v>171000</v>
      </c>
      <c r="R11" s="2">
        <f>IFERROR(VLOOKUP(A11,[15]TONTAOUT24!$A$7:$P$20,10,0),0)</f>
        <v>0</v>
      </c>
      <c r="S11" s="20"/>
      <c r="T11" s="12"/>
      <c r="U11" s="17">
        <f t="shared" si="8"/>
        <v>296000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101500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101500</v>
      </c>
      <c r="AY11" s="15">
        <f t="shared" si="12"/>
        <v>0</v>
      </c>
      <c r="AZ11" s="16">
        <f t="shared" si="13"/>
        <v>101500</v>
      </c>
      <c r="BA11" s="58"/>
      <c r="BB11" s="58"/>
      <c r="BC11" s="15"/>
      <c r="BD11" s="57">
        <f>IF(AZ11=0,(AZ11-BA11-BC11),(AZ11-BA11-BB11-BC11))-101500</f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VLOOKUP(A12,[12]HISTOBQUEAOUT24!$A$6:$G$46,3,0)+101000</f>
        <v>431000</v>
      </c>
      <c r="E12" s="9">
        <f>VLOOKUP(A12,[12]HISTOBQUEAOUT24!$A$6:$G$41,4,0)</f>
        <v>0</v>
      </c>
      <c r="F12" s="9">
        <f>VLOOKUP(A12,[12]HISTOBQUEAOUT24!$A$6:$G$41,5,0)</f>
        <v>0</v>
      </c>
      <c r="G12" s="5">
        <f t="shared" si="15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VLOOKUP(A12,[13]TONTAOUT24!$A$6:$R$39,12,0)</f>
        <v>0</v>
      </c>
      <c r="Q12" s="2">
        <f>IFERROR(VLOOKUP(A12,[14]TONTAOUT24!$A$7:$P$23,10,0),0)</f>
        <v>0</v>
      </c>
      <c r="R12" s="2">
        <f>IFERROR(VLOOKUP(A12,[15]TONTAOUT24!$A$7:$P$20,10,0),0)</f>
        <v>101000</v>
      </c>
      <c r="S12" s="20"/>
      <c r="T12" s="12"/>
      <c r="U12" s="17">
        <f t="shared" si="8"/>
        <v>431000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200000</v>
      </c>
      <c r="AZ12" s="16">
        <f t="shared" si="13"/>
        <v>200000</v>
      </c>
      <c r="BA12" s="58"/>
      <c r="BB12" s="58"/>
      <c r="BC12" s="15"/>
      <c r="BD12" s="57">
        <f t="shared" si="14"/>
        <v>200000</v>
      </c>
      <c r="BE12" s="82" t="s">
        <v>186</v>
      </c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VLOOKUP(A13,[12]HISTOBQUEAOUT24!$A$6:$G$46,3,0)</f>
        <v>50000</v>
      </c>
      <c r="E13" s="9">
        <f>VLOOKUP(A13,[12]HISTOBQUEAOUT24!$A$6:$G$41,4,0)</f>
        <v>0</v>
      </c>
      <c r="F13" s="9">
        <f>VLOOKUP(A13,[12]HISTOBQUEAOUT24!$A$6:$G$41,5,0)</f>
        <v>0</v>
      </c>
      <c r="G13" s="5">
        <f t="shared" si="15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VLOOKUP(A13,[13]TONTAOUT24!$A$6:$R$39,12,0)</f>
        <v>0</v>
      </c>
      <c r="Q13" s="2">
        <f>IFERROR(VLOOKUP(A13,[14]TONTAOUT24!$A$7:$P$23,10,0),0)</f>
        <v>0</v>
      </c>
      <c r="R13" s="2">
        <f>IFERROR(VLOOKUP(A13,[15]TONTAOUT24!$A$7:$P$20,10,0),0)</f>
        <v>0</v>
      </c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VLOOKUP(A14,[12]HISTOBQUEAOUT24!$A$6:$G$46,3,0)</f>
        <v>50000</v>
      </c>
      <c r="E14" s="9">
        <f>VLOOKUP(A14,[12]HISTOBQUEAOUT24!$A$6:$G$41,4,0)</f>
        <v>0</v>
      </c>
      <c r="F14" s="9">
        <f>VLOOKUP(A14,[12]HISTOBQUEAOUT24!$A$6:$G$41,5,0)</f>
        <v>0</v>
      </c>
      <c r="G14" s="5">
        <f t="shared" si="15"/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VLOOKUP(A14,[13]TONTAOUT24!$A$6:$R$39,12,0)</f>
        <v>0</v>
      </c>
      <c r="Q14" s="2">
        <f>IFERROR(VLOOKUP(A14,[14]TONTAOUT24!$A$7:$P$23,10,0),0)</f>
        <v>0</v>
      </c>
      <c r="R14" s="2">
        <f>IFERROR(VLOOKUP(A14,[15]TONTAOUT24!$A$7:$P$20,10,0),0)</f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VLOOKUP(A15,[12]HISTOBQUEAOUT24!$A$6:$G$46,3,0)</f>
        <v>125000</v>
      </c>
      <c r="E15" s="9">
        <f>VLOOKUP(A15,[12]HISTOBQUEAOUT24!$A$6:$G$41,4,0)</f>
        <v>0</v>
      </c>
      <c r="F15" s="9">
        <f>VLOOKUP(A15,[12]HISTOBQUEAOUT24!$A$6:$G$41,5,0)</f>
        <v>0</v>
      </c>
      <c r="G15" s="5">
        <f t="shared" si="15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VLOOKUP(A15,[13]TONTAOUT24!$A$6:$R$39,12,0)</f>
        <v>0</v>
      </c>
      <c r="Q15" s="2">
        <f>IFERROR(VLOOKUP(A15,[14]TONTAOUT24!$A$7:$P$23,10,0),0)</f>
        <v>0</v>
      </c>
      <c r="R15" s="2">
        <f>IFERROR(VLOOKUP(A15,[15]TONTAOUT24!$A$7:$P$20,10,0),0)</f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VLOOKUP(A16,[12]HISTOBQUEAOUT24!$A$6:$G$46,3,0)+100000</f>
        <v>360000</v>
      </c>
      <c r="E16" s="9">
        <f>VLOOKUP(A16,[12]HISTOBQUEAOUT24!$A$6:$G$41,4,0)</f>
        <v>0</v>
      </c>
      <c r="F16" s="9">
        <f>VLOOKUP(A16,[12]HISTOBQUEAOUT24!$A$6:$G$41,5,0)</f>
        <v>0</v>
      </c>
      <c r="G16" s="5">
        <f t="shared" si="15"/>
        <v>0</v>
      </c>
      <c r="H16" s="10" t="str">
        <f t="shared" si="0"/>
        <v>BANQUE</v>
      </c>
      <c r="I16" s="10">
        <v>34000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VLOOKUP(A16,[13]TONTAOUT24!$A$6:$R$39,12,0)</f>
        <v>0</v>
      </c>
      <c r="Q16" s="2">
        <f>IFERROR(VLOOKUP(A16,[14]TONTAOUT24!$A$7:$P$23,10,0),0)</f>
        <v>0</v>
      </c>
      <c r="R16" s="2">
        <f>IFERROR(VLOOKUP(A16,[15]TONTAOUT24!$A$7:$P$20,10,0),0)</f>
        <v>101000</v>
      </c>
      <c r="S16" s="20"/>
      <c r="T16" s="12"/>
      <c r="U16" s="17">
        <f t="shared" si="8"/>
        <v>360000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v>200000</v>
      </c>
      <c r="AK16" s="12"/>
      <c r="AL16" s="12"/>
      <c r="AM16" s="12">
        <v>2000</v>
      </c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9"/>
        <v>59000</v>
      </c>
      <c r="AT16" s="15"/>
      <c r="AV16" s="15"/>
      <c r="AW16" s="15">
        <f t="shared" si="10"/>
        <v>0</v>
      </c>
      <c r="AX16" s="15">
        <f t="shared" si="11"/>
        <v>200000</v>
      </c>
      <c r="AY16" s="15">
        <f t="shared" si="12"/>
        <v>0</v>
      </c>
      <c r="AZ16" s="16">
        <f t="shared" si="13"/>
        <v>200000</v>
      </c>
      <c r="BA16" s="58"/>
      <c r="BB16" s="58"/>
      <c r="BC16" s="15"/>
      <c r="BD16" s="57">
        <f t="shared" si="14"/>
        <v>200000</v>
      </c>
      <c r="BE16" s="82" t="s">
        <v>186</v>
      </c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VLOOKUP(A17,[12]HISTOBQUEAOUT24!$A$6:$G$46,3,0)+50000</f>
        <v>200000</v>
      </c>
      <c r="E17" s="9">
        <f>VLOOKUP(A17,[12]HISTOBQUEAOUT24!$A$6:$G$41,4,0)</f>
        <v>0</v>
      </c>
      <c r="F17" s="9">
        <f>VLOOKUP(A17,[12]HISTOBQUEAOUT24!$A$6:$G$41,5,0)</f>
        <v>0</v>
      </c>
      <c r="G17" s="5">
        <f t="shared" si="15"/>
        <v>0</v>
      </c>
      <c r="H17" s="10" t="str">
        <f t="shared" si="0"/>
        <v>BANQUE</v>
      </c>
      <c r="I17" s="10">
        <v>-5000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VLOOKUP(A17,[13]TONTAOUT24!$A$6:$R$39,12,0)</f>
        <v>0</v>
      </c>
      <c r="Q17" s="2">
        <f>IFERROR(VLOOKUP(A17,[14]TONTAOUT24!$A$7:$P$23,10,0),0)</f>
        <v>0</v>
      </c>
      <c r="R17" s="2">
        <f>IFERROR(VLOOKUP(A17,[15]TONTAOUT24!$A$7:$P$20,10,0),0)</f>
        <v>55000</v>
      </c>
      <c r="S17" s="20"/>
      <c r="T17" s="12"/>
      <c r="U17" s="17">
        <f t="shared" si="8"/>
        <v>200000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>
        <v>30000</v>
      </c>
      <c r="AJ17" s="12"/>
      <c r="AK17" s="12">
        <v>200000</v>
      </c>
      <c r="AL17" s="12">
        <v>500</v>
      </c>
      <c r="AM17" s="12"/>
      <c r="AN17" s="12">
        <v>2000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20000</v>
      </c>
      <c r="AT17" s="15"/>
      <c r="AV17" s="15"/>
      <c r="AW17" s="15">
        <f t="shared" si="10"/>
        <v>30000</v>
      </c>
      <c r="AX17" s="15">
        <f t="shared" si="11"/>
        <v>0</v>
      </c>
      <c r="AY17" s="15">
        <f t="shared" si="12"/>
        <v>200000</v>
      </c>
      <c r="AZ17" s="16">
        <f t="shared" si="13"/>
        <v>230000</v>
      </c>
      <c r="BA17" s="58"/>
      <c r="BB17" s="58"/>
      <c r="BC17" s="15"/>
      <c r="BD17" s="57">
        <f t="shared" si="14"/>
        <v>230000</v>
      </c>
      <c r="BE17" s="82" t="s">
        <v>186</v>
      </c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-10000</v>
      </c>
      <c r="D18" s="9">
        <f>VLOOKUP(A18,[12]HISTOBQUEAOUT24!$A$6:$G$46,3,0)+110000+90000</f>
        <v>350000</v>
      </c>
      <c r="E18" s="9">
        <f>VLOOKUP(A18,[12]HISTOBQUEAOUT24!$A$6:$G$41,4,0)</f>
        <v>0</v>
      </c>
      <c r="F18" s="9">
        <f>VLOOKUP(A18,[12]HISTOBQUEAOUT24!$A$6:$G$41,5,0)</f>
        <v>0</v>
      </c>
      <c r="G18" s="5">
        <f t="shared" si="15"/>
        <v>0</v>
      </c>
      <c r="H18" s="10" t="str">
        <f t="shared" si="0"/>
        <v>BANQUE</v>
      </c>
      <c r="I18" s="10">
        <f>10000-2000</f>
        <v>8000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VLOOKUP(A18,[13]TONTAOUT24!$A$6:$R$39,12,0)</f>
        <v>0</v>
      </c>
      <c r="Q18" s="2">
        <f>IFERROR(VLOOKUP(A18,[14]TONTAOUT24!$A$7:$P$23,10,0),0)</f>
        <v>0</v>
      </c>
      <c r="R18" s="2">
        <f>IFERROR(VLOOKUP(A18,[15]TONTAOUT24!$A$7:$P$20,10,0),0)</f>
        <v>202000</v>
      </c>
      <c r="S18" s="20"/>
      <c r="T18" s="12"/>
      <c r="U18" s="17">
        <f t="shared" si="8"/>
        <v>360000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9"/>
        <v>33000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200000</v>
      </c>
      <c r="AZ18" s="16">
        <f t="shared" si="13"/>
        <v>200000</v>
      </c>
      <c r="BA18" s="58"/>
      <c r="BB18" s="58"/>
      <c r="BC18" s="15"/>
      <c r="BD18" s="57">
        <f t="shared" si="14"/>
        <v>200000</v>
      </c>
      <c r="BE18" s="82" t="s">
        <v>186</v>
      </c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VLOOKUP(A19,[12]HISTOBQUEAOUT24!$A$6:$G$46,3,0)</f>
        <v>50000</v>
      </c>
      <c r="E19" s="9">
        <f>VLOOKUP(A19,[12]HISTOBQUEAOUT24!$A$6:$G$41,4,0)</f>
        <v>0</v>
      </c>
      <c r="F19" s="9">
        <f>VLOOKUP(A19,[12]HISTOBQUEAOUT24!$A$6:$G$41,5,0)</f>
        <v>0</v>
      </c>
      <c r="G19" s="5">
        <f t="shared" si="15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VLOOKUP(A19,[13]TONTAOUT24!$A$6:$R$39,12,0)</f>
        <v>0</v>
      </c>
      <c r="Q19" s="2">
        <f>IFERROR(VLOOKUP(A19,[14]TONTAOUT24!$A$7:$P$23,10,0),0)</f>
        <v>0</v>
      </c>
      <c r="R19" s="2">
        <f>IFERROR(VLOOKUP(A19,[15]TONTAOUT24!$A$7:$P$20,10,0),0)</f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-101500</v>
      </c>
      <c r="D20" s="9">
        <f>VLOOKUP(A20,[12]HISTOBQUEAOUT24!$A$6:$G$46,3,0)+303000</f>
        <v>528000</v>
      </c>
      <c r="E20" s="9">
        <f>VLOOKUP(A20,[12]HISTOBQUEAOUT24!$A$6:$G$41,4,0)</f>
        <v>0</v>
      </c>
      <c r="F20" s="9">
        <f>VLOOKUP(A20,[12]HISTOBQUEAOUT24!$A$6:$G$41,5,0)</f>
        <v>0</v>
      </c>
      <c r="G20" s="5">
        <f t="shared" si="15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VLOOKUP(A20,[13]TONTAOUT24!$A$6:$R$39,12,0)</f>
        <v>0</v>
      </c>
      <c r="Q20" s="2">
        <f>IFERROR(VLOOKUP(A20,[14]TONTAOUT24!$A$7:$P$23,10,0),0)</f>
        <v>202500</v>
      </c>
      <c r="R20" s="2">
        <f>IFERROR(VLOOKUP(A20,[15]TONTAOUT24!$A$7:$P$20,10,0),0)</f>
        <v>202000</v>
      </c>
      <c r="S20" s="20"/>
      <c r="T20" s="12"/>
      <c r="U20" s="17">
        <f t="shared" si="8"/>
        <v>629500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200000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200000</v>
      </c>
      <c r="AY20" s="15">
        <f t="shared" si="12"/>
        <v>200000</v>
      </c>
      <c r="AZ20" s="16">
        <f t="shared" si="13"/>
        <v>400000</v>
      </c>
      <c r="BA20" s="58"/>
      <c r="BB20" s="58"/>
      <c r="BC20" s="15"/>
      <c r="BD20" s="57">
        <f t="shared" si="14"/>
        <v>400000</v>
      </c>
      <c r="BE20" s="82" t="s">
        <v>186</v>
      </c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VLOOKUP(A21,[12]HISTOBQUEAOUT24!$A$6:$G$46,3,0)</f>
        <v>50000</v>
      </c>
      <c r="E21" s="9">
        <f>VLOOKUP(A21,[12]HISTOBQUEAOUT24!$A$6:$G$41,4,0)</f>
        <v>0</v>
      </c>
      <c r="F21" s="9">
        <f>VLOOKUP(A21,[12]HISTOBQUEAOUT24!$A$6:$G$41,5,0)</f>
        <v>0</v>
      </c>
      <c r="G21" s="5">
        <f t="shared" si="15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VLOOKUP(A21,[13]TONTAOUT24!$A$6:$R$39,12,0)</f>
        <v>0</v>
      </c>
      <c r="Q21" s="2">
        <f>IFERROR(VLOOKUP(A21,[14]TONTAOUT24!$A$7:$P$23,10,0),0)</f>
        <v>0</v>
      </c>
      <c r="R21" s="2">
        <f>IFERROR(VLOOKUP(A21,[15]TONTAOUT24!$A$7:$P$20,10,0),0)</f>
        <v>0</v>
      </c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VLOOKUP(A22,[12]HISTOBQUEAOUT24!$A$6:$G$46,3,0)</f>
        <v>125000</v>
      </c>
      <c r="E22" s="9">
        <f>VLOOKUP(A22,[12]HISTOBQUEAOUT24!$A$6:$G$41,4,0)</f>
        <v>0</v>
      </c>
      <c r="F22" s="9">
        <f>VLOOKUP(A22,[12]HISTOBQUEAOUT24!$A$6:$G$41,5,0)</f>
        <v>0</v>
      </c>
      <c r="G22" s="5">
        <f t="shared" si="15"/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VLOOKUP(A22,[13]TONTAOUT24!$A$6:$R$39,12,0)</f>
        <v>0</v>
      </c>
      <c r="Q22" s="2">
        <f>IFERROR(VLOOKUP(A22,[14]TONTAOUT24!$A$7:$P$23,10,0),0)</f>
        <v>0</v>
      </c>
      <c r="R22" s="2">
        <f>IFERROR(VLOOKUP(A22,[15]TONTAOUT24!$A$7:$P$20,10,0),0)</f>
        <v>0</v>
      </c>
      <c r="S22" s="20"/>
      <c r="T22" s="12"/>
      <c r="U22" s="17">
        <f t="shared" si="8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VLOOKUP(A23,[12]HISTOBQUEAOUT24!$A$6:$G$46,3,0)+202000</f>
        <v>462000</v>
      </c>
      <c r="E23" s="9">
        <f>VLOOKUP(A23,[12]HISTOBQUEAOUT24!$A$6:$G$41,4,0)</f>
        <v>0</v>
      </c>
      <c r="F23" s="9">
        <f>VLOOKUP(A23,[12]HISTOBQUEAOUT24!$A$6:$G$41,5,0)</f>
        <v>0</v>
      </c>
      <c r="G23" s="5">
        <f t="shared" si="15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VLOOKUP(A23,[13]TONTAOUT24!$A$6:$R$39,12,0)</f>
        <v>0</v>
      </c>
      <c r="Q23" s="2">
        <f>IFERROR(VLOOKUP(A23,[14]TONTAOUT24!$A$7:$P$23,10,0),0)</f>
        <v>0</v>
      </c>
      <c r="R23" s="2">
        <f>IFERROR(VLOOKUP(A23,[15]TONTAOUT24!$A$7:$P$20,10,0),0)</f>
        <v>202000</v>
      </c>
      <c r="S23" s="20"/>
      <c r="T23" s="12"/>
      <c r="U23" s="17">
        <f t="shared" si="8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200000</v>
      </c>
      <c r="AZ23" s="16">
        <f t="shared" si="13"/>
        <v>200000</v>
      </c>
      <c r="BA23" s="58"/>
      <c r="BB23" s="58"/>
      <c r="BC23" s="15"/>
      <c r="BD23" s="57">
        <f t="shared" si="14"/>
        <v>200000</v>
      </c>
      <c r="BE23" s="82" t="s">
        <v>186</v>
      </c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VLOOKUP(A24,[12]HISTOBQUEAOUT24!$A$6:$G$46,3,0)+15000+202000</f>
        <v>442000</v>
      </c>
      <c r="E24" s="9">
        <f>VLOOKUP(A24,[12]HISTOBQUEAOUT24!$A$6:$G$41,4,0)</f>
        <v>0</v>
      </c>
      <c r="F24" s="9">
        <f>VLOOKUP(A24,[12]HISTOBQUEAOUT24!$A$6:$G$41,5,0)</f>
        <v>0</v>
      </c>
      <c r="G24" s="5">
        <f t="shared" si="15"/>
        <v>0</v>
      </c>
      <c r="H24" s="10" t="str">
        <f t="shared" si="0"/>
        <v>BANQUE</v>
      </c>
      <c r="I24" s="10">
        <f>15000-6000+6000</f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VLOOKUP(A24,[13]TONTAOUT24!$A$6:$R$39,12,0)</f>
        <v>0</v>
      </c>
      <c r="Q24" s="2">
        <f>IFERROR(VLOOKUP(A24,[14]TONTAOUT24!$A$7:$P$23,10,0),0)</f>
        <v>0</v>
      </c>
      <c r="R24" s="2">
        <f>IFERROR(VLOOKUP(A24,[15]TONTAOUT24!$A$7:$P$20,10,0),0)</f>
        <v>202000</v>
      </c>
      <c r="S24" s="20"/>
      <c r="T24" s="12"/>
      <c r="U24" s="17">
        <f t="shared" si="8"/>
        <v>442000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202000</v>
      </c>
      <c r="AL24" s="12"/>
      <c r="AM24" s="12"/>
      <c r="AN24" s="12">
        <v>4000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202000</v>
      </c>
      <c r="AZ24" s="16">
        <f t="shared" si="13"/>
        <v>202000</v>
      </c>
      <c r="BA24" s="58"/>
      <c r="BB24" s="58"/>
      <c r="BC24" s="15"/>
      <c r="BD24" s="57">
        <f>IF(AZ24=0,(AZ24-BA24-BC24),(AZ24-BA24-BB24-BC24))-202000</f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VLOOKUP(A25,[12]HISTOBQUEAOUT24!$A$6:$G$46,3,0)+230000</f>
        <v>605000</v>
      </c>
      <c r="E25" s="9">
        <f>VLOOKUP(A25,[12]HISTOBQUEAOUT24!$A$6:$G$41,4,0)</f>
        <v>0</v>
      </c>
      <c r="F25" s="9">
        <f>VLOOKUP(A25,[12]HISTOBQUEAOUT24!$A$6:$G$41,5,0)</f>
        <v>0</v>
      </c>
      <c r="G25" s="5">
        <f t="shared" si="15"/>
        <v>0</v>
      </c>
      <c r="H25" s="10" t="str">
        <f t="shared" si="0"/>
        <v>BANQUE</v>
      </c>
      <c r="I25" s="10">
        <f>-9500+6000</f>
        <v>-3500</v>
      </c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VLOOKUP(A25,[13]TONTAOUT24!$A$6:$R$39,12,0)</f>
        <v>31000</v>
      </c>
      <c r="Q25" s="2">
        <f>IFERROR(VLOOKUP(A25,[14]TONTAOUT24!$A$7:$P$23,10,0),0)</f>
        <v>101500</v>
      </c>
      <c r="R25" s="2">
        <f>IFERROR(VLOOKUP(A25,[15]TONTAOUT24!$A$7:$P$20,10,0),0)</f>
        <v>101000</v>
      </c>
      <c r="S25" s="20"/>
      <c r="T25" s="12"/>
      <c r="U25" s="17">
        <f t="shared" si="8"/>
        <v>605000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82000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21500</v>
      </c>
      <c r="AT25" s="15"/>
      <c r="AV25" s="15"/>
      <c r="AW25" s="15">
        <f t="shared" si="10"/>
        <v>0</v>
      </c>
      <c r="AX25" s="15">
        <f t="shared" si="11"/>
        <v>82000</v>
      </c>
      <c r="AY25" s="15">
        <f t="shared" si="12"/>
        <v>0</v>
      </c>
      <c r="AZ25" s="16">
        <f t="shared" si="13"/>
        <v>82000</v>
      </c>
      <c r="BA25" s="58"/>
      <c r="BB25" s="58"/>
      <c r="BC25" s="15"/>
      <c r="BD25" s="57">
        <f t="shared" si="14"/>
        <v>82000</v>
      </c>
      <c r="BE25" s="82" t="s">
        <v>186</v>
      </c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VLOOKUP(A26,[12]HISTOBQUEAOUT24!$A$6:$G$46,3,0)</f>
        <v>50000</v>
      </c>
      <c r="E26" s="9">
        <f>VLOOKUP(A26,[12]HISTOBQUEAOUT24!$A$6:$G$41,4,0)</f>
        <v>0</v>
      </c>
      <c r="F26" s="9">
        <f>VLOOKUP(A26,[12]HISTOBQUEAOUT24!$A$6:$G$41,5,0)</f>
        <v>0</v>
      </c>
      <c r="G26" s="5">
        <f t="shared" si="15"/>
        <v>0</v>
      </c>
      <c r="H26" s="10" t="str">
        <f t="shared" si="0"/>
        <v>BANQUE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VLOOKUP(A26,[13]TONTAOUT24!$A$6:$R$39,12,0)</f>
        <v>0</v>
      </c>
      <c r="Q26" s="2">
        <f>IFERROR(VLOOKUP(A26,[14]TONTAOUT24!$A$7:$P$23,10,0),0)</f>
        <v>0</v>
      </c>
      <c r="R26" s="2">
        <f>IFERROR(VLOOKUP(A26,[15]TONTAOUT24!$A$7:$P$20,10,0),0)</f>
        <v>0</v>
      </c>
      <c r="S26" s="20"/>
      <c r="T26" s="12"/>
      <c r="U26" s="17">
        <f t="shared" si="8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/>
      <c r="BB26" s="58"/>
      <c r="BC26" s="15"/>
      <c r="BD26" s="57">
        <f t="shared" si="14"/>
        <v>60000</v>
      </c>
      <c r="BE26" s="82" t="s">
        <v>186</v>
      </c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VLOOKUP(A27,[12]HISTOBQUEAOUT24!$A$6:$G$46,3,0)</f>
        <v>50000</v>
      </c>
      <c r="E27" s="9">
        <f>VLOOKUP(A27,[12]HISTOBQUEAOUT24!$A$6:$G$41,4,0)</f>
        <v>0</v>
      </c>
      <c r="F27" s="9">
        <f>VLOOKUP(A27,[12]HISTOBQUEAOUT24!$A$6:$G$41,5,0)</f>
        <v>0</v>
      </c>
      <c r="G27" s="5">
        <f t="shared" si="15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VLOOKUP(A27,[13]TONTAOUT24!$A$6:$R$39,12,0)</f>
        <v>0</v>
      </c>
      <c r="Q27" s="2">
        <f>IFERROR(VLOOKUP(A27,[14]TONTAOUT24!$A$7:$P$23,10,0),0)</f>
        <v>0</v>
      </c>
      <c r="R27" s="2">
        <f>IFERROR(VLOOKUP(A27,[15]TONTAOUT24!$A$7:$P$20,10,0),0)</f>
        <v>0</v>
      </c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100000</v>
      </c>
      <c r="BA27" s="58"/>
      <c r="BB27" s="58"/>
      <c r="BC27" s="15"/>
      <c r="BD27" s="57">
        <f t="shared" si="14"/>
        <v>100000</v>
      </c>
      <c r="BE27" s="82" t="s">
        <v>186</v>
      </c>
      <c r="BF27" s="29">
        <f t="shared" si="5"/>
        <v>0</v>
      </c>
      <c r="BG27" s="29">
        <v>4</v>
      </c>
      <c r="BH27" s="15"/>
      <c r="BI27" s="15"/>
      <c r="BJ27" s="15"/>
      <c r="BK27" s="15">
        <v>100000</v>
      </c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VLOOKUP(A28,[12]HISTOBQUEAOUT24!$A$6:$G$46,3,0)</f>
        <v>125000</v>
      </c>
      <c r="E28" s="9">
        <f>VLOOKUP(A28,[12]HISTOBQUEAOUT24!$A$6:$G$41,4,0)</f>
        <v>0</v>
      </c>
      <c r="F28" s="9">
        <f>VLOOKUP(A28,[12]HISTOBQUEAOUT24!$A$6:$G$41,5,0)</f>
        <v>0</v>
      </c>
      <c r="G28" s="5">
        <f t="shared" si="15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VLOOKUP(A28,[13]TONTAOUT24!$A$6:$R$39,12,0)</f>
        <v>0</v>
      </c>
      <c r="Q28" s="2">
        <f>IFERROR(VLOOKUP(A28,[14]TONTAOUT24!$A$7:$P$23,10,0),0)</f>
        <v>0</v>
      </c>
      <c r="R28" s="2">
        <f>IFERROR(VLOOKUP(A28,[15]TONTAOUT24!$A$7:$P$20,10,0),0)</f>
        <v>0</v>
      </c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297500</v>
      </c>
      <c r="AX28" s="15">
        <f t="shared" si="11"/>
        <v>892500</v>
      </c>
      <c r="AY28" s="15">
        <f t="shared" si="12"/>
        <v>0</v>
      </c>
      <c r="AZ28" s="16">
        <f t="shared" si="13"/>
        <v>1190000</v>
      </c>
      <c r="BA28" s="58"/>
      <c r="BB28" s="58"/>
      <c r="BC28" s="15"/>
      <c r="BD28" s="57">
        <f t="shared" si="14"/>
        <v>1190000</v>
      </c>
      <c r="BE28" s="82" t="s">
        <v>186</v>
      </c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VLOOKUP(A29,[12]HISTOBQUEAOUT24!$A$6:$G$46,3,0)+55000</f>
        <v>105000</v>
      </c>
      <c r="E29" s="9">
        <f>VLOOKUP(A29,[12]HISTOBQUEAOUT24!$A$6:$G$41,4,0)</f>
        <v>0</v>
      </c>
      <c r="F29" s="9">
        <f>VLOOKUP(A29,[12]HISTOBQUEAOUT24!$A$6:$G$41,5,0)</f>
        <v>0</v>
      </c>
      <c r="G29" s="5">
        <f t="shared" si="15"/>
        <v>0</v>
      </c>
      <c r="H29" s="10" t="str">
        <f t="shared" si="0"/>
        <v>BANQUE</v>
      </c>
      <c r="I29" s="10">
        <v>-1000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VLOOKUP(A29,[13]TONTAOUT24!$A$6:$R$39,12,0)</f>
        <v>56000</v>
      </c>
      <c r="Q29" s="2">
        <f>IFERROR(VLOOKUP(A29,[14]TONTAOUT24!$A$7:$P$23,10,0),0)</f>
        <v>0</v>
      </c>
      <c r="R29" s="2">
        <f>IFERROR(VLOOKUP(A29,[15]TONTAOUT24!$A$7:$P$20,10,0),0)</f>
        <v>0</v>
      </c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60000</v>
      </c>
      <c r="AJ29" s="12"/>
      <c r="AK29" s="12"/>
      <c r="AL29" s="12">
        <v>1000</v>
      </c>
      <c r="AM29" s="12"/>
      <c r="AN29" s="12"/>
      <c r="AO29" s="12"/>
      <c r="AP29" s="12" t="s">
        <v>8</v>
      </c>
      <c r="AQ29" s="8">
        <f t="shared" si="3"/>
        <v>0</v>
      </c>
      <c r="AR29" s="8">
        <f t="shared" si="4"/>
        <v>0</v>
      </c>
      <c r="AS29" s="13">
        <f t="shared" si="9"/>
        <v>24000</v>
      </c>
      <c r="AT29" s="15"/>
      <c r="AV29" s="15"/>
      <c r="AW29" s="15">
        <f t="shared" si="10"/>
        <v>60000</v>
      </c>
      <c r="AX29" s="15">
        <f t="shared" si="11"/>
        <v>0</v>
      </c>
      <c r="AY29" s="15">
        <f t="shared" si="12"/>
        <v>0</v>
      </c>
      <c r="AZ29" s="16">
        <f t="shared" si="13"/>
        <v>60000</v>
      </c>
      <c r="BA29" s="58"/>
      <c r="BB29" s="58"/>
      <c r="BC29" s="15"/>
      <c r="BD29" s="57">
        <f t="shared" si="14"/>
        <v>60000</v>
      </c>
      <c r="BE29" s="82" t="s">
        <v>186</v>
      </c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VLOOKUP(A30,[12]HISTOBQUEAOUT24!$A$6:$G$46,3,0)</f>
        <v>250000</v>
      </c>
      <c r="E30" s="9">
        <f>VLOOKUP(A30,[12]HISTOBQUEAOUT24!$A$6:$G$41,4,0)</f>
        <v>0</v>
      </c>
      <c r="F30" s="9">
        <f>VLOOKUP(A30,[12]HISTOBQUEAOUT24!$A$6:$G$41,5,0)</f>
        <v>0</v>
      </c>
      <c r="G30" s="5">
        <f t="shared" si="15"/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VLOOKUP(A30,[13]TONTAOUT24!$A$6:$R$39,12,0)</f>
        <v>0</v>
      </c>
      <c r="Q30" s="2">
        <f>IFERROR(VLOOKUP(A30,[14]TONTAOUT24!$A$7:$P$23,10,0),0)</f>
        <v>0</v>
      </c>
      <c r="R30" s="2">
        <f>IFERROR(VLOOKUP(A30,[15]TONTAOUT24!$A$7:$P$20,10,0),0)</f>
        <v>0</v>
      </c>
      <c r="S30" s="20"/>
      <c r="T30" s="12"/>
      <c r="U30" s="17">
        <f t="shared" si="8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VLOOKUP(A31,[12]HISTOBQUEAOUT24!$A$6:$G$46,3,0)</f>
        <v>150000</v>
      </c>
      <c r="E31" s="9">
        <f>VLOOKUP(A31,[12]HISTOBQUEAOUT24!$A$6:$G$41,4,0)</f>
        <v>0</v>
      </c>
      <c r="F31" s="9">
        <f>VLOOKUP(A31,[12]HISTOBQUEAOUT24!$A$6:$G$41,5,0)</f>
        <v>0</v>
      </c>
      <c r="G31" s="5">
        <f t="shared" si="15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VLOOKUP(A31,[13]TONTAOUT24!$A$6:$R$39,12,0)</f>
        <v>0</v>
      </c>
      <c r="Q31" s="2">
        <f>IFERROR(VLOOKUP(A31,[14]TONTAOUT24!$A$7:$P$23,10,0),0)</f>
        <v>0</v>
      </c>
      <c r="R31" s="2">
        <f>IFERROR(VLOOKUP(A31,[15]TONTAOUT24!$A$7:$P$20,10,0),0)</f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VLOOKUP(A32,[12]HISTOBQUEAOUT24!$A$6:$G$46,3,0)+101000</f>
        <v>226000</v>
      </c>
      <c r="E32" s="9">
        <f>VLOOKUP(A32,[12]HISTOBQUEAOUT24!$A$6:$G$41,4,0)</f>
        <v>0</v>
      </c>
      <c r="F32" s="9">
        <f>VLOOKUP(A32,[12]HISTOBQUEAOUT24!$A$6:$G$41,5,0)</f>
        <v>0</v>
      </c>
      <c r="G32" s="5">
        <f t="shared" si="15"/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VLOOKUP(A32,[13]TONTAOUT24!$A$6:$R$39,12,0)</f>
        <v>0</v>
      </c>
      <c r="Q32" s="2">
        <f>IFERROR(VLOOKUP(A32,[14]TONTAOUT24!$A$7:$P$23,10,0),0)</f>
        <v>101000</v>
      </c>
      <c r="R32" s="2">
        <f>IFERROR(VLOOKUP(A32,[15]TONTAOUT24!$A$7:$P$20,10,0),0)</f>
        <v>0</v>
      </c>
      <c r="S32" s="20"/>
      <c r="T32" s="12"/>
      <c r="U32" s="17">
        <f t="shared" si="8"/>
        <v>226000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200000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200000</v>
      </c>
      <c r="AY32" s="15">
        <f t="shared" si="12"/>
        <v>0</v>
      </c>
      <c r="AZ32" s="16">
        <f t="shared" si="13"/>
        <v>200000</v>
      </c>
      <c r="BA32" s="58"/>
      <c r="BB32" s="58"/>
      <c r="BC32" s="15"/>
      <c r="BD32" s="57">
        <f t="shared" si="14"/>
        <v>200000</v>
      </c>
      <c r="BE32" s="82" t="s">
        <v>186</v>
      </c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VLOOKUP(A33,[12]HISTOBQUEAOUT24!$A$6:$G$46,3,0)+10000</f>
        <v>160000</v>
      </c>
      <c r="E33" s="9">
        <f>VLOOKUP(A33,[12]HISTOBQUEAOUT24!$A$6:$G$41,4,0)</f>
        <v>0</v>
      </c>
      <c r="F33" s="9">
        <f>VLOOKUP(A33,[12]HISTOBQUEAOUT24!$A$6:$G$41,5,0)</f>
        <v>0</v>
      </c>
      <c r="G33" s="5">
        <f t="shared" si="15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VLOOKUP(A33,[13]TONTAOUT24!$A$6:$R$39,12,0)</f>
        <v>0</v>
      </c>
      <c r="Q33" s="2">
        <f>IFERROR(VLOOKUP(A33,[14]TONTAOUT24!$A$7:$P$23,10,0),0)</f>
        <v>0</v>
      </c>
      <c r="R33" s="2">
        <f>IFERROR(VLOOKUP(A33,[15]TONTAOUT24!$A$7:$P$20,10,0),0)</f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VLOOKUP(A34,[12]HISTOBQUEAOUT24!$A$6:$G$46,3,0)</f>
        <v>0</v>
      </c>
      <c r="E34" s="9">
        <f>VLOOKUP(A34,[12]HISTOBQUEAOUT24!$A$6:$G$41,4,0)</f>
        <v>0</v>
      </c>
      <c r="F34" s="9">
        <f>VLOOKUP(A34,[12]HISTOBQUEAOUT24!$A$6:$G$41,5,0)</f>
        <v>0</v>
      </c>
      <c r="G34" s="5">
        <f t="shared" si="15"/>
        <v>0</v>
      </c>
      <c r="H34" s="10" t="str">
        <f t="shared" si="0"/>
        <v>ECHEC</v>
      </c>
      <c r="I34" s="10"/>
      <c r="J34" s="11">
        <v>1</v>
      </c>
      <c r="K34" s="11">
        <f t="shared" si="7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VLOOKUP(A34,[13]TONTAOUT24!$A$6:$R$39,12,0)</f>
        <v>0</v>
      </c>
      <c r="Q34" s="2">
        <f>IFERROR(VLOOKUP(A34,[14]TONTAOUT24!$A$7:$P$23,10,0),0)</f>
        <v>0</v>
      </c>
      <c r="R34" s="2">
        <f>IFERROR(VLOOKUP(A34,[15]TONTAOUT24!$A$7:$P$20,10,0),0)</f>
        <v>0</v>
      </c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VLOOKUP(A35,[12]HISTOBQUEAOUT24!$A$6:$G$46,3,0)</f>
        <v>60000</v>
      </c>
      <c r="E35" s="9">
        <f>VLOOKUP(A35,[12]HISTOBQUEAOUT24!$A$6:$G$41,4,0)</f>
        <v>0</v>
      </c>
      <c r="F35" s="9">
        <f>VLOOKUP(A35,[12]HISTOBQUEAOUT24!$A$6:$G$41,5,0)</f>
        <v>0</v>
      </c>
      <c r="G35" s="5">
        <f t="shared" si="15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VLOOKUP(A35,[13]TONTAOUT24!$A$6:$R$39,12,0)</f>
        <v>0</v>
      </c>
      <c r="Q35" s="2">
        <f>IFERROR(VLOOKUP(A35,[14]TONTAOUT24!$A$7:$P$23,10,0),0)</f>
        <v>0</v>
      </c>
      <c r="R35" s="2">
        <f>IFERROR(VLOOKUP(A35,[15]TONTAOUT24!$A$7:$P$20,10,0),0)</f>
        <v>0</v>
      </c>
      <c r="S35" s="20"/>
      <c r="T35" s="12"/>
      <c r="U35" s="17">
        <f t="shared" si="8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VLOOKUP(A36,[12]HISTOBQUEAOUT24!$A$6:$G$46,3,0)</f>
        <v>50000</v>
      </c>
      <c r="E36" s="9">
        <f>VLOOKUP(A36,[12]HISTOBQUEAOUT24!$A$6:$G$41,4,0)</f>
        <v>0</v>
      </c>
      <c r="F36" s="9">
        <f>VLOOKUP(A36,[12]HISTOBQUEAOUT24!$A$6:$G$41,5,0)</f>
        <v>0</v>
      </c>
      <c r="G36" s="5">
        <f t="shared" si="15"/>
        <v>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VLOOKUP(A36,[13]TONTAOUT24!$A$6:$R$39,12,0)</f>
        <v>0</v>
      </c>
      <c r="Q36" s="2">
        <f>IFERROR(VLOOKUP(A36,[14]TONTAOUT24!$A$7:$P$23,10,0),0)</f>
        <v>0</v>
      </c>
      <c r="R36" s="2">
        <f>IFERROR(VLOOKUP(A36,[15]TONTAOUT24!$A$7:$P$20,10,0),0)</f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VLOOKUP(A37,[12]HISTOBQUEAOUT24!$A$6:$G$46,3,0)</f>
        <v>150000</v>
      </c>
      <c r="E37" s="9">
        <f>VLOOKUP(A37,[12]HISTOBQUEAOUT24!$A$6:$G$41,4,0)</f>
        <v>0</v>
      </c>
      <c r="F37" s="9">
        <f>VLOOKUP(A37,[12]HISTOBQUEAOUT24!$A$6:$G$41,5,0)</f>
        <v>0</v>
      </c>
      <c r="G37" s="5">
        <f t="shared" si="15"/>
        <v>0</v>
      </c>
      <c r="H37" s="10" t="str">
        <f t="shared" si="0"/>
        <v>BANQUE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VLOOKUP(A37,[13]TONTAOUT24!$A$6:$R$39,12,0)</f>
        <v>0</v>
      </c>
      <c r="Q37" s="2">
        <f>IFERROR(VLOOKUP(A37,[14]TONTAOUT24!$A$7:$P$23,10,0),0)</f>
        <v>0</v>
      </c>
      <c r="R37" s="2">
        <f>IFERROR(VLOOKUP(A37,[15]TONTAOUT24!$A$7:$P$20,10,0),0)</f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VLOOKUP(A38,[12]HISTOBQUEAOUT24!$A$6:$G$46,3,0)</f>
        <v>125000</v>
      </c>
      <c r="E38" s="9">
        <f>VLOOKUP(A38,[12]HISTOBQUEAOUT24!$A$6:$G$41,4,0)</f>
        <v>0</v>
      </c>
      <c r="F38" s="9">
        <f>VLOOKUP(A38,[12]HISTOBQUEAOUT24!$A$6:$G$41,5,0)</f>
        <v>0</v>
      </c>
      <c r="G38" s="5">
        <f t="shared" si="15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VLOOKUP(A38,[13]TONTAOUT24!$A$6:$R$39,12,0)</f>
        <v>0</v>
      </c>
      <c r="Q38" s="2">
        <f>IFERROR(VLOOKUP(A38,[14]TONTAOUT24!$A$7:$P$23,10,0),0)</f>
        <v>0</v>
      </c>
      <c r="R38" s="2">
        <f>IFERROR(VLOOKUP(A38,[15]TONTAOUT24!$A$7:$P$20,10,0),0)</f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ca="1" si="16">SUM(C6:C39)</f>
        <v>-103500</v>
      </c>
      <c r="D40" s="5">
        <f t="shared" si="16"/>
        <v>6348000</v>
      </c>
      <c r="E40" s="5">
        <f t="shared" si="16"/>
        <v>0</v>
      </c>
      <c r="F40" s="5">
        <f t="shared" si="16"/>
        <v>0</v>
      </c>
      <c r="G40" s="5">
        <f t="shared" si="16"/>
        <v>3000</v>
      </c>
      <c r="H40" s="5">
        <f t="shared" si="16"/>
        <v>0</v>
      </c>
      <c r="I40" s="5">
        <f t="shared" si="16"/>
        <v>69500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87000</v>
      </c>
      <c r="Q40" s="5">
        <f t="shared" si="16"/>
        <v>576000</v>
      </c>
      <c r="R40" s="5">
        <f t="shared" si="16"/>
        <v>1166000</v>
      </c>
      <c r="S40" s="5">
        <f t="shared" si="16"/>
        <v>0</v>
      </c>
      <c r="T40" s="5"/>
      <c r="U40" s="5">
        <f t="shared" ref="U40:AA40" ca="1" si="17">SUM(U6:U39)</f>
        <v>6451500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5000</v>
      </c>
      <c r="AD40" s="5">
        <f>SUM(AD6:AD39)</f>
        <v>7500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267000</v>
      </c>
      <c r="AJ40" s="5">
        <f t="shared" si="18"/>
        <v>883500</v>
      </c>
      <c r="AK40" s="5">
        <f t="shared" si="18"/>
        <v>1302000</v>
      </c>
      <c r="AL40" s="5">
        <f t="shared" si="18"/>
        <v>4500</v>
      </c>
      <c r="AM40" s="5">
        <f t="shared" si="18"/>
        <v>9000</v>
      </c>
      <c r="AN40" s="5">
        <f t="shared" si="18"/>
        <v>15000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844500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862000</v>
      </c>
      <c r="AX40" s="5">
        <f t="shared" si="18"/>
        <v>1776000</v>
      </c>
      <c r="AY40" s="5">
        <f t="shared" si="18"/>
        <v>1302000</v>
      </c>
      <c r="AZ40" s="5">
        <f t="shared" si="18"/>
        <v>4033750</v>
      </c>
      <c r="BA40" s="5">
        <f t="shared" si="18"/>
        <v>50000</v>
      </c>
      <c r="BB40" s="5">
        <f t="shared" si="18"/>
        <v>0</v>
      </c>
      <c r="BC40" s="5">
        <f t="shared" si="18"/>
        <v>0</v>
      </c>
      <c r="BD40" s="5">
        <f t="shared" si="18"/>
        <v>3680250</v>
      </c>
      <c r="BE40" s="5">
        <f t="shared" si="18"/>
        <v>0</v>
      </c>
      <c r="BF40" s="5">
        <f t="shared" si="18"/>
        <v>20000</v>
      </c>
      <c r="BH40" s="5">
        <f t="shared" ref="BH40:BL40" si="19">SUM(BH6:BH39)</f>
        <v>6000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7750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  <c r="BD42" s="5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4033750</v>
      </c>
      <c r="D47" s="9">
        <f>SUMIFS(D8:D40,H8:H40,"BANQUE")</f>
        <v>6123000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8004500</v>
      </c>
    </row>
  </sheetData>
  <autoFilter ref="A5:AF38" xr:uid="{00000000-0009-0000-0000-00000B000000}"/>
  <mergeCells count="1">
    <mergeCell ref="B4:M4"/>
  </mergeCells>
  <dataValidations count="1">
    <dataValidation type="list" allowBlank="1" showInputMessage="1" showErrorMessage="1" sqref="T6:T38 AA6:AA38 AF6:AF38 AP6:AP38" xr:uid="{00000000-0002-0000-0B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85"/>
  <sheetViews>
    <sheetView zoomScaleNormal="100" workbookViewId="0">
      <pane xSplit="4" ySplit="5" topLeftCell="F30" activePane="bottomRight" state="frozen"/>
      <selection pane="topRight" activeCell="E1" sqref="E1"/>
      <selection pane="bottomLeft" activeCell="A6" sqref="A6"/>
      <selection pane="bottomRight" activeCell="I33" sqref="I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70" x14ac:dyDescent="0.35">
      <c r="A1" s="1" t="s">
        <v>2</v>
      </c>
      <c r="B1" s="1" t="s">
        <v>3</v>
      </c>
      <c r="C1" s="1"/>
    </row>
    <row r="2" spans="1:70" x14ac:dyDescent="0.35">
      <c r="A2" s="1" t="s">
        <v>4</v>
      </c>
      <c r="B2" s="1">
        <v>2024</v>
      </c>
      <c r="C2" s="1"/>
    </row>
    <row r="3" spans="1:70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0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0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209</v>
      </c>
    </row>
    <row r="6" spans="1:70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0</v>
      </c>
      <c r="D6" s="9">
        <f>VLOOKUP(A6,[12]HISTOBQUESEPT24!$A$6:$G$46,3,0)</f>
        <v>175000</v>
      </c>
      <c r="E6" s="9">
        <f>VLOOKUP(A6,[12]HISTOBQUESEPT24!$A$6:$G$41,4,0)</f>
        <v>0</v>
      </c>
      <c r="F6" s="9">
        <f>VLOOKUP(A6,[12]HISTOBQUESEPT24!$A$6:$G$41,5,0)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IFERROR(CHERCHEV(A6,[13]TONTSEPT24!$A$6:$R$39,12,0),0)</f>
        <v>0</v>
      </c>
      <c r="Q6" s="2">
        <f>IFERROR(VLOOKUP(A6,[14]TONTSEPT24!$A$7:$P$23,10,0),0)</f>
        <v>0</v>
      </c>
      <c r="R6" s="2">
        <f>IFERROR(VLOOKUP(A6,[15]TONTSEPT24!$A$7:$P$20,10,0),0)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6000</v>
      </c>
      <c r="BA6" s="58"/>
      <c r="BB6" s="58"/>
      <c r="BC6" s="15"/>
      <c r="BD6" s="57">
        <f>IF(AZ6=0,(AZ6-BA6-BC6),(AZ6-BA6-BB6-BC6))</f>
        <v>6000</v>
      </c>
      <c r="BE6" s="82" t="s">
        <v>186</v>
      </c>
      <c r="BF6" s="29">
        <f t="shared" ref="BF6:BF38" si="5">Z6*1/100*BG6</f>
        <v>0</v>
      </c>
      <c r="BG6" s="29">
        <v>3</v>
      </c>
      <c r="BH6" s="15">
        <f>BQ16</f>
        <v>6000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70" ht="18.5" x14ac:dyDescent="0.45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VLOOKUP(A7,[12]HISTOBQUESEPT24!$A$6:$G$46,3,0)</f>
        <v>0</v>
      </c>
      <c r="E7" s="9">
        <f>VLOOKUP(A7,[12]HISTOBQUESEPT24!$A$6:$G$41,4,0)</f>
        <v>110000</v>
      </c>
      <c r="F7" s="9">
        <f>VLOOKUP(A7,[12]HISTOBQUESEPT24!$A$6:$G$41,5,0)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-1000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VLOOKUP(A7,[13]TONTSEPT24!$A$6:$R$39,12,0)</f>
        <v>58000</v>
      </c>
      <c r="Q7" s="2">
        <f>IFERROR(VLOOKUP(A7,[14]TONTSEPT24!$A$7:$P$23,10,0),0)</f>
        <v>0</v>
      </c>
      <c r="R7" s="2">
        <f>IFERROR(VLOOKUP(A7,[15]TONTSEPT24!$A$7:$P$20,10,0),0)</f>
        <v>0</v>
      </c>
      <c r="S7" s="20"/>
      <c r="T7" s="12"/>
      <c r="U7" s="17">
        <f t="shared" ref="U7:U38" si="9">G7+S7++R7+P7+O7+M7+I7+K7+Q7+V7+W7</f>
        <v>110000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24000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70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VLOOKUP(A8,[12]HISTOBQUESEPT24!$A$6:$G$46,3,0)</f>
        <v>0</v>
      </c>
      <c r="E8" s="9">
        <f>VLOOKUP(A8,[12]HISTOBQUESEPT24!$A$6:$G$41,4,0)</f>
        <v>128000</v>
      </c>
      <c r="F8" s="9">
        <f>VLOOKUP(A8,[12]HISTOBQUESEPT24!$A$6:$G$41,5,0)</f>
        <v>0</v>
      </c>
      <c r="G8" s="5">
        <f t="shared" si="7"/>
        <v>3000</v>
      </c>
      <c r="H8" s="10" t="str">
        <f t="shared" si="0"/>
        <v>ESPECES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VLOOKUP(A8,[13]TONTSEPT24!$A$6:$R$39,12,0)</f>
        <v>0</v>
      </c>
      <c r="Q8" s="2">
        <f>IFERROR(VLOOKUP(A8,[14]TONTSEPT24!$A$7:$P$23,10,0),0)</f>
        <v>0</v>
      </c>
      <c r="R8" s="2">
        <f>IFERROR(VLOOKUP(A8,[15]TONTSEPT24!$A$7:$P$20,10,0),0)</f>
        <v>0</v>
      </c>
      <c r="S8" s="20"/>
      <c r="T8" s="12"/>
      <c r="U8" s="17">
        <f t="shared" si="9"/>
        <v>128000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892500</v>
      </c>
      <c r="AY8" s="15">
        <f t="shared" si="13"/>
        <v>0</v>
      </c>
      <c r="AZ8" s="16">
        <f t="shared" si="14"/>
        <v>892500</v>
      </c>
      <c r="BA8" s="58"/>
      <c r="BB8" s="58"/>
      <c r="BC8" s="15"/>
      <c r="BD8" s="57">
        <f t="shared" si="15"/>
        <v>892500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70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VLOOKUP(A9,[12]HISTOBQUESEPT24!$A$6:$G$46,3,0)+106000</f>
        <v>356000</v>
      </c>
      <c r="E9" s="9">
        <f>VLOOKUP(A9,[12]HISTOBQUESEPT24!$A$6:$G$41,4,0)</f>
        <v>0</v>
      </c>
      <c r="F9" s="9">
        <f>VLOOKUP(A9,[12]HISTOBQUESEPT24!$A$6:$G$41,5,0)</f>
        <v>0</v>
      </c>
      <c r="G9" s="5">
        <f t="shared" si="7"/>
        <v>0</v>
      </c>
      <c r="H9" s="10" t="str">
        <f t="shared" si="0"/>
        <v>BANQUE</v>
      </c>
      <c r="I9" s="10">
        <v>5000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VLOOKUP(A9,[13]TONTSEPT24!$A$6:$R$39,12,0)</f>
        <v>0</v>
      </c>
      <c r="Q9" s="2">
        <f>IFERROR(VLOOKUP(A9,[14]TONTSEPT24!$A$7:$P$23,10,0),0)</f>
        <v>0</v>
      </c>
      <c r="R9" s="2">
        <f>IFERROR(VLOOKUP(A9,[15]TONTSEPT24!$A$7:$P$20,10,0),0)</f>
        <v>101000</v>
      </c>
      <c r="S9" s="20"/>
      <c r="T9" s="12"/>
      <c r="U9" s="17">
        <f t="shared" si="9"/>
        <v>356000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3000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30000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200000</v>
      </c>
      <c r="AZ9" s="16">
        <f t="shared" si="14"/>
        <v>200000</v>
      </c>
      <c r="BA9" s="58"/>
      <c r="BB9" s="58"/>
      <c r="BC9" s="15"/>
      <c r="BD9" s="57">
        <f t="shared" si="15"/>
        <v>200000</v>
      </c>
      <c r="BE9" s="82" t="s">
        <v>186</v>
      </c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70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VLOOKUP(A10,[12]HISTOBQUESEPT24!$A$6:$G$46,3,0)</f>
        <v>0</v>
      </c>
      <c r="E10" s="9">
        <f>VLOOKUP(A10,[12]HISTOBQUESEPT24!$A$6:$G$41,4,0)</f>
        <v>290000</v>
      </c>
      <c r="F10" s="9">
        <f>VLOOKUP(A10,[12]HISTOBQUESEPT24!$A$6:$G$41,5,0)</f>
        <v>0</v>
      </c>
      <c r="G10" s="5">
        <f t="shared" si="7"/>
        <v>3000</v>
      </c>
      <c r="H10" s="10" t="str">
        <f t="shared" si="0"/>
        <v>ESPECES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VLOOKUP(A10,[13]TONTSEPT24!$A$6:$R$39,12,0)</f>
        <v>61000</v>
      </c>
      <c r="Q10" s="2">
        <f>IFERROR(VLOOKUP(A10,[14]TONTSEPT24!$A$7:$P$23,10,0),0)</f>
        <v>101000</v>
      </c>
      <c r="R10" s="2">
        <f>IFERROR(VLOOKUP(A10,[15]TONTSEPT24!$A$7:$P$20,10,0),0)</f>
        <v>0</v>
      </c>
      <c r="S10" s="20"/>
      <c r="T10" s="12"/>
      <c r="U10" s="17">
        <f t="shared" si="9"/>
        <v>290000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>
        <v>50000</v>
      </c>
      <c r="AK10" s="12"/>
      <c r="AL10" s="12">
        <v>1000</v>
      </c>
      <c r="AM10" s="12">
        <v>1000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50000</v>
      </c>
      <c r="AY10" s="15">
        <f t="shared" si="13"/>
        <v>0</v>
      </c>
      <c r="AZ10" s="16">
        <f t="shared" si="14"/>
        <v>110000</v>
      </c>
      <c r="BA10" s="58">
        <v>110000</v>
      </c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70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VLOOKUP(A11,[12]HISTOBQUESEPT24!$A$6:$G$46,3,0)+105000</f>
        <v>230000</v>
      </c>
      <c r="E11" s="9">
        <f>VLOOKUP(A11,[12]HISTOBQUESEPT24!$A$6:$G$41,4,0)</f>
        <v>0</v>
      </c>
      <c r="F11" s="9">
        <f>VLOOKUP(A11,[12]HISTOBQUESEPT24!$A$6:$G$41,5,0)</f>
        <v>0</v>
      </c>
      <c r="G11" s="5">
        <f t="shared" si="7"/>
        <v>0</v>
      </c>
      <c r="H11" s="10" t="str">
        <f t="shared" si="0"/>
        <v>BANQUE</v>
      </c>
      <c r="I11" s="10">
        <v>2500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VLOOKUP(A11,[13]TONTSEPT24!$A$6:$R$39,12,0)</f>
        <v>0</v>
      </c>
      <c r="Q11" s="2">
        <f>IFERROR(VLOOKUP(A11,[14]TONTSEPT24!$A$7:$P$23,10,0),0)</f>
        <v>102500</v>
      </c>
      <c r="R11" s="2">
        <f>IFERROR(VLOOKUP(A11,[15]TONTSEPT24!$A$7:$P$20,10,0),0)</f>
        <v>0</v>
      </c>
      <c r="S11" s="20"/>
      <c r="T11" s="12"/>
      <c r="U11" s="17">
        <f t="shared" si="9"/>
        <v>230000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50000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27500</v>
      </c>
      <c r="AT11" s="15"/>
      <c r="AV11" s="15"/>
      <c r="AW11" s="15">
        <f t="shared" si="11"/>
        <v>0</v>
      </c>
      <c r="AX11" s="15">
        <f t="shared" si="12"/>
        <v>50000</v>
      </c>
      <c r="AY11" s="15">
        <f t="shared" si="13"/>
        <v>0</v>
      </c>
      <c r="AZ11" s="16">
        <f t="shared" si="14"/>
        <v>50000</v>
      </c>
      <c r="BA11" s="58">
        <v>50000</v>
      </c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70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VLOOKUP(A12,[12]HISTOBQUESEPT24!$A$6:$G$46,3,0)+202000</f>
        <v>532000</v>
      </c>
      <c r="E12" s="9">
        <f>VLOOKUP(A12,[12]HISTOBQUESEPT24!$A$6:$G$41,4,0)</f>
        <v>0</v>
      </c>
      <c r="F12" s="9">
        <f>VLOOKUP(A12,[12]HISTOBQUESEPT24!$A$6:$G$41,5,0)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VLOOKUP(A12,[13]TONTSEPT24!$A$6:$R$39,12,0)</f>
        <v>0</v>
      </c>
      <c r="Q12" s="2">
        <f>IFERROR(VLOOKUP(A12,[14]TONTSEPT24!$A$7:$P$23,10,0),0)</f>
        <v>0</v>
      </c>
      <c r="R12" s="2">
        <f>IFERROR(VLOOKUP(A12,[15]TONTSEPT24!$A$7:$P$20,10,0),0)</f>
        <v>202000</v>
      </c>
      <c r="S12" s="20"/>
      <c r="T12" s="12"/>
      <c r="U12" s="17">
        <f t="shared" si="9"/>
        <v>532000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3000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200000</v>
      </c>
      <c r="AZ12" s="16">
        <f t="shared" si="14"/>
        <v>200000</v>
      </c>
      <c r="BA12" s="58"/>
      <c r="BB12" s="58"/>
      <c r="BC12" s="15"/>
      <c r="BD12" s="57">
        <f t="shared" si="15"/>
        <v>200000</v>
      </c>
      <c r="BE12" s="82" t="s">
        <v>186</v>
      </c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70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VLOOKUP(A13,[12]HISTOBQUESEPT24!$A$6:$G$46,3,0)</f>
        <v>50000</v>
      </c>
      <c r="E13" s="9">
        <f>VLOOKUP(A13,[12]HISTOBQUESEPT24!$A$6:$G$41,4,0)</f>
        <v>0</v>
      </c>
      <c r="F13" s="9">
        <f>VLOOKUP(A13,[12]HISTOBQUESEPT24!$A$6:$G$41,5,0)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VLOOKUP(A13,[13]TONTSEPT24!$A$6:$R$39,12,0)</f>
        <v>0</v>
      </c>
      <c r="Q13" s="2">
        <f>IFERROR(VLOOKUP(A13,[14]TONTSEPT24!$A$7:$P$23,10,0),0)</f>
        <v>0</v>
      </c>
      <c r="R13" s="2">
        <f>IFERROR(VLOOKUP(A13,[15]TONTSEPT24!$A$7:$P$20,10,0),0)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70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VLOOKUP(A14,[12]HISTOBQUESEPT24!$A$6:$G$46,3,0)</f>
        <v>50000</v>
      </c>
      <c r="E14" s="9">
        <f>VLOOKUP(A14,[12]HISTOBQUESEPT24!$A$6:$G$41,4,0)</f>
        <v>0</v>
      </c>
      <c r="F14" s="9">
        <f>VLOOKUP(A14,[12]HISTOBQUESEPT24!$A$6:$G$41,5,0)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VLOOKUP(A14,[13]TONTSEPT24!$A$6:$R$39,12,0)</f>
        <v>0</v>
      </c>
      <c r="Q14" s="2">
        <f>IFERROR(VLOOKUP(A14,[14]TONTSEPT24!$A$7:$P$23,10,0),0)</f>
        <v>0</v>
      </c>
      <c r="R14" s="2">
        <f>IFERROR(VLOOKUP(A14,[15]TONTSEPT24!$A$7:$P$20,10,0),0)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70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VLOOKUP(A15,[12]HISTOBQUESEPT24!$A$6:$G$46,3,0)</f>
        <v>125000</v>
      </c>
      <c r="E15" s="9">
        <f>VLOOKUP(A15,[12]HISTOBQUESEPT24!$A$6:$G$41,4,0)</f>
        <v>0</v>
      </c>
      <c r="F15" s="9">
        <f>VLOOKUP(A15,[12]HISTOBQUESEPT24!$A$6:$G$41,5,0)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VLOOKUP(A15,[13]TONTSEPT24!$A$6:$R$39,12,0)</f>
        <v>0</v>
      </c>
      <c r="Q15" s="2">
        <f>IFERROR(VLOOKUP(A15,[14]TONTSEPT24!$A$7:$P$23,10,0),0)</f>
        <v>0</v>
      </c>
      <c r="R15" s="2">
        <f>IFERROR(VLOOKUP(A15,[15]TONTSEPT24!$A$7:$P$20,10,0),0)</f>
        <v>0</v>
      </c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Q15" s="6"/>
    </row>
    <row r="16" spans="1:70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VLOOKUP(A16,[12]HISTOBQUESEPT24!$A$6:$G$46,3,0)+202000</f>
        <v>452000</v>
      </c>
      <c r="E16" s="9">
        <f>VLOOKUP(A16,[12]HISTOBQUESEPT24!$A$6:$G$41,4,0)</f>
        <v>0</v>
      </c>
      <c r="F16" s="9">
        <f>VLOOKUP(A16,[12]HISTOBQUESEPT24!$A$6:$G$41,5,0)</f>
        <v>0</v>
      </c>
      <c r="G16" s="5">
        <f t="shared" si="7"/>
        <v>0</v>
      </c>
      <c r="H16" s="10" t="str">
        <f t="shared" si="0"/>
        <v>BANQUE</v>
      </c>
      <c r="I16" s="10">
        <v>25000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VLOOKUP(A16,[13]TONTSEPT24!$A$6:$R$39,12,0)</f>
        <v>0</v>
      </c>
      <c r="Q16" s="2">
        <f>IFERROR(VLOOKUP(A16,[14]TONTSEPT24!$A$7:$P$23,10,0),0)</f>
        <v>202000</v>
      </c>
      <c r="R16" s="2">
        <f>IFERROR(VLOOKUP(A16,[15]TONTSEPT24!$A$7:$P$20,10,0),0)</f>
        <v>0</v>
      </c>
      <c r="S16" s="20"/>
      <c r="T16" s="12"/>
      <c r="U16" s="17">
        <f t="shared" si="9"/>
        <v>452000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3500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50000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200000</v>
      </c>
      <c r="AZ16" s="16">
        <f t="shared" si="14"/>
        <v>1180000</v>
      </c>
      <c r="BA16" s="58"/>
      <c r="BB16" s="58"/>
      <c r="BC16" s="15"/>
      <c r="BD16" s="57">
        <f t="shared" si="15"/>
        <v>1180000</v>
      </c>
      <c r="BE16" s="82" t="s">
        <v>186</v>
      </c>
      <c r="BF16" s="29">
        <f t="shared" si="5"/>
        <v>20000</v>
      </c>
      <c r="BG16" s="29">
        <v>2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70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VLOOKUP(A17,[12]HISTOBQUESEPT24!$A$6:$G$46,3,0)+20000</f>
        <v>170000</v>
      </c>
      <c r="E17" s="9">
        <f>VLOOKUP(A17,[12]HISTOBQUESEPT24!$A$6:$G$41,4,0)</f>
        <v>210000</v>
      </c>
      <c r="F17" s="9">
        <f>VLOOKUP(A17,[12]HISTOBQUESEPT24!$A$6:$G$41,5,0)</f>
        <v>0</v>
      </c>
      <c r="G17" s="5">
        <f>IF(H17="ESPECES",3000,0)+3000</f>
        <v>3000</v>
      </c>
      <c r="H17" s="10" t="str">
        <f t="shared" si="0"/>
        <v>BANQUE</v>
      </c>
      <c r="I17" s="10">
        <v>-5500</v>
      </c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VLOOKUP(A17,[13]TONTSEPT24!$A$6:$R$39,12,0)</f>
        <v>30500</v>
      </c>
      <c r="Q17" s="2">
        <f>IFERROR(VLOOKUP(A17,[14]TONTSEPT24!$A$7:$P$23,10,0),0)</f>
        <v>0</v>
      </c>
      <c r="R17" s="2">
        <f>IFERROR(VLOOKUP(A17,[15]TONTSEPT24!$A$7:$P$20,10,0),0)</f>
        <v>202000</v>
      </c>
      <c r="S17" s="20"/>
      <c r="T17" s="12"/>
      <c r="U17" s="17">
        <f t="shared" si="9"/>
        <v>380000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2500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0"/>
        <v>19500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200000</v>
      </c>
      <c r="AZ17" s="16">
        <f t="shared" si="14"/>
        <v>200000</v>
      </c>
      <c r="BA17" s="58">
        <v>200000</v>
      </c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O17" s="62"/>
      <c r="BQ17" s="6"/>
    </row>
    <row r="18" spans="1:70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VLOOKUP(A18,[12]HISTOBQUESEPT24!$A$6:$G$46,3,0)+212000</f>
        <v>362000</v>
      </c>
      <c r="E18" s="9">
        <f>VLOOKUP(A18,[12]HISTOBQUESEPT24!$A$6:$G$41,4,0)</f>
        <v>0</v>
      </c>
      <c r="F18" s="9">
        <f>VLOOKUP(A18,[12]HISTOBQUESEPT24!$A$6:$G$41,5,0)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VLOOKUP(A18,[13]TONTSEPT24!$A$6:$R$39,12,0)</f>
        <v>0</v>
      </c>
      <c r="Q18" s="2">
        <f>IFERROR(VLOOKUP(A18,[14]TONTSEPT24!$A$7:$P$23,10,0),0)</f>
        <v>0</v>
      </c>
      <c r="R18" s="2">
        <f>IFERROR(VLOOKUP(A18,[15]TONTSEPT24!$A$7:$P$20,10,0),0)</f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100000</v>
      </c>
      <c r="AZ18" s="16">
        <f t="shared" si="14"/>
        <v>100000</v>
      </c>
      <c r="BA18" s="58">
        <v>100000</v>
      </c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70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VLOOKUP(A19,[12]HISTOBQUESEPT24!$A$6:$G$46,3,0)</f>
        <v>50000</v>
      </c>
      <c r="E19" s="9">
        <f>VLOOKUP(A19,[12]HISTOBQUESEPT24!$A$6:$G$41,4,0)</f>
        <v>0</v>
      </c>
      <c r="F19" s="9">
        <f>VLOOKUP(A19,[12]HISTOBQUESEPT24!$A$6:$G$41,5,0)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VLOOKUP(A19,[13]TONTSEPT24!$A$6:$R$39,12,0)</f>
        <v>0</v>
      </c>
      <c r="Q19" s="2">
        <f>IFERROR(VLOOKUP(A19,[14]TONTSEPT24!$A$7:$P$23,10,0),0)</f>
        <v>0</v>
      </c>
      <c r="R19" s="2">
        <f>IFERROR(VLOOKUP(A19,[15]TONTSEPT24!$A$7:$P$20,10,0),0)</f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Q19" s="6"/>
    </row>
    <row r="20" spans="1:70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VLOOKUP(A20,[12]HISTOBQUESEPT24!$A$6:$G$46,3,0)+202000+202000</f>
        <v>629000</v>
      </c>
      <c r="E20" s="9">
        <f>VLOOKUP(A20,[12]HISTOBQUESEPT24!$A$6:$G$41,4,0)</f>
        <v>0</v>
      </c>
      <c r="F20" s="9">
        <f>VLOOKUP(A20,[12]HISTOBQUESEPT24!$A$6:$G$41,5,0)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VLOOKUP(A20,[13]TONTSEPT24!$A$6:$R$39,12,0)</f>
        <v>0</v>
      </c>
      <c r="Q20" s="2">
        <f>IFERROR(VLOOKUP(A20,[14]TONTSEPT24!$A$7:$P$23,10,0),0)</f>
        <v>202000</v>
      </c>
      <c r="R20" s="2">
        <f>IFERROR(VLOOKUP(A20,[15]TONTSEPT24!$A$7:$P$20,10,0),0)</f>
        <v>202000</v>
      </c>
      <c r="S20" s="20"/>
      <c r="T20" s="12"/>
      <c r="U20" s="17">
        <f t="shared" si="9"/>
        <v>629000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50000</v>
      </c>
      <c r="AK20" s="12">
        <v>200000</v>
      </c>
      <c r="AL20" s="12">
        <v>1000</v>
      </c>
      <c r="AM20" s="12">
        <v>1000</v>
      </c>
      <c r="AN20" s="12">
        <v>2500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60000</v>
      </c>
      <c r="AX20" s="15">
        <f t="shared" si="12"/>
        <v>50000</v>
      </c>
      <c r="AY20" s="15">
        <f t="shared" si="13"/>
        <v>200000</v>
      </c>
      <c r="AZ20" s="16">
        <f t="shared" si="14"/>
        <v>310000</v>
      </c>
      <c r="BA20" s="58">
        <v>150000</v>
      </c>
      <c r="BB20" s="58"/>
      <c r="BC20" s="15"/>
      <c r="BD20" s="57">
        <f t="shared" si="15"/>
        <v>160000</v>
      </c>
      <c r="BE20" s="82" t="s">
        <v>186</v>
      </c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Q20" s="6"/>
    </row>
    <row r="21" spans="1:70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VLOOKUP(A21,[12]HISTOBQUESEPT24!$A$6:$G$46,3,0)</f>
        <v>50000</v>
      </c>
      <c r="E21" s="9">
        <f>VLOOKUP(A21,[12]HISTOBQUESEPT24!$A$6:$G$41,4,0)</f>
        <v>0</v>
      </c>
      <c r="F21" s="9">
        <f>VLOOKUP(A21,[12]HISTOBQUESEPT24!$A$6:$G$41,5,0)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VLOOKUP(A21,[13]TONTSEPT24!$A$6:$R$39,12,0)</f>
        <v>0</v>
      </c>
      <c r="Q21" s="2">
        <f>IFERROR(VLOOKUP(A21,[14]TONTSEPT24!$A$7:$P$23,10,0),0)</f>
        <v>0</v>
      </c>
      <c r="R21" s="2">
        <f>IFERROR(VLOOKUP(A21,[15]TONTSEPT24!$A$7:$P$20,10,0),0)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Q21" s="6"/>
    </row>
    <row r="22" spans="1:70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VLOOKUP(A22,[12]HISTOBQUESEPT24!$A$6:$G$46,3,0)</f>
        <v>125000</v>
      </c>
      <c r="E22" s="9">
        <f>VLOOKUP(A22,[12]HISTOBQUESEPT24!$A$6:$G$41,4,0)</f>
        <v>0</v>
      </c>
      <c r="F22" s="9">
        <f>VLOOKUP(A22,[12]HISTOBQUESEPT24!$A$6:$G$41,5,0)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VLOOKUP(A22,[13]TONTSEPT24!$A$6:$R$39,12,0)</f>
        <v>0</v>
      </c>
      <c r="Q22" s="2">
        <f>IFERROR(VLOOKUP(A22,[14]TONTSEPT24!$A$7:$P$23,10,0),0)</f>
        <v>0</v>
      </c>
      <c r="R22" s="2">
        <f>IFERROR(VLOOKUP(A22,[15]TONTSEPT24!$A$7:$P$20,10,0),0)</f>
        <v>0</v>
      </c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70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VLOOKUP(A23,[12]HISTOBQUESEPT24!$A$6:$G$46,3,0)+202000</f>
        <v>462000</v>
      </c>
      <c r="E23" s="9">
        <f>VLOOKUP(A23,[12]HISTOBQUESEPT24!$A$6:$G$41,4,0)</f>
        <v>0</v>
      </c>
      <c r="F23" s="9">
        <f>VLOOKUP(A23,[12]HISTOBQUESEPT24!$A$6:$G$41,5,0)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VLOOKUP(A23,[13]TONTSEPT24!$A$6:$R$39,12,0)</f>
        <v>0</v>
      </c>
      <c r="Q23" s="2">
        <f>IFERROR(VLOOKUP(A23,[14]TONTSEPT24!$A$7:$P$23,10,0),0)</f>
        <v>0</v>
      </c>
      <c r="R23" s="2">
        <f>IFERROR(VLOOKUP(A23,[15]TONTSEPT24!$A$7:$P$20,10,0),0)</f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2500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1390000</v>
      </c>
      <c r="AZ23" s="16">
        <f t="shared" si="14"/>
        <v>1390000</v>
      </c>
      <c r="BA23" s="58"/>
      <c r="BB23" s="58"/>
      <c r="BC23" s="15"/>
      <c r="BD23" s="57">
        <f t="shared" si="15"/>
        <v>1390000</v>
      </c>
      <c r="BE23" s="82" t="s">
        <v>186</v>
      </c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70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VLOOKUP(A24,[12]HISTOBQUESEPT24!$A$6:$G$46,3,0)+15000</f>
        <v>240000</v>
      </c>
      <c r="E24" s="9">
        <f>VLOOKUP(A24,[12]HISTOBQUESEPT24!$A$6:$G$41,4,0)</f>
        <v>209000</v>
      </c>
      <c r="F24" s="9">
        <f>VLOOKUP(A24,[12]HISTOBQUESEPT24!$A$6:$G$41,5,0)</f>
        <v>0</v>
      </c>
      <c r="G24" s="5">
        <f>IF(H24="ESPECES",3000,0)+3000</f>
        <v>3000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VLOOKUP(A24,[13]TONTSEPT24!$A$6:$R$39,12,0)</f>
        <v>0</v>
      </c>
      <c r="Q24" s="2">
        <f>IFERROR(VLOOKUP(A24,[14]TONTSEPT24!$A$7:$P$23,10,0),0)</f>
        <v>0</v>
      </c>
      <c r="R24" s="2">
        <f>IFERROR(VLOOKUP(A24,[15]TONTSEPT24!$A$7:$P$20,10,0),0)</f>
        <v>206000</v>
      </c>
      <c r="S24" s="20"/>
      <c r="T24" s="12"/>
      <c r="U24" s="17">
        <f t="shared" si="9"/>
        <v>449000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200000</v>
      </c>
      <c r="AZ24" s="16">
        <f t="shared" si="14"/>
        <v>200000</v>
      </c>
      <c r="BA24" s="58"/>
      <c r="BB24" s="58"/>
      <c r="BC24" s="15"/>
      <c r="BD24" s="57">
        <f>IF(AZ24=0,(AZ24-BA24-BC24),(AZ24-BA24-BB24-BC24))-BR24</f>
        <v>0</v>
      </c>
      <c r="BE24" s="82" t="s">
        <v>186</v>
      </c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  <c r="BR24">
        <v>200000</v>
      </c>
    </row>
    <row r="25" spans="1:70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VLOOKUP(A25,[12]HISTOBQUESEPT24!$A$6:$G$46,3,0)+83000</f>
        <v>458000</v>
      </c>
      <c r="E25" s="9">
        <f>VLOOKUP(A25,[12]HISTOBQUESEPT24!$A$6:$G$41,4,0)</f>
        <v>0</v>
      </c>
      <c r="F25" s="9">
        <f>VLOOKUP(A25,[12]HISTOBQUESEPT24!$A$6:$G$41,5,0)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VLOOKUP(A25,[13]TONTSEPT24!$A$6:$R$39,12,0)</f>
        <v>0</v>
      </c>
      <c r="Q25" s="2">
        <f>IFERROR(VLOOKUP(A25,[14]TONTSEPT24!$A$7:$P$23,10,0),0)</f>
        <v>83000</v>
      </c>
      <c r="R25" s="2">
        <f>IFERROR(VLOOKUP(A25,[15]TONTSEPT24!$A$7:$P$20,10,0),0)</f>
        <v>0</v>
      </c>
      <c r="S25" s="20"/>
      <c r="T25" s="12"/>
      <c r="U25" s="17">
        <f t="shared" si="9"/>
        <v>458000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>
        <v>50000</v>
      </c>
      <c r="AK25" s="12">
        <f>100000+100000</f>
        <v>200000</v>
      </c>
      <c r="AL25" s="12"/>
      <c r="AM25" s="12">
        <v>1000</v>
      </c>
      <c r="AN25" s="12">
        <v>3000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942500</v>
      </c>
      <c r="AY25" s="15">
        <f t="shared" si="13"/>
        <v>200000</v>
      </c>
      <c r="AZ25" s="16">
        <f t="shared" si="14"/>
        <v>1142500</v>
      </c>
      <c r="BA25" s="58">
        <v>150000</v>
      </c>
      <c r="BB25" s="58"/>
      <c r="BC25" s="15"/>
      <c r="BD25" s="57">
        <f t="shared" si="15"/>
        <v>992500</v>
      </c>
      <c r="BE25" s="82" t="s">
        <v>186</v>
      </c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70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VLOOKUP(A26,[12]HISTOBQUESEPT24!$A$6:$G$46,3,0)+62000</f>
        <v>112000</v>
      </c>
      <c r="E26" s="9">
        <f>VLOOKUP(A26,[12]HISTOBQUESEPT24!$A$6:$G$41,4,0)</f>
        <v>0</v>
      </c>
      <c r="F26" s="9">
        <f>VLOOKUP(A26,[12]HISTOBQUESEPT24!$A$6:$G$41,5,0)</f>
        <v>0</v>
      </c>
      <c r="G26" s="5">
        <f t="shared" si="7"/>
        <v>0</v>
      </c>
      <c r="H26" s="10" t="str">
        <f t="shared" si="0"/>
        <v>BANQUE</v>
      </c>
      <c r="I26" s="10">
        <v>1000</v>
      </c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VLOOKUP(A26,[13]TONTSEPT24!$A$6:$R$39,12,0)</f>
        <v>61000</v>
      </c>
      <c r="Q26" s="2">
        <f>IFERROR(VLOOKUP(A26,[14]TONTSEPT24!$A$7:$P$23,10,0),0)</f>
        <v>0</v>
      </c>
      <c r="R26" s="2">
        <f>IFERROR(VLOOKUP(A26,[15]TONTSEPT24!$A$7:$P$20,10,0),0)</f>
        <v>0</v>
      </c>
      <c r="S26" s="20"/>
      <c r="T26" s="12"/>
      <c r="U26" s="17">
        <f t="shared" si="9"/>
        <v>112000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0"/>
        <v>26000</v>
      </c>
      <c r="AT26" s="15"/>
      <c r="AV26" s="15"/>
      <c r="AW26" s="15">
        <f t="shared" si="11"/>
        <v>60000</v>
      </c>
      <c r="AX26" s="15">
        <f t="shared" si="12"/>
        <v>0</v>
      </c>
      <c r="AY26" s="15">
        <f t="shared" si="13"/>
        <v>0</v>
      </c>
      <c r="AZ26" s="16">
        <f t="shared" si="14"/>
        <v>60000</v>
      </c>
      <c r="BA26" s="58">
        <v>60000</v>
      </c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70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VLOOKUP(A27,[12]HISTOBQUESEPT24!$A$6:$G$46,3,0)</f>
        <v>50000</v>
      </c>
      <c r="E27" s="9">
        <f>VLOOKUP(A27,[12]HISTOBQUESEPT24!$A$6:$G$41,4,0)</f>
        <v>0</v>
      </c>
      <c r="F27" s="9">
        <f>VLOOKUP(A27,[12]HISTOBQUESEPT24!$A$6:$G$41,5,0)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VLOOKUP(A27,[13]TONTSEPT24!$A$6:$R$39,12,0)</f>
        <v>0</v>
      </c>
      <c r="Q27" s="2">
        <f>IFERROR(VLOOKUP(A27,[14]TONTSEPT24!$A$7:$P$23,10,0),0)</f>
        <v>0</v>
      </c>
      <c r="R27" s="2">
        <f>IFERROR(VLOOKUP(A27,[15]TONTSEPT24!$A$7:$P$20,10,0),0)</f>
        <v>0</v>
      </c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Q27" s="6"/>
    </row>
    <row r="28" spans="1:70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VLOOKUP(A28,[12]HISTOBQUESEPT24!$A$6:$G$46,3,0)</f>
        <v>125000</v>
      </c>
      <c r="E28" s="9">
        <f>VLOOKUP(A28,[12]HISTOBQUESEPT24!$A$6:$G$41,4,0)</f>
        <v>0</v>
      </c>
      <c r="F28" s="9">
        <f>VLOOKUP(A28,[12]HISTOBQUESEPT24!$A$6:$G$41,5,0)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VLOOKUP(A28,[13]TONTSEPT24!$A$6:$R$39,12,0)</f>
        <v>0</v>
      </c>
      <c r="Q28" s="2">
        <f>IFERROR(VLOOKUP(A28,[14]TONTSEPT24!$A$7:$P$23,10,0),0)</f>
        <v>0</v>
      </c>
      <c r="R28" s="2">
        <f>IFERROR(VLOOKUP(A28,[15]TONTSEPT24!$A$7:$P$20,10,0),0)</f>
        <v>0</v>
      </c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70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VLOOKUP(A29,[12]HISTOBQUESEPT24!$A$6:$G$46,3,0)+62000</f>
        <v>112000</v>
      </c>
      <c r="E29" s="9">
        <f>VLOOKUP(A29,[12]HISTOBQUESEPT24!$A$6:$G$41,4,0)</f>
        <v>0</v>
      </c>
      <c r="F29" s="9">
        <f>VLOOKUP(A29,[12]HISTOBQUESEPT24!$A$6:$G$41,5,0)</f>
        <v>0</v>
      </c>
      <c r="G29" s="5">
        <f t="shared" si="7"/>
        <v>0</v>
      </c>
      <c r="H29" s="10" t="str">
        <f t="shared" si="0"/>
        <v>BANQUE</v>
      </c>
      <c r="I29" s="10">
        <v>1000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VLOOKUP(A29,[13]TONTSEPT24!$A$6:$R$39,12,0)</f>
        <v>61000</v>
      </c>
      <c r="Q29" s="2">
        <f>IFERROR(VLOOKUP(A29,[14]TONTSEPT24!$A$7:$P$23,10,0),0)</f>
        <v>0</v>
      </c>
      <c r="R29" s="2">
        <f>IFERROR(VLOOKUP(A29,[15]TONTSEPT24!$A$7:$P$20,10,0),0)</f>
        <v>0</v>
      </c>
      <c r="S29" s="20"/>
      <c r="T29" s="12"/>
      <c r="U29" s="17">
        <f t="shared" si="9"/>
        <v>112000</v>
      </c>
      <c r="V29" s="12"/>
      <c r="W29" s="12"/>
      <c r="X29" s="12"/>
      <c r="Y29" s="12"/>
      <c r="Z29" s="12"/>
      <c r="AA29" s="12"/>
      <c r="AB29" s="12"/>
      <c r="AC29" s="12">
        <v>3000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 t="s">
        <v>8</v>
      </c>
      <c r="AQ29" s="8">
        <f t="shared" si="3"/>
        <v>0</v>
      </c>
      <c r="AR29" s="8">
        <f t="shared" si="4"/>
        <v>0</v>
      </c>
      <c r="AS29" s="13">
        <f t="shared" si="10"/>
        <v>26000</v>
      </c>
      <c r="AT29" s="15"/>
      <c r="AV29" s="15"/>
      <c r="AW29" s="15">
        <f t="shared" si="11"/>
        <v>297000</v>
      </c>
      <c r="AX29" s="15">
        <f t="shared" si="12"/>
        <v>0</v>
      </c>
      <c r="AY29" s="15">
        <f t="shared" si="13"/>
        <v>0</v>
      </c>
      <c r="AZ29" s="16">
        <f t="shared" si="14"/>
        <v>297000</v>
      </c>
      <c r="BA29" s="58"/>
      <c r="BB29" s="58"/>
      <c r="BC29" s="15"/>
      <c r="BD29" s="57">
        <f t="shared" si="15"/>
        <v>297000</v>
      </c>
      <c r="BE29" s="82" t="s">
        <v>186</v>
      </c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O29" s="62"/>
      <c r="BQ29" s="6"/>
    </row>
    <row r="30" spans="1:70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VLOOKUP(A30,[12]HISTOBQUESEPT24!$A$6:$G$46,3,0)</f>
        <v>250000</v>
      </c>
      <c r="E30" s="9">
        <f>VLOOKUP(A30,[12]HISTOBQUESEPT24!$A$6:$G$41,4,0)</f>
        <v>0</v>
      </c>
      <c r="F30" s="9">
        <f>VLOOKUP(A30,[12]HISTOBQUESEPT24!$A$6:$G$41,5,0)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VLOOKUP(A30,[13]TONTSEPT24!$A$6:$R$39,12,0)</f>
        <v>0</v>
      </c>
      <c r="Q30" s="2">
        <f>IFERROR(VLOOKUP(A30,[14]TONTSEPT24!$A$7:$P$23,10,0),0)</f>
        <v>0</v>
      </c>
      <c r="R30" s="2">
        <f>IFERROR(VLOOKUP(A30,[15]TONTSEPT24!$A$7:$P$20,10,0),0)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>
        <v>200000</v>
      </c>
      <c r="AL30" s="12"/>
      <c r="AM30" s="12"/>
      <c r="AN30" s="12">
        <v>2000</v>
      </c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200000</v>
      </c>
      <c r="AZ30" s="16">
        <f t="shared" si="14"/>
        <v>200000</v>
      </c>
      <c r="BA30" s="58"/>
      <c r="BB30" s="58"/>
      <c r="BC30" s="15"/>
      <c r="BD30" s="57">
        <f t="shared" si="15"/>
        <v>200000</v>
      </c>
      <c r="BE30" s="82" t="s">
        <v>186</v>
      </c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70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VLOOKUP(A31,[12]HISTOBQUESEPT24!$A$6:$G$46,3,0)</f>
        <v>150000</v>
      </c>
      <c r="E31" s="9">
        <f>VLOOKUP(A31,[12]HISTOBQUESEPT24!$A$6:$G$41,4,0)</f>
        <v>0</v>
      </c>
      <c r="F31" s="9">
        <f>VLOOKUP(A31,[12]HISTOBQUESEPT24!$A$6:$G$41,5,0)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VLOOKUP(A31,[13]TONTSEPT24!$A$6:$R$39,12,0)</f>
        <v>0</v>
      </c>
      <c r="Q31" s="2">
        <f>IFERROR(VLOOKUP(A31,[14]TONTSEPT24!$A$7:$P$23,10,0),0)</f>
        <v>0</v>
      </c>
      <c r="R31" s="2">
        <f>IFERROR(VLOOKUP(A31,[15]TONTSEPT24!$A$7:$P$20,10,0),0)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29500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29500</v>
      </c>
      <c r="AX31" s="15">
        <f t="shared" si="12"/>
        <v>0</v>
      </c>
      <c r="AY31" s="15">
        <f t="shared" si="13"/>
        <v>0</v>
      </c>
      <c r="AZ31" s="16">
        <f t="shared" si="14"/>
        <v>29500</v>
      </c>
      <c r="BA31" s="58">
        <v>29500</v>
      </c>
      <c r="BB31" s="58"/>
      <c r="BC31" s="15"/>
      <c r="BD31" s="57">
        <f t="shared" si="15"/>
        <v>0</v>
      </c>
      <c r="BE31" s="82" t="s">
        <v>186</v>
      </c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70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VLOOKUP(A32,[12]HISTOBQUESEPT24!$A$6:$G$46,3,0)+202000</f>
        <v>327000</v>
      </c>
      <c r="E32" s="9">
        <f>VLOOKUP(A32,[12]HISTOBQUESEPT24!$A$6:$G$41,4,0)</f>
        <v>0</v>
      </c>
      <c r="F32" s="9">
        <f>VLOOKUP(A32,[12]HISTOBQUESEPT24!$A$6:$G$41,5,0)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VLOOKUP(A32,[13]TONTSEPT24!$A$6:$R$39,12,0)</f>
        <v>0</v>
      </c>
      <c r="Q32" s="2">
        <f>IFERROR(VLOOKUP(A32,[14]TONTSEPT24!$A$7:$P$23,10,0),0)</f>
        <v>202000</v>
      </c>
      <c r="R32" s="2">
        <f>IFERROR(VLOOKUP(A32,[15]TONTSEPT24!$A$7:$P$20,10,0),0)</f>
        <v>0</v>
      </c>
      <c r="S32" s="20"/>
      <c r="T32" s="12"/>
      <c r="U32" s="17">
        <f t="shared" si="9"/>
        <v>327000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>
        <f>57500-57500</f>
        <v>0</v>
      </c>
      <c r="AJ32" s="12">
        <f>50000+57500</f>
        <v>107500</v>
      </c>
      <c r="AK32" s="12"/>
      <c r="AL32" s="12">
        <f>1000-1000</f>
        <v>0</v>
      </c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107500</v>
      </c>
      <c r="AY32" s="15">
        <f t="shared" si="13"/>
        <v>0</v>
      </c>
      <c r="AZ32" s="16">
        <f t="shared" si="14"/>
        <v>107500</v>
      </c>
      <c r="BA32" s="58">
        <v>60500</v>
      </c>
      <c r="BB32" s="58"/>
      <c r="BC32" s="15"/>
      <c r="BD32" s="57">
        <f t="shared" si="15"/>
        <v>47000</v>
      </c>
      <c r="BE32" s="82" t="s">
        <v>186</v>
      </c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O32" t="s">
        <v>203</v>
      </c>
    </row>
    <row r="33" spans="1:70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-304000</v>
      </c>
      <c r="D33" s="9">
        <f>VLOOKUP(A33,[12]HISTOBQUESEPT24!$A$6:$G$46,3,0)+10000</f>
        <v>160000</v>
      </c>
      <c r="E33" s="9">
        <f>VLOOKUP(A33,[12]HISTOBQUESEPT24!$A$6:$G$41,4,0)</f>
        <v>0</v>
      </c>
      <c r="F33" s="9">
        <f>VLOOKUP(A33,[12]HISTOBQUESEPT24!$A$6:$G$41,5,0)</f>
        <v>0</v>
      </c>
      <c r="G33" s="5">
        <f t="shared" si="7"/>
        <v>0</v>
      </c>
      <c r="H33" s="10" t="str">
        <f t="shared" si="0"/>
        <v>BANQUE</v>
      </c>
      <c r="I33" s="10">
        <f>10000+164000</f>
        <v>174000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VLOOKUP(A33,[13]TONTSEPT24!$A$6:$R$39,12,0)</f>
        <v>0</v>
      </c>
      <c r="Q33" s="2">
        <f>IFERROR(VLOOKUP(A33,[14]TONTSEPT24!$A$7:$P$23,10,0),0)</f>
        <v>0</v>
      </c>
      <c r="R33" s="2">
        <f>IFERROR(VLOOKUP(A33,[15]TONTSEPT24!$A$7:$P$20,10,0),0)</f>
        <v>0</v>
      </c>
      <c r="S33" s="20"/>
      <c r="T33" s="12"/>
      <c r="U33" s="17">
        <f t="shared" si="9"/>
        <v>324000</v>
      </c>
      <c r="V33" s="12"/>
      <c r="W33" s="12"/>
      <c r="X33" s="12"/>
      <c r="Y33" s="12"/>
      <c r="Z33" s="12"/>
      <c r="AA33" s="12"/>
      <c r="AB33" s="12"/>
      <c r="AC33" s="12">
        <v>6000</v>
      </c>
      <c r="AD33" s="12"/>
      <c r="AE33" s="12">
        <v>10000</v>
      </c>
      <c r="AF33" s="12" t="s">
        <v>8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199000</v>
      </c>
      <c r="AT33" s="15"/>
      <c r="AV33" s="15"/>
      <c r="AW33" s="15">
        <f t="shared" si="11"/>
        <v>294000</v>
      </c>
      <c r="AX33" s="15">
        <f t="shared" si="12"/>
        <v>0</v>
      </c>
      <c r="AY33" s="15">
        <f t="shared" si="13"/>
        <v>1190000</v>
      </c>
      <c r="AZ33" s="16">
        <f t="shared" si="14"/>
        <v>1484000</v>
      </c>
      <c r="BA33" s="58"/>
      <c r="BB33" s="58">
        <v>140000</v>
      </c>
      <c r="BC33" s="15"/>
      <c r="BD33" s="57">
        <f>IF(AZ33=0,(AZ33-BA33-BC33),(AZ33-BA33-BB33-BC33))-BR33</f>
        <v>1180000</v>
      </c>
      <c r="BE33" s="82" t="s">
        <v>186</v>
      </c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  <c r="BR33">
        <v>164000</v>
      </c>
    </row>
    <row r="34" spans="1:70" ht="18.5" x14ac:dyDescent="0.45">
      <c r="A34" s="1" t="s">
        <v>157</v>
      </c>
      <c r="B34" s="1" t="str">
        <f>VLOOKUP(A34,[11]LISTADHERENT!A$5:H$50,3,0)</f>
        <v>TCHOUTOU NANA CLAUDE</v>
      </c>
      <c r="C34" s="14">
        <f t="shared" si="6"/>
        <v>3750</v>
      </c>
      <c r="D34" s="9">
        <f>VLOOKUP(A34,[12]HISTOBQUESEPT24!$A$6:$G$46,3,0)+60000</f>
        <v>110000</v>
      </c>
      <c r="E34" s="9">
        <f>VLOOKUP(A34,[12]HISTOBQUESEPT24!$A$6:$G$41,4,0)</f>
        <v>0</v>
      </c>
      <c r="F34" s="9">
        <f>VLOOKUP(A34,[12]HISTOBQUESEPT24!$A$6:$G$41,5,0)</f>
        <v>0</v>
      </c>
      <c r="G34" s="5">
        <f t="shared" si="7"/>
        <v>0</v>
      </c>
      <c r="H34" s="10" t="str">
        <f t="shared" si="0"/>
        <v>BANQUE</v>
      </c>
      <c r="I34" s="10">
        <v>6250</v>
      </c>
      <c r="J34" s="11">
        <v>1</v>
      </c>
      <c r="K34" s="11">
        <f>IF($D34&lt;&gt;0,J34*50000,IF($E34&lt;&gt;0,J34*50000,0))+50000</f>
        <v>100000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VLOOKUP(A34,[13]TONTSEPT24!$A$6:$R$39,12,0)</f>
        <v>0</v>
      </c>
      <c r="Q34" s="2">
        <f>IFERROR(VLOOKUP(A34,[14]TONTSEPT24!$A$7:$P$23,10,0),0)</f>
        <v>0</v>
      </c>
      <c r="R34" s="2">
        <f>IFERROR(VLOOKUP(A34,[15]TONTSEPT24!$A$7:$P$20,10,0),0)</f>
        <v>0</v>
      </c>
      <c r="S34" s="20"/>
      <c r="T34" s="12"/>
      <c r="U34" s="17">
        <f t="shared" si="9"/>
        <v>106250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>IF(H34="ECHEC",((K34+M34+O34)*20/100),0)+3750</f>
        <v>3750</v>
      </c>
      <c r="AS34" s="13">
        <f>IF(H34="ECHEC",0,(K34+I34-50000))</f>
        <v>56250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70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VLOOKUP(A35,[12]HISTOBQUESEPT24!$A$6:$G$46,3,0)</f>
        <v>60000</v>
      </c>
      <c r="E35" s="9">
        <f>VLOOKUP(A35,[12]HISTOBQUESEPT24!$A$6:$G$41,4,0)</f>
        <v>0</v>
      </c>
      <c r="F35" s="9">
        <f>VLOOKUP(A35,[12]HISTOBQUESEPT24!$A$6:$G$41,5,0)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VLOOKUP(A35,[13]TONTSEPT24!$A$6:$R$39,12,0)</f>
        <v>0</v>
      </c>
      <c r="Q35" s="2">
        <f>IFERROR(VLOOKUP(A35,[14]TONTSEPT24!$A$7:$P$23,10,0),0)</f>
        <v>0</v>
      </c>
      <c r="R35" s="2">
        <f>IFERROR(VLOOKUP(A35,[15]TONTSEPT24!$A$7:$P$20,10,0),0)</f>
        <v>0</v>
      </c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100000</v>
      </c>
      <c r="BA35" s="58"/>
      <c r="BB35" s="58"/>
      <c r="BC35" s="15"/>
      <c r="BD35" s="57">
        <f t="shared" si="15"/>
        <v>100000</v>
      </c>
      <c r="BE35" s="82" t="s">
        <v>186</v>
      </c>
      <c r="BF35" s="29">
        <f t="shared" si="5"/>
        <v>0</v>
      </c>
      <c r="BG35" s="29">
        <v>3</v>
      </c>
      <c r="BH35" s="15"/>
      <c r="BI35" s="15"/>
      <c r="BJ35" s="15"/>
      <c r="BK35" s="15">
        <v>100000</v>
      </c>
      <c r="BL35" s="61"/>
    </row>
    <row r="36" spans="1:70" ht="16.5" customHeight="1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VLOOKUP(A36,[12]HISTOBQUESEPT24!$A$6:$G$46,3,0)</f>
        <v>50000</v>
      </c>
      <c r="E36" s="9">
        <f>VLOOKUP(A36,[12]HISTOBQUESEPT24!$A$6:$G$41,4,0)</f>
        <v>0</v>
      </c>
      <c r="F36" s="9">
        <f>VLOOKUP(A36,[12]HISTOBQUESEPT24!$A$6:$G$41,5,0)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VLOOKUP(A36,[13]TONTSEPT24!$A$6:$R$39,12,0)</f>
        <v>0</v>
      </c>
      <c r="Q36" s="2">
        <f>IFERROR(VLOOKUP(A36,[14]TONTSEPT24!$A$7:$P$23,10,0),0)</f>
        <v>0</v>
      </c>
      <c r="R36" s="2">
        <f>IFERROR(VLOOKUP(A36,[15]TONTSEPT24!$A$7:$P$20,10,0),0)</f>
        <v>0</v>
      </c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</row>
    <row r="37" spans="1:70" ht="18.5" x14ac:dyDescent="0.45">
      <c r="A37" s="1" t="s">
        <v>193</v>
      </c>
      <c r="B37" s="1" t="str">
        <f>VLOOKUP(A37,[11]LISTADHERENT!A$5:H$50,3,0)</f>
        <v>YIALA ALAIN OSCAR</v>
      </c>
      <c r="C37" s="14">
        <f t="shared" si="6"/>
        <v>-940000</v>
      </c>
      <c r="D37" s="9">
        <f>VLOOKUP(A37,[12]HISTOBQUESEPT24!$A$6:$G$46,3,0)</f>
        <v>0</v>
      </c>
      <c r="E37" s="9">
        <f>VLOOKUP(A37,[12]HISTOBQUESEPT24!$A$6:$G$41,4,0)</f>
        <v>153000</v>
      </c>
      <c r="F37" s="9">
        <f>VLOOKUP(A37,[12]HISTOBQUESEPT24!$A$6:$G$41,5,0)</f>
        <v>0</v>
      </c>
      <c r="G37" s="5">
        <f t="shared" si="7"/>
        <v>3000</v>
      </c>
      <c r="H37" s="10" t="str">
        <f t="shared" si="0"/>
        <v>ESPECES</v>
      </c>
      <c r="I37" s="10">
        <v>700000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VLOOKUP(A37,[13]TONTSEPT24!$A$6:$R$39,12,0)</f>
        <v>0</v>
      </c>
      <c r="Q37" s="2">
        <f>IFERROR(VLOOKUP(A37,[14]TONTSEPT24!$A$7:$P$23,10,0),0)</f>
        <v>0</v>
      </c>
      <c r="R37" s="2">
        <f>IFERROR(VLOOKUP(A37,[15]TONTSEPT24!$A$7:$P$20,10,0),0)</f>
        <v>0</v>
      </c>
      <c r="S37" s="6"/>
      <c r="T37" s="12"/>
      <c r="U37" s="17">
        <f t="shared" si="9"/>
        <v>853000</v>
      </c>
      <c r="V37" s="12"/>
      <c r="W37" s="12"/>
      <c r="X37" s="12"/>
      <c r="Y37" s="12"/>
      <c r="Z37" s="12"/>
      <c r="AA37" s="12"/>
      <c r="AB37" s="12"/>
      <c r="AC37" s="12">
        <v>4000</v>
      </c>
      <c r="AD37" s="12"/>
      <c r="AE37" s="12">
        <v>10000</v>
      </c>
      <c r="AF37" s="12" t="s">
        <v>8</v>
      </c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725000</v>
      </c>
      <c r="AT37" s="15">
        <v>120000</v>
      </c>
      <c r="AV37" s="15"/>
      <c r="AW37" s="15">
        <f t="shared" si="11"/>
        <v>296000</v>
      </c>
      <c r="AX37" s="15">
        <f t="shared" si="12"/>
        <v>0</v>
      </c>
      <c r="AY37" s="15">
        <f t="shared" si="13"/>
        <v>1190000</v>
      </c>
      <c r="AZ37" s="16">
        <f t="shared" si="14"/>
        <v>1486000</v>
      </c>
      <c r="BA37" s="58"/>
      <c r="BB37" s="58">
        <f>100000+140000</f>
        <v>240000</v>
      </c>
      <c r="BC37" s="15"/>
      <c r="BD37" s="57">
        <f>IF(AZ37=0,(AZ37-BA37-BC37),(AZ37-BA37-BB37-BC37))-BR37</f>
        <v>426000</v>
      </c>
      <c r="BE37" s="82" t="s">
        <v>186</v>
      </c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  <c r="BR37">
        <v>820000</v>
      </c>
    </row>
    <row r="38" spans="1:70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VLOOKUP(A38,[12]HISTOBQUESEPT24!$A$6:$G$46,3,0)</f>
        <v>125000</v>
      </c>
      <c r="E38" s="9">
        <f>VLOOKUP(A38,[12]HISTOBQUESEPT24!$A$6:$G$41,4,0)</f>
        <v>0</v>
      </c>
      <c r="F38" s="9">
        <f>VLOOKUP(A38,[12]HISTOBQUESEPT24!$A$6:$G$41,5,0)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VLOOKUP(A38,[13]TONTSEPT24!$A$6:$R$39,12,0)</f>
        <v>0</v>
      </c>
      <c r="Q38" s="2">
        <f>IFERROR(VLOOKUP(A38,[14]TONTSEPT24!$A$7:$P$23,10,0),0)</f>
        <v>0</v>
      </c>
      <c r="R38" s="2">
        <f>IFERROR(VLOOKUP(A38,[15]TONTSEPT24!$A$7:$P$20,10,0),0)</f>
        <v>0</v>
      </c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70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70" ht="18.5" x14ac:dyDescent="0.45">
      <c r="B40" s="1" t="s">
        <v>44</v>
      </c>
      <c r="C40" s="5">
        <f t="shared" ref="C40:S40" ca="1" si="16">SUM(C6:C39)</f>
        <v>-1240250</v>
      </c>
      <c r="D40" s="5">
        <f t="shared" si="16"/>
        <v>6147000</v>
      </c>
      <c r="E40" s="5">
        <f t="shared" si="16"/>
        <v>1100000</v>
      </c>
      <c r="F40" s="5">
        <f t="shared" si="16"/>
        <v>0</v>
      </c>
      <c r="G40" s="5">
        <f t="shared" si="16"/>
        <v>18000</v>
      </c>
      <c r="H40" s="5">
        <f t="shared" si="16"/>
        <v>0</v>
      </c>
      <c r="I40" s="5">
        <f t="shared" si="16"/>
        <v>958250</v>
      </c>
      <c r="J40" s="5">
        <f t="shared" si="16"/>
        <v>32</v>
      </c>
      <c r="K40" s="5">
        <f t="shared" si="16"/>
        <v>1650000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271500</v>
      </c>
      <c r="Q40" s="5">
        <f t="shared" si="16"/>
        <v>892500</v>
      </c>
      <c r="R40" s="5">
        <f t="shared" si="16"/>
        <v>1317000</v>
      </c>
      <c r="S40" s="5">
        <f t="shared" si="16"/>
        <v>0</v>
      </c>
      <c r="T40" s="5"/>
      <c r="U40" s="5">
        <f t="shared" ref="U40:AA40" ca="1" si="17">SUM(U6:U39)</f>
        <v>8107250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13000</v>
      </c>
      <c r="AD40" s="5">
        <f>SUM(AD6:AD39)</f>
        <v>15000</v>
      </c>
      <c r="AE40" s="5">
        <f>SUM(AE6:AE39)</f>
        <v>30000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209500</v>
      </c>
      <c r="AJ40" s="5">
        <f t="shared" si="18"/>
        <v>307500</v>
      </c>
      <c r="AK40" s="5">
        <f t="shared" si="18"/>
        <v>1900000</v>
      </c>
      <c r="AL40" s="5">
        <f t="shared" si="18"/>
        <v>3500</v>
      </c>
      <c r="AM40" s="5">
        <f t="shared" si="18"/>
        <v>6000</v>
      </c>
      <c r="AN40" s="5">
        <f t="shared" si="18"/>
        <v>25000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3750</v>
      </c>
      <c r="AS40" s="5">
        <f t="shared" si="18"/>
        <v>1783250</v>
      </c>
      <c r="AT40" s="5">
        <f t="shared" si="18"/>
        <v>120000</v>
      </c>
      <c r="AU40" s="5">
        <f t="shared" si="18"/>
        <v>0</v>
      </c>
      <c r="AV40" s="5">
        <f t="shared" si="18"/>
        <v>0</v>
      </c>
      <c r="AW40" s="5">
        <f t="shared" si="18"/>
        <v>1096500</v>
      </c>
      <c r="AX40" s="5">
        <f t="shared" si="18"/>
        <v>2092500</v>
      </c>
      <c r="AY40" s="5">
        <f t="shared" si="18"/>
        <v>5470000</v>
      </c>
      <c r="AZ40" s="5">
        <f t="shared" si="18"/>
        <v>9745000</v>
      </c>
      <c r="BA40" s="5">
        <f t="shared" si="18"/>
        <v>910000</v>
      </c>
      <c r="BB40" s="5">
        <f t="shared" si="18"/>
        <v>380000</v>
      </c>
      <c r="BC40" s="5">
        <f t="shared" si="18"/>
        <v>0</v>
      </c>
      <c r="BD40" s="5">
        <f t="shared" si="18"/>
        <v>7271000</v>
      </c>
      <c r="BE40" s="5">
        <f t="shared" si="18"/>
        <v>0</v>
      </c>
      <c r="BF40" s="5">
        <f t="shared" si="18"/>
        <v>20000</v>
      </c>
      <c r="BH40" s="5">
        <f t="shared" ref="BH40:BL40" si="19">SUM(BH6:BH39)</f>
        <v>6000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70" ht="18.5" x14ac:dyDescent="0.45">
      <c r="AW41" s="15"/>
      <c r="AX41" s="15"/>
      <c r="AY41" s="15"/>
      <c r="AZ41" s="16"/>
    </row>
    <row r="42" spans="1:70" ht="18.5" x14ac:dyDescent="0.45">
      <c r="Z42" s="12"/>
      <c r="AW42" s="15"/>
      <c r="AX42" s="15"/>
      <c r="AY42" s="15"/>
      <c r="AZ42" s="16"/>
      <c r="BA42" s="6"/>
    </row>
    <row r="43" spans="1:70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70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70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70" ht="18.5" x14ac:dyDescent="0.45">
      <c r="B46" s="1" t="s">
        <v>78</v>
      </c>
      <c r="AW46" s="15"/>
      <c r="AX46" s="15"/>
      <c r="AY46" s="15"/>
      <c r="AZ46" s="16"/>
    </row>
    <row r="47" spans="1:70" ht="18.5" x14ac:dyDescent="0.45">
      <c r="B47" s="1" t="s">
        <v>79</v>
      </c>
      <c r="C47" s="14">
        <f>AZ40</f>
        <v>9745000</v>
      </c>
      <c r="D47" s="9">
        <f>SUMIFS(D8:D40,H8:H40,"BANQUE")</f>
        <v>5972000</v>
      </c>
      <c r="F47" s="9">
        <f>E40</f>
        <v>1100000</v>
      </c>
      <c r="G47" s="14"/>
      <c r="J47" s="5"/>
      <c r="AW47" s="15"/>
      <c r="AX47" s="15"/>
      <c r="AY47" s="15"/>
      <c r="AZ47" s="16"/>
    </row>
    <row r="48" spans="1:70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19484000</v>
      </c>
    </row>
  </sheetData>
  <autoFilter ref="A5:AF38" xr:uid="{00000000-0009-0000-0000-00000C000000}"/>
  <mergeCells count="1">
    <mergeCell ref="B4:M4"/>
  </mergeCells>
  <dataValidations count="1">
    <dataValidation type="list" allowBlank="1" showInputMessage="1" showErrorMessage="1" sqref="T6:T38 AA6:AA38 AP6:AP38 AF6:AF38" xr:uid="{00000000-0002-0000-0C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Q85"/>
  <sheetViews>
    <sheetView zoomScale="95" zoomScaleNormal="95" workbookViewId="0">
      <pane xSplit="4" ySplit="5" topLeftCell="BN24" activePane="bottomRight" state="frozen"/>
      <selection pane="topRight" activeCell="E1" sqref="E1"/>
      <selection pane="bottomLeft" activeCell="A6" sqref="A6"/>
      <selection pane="bottomRight" activeCell="BO26" sqref="BO26:BQ2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0</v>
      </c>
      <c r="D6" s="9">
        <f>VLOOKUP(A6,[12]HISTOBQUEOCT24!$A$6:$G$46,3,0)</f>
        <v>175000</v>
      </c>
      <c r="E6" s="9">
        <f>VLOOKUP(A6,[12]HISTOBQUEOCT24!$A$6:$G$41,4,0)</f>
        <v>0</v>
      </c>
      <c r="F6" s="9">
        <f>VLOOKUP(A6,[12]HISTOBQUEOCT24!$A$6:$G$41,5,0)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IFERROR(CHERCHEV(A6,[13]TONTOCT24!$A$6:$R$39,12,0),0)</f>
        <v>0</v>
      </c>
      <c r="Q6" s="2">
        <f>IFERROR(VLOOKUP(A6,[14]TONTOCT24!$A$7:$P$23,10,0),0)</f>
        <v>0</v>
      </c>
      <c r="R6" s="2">
        <f>IFERROR(VLOOKUP(A6,[15]TONTOCT24!$A$7:$P$20,10,0),0)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427500</v>
      </c>
      <c r="BA6" s="58"/>
      <c r="BB6" s="58"/>
      <c r="BC6" s="15"/>
      <c r="BD6" s="57">
        <f>IF(AZ6=0,(AZ6-BA6-BC6),(AZ6-BA6-BB6-BC6))+1151000</f>
        <v>1578500</v>
      </c>
      <c r="BE6" s="82"/>
      <c r="BF6" s="29">
        <f t="shared" ref="BF6:BF38" si="5">Z6*1/100*BG6</f>
        <v>0</v>
      </c>
      <c r="BG6" s="29">
        <v>2</v>
      </c>
      <c r="BH6" s="15">
        <f>BQ16</f>
        <v>6000</v>
      </c>
      <c r="BI6" s="15">
        <f>BQ28</f>
        <v>321500</v>
      </c>
      <c r="BJ6" s="15">
        <f>BQ33</f>
        <v>0</v>
      </c>
      <c r="BK6" s="15">
        <f>+BQ40</f>
        <v>100000</v>
      </c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5">
        <f>D7+E7+F7-U7-BB7</f>
        <v>0</v>
      </c>
      <c r="D7" s="9">
        <f>VLOOKUP(A7,[12]HISTOBQUEOCT24!$A$6:$G$46,3,0)</f>
        <v>0</v>
      </c>
      <c r="E7" s="9">
        <f>VLOOKUP(A7,[12]HISTOBQUEOCT24!$A$6:$G$41,4,0)</f>
        <v>50000</v>
      </c>
      <c r="F7" s="9">
        <f>VLOOKUP(A7,[12]HISTOBQUEOCT24!$A$6:$G$41,5,0)</f>
        <v>0</v>
      </c>
      <c r="G7" s="5">
        <f>IF(H7="ESPECES",3000,0)-3000</f>
        <v>0</v>
      </c>
      <c r="H7" s="10" t="str">
        <f t="shared" si="0"/>
        <v>ESPECES</v>
      </c>
      <c r="I7" s="10"/>
      <c r="J7" s="11">
        <v>1</v>
      </c>
      <c r="K7" s="11">
        <f t="shared" ref="K7:K38" si="6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VLOOKUP(A7,[13]TONTOCT24!$A$6:$R$39,12,0)</f>
        <v>0</v>
      </c>
      <c r="Q7" s="2">
        <f>IFERROR(VLOOKUP(A7,[14]TONTOCT24!$A$7:$P$23,10,0),0)</f>
        <v>0</v>
      </c>
      <c r="R7" s="2">
        <f>IFERROR(VLOOKUP(A7,[15]TONTOCT24!$A$7:$P$20,10,0),0)</f>
        <v>0</v>
      </c>
      <c r="S7" s="20"/>
      <c r="T7" s="12"/>
      <c r="U7" s="17">
        <f t="shared" ref="U7:U38" si="7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8">IF(H7="ECHEC",0,(K7+I7-25000))</f>
        <v>25000</v>
      </c>
      <c r="AT7" s="15"/>
      <c r="AV7" s="15"/>
      <c r="AW7" s="15">
        <f t="shared" ref="AW7:AW38" si="9">IF(AC7=0,AI7,(1*25000*12)+AI7-AC7)</f>
        <v>0</v>
      </c>
      <c r="AX7" s="15">
        <f t="shared" ref="AX7:AX38" si="10">IF(AD7=0,AJ7,(1*75000*12)+(AJ7)-AD7)</f>
        <v>0</v>
      </c>
      <c r="AY7" s="15">
        <f t="shared" ref="AY7:AY38" si="11">IF(AE7=0,AK7,(1*100000*12)+(AK7)-AE7)</f>
        <v>0</v>
      </c>
      <c r="AZ7" s="16">
        <f t="shared" ref="AZ7:AZ38" si="12">SUM(AV7:AY7)-BF7+Z7-F7+BH7+BI7+BJ7+BK7+BL7+BM7</f>
        <v>0</v>
      </c>
      <c r="BA7" s="58"/>
      <c r="BB7" s="58"/>
      <c r="BC7" s="15"/>
      <c r="BD7" s="57">
        <f t="shared" ref="BD7:BD38" si="13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5">
        <f>D8+E8+F8-U8-BB8</f>
        <v>0</v>
      </c>
      <c r="D8" s="9">
        <f>VLOOKUP(A8,[12]HISTOBQUEOCT24!$A$6:$G$46,3,0)</f>
        <v>125000</v>
      </c>
      <c r="E8" s="9">
        <f>VLOOKUP(A8,[12]HISTOBQUEOCT24!$A$6:$G$41,4,0)</f>
        <v>0</v>
      </c>
      <c r="F8" s="9">
        <f>VLOOKUP(A8,[12]HISTOBQUEOCT24!$A$6:$G$41,5,0)</f>
        <v>0</v>
      </c>
      <c r="G8" s="5">
        <f t="shared" ref="G8:G38" si="14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6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VLOOKUP(A8,[13]TONTOCT24!$A$6:$R$39,12,0)</f>
        <v>0</v>
      </c>
      <c r="Q8" s="2">
        <f>IFERROR(VLOOKUP(A8,[14]TONTOCT24!$A$7:$P$23,10,0),0)</f>
        <v>0</v>
      </c>
      <c r="R8" s="2">
        <f>IFERROR(VLOOKUP(A8,[15]TONTOCT24!$A$7:$P$20,10,0),0)</f>
        <v>0</v>
      </c>
      <c r="S8" s="20"/>
      <c r="T8" s="12"/>
      <c r="U8" s="17">
        <f t="shared" si="7"/>
        <v>125000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8"/>
        <v>25000</v>
      </c>
      <c r="AT8" s="15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297500</v>
      </c>
      <c r="BA8" s="58"/>
      <c r="BB8" s="58"/>
      <c r="BC8" s="15"/>
      <c r="BD8" s="57">
        <f t="shared" si="13"/>
        <v>297500</v>
      </c>
      <c r="BE8" s="82" t="s">
        <v>186</v>
      </c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ref="C9:C38" si="15">D9+E9+F9-U9-BB9</f>
        <v>-1000</v>
      </c>
      <c r="D9" s="9">
        <f>VLOOKUP(A9,[12]HISTOBQUEOCT24!$A$6:$G$46,3,0)</f>
        <v>452000</v>
      </c>
      <c r="E9" s="9">
        <f>VLOOKUP(A9,[12]HISTOBQUEOCT24!$A$6:$G$41,4,0)</f>
        <v>0</v>
      </c>
      <c r="F9" s="9">
        <f>VLOOKUP(A9,[12]HISTOBQUEOCT24!$A$6:$G$41,5,0)</f>
        <v>0</v>
      </c>
      <c r="G9" s="5">
        <f t="shared" si="14"/>
        <v>0</v>
      </c>
      <c r="H9" s="10" t="str">
        <f t="shared" si="0"/>
        <v>BANQUE</v>
      </c>
      <c r="I9" s="10"/>
      <c r="J9" s="11">
        <v>1</v>
      </c>
      <c r="K9" s="11">
        <f t="shared" si="6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VLOOKUP(A9,[13]TONTOCT24!$A$6:$R$39,12,0)</f>
        <v>0</v>
      </c>
      <c r="Q9" s="2">
        <f>IFERROR(VLOOKUP(A9,[14]TONTOCT24!$A$7:$P$23,10,0),0)</f>
        <v>0</v>
      </c>
      <c r="R9" s="2">
        <f>IFERROR(VLOOKUP(A9,[15]TONTOCT24!$A$7:$P$20,10,0),0)</f>
        <v>203000</v>
      </c>
      <c r="S9" s="20"/>
      <c r="T9" s="12"/>
      <c r="U9" s="17">
        <f t="shared" si="7"/>
        <v>453000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 t="s">
        <v>8</v>
      </c>
      <c r="AG9" s="12"/>
      <c r="AH9" s="12"/>
      <c r="AI9" s="12"/>
      <c r="AJ9" s="12"/>
      <c r="AK9" s="12">
        <v>150000</v>
      </c>
      <c r="AL9" s="12"/>
      <c r="AM9" s="12"/>
      <c r="AN9" s="12">
        <v>1500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8"/>
        <v>25000</v>
      </c>
      <c r="AT9" s="15"/>
      <c r="AV9" s="15"/>
      <c r="AW9" s="15">
        <f t="shared" si="9"/>
        <v>0</v>
      </c>
      <c r="AX9" s="15">
        <f t="shared" si="10"/>
        <v>0</v>
      </c>
      <c r="AY9" s="15">
        <f t="shared" si="11"/>
        <v>1340000</v>
      </c>
      <c r="AZ9" s="16">
        <f t="shared" si="12"/>
        <v>1340000</v>
      </c>
      <c r="BA9" s="58">
        <v>150000</v>
      </c>
      <c r="BB9" s="58"/>
      <c r="BC9" s="15"/>
      <c r="BD9" s="57">
        <f t="shared" si="13"/>
        <v>1190000</v>
      </c>
      <c r="BE9" s="82" t="s">
        <v>186</v>
      </c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15"/>
        <v>0</v>
      </c>
      <c r="D10" s="9">
        <f>VLOOKUP(A10,[12]HISTOBQUEOCT24!$A$6:$G$46,3,0)</f>
        <v>238000</v>
      </c>
      <c r="E10" s="9">
        <f>VLOOKUP(A10,[12]HISTOBQUEOCT24!$A$6:$G$41,4,0)</f>
        <v>0</v>
      </c>
      <c r="F10" s="9">
        <f>VLOOKUP(A10,[12]HISTOBQUEOCT24!$A$6:$G$41,5,0)</f>
        <v>0</v>
      </c>
      <c r="G10" s="5">
        <f t="shared" si="14"/>
        <v>0</v>
      </c>
      <c r="H10" s="10" t="str">
        <f t="shared" si="0"/>
        <v>BANQUE</v>
      </c>
      <c r="I10" s="10">
        <v>1000</v>
      </c>
      <c r="J10" s="11">
        <v>1</v>
      </c>
      <c r="K10" s="11">
        <f t="shared" si="6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VLOOKUP(A10,[13]TONTOCT24!$A$6:$R$39,12,0)</f>
        <v>61000</v>
      </c>
      <c r="Q10" s="2">
        <f>IFERROR(VLOOKUP(A10,[14]TONTOCT24!$A$7:$P$23,10,0),0)</f>
        <v>51000</v>
      </c>
      <c r="R10" s="2">
        <f>IFERROR(VLOOKUP(A10,[15]TONTOCT24!$A$7:$P$20,10,0),0)</f>
        <v>0</v>
      </c>
      <c r="S10" s="20"/>
      <c r="T10" s="12"/>
      <c r="U10" s="17">
        <f>G10+S10++R10+P10+O10+M10+I10+K10+Q10+V10+W10</f>
        <v>238000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60500</v>
      </c>
      <c r="AJ10" s="12">
        <v>100000</v>
      </c>
      <c r="AK10" s="12"/>
      <c r="AL10" s="12">
        <v>1500</v>
      </c>
      <c r="AM10" s="12">
        <v>1000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>IF(H10="ECHEC",0,(K10+I10-25000))</f>
        <v>26000</v>
      </c>
      <c r="AT10" s="15"/>
      <c r="AV10" s="15"/>
      <c r="AW10" s="15">
        <f t="shared" si="9"/>
        <v>60500</v>
      </c>
      <c r="AX10" s="15">
        <f t="shared" si="10"/>
        <v>100000</v>
      </c>
      <c r="AY10" s="15">
        <f t="shared" si="11"/>
        <v>0</v>
      </c>
      <c r="AZ10" s="16">
        <f t="shared" si="12"/>
        <v>160500</v>
      </c>
      <c r="BA10" s="58">
        <v>60500</v>
      </c>
      <c r="BB10" s="58"/>
      <c r="BC10" s="15"/>
      <c r="BD10" s="57">
        <f t="shared" si="13"/>
        <v>100000</v>
      </c>
      <c r="BE10" s="82" t="s">
        <v>186</v>
      </c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15"/>
        <v>0</v>
      </c>
      <c r="D11" s="9">
        <f>VLOOKUP(A11,[12]HISTOBQUEOCT24!$A$6:$G$46,3,0)</f>
        <v>176500</v>
      </c>
      <c r="E11" s="9">
        <f>VLOOKUP(A11,[12]HISTOBQUEOCT24!$A$6:$G$41,4,0)</f>
        <v>0</v>
      </c>
      <c r="F11" s="9">
        <f>VLOOKUP(A11,[12]HISTOBQUEOCT24!$A$6:$G$41,5,0)</f>
        <v>0</v>
      </c>
      <c r="G11" s="5">
        <f t="shared" si="14"/>
        <v>0</v>
      </c>
      <c r="H11" s="10" t="str">
        <f t="shared" si="0"/>
        <v>BANQUE</v>
      </c>
      <c r="I11" s="10">
        <v>500</v>
      </c>
      <c r="J11" s="11">
        <v>1</v>
      </c>
      <c r="K11" s="11">
        <f t="shared" si="6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VLOOKUP(A11,[13]TONTOCT24!$A$6:$R$39,12,0)</f>
        <v>0</v>
      </c>
      <c r="Q11" s="2">
        <f>IFERROR(VLOOKUP(A11,[14]TONTOCT24!$A$7:$P$23,10,0),0)</f>
        <v>51000</v>
      </c>
      <c r="R11" s="2">
        <f>IFERROR(VLOOKUP(A11,[15]TONTOCT24!$A$7:$P$20,10,0),0)</f>
        <v>0</v>
      </c>
      <c r="S11" s="20"/>
      <c r="T11" s="12"/>
      <c r="U11" s="17">
        <f>G11+S11++R11+P11+O11+M11+I11+K11+Q11+V11+W11</f>
        <v>176500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100000</v>
      </c>
      <c r="AK11" s="12"/>
      <c r="AL11" s="12"/>
      <c r="AM11" s="12">
        <v>1000</v>
      </c>
      <c r="AN11" s="12">
        <v>2000</v>
      </c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>IF(H11="ECHEC",0,(K11+I11-25000))</f>
        <v>25500</v>
      </c>
      <c r="AT11" s="15"/>
      <c r="AV11" s="15"/>
      <c r="AW11" s="15">
        <f t="shared" si="9"/>
        <v>0</v>
      </c>
      <c r="AX11" s="15">
        <f t="shared" si="10"/>
        <v>100000</v>
      </c>
      <c r="AY11" s="15">
        <f t="shared" si="11"/>
        <v>0</v>
      </c>
      <c r="AZ11" s="16">
        <f t="shared" si="12"/>
        <v>100000</v>
      </c>
      <c r="BA11" s="58">
        <v>100000</v>
      </c>
      <c r="BB11" s="58"/>
      <c r="BC11" s="15"/>
      <c r="BD11" s="57">
        <f t="shared" si="13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15"/>
        <v>-1000</v>
      </c>
      <c r="D12" s="9">
        <f>VLOOKUP(A12,[12]HISTOBQUEOCT24!$A$6:$G$46,3,0)</f>
        <v>632000</v>
      </c>
      <c r="E12" s="9">
        <f>VLOOKUP(A12,[12]HISTOBQUEOCT24!$A$6:$G$41,4,0)</f>
        <v>0</v>
      </c>
      <c r="F12" s="9">
        <f>VLOOKUP(A12,[12]HISTOBQUEOCT24!$A$6:$G$41,5,0)</f>
        <v>0</v>
      </c>
      <c r="G12" s="5">
        <f t="shared" si="14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6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VLOOKUP(A12,[13]TONTOCT24!$A$6:$R$39,12,0)</f>
        <v>0</v>
      </c>
      <c r="Q12" s="2">
        <f>IFERROR(VLOOKUP(A12,[14]TONTOCT24!$A$7:$P$23,10,0),0)</f>
        <v>0</v>
      </c>
      <c r="R12" s="2">
        <f>IFERROR(VLOOKUP(A12,[15]TONTOCT24!$A$7:$P$20,10,0),0)</f>
        <v>203000</v>
      </c>
      <c r="S12" s="20">
        <v>100000</v>
      </c>
      <c r="T12" s="12" t="s">
        <v>8</v>
      </c>
      <c r="U12" s="17">
        <f t="shared" si="7"/>
        <v>633000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400000</v>
      </c>
      <c r="AL12" s="12"/>
      <c r="AM12" s="12"/>
      <c r="AN12" s="12">
        <v>4000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8"/>
        <v>30000</v>
      </c>
      <c r="AT12" s="15"/>
      <c r="AV12" s="15"/>
      <c r="AW12" s="15">
        <f t="shared" si="9"/>
        <v>0</v>
      </c>
      <c r="AX12" s="15">
        <f t="shared" si="10"/>
        <v>0</v>
      </c>
      <c r="AY12" s="15">
        <f t="shared" si="11"/>
        <v>400000</v>
      </c>
      <c r="AZ12" s="16">
        <f t="shared" si="12"/>
        <v>400000</v>
      </c>
      <c r="BA12" s="58"/>
      <c r="BB12" s="58"/>
      <c r="BC12" s="15"/>
      <c r="BD12" s="57">
        <f t="shared" si="13"/>
        <v>400000</v>
      </c>
      <c r="BE12" s="82" t="s">
        <v>186</v>
      </c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15"/>
        <v>0</v>
      </c>
      <c r="D13" s="9">
        <f>VLOOKUP(A13,[12]HISTOBQUEOCT24!$A$6:$G$46,3,0)</f>
        <v>50000</v>
      </c>
      <c r="E13" s="9">
        <f>VLOOKUP(A13,[12]HISTOBQUEOCT24!$A$6:$G$41,4,0)</f>
        <v>0</v>
      </c>
      <c r="F13" s="9">
        <f>VLOOKUP(A13,[12]HISTOBQUEOCT24!$A$6:$G$41,5,0)</f>
        <v>0</v>
      </c>
      <c r="G13" s="5">
        <f t="shared" si="14"/>
        <v>0</v>
      </c>
      <c r="H13" s="10" t="str">
        <f t="shared" si="0"/>
        <v>BANQUE</v>
      </c>
      <c r="I13" s="10"/>
      <c r="J13" s="11">
        <v>1</v>
      </c>
      <c r="K13" s="11">
        <f t="shared" si="6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VLOOKUP(A13,[13]TONTOCT24!$A$6:$R$39,12,0)</f>
        <v>0</v>
      </c>
      <c r="Q13" s="2">
        <f>IFERROR(VLOOKUP(A13,[14]TONTOCT24!$A$7:$P$23,10,0),0)</f>
        <v>0</v>
      </c>
      <c r="R13" s="2">
        <f>IFERROR(VLOOKUP(A13,[15]TONTOCT24!$A$7:$P$20,10,0),0)</f>
        <v>0</v>
      </c>
      <c r="S13" s="20"/>
      <c r="T13" s="12"/>
      <c r="U13" s="17">
        <f t="shared" si="7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8"/>
        <v>25000</v>
      </c>
      <c r="AT13" s="15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15"/>
        <v>0</v>
      </c>
      <c r="D14" s="9">
        <f>VLOOKUP(A14,[12]HISTOBQUEOCT24!$A$6:$G$46,3,0)</f>
        <v>50000</v>
      </c>
      <c r="E14" s="9">
        <f>VLOOKUP(A14,[12]HISTOBQUEOCT24!$A$6:$G$41,4,0)</f>
        <v>0</v>
      </c>
      <c r="F14" s="9">
        <f>VLOOKUP(A14,[12]HISTOBQUEOCT24!$A$6:$G$41,5,0)</f>
        <v>0</v>
      </c>
      <c r="G14" s="5">
        <f t="shared" si="14"/>
        <v>0</v>
      </c>
      <c r="H14" s="10" t="str">
        <f t="shared" si="0"/>
        <v>BANQUE</v>
      </c>
      <c r="I14" s="10"/>
      <c r="J14" s="11">
        <v>1</v>
      </c>
      <c r="K14" s="11">
        <f t="shared" si="6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VLOOKUP(A14,[13]TONTOCT24!$A$6:$R$39,12,0)</f>
        <v>0</v>
      </c>
      <c r="Q14" s="2">
        <f>IFERROR(VLOOKUP(A14,[14]TONTOCT24!$A$7:$P$23,10,0),0)</f>
        <v>0</v>
      </c>
      <c r="R14" s="2">
        <f>IFERROR(VLOOKUP(A14,[15]TONTOCT24!$A$7:$P$20,10,0),0)</f>
        <v>0</v>
      </c>
      <c r="S14" s="20"/>
      <c r="T14" s="12"/>
      <c r="U14" s="17">
        <f t="shared" si="7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8"/>
        <v>25000</v>
      </c>
      <c r="AT14" s="15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15"/>
        <v>0</v>
      </c>
      <c r="D15" s="9">
        <f>VLOOKUP(A15,[12]HISTOBQUEOCT24!$A$6:$G$46,3,0)</f>
        <v>125000</v>
      </c>
      <c r="E15" s="9">
        <f>VLOOKUP(A15,[12]HISTOBQUEOCT24!$A$6:$G$41,4,0)</f>
        <v>0</v>
      </c>
      <c r="F15" s="9">
        <f>VLOOKUP(A15,[12]HISTOBQUEOCT24!$A$6:$G$41,5,0)</f>
        <v>0</v>
      </c>
      <c r="G15" s="5">
        <f t="shared" si="14"/>
        <v>0</v>
      </c>
      <c r="H15" s="10" t="str">
        <f t="shared" si="0"/>
        <v>BANQUE</v>
      </c>
      <c r="I15" s="10"/>
      <c r="J15" s="11">
        <v>1</v>
      </c>
      <c r="K15" s="11">
        <f t="shared" si="6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VLOOKUP(A15,[13]TONTOCT24!$A$6:$R$39,12,0)</f>
        <v>0</v>
      </c>
      <c r="Q15" s="2">
        <f>IFERROR(VLOOKUP(A15,[14]TONTOCT24!$A$7:$P$23,10,0),0)</f>
        <v>0</v>
      </c>
      <c r="R15" s="2">
        <f>IFERROR(VLOOKUP(A15,[15]TONTOCT24!$A$7:$P$20,10,0),0)</f>
        <v>0</v>
      </c>
      <c r="S15" s="20"/>
      <c r="T15" s="12"/>
      <c r="U15" s="17">
        <f t="shared" si="7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8"/>
        <v>25000</v>
      </c>
      <c r="AT15" s="15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15"/>
        <v>-1500</v>
      </c>
      <c r="D16" s="9">
        <f>VLOOKUP(A16,[12]HISTOBQUEOCT24!$A$6:$G$46,3,0)</f>
        <v>442000</v>
      </c>
      <c r="E16" s="9">
        <f>VLOOKUP(A16,[12]HISTOBQUEOCT24!$A$6:$G$41,4,0)</f>
        <v>0</v>
      </c>
      <c r="F16" s="9">
        <f>VLOOKUP(A16,[12]HISTOBQUEOCT24!$A$6:$G$41,5,0)</f>
        <v>0</v>
      </c>
      <c r="G16" s="5">
        <f t="shared" si="14"/>
        <v>0</v>
      </c>
      <c r="H16" s="10" t="str">
        <f t="shared" si="0"/>
        <v>BANQUE</v>
      </c>
      <c r="I16" s="10">
        <v>15000</v>
      </c>
      <c r="J16" s="11">
        <v>1</v>
      </c>
      <c r="K16" s="11">
        <f t="shared" si="6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VLOOKUP(A16,[13]TONTOCT24!$A$6:$R$39,12,0)</f>
        <v>0</v>
      </c>
      <c r="Q16" s="2">
        <f>IFERROR(VLOOKUP(A16,[14]TONTOCT24!$A$7:$P$23,10,0),0)</f>
        <v>0</v>
      </c>
      <c r="R16" s="2">
        <f>IFERROR(VLOOKUP(A16,[15]TONTOCT24!$A$7:$P$20,10,0),0)</f>
        <v>203500</v>
      </c>
      <c r="S16" s="20"/>
      <c r="T16" s="12"/>
      <c r="U16" s="17">
        <f t="shared" si="7"/>
        <v>443500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300000</v>
      </c>
      <c r="AL16" s="12"/>
      <c r="AM16" s="12"/>
      <c r="AN16" s="12">
        <v>3000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8"/>
        <v>40000</v>
      </c>
      <c r="AT16" s="15"/>
      <c r="AV16" s="15"/>
      <c r="AW16" s="15">
        <f t="shared" si="9"/>
        <v>0</v>
      </c>
      <c r="AX16" s="15">
        <f t="shared" si="10"/>
        <v>0</v>
      </c>
      <c r="AY16" s="15">
        <f t="shared" si="11"/>
        <v>300000</v>
      </c>
      <c r="AZ16" s="16">
        <f t="shared" si="12"/>
        <v>300000</v>
      </c>
      <c r="BA16" s="58"/>
      <c r="BB16" s="58"/>
      <c r="BC16" s="15"/>
      <c r="BD16" s="57">
        <f t="shared" si="13"/>
        <v>300000</v>
      </c>
      <c r="BE16" s="82" t="s">
        <v>186</v>
      </c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15"/>
        <v>0</v>
      </c>
      <c r="D17" s="9">
        <f>VLOOKUP(A17,[12]HISTOBQUEOCT24!$A$6:$G$46,3,0)</f>
        <v>353000</v>
      </c>
      <c r="E17" s="9">
        <f>VLOOKUP(A17,[12]HISTOBQUEOCT24!$A$6:$G$41,4,0)</f>
        <v>0</v>
      </c>
      <c r="F17" s="9">
        <f>VLOOKUP(A17,[12]HISTOBQUEOCT24!$A$6:$G$41,5,0)</f>
        <v>0</v>
      </c>
      <c r="G17" s="5">
        <f t="shared" si="14"/>
        <v>0</v>
      </c>
      <c r="H17" s="10" t="str">
        <f t="shared" si="0"/>
        <v>BANQUE</v>
      </c>
      <c r="I17" s="10">
        <v>500</v>
      </c>
      <c r="J17" s="11">
        <v>1</v>
      </c>
      <c r="K17" s="11">
        <f t="shared" si="6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VLOOKUP(A17,[13]TONTOCT24!$A$6:$R$39,12,0)</f>
        <v>0</v>
      </c>
      <c r="Q17" s="2">
        <f>IFERROR(VLOOKUP(A17,[14]TONTOCT24!$A$7:$P$23,10,0),0)</f>
        <v>0</v>
      </c>
      <c r="R17" s="2">
        <f>IFERROR(VLOOKUP(A17,[15]TONTOCT24!$A$7:$P$20,10,0),0)</f>
        <v>202500</v>
      </c>
      <c r="S17" s="20"/>
      <c r="T17" s="12"/>
      <c r="U17" s="17">
        <f t="shared" si="7"/>
        <v>353000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150000</v>
      </c>
      <c r="AL17" s="12"/>
      <c r="AM17" s="12"/>
      <c r="AN17" s="12">
        <v>1500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8"/>
        <v>25500</v>
      </c>
      <c r="AT17" s="15"/>
      <c r="AV17" s="15"/>
      <c r="AW17" s="15">
        <f t="shared" si="9"/>
        <v>0</v>
      </c>
      <c r="AX17" s="15">
        <f t="shared" si="10"/>
        <v>0</v>
      </c>
      <c r="AY17" s="15">
        <f t="shared" si="11"/>
        <v>150000</v>
      </c>
      <c r="AZ17" s="16">
        <f t="shared" si="12"/>
        <v>150000</v>
      </c>
      <c r="BA17" s="58">
        <v>100000</v>
      </c>
      <c r="BB17" s="58"/>
      <c r="BC17" s="15"/>
      <c r="BD17" s="57">
        <f t="shared" si="13"/>
        <v>50000</v>
      </c>
      <c r="BE17" s="82" t="s">
        <v>186</v>
      </c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>
        <f t="shared" si="15"/>
        <v>0</v>
      </c>
      <c r="D18" s="9">
        <f>VLOOKUP(A18,[12]HISTOBQUEOCT24!$A$6:$G$46,3,0)</f>
        <v>251000</v>
      </c>
      <c r="E18" s="9">
        <f>VLOOKUP(A18,[12]HISTOBQUEOCT24!$A$6:$G$41,4,0)</f>
        <v>0</v>
      </c>
      <c r="F18" s="9">
        <f>VLOOKUP(A18,[12]HISTOBQUEOCT24!$A$6:$G$41,5,0)</f>
        <v>0</v>
      </c>
      <c r="G18" s="5">
        <f t="shared" si="14"/>
        <v>0</v>
      </c>
      <c r="H18" s="10" t="str">
        <f t="shared" si="0"/>
        <v>BANQUE</v>
      </c>
      <c r="I18" s="10"/>
      <c r="J18" s="11">
        <v>1</v>
      </c>
      <c r="K18" s="11">
        <f t="shared" si="6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VLOOKUP(A18,[13]TONTOCT24!$A$6:$R$39,12,0)</f>
        <v>0</v>
      </c>
      <c r="Q18" s="2">
        <f>IFERROR(VLOOKUP(A18,[14]TONTOCT24!$A$7:$P$23,10,0),0)</f>
        <v>0</v>
      </c>
      <c r="R18" s="2">
        <f>IFERROR(VLOOKUP(A18,[15]TONTOCT24!$A$7:$P$20,10,0),0)</f>
        <v>101000</v>
      </c>
      <c r="S18" s="20"/>
      <c r="T18" s="12"/>
      <c r="U18" s="17">
        <f t="shared" si="7"/>
        <v>251000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8"/>
        <v>25000</v>
      </c>
      <c r="AT18" s="15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15"/>
        <v>0</v>
      </c>
      <c r="D19" s="9">
        <f>VLOOKUP(A19,[12]HISTOBQUEOCT24!$A$6:$G$46,3,0)</f>
        <v>50000</v>
      </c>
      <c r="E19" s="9">
        <f>VLOOKUP(A19,[12]HISTOBQUEOCT24!$A$6:$G$41,4,0)</f>
        <v>0</v>
      </c>
      <c r="F19" s="9">
        <f>VLOOKUP(A19,[12]HISTOBQUEOCT24!$A$6:$G$41,5,0)</f>
        <v>0</v>
      </c>
      <c r="G19" s="5">
        <f t="shared" si="14"/>
        <v>0</v>
      </c>
      <c r="H19" s="10" t="str">
        <f t="shared" si="0"/>
        <v>BANQUE</v>
      </c>
      <c r="I19" s="10"/>
      <c r="J19" s="11">
        <v>1</v>
      </c>
      <c r="K19" s="11">
        <f t="shared" si="6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VLOOKUP(A19,[13]TONTOCT24!$A$6:$R$39,12,0)</f>
        <v>0</v>
      </c>
      <c r="Q19" s="2">
        <f>IFERROR(VLOOKUP(A19,[14]TONTOCT24!$A$7:$P$23,10,0),0)</f>
        <v>0</v>
      </c>
      <c r="R19" s="2">
        <f>IFERROR(VLOOKUP(A19,[15]TONTOCT24!$A$7:$P$20,10,0),0)</f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8"/>
        <v>25000</v>
      </c>
      <c r="AT19" s="15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15"/>
        <v>-500</v>
      </c>
      <c r="D20" s="9">
        <f>VLOOKUP(A20,[12]HISTOBQUEOCT24!$A$6:$G$46,3,0)</f>
        <v>539000</v>
      </c>
      <c r="E20" s="9">
        <f>VLOOKUP(A20,[12]HISTOBQUEOCT24!$A$6:$G$41,4,0)</f>
        <v>0</v>
      </c>
      <c r="F20" s="9">
        <f>VLOOKUP(A20,[12]HISTOBQUEOCT24!$A$6:$G$41,5,0)</f>
        <v>0</v>
      </c>
      <c r="G20" s="5">
        <f t="shared" si="14"/>
        <v>0</v>
      </c>
      <c r="H20" s="10" t="str">
        <f t="shared" si="0"/>
        <v>BANQUE</v>
      </c>
      <c r="I20" s="10"/>
      <c r="J20" s="11">
        <v>1</v>
      </c>
      <c r="K20" s="11">
        <f t="shared" si="6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VLOOKUP(A20,[13]TONTOCT24!$A$6:$R$39,12,0)</f>
        <v>61000</v>
      </c>
      <c r="Q20" s="2">
        <f>IFERROR(VLOOKUP(A20,[14]TONTOCT24!$A$7:$P$23,10,0),0)</f>
        <v>51000</v>
      </c>
      <c r="R20" s="2">
        <f>IFERROR(VLOOKUP(A20,[15]TONTOCT24!$A$7:$P$20,10,0),0)</f>
        <v>202500</v>
      </c>
      <c r="S20" s="20"/>
      <c r="T20" s="12"/>
      <c r="U20" s="17">
        <f t="shared" si="7"/>
        <v>539500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50000</v>
      </c>
      <c r="AK20" s="12">
        <f>200000+200000</f>
        <v>400000</v>
      </c>
      <c r="AL20" s="12"/>
      <c r="AM20" s="12">
        <v>1000</v>
      </c>
      <c r="AN20" s="12">
        <f>2000+2000</f>
        <v>4000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8"/>
        <v>25000</v>
      </c>
      <c r="AT20" s="15"/>
      <c r="AV20" s="15"/>
      <c r="AW20" s="15">
        <f t="shared" si="9"/>
        <v>0</v>
      </c>
      <c r="AX20" s="15">
        <f t="shared" si="10"/>
        <v>50000</v>
      </c>
      <c r="AY20" s="15">
        <f t="shared" si="11"/>
        <v>400000</v>
      </c>
      <c r="AZ20" s="16">
        <f t="shared" si="12"/>
        <v>450000</v>
      </c>
      <c r="BA20" s="58">
        <v>62500</v>
      </c>
      <c r="BB20" s="58"/>
      <c r="BC20" s="15"/>
      <c r="BD20" s="57">
        <f t="shared" si="13"/>
        <v>387500</v>
      </c>
      <c r="BE20" s="82" t="s">
        <v>186</v>
      </c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15"/>
        <v>0</v>
      </c>
      <c r="D21" s="9">
        <f>VLOOKUP(A21,[12]HISTOBQUEOCT24!$A$6:$G$46,3,0)</f>
        <v>50000</v>
      </c>
      <c r="E21" s="9">
        <f>VLOOKUP(A21,[12]HISTOBQUEOCT24!$A$6:$G$41,4,0)</f>
        <v>0</v>
      </c>
      <c r="F21" s="9">
        <f>VLOOKUP(A21,[12]HISTOBQUEOCT24!$A$6:$G$41,5,0)</f>
        <v>0</v>
      </c>
      <c r="G21" s="5">
        <f t="shared" si="14"/>
        <v>0</v>
      </c>
      <c r="H21" s="10" t="str">
        <f t="shared" si="0"/>
        <v>BANQUE</v>
      </c>
      <c r="I21" s="10"/>
      <c r="J21" s="11">
        <v>1</v>
      </c>
      <c r="K21" s="11">
        <f t="shared" si="6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VLOOKUP(A21,[13]TONTOCT24!$A$6:$R$39,12,0)</f>
        <v>0</v>
      </c>
      <c r="Q21" s="2">
        <f>IFERROR(VLOOKUP(A21,[14]TONTOCT24!$A$7:$P$23,10,0),0)</f>
        <v>0</v>
      </c>
      <c r="R21" s="2">
        <f>IFERROR(VLOOKUP(A21,[15]TONTOCT24!$A$7:$P$20,10,0),0)</f>
        <v>0</v>
      </c>
      <c r="S21" s="20"/>
      <c r="T21" s="12"/>
      <c r="U21" s="17">
        <f t="shared" si="7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8"/>
        <v>25000</v>
      </c>
      <c r="AT21" s="15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15"/>
        <v>0</v>
      </c>
      <c r="D22" s="9">
        <f>VLOOKUP(A22,[12]HISTOBQUEOCT24!$A$6:$G$46,3,0)</f>
        <v>125000</v>
      </c>
      <c r="E22" s="9">
        <f>VLOOKUP(A22,[12]HISTOBQUEOCT24!$A$6:$G$41,4,0)</f>
        <v>0</v>
      </c>
      <c r="F22" s="9">
        <f>VLOOKUP(A22,[12]HISTOBQUEOCT24!$A$6:$G$41,5,0)</f>
        <v>0</v>
      </c>
      <c r="G22" s="5">
        <f t="shared" si="14"/>
        <v>0</v>
      </c>
      <c r="H22" s="10" t="str">
        <f t="shared" si="0"/>
        <v>BANQUE</v>
      </c>
      <c r="I22" s="10"/>
      <c r="J22" s="11">
        <v>1</v>
      </c>
      <c r="K22" s="11">
        <f t="shared" si="6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VLOOKUP(A22,[13]TONTOCT24!$A$6:$R$39,12,0)</f>
        <v>0</v>
      </c>
      <c r="Q22" s="2">
        <f>IFERROR(VLOOKUP(A22,[14]TONTOCT24!$A$7:$P$23,10,0),0)</f>
        <v>0</v>
      </c>
      <c r="R22" s="2">
        <f>IFERROR(VLOOKUP(A22,[15]TONTOCT24!$A$7:$P$20,10,0),0)</f>
        <v>0</v>
      </c>
      <c r="S22" s="20"/>
      <c r="T22" s="12"/>
      <c r="U22" s="17">
        <f t="shared" si="7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8"/>
        <v>25000</v>
      </c>
      <c r="AT22" s="15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15"/>
        <v>-500</v>
      </c>
      <c r="D23" s="9">
        <f>VLOOKUP(A23,[12]HISTOBQUEOCT24!$A$6:$G$46,3,0)</f>
        <v>462000</v>
      </c>
      <c r="E23" s="9">
        <f>VLOOKUP(A23,[12]HISTOBQUEOCT24!$A$6:$G$41,4,0)</f>
        <v>0</v>
      </c>
      <c r="F23" s="9">
        <f>VLOOKUP(A23,[12]HISTOBQUEOCT24!$A$6:$G$41,5,0)</f>
        <v>0</v>
      </c>
      <c r="G23" s="5">
        <f t="shared" si="14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6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VLOOKUP(A23,[13]TONTOCT24!$A$6:$R$39,12,0)</f>
        <v>0</v>
      </c>
      <c r="Q23" s="2">
        <f>IFERROR(VLOOKUP(A23,[14]TONTOCT24!$A$7:$P$23,10,0),0)</f>
        <v>0</v>
      </c>
      <c r="R23" s="2">
        <f>IFERROR(VLOOKUP(A23,[15]TONTOCT24!$A$7:$P$20,10,0),0)</f>
        <v>202500</v>
      </c>
      <c r="S23" s="20"/>
      <c r="T23" s="12"/>
      <c r="U23" s="17">
        <f t="shared" si="7"/>
        <v>462500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8"/>
        <v>35000</v>
      </c>
      <c r="AT23" s="15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 t="s">
        <v>186</v>
      </c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9" ht="17.5" customHeight="1" x14ac:dyDescent="0.45">
      <c r="A24" s="1" t="s">
        <v>29</v>
      </c>
      <c r="B24" s="1" t="str">
        <f>VLOOKUP(A24,[11]LISTADHERENT!A$5:H$50,3,0)</f>
        <v>NGONDIEP CLAUDE</v>
      </c>
      <c r="C24" s="5">
        <f t="shared" si="15"/>
        <v>0</v>
      </c>
      <c r="D24" s="9">
        <f>VLOOKUP(A24,[12]HISTOBQUEOCT24!$A$6:$G$46,3,0)</f>
        <v>0</v>
      </c>
      <c r="E24" s="9">
        <f>VLOOKUP(A24,[12]HISTOBQUEOCT24!$A$6:$G$41,4,0)</f>
        <v>430000</v>
      </c>
      <c r="F24" s="9">
        <f>VLOOKUP(A24,[12]HISTOBQUEOCT24!$A$6:$G$41,5,0)</f>
        <v>0</v>
      </c>
      <c r="G24" s="5">
        <f t="shared" si="14"/>
        <v>3000</v>
      </c>
      <c r="H24" s="10" t="str">
        <f t="shared" si="0"/>
        <v>ESPECES</v>
      </c>
      <c r="I24" s="10"/>
      <c r="J24" s="11">
        <v>1</v>
      </c>
      <c r="K24" s="11">
        <f t="shared" si="6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VLOOKUP(A24,[13]TONTOCT24!$A$6:$R$39,12,0)</f>
        <v>0</v>
      </c>
      <c r="Q24" s="2">
        <f>IFERROR(VLOOKUP(A24,[14]TONTOCT24!$A$7:$P$23,10,0),0)</f>
        <v>0</v>
      </c>
      <c r="R24" s="2">
        <f>IFERROR(VLOOKUP(A24,[15]TONTOCT24!$A$7:$P$20,10,0),0)</f>
        <v>202000</v>
      </c>
      <c r="S24" s="20"/>
      <c r="T24" s="12"/>
      <c r="U24" s="17">
        <f t="shared" si="7"/>
        <v>430000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8"/>
        <v>25000</v>
      </c>
      <c r="AT24" s="15"/>
      <c r="AV24" s="15"/>
      <c r="AW24" s="15">
        <f t="shared" si="9"/>
        <v>0</v>
      </c>
      <c r="AX24" s="15">
        <f t="shared" si="10"/>
        <v>0</v>
      </c>
      <c r="AY24" s="15">
        <f>IF(AE24=0,AK24,(1*100000*12)+(AK24)-AE24)</f>
        <v>200000</v>
      </c>
      <c r="AZ24" s="16">
        <f t="shared" si="12"/>
        <v>200000</v>
      </c>
      <c r="BA24" s="58"/>
      <c r="BB24" s="58"/>
      <c r="BC24" s="15"/>
      <c r="BD24" s="57">
        <f>IF(AZ24=0,(AZ24-BA24-BC24),(AZ24-BA24-BB24-BC24))+321000</f>
        <v>521000</v>
      </c>
      <c r="BE24" s="82" t="s">
        <v>186</v>
      </c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15"/>
        <v>0</v>
      </c>
      <c r="D25" s="9">
        <f>VLOOKUP(A25,[12]HISTOBQUEOCT24!$A$6:$G$46,3,0)</f>
        <v>618000</v>
      </c>
      <c r="E25" s="9">
        <f>VLOOKUP(A25,[12]HISTOBQUEOCT24!$A$6:$G$41,4,0)</f>
        <v>0</v>
      </c>
      <c r="F25" s="9">
        <f>VLOOKUP(A25,[12]HISTOBQUEOCT24!$A$6:$G$41,5,0)</f>
        <v>0</v>
      </c>
      <c r="G25" s="5">
        <f t="shared" si="14"/>
        <v>0</v>
      </c>
      <c r="H25" s="10" t="str">
        <f t="shared" si="0"/>
        <v>BANQUE</v>
      </c>
      <c r="I25" s="10">
        <v>-11000</v>
      </c>
      <c r="J25" s="11">
        <v>1</v>
      </c>
      <c r="K25" s="11">
        <f t="shared" si="6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VLOOKUP(A25,[13]TONTOCT24!$A$6:$R$39,12,0)</f>
        <v>0</v>
      </c>
      <c r="Q25" s="2">
        <f>IFERROR(VLOOKUP(A25,[14]TONTOCT24!$A$7:$P$23,10,0),0)</f>
        <v>51000</v>
      </c>
      <c r="R25" s="2">
        <f>IFERROR(VLOOKUP(A25,[15]TONTOCT24!$A$7:$P$20,10,0),0)</f>
        <v>203000</v>
      </c>
      <c r="S25" s="20"/>
      <c r="T25" s="12"/>
      <c r="U25" s="17">
        <f t="shared" si="7"/>
        <v>618000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8"/>
        <v>14000</v>
      </c>
      <c r="AT25" s="15"/>
      <c r="AV25" s="15"/>
      <c r="AW25" s="15">
        <f t="shared" si="9"/>
        <v>0</v>
      </c>
      <c r="AX25" s="15">
        <f t="shared" si="10"/>
        <v>0</v>
      </c>
      <c r="AY25" s="15">
        <f t="shared" si="11"/>
        <v>100000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 t="s">
        <v>186</v>
      </c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15"/>
        <v>0</v>
      </c>
      <c r="D26" s="9">
        <f>VLOOKUP(A26,[12]HISTOBQUEOCT24!$A$6:$G$46,3,0)</f>
        <v>111000</v>
      </c>
      <c r="E26" s="9">
        <f>VLOOKUP(A26,[12]HISTOBQUEOCT24!$A$6:$G$41,4,0)</f>
        <v>0</v>
      </c>
      <c r="F26" s="9">
        <f>VLOOKUP(A26,[12]HISTOBQUEOCT24!$A$6:$G$41,5,0)</f>
        <v>0</v>
      </c>
      <c r="G26" s="5">
        <f t="shared" si="14"/>
        <v>0</v>
      </c>
      <c r="H26" s="10" t="str">
        <f t="shared" si="0"/>
        <v>BANQUE</v>
      </c>
      <c r="I26" s="10"/>
      <c r="J26" s="11">
        <v>1</v>
      </c>
      <c r="K26" s="11">
        <f t="shared" si="6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VLOOKUP(A26,[13]TONTOCT24!$A$6:$R$39,12,0)</f>
        <v>61000</v>
      </c>
      <c r="Q26" s="2">
        <f>IFERROR(VLOOKUP(A26,[14]TONTOCT24!$A$7:$P$23,10,0),0)</f>
        <v>0</v>
      </c>
      <c r="R26" s="2">
        <f>IFERROR(VLOOKUP(A26,[15]TONTOCT24!$A$7:$P$20,10,0),0)</f>
        <v>0</v>
      </c>
      <c r="S26" s="20"/>
      <c r="T26" s="12"/>
      <c r="U26" s="17">
        <f t="shared" si="7"/>
        <v>111000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8"/>
        <v>25000</v>
      </c>
      <c r="AT26" s="15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O26" t="s">
        <v>214</v>
      </c>
      <c r="BP26" t="s">
        <v>143</v>
      </c>
      <c r="BQ26" s="6">
        <v>321500</v>
      </c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14">
        <f t="shared" si="15"/>
        <v>-20000</v>
      </c>
      <c r="D27" s="9">
        <f>VLOOKUP(A27,[12]HISTOBQUEOCT24!$A$6:$G$46,3,0)</f>
        <v>50000</v>
      </c>
      <c r="E27" s="9">
        <f>VLOOKUP(A27,[12]HISTOBQUEOCT24!$A$6:$G$41,4,0)</f>
        <v>0</v>
      </c>
      <c r="F27" s="9">
        <f>VLOOKUP(A27,[12]HISTOBQUEOCT24!$A$6:$G$41,5,0)</f>
        <v>0</v>
      </c>
      <c r="G27" s="5">
        <f t="shared" si="14"/>
        <v>0</v>
      </c>
      <c r="H27" s="10" t="str">
        <f t="shared" si="0"/>
        <v>BANQUE</v>
      </c>
      <c r="I27" s="10"/>
      <c r="J27" s="11">
        <v>1</v>
      </c>
      <c r="K27" s="11">
        <f t="shared" si="6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VLOOKUP(A27,[13]TONTOCT24!$A$6:$R$39,12,0)</f>
        <v>0</v>
      </c>
      <c r="Q27" s="2">
        <f>IFERROR(VLOOKUP(A27,[14]TONTOCT24!$A$7:$P$23,10,0),0)</f>
        <v>0</v>
      </c>
      <c r="R27" s="2">
        <f>IFERROR(VLOOKUP(A27,[15]TONTOCT24!$A$7:$P$20,10,0),0)</f>
        <v>0</v>
      </c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8"/>
        <v>25000</v>
      </c>
      <c r="AT27" s="15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 t="shared" si="12"/>
        <v>297500</v>
      </c>
      <c r="BA27" s="58"/>
      <c r="BB27" s="58">
        <v>20000</v>
      </c>
      <c r="BC27" s="15"/>
      <c r="BD27" s="57">
        <f t="shared" si="13"/>
        <v>277500</v>
      </c>
      <c r="BE27" s="82" t="s">
        <v>186</v>
      </c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15"/>
        <v>0</v>
      </c>
      <c r="D28" s="9">
        <f>VLOOKUP(A28,[12]HISTOBQUEOCT24!$A$6:$G$46,3,0)</f>
        <v>125000</v>
      </c>
      <c r="E28" s="9">
        <f>VLOOKUP(A28,[12]HISTOBQUEOCT24!$A$6:$G$41,4,0)</f>
        <v>0</v>
      </c>
      <c r="F28" s="9">
        <f>VLOOKUP(A28,[12]HISTOBQUEOCT24!$A$6:$G$41,5,0)</f>
        <v>0</v>
      </c>
      <c r="G28" s="5">
        <f t="shared" si="14"/>
        <v>0</v>
      </c>
      <c r="H28" s="10" t="str">
        <f t="shared" si="0"/>
        <v>BANQUE</v>
      </c>
      <c r="I28" s="10"/>
      <c r="J28" s="11">
        <v>1</v>
      </c>
      <c r="K28" s="11">
        <f t="shared" si="6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VLOOKUP(A28,[13]TONTOCT24!$A$6:$R$39,12,0)</f>
        <v>0</v>
      </c>
      <c r="Q28" s="2">
        <f>IFERROR(VLOOKUP(A28,[14]TONTOCT24!$A$7:$P$23,10,0),0)</f>
        <v>0</v>
      </c>
      <c r="R28" s="2">
        <f>IFERROR(VLOOKUP(A28,[15]TONTOCT24!$A$7:$P$20,10,0),0)</f>
        <v>0</v>
      </c>
      <c r="S28" s="20"/>
      <c r="T28" s="12"/>
      <c r="U28" s="17">
        <f t="shared" si="7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8"/>
        <v>25000</v>
      </c>
      <c r="AT28" s="15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321500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15"/>
        <v>0</v>
      </c>
      <c r="D29" s="9">
        <f>VLOOKUP(A29,[12]HISTOBQUEOCT24!$A$6:$G$46,3,0)</f>
        <v>50000</v>
      </c>
      <c r="E29" s="9">
        <f>VLOOKUP(A29,[12]HISTOBQUEOCT24!$A$6:$G$41,4,0)</f>
        <v>0</v>
      </c>
      <c r="F29" s="9">
        <f>VLOOKUP(A29,[12]HISTOBQUEOCT24!$A$6:$G$41,5,0)</f>
        <v>0</v>
      </c>
      <c r="G29" s="5">
        <f t="shared" si="14"/>
        <v>0</v>
      </c>
      <c r="H29" s="10" t="str">
        <f t="shared" si="0"/>
        <v>BANQUE</v>
      </c>
      <c r="I29" s="10"/>
      <c r="J29" s="11">
        <v>1</v>
      </c>
      <c r="K29" s="11">
        <f t="shared" si="6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VLOOKUP(A29,[13]TONTOCT24!$A$6:$R$39,12,0)</f>
        <v>0</v>
      </c>
      <c r="Q29" s="2">
        <f>IFERROR(VLOOKUP(A29,[14]TONTOCT24!$A$7:$P$23,10,0),0)</f>
        <v>0</v>
      </c>
      <c r="R29" s="2">
        <f>IFERROR(VLOOKUP(A29,[15]TONTOCT24!$A$7:$P$20,10,0),0)</f>
        <v>0</v>
      </c>
      <c r="S29" s="20"/>
      <c r="T29" s="12"/>
      <c r="U29" s="17">
        <f t="shared" si="7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60000</v>
      </c>
      <c r="AJ29" s="12"/>
      <c r="AK29" s="12"/>
      <c r="AL29" s="12">
        <v>1500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8"/>
        <v>25000</v>
      </c>
      <c r="AT29" s="15"/>
      <c r="AV29" s="15"/>
      <c r="AW29" s="15">
        <f t="shared" si="9"/>
        <v>60000</v>
      </c>
      <c r="AX29" s="15">
        <f t="shared" si="10"/>
        <v>0</v>
      </c>
      <c r="AY29" s="15">
        <f t="shared" si="11"/>
        <v>0</v>
      </c>
      <c r="AZ29" s="16">
        <f t="shared" si="12"/>
        <v>60000</v>
      </c>
      <c r="BA29" s="58">
        <v>60000</v>
      </c>
      <c r="BB29" s="58"/>
      <c r="BC29" s="15"/>
      <c r="BD29" s="57">
        <f t="shared" si="13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15"/>
        <v>0</v>
      </c>
      <c r="D30" s="9">
        <f>VLOOKUP(A30,[12]HISTOBQUEOCT24!$A$6:$G$46,3,0)</f>
        <v>452000</v>
      </c>
      <c r="E30" s="9">
        <f>VLOOKUP(A30,[12]HISTOBQUEOCT24!$A$6:$G$41,4,0)</f>
        <v>0</v>
      </c>
      <c r="F30" s="9">
        <f>VLOOKUP(A30,[12]HISTOBQUEOCT24!$A$6:$G$41,5,0)</f>
        <v>0</v>
      </c>
      <c r="G30" s="5">
        <f t="shared" si="14"/>
        <v>0</v>
      </c>
      <c r="H30" s="10" t="str">
        <f t="shared" si="0"/>
        <v>BANQUE</v>
      </c>
      <c r="I30" s="10"/>
      <c r="J30" s="11">
        <v>1</v>
      </c>
      <c r="K30" s="11">
        <f t="shared" si="6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VLOOKUP(A30,[13]TONTOCT24!$A$6:$R$39,12,0)</f>
        <v>0</v>
      </c>
      <c r="Q30" s="2">
        <f>IFERROR(VLOOKUP(A30,[14]TONTOCT24!$A$7:$P$23,10,0),0)</f>
        <v>0</v>
      </c>
      <c r="R30" s="2">
        <f>IFERROR(VLOOKUP(A30,[15]TONTOCT24!$A$7:$P$20,10,0),0)</f>
        <v>202000</v>
      </c>
      <c r="S30" s="20"/>
      <c r="T30" s="12"/>
      <c r="U30" s="17">
        <f t="shared" si="7"/>
        <v>452000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 t="s">
        <v>8</v>
      </c>
      <c r="AQ30" s="8">
        <f t="shared" si="3"/>
        <v>0</v>
      </c>
      <c r="AR30" s="8">
        <f t="shared" si="4"/>
        <v>0</v>
      </c>
      <c r="AS30" s="13">
        <f t="shared" si="8"/>
        <v>25000</v>
      </c>
      <c r="AT30" s="15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15"/>
        <v>0</v>
      </c>
      <c r="D31" s="9">
        <f>VLOOKUP(A31,[12]HISTOBQUEOCT24!$A$6:$G$46,3,0)</f>
        <v>180000</v>
      </c>
      <c r="E31" s="9">
        <f>VLOOKUP(A31,[12]HISTOBQUEOCT24!$A$6:$G$41,4,0)</f>
        <v>0</v>
      </c>
      <c r="F31" s="9">
        <f>VLOOKUP(A31,[12]HISTOBQUEOCT24!$A$6:$G$41,5,0)</f>
        <v>0</v>
      </c>
      <c r="G31" s="5">
        <f t="shared" si="14"/>
        <v>0</v>
      </c>
      <c r="H31" s="10" t="str">
        <f t="shared" si="0"/>
        <v>BANQUE</v>
      </c>
      <c r="I31" s="10"/>
      <c r="J31" s="11">
        <v>1</v>
      </c>
      <c r="K31" s="11">
        <f t="shared" si="6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VLOOKUP(A31,[13]TONTOCT24!$A$6:$R$39,12,0)</f>
        <v>30000</v>
      </c>
      <c r="Q31" s="2">
        <f>IFERROR(VLOOKUP(A31,[14]TONTOCT24!$A$7:$P$23,10,0),0)</f>
        <v>0</v>
      </c>
      <c r="R31" s="2">
        <f>IFERROR(VLOOKUP(A31,[15]TONTOCT24!$A$7:$P$20,10,0),0)</f>
        <v>0</v>
      </c>
      <c r="S31" s="20"/>
      <c r="T31" s="12"/>
      <c r="U31" s="17">
        <f t="shared" si="7"/>
        <v>180000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8"/>
        <v>25000</v>
      </c>
      <c r="AT31" s="15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15"/>
        <v>0</v>
      </c>
      <c r="D32" s="9">
        <f>VLOOKUP(A32,[12]HISTOBQUEOCT24!$A$6:$G$46,3,0)</f>
        <v>234500</v>
      </c>
      <c r="E32" s="9">
        <f>VLOOKUP(A32,[12]HISTOBQUEOCT24!$A$6:$G$41,4,0)</f>
        <v>0</v>
      </c>
      <c r="F32" s="9">
        <f>VLOOKUP(A32,[12]HISTOBQUEOCT24!$A$6:$G$41,5,0)</f>
        <v>0</v>
      </c>
      <c r="G32" s="5">
        <f t="shared" si="14"/>
        <v>0</v>
      </c>
      <c r="H32" s="10" t="str">
        <f t="shared" si="0"/>
        <v>BANQUE</v>
      </c>
      <c r="I32" s="10"/>
      <c r="J32" s="11">
        <v>1</v>
      </c>
      <c r="K32" s="11">
        <f t="shared" si="6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VLOOKUP(A32,[13]TONTOCT24!$A$6:$R$39,12,0)</f>
        <v>0</v>
      </c>
      <c r="Q32" s="2">
        <f>IFERROR(VLOOKUP(A32,[14]TONTOCT24!$A$7:$P$23,10,0),0)</f>
        <v>109500</v>
      </c>
      <c r="R32" s="2">
        <f>IFERROR(VLOOKUP(A32,[15]TONTOCT24!$A$7:$P$20,10,0),0)</f>
        <v>0</v>
      </c>
      <c r="S32" s="20"/>
      <c r="T32" s="12"/>
      <c r="U32" s="17">
        <f t="shared" si="7"/>
        <v>234500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8"/>
        <v>25000</v>
      </c>
      <c r="AT32" s="15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14">
        <f t="shared" si="15"/>
        <v>-85000</v>
      </c>
      <c r="D33" s="9">
        <f>VLOOKUP(A33,[12]HISTOBQUEOCT24!$A$6:$G$46,3,0)</f>
        <v>160000</v>
      </c>
      <c r="E33" s="9">
        <f>VLOOKUP(A33,[12]HISTOBQUEOCT24!$A$6:$G$41,4,0)</f>
        <v>0</v>
      </c>
      <c r="F33" s="9">
        <f>VLOOKUP(A33,[12]HISTOBQUEOCT24!$A$6:$G$41,5,0)</f>
        <v>0</v>
      </c>
      <c r="G33" s="5">
        <f t="shared" si="14"/>
        <v>0</v>
      </c>
      <c r="H33" s="10" t="str">
        <f t="shared" si="0"/>
        <v>BANQUE</v>
      </c>
      <c r="I33" s="10">
        <f>10000+85000</f>
        <v>95000</v>
      </c>
      <c r="J33" s="11">
        <v>1</v>
      </c>
      <c r="K33" s="11">
        <f t="shared" si="6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VLOOKUP(A33,[13]TONTOCT24!$A$6:$R$39,12,0)</f>
        <v>0</v>
      </c>
      <c r="Q33" s="2">
        <f>IFERROR(VLOOKUP(A33,[14]TONTOCT24!$A$7:$P$23,10,0),0)</f>
        <v>0</v>
      </c>
      <c r="R33" s="2">
        <f>IFERROR(VLOOKUP(A33,[15]TONTOCT24!$A$7:$P$20,10,0),0)</f>
        <v>0</v>
      </c>
      <c r="S33" s="20"/>
      <c r="T33" s="12"/>
      <c r="U33" s="17">
        <f t="shared" si="7"/>
        <v>245000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8"/>
        <v>120000</v>
      </c>
      <c r="AT33" s="15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15"/>
        <v>0</v>
      </c>
      <c r="D34" s="9">
        <f>VLOOKUP(A34,[12]HISTOBQUEOCT24!$A$6:$G$46,3,0)</f>
        <v>50000</v>
      </c>
      <c r="E34" s="9">
        <f>VLOOKUP(A34,[12]HISTOBQUEOCT24!$A$6:$G$41,4,0)</f>
        <v>0</v>
      </c>
      <c r="F34" s="9">
        <f>VLOOKUP(A34,[12]HISTOBQUEOCT24!$A$6:$G$41,5,0)</f>
        <v>0</v>
      </c>
      <c r="G34" s="5">
        <f t="shared" si="14"/>
        <v>0</v>
      </c>
      <c r="H34" s="10" t="str">
        <f t="shared" si="0"/>
        <v>BANQUE</v>
      </c>
      <c r="I34" s="10"/>
      <c r="J34" s="11">
        <v>1</v>
      </c>
      <c r="K34" s="11">
        <f t="shared" si="6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VLOOKUP(A34,[13]TONTOCT24!$A$6:$R$39,12,0)</f>
        <v>0</v>
      </c>
      <c r="Q34" s="2">
        <f>IFERROR(VLOOKUP(A34,[14]TONTOCT24!$A$7:$P$23,10,0),0)</f>
        <v>0</v>
      </c>
      <c r="R34" s="2">
        <f>IFERROR(VLOOKUP(A34,[15]TONTOCT24!$A$7:$P$20,10,0),0)</f>
        <v>0</v>
      </c>
      <c r="S34" s="20"/>
      <c r="T34" s="12"/>
      <c r="U34" s="17">
        <f t="shared" si="7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8"/>
        <v>25000</v>
      </c>
      <c r="AT34" s="15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15"/>
        <v>0</v>
      </c>
      <c r="D35" s="9">
        <f>VLOOKUP(A35,[12]HISTOBQUEOCT24!$A$6:$G$46,3,0)</f>
        <v>60000</v>
      </c>
      <c r="E35" s="9">
        <f>VLOOKUP(A35,[12]HISTOBQUEOCT24!$A$6:$G$41,4,0)</f>
        <v>0</v>
      </c>
      <c r="F35" s="9">
        <f>VLOOKUP(A35,[12]HISTOBQUEOCT24!$A$6:$G$41,5,0)</f>
        <v>0</v>
      </c>
      <c r="G35" s="5">
        <f t="shared" si="14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6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VLOOKUP(A35,[13]TONTOCT24!$A$6:$R$39,12,0)</f>
        <v>0</v>
      </c>
      <c r="Q35" s="2">
        <f>IFERROR(VLOOKUP(A35,[14]TONTOCT24!$A$7:$P$23,10,0),0)</f>
        <v>0</v>
      </c>
      <c r="R35" s="2">
        <f>IFERROR(VLOOKUP(A35,[15]TONTOCT24!$A$7:$P$20,10,0),0)</f>
        <v>0</v>
      </c>
      <c r="S35" s="20"/>
      <c r="T35" s="12"/>
      <c r="U35" s="17">
        <f t="shared" si="7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8"/>
        <v>35000</v>
      </c>
      <c r="AT35" s="15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15"/>
        <v>0</v>
      </c>
      <c r="D36" s="9">
        <f>VLOOKUP(A36,[12]HISTOBQUEOCT24!$A$6:$G$46,3,0)</f>
        <v>50000</v>
      </c>
      <c r="E36" s="9">
        <f>VLOOKUP(A36,[12]HISTOBQUEOCT24!$A$6:$G$41,4,0)</f>
        <v>0</v>
      </c>
      <c r="F36" s="9">
        <f>VLOOKUP(A36,[12]HISTOBQUEOCT24!$A$6:$G$41,5,0)</f>
        <v>0</v>
      </c>
      <c r="G36" s="5">
        <f t="shared" si="14"/>
        <v>0</v>
      </c>
      <c r="H36" s="10" t="str">
        <f t="shared" si="0"/>
        <v>BANQUE</v>
      </c>
      <c r="I36" s="10"/>
      <c r="J36" s="11">
        <v>1</v>
      </c>
      <c r="K36" s="11">
        <f t="shared" si="6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VLOOKUP(A36,[13]TONTOCT24!$A$6:$R$39,12,0)</f>
        <v>0</v>
      </c>
      <c r="Q36" s="2">
        <f>IFERROR(VLOOKUP(A36,[14]TONTOCT24!$A$7:$P$23,10,0),0)</f>
        <v>0</v>
      </c>
      <c r="R36" s="2">
        <f>IFERROR(VLOOKUP(A36,[15]TONTOCT24!$A$7:$P$20,10,0),0)</f>
        <v>0</v>
      </c>
      <c r="S36" s="20"/>
      <c r="T36" s="12"/>
      <c r="U36" s="17">
        <f t="shared" si="7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8"/>
        <v>25000</v>
      </c>
      <c r="AT36" s="15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15"/>
        <v>0</v>
      </c>
      <c r="D37" s="9">
        <f>VLOOKUP(A37,[12]HISTOBQUEOCT24!$A$6:$G$46,3,0)</f>
        <v>0</v>
      </c>
      <c r="E37" s="9">
        <f>VLOOKUP(A37,[12]HISTOBQUEOCT24!$A$6:$G$41,4,0)</f>
        <v>153000</v>
      </c>
      <c r="F37" s="9">
        <f>VLOOKUP(A37,[12]HISTOBQUEOCT24!$A$6:$G$41,5,0)</f>
        <v>0</v>
      </c>
      <c r="G37" s="5">
        <f t="shared" si="14"/>
        <v>3000</v>
      </c>
      <c r="H37" s="10" t="str">
        <f t="shared" si="0"/>
        <v>ESPECES</v>
      </c>
      <c r="I37" s="10"/>
      <c r="J37" s="11">
        <v>1</v>
      </c>
      <c r="K37" s="11">
        <f t="shared" si="6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VLOOKUP(A37,[13]TONTOCT24!$A$6:$R$39,12,0)</f>
        <v>0</v>
      </c>
      <c r="Q37" s="2">
        <f>IFERROR(VLOOKUP(A37,[14]TONTOCT24!$A$7:$P$23,10,0),0)</f>
        <v>0</v>
      </c>
      <c r="R37" s="2">
        <f>IFERROR(VLOOKUP(A37,[15]TONTOCT24!$A$7:$P$20,10,0),0)</f>
        <v>0</v>
      </c>
      <c r="S37" s="6"/>
      <c r="T37" s="12"/>
      <c r="U37" s="17">
        <f t="shared" si="7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8"/>
        <v>25000</v>
      </c>
      <c r="AT37" s="15"/>
      <c r="AV37" s="15"/>
      <c r="AW37" s="15">
        <f t="shared" si="9"/>
        <v>0</v>
      </c>
      <c r="AX37" s="15">
        <f t="shared" si="10"/>
        <v>0</v>
      </c>
      <c r="AY37" s="15">
        <f t="shared" si="11"/>
        <v>0</v>
      </c>
      <c r="AZ37" s="16">
        <f t="shared" si="12"/>
        <v>0</v>
      </c>
      <c r="BA37" s="58"/>
      <c r="BB37" s="58"/>
      <c r="BC37" s="15"/>
      <c r="BD37" s="57">
        <f t="shared" si="13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15"/>
        <v>0</v>
      </c>
      <c r="D38" s="9">
        <f>VLOOKUP(A38,[12]HISTOBQUEOCT24!$A$6:$G$46,3,0)</f>
        <v>125000</v>
      </c>
      <c r="E38" s="9">
        <f>VLOOKUP(A38,[12]HISTOBQUEOCT24!$A$6:$G$41,4,0)</f>
        <v>0</v>
      </c>
      <c r="F38" s="9">
        <f>VLOOKUP(A38,[12]HISTOBQUEOCT24!$A$6:$G$41,5,0)</f>
        <v>0</v>
      </c>
      <c r="G38" s="5">
        <f t="shared" si="14"/>
        <v>0</v>
      </c>
      <c r="H38" s="10" t="str">
        <f t="shared" si="0"/>
        <v>BANQUE</v>
      </c>
      <c r="I38" s="10"/>
      <c r="J38" s="11">
        <v>1</v>
      </c>
      <c r="K38" s="11">
        <f t="shared" si="6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VLOOKUP(A38,[13]TONTOCT24!$A$6:$R$39,12,0)</f>
        <v>0</v>
      </c>
      <c r="Q38" s="2">
        <f>IFERROR(VLOOKUP(A38,[14]TONTOCT24!$A$7:$P$23,10,0),0)</f>
        <v>0</v>
      </c>
      <c r="R38" s="2">
        <f>IFERROR(VLOOKUP(A38,[15]TONTOCT24!$A$7:$P$20,10,0),0)</f>
        <v>0</v>
      </c>
      <c r="S38" s="6"/>
      <c r="T38" s="12"/>
      <c r="U38" s="17">
        <f t="shared" si="7"/>
        <v>125000</v>
      </c>
      <c r="V38" s="12"/>
      <c r="W38" s="12"/>
      <c r="X38" s="12"/>
      <c r="Y38" s="12"/>
      <c r="Z38" s="12"/>
      <c r="AA38" s="12"/>
      <c r="AB38" s="12"/>
      <c r="AC38" s="12">
        <v>2500</v>
      </c>
      <c r="AD38" s="12">
        <v>7500</v>
      </c>
      <c r="AE38" s="12"/>
      <c r="AF38" s="12" t="s">
        <v>8</v>
      </c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8"/>
        <v>25000</v>
      </c>
      <c r="AT38" s="15"/>
      <c r="AV38" s="15"/>
      <c r="AW38" s="15">
        <f t="shared" si="9"/>
        <v>297500</v>
      </c>
      <c r="AX38" s="15">
        <f t="shared" si="10"/>
        <v>892500</v>
      </c>
      <c r="AY38" s="15">
        <f t="shared" si="11"/>
        <v>0</v>
      </c>
      <c r="AZ38" s="16">
        <f t="shared" si="12"/>
        <v>1190000</v>
      </c>
      <c r="BA38" s="58"/>
      <c r="BB38" s="58"/>
      <c r="BC38" s="15"/>
      <c r="BD38" s="57">
        <f t="shared" si="13"/>
        <v>1190000</v>
      </c>
      <c r="BE38" s="82" t="s">
        <v>186</v>
      </c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ca="1" si="16">SUM(C6:C39)</f>
        <v>-109500</v>
      </c>
      <c r="D40" s="5">
        <f t="shared" si="16"/>
        <v>6561000</v>
      </c>
      <c r="E40" s="5">
        <f t="shared" si="16"/>
        <v>633000</v>
      </c>
      <c r="F40" s="5">
        <f t="shared" si="16"/>
        <v>0</v>
      </c>
      <c r="G40" s="5">
        <f t="shared" si="16"/>
        <v>6000</v>
      </c>
      <c r="H40" s="5">
        <f t="shared" si="16"/>
        <v>0</v>
      </c>
      <c r="I40" s="5">
        <f t="shared" si="16"/>
        <v>126000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213000</v>
      </c>
      <c r="Q40" s="5">
        <f t="shared" si="16"/>
        <v>313500</v>
      </c>
      <c r="R40" s="5">
        <f t="shared" si="16"/>
        <v>1925000</v>
      </c>
      <c r="S40" s="5">
        <f t="shared" si="16"/>
        <v>100000</v>
      </c>
      <c r="T40" s="5"/>
      <c r="U40" s="5">
        <f t="shared" ref="U40:AA40" ca="1" si="17">SUM(U6:U39)</f>
        <v>7283500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7500</v>
      </c>
      <c r="AD40" s="5">
        <f>SUM(AD6:AD39)</f>
        <v>7500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120500</v>
      </c>
      <c r="AJ40" s="5">
        <f t="shared" si="18"/>
        <v>250000</v>
      </c>
      <c r="AK40" s="5">
        <f t="shared" si="18"/>
        <v>1900000</v>
      </c>
      <c r="AL40" s="5">
        <f t="shared" si="18"/>
        <v>3000</v>
      </c>
      <c r="AM40" s="5">
        <f t="shared" si="18"/>
        <v>3000</v>
      </c>
      <c r="AN40" s="5">
        <f t="shared" si="18"/>
        <v>21000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926000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1013000</v>
      </c>
      <c r="AX40" s="5">
        <f t="shared" si="18"/>
        <v>1142500</v>
      </c>
      <c r="AY40" s="5">
        <f t="shared" si="18"/>
        <v>3090000</v>
      </c>
      <c r="AZ40" s="5">
        <f t="shared" si="18"/>
        <v>5673000</v>
      </c>
      <c r="BA40" s="5">
        <f t="shared" si="18"/>
        <v>633000</v>
      </c>
      <c r="BB40" s="5">
        <f t="shared" si="18"/>
        <v>20000</v>
      </c>
      <c r="BC40" s="5">
        <f t="shared" si="18"/>
        <v>0</v>
      </c>
      <c r="BD40" s="5">
        <f t="shared" si="18"/>
        <v>6492000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6000</v>
      </c>
      <c r="BI40" s="5">
        <f t="shared" si="19"/>
        <v>321500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5673000</v>
      </c>
      <c r="D47" s="9">
        <f>SUMIFS(D8:D40,H8:H40,"BANQUE")</f>
        <v>6386000</v>
      </c>
      <c r="F47" s="9">
        <f>E40</f>
        <v>633000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10918500</v>
      </c>
    </row>
  </sheetData>
  <autoFilter ref="A5:AF38" xr:uid="{00000000-0009-0000-0000-00000D000000}"/>
  <mergeCells count="1">
    <mergeCell ref="B4:M4"/>
  </mergeCells>
  <dataValidations count="1">
    <dataValidation type="list" allowBlank="1" showInputMessage="1" showErrorMessage="1" sqref="T6:T38 AA6:AA38 AP6:AP38 AF6:AF38" xr:uid="{00000000-0002-0000-0D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Q85"/>
  <sheetViews>
    <sheetView zoomScaleNormal="100" workbookViewId="0">
      <pane xSplit="4" ySplit="5" topLeftCell="E36" activePane="bottomRight" state="frozen"/>
      <selection pane="topRight" activeCell="E1" sqref="E1"/>
      <selection pane="bottomLeft" activeCell="A6" sqref="A6"/>
      <selection pane="bottomRight" activeCell="G36" sqref="G3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0</v>
      </c>
      <c r="D6" s="9">
        <f>VLOOKUP(A6,[12]HISTOBQUENOV24!$A$6:$G$46,3,0)</f>
        <v>175000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IFERROR(CHERCHEV(A6,[13]TONTNOV24!$A$6:$R$39,12,0),0)</f>
        <v>0</v>
      </c>
      <c r="Q6" s="2">
        <f>IFERROR(VLOOKUP(A6,[14]TONTNOV24!$A$7:$P$23,10,0),0)</f>
        <v>0</v>
      </c>
      <c r="R6" s="2">
        <f>IFERROR(VLOOKUP(A6,[15]TONTNOV24!$A$7:$P$20,10,0),0)</f>
        <v>0</v>
      </c>
      <c r="S6" s="20"/>
      <c r="T6" s="12"/>
      <c r="U6" s="17">
        <f ca="1"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</f>
        <v>156000</v>
      </c>
      <c r="BE6" s="82"/>
      <c r="BF6" s="29">
        <f t="shared" ref="BF6:BF38" si="5">Z6*1/100*BG6</f>
        <v>0</v>
      </c>
      <c r="BG6" s="29">
        <v>1</v>
      </c>
      <c r="BH6" s="15">
        <f>BQ16</f>
        <v>6000</v>
      </c>
      <c r="BI6" s="15">
        <f>BQ28</f>
        <v>50000</v>
      </c>
      <c r="BJ6" s="15">
        <f>BQ33</f>
        <v>100000</v>
      </c>
      <c r="BK6" s="15"/>
      <c r="BL6" s="15"/>
      <c r="BM6" s="15"/>
      <c r="BN6" s="15">
        <f>+BQ22</f>
        <v>2000000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5">
        <f t="shared" ref="C7:C8" si="6">D7+E7+F7-U7-BB7</f>
        <v>0</v>
      </c>
      <c r="D7" s="9">
        <f>VLOOKUP(A7,[12]HISTOBQUENOV24!$A$6:$G$46,3,0)</f>
        <v>0</v>
      </c>
      <c r="E7" s="9">
        <f>VLOOKUP(A7,[12]HISTOBQUENOV24!$A$6:$G$41,4,0)</f>
        <v>50000</v>
      </c>
      <c r="F7" s="9">
        <f>VLOOKUP(A7,[12]HISTOBQUENOV24!$A$6:$G$41,5,0)</f>
        <v>0</v>
      </c>
      <c r="G7" s="5">
        <f>IF(H7="ESPECES",3000,0)-3000</f>
        <v>0</v>
      </c>
      <c r="H7" s="10" t="str">
        <f t="shared" si="0"/>
        <v>ESPECES</v>
      </c>
      <c r="I7" s="10"/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VLOOKUP(A7,[13]TONTNOV24!$A$6:$R$39,12,0)</f>
        <v>0</v>
      </c>
      <c r="Q7" s="2">
        <f>IFERROR(VLOOKUP(A7,[14]TONTNOV24!$A$7:$P$23,10,0),0)</f>
        <v>0</v>
      </c>
      <c r="R7" s="2">
        <f>IFERROR(VLOOKUP(A7,[15]TONTNOV24!$A$7:$P$20,10,0),0)</f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VLOOKUP(A8,[12]HISTOBQUENOV24!$A$6:$G$46,3,0)</f>
        <v>125000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ref="G8:G38" si="15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VLOOKUP(A8,[13]TONTNOV24!$A$6:$R$39,12,0)</f>
        <v>0</v>
      </c>
      <c r="Q8" s="2">
        <f>IFERROR(VLOOKUP(A8,[14]TONTNOV24!$A$7:$P$23,10,0),0)</f>
        <v>0</v>
      </c>
      <c r="R8" s="2">
        <f>IFERROR(VLOOKUP(A8,[15]TONTNOV24!$A$7:$P$20,10,0),0)</f>
        <v>0</v>
      </c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>
        <f t="shared" ref="C9:C38" si="16">D9+E9+F9-U9-BB9</f>
        <v>0</v>
      </c>
      <c r="D9" s="9">
        <f>VLOOKUP(A9,[12]HISTOBQUENOV24!$A$6:$G$46,3,0)+151500</f>
        <v>401500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15"/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VLOOKUP(A9,[13]TONTNOV24!$A$6:$R$39,12,0)</f>
        <v>0</v>
      </c>
      <c r="Q9" s="2">
        <f>IFERROR(VLOOKUP(A9,[14]TONTNOV24!$A$7:$P$23,10,0),0)</f>
        <v>0</v>
      </c>
      <c r="R9" s="2">
        <f>IFERROR(VLOOKUP(A9,[15]TONTNOV24!$A$7:$P$20,10,0),0)</f>
        <v>151500</v>
      </c>
      <c r="S9" s="20"/>
      <c r="T9" s="12"/>
      <c r="U9" s="17">
        <f t="shared" si="8"/>
        <v>401500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100000</v>
      </c>
      <c r="AL9" s="12"/>
      <c r="AM9" s="12"/>
      <c r="AN9" s="12">
        <v>1000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100000</v>
      </c>
      <c r="AZ9" s="16">
        <f t="shared" si="13"/>
        <v>100000</v>
      </c>
      <c r="BA9" s="58">
        <v>100000</v>
      </c>
      <c r="BB9" s="58"/>
      <c r="BC9" s="15"/>
      <c r="BD9" s="57">
        <f t="shared" si="14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>
        <f t="shared" si="16"/>
        <v>0</v>
      </c>
      <c r="D10" s="9">
        <f>VLOOKUP(A10,[12]HISTOBQUENOV24!$A$6:$G$46,3,0)+160000</f>
        <v>285000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15"/>
        <v>0</v>
      </c>
      <c r="H10" s="10" t="str">
        <f t="shared" si="0"/>
        <v>BANQUE</v>
      </c>
      <c r="I10" s="10">
        <v>-3000</v>
      </c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VLOOKUP(A10,[13]TONTNOV24!$A$6:$R$39,12,0)</f>
        <v>62000</v>
      </c>
      <c r="Q10" s="2">
        <f>IFERROR(VLOOKUP(A10,[14]TONTNOV24!$A$7:$P$23,10,0),0)</f>
        <v>101000</v>
      </c>
      <c r="R10" s="2">
        <f>IFERROR(VLOOKUP(A10,[15]TONTNOV24!$A$7:$P$20,10,0),0)</f>
        <v>0</v>
      </c>
      <c r="S10" s="20"/>
      <c r="T10" s="12"/>
      <c r="U10" s="17">
        <f t="shared" si="8"/>
        <v>285000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>
        <v>130000</v>
      </c>
      <c r="AK10" s="12"/>
      <c r="AL10" s="12">
        <v>1000</v>
      </c>
      <c r="AM10" s="12">
        <v>2000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9"/>
        <v>22000</v>
      </c>
      <c r="AT10" s="15"/>
      <c r="AV10" s="15"/>
      <c r="AW10" s="15">
        <f t="shared" si="10"/>
        <v>60000</v>
      </c>
      <c r="AX10" s="15">
        <f t="shared" si="11"/>
        <v>130000</v>
      </c>
      <c r="AY10" s="15">
        <f t="shared" si="12"/>
        <v>0</v>
      </c>
      <c r="AZ10" s="16">
        <f t="shared" si="13"/>
        <v>190000</v>
      </c>
      <c r="BA10" s="58"/>
      <c r="BB10" s="58"/>
      <c r="BC10" s="15"/>
      <c r="BD10" s="57">
        <f t="shared" si="14"/>
        <v>190000</v>
      </c>
      <c r="BE10" s="82" t="s">
        <v>186</v>
      </c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>
        <f t="shared" si="16"/>
        <v>-101000</v>
      </c>
      <c r="D11" s="9">
        <f>VLOOKUP(A11,[12]HISTOBQUENOV24!$A$6:$G$46,3,0)</f>
        <v>125000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15"/>
        <v>0</v>
      </c>
      <c r="H11" s="10" t="str">
        <f t="shared" si="0"/>
        <v>BANQUE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VLOOKUP(A11,[13]TONTNOV24!$A$6:$R$39,12,0)</f>
        <v>0</v>
      </c>
      <c r="Q11" s="2">
        <f>IFERROR(VLOOKUP(A11,[14]TONTNOV24!$A$7:$P$23,10,0),0)</f>
        <v>101000</v>
      </c>
      <c r="R11" s="2">
        <f>IFERROR(VLOOKUP(A11,[15]TONTNOV24!$A$7:$P$20,10,0),0)</f>
        <v>0</v>
      </c>
      <c r="S11" s="20"/>
      <c r="T11" s="12"/>
      <c r="U11" s="17">
        <f t="shared" si="8"/>
        <v>226000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101000</v>
      </c>
      <c r="AK11" s="12"/>
      <c r="AL11" s="12"/>
      <c r="AM11" s="12">
        <v>2000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101000</v>
      </c>
      <c r="AY11" s="15">
        <f t="shared" si="12"/>
        <v>0</v>
      </c>
      <c r="AZ11" s="16">
        <f t="shared" si="13"/>
        <v>101000</v>
      </c>
      <c r="BA11" s="58"/>
      <c r="BB11" s="58"/>
      <c r="BC11" s="15"/>
      <c r="BD11" s="57">
        <f>IF(AZ11=0,(AZ11-BA11-BC11),(AZ11-BA11-BB11-BC11))-101000</f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16"/>
        <v>0</v>
      </c>
      <c r="D12" s="9">
        <f>VLOOKUP(A12,[12]HISTOBQUENOV24!$A$6:$G$46,3,0)+406000</f>
        <v>736000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15"/>
        <v>0</v>
      </c>
      <c r="H12" s="10" t="str">
        <f t="shared" si="0"/>
        <v>BANQUE</v>
      </c>
      <c r="I12" s="10">
        <v>7000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VLOOKUP(A12,[13]TONTNOV24!$A$6:$R$39,12,0)</f>
        <v>0</v>
      </c>
      <c r="Q12" s="2">
        <f>IFERROR(VLOOKUP(A12,[14]TONTNOV24!$A$7:$P$23,10,0),0)</f>
        <v>0</v>
      </c>
      <c r="R12" s="2">
        <f>IFERROR(VLOOKUP(A12,[15]TONTNOV24!$A$7:$P$20,10,0),0)</f>
        <v>404000</v>
      </c>
      <c r="S12" s="20"/>
      <c r="T12" s="12"/>
      <c r="U12" s="17">
        <f t="shared" si="8"/>
        <v>736000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60000</v>
      </c>
      <c r="AJ12" s="12">
        <v>100500</v>
      </c>
      <c r="AK12" s="12">
        <v>500000</v>
      </c>
      <c r="AL12" s="12">
        <v>1000</v>
      </c>
      <c r="AM12" s="12">
        <v>1000</v>
      </c>
      <c r="AN12" s="12">
        <v>5000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9"/>
        <v>32000</v>
      </c>
      <c r="AT12" s="15"/>
      <c r="AV12" s="15"/>
      <c r="AW12" s="15">
        <f t="shared" si="10"/>
        <v>60000</v>
      </c>
      <c r="AX12" s="15">
        <f t="shared" si="11"/>
        <v>100500</v>
      </c>
      <c r="AY12" s="15">
        <f t="shared" si="12"/>
        <v>500000</v>
      </c>
      <c r="AZ12" s="16">
        <f t="shared" si="13"/>
        <v>660500</v>
      </c>
      <c r="BA12" s="58">
        <v>60000</v>
      </c>
      <c r="BB12" s="58"/>
      <c r="BC12" s="15"/>
      <c r="BD12" s="57">
        <f t="shared" si="14"/>
        <v>600500</v>
      </c>
      <c r="BE12" s="82" t="s">
        <v>186</v>
      </c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>
        <f t="shared" si="16"/>
        <v>0</v>
      </c>
      <c r="D13" s="9">
        <f>VLOOKUP(A13,[12]HISTOBQUENOV24!$A$6:$G$46,3,0)</f>
        <v>50000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15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VLOOKUP(A13,[13]TONTNOV24!$A$6:$R$39,12,0)</f>
        <v>0</v>
      </c>
      <c r="Q13" s="2">
        <f>IFERROR(VLOOKUP(A13,[14]TONTNOV24!$A$7:$P$23,10,0),0)</f>
        <v>0</v>
      </c>
      <c r="R13" s="2">
        <f>IFERROR(VLOOKUP(A13,[15]TONTNOV24!$A$7:$P$20,10,0),0)</f>
        <v>0</v>
      </c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 t="s">
        <v>8</v>
      </c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>
        <f t="shared" si="16"/>
        <v>-3000</v>
      </c>
      <c r="D14" s="9">
        <f>VLOOKUP(A14,[12]HISTOBQUENOV24!$A$6:$G$46,3,0)</f>
        <v>0</v>
      </c>
      <c r="E14" s="9">
        <f>VLOOKUP(A14,[12]HISTOBQUENOV24!$A$6:$G$41,4,0)</f>
        <v>50000</v>
      </c>
      <c r="F14" s="9">
        <f>VLOOKUP(A14,[12]HISTOBQUENOV24!$A$6:$G$41,5,0)</f>
        <v>0</v>
      </c>
      <c r="G14" s="5">
        <f>IF(H14="ESPECES",3000,0)</f>
        <v>3000</v>
      </c>
      <c r="H14" s="10" t="str">
        <f t="shared" si="0"/>
        <v>ESPECES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VLOOKUP(A14,[13]TONTNOV24!$A$6:$R$39,12,0)</f>
        <v>0</v>
      </c>
      <c r="Q14" s="2">
        <f>IFERROR(VLOOKUP(A14,[14]TONTNOV24!$A$7:$P$23,10,0),0)</f>
        <v>0</v>
      </c>
      <c r="R14" s="2">
        <f>IFERROR(VLOOKUP(A14,[15]TONTNOV24!$A$7:$P$20,10,0),0)</f>
        <v>0</v>
      </c>
      <c r="S14" s="20"/>
      <c r="T14" s="12"/>
      <c r="U14" s="17">
        <f t="shared" si="8"/>
        <v>53000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 t="s">
        <v>8</v>
      </c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297500</v>
      </c>
      <c r="AX14" s="15">
        <f t="shared" si="11"/>
        <v>0</v>
      </c>
      <c r="AY14" s="15">
        <f t="shared" si="12"/>
        <v>0</v>
      </c>
      <c r="AZ14" s="16">
        <f t="shared" si="13"/>
        <v>297500</v>
      </c>
      <c r="BA14" s="58"/>
      <c r="BB14" s="58"/>
      <c r="BC14" s="15"/>
      <c r="BD14" s="57">
        <f t="shared" si="14"/>
        <v>297500</v>
      </c>
      <c r="BE14" s="82" t="s">
        <v>186</v>
      </c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P14" t="s">
        <v>114</v>
      </c>
      <c r="BQ14" s="6"/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>
        <f t="shared" si="16"/>
        <v>0</v>
      </c>
      <c r="D15" s="9">
        <f>VLOOKUP(A15,[12]HISTOBQUENOV24!$A$6:$G$46,3,0)</f>
        <v>125000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15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VLOOKUP(A15,[13]TONTNOV24!$A$6:$R$39,12,0)</f>
        <v>0</v>
      </c>
      <c r="Q15" s="2">
        <f>IFERROR(VLOOKUP(A15,[14]TONTNOV24!$A$7:$P$23,10,0),0)</f>
        <v>0</v>
      </c>
      <c r="R15" s="2">
        <f>IFERROR(VLOOKUP(A15,[15]TONTNOV24!$A$7:$P$20,10,0),0)</f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>
        <f t="shared" si="16"/>
        <v>10000</v>
      </c>
      <c r="D16" s="9">
        <f>VLOOKUP(A16,[12]HISTOBQUENOV24!$A$6:$G$46,3,0)+283000</f>
        <v>543000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15"/>
        <v>0</v>
      </c>
      <c r="H16" s="10" t="str">
        <f t="shared" si="0"/>
        <v>BANQUE</v>
      </c>
      <c r="I16" s="10">
        <f>15000-10000</f>
        <v>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VLOOKUP(A16,[13]TONTNOV24!$A$6:$R$39,12,0)</f>
        <v>0</v>
      </c>
      <c r="Q16" s="2">
        <f>IFERROR(VLOOKUP(A16,[14]TONTNOV24!$A$7:$P$23,10,0),0)</f>
        <v>0</v>
      </c>
      <c r="R16" s="2">
        <f>IFERROR(VLOOKUP(A16,[15]TONTNOV24!$A$7:$P$20,10,0),0)</f>
        <v>303000</v>
      </c>
      <c r="S16" s="20"/>
      <c r="T16" s="12"/>
      <c r="U16" s="17">
        <f t="shared" si="8"/>
        <v>533000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v>200000</v>
      </c>
      <c r="AK16" s="12">
        <v>200000</v>
      </c>
      <c r="AL16" s="12"/>
      <c r="AM16" s="12">
        <v>2000</v>
      </c>
      <c r="AN16" s="12">
        <v>2000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9"/>
        <v>30000</v>
      </c>
      <c r="AT16" s="15"/>
      <c r="AV16" s="15"/>
      <c r="AW16" s="15">
        <f t="shared" si="10"/>
        <v>0</v>
      </c>
      <c r="AX16" s="15">
        <f t="shared" si="11"/>
        <v>200000</v>
      </c>
      <c r="AY16" s="15">
        <f t="shared" si="12"/>
        <v>200000</v>
      </c>
      <c r="AZ16" s="16">
        <f t="shared" si="13"/>
        <v>400000</v>
      </c>
      <c r="BA16" s="58"/>
      <c r="BB16" s="58"/>
      <c r="BC16" s="15"/>
      <c r="BD16" s="57">
        <f t="shared" si="14"/>
        <v>400000</v>
      </c>
      <c r="BE16" s="82" t="s">
        <v>186</v>
      </c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>
        <f t="shared" si="16"/>
        <v>-101500</v>
      </c>
      <c r="D17" s="9">
        <f>VLOOKUP(A17,[12]HISTOBQUENOV24!$A$6:$G$46,3,0)+50000</f>
        <v>200000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15"/>
        <v>0</v>
      </c>
      <c r="H17" s="10" t="str">
        <f t="shared" si="0"/>
        <v>BANQUE</v>
      </c>
      <c r="I17" s="10"/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VLOOKUP(A17,[13]TONTNOV24!$A$6:$R$39,12,0)</f>
        <v>0</v>
      </c>
      <c r="Q17" s="2">
        <f>IFERROR(VLOOKUP(A17,[14]TONTNOV24!$A$7:$P$23,10,0),0)</f>
        <v>0</v>
      </c>
      <c r="R17" s="2">
        <f>IFERROR(VLOOKUP(A17,[15]TONTNOV24!$A$7:$P$20,10,0),0)</f>
        <v>151500</v>
      </c>
      <c r="S17" s="20"/>
      <c r="T17" s="12"/>
      <c r="U17" s="17">
        <f t="shared" si="8"/>
        <v>301500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101500</v>
      </c>
      <c r="AL17" s="12"/>
      <c r="AM17" s="12"/>
      <c r="AN17" s="12">
        <v>3000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101500</v>
      </c>
      <c r="AZ17" s="16">
        <f t="shared" si="13"/>
        <v>101500</v>
      </c>
      <c r="BA17" s="58"/>
      <c r="BB17" s="58"/>
      <c r="BC17" s="15"/>
      <c r="BD17" s="57">
        <f>IF(AZ17=0,(AZ17-BA17-BC17),(AZ17-BA17-BB17-BC17))-101500</f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14">
        <f t="shared" si="16"/>
        <v>3000</v>
      </c>
      <c r="D18" s="9">
        <f>VLOOKUP(A18,[12]HISTOBQUENOV24!$A$6:$G$46,3,0)</f>
        <v>0</v>
      </c>
      <c r="E18" s="9">
        <f>VLOOKUP(A18,[12]HISTOBQUENOV24!$A$6:$G$41,4,0)</f>
        <v>160000</v>
      </c>
      <c r="F18" s="9">
        <f>VLOOKUP(A18,[12]HISTOBQUENOV24!$A$6:$G$41,5,0)</f>
        <v>0</v>
      </c>
      <c r="G18" s="5">
        <f>IF(H18="ESPECES",3000,0)</f>
        <v>3000</v>
      </c>
      <c r="H18" s="10" t="str">
        <f t="shared" si="0"/>
        <v>ESPECES</v>
      </c>
      <c r="I18" s="10">
        <v>4000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VLOOKUP(A18,[13]TONTNOV24!$A$6:$R$39,12,0)</f>
        <v>0</v>
      </c>
      <c r="Q18" s="2">
        <f>IFERROR(VLOOKUP(A18,[14]TONTNOV24!$A$7:$P$23,10,0),0)</f>
        <v>0</v>
      </c>
      <c r="R18" s="2">
        <f>IFERROR(VLOOKUP(A18,[15]TONTNOV24!$A$7:$P$20,10,0),0)</f>
        <v>0</v>
      </c>
      <c r="S18" s="20"/>
      <c r="T18" s="12"/>
      <c r="U18" s="17">
        <f t="shared" si="8"/>
        <v>157000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29000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100000</v>
      </c>
      <c r="AZ18" s="16">
        <f t="shared" si="13"/>
        <v>100000</v>
      </c>
      <c r="BA18" s="58">
        <v>100000</v>
      </c>
      <c r="BB18" s="58"/>
      <c r="BC18" s="15"/>
      <c r="BD18" s="57">
        <f t="shared" si="14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2000000</v>
      </c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16"/>
        <v>0</v>
      </c>
      <c r="D19" s="9">
        <f>VLOOKUP(A19,[12]HISTOBQUENOV24!$A$6:$G$46,3,0)</f>
        <v>50000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15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VLOOKUP(A19,[13]TONTNOV24!$A$6:$R$39,12,0)</f>
        <v>0</v>
      </c>
      <c r="Q19" s="2">
        <f>IFERROR(VLOOKUP(A19,[14]TONTNOV24!$A$7:$P$23,10,0),0)</f>
        <v>0</v>
      </c>
      <c r="R19" s="2">
        <f>IFERROR(VLOOKUP(A19,[15]TONTNOV24!$A$7:$P$20,10,0),0)</f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16"/>
        <v>0</v>
      </c>
      <c r="D20" s="9">
        <f>VLOOKUP(A20,[12]HISTOBQUENOV24!$A$6:$G$46,3,0)+404000</f>
        <v>629000</v>
      </c>
      <c r="E20" s="9">
        <f>VLOOKUP(A20,[12]HISTOBQUENOV24!$A$6:$G$41,4,0)</f>
        <v>51000</v>
      </c>
      <c r="F20" s="9">
        <f>VLOOKUP(A20,[12]HISTOBQUENOV24!$A$6:$G$41,5,0)</f>
        <v>0</v>
      </c>
      <c r="G20" s="5">
        <f t="shared" si="15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VLOOKUP(A20,[13]TONTNOV24!$A$6:$R$39,12,0)</f>
        <v>0</v>
      </c>
      <c r="Q20" s="2">
        <f>IFERROR(VLOOKUP(A20,[14]TONTNOV24!$A$7:$P$23,10,0),0)</f>
        <v>51000</v>
      </c>
      <c r="R20" s="2">
        <f>IFERROR(VLOOKUP(A20,[15]TONTNOV24!$A$7:$P$20,10,0),0)</f>
        <v>404000</v>
      </c>
      <c r="S20" s="20"/>
      <c r="T20" s="12"/>
      <c r="U20" s="17">
        <f t="shared" si="8"/>
        <v>680000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130000</v>
      </c>
      <c r="AJ20" s="12">
        <v>200000</v>
      </c>
      <c r="AK20" s="12">
        <v>200000</v>
      </c>
      <c r="AL20" s="12">
        <v>2000</v>
      </c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130000</v>
      </c>
      <c r="AX20" s="15">
        <f t="shared" si="11"/>
        <v>200000</v>
      </c>
      <c r="AY20" s="15">
        <f t="shared" si="12"/>
        <v>200000</v>
      </c>
      <c r="AZ20" s="16">
        <f t="shared" si="13"/>
        <v>536000</v>
      </c>
      <c r="BA20" s="58">
        <v>147000</v>
      </c>
      <c r="BB20" s="58"/>
      <c r="BC20" s="15"/>
      <c r="BD20" s="57">
        <f t="shared" si="14"/>
        <v>389000</v>
      </c>
      <c r="BE20" s="82" t="s">
        <v>186</v>
      </c>
      <c r="BF20" s="29">
        <f t="shared" si="5"/>
        <v>0</v>
      </c>
      <c r="BG20" s="29">
        <v>1</v>
      </c>
      <c r="BH20" s="15"/>
      <c r="BI20" s="15"/>
      <c r="BJ20" s="15"/>
      <c r="BK20" s="15">
        <v>6000</v>
      </c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>
        <f t="shared" si="16"/>
        <v>0</v>
      </c>
      <c r="D21" s="9">
        <f>VLOOKUP(A21,[12]HISTOBQUENOV24!$A$6:$G$46,3,0)</f>
        <v>50000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15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VLOOKUP(A21,[13]TONTNOV24!$A$6:$R$39,12,0)</f>
        <v>0</v>
      </c>
      <c r="Q21" s="2">
        <f>IFERROR(VLOOKUP(A21,[14]TONTNOV24!$A$7:$P$23,10,0),0)</f>
        <v>0</v>
      </c>
      <c r="R21" s="2">
        <f>IFERROR(VLOOKUP(A21,[15]TONTNOV24!$A$7:$P$20,10,0),0)</f>
        <v>0</v>
      </c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16"/>
        <v>0</v>
      </c>
      <c r="D22" s="9">
        <f>VLOOKUP(A22,[12]HISTOBQUENOV24!$A$6:$G$46,3,0)</f>
        <v>125000</v>
      </c>
      <c r="E22" s="9">
        <f>VLOOKUP(A22,[12]HISTOBQUENOV24!$A$6:$G$41,4,0)</f>
        <v>0</v>
      </c>
      <c r="F22" s="9">
        <f>VLOOKUP(A22,[12]HISTOBQUENOV24!$A$6:$G$41,5,0)+892500</f>
        <v>892500</v>
      </c>
      <c r="G22" s="5">
        <f t="shared" si="15"/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VLOOKUP(A22,[13]TONTNOV24!$A$6:$R$39,12,0)</f>
        <v>0</v>
      </c>
      <c r="Q22" s="2">
        <f>IFERROR(VLOOKUP(A22,[14]TONTNOV24!$A$7:$P$23,10,0),0)</f>
        <v>0</v>
      </c>
      <c r="R22" s="2">
        <f>IFERROR(VLOOKUP(A22,[15]TONTNOV24!$A$7:$P$20,10,0),0)</f>
        <v>0</v>
      </c>
      <c r="S22" s="20">
        <v>892500</v>
      </c>
      <c r="T22" s="12" t="s">
        <v>8</v>
      </c>
      <c r="U22" s="17">
        <f t="shared" si="8"/>
        <v>1017500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892500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2000000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>
        <f t="shared" si="16"/>
        <v>0</v>
      </c>
      <c r="D23" s="9">
        <f>VLOOKUP(A23,[12]HISTOBQUENOV24!$A$6:$G$46,3,0)+[12]HISTOBQUENOV24!$K$23</f>
        <v>462000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15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VLOOKUP(A23,[13]TONTNOV24!$A$6:$R$39,12,0)</f>
        <v>0</v>
      </c>
      <c r="Q23" s="2">
        <f>IFERROR(VLOOKUP(A23,[14]TONTNOV24!$A$7:$P$23,10,0),0)</f>
        <v>0</v>
      </c>
      <c r="R23" s="2">
        <f>IFERROR(VLOOKUP(A23,[15]TONTNOV24!$A$7:$P$20,10,0),0)</f>
        <v>202000</v>
      </c>
      <c r="S23" s="20"/>
      <c r="T23" s="12"/>
      <c r="U23" s="17">
        <f t="shared" si="8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400000</v>
      </c>
      <c r="AL23" s="12"/>
      <c r="AM23" s="12"/>
      <c r="AN23" s="12">
        <v>4000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400000</v>
      </c>
      <c r="AZ23" s="16">
        <f t="shared" si="13"/>
        <v>400000</v>
      </c>
      <c r="BA23" s="58"/>
      <c r="BB23" s="58"/>
      <c r="BC23" s="15"/>
      <c r="BD23" s="57">
        <f t="shared" si="14"/>
        <v>400000</v>
      </c>
      <c r="BE23" s="82" t="s">
        <v>186</v>
      </c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>
        <f t="shared" si="16"/>
        <v>0</v>
      </c>
      <c r="D24" s="9">
        <f>VLOOKUP(A24,[12]HISTOBQUENOV24!$A$6:$G$46,3,0)+15000</f>
        <v>240000</v>
      </c>
      <c r="E24" s="9">
        <f>VLOOKUP(A24,[12]HISTOBQUENOV24!$A$6:$G$41,4,0)</f>
        <v>205000</v>
      </c>
      <c r="F24" s="9">
        <f>VLOOKUP(A24,[12]HISTOBQUENOV24!$A$6:$G$41,5,0)</f>
        <v>0</v>
      </c>
      <c r="G24" s="5">
        <f>IF(H24="ESPECES",3000,0)+3000</f>
        <v>3000</v>
      </c>
      <c r="H24" s="10" t="str">
        <f t="shared" si="0"/>
        <v>BANQUE</v>
      </c>
      <c r="I24" s="10"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VLOOKUP(A24,[13]TONTNOV24!$A$6:$R$39,12,0)</f>
        <v>0</v>
      </c>
      <c r="Q24" s="2">
        <f>IFERROR(VLOOKUP(A24,[14]TONTNOV24!$A$7:$P$23,10,0),0)</f>
        <v>0</v>
      </c>
      <c r="R24" s="2">
        <f>IFERROR(VLOOKUP(A24,[15]TONTNOV24!$A$7:$P$20,10,0),0)</f>
        <v>202000</v>
      </c>
      <c r="S24" s="20"/>
      <c r="T24" s="12"/>
      <c r="U24" s="17">
        <f t="shared" si="8"/>
        <v>445000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202000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202000</v>
      </c>
      <c r="AZ24" s="16">
        <f t="shared" si="13"/>
        <v>202000</v>
      </c>
      <c r="BA24" s="58">
        <v>202000</v>
      </c>
      <c r="BB24" s="58"/>
      <c r="BC24" s="15"/>
      <c r="BD24" s="57">
        <f t="shared" si="14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16"/>
        <v>0</v>
      </c>
      <c r="D25" s="9">
        <f>VLOOKUP(A25,[12]HISTOBQUENOV24!$A$6:$G$46,3,0)+105000</f>
        <v>480000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15"/>
        <v>0</v>
      </c>
      <c r="H25" s="10" t="str">
        <f t="shared" si="0"/>
        <v>BANQUE</v>
      </c>
      <c r="I25" s="10">
        <v>4000</v>
      </c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VLOOKUP(A25,[13]TONTNOV24!$A$6:$R$39,12,0)</f>
        <v>0</v>
      </c>
      <c r="Q25" s="2">
        <f>IFERROR(VLOOKUP(A25,[14]TONTNOV24!$A$7:$P$23,10,0),0)</f>
        <v>0</v>
      </c>
      <c r="R25" s="2">
        <f>IFERROR(VLOOKUP(A25,[15]TONTNOV24!$A$7:$P$20,10,0),0)</f>
        <v>101000</v>
      </c>
      <c r="S25" s="20"/>
      <c r="T25" s="12"/>
      <c r="U25" s="17">
        <f t="shared" si="8"/>
        <v>480000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29000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0</v>
      </c>
      <c r="BA25" s="58"/>
      <c r="BB25" s="58"/>
      <c r="BC25" s="15"/>
      <c r="BD25" s="57">
        <f>IF(AZ25=0,(AZ25-BA25-BC25),(AZ25-BA25-BB25-BC25))+2000000</f>
        <v>2000000</v>
      </c>
      <c r="BE25" s="82" t="s">
        <v>186</v>
      </c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16"/>
        <v>0</v>
      </c>
      <c r="D26" s="9">
        <f>VLOOKUP(A26,[12]HISTOBQUENOV24!$A$6:$G$46,3,0)</f>
        <v>50000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15"/>
        <v>0</v>
      </c>
      <c r="H26" s="10" t="str">
        <f t="shared" si="0"/>
        <v>BANQUE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VLOOKUP(A26,[13]TONTNOV24!$A$6:$R$39,12,0)</f>
        <v>0</v>
      </c>
      <c r="Q26" s="2">
        <f>IFERROR(VLOOKUP(A26,[14]TONTNOV24!$A$7:$P$23,10,0),0)</f>
        <v>0</v>
      </c>
      <c r="R26" s="2">
        <f>IFERROR(VLOOKUP(A26,[15]TONTNOV24!$A$7:$P$20,10,0),0)</f>
        <v>0</v>
      </c>
      <c r="S26" s="20"/>
      <c r="T26" s="12"/>
      <c r="U26" s="17">
        <f t="shared" si="8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0</v>
      </c>
      <c r="BA26" s="58"/>
      <c r="BB26" s="58"/>
      <c r="BC26" s="15"/>
      <c r="BD26" s="57">
        <f t="shared" si="14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>
        <f t="shared" si="16"/>
        <v>0</v>
      </c>
      <c r="D27" s="9">
        <f>VLOOKUP(A27,[12]HISTOBQUENOV24!$A$6:$G$46,3,0)</f>
        <v>50000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15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VLOOKUP(A27,[13]TONTNOV24!$A$6:$R$39,12,0)</f>
        <v>0</v>
      </c>
      <c r="Q27" s="2">
        <f>IFERROR(VLOOKUP(A27,[14]TONTNOV24!$A$7:$P$23,10,0),0)</f>
        <v>0</v>
      </c>
      <c r="R27" s="2">
        <f>IFERROR(VLOOKUP(A27,[15]TONTNOV24!$A$7:$P$20,10,0),0)</f>
        <v>0</v>
      </c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O27" t="s">
        <v>217</v>
      </c>
      <c r="BQ27" s="6">
        <v>50000</v>
      </c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16"/>
        <v>0</v>
      </c>
      <c r="D28" s="9">
        <f>VLOOKUP(A28,[12]HISTOBQUENOV24!$A$6:$G$46,3,0)</f>
        <v>125000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15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VLOOKUP(A28,[13]TONTNOV24!$A$6:$R$39,12,0)</f>
        <v>0</v>
      </c>
      <c r="Q28" s="2">
        <f>IFERROR(VLOOKUP(A28,[14]TONTNOV24!$A$7:$P$23,10,0),0)</f>
        <v>0</v>
      </c>
      <c r="R28" s="2">
        <f>IFERROR(VLOOKUP(A28,[15]TONTNOV24!$A$7:$P$20,10,0),0)</f>
        <v>0</v>
      </c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O28" s="62" t="s">
        <v>142</v>
      </c>
      <c r="BQ28" s="62">
        <f>SUM(BQ24:BQ27)</f>
        <v>50000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>
        <f t="shared" si="16"/>
        <v>0</v>
      </c>
      <c r="D29" s="9">
        <f>VLOOKUP(A29,[12]HISTOBQUENOV24!$A$6:$G$46,3,0)+70000</f>
        <v>120000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15"/>
        <v>0</v>
      </c>
      <c r="H29" s="10" t="str">
        <f t="shared" si="0"/>
        <v>BANQUE</v>
      </c>
      <c r="I29" s="10">
        <v>8500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VLOOKUP(A29,[13]TONTNOV24!$A$6:$R$39,12,0)</f>
        <v>61500</v>
      </c>
      <c r="Q29" s="2">
        <f>IFERROR(VLOOKUP(A29,[14]TONTNOV24!$A$7:$P$23,10,0),0)</f>
        <v>0</v>
      </c>
      <c r="R29" s="2">
        <f>IFERROR(VLOOKUP(A29,[15]TONTNOV24!$A$7:$P$20,10,0),0)</f>
        <v>0</v>
      </c>
      <c r="S29" s="20"/>
      <c r="T29" s="12"/>
      <c r="U29" s="17">
        <f t="shared" si="8"/>
        <v>120000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60000</v>
      </c>
      <c r="AJ29" s="12"/>
      <c r="AK29" s="12"/>
      <c r="AL29" s="12">
        <v>1000</v>
      </c>
      <c r="AM29" s="12"/>
      <c r="AN29" s="12"/>
      <c r="AO29" s="12"/>
      <c r="AP29" s="12" t="s">
        <v>8</v>
      </c>
      <c r="AQ29" s="8">
        <f t="shared" si="3"/>
        <v>0</v>
      </c>
      <c r="AR29" s="8">
        <f t="shared" si="4"/>
        <v>0</v>
      </c>
      <c r="AS29" s="13">
        <f t="shared" si="9"/>
        <v>33500</v>
      </c>
      <c r="AT29" s="15"/>
      <c r="AV29" s="15"/>
      <c r="AW29" s="15">
        <f t="shared" si="10"/>
        <v>60000</v>
      </c>
      <c r="AX29" s="15">
        <f t="shared" si="11"/>
        <v>0</v>
      </c>
      <c r="AY29" s="15">
        <f t="shared" si="12"/>
        <v>0</v>
      </c>
      <c r="AZ29" s="16">
        <f t="shared" si="13"/>
        <v>160000</v>
      </c>
      <c r="BA29" s="58">
        <v>60000</v>
      </c>
      <c r="BB29" s="58"/>
      <c r="BC29" s="15"/>
      <c r="BD29" s="57">
        <f t="shared" si="14"/>
        <v>100000</v>
      </c>
      <c r="BE29" s="82" t="s">
        <v>186</v>
      </c>
      <c r="BF29" s="29">
        <f t="shared" si="5"/>
        <v>0</v>
      </c>
      <c r="BG29" s="29">
        <v>1</v>
      </c>
      <c r="BH29" s="15"/>
      <c r="BI29" s="15"/>
      <c r="BJ29" s="15"/>
      <c r="BK29" s="15">
        <v>100000</v>
      </c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>
        <f t="shared" si="16"/>
        <v>0</v>
      </c>
      <c r="D30" s="9">
        <f>VLOOKUP(A30,[12]HISTOBQUENOV24!$A$6:$G$46,3,0)</f>
        <v>250000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15"/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VLOOKUP(A30,[13]TONTNOV24!$A$6:$R$39,12,0)</f>
        <v>0</v>
      </c>
      <c r="Q30" s="2">
        <f>IFERROR(VLOOKUP(A30,[14]TONTNOV24!$A$7:$P$23,10,0),0)</f>
        <v>0</v>
      </c>
      <c r="R30" s="2">
        <f>IFERROR(VLOOKUP(A30,[15]TONTNOV24!$A$7:$P$20,10,0),0)</f>
        <v>0</v>
      </c>
      <c r="S30" s="20"/>
      <c r="T30" s="12"/>
      <c r="U30" s="17">
        <f t="shared" si="8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>
        <v>200000</v>
      </c>
      <c r="AL30" s="12"/>
      <c r="AM30" s="12"/>
      <c r="AN30" s="12">
        <v>2000</v>
      </c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200000</v>
      </c>
      <c r="AZ30" s="16">
        <f t="shared" si="13"/>
        <v>200000</v>
      </c>
      <c r="BA30" s="58"/>
      <c r="BB30" s="58"/>
      <c r="BC30" s="15"/>
      <c r="BD30" s="57">
        <f t="shared" si="14"/>
        <v>200000</v>
      </c>
      <c r="BE30" s="82" t="s">
        <v>186</v>
      </c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>
        <v>100000</v>
      </c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>
        <f t="shared" si="16"/>
        <v>0</v>
      </c>
      <c r="D31" s="9">
        <f>VLOOKUP(A31,[12]HISTOBQUENOV24!$A$6:$G$46,3,0)</f>
        <v>150000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15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VLOOKUP(A31,[13]TONTNOV24!$A$6:$R$39,12,0)</f>
        <v>0</v>
      </c>
      <c r="Q31" s="2">
        <f>IFERROR(VLOOKUP(A31,[14]TONTNOV24!$A$7:$P$23,10,0),0)</f>
        <v>0</v>
      </c>
      <c r="R31" s="2">
        <f>IFERROR(VLOOKUP(A31,[15]TONTNOV24!$A$7:$P$20,10,0),0)</f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>
        <f t="shared" si="16"/>
        <v>0</v>
      </c>
      <c r="D32" s="9">
        <f>VLOOKUP(A32,[12]HISTOBQUENOV24!$A$6:$G$46,3,0)</f>
        <v>125000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15"/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VLOOKUP(A32,[13]TONTNOV24!$A$6:$R$39,12,0)</f>
        <v>0</v>
      </c>
      <c r="Q32" s="2">
        <f>IFERROR(VLOOKUP(A32,[14]TONTNOV24!$A$7:$P$23,10,0),0)</f>
        <v>0</v>
      </c>
      <c r="R32" s="2">
        <f>IFERROR(VLOOKUP(A32,[15]TONTNOV24!$A$7:$P$20,10,0),0)</f>
        <v>0</v>
      </c>
      <c r="S32" s="20"/>
      <c r="T32" s="12"/>
      <c r="U32" s="17">
        <f t="shared" si="8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200000</v>
      </c>
      <c r="AK32" s="12"/>
      <c r="AL32" s="12"/>
      <c r="AM32" s="12">
        <v>2000</v>
      </c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200000</v>
      </c>
      <c r="AY32" s="15">
        <f t="shared" si="12"/>
        <v>0</v>
      </c>
      <c r="AZ32" s="16">
        <f t="shared" si="13"/>
        <v>200000</v>
      </c>
      <c r="BA32" s="58"/>
      <c r="BB32" s="58"/>
      <c r="BC32" s="15"/>
      <c r="BD32" s="57">
        <f t="shared" si="14"/>
        <v>200000</v>
      </c>
      <c r="BE32" s="82" t="s">
        <v>186</v>
      </c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16"/>
        <v>0</v>
      </c>
      <c r="D33" s="9">
        <f>VLOOKUP(A33,[12]HISTOBQUENOV24!$A$6:$G$46,3,0)+10000</f>
        <v>160000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15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VLOOKUP(A33,[13]TONTNOV24!$A$6:$R$39,12,0)</f>
        <v>0</v>
      </c>
      <c r="Q33" s="2">
        <f>IFERROR(VLOOKUP(A33,[14]TONTNOV24!$A$7:$P$23,10,0),0)</f>
        <v>0</v>
      </c>
      <c r="R33" s="2">
        <f>IFERROR(VLOOKUP(A33,[15]TONTNOV24!$A$7:$P$20,10,0),0)</f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100000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16"/>
        <v>0</v>
      </c>
      <c r="D34" s="9">
        <f>VLOOKUP(A34,[12]HISTOBQUENOV24!$A$6:$G$46,3,0)</f>
        <v>50000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15"/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VLOOKUP(A34,[13]TONTNOV24!$A$6:$R$39,12,0)</f>
        <v>0</v>
      </c>
      <c r="Q34" s="2">
        <f>IFERROR(VLOOKUP(A34,[14]TONTNOV24!$A$7:$P$23,10,0),0)</f>
        <v>0</v>
      </c>
      <c r="R34" s="2">
        <f>IFERROR(VLOOKUP(A34,[15]TONTNOV24!$A$7:$P$20,10,0),0)</f>
        <v>0</v>
      </c>
      <c r="S34" s="20"/>
      <c r="T34" s="12"/>
      <c r="U34" s="17">
        <f t="shared" si="8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100000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16"/>
        <v>0</v>
      </c>
      <c r="D35" s="9">
        <f>VLOOKUP(A35,[12]HISTOBQUENOV24!$A$6:$G$46,3,0)</f>
        <v>60000</v>
      </c>
      <c r="E35" s="9">
        <f>VLOOKUP(A35,[12]HISTOBQUENOV24!$A$6:$G$41,4,0)</f>
        <v>0</v>
      </c>
      <c r="F35" s="9">
        <f>VLOOKUP(A35,[12]HISTOBQUENOV24!$A$6:$G$41,5,0)+297500</f>
        <v>297500</v>
      </c>
      <c r="G35" s="5">
        <f t="shared" si="15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VLOOKUP(A35,[13]TONTNOV24!$A$6:$R$39,12,0)</f>
        <v>0</v>
      </c>
      <c r="Q35" s="2">
        <f>IFERROR(VLOOKUP(A35,[14]TONTNOV24!$A$7:$P$23,10,0),0)</f>
        <v>0</v>
      </c>
      <c r="R35" s="2">
        <f>IFERROR(VLOOKUP(A35,[15]TONTNOV24!$A$7:$P$20,10,0),0)</f>
        <v>0</v>
      </c>
      <c r="S35" s="20">
        <v>297500</v>
      </c>
      <c r="T35" s="12" t="s">
        <v>8</v>
      </c>
      <c r="U35" s="17">
        <f t="shared" si="8"/>
        <v>357500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297500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16"/>
        <v>-3000</v>
      </c>
      <c r="D36" s="9">
        <f>VLOOKUP(A36,[12]HISTOBQUENOV24!$A$6:$G$46,3,0)</f>
        <v>50000</v>
      </c>
      <c r="E36" s="9">
        <f>VLOOKUP(A36,[12]HISTOBQUENOV24!$A$6:$G$41,4,0)</f>
        <v>0</v>
      </c>
      <c r="F36" s="9">
        <f>VLOOKUP(A36,[12]HISTOBQUENOV24!$A$6:$G$41,5,0)</f>
        <v>0</v>
      </c>
      <c r="G36" s="5">
        <f>IF(H36="ESPECES",3000,0)+3000</f>
        <v>3000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VLOOKUP(A36,[13]TONTNOV24!$A$6:$R$39,12,0)</f>
        <v>0</v>
      </c>
      <c r="Q36" s="2">
        <f>IFERROR(VLOOKUP(A36,[14]TONTNOV24!$A$7:$P$23,10,0),0)</f>
        <v>0</v>
      </c>
      <c r="R36" s="2">
        <f>IFERROR(VLOOKUP(A36,[15]TONTNOV24!$A$7:$P$20,10,0),0)</f>
        <v>0</v>
      </c>
      <c r="S36" s="20"/>
      <c r="T36" s="12"/>
      <c r="U36" s="17">
        <f t="shared" si="8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16"/>
        <v>0</v>
      </c>
      <c r="D37" s="9">
        <f>VLOOKUP(A37,[12]HISTOBQUENOV24!$A$6:$G$46,3,0)</f>
        <v>0</v>
      </c>
      <c r="E37" s="9">
        <f>VLOOKUP(A37,[12]HISTOBQUENOV24!$A$6:$G$41,4,0)</f>
        <v>153000</v>
      </c>
      <c r="F37" s="9">
        <f>VLOOKUP(A37,[12]HISTOBQUENOV24!$A$6:$G$41,5,0)</f>
        <v>0</v>
      </c>
      <c r="G37" s="5">
        <f t="shared" si="15"/>
        <v>3000</v>
      </c>
      <c r="H37" s="10" t="str">
        <f t="shared" si="0"/>
        <v>ESPECES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VLOOKUP(A37,[13]TONTNOV24!$A$6:$R$39,12,0)</f>
        <v>0</v>
      </c>
      <c r="Q37" s="2">
        <f>IFERROR(VLOOKUP(A37,[14]TONTNOV24!$A$7:$P$23,10,0),0)</f>
        <v>0</v>
      </c>
      <c r="R37" s="2">
        <f>IFERROR(VLOOKUP(A37,[15]TONTNOV24!$A$7:$P$20,10,0),0)</f>
        <v>0</v>
      </c>
      <c r="S37" s="6"/>
      <c r="T37" s="12"/>
      <c r="U37" s="17">
        <f t="shared" si="8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>
        <f t="shared" si="16"/>
        <v>0</v>
      </c>
      <c r="D38" s="9">
        <f>VLOOKUP(A38,[12]HISTOBQUENOV24!$A$6:$G$46,3,0)</f>
        <v>125000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15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VLOOKUP(A38,[13]TONTNOV24!$A$6:$R$39,12,0)</f>
        <v>0</v>
      </c>
      <c r="Q38" s="2">
        <f>IFERROR(VLOOKUP(A38,[14]TONTNOV24!$A$7:$P$23,10,0),0)</f>
        <v>0</v>
      </c>
      <c r="R38" s="2">
        <f>IFERROR(VLOOKUP(A38,[15]TONTNOV24!$A$7:$P$20,10,0),0)</f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ca="1" si="17">SUM(C6:C39)</f>
        <v>-195500</v>
      </c>
      <c r="D40" s="5">
        <f t="shared" si="17"/>
        <v>6116500</v>
      </c>
      <c r="E40" s="5">
        <f t="shared" si="17"/>
        <v>669000</v>
      </c>
      <c r="F40" s="5">
        <f t="shared" si="17"/>
        <v>1190000</v>
      </c>
      <c r="G40" s="5">
        <f t="shared" si="17"/>
        <v>15000</v>
      </c>
      <c r="H40" s="5">
        <f t="shared" si="17"/>
        <v>0</v>
      </c>
      <c r="I40" s="5">
        <f t="shared" si="17"/>
        <v>70500</v>
      </c>
      <c r="J40" s="5">
        <f t="shared" si="17"/>
        <v>32</v>
      </c>
      <c r="K40" s="5">
        <f t="shared" si="17"/>
        <v>1600000</v>
      </c>
      <c r="L40" s="5">
        <f t="shared" si="17"/>
        <v>16</v>
      </c>
      <c r="M40" s="5">
        <f t="shared" si="17"/>
        <v>1200000</v>
      </c>
      <c r="N40" s="5">
        <f t="shared" si="17"/>
        <v>18</v>
      </c>
      <c r="O40" s="5">
        <f t="shared" si="17"/>
        <v>1800000</v>
      </c>
      <c r="P40" s="5">
        <f t="shared" ca="1" si="17"/>
        <v>123500</v>
      </c>
      <c r="Q40" s="5">
        <f t="shared" si="17"/>
        <v>253000</v>
      </c>
      <c r="R40" s="5">
        <f t="shared" si="17"/>
        <v>1919000</v>
      </c>
      <c r="S40" s="5">
        <f t="shared" si="17"/>
        <v>1190000</v>
      </c>
      <c r="T40" s="5"/>
      <c r="U40" s="5">
        <f t="shared" ref="U40:AA40" ca="1" si="18">SUM(U6:U39)</f>
        <v>8171000</v>
      </c>
      <c r="V40" s="5">
        <f t="shared" si="18"/>
        <v>0</v>
      </c>
      <c r="W40" s="5">
        <f t="shared" si="18"/>
        <v>0</v>
      </c>
      <c r="X40" s="5">
        <f t="shared" si="18"/>
        <v>0</v>
      </c>
      <c r="Y40" s="5">
        <f t="shared" si="18"/>
        <v>0</v>
      </c>
      <c r="Z40" s="5">
        <f t="shared" si="18"/>
        <v>0</v>
      </c>
      <c r="AA40" s="5">
        <f t="shared" si="18"/>
        <v>0</v>
      </c>
      <c r="AB40" s="5"/>
      <c r="AC40" s="5">
        <f>SUM(AC6:AC39)</f>
        <v>5000</v>
      </c>
      <c r="AD40" s="5">
        <f>SUM(AD6:AD39)</f>
        <v>7500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9">SUM(AI6:AI39)</f>
        <v>310000</v>
      </c>
      <c r="AJ40" s="5">
        <f t="shared" si="19"/>
        <v>931500</v>
      </c>
      <c r="AK40" s="5">
        <f t="shared" si="19"/>
        <v>2003500</v>
      </c>
      <c r="AL40" s="5">
        <f t="shared" si="19"/>
        <v>5000</v>
      </c>
      <c r="AM40" s="5">
        <f t="shared" si="19"/>
        <v>11000</v>
      </c>
      <c r="AN40" s="5">
        <f t="shared" si="19"/>
        <v>22000</v>
      </c>
      <c r="AO40" s="5">
        <f t="shared" si="19"/>
        <v>0</v>
      </c>
      <c r="AP40" s="5">
        <f t="shared" si="19"/>
        <v>0</v>
      </c>
      <c r="AQ40" s="5">
        <f t="shared" si="19"/>
        <v>0</v>
      </c>
      <c r="AR40" s="5">
        <f t="shared" si="19"/>
        <v>0</v>
      </c>
      <c r="AS40" s="5">
        <f t="shared" si="19"/>
        <v>870500</v>
      </c>
      <c r="AT40" s="5">
        <f t="shared" si="19"/>
        <v>0</v>
      </c>
      <c r="AU40" s="5">
        <f t="shared" si="19"/>
        <v>0</v>
      </c>
      <c r="AV40" s="5">
        <f t="shared" si="19"/>
        <v>0</v>
      </c>
      <c r="AW40" s="5">
        <f t="shared" si="19"/>
        <v>905000</v>
      </c>
      <c r="AX40" s="5">
        <f t="shared" si="19"/>
        <v>1824000</v>
      </c>
      <c r="AY40" s="5">
        <f t="shared" si="19"/>
        <v>2003500</v>
      </c>
      <c r="AZ40" s="5">
        <f t="shared" si="19"/>
        <v>3804500</v>
      </c>
      <c r="BA40" s="5">
        <f t="shared" si="19"/>
        <v>669000</v>
      </c>
      <c r="BB40" s="5">
        <f t="shared" si="19"/>
        <v>0</v>
      </c>
      <c r="BC40" s="5">
        <f t="shared" si="19"/>
        <v>0</v>
      </c>
      <c r="BD40" s="5">
        <f t="shared" si="19"/>
        <v>4933000</v>
      </c>
      <c r="BE40" s="5">
        <f t="shared" si="19"/>
        <v>0</v>
      </c>
      <c r="BF40" s="5">
        <f t="shared" si="19"/>
        <v>0</v>
      </c>
      <c r="BH40" s="5">
        <f t="shared" ref="BH40:BL40" si="20">SUM(BH6:BH39)</f>
        <v>6000</v>
      </c>
      <c r="BI40" s="5">
        <f t="shared" si="20"/>
        <v>50000</v>
      </c>
      <c r="BJ40" s="5">
        <f t="shared" si="20"/>
        <v>100000</v>
      </c>
      <c r="BK40" s="5">
        <f t="shared" si="20"/>
        <v>106000</v>
      </c>
      <c r="BL40" s="5">
        <f t="shared" si="20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3804500</v>
      </c>
      <c r="D47" s="9">
        <f>SUMIFS(D8:D40,H8:H40,"BANQUE")</f>
        <v>5941500</v>
      </c>
      <c r="F47" s="9">
        <f>E40</f>
        <v>669000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7453000</v>
      </c>
    </row>
  </sheetData>
  <autoFilter ref="A5:AF38" xr:uid="{00000000-0009-0000-0000-00000E000000}"/>
  <mergeCells count="1">
    <mergeCell ref="B4:M4"/>
  </mergeCells>
  <dataValidations count="1">
    <dataValidation type="list" allowBlank="1" showInputMessage="1" showErrorMessage="1" sqref="T6:T38 AA6:AA38 AF6:AF38 AP6:AP38" xr:uid="{00000000-0002-0000-0E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S85"/>
  <sheetViews>
    <sheetView zoomScaleNormal="100" workbookViewId="0">
      <pane xSplit="4" ySplit="5" topLeftCell="BA27" activePane="bottomRight" state="frozen"/>
      <selection pane="topRight" activeCell="E1" sqref="E1"/>
      <selection pane="bottomLeft" activeCell="A6" sqref="A6"/>
      <selection pane="bottomRight" activeCell="BD29" sqref="BD2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3.0898437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0" max="60" width="13.0898437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  <col min="71" max="71" width="13.08984375" bestFit="1" customWidth="1"/>
  </cols>
  <sheetData>
    <row r="1" spans="1:71" x14ac:dyDescent="0.35">
      <c r="A1" s="1" t="s">
        <v>2</v>
      </c>
      <c r="B1" s="1" t="s">
        <v>3</v>
      </c>
      <c r="C1" s="1"/>
    </row>
    <row r="2" spans="1:71" x14ac:dyDescent="0.35">
      <c r="A2" s="1" t="s">
        <v>4</v>
      </c>
      <c r="B2" s="1">
        <v>2024</v>
      </c>
      <c r="C2" s="1"/>
    </row>
    <row r="3" spans="1:71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1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1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216</v>
      </c>
      <c r="BS5" s="4" t="s">
        <v>215</v>
      </c>
    </row>
    <row r="6" spans="1:71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-61000</v>
      </c>
      <c r="D6" s="9">
        <f>VLOOKUP(A6,[12]HISTOBQUEDEC24!$A$6:$K$46,3,0)+BS6</f>
        <v>175000</v>
      </c>
      <c r="E6" s="9">
        <f>VLOOKUP(A6,[12]HISTOBQUEDEC24!$A$6:$G$41,4,0)</f>
        <v>0</v>
      </c>
      <c r="F6" s="9">
        <f>VLOOKUP(A6,[12]HISTOBQUEDEC24!$A$6:$G$41,5,0)</f>
        <v>0</v>
      </c>
      <c r="G6" s="5">
        <v>0</v>
      </c>
      <c r="H6" s="10" t="str">
        <f t="shared" ref="H6:H38" si="0">IF($D6&lt;&gt;0,"BANQUE",IF($E6&lt;&gt;0,"ESPECES","ECHEC"))</f>
        <v>BANQUE</v>
      </c>
      <c r="I6" s="10"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IFERROR(CHERCHEV(A6,[13]TONTDEC24!$A$6:$R$39,12,0),0)</f>
        <v>0</v>
      </c>
      <c r="Q6" s="2">
        <f>IFERROR(VLOOKUP(A6,[14]TONTDEC24!$A$7:$P$23,10,0),0)</f>
        <v>0</v>
      </c>
      <c r="R6" s="2">
        <f>IFERROR(VLOOKUP(A6,[15]TONTDEC24!$A$7:$P$20,10,0),0)</f>
        <v>0</v>
      </c>
      <c r="S6" s="20"/>
      <c r="T6" s="12"/>
      <c r="U6" s="17">
        <f ca="1">G6+S6++R6+P6+O6+M6+I6+K6+Q6+V6+W6</f>
        <v>236000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SUM(AV6:AY6)-BF6+Z6-F6+BH6+BI6+BJ6+BK6+BL6+BM6-2082500</f>
        <v>4031000</v>
      </c>
      <c r="BA6" s="58">
        <v>31000</v>
      </c>
      <c r="BB6" s="58"/>
      <c r="BC6" s="15"/>
      <c r="BD6" s="57">
        <f>IF(AZ6=0,(AZ6-BA6-BC6),(AZ6-BA6-BB6-BC6))+BN6</f>
        <v>5026618</v>
      </c>
      <c r="BE6" s="82"/>
      <c r="BF6" s="29">
        <f t="shared" ref="BF6:BF38" si="5">Z6*1/100*BG6</f>
        <v>0</v>
      </c>
      <c r="BG6" s="29">
        <v>12</v>
      </c>
      <c r="BH6" s="15">
        <f>BQ16</f>
        <v>4031000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1026618</v>
      </c>
      <c r="BO6" t="s">
        <v>115</v>
      </c>
      <c r="BP6" t="s">
        <v>114</v>
      </c>
      <c r="BQ6" s="6"/>
      <c r="BR6" s="9">
        <f>VLOOKUP(A6,[12]HISTOBQUEDEC24!$A$6:$K$46,11,0)</f>
        <v>-175000</v>
      </c>
      <c r="BS6" s="9">
        <f>IF(BR6&gt;0,BR6,0)</f>
        <v>0</v>
      </c>
    </row>
    <row r="7" spans="1:71" ht="18.5" x14ac:dyDescent="0.45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VLOOKUP(A7,[12]HISTOBQUEDEC24!$A$6:$K$46,3,0)+BS7</f>
        <v>0</v>
      </c>
      <c r="E7" s="9">
        <f>VLOOKUP(A7,[12]HISTOBQUEDEC24!$A$6:$G$41,4,0)</f>
        <v>50000</v>
      </c>
      <c r="F7" s="9">
        <f>VLOOKUP(A7,[12]HISTOBQUEDEC24!$A$6:$G$41,5,0)</f>
        <v>0</v>
      </c>
      <c r="G7" s="5">
        <v>0</v>
      </c>
      <c r="H7" s="10" t="str">
        <f t="shared" si="0"/>
        <v>ESPECES</v>
      </c>
      <c r="I7" s="10"/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VLOOKUP(A7,[13]TONTDEC24!$A$6:$R$39,12,0)</f>
        <v>0</v>
      </c>
      <c r="Q7" s="2">
        <f>IFERROR(VLOOKUP(A7,[14]TONTDEC24!$A$7:$P$23,10,0),0)</f>
        <v>0</v>
      </c>
      <c r="R7" s="2">
        <f>IFERROR(VLOOKUP(A7,[15]TONTDEC24!$A$7:$P$20,10,0),0)</f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SUM(AV7:AY7)-BF7+Z7-F7+BH7+BI7+BJ7+BK7+BL7+BM7+93000</f>
        <v>0</v>
      </c>
      <c r="BA7" s="58"/>
      <c r="BB7" s="58"/>
      <c r="BC7" s="15"/>
      <c r="BD7" s="57">
        <f t="shared" ref="BD7:BD38" si="13">IF(AZ7=0,(AZ7-BA7-BC7),(AZ7-BA7-BB7-BC7))</f>
        <v>0</v>
      </c>
      <c r="BE7" s="82"/>
      <c r="BF7" s="29">
        <f>Z7*1/100*BG7+93000</f>
        <v>93000</v>
      </c>
      <c r="BG7" s="29">
        <v>12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  <c r="BR7" s="9">
        <f>VLOOKUP(A7,[12]HISTOBQUEDEC24!$A$6:$K$46,11,0)</f>
        <v>0</v>
      </c>
      <c r="BS7" s="9">
        <f t="shared" ref="BS7:BS38" si="14">IF(BR7&gt;0,BR7,0)</f>
        <v>0</v>
      </c>
    </row>
    <row r="8" spans="1:71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VLOOKUP(A8,[12]HISTOBQUEDEC24!$A$6:$K$46,3,0)+BS8</f>
        <v>125000</v>
      </c>
      <c r="E8" s="9">
        <f>VLOOKUP(A8,[12]HISTOBQUEDEC24!$A$6:$G$41,4,0)</f>
        <v>500000</v>
      </c>
      <c r="F8" s="9">
        <f>VLOOKUP(A8,[12]HISTOBQUEDEC24!$A$6:$G$41,5,0)</f>
        <v>0</v>
      </c>
      <c r="G8" s="5"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VLOOKUP(A8,[13]TONTDEC24!$A$6:$R$39,12,0)</f>
        <v>0</v>
      </c>
      <c r="Q8" s="2">
        <f>IFERROR(VLOOKUP(A8,[14]TONTDEC24!$A$7:$P$23,10,0),0)</f>
        <v>0</v>
      </c>
      <c r="R8" s="2">
        <f>IFERROR(VLOOKUP(A8,[15]TONTDEC24!$A$7:$P$20,10,0),0)</f>
        <v>0</v>
      </c>
      <c r="S8" s="20">
        <v>500000</v>
      </c>
      <c r="T8" s="12"/>
      <c r="U8" s="17">
        <f t="shared" si="8"/>
        <v>625000</v>
      </c>
      <c r="V8" s="12"/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5">SUM(AV8:AY8)-BF8+Z8-F8+BH8+BI8+BJ8+BK8+BL8+BM8</f>
        <v>485000</v>
      </c>
      <c r="BA8" s="58">
        <v>440000</v>
      </c>
      <c r="BB8" s="58"/>
      <c r="BC8" s="15"/>
      <c r="BD8" s="57">
        <f t="shared" si="13"/>
        <v>45000</v>
      </c>
      <c r="BE8" s="82"/>
      <c r="BF8" s="29">
        <f t="shared" si="5"/>
        <v>15000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25000</v>
      </c>
      <c r="BR8" s="9">
        <f>VLOOKUP(A8,[12]HISTOBQUEDEC24!$A$6:$K$46,11,0)</f>
        <v>0</v>
      </c>
      <c r="BS8" s="9">
        <f t="shared" si="14"/>
        <v>0</v>
      </c>
    </row>
    <row r="9" spans="1:71" ht="18.5" x14ac:dyDescent="0.45">
      <c r="A9" s="1" t="s">
        <v>13</v>
      </c>
      <c r="B9" s="1" t="str">
        <f>VLOOKUP(A9,[11]LISTADHERENT!A$5:H$50,3,0)</f>
        <v xml:space="preserve">DJOMO JEAN PAUL </v>
      </c>
      <c r="C9" s="5">
        <f>D9+E9+F9-U9-BB9+1000</f>
        <v>500000</v>
      </c>
      <c r="D9" s="9">
        <f>VLOOKUP(A9,[12]HISTOBQUEDEC24!$A$6:$K$46,3,0)+BS9</f>
        <v>250000</v>
      </c>
      <c r="E9" s="9">
        <f>VLOOKUP(A9,[12]HISTOBQUEDEC24!$A$6:$G$41,4,0)+800000</f>
        <v>1600000</v>
      </c>
      <c r="F9" s="9">
        <f>VLOOKUP(A9,[12]HISTOBQUEDEC24!$A$6:$G$41,5,0)</f>
        <v>0</v>
      </c>
      <c r="G9" s="5"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VLOOKUP(A9,[13]TONTDEC24!$A$6:$R$39,12,0)</f>
        <v>0</v>
      </c>
      <c r="Q9" s="2">
        <f>IFERROR(VLOOKUP(A9,[14]TONTDEC24!$A$7:$P$23,10,0),0)</f>
        <v>0</v>
      </c>
      <c r="R9" s="2">
        <f>IFERROR(VLOOKUP(A9,[15]TONTDEC24!$A$7:$P$20,10,0),0)</f>
        <v>101000</v>
      </c>
      <c r="S9" s="20">
        <v>1000000</v>
      </c>
      <c r="T9" s="12"/>
      <c r="U9" s="17">
        <f t="shared" si="8"/>
        <v>1351000</v>
      </c>
      <c r="V9" s="12"/>
      <c r="W9" s="12"/>
      <c r="X9" s="12"/>
      <c r="Y9" s="12"/>
      <c r="Z9" s="12">
        <v>1000000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5"/>
        <v>880000</v>
      </c>
      <c r="BA9" s="58">
        <v>880000</v>
      </c>
      <c r="BB9" s="58"/>
      <c r="BC9" s="15"/>
      <c r="BD9" s="57">
        <f t="shared" si="13"/>
        <v>0</v>
      </c>
      <c r="BE9" s="82"/>
      <c r="BF9" s="29">
        <f t="shared" si="5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  <c r="BR9" s="9">
        <f>VLOOKUP(A9,[12]HISTOBQUEDEC24!$A$6:$K$46,11,0)</f>
        <v>0</v>
      </c>
      <c r="BS9" s="9">
        <f t="shared" si="14"/>
        <v>0</v>
      </c>
    </row>
    <row r="10" spans="1:71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-11000</v>
      </c>
      <c r="D10" s="9">
        <f>VLOOKUP(A10,[12]HISTOBQUEDEC24!$A$6:$K$46,3,0)+BS10</f>
        <v>0</v>
      </c>
      <c r="E10" s="9">
        <f>VLOOKUP(A10,[12]HISTOBQUEDEC24!$A$6:$G$41,4,0)</f>
        <v>1307000</v>
      </c>
      <c r="F10" s="9">
        <f>VLOOKUP(A10,[12]HISTOBQUEDEC24!$A$6:$G$41,5,0)</f>
        <v>0</v>
      </c>
      <c r="G10" s="5">
        <v>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VLOOKUP(A10,[13]TONTDEC24!$A$6:$R$39,12,0)</f>
        <v>61000</v>
      </c>
      <c r="Q10" s="2">
        <f>IFERROR(VLOOKUP(A10,[14]TONTDEC24!$A$7:$P$23,10,0),0)</f>
        <v>132000</v>
      </c>
      <c r="R10" s="2">
        <f>IFERROR(VLOOKUP(A10,[15]TONTDEC24!$A$7:$P$20,10,0),0)</f>
        <v>0</v>
      </c>
      <c r="S10" s="20">
        <v>1000000</v>
      </c>
      <c r="T10" s="12"/>
      <c r="U10" s="17">
        <f t="shared" si="8"/>
        <v>1318000</v>
      </c>
      <c r="V10" s="12"/>
      <c r="W10" s="12"/>
      <c r="X10" s="12"/>
      <c r="Y10" s="12"/>
      <c r="Z10" s="12">
        <v>1000000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5"/>
        <v>880000</v>
      </c>
      <c r="BA10" s="58"/>
      <c r="BB10" s="58"/>
      <c r="BC10" s="15"/>
      <c r="BD10" s="57">
        <f t="shared" si="13"/>
        <v>880000</v>
      </c>
      <c r="BE10" s="82" t="s">
        <v>186</v>
      </c>
      <c r="BF10" s="29">
        <f t="shared" si="5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  <c r="BR10" s="9">
        <f>VLOOKUP(A10,[12]HISTOBQUEDEC24!$A$6:$K$46,11,0)</f>
        <v>0</v>
      </c>
      <c r="BS10" s="9">
        <f t="shared" si="14"/>
        <v>0</v>
      </c>
    </row>
    <row r="11" spans="1:71" ht="17" customHeight="1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VLOOKUP(A11,[12]HISTOBQUEDEC24!$A$6:$K$46,3,0)+BS11</f>
        <v>0</v>
      </c>
      <c r="E11" s="9">
        <f>VLOOKUP(A11,[12]HISTOBQUEDEC24!$A$6:$G$41,4,0)</f>
        <v>228000</v>
      </c>
      <c r="F11" s="9">
        <f>VLOOKUP(A11,[12]HISTOBQUEDEC24!$A$6:$G$41,5,0)</f>
        <v>0</v>
      </c>
      <c r="G11" s="5">
        <v>0</v>
      </c>
      <c r="H11" s="10" t="str">
        <f t="shared" si="0"/>
        <v>ESPECES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VLOOKUP(A11,[13]TONTDEC24!$A$6:$R$39,12,0)</f>
        <v>0</v>
      </c>
      <c r="Q11" s="2">
        <f>IFERROR(VLOOKUP(A11,[14]TONTDEC24!$A$7:$P$23,10,0),0)</f>
        <v>103000</v>
      </c>
      <c r="R11" s="2">
        <f>IFERROR(VLOOKUP(A11,[15]TONTDEC24!$A$7:$P$20,10,0),0)</f>
        <v>0</v>
      </c>
      <c r="S11" s="20"/>
      <c r="T11" s="12"/>
      <c r="U11" s="17">
        <f t="shared" si="8"/>
        <v>228000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5"/>
        <v>0</v>
      </c>
      <c r="BA11" s="58"/>
      <c r="BB11" s="58"/>
      <c r="BC11" s="15"/>
      <c r="BD11" s="57">
        <f t="shared" si="13"/>
        <v>0</v>
      </c>
      <c r="BE11" s="82"/>
      <c r="BF11" s="29">
        <f t="shared" si="5"/>
        <v>0</v>
      </c>
      <c r="BG11" s="29">
        <v>12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  <c r="BR11" s="9">
        <f>VLOOKUP(A11,[12]HISTOBQUEDEC24!$A$6:$K$46,11,0)</f>
        <v>0</v>
      </c>
      <c r="BS11" s="9">
        <f t="shared" si="14"/>
        <v>0</v>
      </c>
    </row>
    <row r="12" spans="1:71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VLOOKUP(A12,[12]HISTOBQUEDEC24!$A$6:$K$46,3,0)+BS12+70000</f>
        <v>400000</v>
      </c>
      <c r="E12" s="9">
        <f>VLOOKUP(A12,[12]HISTOBQUEDEC24!$A$6:$G$41,4,0)</f>
        <v>637500</v>
      </c>
      <c r="F12" s="9">
        <f>VLOOKUP(A12,[12]HISTOBQUEDEC24!$A$6:$G$41,5,0)</f>
        <v>0</v>
      </c>
      <c r="G12" s="5"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VLOOKUP(A12,[13]TONTDEC24!$A$6:$R$39,12,0)</f>
        <v>61000</v>
      </c>
      <c r="Q12" s="2">
        <f>IFERROR(VLOOKUP(A12,[14]TONTDEC24!$A$7:$P$23,10,0),0)</f>
        <v>101500</v>
      </c>
      <c r="R12" s="2">
        <f>IFERROR(VLOOKUP(A12,[15]TONTDEC24!$A$7:$P$20,10,0),0)</f>
        <v>505000</v>
      </c>
      <c r="S12" s="20">
        <v>40000</v>
      </c>
      <c r="T12" s="12"/>
      <c r="U12" s="17">
        <f t="shared" si="8"/>
        <v>1037500</v>
      </c>
      <c r="V12" s="12"/>
      <c r="W12" s="12"/>
      <c r="X12" s="12"/>
      <c r="Y12" s="12"/>
      <c r="Z12" s="12">
        <v>1000000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5"/>
        <v>940000</v>
      </c>
      <c r="BA12" s="58">
        <v>940000</v>
      </c>
      <c r="BB12" s="58"/>
      <c r="BC12" s="15"/>
      <c r="BD12" s="57">
        <f t="shared" si="13"/>
        <v>0</v>
      </c>
      <c r="BE12" s="82"/>
      <c r="BF12" s="29">
        <f t="shared" si="5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  <c r="BR12" s="9">
        <f>VLOOKUP(A12,[12]HISTOBQUEDEC24!$A$6:$K$46,11,0)</f>
        <v>0</v>
      </c>
      <c r="BS12" s="9">
        <f t="shared" si="14"/>
        <v>0</v>
      </c>
    </row>
    <row r="13" spans="1:71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VLOOKUP(A13,[12]HISTOBQUEDEC24!$A$6:$K$46,3,0)+BS13</f>
        <v>1050000</v>
      </c>
      <c r="E13" s="9">
        <f>VLOOKUP(A13,[12]HISTOBQUEDEC24!$A$6:$G$41,4,0)</f>
        <v>0</v>
      </c>
      <c r="F13" s="9">
        <f>VLOOKUP(A13,[12]HISTOBQUEDEC24!$A$6:$G$41,5,0)</f>
        <v>0</v>
      </c>
      <c r="G13" s="5"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VLOOKUP(A13,[13]TONTDEC24!$A$6:$R$39,12,0)</f>
        <v>0</v>
      </c>
      <c r="Q13" s="2">
        <f>IFERROR(VLOOKUP(A13,[14]TONTDEC24!$A$7:$P$23,10,0),0)</f>
        <v>0</v>
      </c>
      <c r="R13" s="2">
        <f>IFERROR(VLOOKUP(A13,[15]TONTDEC24!$A$7:$P$20,10,0),0)</f>
        <v>0</v>
      </c>
      <c r="S13" s="20">
        <v>1000000</v>
      </c>
      <c r="T13" s="12"/>
      <c r="U13" s="17">
        <f t="shared" si="8"/>
        <v>1050000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5"/>
        <v>0</v>
      </c>
      <c r="BA13" s="58"/>
      <c r="BB13" s="58"/>
      <c r="BC13" s="15"/>
      <c r="BD13" s="57">
        <f t="shared" si="13"/>
        <v>0</v>
      </c>
      <c r="BE13" s="82"/>
      <c r="BF13" s="29">
        <f t="shared" si="5"/>
        <v>0</v>
      </c>
      <c r="BG13" s="29">
        <v>12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  <c r="BR13" s="9">
        <f>VLOOKUP(A13,[12]HISTOBQUEDEC24!$A$6:$K$46,11,0)</f>
        <v>1000000</v>
      </c>
      <c r="BS13" s="9">
        <f t="shared" si="14"/>
        <v>1000000</v>
      </c>
    </row>
    <row r="14" spans="1:71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VLOOKUP(A14,[12]HISTOBQUEDEC24!$A$6:$K$46,3,0)+BS14</f>
        <v>50000</v>
      </c>
      <c r="E14" s="9">
        <f>VLOOKUP(A14,[12]HISTOBQUEDEC24!$A$6:$G$41,4,0)</f>
        <v>0</v>
      </c>
      <c r="F14" s="9">
        <f>VLOOKUP(A14,[12]HISTOBQUEDEC24!$A$6:$G$41,5,0)</f>
        <v>0</v>
      </c>
      <c r="G14" s="5"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VLOOKUP(A14,[13]TONTDEC24!$A$6:$R$39,12,0)</f>
        <v>0</v>
      </c>
      <c r="Q14" s="2">
        <f>IFERROR(VLOOKUP(A14,[14]TONTDEC24!$A$7:$P$23,10,0),0)</f>
        <v>0</v>
      </c>
      <c r="R14" s="2">
        <f>IFERROR(VLOOKUP(A14,[15]TONTDEC24!$A$7:$P$20,10,0),0)</f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5"/>
        <v>0</v>
      </c>
      <c r="BA14" s="58"/>
      <c r="BB14" s="58"/>
      <c r="BC14" s="15"/>
      <c r="BD14" s="57">
        <f t="shared" si="13"/>
        <v>0</v>
      </c>
      <c r="BE14" s="82"/>
      <c r="BF14" s="29">
        <f t="shared" si="5"/>
        <v>0</v>
      </c>
      <c r="BG14" s="29">
        <v>12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>
        <v>4000000</v>
      </c>
      <c r="BR14" s="9">
        <f>VLOOKUP(A14,[12]HISTOBQUEDEC24!$A$6:$K$46,11,0)</f>
        <v>0</v>
      </c>
      <c r="BS14" s="9">
        <f t="shared" si="14"/>
        <v>0</v>
      </c>
    </row>
    <row r="15" spans="1:71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VLOOKUP(A15,[12]HISTOBQUEDEC24!$A$6:$K$46,3,0)+BS15</f>
        <v>0</v>
      </c>
      <c r="E15" s="9">
        <f>VLOOKUP(A15,[12]HISTOBQUEDEC24!$A$6:$G$41,4,0)</f>
        <v>125000</v>
      </c>
      <c r="F15" s="9">
        <f>VLOOKUP(A15,[12]HISTOBQUEDEC24!$A$6:$G$41,5,0)</f>
        <v>0</v>
      </c>
      <c r="G15" s="5">
        <v>0</v>
      </c>
      <c r="H15" s="10" t="str">
        <f t="shared" si="0"/>
        <v>ESPECES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VLOOKUP(A15,[13]TONTDEC24!$A$6:$R$39,12,0)</f>
        <v>0</v>
      </c>
      <c r="Q15" s="2">
        <f>IFERROR(VLOOKUP(A15,[14]TONTDEC24!$A$7:$P$23,10,0),0)</f>
        <v>0</v>
      </c>
      <c r="R15" s="2">
        <f>IFERROR(VLOOKUP(A15,[15]TONTDEC24!$A$7:$P$20,10,0),0)</f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5"/>
        <v>0</v>
      </c>
      <c r="BA15" s="58"/>
      <c r="BB15" s="58"/>
      <c r="BC15" s="15"/>
      <c r="BD15" s="57">
        <f t="shared" si="13"/>
        <v>0</v>
      </c>
      <c r="BE15" s="82"/>
      <c r="BF15" s="29">
        <f t="shared" si="5"/>
        <v>0</v>
      </c>
      <c r="BG15" s="29">
        <v>12</v>
      </c>
      <c r="BH15" s="15"/>
      <c r="BI15" s="15"/>
      <c r="BJ15" s="15"/>
      <c r="BK15" s="15"/>
      <c r="BL15" s="61"/>
      <c r="BQ15" s="6"/>
      <c r="BR15" s="9">
        <f>VLOOKUP(A15,[12]HISTOBQUEDEC24!$A$6:$K$46,11,0)</f>
        <v>0</v>
      </c>
      <c r="BS15" s="9">
        <f t="shared" si="14"/>
        <v>0</v>
      </c>
    </row>
    <row r="16" spans="1:71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-530000</v>
      </c>
      <c r="D16" s="9">
        <f>VLOOKUP(A16,[12]HISTOBQUEDEC24!$A$6:$K$46,3,0)+BS16+952000-250000</f>
        <v>952000</v>
      </c>
      <c r="E16" s="9">
        <f>VLOOKUP(A16,[12]HISTOBQUEDEC24!$A$6:$G$41,4,0)</f>
        <v>202000</v>
      </c>
      <c r="F16" s="9">
        <f>VLOOKUP(A16,[12]HISTOBQUEDEC24!$A$6:$G$41,5,0)</f>
        <v>0</v>
      </c>
      <c r="G16" s="5">
        <v>0</v>
      </c>
      <c r="H16" s="10" t="str">
        <f t="shared" si="0"/>
        <v>BANQUE</v>
      </c>
      <c r="I16" s="10">
        <f>15000+40000</f>
        <v>55000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VLOOKUP(A16,[13]TONTDEC24!$A$6:$R$39,12,0)</f>
        <v>0</v>
      </c>
      <c r="Q16" s="2">
        <f>IFERROR(VLOOKUP(A16,[14]TONTDEC24!$A$7:$P$23,10,0),0)</f>
        <v>202000</v>
      </c>
      <c r="R16" s="2">
        <f>IFERROR(VLOOKUP(A16,[15]TONTDEC24!$A$7:$P$20,10,0),0)</f>
        <v>202000</v>
      </c>
      <c r="S16" s="20">
        <v>1000000</v>
      </c>
      <c r="T16" s="12"/>
      <c r="U16" s="17">
        <f t="shared" si="8"/>
        <v>1684000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80000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5"/>
        <v>0</v>
      </c>
      <c r="BA16" s="58"/>
      <c r="BB16" s="58"/>
      <c r="BC16" s="15"/>
      <c r="BD16" s="57">
        <f t="shared" si="13"/>
        <v>0</v>
      </c>
      <c r="BE16" s="82"/>
      <c r="BF16" s="29">
        <f t="shared" si="5"/>
        <v>0</v>
      </c>
      <c r="BG16" s="29">
        <v>12</v>
      </c>
      <c r="BH16" s="15"/>
      <c r="BI16" s="15"/>
      <c r="BJ16" s="15"/>
      <c r="BK16" s="15"/>
      <c r="BL16" s="61"/>
      <c r="BO16" s="62" t="s">
        <v>142</v>
      </c>
      <c r="BQ16" s="62">
        <f>SUM(BQ6:BQ15)</f>
        <v>4031000</v>
      </c>
      <c r="BR16" s="9">
        <f>VLOOKUP(A16,[12]HISTOBQUEDEC24!$A$6:$K$46,11,0)</f>
        <v>0</v>
      </c>
      <c r="BS16" s="9">
        <f t="shared" si="14"/>
        <v>0</v>
      </c>
    </row>
    <row r="17" spans="1:71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-170000</v>
      </c>
      <c r="D17" s="9">
        <f>VLOOKUP(A17,[12]HISTOBQUEDEC24!$A$6:$K$46,3,0)+BS17</f>
        <v>260000</v>
      </c>
      <c r="E17" s="9">
        <f>VLOOKUP(A17,[12]HISTOBQUEDEC24!$A$6:$G$41,4,0)</f>
        <v>0</v>
      </c>
      <c r="F17" s="9">
        <f>VLOOKUP(A17,[12]HISTOBQUEDEC24!$A$6:$G$41,5,0)</f>
        <v>0</v>
      </c>
      <c r="G17" s="5">
        <v>0</v>
      </c>
      <c r="H17" s="10" t="str">
        <f t="shared" si="0"/>
        <v>BANQUE</v>
      </c>
      <c r="I17" s="10">
        <v>5500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VLOOKUP(A17,[13]TONTDEC24!$A$6:$R$39,12,0)</f>
        <v>0</v>
      </c>
      <c r="Q17" s="2">
        <f>IFERROR(VLOOKUP(A17,[14]TONTDEC24!$A$7:$P$23,10,0),0)</f>
        <v>0</v>
      </c>
      <c r="R17" s="2">
        <f>IFERROR(VLOOKUP(A17,[15]TONTDEC24!$A$7:$P$20,10,0),0)</f>
        <v>104500</v>
      </c>
      <c r="S17" s="20">
        <v>170000</v>
      </c>
      <c r="T17" s="12"/>
      <c r="U17" s="17">
        <f t="shared" si="8"/>
        <v>430000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9"/>
        <v>30500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5"/>
        <v>0</v>
      </c>
      <c r="BA17" s="58"/>
      <c r="BB17" s="58"/>
      <c r="BC17" s="15"/>
      <c r="BD17" s="57">
        <f t="shared" si="13"/>
        <v>0</v>
      </c>
      <c r="BE17" s="82"/>
      <c r="BF17" s="29">
        <f t="shared" si="5"/>
        <v>0</v>
      </c>
      <c r="BG17" s="29">
        <v>12</v>
      </c>
      <c r="BH17" s="15"/>
      <c r="BI17" s="15"/>
      <c r="BJ17" s="15"/>
      <c r="BK17" s="15"/>
      <c r="BL17" s="61"/>
      <c r="BO17" s="62"/>
      <c r="BQ17" s="6"/>
      <c r="BR17" s="9">
        <f>VLOOKUP(A17,[12]HISTOBQUEDEC24!$A$6:$K$46,11,0)</f>
        <v>110000</v>
      </c>
      <c r="BS17" s="9">
        <f t="shared" si="14"/>
        <v>110000</v>
      </c>
    </row>
    <row r="18" spans="1:71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VLOOKUP(A18,[12]HISTOBQUEDEC24!$A$6:$K$46,3,0)+BS18-10000</f>
        <v>611000</v>
      </c>
      <c r="E18" s="9">
        <f>VLOOKUP(A18,[12]HISTOBQUEDEC24!$A$6:$G$41,4,0)</f>
        <v>0</v>
      </c>
      <c r="F18" s="9">
        <f>VLOOKUP(A18,[12]HISTOBQUEDEC24!$A$6:$G$41,5,0)</f>
        <v>0</v>
      </c>
      <c r="G18" s="5"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VLOOKUP(A18,[13]TONTDEC24!$A$6:$R$39,12,0)</f>
        <v>0</v>
      </c>
      <c r="Q18" s="2">
        <f>IFERROR(VLOOKUP(A18,[14]TONTDEC24!$A$7:$P$23,10,0),0)</f>
        <v>0</v>
      </c>
      <c r="R18" s="2">
        <f>IFERROR(VLOOKUP(A18,[15]TONTDEC24!$A$7:$P$20,10,0),0)</f>
        <v>101000</v>
      </c>
      <c r="S18" s="20">
        <v>350000</v>
      </c>
      <c r="T18" s="12"/>
      <c r="U18" s="17">
        <f t="shared" si="8"/>
        <v>611000</v>
      </c>
      <c r="V18" s="12"/>
      <c r="W18" s="12"/>
      <c r="X18" s="12"/>
      <c r="Y18" s="12"/>
      <c r="Z18" s="12">
        <v>1000000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5"/>
        <v>880000</v>
      </c>
      <c r="BA18" s="58"/>
      <c r="BB18" s="58"/>
      <c r="BC18" s="15"/>
      <c r="BD18" s="57">
        <f t="shared" si="13"/>
        <v>880000</v>
      </c>
      <c r="BE18" s="82" t="s">
        <v>186</v>
      </c>
      <c r="BF18" s="29">
        <f t="shared" si="5"/>
        <v>120000</v>
      </c>
      <c r="BG18" s="29">
        <v>12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1026618</v>
      </c>
      <c r="BR18" s="9">
        <f>VLOOKUP(A18,[12]HISTOBQUEDEC24!$A$6:$K$46,11,0)</f>
        <v>461000</v>
      </c>
      <c r="BS18" s="9">
        <f t="shared" si="14"/>
        <v>461000</v>
      </c>
    </row>
    <row r="19" spans="1:71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-487500</v>
      </c>
      <c r="D19" s="9">
        <f>VLOOKUP(A19,[12]HISTOBQUEDEC24!$A$6:$K$46,3,0)+BS19</f>
        <v>50000</v>
      </c>
      <c r="E19" s="9">
        <f>VLOOKUP(A19,[12]HISTOBQUEDEC24!$A$6:$G$41,4,0)</f>
        <v>0</v>
      </c>
      <c r="F19" s="9">
        <f>VLOOKUP(A19,[12]HISTOBQUEDEC24!$A$6:$G$41,5,0)</f>
        <v>0</v>
      </c>
      <c r="G19" s="5">
        <v>0</v>
      </c>
      <c r="H19" s="10" t="str">
        <f t="shared" si="0"/>
        <v>BANQUE</v>
      </c>
      <c r="I19" s="10">
        <v>297500</v>
      </c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VLOOKUP(A19,[13]TONTDEC24!$A$6:$R$39,12,0)</f>
        <v>0</v>
      </c>
      <c r="Q19" s="2">
        <f>IFERROR(VLOOKUP(A19,[14]TONTDEC24!$A$7:$P$23,10,0),0)</f>
        <v>0</v>
      </c>
      <c r="R19" s="2">
        <f>IFERROR(VLOOKUP(A19,[15]TONTDEC24!$A$7:$P$20,10,0),0)</f>
        <v>0</v>
      </c>
      <c r="S19" s="20"/>
      <c r="T19" s="12"/>
      <c r="U19" s="17">
        <f>G19+S19++R19+P19+O19+M19+I19+K19+Q19+V19+W19</f>
        <v>347500</v>
      </c>
      <c r="V19" s="12"/>
      <c r="W19" s="12"/>
      <c r="X19" s="12"/>
      <c r="Y19" s="12"/>
      <c r="Z19" s="12"/>
      <c r="AA19" s="12"/>
      <c r="AB19" s="12"/>
      <c r="AC19" s="12">
        <v>2500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322500</v>
      </c>
      <c r="AT19" s="15"/>
      <c r="AV19" s="15"/>
      <c r="AW19" s="15">
        <f t="shared" si="10"/>
        <v>297500</v>
      </c>
      <c r="AX19" s="15">
        <f t="shared" si="11"/>
        <v>0</v>
      </c>
      <c r="AY19" s="15">
        <f t="shared" si="12"/>
        <v>0</v>
      </c>
      <c r="AZ19" s="16">
        <f t="shared" si="15"/>
        <v>297500</v>
      </c>
      <c r="BA19" s="58">
        <v>297500</v>
      </c>
      <c r="BB19" s="58">
        <v>190000</v>
      </c>
      <c r="BC19" s="15"/>
      <c r="BD19" s="57"/>
      <c r="BE19" s="82"/>
      <c r="BF19" s="29">
        <f t="shared" si="5"/>
        <v>0</v>
      </c>
      <c r="BG19" s="29">
        <v>12</v>
      </c>
      <c r="BH19" s="15"/>
      <c r="BI19" s="15"/>
      <c r="BJ19" s="15"/>
      <c r="BK19" s="15"/>
      <c r="BL19" s="61"/>
      <c r="BQ19" s="6"/>
      <c r="BR19" s="9">
        <f>VLOOKUP(A19,[12]HISTOBQUEDEC24!$A$6:$K$46,11,0)</f>
        <v>0</v>
      </c>
      <c r="BS19" s="9">
        <f t="shared" si="14"/>
        <v>0</v>
      </c>
    </row>
    <row r="20" spans="1:71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-66700</v>
      </c>
      <c r="D20" s="9">
        <f>VLOOKUP(A20,[12]HISTOBQUEDEC24!$A$6:$K$46,3,0)+BS20</f>
        <v>225000</v>
      </c>
      <c r="E20" s="9">
        <f>VLOOKUP(A20,[12]HISTOBQUEDEC24!$A$6:$G$41,4,0)</f>
        <v>1536000</v>
      </c>
      <c r="F20" s="9">
        <f>VLOOKUP(A20,[12]HISTOBQUEDEC24!$A$6:$G$41,5,0)</f>
        <v>0</v>
      </c>
      <c r="G20" s="5"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VLOOKUP(A20,[13]TONTDEC24!$A$6:$R$39,12,0)</f>
        <v>132000</v>
      </c>
      <c r="Q20" s="2">
        <f>IFERROR(VLOOKUP(A20,[14]TONTDEC24!$A$7:$P$23,10,0),0)</f>
        <v>202000</v>
      </c>
      <c r="R20" s="2">
        <f>IFERROR(VLOOKUP(A20,[15]TONTDEC24!$A$7:$P$20,10,0),0)</f>
        <v>202000</v>
      </c>
      <c r="S20" s="20">
        <v>1000000</v>
      </c>
      <c r="T20" s="12"/>
      <c r="U20" s="17">
        <f t="shared" si="8"/>
        <v>1761000</v>
      </c>
      <c r="V20" s="12"/>
      <c r="W20" s="12"/>
      <c r="X20" s="12"/>
      <c r="Y20" s="12"/>
      <c r="Z20" s="12">
        <v>1000000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5"/>
        <v>970000</v>
      </c>
      <c r="BA20" s="58">
        <v>970000</v>
      </c>
      <c r="BB20" s="58">
        <v>66700</v>
      </c>
      <c r="BC20" s="15"/>
      <c r="BD20" s="57"/>
      <c r="BE20" s="82"/>
      <c r="BF20" s="29">
        <f t="shared" si="5"/>
        <v>30000</v>
      </c>
      <c r="BG20" s="29">
        <v>3</v>
      </c>
      <c r="BH20" s="15"/>
      <c r="BI20" s="15"/>
      <c r="BJ20" s="15"/>
      <c r="BK20" s="15"/>
      <c r="BL20" s="61"/>
      <c r="BQ20" s="6"/>
      <c r="BR20" s="9">
        <f>VLOOKUP(A20,[12]HISTOBQUEDEC24!$A$6:$K$46,11,0)</f>
        <v>0</v>
      </c>
      <c r="BS20" s="9">
        <f t="shared" si="14"/>
        <v>0</v>
      </c>
    </row>
    <row r="21" spans="1:71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-283500</v>
      </c>
      <c r="D21" s="9">
        <f>VLOOKUP(A21,[12]HISTOBQUEDEC24!$A$6:$K$46,3,0)+BS21</f>
        <v>0</v>
      </c>
      <c r="E21" s="9">
        <f>VLOOKUP(A21,[12]HISTOBQUEDEC24!$A$6:$G$41,4,0)</f>
        <v>66500</v>
      </c>
      <c r="F21" s="9">
        <f>VLOOKUP(A21,[12]HISTOBQUEDEC24!$A$6:$G$41,5,0)</f>
        <v>0</v>
      </c>
      <c r="G21" s="5">
        <v>0</v>
      </c>
      <c r="H21" s="10" t="str">
        <f t="shared" si="0"/>
        <v>ESPECES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VLOOKUP(A21,[13]TONTDEC24!$A$6:$R$39,12,0)</f>
        <v>0</v>
      </c>
      <c r="Q21" s="2">
        <f>IFERROR(VLOOKUP(A21,[14]TONTDEC24!$A$7:$P$23,10,0),0)</f>
        <v>0</v>
      </c>
      <c r="R21" s="2">
        <f>IFERROR(VLOOKUP(A21,[15]TONTDEC24!$A$7:$P$20,10,0),0)</f>
        <v>0</v>
      </c>
      <c r="S21" s="20">
        <f>296500+3500</f>
        <v>300000</v>
      </c>
      <c r="T21" s="12"/>
      <c r="U21" s="17">
        <f t="shared" si="8"/>
        <v>350000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>SUM(AV21:AY21)-BF21+Z21-F21+BH21+BI21+BJ21+BK21+BL21+BM21+46500</f>
        <v>0</v>
      </c>
      <c r="BA21" s="58"/>
      <c r="BB21" s="58"/>
      <c r="BC21" s="15"/>
      <c r="BD21" s="57">
        <f t="shared" si="13"/>
        <v>0</v>
      </c>
      <c r="BE21" s="82"/>
      <c r="BF21" s="29">
        <f>Z21*1/100*BG21+46500</f>
        <v>46500</v>
      </c>
      <c r="BG21" s="29">
        <v>12</v>
      </c>
      <c r="BH21" s="15"/>
      <c r="BI21" s="15"/>
      <c r="BJ21" s="15"/>
      <c r="BK21" s="15"/>
      <c r="BL21" s="61"/>
      <c r="BQ21" s="6"/>
      <c r="BR21" s="9">
        <f>VLOOKUP(A21,[12]HISTOBQUEDEC24!$A$6:$K$46,11,0)</f>
        <v>0</v>
      </c>
      <c r="BS21" s="9">
        <f t="shared" si="14"/>
        <v>0</v>
      </c>
    </row>
    <row r="22" spans="1:71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-107500</v>
      </c>
      <c r="D22" s="9">
        <f>VLOOKUP(A22,[12]HISTOBQUEDEC24!$A$6:$K$46,3,0)+BS22</f>
        <v>125000</v>
      </c>
      <c r="E22" s="9">
        <f>VLOOKUP(A22,[12]HISTOBQUEDEC24!$A$6:$G$41,4,0)</f>
        <v>0</v>
      </c>
      <c r="F22" s="9">
        <f>VLOOKUP(A22,[12]HISTOBQUEDEC24!$A$6:$G$41,5,0)</f>
        <v>0</v>
      </c>
      <c r="G22" s="5"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VLOOKUP(A22,[13]TONTDEC24!$A$6:$R$39,12,0)</f>
        <v>0</v>
      </c>
      <c r="Q22" s="2">
        <f>IFERROR(VLOOKUP(A22,[14]TONTDEC24!$A$7:$P$23,10,0),0)</f>
        <v>0</v>
      </c>
      <c r="R22" s="2">
        <f>IFERROR(VLOOKUP(A22,[15]TONTDEC24!$A$7:$P$20,10,0),0)</f>
        <v>0</v>
      </c>
      <c r="S22" s="20">
        <v>107500</v>
      </c>
      <c r="T22" s="12"/>
      <c r="U22" s="17">
        <f t="shared" si="8"/>
        <v>232500</v>
      </c>
      <c r="V22" s="12"/>
      <c r="W22" s="12"/>
      <c r="X22" s="12"/>
      <c r="Y22" s="12"/>
      <c r="Z22" s="12">
        <v>900000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5"/>
        <v>792000</v>
      </c>
      <c r="BA22" s="58"/>
      <c r="BB22" s="58"/>
      <c r="BC22" s="15"/>
      <c r="BD22" s="57">
        <f t="shared" si="13"/>
        <v>792000</v>
      </c>
      <c r="BE22" s="82" t="s">
        <v>186</v>
      </c>
      <c r="BF22" s="29">
        <f t="shared" si="5"/>
        <v>108000</v>
      </c>
      <c r="BG22" s="29">
        <v>12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1026618</v>
      </c>
      <c r="BR22" s="9">
        <f>VLOOKUP(A22,[12]HISTOBQUEDEC24!$A$6:$K$46,11,0)</f>
        <v>0</v>
      </c>
      <c r="BS22" s="9">
        <f t="shared" si="14"/>
        <v>0</v>
      </c>
    </row>
    <row r="23" spans="1:71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VLOOKUP(A23,[12]HISTOBQUEDEC24!$A$6:$K$46,3,0)+BS23</f>
        <v>1164000</v>
      </c>
      <c r="E23" s="9">
        <f>VLOOKUP(A23,[12]HISTOBQUEDEC24!$A$6:$G$41,4,0)</f>
        <v>0</v>
      </c>
      <c r="F23" s="9">
        <f>VLOOKUP(A23,[12]HISTOBQUEDEC24!$A$6:$G$41,5,0)</f>
        <v>0</v>
      </c>
      <c r="G23" s="5"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VLOOKUP(A23,[13]TONTDEC24!$A$6:$R$39,12,0)</f>
        <v>0</v>
      </c>
      <c r="Q23" s="2">
        <f>IFERROR(VLOOKUP(A23,[14]TONTDEC24!$A$7:$P$23,10,0),0)</f>
        <v>0</v>
      </c>
      <c r="R23" s="2">
        <f>IFERROR(VLOOKUP(A23,[15]TONTDEC24!$A$7:$P$20,10,0),0)</f>
        <v>404000</v>
      </c>
      <c r="S23" s="20">
        <v>500000</v>
      </c>
      <c r="T23" s="12"/>
      <c r="U23" s="17">
        <f t="shared" si="8"/>
        <v>1164000</v>
      </c>
      <c r="V23" s="12"/>
      <c r="W23" s="12"/>
      <c r="X23" s="12"/>
      <c r="Y23" s="12"/>
      <c r="Z23" s="12">
        <v>500000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5"/>
        <v>470000</v>
      </c>
      <c r="BA23" s="58"/>
      <c r="BB23" s="58"/>
      <c r="BC23" s="15"/>
      <c r="BD23" s="57">
        <f t="shared" si="13"/>
        <v>470000</v>
      </c>
      <c r="BE23" s="82" t="s">
        <v>186</v>
      </c>
      <c r="BF23" s="29">
        <f t="shared" si="5"/>
        <v>30000</v>
      </c>
      <c r="BG23" s="29">
        <v>6</v>
      </c>
      <c r="BH23" s="15"/>
      <c r="BI23" s="15"/>
      <c r="BJ23" s="15"/>
      <c r="BK23" s="15"/>
      <c r="BL23" s="61"/>
      <c r="BR23" s="9">
        <f>VLOOKUP(A23,[12]HISTOBQUEDEC24!$A$6:$K$46,11,0)</f>
        <v>904000</v>
      </c>
      <c r="BS23" s="9">
        <f t="shared" si="14"/>
        <v>904000</v>
      </c>
    </row>
    <row r="24" spans="1:71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VLOOKUP(A24,[12]HISTOBQUEDEC24!$A$6:$K$46,3,0)+BS24+217000</f>
        <v>442000</v>
      </c>
      <c r="E24" s="9">
        <f>VLOOKUP(A24,[12]HISTOBQUEDEC24!$A$6:$G$41,4,0)</f>
        <v>500000</v>
      </c>
      <c r="F24" s="9">
        <f>VLOOKUP(A24,[12]HISTOBQUEDEC24!$A$6:$G$41,5,0)</f>
        <v>0</v>
      </c>
      <c r="G24" s="5">
        <v>0</v>
      </c>
      <c r="H24" s="10" t="str">
        <f t="shared" si="0"/>
        <v>BANQUE</v>
      </c>
      <c r="I24" s="10">
        <v>13000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VLOOKUP(A24,[13]TONTDEC24!$A$6:$R$39,12,0)</f>
        <v>0</v>
      </c>
      <c r="Q24" s="2">
        <f>IFERROR(VLOOKUP(A24,[14]TONTDEC24!$A$7:$P$23,10,0),0)</f>
        <v>0</v>
      </c>
      <c r="R24" s="2">
        <f>IFERROR(VLOOKUP(A24,[15]TONTDEC24!$A$7:$P$20,10,0),0)</f>
        <v>204000</v>
      </c>
      <c r="S24" s="20">
        <v>500000</v>
      </c>
      <c r="T24" s="12"/>
      <c r="U24" s="17">
        <f t="shared" si="8"/>
        <v>942000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9"/>
        <v>38000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3"/>
        <v>0</v>
      </c>
      <c r="BE24" s="82"/>
      <c r="BF24" s="29">
        <f t="shared" si="5"/>
        <v>0</v>
      </c>
      <c r="BG24" s="29">
        <v>12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  <c r="BR24" s="9">
        <f>VLOOKUP(A24,[12]HISTOBQUEDEC24!$A$6:$K$46,11,0)</f>
        <v>0</v>
      </c>
      <c r="BS24" s="9">
        <f t="shared" si="14"/>
        <v>0</v>
      </c>
    </row>
    <row r="25" spans="1:71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-1000000</v>
      </c>
      <c r="D25" s="9">
        <f>VLOOKUP(A25,[12]HISTOBQUEDEC24!$A$6:$K$46,3,0)+BS25</f>
        <v>375000</v>
      </c>
      <c r="E25" s="9">
        <f>VLOOKUP(A25,[12]HISTOBQUEDEC24!$A$6:$G$41,4,0)</f>
        <v>0</v>
      </c>
      <c r="F25" s="9">
        <f>VLOOKUP(A25,[12]HISTOBQUEDEC24!$A$6:$G$41,5,0)</f>
        <v>0</v>
      </c>
      <c r="G25" s="5">
        <v>0</v>
      </c>
      <c r="H25" s="10" t="str">
        <f t="shared" si="0"/>
        <v>BANQUE</v>
      </c>
      <c r="I25" s="10"/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VLOOKUP(A25,[13]TONTDEC24!$A$6:$R$39,12,0)</f>
        <v>0</v>
      </c>
      <c r="Q25" s="2">
        <f>IFERROR(VLOOKUP(A25,[14]TONTDEC24!$A$7:$P$23,10,0),0)</f>
        <v>0</v>
      </c>
      <c r="R25" s="2">
        <f>IFERROR(VLOOKUP(A25,[15]TONTDEC24!$A$7:$P$20,10,0),0)</f>
        <v>0</v>
      </c>
      <c r="S25" s="20">
        <v>1000000</v>
      </c>
      <c r="T25" s="12"/>
      <c r="U25" s="17">
        <f t="shared" si="8"/>
        <v>1375000</v>
      </c>
      <c r="V25" s="12"/>
      <c r="W25" s="12"/>
      <c r="X25" s="12"/>
      <c r="Y25" s="12"/>
      <c r="Z25" s="12">
        <v>1000000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5"/>
        <v>880000</v>
      </c>
      <c r="BA25" s="58"/>
      <c r="BB25" s="58"/>
      <c r="BC25" s="15"/>
      <c r="BD25" s="57">
        <f t="shared" si="13"/>
        <v>880000</v>
      </c>
      <c r="BE25" s="82" t="s">
        <v>186</v>
      </c>
      <c r="BF25" s="29">
        <f t="shared" si="5"/>
        <v>120000</v>
      </c>
      <c r="BG25" s="29">
        <v>12</v>
      </c>
      <c r="BH25" s="15"/>
      <c r="BI25" s="15"/>
      <c r="BJ25" s="15"/>
      <c r="BK25" s="15"/>
      <c r="BL25" s="61"/>
      <c r="BO25" t="s">
        <v>125</v>
      </c>
      <c r="BP25" t="s">
        <v>143</v>
      </c>
      <c r="BR25" s="9">
        <f>VLOOKUP(A25,[12]HISTOBQUEDEC24!$A$6:$K$46,11,0)</f>
        <v>0</v>
      </c>
      <c r="BS25" s="9">
        <f t="shared" si="14"/>
        <v>0</v>
      </c>
    </row>
    <row r="26" spans="1:71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VLOOKUP(A26,[12]HISTOBQUEDEC24!$A$6:$K$46,3,0)+BS26</f>
        <v>0</v>
      </c>
      <c r="E26" s="9">
        <f>VLOOKUP(A26,[12]HISTOBQUEDEC24!$A$6:$G$41,4,0)</f>
        <v>1050000</v>
      </c>
      <c r="F26" s="9">
        <f>VLOOKUP(A26,[12]HISTOBQUEDEC24!$A$6:$G$41,5,0)</f>
        <v>0</v>
      </c>
      <c r="G26" s="5">
        <v>0</v>
      </c>
      <c r="H26" s="10" t="str">
        <f t="shared" si="0"/>
        <v>ESPECES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VLOOKUP(A26,[13]TONTDEC24!$A$6:$R$39,12,0)</f>
        <v>0</v>
      </c>
      <c r="Q26" s="2">
        <f>IFERROR(VLOOKUP(A26,[14]TONTDEC24!$A$7:$P$23,10,0),0)</f>
        <v>0</v>
      </c>
      <c r="R26" s="2">
        <f>IFERROR(VLOOKUP(A26,[15]TONTDEC24!$A$7:$P$20,10,0),0)</f>
        <v>0</v>
      </c>
      <c r="S26" s="20">
        <v>1000000</v>
      </c>
      <c r="T26" s="12"/>
      <c r="U26" s="17">
        <f t="shared" si="8"/>
        <v>1050000</v>
      </c>
      <c r="V26" s="12"/>
      <c r="W26" s="12"/>
      <c r="X26" s="12"/>
      <c r="Y26" s="12"/>
      <c r="Z26" s="12">
        <v>1000000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5"/>
        <v>970000</v>
      </c>
      <c r="BA26" s="58">
        <v>144500</v>
      </c>
      <c r="BB26" s="58"/>
      <c r="BC26" s="15"/>
      <c r="BD26" s="57">
        <f t="shared" si="13"/>
        <v>825500</v>
      </c>
      <c r="BE26" s="82" t="s">
        <v>186</v>
      </c>
      <c r="BF26" s="29">
        <f t="shared" si="5"/>
        <v>30000</v>
      </c>
      <c r="BG26" s="29">
        <v>3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  <c r="BR26" s="9">
        <f>VLOOKUP(A26,[12]HISTOBQUEDEC24!$A$6:$K$46,11,0)</f>
        <v>0</v>
      </c>
      <c r="BS26" s="9">
        <f t="shared" si="14"/>
        <v>0</v>
      </c>
    </row>
    <row r="27" spans="1:71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-50000</v>
      </c>
      <c r="D27" s="9">
        <f>VLOOKUP(A27,[12]HISTOBQUEDEC24!$A$6:$K$46,3,0)+BS27</f>
        <v>50000</v>
      </c>
      <c r="E27" s="9">
        <f>VLOOKUP(A27,[12]HISTOBQUEDEC24!$A$6:$G$41,4,0)</f>
        <v>0</v>
      </c>
      <c r="F27" s="9">
        <f>VLOOKUP(A27,[12]HISTOBQUEDEC24!$A$6:$G$41,5,0)</f>
        <v>0</v>
      </c>
      <c r="G27" s="5"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VLOOKUP(A27,[13]TONTDEC24!$A$6:$R$39,12,0)</f>
        <v>0</v>
      </c>
      <c r="Q27" s="2">
        <f>IFERROR(VLOOKUP(A27,[14]TONTDEC24!$A$7:$P$23,10,0),0)</f>
        <v>0</v>
      </c>
      <c r="R27" s="2">
        <f>IFERROR(VLOOKUP(A27,[15]TONTDEC24!$A$7:$P$20,10,0),0)</f>
        <v>0</v>
      </c>
      <c r="S27" s="20">
        <v>50000</v>
      </c>
      <c r="T27" s="12"/>
      <c r="U27" s="17">
        <f t="shared" si="8"/>
        <v>100000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>SUM(AV27:AY27)-BF27+Z27-F27+BH27+BI27+BJ27+BK27+BL27+BM27+7750</f>
        <v>0</v>
      </c>
      <c r="BA27" s="58"/>
      <c r="BB27" s="58"/>
      <c r="BC27" s="15"/>
      <c r="BD27" s="57">
        <f t="shared" si="13"/>
        <v>0</v>
      </c>
      <c r="BE27" s="82"/>
      <c r="BF27" s="29">
        <f>Z27*1/100*BG27+7750</f>
        <v>7750</v>
      </c>
      <c r="BG27" s="29">
        <v>3</v>
      </c>
      <c r="BH27" s="15"/>
      <c r="BI27" s="15"/>
      <c r="BJ27" s="15"/>
      <c r="BK27" s="15"/>
      <c r="BL27" s="61"/>
      <c r="BQ27" s="6"/>
      <c r="BR27" s="9">
        <f>VLOOKUP(A27,[12]HISTOBQUEDEC24!$A$6:$K$46,11,0)</f>
        <v>0</v>
      </c>
      <c r="BS27" s="9">
        <f t="shared" si="14"/>
        <v>0</v>
      </c>
    </row>
    <row r="28" spans="1:71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-27000</v>
      </c>
      <c r="D28" s="9">
        <f>VLOOKUP(A28,[12]HISTOBQUEDEC24!$A$6:$K$46,3,0)+BS28</f>
        <v>125000</v>
      </c>
      <c r="E28" s="9">
        <f>VLOOKUP(A28,[12]HISTOBQUEDEC24!$A$6:$G$41,4,0)</f>
        <v>0</v>
      </c>
      <c r="F28" s="9">
        <f>VLOOKUP(A28,[12]HISTOBQUEDEC24!$A$6:$G$41,5,0)</f>
        <v>0</v>
      </c>
      <c r="G28" s="5">
        <v>0</v>
      </c>
      <c r="H28" s="10" t="str">
        <f t="shared" si="0"/>
        <v>BANQUE</v>
      </c>
      <c r="I28" s="10">
        <v>27000</v>
      </c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VLOOKUP(A28,[13]TONTDEC24!$A$6:$R$39,12,0)</f>
        <v>0</v>
      </c>
      <c r="Q28" s="2">
        <f>IFERROR(VLOOKUP(A28,[14]TONTDEC24!$A$7:$P$23,10,0),0)</f>
        <v>0</v>
      </c>
      <c r="R28" s="2">
        <f>IFERROR(VLOOKUP(A28,[15]TONTDEC24!$A$7:$P$20,10,0),0)</f>
        <v>0</v>
      </c>
      <c r="S28" s="20"/>
      <c r="T28" s="12"/>
      <c r="U28" s="17">
        <f t="shared" si="8"/>
        <v>152000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52000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5"/>
        <v>0</v>
      </c>
      <c r="BA28" s="58"/>
      <c r="BB28" s="58"/>
      <c r="BC28" s="15"/>
      <c r="BD28" s="57">
        <f t="shared" si="13"/>
        <v>0</v>
      </c>
      <c r="BE28" s="82"/>
      <c r="BF28" s="29">
        <f t="shared" si="5"/>
        <v>0</v>
      </c>
      <c r="BG28" s="29">
        <v>12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  <c r="BR28" s="9">
        <f>VLOOKUP(A28,[12]HISTOBQUEDEC24!$A$6:$K$46,11,0)</f>
        <v>0</v>
      </c>
      <c r="BS28" s="9">
        <f t="shared" si="14"/>
        <v>0</v>
      </c>
    </row>
    <row r="29" spans="1:71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-115000</v>
      </c>
      <c r="D29" s="9">
        <f>VLOOKUP(A29,[12]HISTOBQUEDEC24!$A$6:$K$46,3,0)+BS29</f>
        <v>110000</v>
      </c>
      <c r="E29" s="9">
        <f>VLOOKUP(A29,[12]HISTOBQUEDEC24!$A$6:$G$41,4,0)</f>
        <v>0</v>
      </c>
      <c r="F29" s="9">
        <f>VLOOKUP(A29,[12]HISTOBQUEDEC24!$A$6:$G$41,5,0)</f>
        <v>0</v>
      </c>
      <c r="G29" s="5">
        <v>0</v>
      </c>
      <c r="H29" s="10" t="str">
        <f t="shared" si="0"/>
        <v>BANQUE</v>
      </c>
      <c r="I29" s="10">
        <v>-1000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VLOOKUP(A29,[13]TONTDEC24!$A$6:$R$39,12,0)</f>
        <v>61000</v>
      </c>
      <c r="Q29" s="2">
        <f>IFERROR(VLOOKUP(A29,[14]TONTDEC24!$A$7:$P$23,10,0),0)</f>
        <v>0</v>
      </c>
      <c r="R29" s="2">
        <f>IFERROR(VLOOKUP(A29,[15]TONTDEC24!$A$7:$P$20,10,0),0)</f>
        <v>0</v>
      </c>
      <c r="S29" s="20"/>
      <c r="T29" s="12"/>
      <c r="U29" s="17">
        <f t="shared" si="8"/>
        <v>110000</v>
      </c>
      <c r="V29" s="12"/>
      <c r="W29" s="12"/>
      <c r="X29" s="12"/>
      <c r="Y29" s="12"/>
      <c r="Z29" s="12">
        <v>1000000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24000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5"/>
        <v>980000</v>
      </c>
      <c r="BA29" s="58">
        <v>980000</v>
      </c>
      <c r="BB29" s="58">
        <v>115000</v>
      </c>
      <c r="BC29" s="15"/>
      <c r="BD29" s="57"/>
      <c r="BE29" s="82"/>
      <c r="BF29" s="29">
        <f t="shared" si="5"/>
        <v>120000</v>
      </c>
      <c r="BG29" s="29">
        <v>12</v>
      </c>
      <c r="BH29" s="15"/>
      <c r="BI29" s="15"/>
      <c r="BJ29" s="15"/>
      <c r="BK29" s="15">
        <v>100000</v>
      </c>
      <c r="BL29" s="61"/>
      <c r="BO29" s="62"/>
      <c r="BQ29" s="6"/>
      <c r="BR29" s="9">
        <f>VLOOKUP(A29,[12]HISTOBQUEDEC24!$A$6:$K$46,11,0)</f>
        <v>60000</v>
      </c>
      <c r="BS29" s="9">
        <f t="shared" si="14"/>
        <v>60000</v>
      </c>
    </row>
    <row r="30" spans="1:71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VLOOKUP(A30,[12]HISTOBQUEDEC24!$A$6:$K$46,3,0)+BS30+202000</f>
        <v>452000</v>
      </c>
      <c r="E30" s="9">
        <f>VLOOKUP(A30,[12]HISTOBQUEDEC24!$A$6:$G$41,4,0)</f>
        <v>1000000</v>
      </c>
      <c r="F30" s="9">
        <f>VLOOKUP(A30,[12]HISTOBQUEDEC24!$A$6:$G$41,5,0)</f>
        <v>0</v>
      </c>
      <c r="G30" s="5"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VLOOKUP(A30,[13]TONTDEC24!$A$6:$R$39,12,0)</f>
        <v>0</v>
      </c>
      <c r="Q30" s="2">
        <f>IFERROR(VLOOKUP(A30,[14]TONTDEC24!$A$7:$P$23,10,0),0)</f>
        <v>0</v>
      </c>
      <c r="R30" s="2">
        <f>IFERROR(VLOOKUP(A30,[15]TONTDEC24!$A$7:$P$20,10,0),0)</f>
        <v>202000</v>
      </c>
      <c r="S30" s="20">
        <v>1000000</v>
      </c>
      <c r="T30" s="12"/>
      <c r="U30" s="17">
        <f t="shared" si="8"/>
        <v>1452000</v>
      </c>
      <c r="V30" s="12"/>
      <c r="W30" s="12"/>
      <c r="X30" s="12"/>
      <c r="Y30" s="12"/>
      <c r="Z30" s="12">
        <v>1000000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5"/>
        <v>880000</v>
      </c>
      <c r="BA30" s="58">
        <v>880000</v>
      </c>
      <c r="BB30" s="58"/>
      <c r="BC30" s="15"/>
      <c r="BD30" s="57">
        <f t="shared" si="13"/>
        <v>0</v>
      </c>
      <c r="BE30" s="82"/>
      <c r="BF30" s="29">
        <f t="shared" si="5"/>
        <v>120000</v>
      </c>
      <c r="BG30" s="29">
        <v>12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  <c r="BR30" s="9">
        <f>VLOOKUP(A30,[12]HISTOBQUEDEC24!$A$6:$K$46,11,0)</f>
        <v>0</v>
      </c>
      <c r="BS30" s="9">
        <f t="shared" si="14"/>
        <v>0</v>
      </c>
    </row>
    <row r="31" spans="1:71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VLOOKUP(A31,[12]HISTOBQUEDEC24!$A$6:$K$46,3,0)+BS31</f>
        <v>1150000</v>
      </c>
      <c r="E31" s="9">
        <f>VLOOKUP(A31,[12]HISTOBQUEDEC24!$A$6:$G$41,4,0)</f>
        <v>0</v>
      </c>
      <c r="F31" s="9">
        <f>VLOOKUP(A31,[12]HISTOBQUEDEC24!$A$6:$G$41,5,0)</f>
        <v>0</v>
      </c>
      <c r="G31" s="5"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VLOOKUP(A31,[13]TONTDEC24!$A$6:$R$39,12,0)</f>
        <v>0</v>
      </c>
      <c r="Q31" s="2">
        <f>IFERROR(VLOOKUP(A31,[14]TONTDEC24!$A$7:$P$23,10,0),0)</f>
        <v>0</v>
      </c>
      <c r="R31" s="2">
        <f>IFERROR(VLOOKUP(A31,[15]TONTDEC24!$A$7:$P$20,10,0),0)</f>
        <v>0</v>
      </c>
      <c r="S31" s="20">
        <v>1000000</v>
      </c>
      <c r="T31" s="12"/>
      <c r="U31" s="17">
        <f t="shared" si="8"/>
        <v>1150000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5"/>
        <v>880000</v>
      </c>
      <c r="BA31" s="58"/>
      <c r="BB31" s="58"/>
      <c r="BC31" s="15"/>
      <c r="BD31" s="57">
        <f t="shared" si="13"/>
        <v>880000</v>
      </c>
      <c r="BE31" s="82" t="s">
        <v>186</v>
      </c>
      <c r="BF31" s="29">
        <f t="shared" si="5"/>
        <v>120000</v>
      </c>
      <c r="BG31" s="29">
        <v>12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  <c r="BR31" s="9">
        <f>VLOOKUP(A31,[12]HISTOBQUEDEC24!$A$6:$K$46,11,0)</f>
        <v>1000000</v>
      </c>
      <c r="BS31" s="9">
        <f t="shared" si="14"/>
        <v>1000000</v>
      </c>
    </row>
    <row r="32" spans="1:71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VLOOKUP(A32,[12]HISTOBQUEDEC24!$A$6:$K$46,3,0)+BS32+202000</f>
        <v>327000</v>
      </c>
      <c r="E32" s="9">
        <f>VLOOKUP(A32,[12]HISTOBQUEDEC24!$A$6:$G$41,4,0)</f>
        <v>0</v>
      </c>
      <c r="F32" s="9">
        <f>VLOOKUP(A32,[12]HISTOBQUEDEC24!$A$6:$G$41,5,0)</f>
        <v>0</v>
      </c>
      <c r="G32" s="5"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VLOOKUP(A32,[13]TONTDEC24!$A$6:$R$39,12,0)</f>
        <v>0</v>
      </c>
      <c r="Q32" s="2">
        <f>IFERROR(VLOOKUP(A32,[14]TONTDEC24!$A$7:$P$23,10,0),0)</f>
        <v>202000</v>
      </c>
      <c r="R32" s="2">
        <f>IFERROR(VLOOKUP(A32,[15]TONTDEC24!$A$7:$P$20,10,0),0)</f>
        <v>0</v>
      </c>
      <c r="S32" s="20"/>
      <c r="T32" s="12"/>
      <c r="U32" s="17">
        <f t="shared" si="8"/>
        <v>327000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5"/>
        <v>880000</v>
      </c>
      <c r="BA32" s="58"/>
      <c r="BB32" s="58"/>
      <c r="BC32" s="15"/>
      <c r="BD32" s="57">
        <f t="shared" si="13"/>
        <v>880000</v>
      </c>
      <c r="BE32" s="82" t="s">
        <v>186</v>
      </c>
      <c r="BF32" s="29">
        <f t="shared" si="5"/>
        <v>120000</v>
      </c>
      <c r="BG32" s="29">
        <v>12</v>
      </c>
      <c r="BH32" s="15"/>
      <c r="BI32" s="15"/>
      <c r="BJ32" s="15"/>
      <c r="BK32" s="15"/>
      <c r="BL32" s="61"/>
      <c r="BO32" t="s">
        <v>203</v>
      </c>
      <c r="BR32" s="9">
        <f>VLOOKUP(A32,[12]HISTOBQUEDEC24!$A$6:$K$46,11,0)</f>
        <v>0</v>
      </c>
      <c r="BS32" s="9">
        <f t="shared" si="14"/>
        <v>0</v>
      </c>
    </row>
    <row r="33" spans="1:71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VLOOKUP(A33,[12]HISTOBQUEDEC24!$A$6:$K$46,3,0)+BS33</f>
        <v>160000</v>
      </c>
      <c r="E33" s="9">
        <f>VLOOKUP(A33,[12]HISTOBQUEDEC24!$A$6:$G$41,4,0)</f>
        <v>0</v>
      </c>
      <c r="F33" s="9">
        <f>VLOOKUP(A33,[12]HISTOBQUEDEC24!$A$6:$G$41,5,0)</f>
        <v>0</v>
      </c>
      <c r="G33" s="5"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VLOOKUP(A33,[13]TONTDEC24!$A$6:$R$39,12,0)</f>
        <v>0</v>
      </c>
      <c r="Q33" s="2">
        <f>IFERROR(VLOOKUP(A33,[14]TONTDEC24!$A$7:$P$23,10,0),0)</f>
        <v>0</v>
      </c>
      <c r="R33" s="2">
        <f>IFERROR(VLOOKUP(A33,[15]TONTDEC24!$A$7:$P$20,10,0),0)</f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>
        <v>1000000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5"/>
        <v>880000</v>
      </c>
      <c r="BA33" s="58">
        <v>880000</v>
      </c>
      <c r="BB33" s="58"/>
      <c r="BC33" s="15"/>
      <c r="BD33" s="57">
        <f t="shared" si="13"/>
        <v>0</v>
      </c>
      <c r="BE33" s="82"/>
      <c r="BF33" s="29">
        <f t="shared" si="5"/>
        <v>120000</v>
      </c>
      <c r="BG33" s="29">
        <v>12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  <c r="BR33" s="9">
        <f>VLOOKUP(A33,[12]HISTOBQUEDEC24!$A$6:$K$46,11,0)</f>
        <v>10000</v>
      </c>
      <c r="BS33" s="9">
        <f t="shared" si="14"/>
        <v>10000</v>
      </c>
    </row>
    <row r="34" spans="1:71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-297500</v>
      </c>
      <c r="D34" s="9">
        <f>VLOOKUP(A34,[12]HISTOBQUEDEC24!$A$6:$K$46,3,0)+BS34</f>
        <v>0</v>
      </c>
      <c r="E34" s="9">
        <f>VLOOKUP(A34,[12]HISTOBQUEDEC24!$A$6:$G$41,4,0)</f>
        <v>50000</v>
      </c>
      <c r="F34" s="9">
        <f>VLOOKUP(A34,[12]HISTOBQUEDEC24!$A$6:$G$41,5,0)</f>
        <v>0</v>
      </c>
      <c r="G34" s="5">
        <v>0</v>
      </c>
      <c r="H34" s="10" t="str">
        <f t="shared" si="0"/>
        <v>ESPECES</v>
      </c>
      <c r="I34" s="10">
        <v>297500</v>
      </c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VLOOKUP(A34,[13]TONTDEC24!$A$6:$R$39,12,0)</f>
        <v>0</v>
      </c>
      <c r="Q34" s="2">
        <f>IFERROR(VLOOKUP(A34,[14]TONTDEC24!$A$7:$P$23,10,0),0)</f>
        <v>0</v>
      </c>
      <c r="R34" s="2">
        <f>IFERROR(VLOOKUP(A34,[15]TONTDEC24!$A$7:$P$20,10,0),0)</f>
        <v>0</v>
      </c>
      <c r="S34" s="20"/>
      <c r="T34" s="12"/>
      <c r="U34" s="17">
        <f t="shared" si="8"/>
        <v>347500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322500</v>
      </c>
      <c r="AT34" s="15"/>
      <c r="AV34" s="15"/>
      <c r="AW34" s="15">
        <f t="shared" si="10"/>
        <v>297500</v>
      </c>
      <c r="AX34" s="15">
        <f t="shared" si="11"/>
        <v>0</v>
      </c>
      <c r="AY34" s="15">
        <f t="shared" si="12"/>
        <v>0</v>
      </c>
      <c r="AZ34" s="16">
        <f t="shared" si="15"/>
        <v>297500</v>
      </c>
      <c r="BA34" s="58">
        <v>297500</v>
      </c>
      <c r="BB34" s="58"/>
      <c r="BC34" s="15"/>
      <c r="BD34" s="57">
        <f t="shared" si="13"/>
        <v>0</v>
      </c>
      <c r="BE34" s="82"/>
      <c r="BF34" s="29">
        <f t="shared" si="5"/>
        <v>0</v>
      </c>
      <c r="BG34" s="29">
        <v>12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  <c r="BR34" s="9">
        <f>VLOOKUP(A34,[12]HISTOBQUEDEC24!$A$6:$K$46,11,0)</f>
        <v>0</v>
      </c>
      <c r="BS34" s="9">
        <f t="shared" si="14"/>
        <v>0</v>
      </c>
    </row>
    <row r="35" spans="1:71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VLOOKUP(A35,[12]HISTOBQUEDEC24!$A$6:$K$46,3,0)+BS35</f>
        <v>350000</v>
      </c>
      <c r="E35" s="9">
        <f>VLOOKUP(A35,[12]HISTOBQUEDEC24!$A$6:$G$41,4,0)</f>
        <v>0</v>
      </c>
      <c r="F35" s="9">
        <f>VLOOKUP(A35,[12]HISTOBQUEDEC24!$A$6:$G$41,5,0)</f>
        <v>0</v>
      </c>
      <c r="G35" s="5">
        <v>0</v>
      </c>
      <c r="H35" s="10" t="str">
        <f t="shared" si="0"/>
        <v>BANQUE</v>
      </c>
      <c r="I35" s="10"/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VLOOKUP(A35,[13]TONTDEC24!$A$6:$R$39,12,0)</f>
        <v>0</v>
      </c>
      <c r="Q35" s="2">
        <f>IFERROR(VLOOKUP(A35,[14]TONTDEC24!$A$7:$P$23,10,0),0)</f>
        <v>0</v>
      </c>
      <c r="R35" s="2">
        <f>IFERROR(VLOOKUP(A35,[15]TONTDEC24!$A$7:$P$20,10,0),0)</f>
        <v>0</v>
      </c>
      <c r="S35" s="20">
        <v>300000</v>
      </c>
      <c r="T35" s="12"/>
      <c r="U35" s="17">
        <f t="shared" si="8"/>
        <v>350000</v>
      </c>
      <c r="V35" s="12"/>
      <c r="W35" s="12"/>
      <c r="X35" s="12"/>
      <c r="Y35" s="12"/>
      <c r="Z35" s="12">
        <v>1000000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25000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5"/>
        <v>880000</v>
      </c>
      <c r="BA35" s="58"/>
      <c r="BB35" s="58"/>
      <c r="BC35" s="15"/>
      <c r="BD35" s="57">
        <f t="shared" si="13"/>
        <v>880000</v>
      </c>
      <c r="BE35" s="82" t="s">
        <v>186</v>
      </c>
      <c r="BF35" s="29">
        <f t="shared" si="5"/>
        <v>120000</v>
      </c>
      <c r="BG35" s="29">
        <v>12</v>
      </c>
      <c r="BH35" s="15"/>
      <c r="BI35" s="15"/>
      <c r="BJ35" s="15"/>
      <c r="BK35" s="15"/>
      <c r="BL35" s="61"/>
      <c r="BR35" s="9">
        <f>VLOOKUP(A35,[12]HISTOBQUEDEC24!$A$6:$K$46,11,0)</f>
        <v>290000</v>
      </c>
      <c r="BS35" s="9">
        <f t="shared" si="14"/>
        <v>290000</v>
      </c>
    </row>
    <row r="36" spans="1:71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VLOOKUP(A36,[12]HISTOBQUEDEC24!$A$6:$K$46,3,0)+BS36</f>
        <v>0</v>
      </c>
      <c r="E36" s="9">
        <f>VLOOKUP(A36,[12]HISTOBQUEDEC24!$A$6:$G$41,4,0)</f>
        <v>50000</v>
      </c>
      <c r="F36" s="9">
        <f>VLOOKUP(A36,[12]HISTOBQUEDEC24!$A$6:$G$41,5,0)</f>
        <v>0</v>
      </c>
      <c r="G36" s="5">
        <v>0</v>
      </c>
      <c r="H36" s="10" t="str">
        <f t="shared" si="0"/>
        <v>ESPECES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VLOOKUP(A36,[13]TONTDEC24!$A$6:$R$39,12,0)</f>
        <v>0</v>
      </c>
      <c r="Q36" s="2">
        <f>IFERROR(VLOOKUP(A36,[14]TONTDEC24!$A$7:$P$23,10,0),0)</f>
        <v>0</v>
      </c>
      <c r="R36" s="2">
        <f>IFERROR(VLOOKUP(A36,[15]TONTDEC24!$A$7:$P$20,10,0),0)</f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297500</v>
      </c>
      <c r="AX36" s="15">
        <f t="shared" si="11"/>
        <v>0</v>
      </c>
      <c r="AY36" s="15">
        <f t="shared" si="12"/>
        <v>0</v>
      </c>
      <c r="AZ36" s="16">
        <f t="shared" si="15"/>
        <v>297500</v>
      </c>
      <c r="BA36" s="58">
        <v>297500</v>
      </c>
      <c r="BB36" s="58"/>
      <c r="BC36" s="15"/>
      <c r="BD36" s="57">
        <f t="shared" si="13"/>
        <v>0</v>
      </c>
      <c r="BE36" s="82"/>
      <c r="BF36" s="29">
        <f t="shared" si="5"/>
        <v>0</v>
      </c>
      <c r="BG36" s="29">
        <v>12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  <c r="BR36" s="9">
        <f>VLOOKUP(A36,[12]HISTOBQUEDEC24!$A$6:$K$46,11,0)</f>
        <v>0</v>
      </c>
      <c r="BS36" s="9">
        <f t="shared" si="14"/>
        <v>0</v>
      </c>
    </row>
    <row r="37" spans="1:71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VLOOKUP(A37,[12]HISTOBQUEDEC24!$A$6:$K$46,3,0)+BS37</f>
        <v>0</v>
      </c>
      <c r="E37" s="9">
        <f>VLOOKUP(A37,[12]HISTOBQUEDEC24!$A$6:$G$41,4,0)</f>
        <v>150000</v>
      </c>
      <c r="F37" s="9">
        <f>VLOOKUP(A37,[12]HISTOBQUEDEC24!$A$6:$G$41,5,0)</f>
        <v>0</v>
      </c>
      <c r="G37" s="5">
        <v>0</v>
      </c>
      <c r="H37" s="10" t="str">
        <f t="shared" si="0"/>
        <v>ESPECES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VLOOKUP(A37,[13]TONTDEC24!$A$6:$R$39,12,0)</f>
        <v>0</v>
      </c>
      <c r="Q37" s="2">
        <f>IFERROR(VLOOKUP(A37,[14]TONTDEC24!$A$7:$P$23,10,0),0)</f>
        <v>0</v>
      </c>
      <c r="R37" s="2">
        <f>IFERROR(VLOOKUP(A37,[15]TONTDEC24!$A$7:$P$20,10,0),0)</f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5"/>
        <v>0</v>
      </c>
      <c r="BA37" s="58"/>
      <c r="BB37" s="58"/>
      <c r="BC37" s="15"/>
      <c r="BD37" s="57">
        <f t="shared" si="13"/>
        <v>0</v>
      </c>
      <c r="BE37" s="82"/>
      <c r="BF37" s="29">
        <f t="shared" si="5"/>
        <v>0</v>
      </c>
      <c r="BG37" s="29">
        <v>12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  <c r="BR37" s="9">
        <f>VLOOKUP(A37,[12]HISTOBQUEDEC24!$A$6:$K$46,11,0)</f>
        <v>0</v>
      </c>
      <c r="BS37" s="9">
        <f t="shared" si="14"/>
        <v>0</v>
      </c>
    </row>
    <row r="38" spans="1:71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VLOOKUP(A38,[12]HISTOBQUEDEC24!$A$6:$K$46,3,0)+BS38</f>
        <v>125000</v>
      </c>
      <c r="E38" s="9">
        <f>VLOOKUP(A38,[12]HISTOBQUEDEC24!$A$6:$G$41,4,0)</f>
        <v>0</v>
      </c>
      <c r="F38" s="9">
        <f>VLOOKUP(A38,[12]HISTOBQUEDEC24!$A$6:$G$41,5,0)</f>
        <v>0</v>
      </c>
      <c r="G38" s="5"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VLOOKUP(A38,[13]TONTDEC24!$A$6:$R$39,12,0)</f>
        <v>0</v>
      </c>
      <c r="Q38" s="2">
        <f>IFERROR(VLOOKUP(A38,[14]TONTDEC24!$A$7:$P$23,10,0),0)</f>
        <v>0</v>
      </c>
      <c r="R38" s="2">
        <f>IFERROR(VLOOKUP(A38,[15]TONTDEC24!$A$7:$P$20,10,0),0)</f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>
        <v>500000</v>
      </c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5"/>
        <v>485000</v>
      </c>
      <c r="BA38" s="58">
        <v>485000</v>
      </c>
      <c r="BB38" s="58"/>
      <c r="BC38" s="15"/>
      <c r="BD38" s="57">
        <f t="shared" si="13"/>
        <v>0</v>
      </c>
      <c r="BE38" s="82"/>
      <c r="BF38" s="29">
        <f t="shared" si="5"/>
        <v>15000</v>
      </c>
      <c r="BG38" s="29">
        <v>3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  <c r="BR38" s="9">
        <f>VLOOKUP(A38,[12]HISTOBQUEDEC24!$A$6:$K$46,11,0)</f>
        <v>0</v>
      </c>
      <c r="BS38" s="9">
        <f t="shared" si="14"/>
        <v>0</v>
      </c>
    </row>
    <row r="39" spans="1:71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71" ht="18.5" x14ac:dyDescent="0.45">
      <c r="B40" s="1" t="s">
        <v>44</v>
      </c>
      <c r="C40" s="5">
        <f t="shared" ref="C40:S40" ca="1" si="16">SUM(C6:C39)</f>
        <v>-2706700</v>
      </c>
      <c r="D40" s="5">
        <f t="shared" si="16"/>
        <v>9103000</v>
      </c>
      <c r="E40" s="5">
        <f t="shared" si="16"/>
        <v>9052000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790500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315000</v>
      </c>
      <c r="Q40" s="5">
        <f t="shared" si="16"/>
        <v>942500</v>
      </c>
      <c r="R40" s="5">
        <f t="shared" si="16"/>
        <v>2025500</v>
      </c>
      <c r="S40" s="5">
        <f t="shared" si="16"/>
        <v>11817500</v>
      </c>
      <c r="T40" s="5"/>
      <c r="U40" s="5">
        <f t="shared" ref="U40:AA40" ca="1" si="17">SUM(U6:U39)</f>
        <v>20491000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15400000</v>
      </c>
      <c r="AA40" s="5">
        <f t="shared" si="17"/>
        <v>0</v>
      </c>
      <c r="AB40" s="5"/>
      <c r="AC40" s="5">
        <f>SUM(AC6:AC39)</f>
        <v>7500</v>
      </c>
      <c r="AD40" s="5">
        <f>SUM(AD6:AD39)</f>
        <v>7500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1529500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892500</v>
      </c>
      <c r="AX40" s="5">
        <f t="shared" si="18"/>
        <v>892500</v>
      </c>
      <c r="AY40" s="5">
        <f t="shared" si="18"/>
        <v>1190000</v>
      </c>
      <c r="AZ40" s="5">
        <f t="shared" si="18"/>
        <v>18935500</v>
      </c>
      <c r="BA40" s="5">
        <f t="shared" si="18"/>
        <v>7523000</v>
      </c>
      <c r="BB40" s="5">
        <f t="shared" si="18"/>
        <v>371700</v>
      </c>
      <c r="BC40" s="5">
        <f t="shared" si="18"/>
        <v>0</v>
      </c>
      <c r="BD40" s="5">
        <f t="shared" si="18"/>
        <v>12439118</v>
      </c>
      <c r="BE40" s="5">
        <f t="shared" si="18"/>
        <v>0</v>
      </c>
      <c r="BF40" s="5">
        <f t="shared" si="18"/>
        <v>1635250</v>
      </c>
      <c r="BH40" s="5">
        <f t="shared" ref="BH40:BL40" si="19">SUM(BH6:BH39)</f>
        <v>4031000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71" ht="18.5" x14ac:dyDescent="0.45">
      <c r="AW41" s="15"/>
      <c r="AX41" s="15"/>
      <c r="AY41" s="15"/>
      <c r="AZ41" s="16"/>
    </row>
    <row r="42" spans="1:71" ht="18.5" x14ac:dyDescent="0.45">
      <c r="Z42" s="12"/>
      <c r="AW42" s="15"/>
      <c r="AX42" s="15"/>
      <c r="AY42" s="15"/>
      <c r="AZ42" s="16"/>
      <c r="BA42" s="6"/>
    </row>
    <row r="43" spans="1:71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71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71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71" ht="18.5" x14ac:dyDescent="0.45">
      <c r="B46" s="1" t="s">
        <v>78</v>
      </c>
      <c r="AW46" s="15"/>
      <c r="AX46" s="15"/>
      <c r="AY46" s="15"/>
      <c r="AZ46" s="16"/>
    </row>
    <row r="47" spans="1:71" ht="18.5" x14ac:dyDescent="0.45">
      <c r="B47" s="1" t="s">
        <v>79</v>
      </c>
      <c r="C47" s="14">
        <f>AZ40</f>
        <v>18935500</v>
      </c>
      <c r="D47" s="9">
        <f>SUMIFS(D8:D40,H8:H40,"BANQUE")</f>
        <v>8928000</v>
      </c>
      <c r="F47" s="9">
        <f>E40</f>
        <v>9052000</v>
      </c>
      <c r="G47" s="14"/>
      <c r="J47" s="5"/>
      <c r="AW47" s="15"/>
      <c r="AX47" s="15"/>
      <c r="AY47" s="15"/>
      <c r="AZ47" s="16"/>
    </row>
    <row r="48" spans="1:71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33840000</v>
      </c>
    </row>
  </sheetData>
  <autoFilter ref="A5:AF38" xr:uid="{00000000-0009-0000-0000-00000F000000}"/>
  <mergeCells count="1">
    <mergeCell ref="B4:M4"/>
  </mergeCells>
  <dataValidations count="1">
    <dataValidation type="list" allowBlank="1" showInputMessage="1" showErrorMessage="1" sqref="T6:T38 AP6:AP38 AF6:AF38 AA6:AA38" xr:uid="{00000000-0002-0000-0F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Q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6" sqref="C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0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2100000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 ca="1"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 ca="1">G6+S6++R6+P6+O6+M6+I6+K6+Q6+V6+W6</f>
        <v>236000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7500</v>
      </c>
      <c r="AE6" s="9">
        <f>HISTOJANV24!AE6+HISTOFEV24!AE6+HISTOMARS24!AE6+HISTOAVRIL24!AE6+HISTOMAI24!AE6+HISTOJUIN24!AE6+HISTOJUIL24!AE6+HISTOAOUT24!AE6+HISTOSEPT24!AE6+HISTOOCT24!AE6+HISTONOV24!AE6+HISTODEC24!AE6</f>
        <v>10000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892500</v>
      </c>
      <c r="AY6" s="9">
        <f>HISTOJANV24!AY6+HISTOFEV24!AY6+HISTOMARS24!AY6+HISTOAVRIL24!AY6+HISTOMAI24!AY6+HISTOJUIN24!AY6+HISTOJUIL24!AY6+HISTOAOUT24!AY6+HISTOSEPT24!AY6+HISTOOCT24!AY6+HISTONOV24!AY6+HISTODEC24!AY6</f>
        <v>1190000</v>
      </c>
      <c r="AZ6" s="9">
        <f>HISTOJANV24!AZ6+HISTOFEV24!AZ6+HISTOMARS24!AZ6+HISTOAVRIL24!AZ6+HISTOMAI24!AZ6+HISTOJUIN24!AZ6+HISTOJUIL24!AZ6+HISTOAOUT24!AZ6+HISTOSEPT24!AZ6+HISTOOCT24!AZ6+HISTONOV24!AZ6+HISTODEC24!AZ6</f>
        <v>5711000</v>
      </c>
      <c r="BA6" s="9">
        <f>HISTOJANV24!BA6+HISTOFEV24!BA6+HISTOMARS24!BA6+HISTOAVRIL24!BA6+HISTOMAI24!BA6+HISTOJUIN24!BA6+HISTOJUIL24!BA6+HISTOAOUT24!BA6+HISTOSEPT24!BA6+HISTOOCT24!BA6+HISTONOV24!BA6+HISTODEC24!BA6</f>
        <v>119000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7210118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4251000</v>
      </c>
      <c r="BI6" s="9">
        <f>HISTOJANV24!BI6+HISTOFEV24!BI6+HISTOMARS24!BI6+HISTOAVRIL24!BI6+HISTOMAI24!BI6+HISTOJUIN24!BI6+HISTOJUIL24!BI6+HISTOAOUT24!BI6+HISTOSEPT24!BI6+HISTOOCT24!BI6+HISTONOV24!BI6+HISTODEC24!BI6</f>
        <v>960000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9">
        <f>HISTOJANV24!BL6+HISTOFEV24!BL6+HISTOMARS24!BL6+HISTOAVRIL24!BL6+HISTOMAI24!BL6+HISTOJUIN24!BL6+HISTOJUIL24!BL6+HISTOAOUT24!BL6+HISTOSEPT24!BL6+HISTOOCT24!BL6+HISTONOV24!BL6+HISTODEC24!BL6</f>
        <v>0</v>
      </c>
      <c r="BM6" s="9">
        <f>HISTOJANV24!BM6+HISTOFEV24!BM6+HISTOMARS24!BM6+HISTOAVRIL24!BM6+HISTOMAI24!BM6+HISTOJUIN24!BM6+HISTOJUIL24!BM6+HISTOAOUT24!BM6+HISTOSEPT24!BM6+HISTOOCT24!BM6+HISTONOV24!BM6+HISTODEC24!BM6</f>
        <v>0</v>
      </c>
      <c r="BN6" s="9">
        <f>HISTOJANV24!BN6+HISTOFEV24!BN6+HISTOMARS24!BN6+HISTOAVRIL24!BN6+HISTOMAI24!BN6+HISTOJUIN24!BN6+HISTOJUIL24!BN6+HISTOAOUT24!BN6+HISTOSEPT24!BN6+HISTOOCT24!BN6+HISTONOV24!BN6+HISTODEC24!BN6</f>
        <v>5326618</v>
      </c>
      <c r="BO6" t="s">
        <v>115</v>
      </c>
      <c r="BP6" t="s">
        <v>114</v>
      </c>
      <c r="BQ6" s="9">
        <f>HISTOJANV24!BQ6+HISTOFEV24!BQ6+HISTOMARS24!BQ6+HISTOAVRIL24!BQ6+HISTOMAI24!BQ6+HISTOJUIN24!BQ6+HISTOJUIL24!BQ6+HISTOAOUT24!BQ6+HISTOSEPT24!BQ6+HISTOOCT24!BQ6+HISTONOV24!BQ6+HISTODEC24!BQ6</f>
        <v>11500</v>
      </c>
    </row>
    <row r="7" spans="1:69" ht="18.5" x14ac:dyDescent="0.45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340000</v>
      </c>
      <c r="E7" s="9">
        <f>HISTOJANV24!E7+HISTOFEV24!E7+HISTOMARS24!E7+HISTOAVRIL24!E7+HISTOMAI24!E7+HISTOJUIN24!E7+HISTOJUIL24!E7+HISTOAOUT24!E7+HISTOSEPT24!E7+HISTOOCT24!E7+HISTONOV24!E7+HISTODEC24!E7</f>
        <v>471000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15000</v>
      </c>
      <c r="H7" s="10"/>
      <c r="I7" s="9">
        <f>HISTOJANV24!I7+HISTOFEV24!I7+HISTOMARS24!I7+HISTOAVRIL24!I7+HISTOMAI24!I7+HISTOJUIN24!I7+HISTOJUIL24!I7+HISTOAOUT24!I7+HISTOSEPT24!I7+HISTOOCT24!I7+HISTONOV24!I7+HISTODEC24!I7</f>
        <v>8000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119000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192000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117000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2000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33000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407000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1001000</v>
      </c>
      <c r="BA7" s="9">
        <f>HISTOJANV24!BA7+HISTOFEV24!BA7+HISTOMARS24!BA7+HISTOAVRIL24!BA7+HISTOMAI24!BA7+HISTOJUIN24!BA7+HISTOJUIL24!BA7+HISTOAOUT24!BA7+HISTOSEPT24!BA7+HISTOOCT24!BA7+HISTONOV24!BA7+HISTODEC24!BA7</f>
        <v>10000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397000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111000</v>
      </c>
      <c r="BG7" s="29"/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9">
        <f>HISTOJANV24!BQ7+HISTOFEV24!BQ7+HISTOMARS24!BQ7+HISTOAVRIL24!BQ7+HISTOMAI24!BQ7+HISTOJUIN24!BQ7+HISTOJUIL24!BQ7+HISTOAOUT24!BQ7+HISTOSEPT24!BQ7+HISTOOCT24!BQ7+HISTONOV24!BQ7+HISTODEC24!BQ7</f>
        <v>0</v>
      </c>
    </row>
    <row r="8" spans="1:69" ht="18.5" x14ac:dyDescent="0.45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1365000</v>
      </c>
      <c r="E8" s="9">
        <f>HISTOJANV24!E8+HISTOFEV24!E8+HISTOMARS24!E8+HISTOAVRIL24!E8+HISTOMAI24!E8+HISTOJUIN24!E8+HISTOJUIL24!E8+HISTOAOUT24!E8+HISTOSEPT24!E8+HISTOOCT24!E8+HISTONOV24!E8+HISTODEC24!E8</f>
        <v>663000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6000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500000</v>
      </c>
      <c r="T8" s="12"/>
      <c r="U8" s="17">
        <f t="shared" si="5"/>
        <v>628000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500000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2500</v>
      </c>
      <c r="AD8" s="9">
        <f>HISTOJANV24!AD8+HISTOFEV24!AD8+HISTOMARS24!AD8+HISTOAVRIL24!AD8+HISTOMAI24!AD8+HISTOJUIN24!AD8+HISTOJUIL24!AD8+HISTOAOUT24!AD8+HISTOSEPT24!AD8+HISTOOCT24!AD8+HISTONOV24!AD8+HISTODEC24!AD8</f>
        <v>7500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297500</v>
      </c>
      <c r="AX8" s="9">
        <f>HISTOJANV24!AX8+HISTOFEV24!AX8+HISTOMARS24!AX8+HISTOAVRIL24!AX8+HISTOMAI24!AX8+HISTOJUIN24!AX8+HISTOJUIL24!AX8+HISTOAOUT24!AX8+HISTOSEPT24!AX8+HISTOOCT24!AX8+HISTONOV24!AX8+HISTODEC24!AX8</f>
        <v>892500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1662750</v>
      </c>
      <c r="BA8" s="9">
        <f>HISTOJANV24!BA8+HISTOFEV24!BA8+HISTOMARS24!BA8+HISTOAVRIL24!BA8+HISTOMAI24!BA8+HISTOJUIN24!BA8+HISTOJUIL24!BA8+HISTOAOUT24!BA8+HISTOSEPT24!BA8+HISTOOCT24!BA8+HISTONOV24!BA8+HISTODEC24!BA8</f>
        <v>440000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1222750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60000</v>
      </c>
      <c r="BG8" s="29"/>
      <c r="BH8" s="15"/>
      <c r="BI8" s="15"/>
      <c r="BJ8" s="15"/>
      <c r="BK8" s="15"/>
      <c r="BL8" s="61"/>
      <c r="BO8" t="s">
        <v>117</v>
      </c>
      <c r="BP8" t="s">
        <v>114</v>
      </c>
      <c r="BQ8" s="9">
        <f>HISTOJANV24!BQ8+HISTOFEV24!BQ8+HISTOMARS24!BQ8+HISTOAVRIL24!BQ8+HISTOMAI24!BQ8+HISTOJUIN24!BQ8+HISTOJUIL24!BQ8+HISTOAOUT24!BQ8+HISTOSEPT24!BQ8+HISTOOCT24!BQ8+HISTONOV24!BQ8+HISTODEC24!BQ8</f>
        <v>101000</v>
      </c>
    </row>
    <row r="9" spans="1:69" ht="18.5" x14ac:dyDescent="0.45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3664500</v>
      </c>
      <c r="E9" s="9">
        <f>HISTOJANV24!E9+HISTOFEV24!E9+HISTOMARS24!E9+HISTOAVRIL24!E9+HISTOMAI24!E9+HISTOJUIN24!E9+HISTOJUIL24!E9+HISTOAOUT24!E9+HISTOSEPT24!E9+HISTOOCT24!E9+HISTONOV24!E9+HISTODEC24!E9</f>
        <v>1600000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-7500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764000</v>
      </c>
      <c r="S9" s="9">
        <f>HISTOJANV24!S9+HISTOFEV24!S9+HISTOMARS24!S9+HISTOAVRIL24!S9+HISTOMAI24!S9+HISTOJUIN24!S9+HISTOJUIL24!S9+HISTOAOUT24!S9+HISTOSEPT24!S9+HISTOOCT24!S9+HISTONOV24!S9+HISTODEC24!S9</f>
        <v>1000000</v>
      </c>
      <c r="T9" s="12"/>
      <c r="U9" s="17">
        <f t="shared" si="5"/>
        <v>2006500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1000000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125000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755500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8500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17500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3030500</v>
      </c>
      <c r="AZ9" s="9">
        <f>HISTOJANV24!AZ9+HISTOFEV24!AZ9+HISTOMARS24!AZ9+HISTOAVRIL24!AZ9+HISTOMAI24!AZ9+HISTOJUIN24!AZ9+HISTOJUIL24!AZ9+HISTOAOUT24!AZ9+HISTOSEPT24!AZ9+HISTOOCT24!AZ9+HISTONOV24!AZ9+HISTODEC24!AZ9</f>
        <v>4192500</v>
      </c>
      <c r="BA9" s="9">
        <f>HISTOJANV24!BA9+HISTOFEV24!BA9+HISTOMARS24!BA9+HISTOAVRIL24!BA9+HISTOMAI24!BA9+HISTOJUIN24!BA9+HISTOJUIL24!BA9+HISTOAOUT24!BA9+HISTOSEPT24!BA9+HISTOOCT24!BA9+HISTONOV24!BA9+HISTODEC24!BA9</f>
        <v>1912000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2280500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120000</v>
      </c>
      <c r="BG9" s="29"/>
      <c r="BH9" s="15"/>
      <c r="BI9" s="15"/>
      <c r="BJ9" s="15"/>
      <c r="BK9" s="15"/>
      <c r="BL9" s="61"/>
      <c r="BO9" t="s">
        <v>196</v>
      </c>
      <c r="BP9" t="s">
        <v>114</v>
      </c>
      <c r="BQ9" s="9">
        <f>HISTOJANV24!BQ9+HISTOFEV24!BQ9+HISTOMARS24!BQ9+HISTOAVRIL24!BQ9+HISTOMAI24!BQ9+HISTOJUIN24!BQ9+HISTOJUIL24!BQ9+HISTOAOUT24!BQ9+HISTOSEPT24!BQ9+HISTOOCT24!BQ9+HISTONOV24!BQ9+HISTODEC24!BQ9</f>
        <v>18500</v>
      </c>
    </row>
    <row r="10" spans="1:69" ht="18.5" x14ac:dyDescent="0.45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1629000</v>
      </c>
      <c r="E10" s="9">
        <f>HISTOJANV24!E10+HISTOFEV24!E10+HISTOMARS24!E10+HISTOAVRIL24!E10+HISTOMAI24!E10+HISTOJUIN24!E10+HISTOJUIL24!E10+HISTOAOUT24!E10+HISTOSEPT24!E10+HISTOOCT24!E10+HISTONOV24!E10+HISTODEC24!E10</f>
        <v>1830000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9000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-6500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376500</v>
      </c>
      <c r="Q10" s="9">
        <f>HISTOJANV24!Q10+HISTOFEV24!Q10+HISTOMARS24!Q10+HISTOAVRIL24!Q10+HISTOMAI24!Q10+HISTOJUIN24!Q10+HISTOJUIL24!Q10+HISTOAOUT24!Q10+HISTOSEPT24!Q10+HISTOOCT24!Q10+HISTONOV24!Q10+HISTODEC24!Q10</f>
        <v>591000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1000000</v>
      </c>
      <c r="T10" s="12"/>
      <c r="U10" s="17">
        <f t="shared" si="5"/>
        <v>2095000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1000000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2500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369500</v>
      </c>
      <c r="AJ10" s="9">
        <f>HISTOJANV24!AJ10+HISTOFEV24!AJ10+HISTOMARS24!AJ10+HISTOAVRIL24!AJ10+HISTOMAI24!AJ10+HISTOJUIN24!AJ10+HISTOJUIL24!AJ10+HISTOAOUT24!AJ10+HISTOSEPT24!AJ10+HISTOOCT24!AJ10+HISTONOV24!AJ10+HISTODEC24!AJ10</f>
        <v>581500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7000</v>
      </c>
      <c r="AM10" s="9">
        <f>HISTOJANV24!AM10+HISTOFEV24!AM10+HISTOMARS24!AM10+HISTOAVRIL24!AM10+HISTOMAI24!AM10+HISTOJUIN24!AM10+HISTOJUIL24!AM10+HISTOAOUT24!AM10+HISTOSEPT24!AM10+HISTOOCT24!AM10+HISTONOV24!AM10+HISTODEC24!AM10</f>
        <v>9500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18500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667000</v>
      </c>
      <c r="AX10" s="9">
        <f>HISTOJANV24!AX10+HISTOFEV24!AX10+HISTOMARS24!AX10+HISTOAVRIL24!AX10+HISTOMAI24!AX10+HISTOJUIN24!AX10+HISTOJUIL24!AX10+HISTOAOUT24!AX10+HISTOSEPT24!AX10+HISTOOCT24!AX10+HISTONOV24!AX10+HISTODEC24!AX10</f>
        <v>1453500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3000500</v>
      </c>
      <c r="BA10" s="9">
        <f>HISTOJANV24!BA10+HISTOFEV24!BA10+HISTOMARS24!BA10+HISTOAVRIL24!BA10+HISTOMAI24!BA10+HISTOJUIN24!BA10+HISTOJUIL24!BA10+HISTOAOUT24!BA10+HISTOSEPT24!BA10+HISTOOCT24!BA10+HISTONOV24!BA10+HISTODEC24!BA10</f>
        <v>439500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2561000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120000</v>
      </c>
      <c r="BG10" s="29"/>
      <c r="BH10" s="15"/>
      <c r="BI10" s="15"/>
      <c r="BJ10" s="15"/>
      <c r="BK10" s="15"/>
      <c r="BL10" s="61"/>
      <c r="BO10" t="s">
        <v>118</v>
      </c>
      <c r="BP10" t="s">
        <v>114</v>
      </c>
      <c r="BQ10" s="9">
        <f>HISTOJANV24!BQ10+HISTOFEV24!BQ10+HISTOMARS24!BQ10+HISTOAVRIL24!BQ10+HISTOMAI24!BQ10+HISTOJUIN24!BQ10+HISTOJUIL24!BQ10+HISTOAOUT24!BQ10+HISTOSEPT24!BQ10+HISTOOCT24!BQ10+HISTONOV24!BQ10+HISTODEC24!BQ10</f>
        <v>0</v>
      </c>
    </row>
    <row r="11" spans="1:69" ht="18.5" x14ac:dyDescent="0.45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2536500</v>
      </c>
      <c r="E11" s="9">
        <f>HISTOJANV24!E11+HISTOFEV24!E11+HISTOMARS24!E11+HISTOAVRIL24!E11+HISTOMAI24!E11+HISTOJUIN24!E11+HISTOJUIL24!E11+HISTOAOUT24!E11+HISTOSEPT24!E11+HISTOOCT24!E11+HISTONOV24!E11+HISTODEC24!E11</f>
        <v>228000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3000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23000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114500</v>
      </c>
      <c r="Q11" s="9">
        <f>HISTOJANV24!Q11+HISTOFEV24!Q11+HISTOMARS24!Q11+HISTOAVRIL24!Q11+HISTOMAI24!Q11+HISTOJUIN24!Q11+HISTOJUIL24!Q11+HISTOAOUT24!Q11+HISTOSEPT24!Q11+HISTOOCT24!Q11+HISTONOV24!Q11+HISTODEC24!Q11</f>
        <v>1146000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2411500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111000</v>
      </c>
      <c r="AJ11" s="9">
        <f>HISTOJANV24!AJ11+HISTOFEV24!AJ11+HISTOMARS24!AJ11+HISTOAVRIL24!AJ11+HISTOMAI24!AJ11+HISTOJUIN24!AJ11+HISTOJUIL24!AJ11+HISTOAOUT24!AJ11+HISTOSEPT24!AJ11+HISTOOCT24!AJ11+HISTONOV24!AJ11+HISTODEC24!AJ11</f>
        <v>1128000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3500</v>
      </c>
      <c r="AM11" s="9">
        <f>HISTOJANV24!AM11+HISTOFEV24!AM11+HISTOMARS24!AM11+HISTOAVRIL24!AM11+HISTOMAI24!AM11+HISTOJUIN24!AM11+HISTOJUIL24!AM11+HISTOAOUT24!AM11+HISTOSEPT24!AM11+HISTOOCT24!AM11+HISTONOV24!AM11+HISTODEC24!AM11</f>
        <v>18000</v>
      </c>
      <c r="AN11" s="9">
        <f>HISTOJANV24!AN11+HISTOFEV24!AN11+HISTOMARS24!AN11+HISTOAVRIL24!AN11+HISTOMAI24!AN11+HISTOJUIN24!AN11+HISTOJUIL24!AN11+HISTOAOUT24!AN11+HISTOSEPT24!AN11+HISTOOCT24!AN11+HISTONOV24!AN11+HISTODEC24!AN11</f>
        <v>2000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48000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395000</v>
      </c>
      <c r="AX11" s="9">
        <f>HISTOJANV24!AX11+HISTOFEV24!AX11+HISTOMARS24!AX11+HISTOAVRIL24!AX11+HISTOMAI24!AX11+HISTOJUIN24!AX11+HISTOJUIL24!AX11+HISTOAOUT24!AX11+HISTOSEPT24!AX11+HISTOOCT24!AX11+HISTONOV24!AX11+HISTODEC24!AX11</f>
        <v>2012000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2346000</v>
      </c>
      <c r="BA11" s="9">
        <f>HISTOJANV24!BA11+HISTOFEV24!BA11+HISTOMARS24!BA11+HISTOAVRIL24!BA11+HISTOMAI24!BA11+HISTOJUIN24!BA11+HISTOJUIL24!BA11+HISTOAOUT24!BA11+HISTOSEPT24!BA11+HISTOOCT24!BA11+HISTONOV24!BA11+HISTODEC24!BA11</f>
        <v>904500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1027000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40000</v>
      </c>
      <c r="BG11" s="29"/>
      <c r="BH11" s="15"/>
      <c r="BI11" s="15"/>
      <c r="BJ11" s="15"/>
      <c r="BK11" s="15"/>
      <c r="BL11" s="61"/>
      <c r="BO11" t="s">
        <v>119</v>
      </c>
      <c r="BP11" t="s">
        <v>114</v>
      </c>
      <c r="BQ11" s="9">
        <f>HISTOJANV24!BQ11+HISTOFEV24!BQ11+HISTOMARS24!BQ11+HISTOAVRIL24!BQ11+HISTOMAI24!BQ11+HISTOJUIN24!BQ11+HISTOJUIL24!BQ11+HISTOAOUT24!BQ11+HISTOSEPT24!BQ11+HISTOOCT24!BQ11+HISTONOV24!BQ11+HISTODEC24!BQ11</f>
        <v>30000</v>
      </c>
    </row>
    <row r="12" spans="1:69" ht="18.5" x14ac:dyDescent="0.45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6143000</v>
      </c>
      <c r="E12" s="9">
        <f>HISTOJANV24!E12+HISTOFEV24!E12+HISTOMARS24!E12+HISTOAVRIL24!E12+HISTOMAI24!E12+HISTOJUIN24!E12+HISTOJUIL24!E12+HISTOAOUT24!E12+HISTOSEPT24!E12+HISTOOCT24!E12+HISTONOV24!E12+HISTODEC24!E12</f>
        <v>642500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67600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61000</v>
      </c>
      <c r="Q12" s="9">
        <f>HISTOJANV24!Q12+HISTOFEV24!Q12+HISTOMARS24!Q12+HISTOAVRIL24!Q12+HISTOMAI24!Q12+HISTOJUIN24!Q12+HISTOJUIL24!Q12+HISTOAOUT24!Q12+HISTOSEPT24!Q12+HISTOOCT24!Q12+HISTONOV24!Q12+HISTODEC24!Q12</f>
        <v>202500</v>
      </c>
      <c r="R12" s="9">
        <f>HISTOJANV24!R12+HISTOFEV24!R12+HISTOMARS24!R12+HISTOAVRIL24!R12+HISTOMAI24!R12+HISTOJUIN24!R12+HISTOJUIL24!R12+HISTOAOUT24!R12+HISTOSEPT24!R12+HISTOOCT24!R12+HISTONOV24!R12+HISTODEC24!R12</f>
        <v>1547000</v>
      </c>
      <c r="S12" s="9">
        <f>HISTOJANV24!S12+HISTOFEV24!S12+HISTOMARS24!S12+HISTOAVRIL24!S12+HISTOMAI24!S12+HISTOJUIN24!S12+HISTOJUIL24!S12+HISTOAOUT24!S12+HISTOSEPT24!S12+HISTOOCT24!S12+HISTONOV24!S12+HISTODEC24!S12</f>
        <v>1000000</v>
      </c>
      <c r="T12" s="12"/>
      <c r="U12" s="17">
        <f t="shared" si="5"/>
        <v>3203100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1000000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3000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20000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60000</v>
      </c>
      <c r="AJ12" s="9">
        <f>HISTOJANV24!AJ12+HISTOFEV24!AJ12+HISTOMARS24!AJ12+HISTOAVRIL24!AJ12+HISTOMAI24!AJ12+HISTOJUIN24!AJ12+HISTOJUIL24!AJ12+HISTOAOUT24!AJ12+HISTOSEPT24!AJ12+HISTOOCT24!AJ12+HISTONOV24!AJ12+HISTODEC24!AJ12</f>
        <v>200500</v>
      </c>
      <c r="AK12" s="9">
        <f>HISTOJANV24!AK12+HISTOFEV24!AK12+HISTOMARS24!AK12+HISTOAVRIL24!AK12+HISTOMAI24!AK12+HISTOJUIN24!AK12+HISTOJUIL24!AK12+HISTOAOUT24!AK12+HISTOSEPT24!AK12+HISTOOCT24!AK12+HISTONOV24!AK12+HISTODEC24!AK12</f>
        <v>1531000</v>
      </c>
      <c r="AL12" s="9">
        <f>HISTOJANV24!AL12+HISTOFEV24!AL12+HISTOMARS24!AL12+HISTOAVRIL24!AL12+HISTOMAI24!AL12+HISTOJUIN24!AL12+HISTOJUIL24!AL12+HISTOAOUT24!AL12+HISTOSEPT24!AL12+HISTOOCT24!AL12+HISTONOV24!AL12+HISTODEC24!AL12</f>
        <v>1000</v>
      </c>
      <c r="AM12" s="9">
        <f>HISTOJANV24!AM12+HISTOFEV24!AM12+HISTOMARS24!AM12+HISTOAVRIL24!AM12+HISTOMAI24!AM12+HISTOJUIN24!AM12+HISTOJUIL24!AM12+HISTOAOUT24!AM12+HISTOSEPT24!AM12+HISTOOCT24!AM12+HISTONOV24!AM12+HISTODEC24!AM12</f>
        <v>2000</v>
      </c>
      <c r="AN12" s="9">
        <f>HISTOJANV24!AN12+HISTOFEV24!AN12+HISTOMARS24!AN12+HISTOAVRIL24!AN12+HISTOMAI24!AN12+HISTOJUIN24!AN12+HISTOJUIL24!AN12+HISTOAOUT24!AN12+HISTOSEPT24!AN12+HISTOOCT24!AN12+HISTONOV24!AN12+HISTODEC24!AN12</f>
        <v>16000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92600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357000</v>
      </c>
      <c r="AX12" s="9">
        <f>HISTOJANV24!AX12+HISTOFEV24!AX12+HISTOMARS24!AX12+HISTOAVRIL24!AX12+HISTOMAI24!AX12+HISTOJUIN24!AX12+HISTOJUIL24!AX12+HISTOAOUT24!AX12+HISTOSEPT24!AX12+HISTOOCT24!AX12+HISTONOV24!AX12+HISTODEC24!AX12</f>
        <v>1040500</v>
      </c>
      <c r="AY12" s="9">
        <f>HISTOJANV24!AY12+HISTOFEV24!AY12+HISTOMARS24!AY12+HISTOAVRIL24!AY12+HISTOMAI24!AY12+HISTOJUIN24!AY12+HISTOJUIL24!AY12+HISTOAOUT24!AY12+HISTOSEPT24!AY12+HISTOOCT24!AY12+HISTONOV24!AY12+HISTODEC24!AY12</f>
        <v>3911000</v>
      </c>
      <c r="AZ12" s="9">
        <f>HISTOJANV24!AZ12+HISTOFEV24!AZ12+HISTOMARS24!AZ12+HISTOAVRIL24!AZ12+HISTOMAI24!AZ12+HISTOJUIN24!AZ12+HISTOJUIL24!AZ12+HISTOAOUT24!AZ12+HISTOSEPT24!AZ12+HISTOOCT24!AZ12+HISTONOV24!AZ12+HISTODEC24!AZ12</f>
        <v>6140100</v>
      </c>
      <c r="BA12" s="9">
        <f>HISTOJANV24!BA12+HISTOFEV24!BA12+HISTOMARS24!BA12+HISTOAVRIL24!BA12+HISTOMAI24!BA12+HISTOJUIN24!BA12+HISTOJUIL24!BA12+HISTOAOUT24!BA12+HISTOSEPT24!BA12+HISTOOCT24!BA12+HISTONOV24!BA12+HISTODEC24!BA12</f>
        <v>1066700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5086800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68400</v>
      </c>
      <c r="BG12" s="29"/>
      <c r="BH12" s="15"/>
      <c r="BI12" s="15"/>
      <c r="BJ12" s="15"/>
      <c r="BK12" s="15"/>
      <c r="BL12" s="61"/>
      <c r="BO12" t="s">
        <v>120</v>
      </c>
      <c r="BP12" t="s">
        <v>114</v>
      </c>
      <c r="BQ12" s="9">
        <f>HISTOJANV24!BQ12+HISTOFEV24!BQ12+HISTOMARS24!BQ12+HISTOAVRIL24!BQ12+HISTOMAI24!BQ12+HISTOJUIN24!BQ12+HISTOJUIL24!BQ12+HISTOAOUT24!BQ12+HISTOSEPT24!BQ12+HISTOOCT24!BQ12+HISTONOV24!BQ12+HISTODEC24!BQ12</f>
        <v>0</v>
      </c>
    </row>
    <row r="13" spans="1:69" ht="18.5" x14ac:dyDescent="0.45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1600000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1000000</v>
      </c>
      <c r="T13" s="12"/>
      <c r="U13" s="17">
        <f t="shared" si="5"/>
        <v>1050000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2500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297500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297500</v>
      </c>
      <c r="BA13" s="9">
        <f>HISTOJANV24!BA13+HISTOFEV24!BA13+HISTOMARS24!BA13+HISTOAVRIL24!BA13+HISTOMAI24!BA13+HISTOJUIN24!BA13+HISTOJUIL24!BA13+HISTOAOUT24!BA13+HISTOSEPT24!BA13+HISTOOCT24!BA13+HISTONOV24!BA13+HISTODEC24!BA13</f>
        <v>100000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197500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O13" t="s">
        <v>145</v>
      </c>
      <c r="BP13" t="s">
        <v>114</v>
      </c>
      <c r="BQ13" s="9">
        <f>HISTOJANV24!BQ13+HISTOFEV24!BQ13+HISTOMARS24!BQ13+HISTOAVRIL24!BQ13+HISTOMAI24!BQ13+HISTOJUIN24!BQ13+HISTOJUIL24!BQ13+HISTOAOUT24!BQ13+HISTOSEPT24!BQ13+HISTOOCT24!BQ13+HISTONOV24!BQ13+HISTODEC24!BQ13</f>
        <v>90000</v>
      </c>
    </row>
    <row r="14" spans="1:69" ht="18.5" x14ac:dyDescent="0.45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500000</v>
      </c>
      <c r="E14" s="9">
        <f>HISTOJANV24!E14+HISTOFEV24!E14+HISTOMARS24!E14+HISTOAVRIL24!E14+HISTOMAI24!E14+HISTOJUIN24!E14+HISTOJUIL24!E14+HISTOAOUT24!E14+HISTOSEPT24!E14+HISTOOCT24!E14+HISTONOV24!E14+HISTODEC24!E14</f>
        <v>100000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3000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53000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2500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297500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297500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297500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O14" t="s">
        <v>210</v>
      </c>
      <c r="BP14" t="s">
        <v>114</v>
      </c>
      <c r="BQ14" s="9">
        <f>HISTOJANV24!BQ14+HISTOFEV24!BQ14+HISTOMARS24!BQ14+HISTOAVRIL24!BQ14+HISTOMAI24!BQ14+HISTOJUIN24!BQ14+HISTOJUIL24!BQ14+HISTOAOUT24!BQ14+HISTOSEPT24!BQ14+HISTOOCT24!BQ14+HISTONOV24!BQ14+HISTODEC24!BQ14</f>
        <v>4000000</v>
      </c>
    </row>
    <row r="15" spans="1:69" ht="18.5" x14ac:dyDescent="0.45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1375000</v>
      </c>
      <c r="E15" s="9">
        <f>HISTOJANV24!E15+HISTOFEV24!E15+HISTOMARS24!E15+HISTOAVRIL24!E15+HISTOMAI24!E15+HISTOJUIN24!E15+HISTOJUIL24!E15+HISTOAOUT24!E15+HISTOSEPT24!E15+HISTOOCT24!E15+HISTONOV24!E15+HISTODEC24!E15</f>
        <v>125000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1000000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10000</v>
      </c>
      <c r="AD15" s="9">
        <f>HISTOJANV24!AD15+HISTOFEV24!AD15+HISTOMARS24!AD15+HISTOAVRIL24!AD15+HISTOMAI24!AD15+HISTOJUIN24!AD15+HISTOJUIL24!AD15+HISTOAOUT24!AD15+HISTOSEPT24!AD15+HISTOOCT24!AD15+HISTONOV24!AD15+HISTODEC24!AD15</f>
        <v>7500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290000</v>
      </c>
      <c r="AX15" s="9">
        <f>HISTOJANV24!AX15+HISTOFEV24!AX15+HISTOMARS24!AX15+HISTOAVRIL24!AX15+HISTOMAI24!AX15+HISTOJUIN24!AX15+HISTOJUIL24!AX15+HISTOAOUT24!AX15+HISTOSEPT24!AX15+HISTOOCT24!AX15+HISTONOV24!AX15+HISTODEC24!AX15</f>
        <v>892500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2112500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2112500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70000</v>
      </c>
      <c r="BG15" s="29"/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4549000</v>
      </c>
      <c r="E16" s="9">
        <f>HISTOJANV24!E16+HISTOFEV24!E16+HISTOMARS24!E16+HISTOAVRIL24!E16+HISTOMAI24!E16+HISTOJUIN24!E16+HISTOJUIL24!E16+HISTOAOUT24!E16+HISTOSEPT24!E16+HISTOOCT24!E16+HISTONOV24!E16+HISTODEC24!E16</f>
        <v>202000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359000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404000</v>
      </c>
      <c r="R16" s="9">
        <f>HISTOJANV24!R16+HISTOFEV24!R16+HISTOMARS24!R16+HISTOAVRIL24!R16+HISTOMAI24!R16+HISTOJUIN24!R16+HISTOJUIL24!R16+HISTOAOUT24!R16+HISTOSEPT24!R16+HISTOOCT24!R16+HISTONOV24!R16+HISTODEC24!R16</f>
        <v>809500</v>
      </c>
      <c r="S16" s="9">
        <f>HISTOJANV24!S16+HISTOFEV24!S16+HISTOMARS24!S16+HISTOAVRIL24!S16+HISTOMAI24!S16+HISTOJUIN24!S16+HISTOJUIL24!S16+HISTOAOUT24!S16+HISTOSEPT24!S16+HISTOOCT24!S16+HISTONOV24!S16+HISTODEC24!S16</f>
        <v>1238500</v>
      </c>
      <c r="T16" s="12"/>
      <c r="U16" s="17">
        <f t="shared" si="5"/>
        <v>3036000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1000000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7500</v>
      </c>
      <c r="AE16" s="9">
        <f>HISTOJANV24!AE16+HISTOFEV24!AE16+HISTOMARS24!AE16+HISTOAVRIL24!AE16+HISTOMAI24!AE16+HISTOJUIN24!AE16+HISTOJUIL24!AE16+HISTOAOUT24!AE16+HISTOSEPT24!AE16+HISTOOCT24!AE16+HISTONOV24!AE16+HISTODEC24!AE16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400000</v>
      </c>
      <c r="AK16" s="9">
        <f>HISTOJANV24!AK16+HISTOFEV24!AK16+HISTOMARS24!AK16+HISTOAVRIL24!AK16+HISTOMAI24!AK16+HISTOJUIN24!AK16+HISTOJUIL24!AK16+HISTOAOUT24!AK16+HISTOSEPT24!AK16+HISTOOCT24!AK16+HISTONOV24!AK16+HISTODEC24!AK16</f>
        <v>800000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4000</v>
      </c>
      <c r="AN16" s="9">
        <f>HISTOJANV24!AN16+HISTOFEV24!AN16+HISTOMARS24!AN16+HISTOAVRIL24!AN16+HISTOMAI24!AN16+HISTOJUIN24!AN16+HISTOJUIL24!AN16+HISTOAOUT24!AN16+HISTOSEPT24!AN16+HISTOOCT24!AN16+HISTONOV24!AN16+HISTODEC24!AN16</f>
        <v>9500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384000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1292500</v>
      </c>
      <c r="AY16" s="9">
        <f>HISTOJANV24!AY16+HISTOFEV24!AY16+HISTOMARS24!AY16+HISTOAVRIL24!AY16+HISTOMAI24!AY16+HISTOJUIN24!AY16+HISTOJUIL24!AY16+HISTOAOUT24!AY16+HISTOSEPT24!AY16+HISTOOCT24!AY16+HISTONOV24!AY16+HISTODEC24!AY16</f>
        <v>1985000</v>
      </c>
      <c r="AZ16" s="9">
        <f>HISTOJANV24!AZ16+HISTOFEV24!AZ16+HISTOMARS24!AZ16+HISTOAVRIL24!AZ16+HISTOMAI24!AZ16+HISTOJUIN24!AZ16+HISTOJUIL24!AZ16+HISTOAOUT24!AZ16+HISTOSEPT24!AZ16+HISTOOCT24!AZ16+HISTONOV24!AZ16+HISTODEC24!AZ16</f>
        <v>4545500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4545500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20000</v>
      </c>
      <c r="BG16" s="29"/>
      <c r="BH16" s="15"/>
      <c r="BI16" s="15"/>
      <c r="BJ16" s="15"/>
      <c r="BK16" s="15"/>
      <c r="BL16" s="61"/>
      <c r="BO16" s="62" t="s">
        <v>142</v>
      </c>
      <c r="BQ16" s="62">
        <f>SUM(BQ6:BQ15)</f>
        <v>4251000</v>
      </c>
    </row>
    <row r="17" spans="1:69" ht="18.5" x14ac:dyDescent="0.45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2385000</v>
      </c>
      <c r="E17" s="9">
        <f>HISTOJANV24!E17+HISTOFEV24!E17+HISTOMARS24!E17+HISTOAVRIL24!E17+HISTOMAI24!E17+HISTOJUIN24!E17+HISTOJUIL24!E17+HISTOAOUT24!E17+HISTOSEPT24!E17+HISTOOCT24!E17+HISTONOV24!E17+HISTODEC24!E17</f>
        <v>310000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6000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-4000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81000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917500</v>
      </c>
      <c r="S17" s="9">
        <f>HISTOJANV24!S17+HISTOFEV24!S17+HISTOMARS24!S17+HISTOAVRIL24!S17+HISTOMAI24!S17+HISTOJUIN24!S17+HISTOJUIL24!S17+HISTOAOUT24!S17+HISTOSEPT24!S17+HISTOOCT24!S17+HISTONOV24!S17+HISTODEC24!S17</f>
        <v>670000</v>
      </c>
      <c r="T17" s="12"/>
      <c r="U17" s="17">
        <f t="shared" si="5"/>
        <v>1820500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80000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905500</v>
      </c>
      <c r="AL17" s="9">
        <f>HISTOJANV24!AL17+HISTOFEV24!AL17+HISTOMARS24!AL17+HISTOAVRIL24!AL17+HISTOMAI24!AL17+HISTOJUIN24!AL17+HISTOJUIL24!AL17+HISTOAOUT24!AL17+HISTOSEPT24!AL17+HISTOOCT24!AL17+HISTONOV24!AL17+HISTODEC24!AL17</f>
        <v>1000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12000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21000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363000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2035500</v>
      </c>
      <c r="AZ17" s="9">
        <f>HISTOJANV24!AZ17+HISTOFEV24!AZ17+HISTOMARS24!AZ17+HISTOAVRIL24!AZ17+HISTOMAI24!AZ17+HISTOJUIN24!AZ17+HISTOJUIL24!AZ17+HISTOAOUT24!AZ17+HISTOSEPT24!AZ17+HISTOOCT24!AZ17+HISTONOV24!AZ17+HISTODEC24!AZ17</f>
        <v>2948500</v>
      </c>
      <c r="BA17" s="9">
        <f>HISTOJANV24!BA17+HISTOFEV24!BA17+HISTOMARS24!BA17+HISTOAVRIL24!BA17+HISTOMAI24!BA17+HISTOJUIN24!BA17+HISTOJUIL24!BA17+HISTOAOUT24!BA17+HISTOSEPT24!BA17+HISTOOCT24!BA17+HISTONOV24!BA17+HISTODEC24!BA17</f>
        <v>450000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2343000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3091000</v>
      </c>
      <c r="E18" s="9">
        <f>HISTOJANV24!E18+HISTOFEV24!E18+HISTOMARS24!E18+HISTOAVRIL24!E18+HISTOMAI24!E18+HISTOJUIN24!E18+HISTOJUIL24!E18+HISTOAOUT24!E18+HISTOSEPT24!E18+HISTOOCT24!E18+HISTONOV24!E18+HISTODEC24!E18</f>
        <v>1163000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6000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92000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1013000</v>
      </c>
      <c r="S18" s="9">
        <f>HISTOJANV24!S18+HISTOFEV24!S18+HISTOMARS24!S18+HISTOAVRIL24!S18+HISTOMAI24!S18+HISTOJUIN24!S18+HISTOJUIL24!S18+HISTOAOUT24!S18+HISTOSEPT24!S18+HISTOOCT24!S18+HISTONOV24!S18+HISTODEC24!S18</f>
        <v>1350000</v>
      </c>
      <c r="T18" s="12"/>
      <c r="U18" s="17">
        <f t="shared" si="5"/>
        <v>2611000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1350000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1000000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13000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117000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2160000</v>
      </c>
      <c r="AZ18" s="9">
        <f>HISTOJANV24!AZ18+HISTOFEV24!AZ18+HISTOMARS24!AZ18+HISTOAVRIL24!AZ18+HISTOMAI24!AZ18+HISTOJUIN24!AZ18+HISTOJUIL24!AZ18+HISTOAOUT24!AZ18+HISTOSEPT24!AZ18+HISTOOCT24!AZ18+HISTONOV24!AZ18+HISTODEC24!AZ18</f>
        <v>3663000</v>
      </c>
      <c r="BA18" s="9">
        <f>HISTOJANV24!BA18+HISTOFEV24!BA18+HISTOMARS24!BA18+HISTOAVRIL24!BA18+HISTOMAI24!BA18+HISTOJUIN24!BA18+HISTOJUIL24!BA18+HISTOAOUT24!BA18+HISTOSEPT24!BA18+HISTOOCT24!BA18+HISTONOV24!BA18+HISTODEC24!BA18</f>
        <v>536000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3127000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134000</v>
      </c>
      <c r="BG18" s="29"/>
      <c r="BH18" s="15"/>
      <c r="BI18" s="15"/>
      <c r="BJ18" s="15"/>
      <c r="BK18" s="15"/>
      <c r="BL18" s="61"/>
      <c r="BO18" t="s">
        <v>212</v>
      </c>
      <c r="BP18" t="s">
        <v>211</v>
      </c>
      <c r="BQ18" s="9">
        <f>HISTOJANV24!BQ18+HISTOFEV24!BQ18+HISTOMARS24!BQ18+HISTOAVRIL24!BQ18+HISTOMAI24!BQ18+HISTOJUIN24!BQ18+HISTOJUIL24!BQ18+HISTOAOUT24!BQ18+HISTOSEPT24!BQ18+HISTOOCT24!BQ18+HISTONOV24!BQ18+HISTODEC24!BQ18</f>
        <v>5326618</v>
      </c>
    </row>
    <row r="19" spans="1:69" ht="18.5" x14ac:dyDescent="0.45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297500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372500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2500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322500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297500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297500</v>
      </c>
      <c r="BA19" s="9">
        <f>HISTOJANV24!BA19+HISTOFEV24!BA19+HISTOMARS24!BA19+HISTOAVRIL24!BA19+HISTOMAI24!BA19+HISTOJUIN24!BA19+HISTOJUIL24!BA19+HISTOAOUT24!BA19+HISTOSEPT24!BA19+HISTOOCT24!BA19+HISTONOV24!BA19+HISTODEC24!BA19</f>
        <v>297500</v>
      </c>
      <c r="BB19" s="9">
        <f>HISTOJANV24!BB19+HISTOFEV24!BB19+HISTOMARS24!BB19+HISTOAVRIL24!BB19+HISTOMAI24!BB19+HISTOJUIN24!BB19+HISTOJUIL24!BB19+HISTOAOUT24!BB19+HISTOSEPT24!BB19+HISTOOCT24!BB19+HISTONOV24!BB19+HISTODEC24!BB19</f>
        <v>190000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5183000</v>
      </c>
      <c r="E20" s="9">
        <f>HISTOJANV24!E20+HISTOFEV24!E20+HISTOMARS24!E20+HISTOAVRIL24!E20+HISTOMAI24!E20+HISTOJUIN24!E20+HISTOJUIL24!E20+HISTOAOUT24!E20+HISTOSEPT24!E20+HISTOOCT24!E20+HISTONOV24!E20+HISTODEC24!E20</f>
        <v>1688000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-1500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223500</v>
      </c>
      <c r="Q20" s="9">
        <f>HISTOJANV24!Q20+HISTOFEV24!Q20+HISTOMARS24!Q20+HISTOAVRIL24!Q20+HISTOMAI24!Q20+HISTOJUIN24!Q20+HISTOJUIL24!Q20+HISTOAOUT24!Q20+HISTOSEPT24!Q20+HISTOOCT24!Q20+HISTONOV24!Q20+HISTODEC24!Q20</f>
        <v>1205000</v>
      </c>
      <c r="R20" s="9">
        <f>HISTOJANV24!R20+HISTOFEV24!R20+HISTOMARS24!R20+HISTOAVRIL24!R20+HISTOMAI24!R20+HISTOJUIN24!R20+HISTOJUIL24!R20+HISTOAOUT24!R20+HISTOSEPT24!R20+HISTOOCT24!R20+HISTONOV24!R20+HISTODEC24!R20</f>
        <v>1789000</v>
      </c>
      <c r="S20" s="9">
        <f>HISTOJANV24!S20+HISTOFEV24!S20+HISTOMARS24!S20+HISTOAVRIL24!S20+HISTOMAI24!S20+HISTOJUIN24!S20+HISTOJUIL24!S20+HISTOAOUT24!S20+HISTOSEPT24!S20+HISTOOCT24!S20+HISTONOV24!S20+HISTODEC24!S20</f>
        <v>1000000</v>
      </c>
      <c r="T20" s="12"/>
      <c r="U20" s="17">
        <f t="shared" si="5"/>
        <v>4441000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1000000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2500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220000</v>
      </c>
      <c r="AJ20" s="9">
        <f>HISTOJANV24!AJ20+HISTOFEV24!AJ20+HISTOMARS24!AJ20+HISTOAVRIL24!AJ20+HISTOMAI24!AJ20+HISTOJUIN24!AJ20+HISTOJUIL24!AJ20+HISTOAOUT24!AJ20+HISTOSEPT24!AJ20+HISTOOCT24!AJ20+HISTONOV24!AJ20+HISTODEC24!AJ20</f>
        <v>1189000</v>
      </c>
      <c r="AK20" s="9">
        <f>HISTOJANV24!AK20+HISTOFEV24!AK20+HISTOMARS24!AK20+HISTOAVRIL24!AK20+HISTOMAI24!AK20+HISTOJUIN24!AK20+HISTOJUIL24!AK20+HISTOAOUT24!AK20+HISTOSEPT24!AK20+HISTOOCT24!AK20+HISTONOV24!AK20+HISTODEC24!AK20</f>
        <v>1770500</v>
      </c>
      <c r="AL20" s="9">
        <f>HISTOJANV24!AL20+HISTOFEV24!AL20+HISTOMARS24!AL20+HISTOAVRIL24!AL20+HISTOMAI24!AL20+HISTOJUIN24!AL20+HISTOJUIL24!AL20+HISTOAOUT24!AL20+HISTOSEPT24!AL20+HISTOOCT24!AL20+HISTONOV24!AL20+HISTODEC24!AL20</f>
        <v>3500</v>
      </c>
      <c r="AM20" s="9">
        <f>HISTOJANV24!AM20+HISTOFEV24!AM20+HISTOMARS24!AM20+HISTOAVRIL24!AM20+HISTOMAI24!AM20+HISTOJUIN24!AM20+HISTOJUIL24!AM20+HISTOAOUT24!AM20+HISTOSEPT24!AM20+HISTOOCT24!AM20+HISTONOV24!AM20+HISTODEC24!AM20</f>
        <v>16000</v>
      </c>
      <c r="AN20" s="9">
        <f>HISTOJANV24!AN20+HISTOFEV24!AN20+HISTOMARS24!AN20+HISTOAVRIL24!AN20+HISTOMAI24!AN20+HISTOJUIN24!AN20+HISTOJUIL24!AN20+HISTOAOUT24!AN20+HISTOSEPT24!AN20+HISTOOCT24!AN20+HISTONOV24!AN20+HISTODEC24!AN20</f>
        <v>18500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23500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517500</v>
      </c>
      <c r="AX20" s="9">
        <f>HISTOJANV24!AX20+HISTOFEV24!AX20+HISTOMARS24!AX20+HISTOAVRIL24!AX20+HISTOMAI24!AX20+HISTOJUIN24!AX20+HISTOJUIL24!AX20+HISTOAOUT24!AX20+HISTOSEPT24!AX20+HISTOOCT24!AX20+HISTONOV24!AX20+HISTODEC24!AX20</f>
        <v>2073000</v>
      </c>
      <c r="AY20" s="9">
        <f>HISTOJANV24!AY20+HISTOFEV24!AY20+HISTOMARS24!AY20+HISTOAVRIL24!AY20+HISTOMAI24!AY20+HISTOJUIN24!AY20+HISTOJUIL24!AY20+HISTOAOUT24!AY20+HISTOSEPT24!AY20+HISTOOCT24!AY20+HISTONOV24!AY20+HISTODEC24!AY20</f>
        <v>2855500</v>
      </c>
      <c r="AZ20" s="9">
        <f>HISTOJANV24!AZ20+HISTOFEV24!AZ20+HISTOMARS24!AZ20+HISTOAVRIL24!AZ20+HISTOMAI24!AZ20+HISTOJUIN24!AZ20+HISTOJUIL24!AZ20+HISTOAOUT24!AZ20+HISTOSEPT24!AZ20+HISTOOCT24!AZ20+HISTONOV24!AZ20+HISTODEC24!AZ20</f>
        <v>6419500</v>
      </c>
      <c r="BA20" s="9">
        <f>HISTOJANV24!BA20+HISTOFEV24!BA20+HISTOMARS24!BA20+HISTOAVRIL24!BA20+HISTOMAI24!BA20+HISTOJUIN24!BA20+HISTOJUIL24!BA20+HISTOAOUT24!BA20+HISTOSEPT24!BA20+HISTOOCT24!BA20+HISTONOV24!BA20+HISTODEC24!BA20</f>
        <v>2018500</v>
      </c>
      <c r="BB20" s="9">
        <f>HISTOJANV24!BB20+HISTOFEV24!BB20+HISTOMARS24!BB20+HISTOAVRIL24!BB20+HISTOMAI24!BB20+HISTOJUIN24!BB20+HISTOJUIL24!BB20+HISTOAOUT24!BB20+HISTOSEPT24!BB20+HISTOOCT24!BB20+HISTONOV24!BB20+HISTODEC24!BB20</f>
        <v>66700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4371000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90000</v>
      </c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550000</v>
      </c>
      <c r="E21" s="9">
        <f>HISTOJANV24!E21+HISTOFEV24!E21+HISTOMARS24!E21+HISTOAVRIL24!E21+HISTOMAI24!E21+HISTOJUIN24!E21+HISTOJUIL24!E21+HISTOAOUT24!E21+HISTOSEPT24!E21+HISTOOCT24!E21+HISTONOV24!E21+HISTODEC24!E21</f>
        <v>66500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300000</v>
      </c>
      <c r="T21" s="12"/>
      <c r="U21" s="17">
        <f t="shared" si="5"/>
        <v>350000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3000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297000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297000</v>
      </c>
      <c r="BA21" s="9">
        <f>HISTOJANV24!BA21+HISTOFEV24!BA21+HISTOMARS24!BA21+HISTOAVRIL24!BA21+HISTOMAI24!BA21+HISTOJUIN24!BA21+HISTOJUIL24!BA21+HISTOAOUT24!BA21+HISTOSEPT24!BA21+HISTOOCT24!BA21+HISTONOV24!BA21+HISTODEC24!BA21</f>
        <v>297000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46500</v>
      </c>
      <c r="BG21" s="29"/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1375000</v>
      </c>
      <c r="E22" s="9">
        <f>HISTOJANV24!E22+HISTOFEV24!E22+HISTOMARS24!E22+HISTOAVRIL24!E22+HISTOMAI24!E22+HISTOJUIN24!E22+HISTOJUIL24!E22+HISTOAOUT24!E22+HISTOSEPT24!E22+HISTOOCT24!E22+HISTONOV24!E22+HISTODEC24!E22</f>
        <v>128000</v>
      </c>
      <c r="F22" s="9">
        <f>HISTOJANV24!F22+HISTOFEV24!F22+HISTOMARS24!F22+HISTOAVRIL24!F22+HISTOMAI24!F22+HISTOJUIN24!F22+HISTOJUIL24!F22+HISTOAOUT24!F22+HISTOSEPT24!F22+HISTOOCT24!F22+HISTONOV24!F22+HISTODEC24!F22</f>
        <v>892500</v>
      </c>
      <c r="G22" s="9">
        <f>HISTOJANV24!G22+HISTOFEV24!G22+HISTOMARS24!G22+HISTOAVRIL24!G22+HISTOMAI24!G22+HISTOJUIN24!G22+HISTOJUIL24!G22+HISTOAOUT24!G22+HISTOSEPT24!G22+HISTOOCT24!G22+HISTONOV24!G22+HISTODEC24!G22</f>
        <v>3000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1000000</v>
      </c>
      <c r="T22" s="12"/>
      <c r="U22" s="17">
        <f t="shared" si="5"/>
        <v>1128000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900000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7500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892500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1075000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1075000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108000</v>
      </c>
      <c r="BG22" s="29"/>
      <c r="BH22" s="15"/>
      <c r="BI22" s="15"/>
      <c r="BJ22" s="15"/>
      <c r="BK22" s="15"/>
      <c r="BL22" s="61"/>
      <c r="BO22" s="62" t="s">
        <v>142</v>
      </c>
      <c r="BQ22" s="62">
        <f>SUM(BQ18:BQ21)</f>
        <v>5326618</v>
      </c>
    </row>
    <row r="23" spans="1:69" ht="18.5" x14ac:dyDescent="0.45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5286000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140000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1616500</v>
      </c>
      <c r="S23" s="9">
        <f>HISTOJANV24!S23+HISTOFEV24!S23+HISTOMARS24!S23+HISTOAVRIL24!S23+HISTOMAI24!S23+HISTOJUIN24!S23+HISTOJUIL24!S23+HISTOAOUT24!S23+HISTOSEPT24!S23+HISTOOCT24!S23+HISTONOV24!S23+HISTODEC24!S23</f>
        <v>500000</v>
      </c>
      <c r="T23" s="12"/>
      <c r="U23" s="17">
        <f t="shared" si="5"/>
        <v>2506500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500000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3000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20000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1600000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16500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165000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297000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3980000</v>
      </c>
      <c r="AZ23" s="9">
        <f>HISTOJANV24!AZ23+HISTOFEV24!AZ23+HISTOMARS24!AZ23+HISTOAVRIL24!AZ23+HISTOMAI24!AZ23+HISTOJUIN24!AZ23+HISTOJUIL24!AZ23+HISTOAOUT24!AZ23+HISTOSEPT24!AZ23+HISTOOCT24!AZ23+HISTONOV24!AZ23+HISTODEC24!AZ23</f>
        <v>4717000</v>
      </c>
      <c r="BA23" s="9">
        <f>HISTOJANV24!BA23+HISTOFEV24!BA23+HISTOMARS24!BA23+HISTOAVRIL24!BA23+HISTOMAI24!BA23+HISTOJUIN24!BA23+HISTOJUIL24!BA23+HISTOAOUT24!BA23+HISTOSEPT24!BA23+HISTOOCT24!BA23+HISTONOV24!BA23+HISTODEC24!BA23</f>
        <v>256000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4517000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60000</v>
      </c>
      <c r="BG23" s="29"/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2902000</v>
      </c>
      <c r="E24" s="9">
        <f>HISTOJANV24!E24+HISTOFEV24!E24+HISTOMARS24!E24+HISTOAVRIL24!E24+HISTOMAI24!E24+HISTOJUIN24!E24+HISTOJUIL24!E24+HISTOAOUT24!E24+HISTOSEPT24!E24+HISTOOCT24!E24+HISTONOV24!E24+HISTODEC24!E24</f>
        <v>1594000</v>
      </c>
      <c r="F24" s="9">
        <f>HISTOJANV24!F24+HISTOFEV24!F24+HISTOMARS24!F24+HISTOAVRIL24!F24+HISTOMAI24!F24+HISTOJUIN24!F24+HISTOJUIL24!F24+HISTOAOUT24!F24+HISTOSEPT24!F24+HISTOOCT24!F24+HISTONOV24!F24+HISTODEC24!F24</f>
        <v>500000</v>
      </c>
      <c r="G24" s="9">
        <f>HISTOJANV24!G24+HISTOFEV24!G24+HISTOMARS24!G24+HISTOAVRIL24!G24+HISTOMAI24!G24+HISTOJUIN24!G24+HISTOJUIL24!G24+HISTOAOUT24!G24+HISTOSEPT24!G24+HISTOOCT24!G24+HISTONOV24!G24+HISTODEC24!G24</f>
        <v>12000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165000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1322500</v>
      </c>
      <c r="S24" s="9">
        <f>HISTOJANV24!S24+HISTOFEV24!S24+HISTOMARS24!S24+HISTOAVRIL24!S24+HISTOMAI24!S24+HISTOJUIN24!S24+HISTOJUIL24!S24+HISTOAOUT24!S24+HISTOSEPT24!S24+HISTOOCT24!S24+HISTONOV24!S24+HISTODEC24!S24</f>
        <v>1000000</v>
      </c>
      <c r="T24" s="12"/>
      <c r="U24" s="17">
        <f t="shared" si="5"/>
        <v>2724500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3000</v>
      </c>
      <c r="AD24" s="9">
        <f>HISTOJANV24!AD24+HISTOFEV24!AD24+HISTOMARS24!AD24+HISTOAVRIL24!AD24+HISTOMAI24!AD24+HISTOJUIN24!AD24+HISTOJUIL24!AD24+HISTOAOUT24!AD24+HISTOSEPT24!AD24+HISTOOCT24!AD24+HISTONOV24!AD24+HISTODEC24!AD24</f>
        <v>7500</v>
      </c>
      <c r="AE24" s="9">
        <f>HISTOJANV24!AE24+HISTOFEV24!AE24+HISTOMARS24!AE24+HISTOAVRIL24!AE24+HISTOMAI24!AE24+HISTOJUIN24!AE24+HISTOJUIL24!AE24+HISTOAOUT24!AE24+HISTOSEPT24!AE24+HISTOOCT24!AE24+HISTONOV24!AE24+HISTODEC24!AE24</f>
        <v>15000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1408500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17000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190000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297000</v>
      </c>
      <c r="AX24" s="9">
        <f>HISTOJANV24!AX24+HISTOFEV24!AX24+HISTOMARS24!AX24+HISTOAVRIL24!AX24+HISTOMAI24!AX24+HISTOJUIN24!AX24+HISTOJUIL24!AX24+HISTOAOUT24!AX24+HISTOSEPT24!AX24+HISTOOCT24!AX24+HISTONOV24!AX24+HISTODEC24!AX24</f>
        <v>892500</v>
      </c>
      <c r="AY24" s="9">
        <f>HISTOJANV24!AY24+HISTOFEV24!AY24+HISTOMARS24!AY24+HISTOAVRIL24!AY24+HISTOMAI24!AY24+HISTOJUIN24!AY24+HISTOJUIL24!AY24+HISTOAOUT24!AY24+HISTOSEPT24!AY24+HISTOOCT24!AY24+HISTONOV24!AY24+HISTODEC24!AY24</f>
        <v>2593500</v>
      </c>
      <c r="AZ24" s="9">
        <f>HISTOJANV24!AZ24+HISTOFEV24!AZ24+HISTOMARS24!AZ24+HISTOAVRIL24!AZ24+HISTOMAI24!AZ24+HISTOJUIN24!AZ24+HISTOJUIL24!AZ24+HISTOAOUT24!AZ24+HISTOSEPT24!AZ24+HISTOOCT24!AZ24+HISTONOV24!AZ24+HISTODEC24!AZ24</f>
        <v>3181000</v>
      </c>
      <c r="BA24" s="9">
        <f>HISTOJANV24!BA24+HISTOFEV24!BA24+HISTOMARS24!BA24+HISTOAVRIL24!BA24+HISTOMAI24!BA24+HISTOJUIN24!BA24+HISTOJUIL24!BA24+HISTOAOUT24!BA24+HISTOSEPT24!BA24+HISTOOCT24!BA24+HISTONOV24!BA24+HISTODEC24!BA24</f>
        <v>202000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2693500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O24" t="s">
        <v>148</v>
      </c>
      <c r="BP24" t="s">
        <v>143</v>
      </c>
      <c r="BQ24" s="9">
        <f>HISTOJANV24!BQ24+HISTOFEV24!BQ24+HISTOMARS24!BQ24+HISTOAVRIL24!BQ24+HISTOMAI24!BQ24+HISTOJUIN24!BQ24+HISTOJUIL24!BQ24+HISTOAOUT24!BQ24+HISTOSEPT24!BQ24+HISTOOCT24!BQ24+HISTONOV24!BQ24+HISTODEC24!BQ24</f>
        <v>200000</v>
      </c>
    </row>
    <row r="25" spans="1:69" ht="18.5" x14ac:dyDescent="0.45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5667000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-7500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92000</v>
      </c>
      <c r="Q25" s="9">
        <f>HISTOJANV24!Q25+HISTOFEV24!Q25+HISTOMARS24!Q25+HISTOAVRIL24!Q25+HISTOMAI24!Q25+HISTOJUIN24!Q25+HISTOJUIL24!Q25+HISTOAOUT24!Q25+HISTOSEPT24!Q25+HISTOOCT24!Q25+HISTONOV24!Q25+HISTODEC24!Q25</f>
        <v>270000</v>
      </c>
      <c r="R25" s="9">
        <f>HISTOJANV24!R25+HISTOFEV24!R25+HISTOMARS24!R25+HISTOAVRIL24!R25+HISTOMAI24!R25+HISTOJUIN24!R25+HISTOJUIL24!R25+HISTOAOUT24!R25+HISTOSEPT24!R25+HISTOOCT24!R25+HISTONOV24!R25+HISTODEC24!R25</f>
        <v>914000</v>
      </c>
      <c r="S25" s="9">
        <f>HISTOJANV24!S25+HISTOFEV24!S25+HISTOMARS24!S25+HISTOAVRIL24!S25+HISTOMAI24!S25+HISTOJUIN24!S25+HISTOJUIL24!S25+HISTOAOUT24!S25+HISTOSEPT24!S25+HISTOOCT24!S25+HISTONOV24!S25+HISTODEC24!S25</f>
        <v>1000000</v>
      </c>
      <c r="T25" s="12"/>
      <c r="U25" s="17">
        <f t="shared" si="5"/>
        <v>2646500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1000000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11000</v>
      </c>
      <c r="AD25" s="9">
        <f>HISTOJANV24!AD25+HISTOFEV24!AD25+HISTOMARS24!AD25+HISTOAVRIL24!AD25+HISTOMAI24!AD25+HISTOJUIN24!AD25+HISTOJUIL24!AD25+HISTOAOUT24!AD25+HISTOSEPT24!AD25+HISTOOCT24!AD25+HISTONOV24!AD25+HISTODEC24!AD25</f>
        <v>97500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90000</v>
      </c>
      <c r="AJ25" s="9">
        <f>HISTOJANV24!AJ25+HISTOFEV24!AJ25+HISTOMARS24!AJ25+HISTOAVRIL24!AJ25+HISTOMAI24!AJ25+HISTOJUIN24!AJ25+HISTOJUIL24!AJ25+HISTOAOUT24!AJ25+HISTOSEPT24!AJ25+HISTOOCT24!AJ25+HISTONOV24!AJ25+HISTODEC24!AJ25</f>
        <v>266000</v>
      </c>
      <c r="AK25" s="9">
        <f>HISTOJANV24!AK25+HISTOFEV24!AK25+HISTOMARS24!AK25+HISTOAVRIL24!AK25+HISTOMAI24!AK25+HISTOJUIN24!AK25+HISTOJUIL24!AK25+HISTOAOUT24!AK25+HISTOSEPT24!AK25+HISTOOCT24!AK25+HISTONOV24!AK25+HISTODEC24!AK25</f>
        <v>900000</v>
      </c>
      <c r="AL25" s="9">
        <f>HISTOJANV24!AL25+HISTOFEV24!AL25+HISTOMARS24!AL25+HISTOAVRIL24!AL25+HISTOMAI24!AL25+HISTOJUIN24!AL25+HISTOJUIL24!AL25+HISTOAOUT24!AL25+HISTOSEPT24!AL25+HISTOOCT24!AL25+HISTONOV24!AL25+HISTODEC24!AL25</f>
        <v>2000</v>
      </c>
      <c r="AM25" s="9">
        <f>HISTOJANV24!AM25+HISTOFEV24!AM25+HISTOMARS24!AM25+HISTOAVRIL24!AM25+HISTOMAI24!AM25+HISTOJUIN24!AM25+HISTOJUIL24!AM25+HISTOAOUT24!AM25+HISTOSEPT24!AM25+HISTOOCT24!AM25+HISTONOV24!AM25+HISTODEC24!AM25</f>
        <v>4000</v>
      </c>
      <c r="AN25" s="9">
        <f>HISTOJANV24!AN25+HISTOFEV24!AN25+HISTOMARS24!AN25+HISTOAVRIL24!AN25+HISTOMAI24!AN25+HISTOJUIN24!AN25+HISTOJUIL24!AN25+HISTOAOUT24!AN25+HISTOSEPT24!AN25+HISTOOCT24!AN25+HISTONOV24!AN25+HISTODEC24!AN25</f>
        <v>14000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17500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379000</v>
      </c>
      <c r="AX25" s="9">
        <f>HISTOJANV24!AX25+HISTOFEV24!AX25+HISTOMARS24!AX25+HISTOAVRIL24!AX25+HISTOMAI24!AX25+HISTOJUIN24!AX25+HISTOJUIL24!AX25+HISTOAOUT24!AX25+HISTOSEPT24!AX25+HISTOOCT24!AX25+HISTONOV24!AX25+HISTODEC24!AX25</f>
        <v>2868500</v>
      </c>
      <c r="AY25" s="9">
        <f>HISTOJANV24!AY25+HISTOFEV24!AY25+HISTOMARS24!AY25+HISTOAVRIL24!AY25+HISTOMAI24!AY25+HISTOJUIN24!AY25+HISTOJUIL24!AY25+HISTOAOUT24!AY25+HISTOSEPT24!AY25+HISTOOCT24!AY25+HISTONOV24!AY25+HISTODEC24!AY25</f>
        <v>1975000</v>
      </c>
      <c r="AZ25" s="9">
        <f>HISTOJANV24!AZ25+HISTOFEV24!AZ25+HISTOMARS24!AZ25+HISTOAVRIL24!AZ25+HISTOMAI24!AZ25+HISTOJUIN24!AZ25+HISTOJUIL24!AZ25+HISTOAOUT24!AZ25+HISTOSEPT24!AZ25+HISTOOCT24!AZ25+HISTONOV24!AZ25+HISTODEC24!AZ25</f>
        <v>6102500</v>
      </c>
      <c r="BA25" s="9">
        <f>HISTOJANV24!BA25+HISTOFEV24!BA25+HISTOMARS24!BA25+HISTOAVRIL24!BA25+HISTOMAI24!BA25+HISTOJUIN24!BA25+HISTOJUIL24!BA25+HISTOAOUT24!BA25+HISTOSEPT24!BA25+HISTOOCT24!BA25+HISTONOV24!BA25+HISTODEC24!BA25</f>
        <v>288000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7788500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120000</v>
      </c>
      <c r="BG25" s="29"/>
      <c r="BH25" s="15"/>
      <c r="BI25" s="15"/>
      <c r="BJ25" s="15"/>
      <c r="BK25" s="15"/>
      <c r="BL25" s="61"/>
      <c r="BO25" t="s">
        <v>125</v>
      </c>
      <c r="BP25" t="s">
        <v>143</v>
      </c>
      <c r="BQ25" s="9">
        <f>HISTOJANV24!BQ25+HISTOFEV24!BQ25+HISTOMARS24!BQ25+HISTOAVRIL24!BQ25+HISTOMAI24!BQ25+HISTOJUIN24!BQ25+HISTOJUIL24!BQ25+HISTOAOUT24!BQ25+HISTOSEPT24!BQ25+HISTOOCT24!BQ25+HISTONOV24!BQ25+HISTODEC24!BQ25</f>
        <v>150000</v>
      </c>
    </row>
    <row r="26" spans="1:69" ht="18.5" x14ac:dyDescent="0.45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748000</v>
      </c>
      <c r="E26" s="9">
        <f>HISTOJANV24!E26+HISTOFEV24!E26+HISTOMARS24!E26+HISTOAVRIL24!E26+HISTOMAI24!E26+HISTOJUIN24!E26+HISTOJUIL24!E26+HISTOAOUT24!E26+HISTOSEPT24!E26+HISTOOCT24!E26+HISTONOV24!E26+HISTODEC24!E26</f>
        <v>1100000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1500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196500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1000000</v>
      </c>
      <c r="T26" s="12"/>
      <c r="U26" s="17">
        <f t="shared" si="5"/>
        <v>1248000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1000000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193500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3000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26500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480500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1420500</v>
      </c>
      <c r="BA26" s="9">
        <f>HISTOJANV24!BA26+HISTOFEV24!BA26+HISTOMARS24!BA26+HISTOAVRIL24!BA26+HISTOMAI24!BA26+HISTOJUIN24!BA26+HISTOJUIL24!BA26+HISTOAOUT24!BA26+HISTOSEPT24!BA26+HISTOOCT24!BA26+HISTONOV24!BA26+HISTODEC24!BA26</f>
        <v>264000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1186500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90000</v>
      </c>
      <c r="BG26" s="29"/>
      <c r="BH26" s="15"/>
      <c r="BI26" s="15"/>
      <c r="BJ26" s="15"/>
      <c r="BK26" s="15"/>
      <c r="BL26" s="61"/>
      <c r="BO26" t="s">
        <v>144</v>
      </c>
      <c r="BP26" t="s">
        <v>143</v>
      </c>
      <c r="BQ26" s="9">
        <f>HISTOJANV24!BQ26+HISTOFEV24!BQ26+HISTOMARS24!BQ26+HISTOAVRIL24!BQ26+HISTOMAI24!BQ26+HISTOJUIN24!BQ26+HISTOJUIL24!BQ26+HISTOAOUT24!BQ26+HISTOSEPT24!BQ26+HISTOOCT24!BQ26+HISTONOV24!BQ26+HISTODEC24!BQ26</f>
        <v>321500</v>
      </c>
    </row>
    <row r="27" spans="1:69" ht="18.5" x14ac:dyDescent="0.45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600000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50000</v>
      </c>
      <c r="T27" s="12"/>
      <c r="U27" s="17">
        <f t="shared" si="5"/>
        <v>100000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2500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297500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446000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20000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426000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9250</v>
      </c>
      <c r="BG27" s="29"/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27000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152000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2500</v>
      </c>
      <c r="AD28" s="9">
        <f>HISTOJANV24!AD28+HISTOFEV24!AD28+HISTOMARS24!AD28+HISTOAVRIL24!AD28+HISTOMAI24!AD28+HISTOJUIN24!AD28+HISTOJUIL24!AD28+HISTOAOUT24!AD28+HISTOSEPT24!AD28+HISTOOCT24!AD28+HISTONOV24!AD28+HISTODEC24!AD28</f>
        <v>7500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52000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297500</v>
      </c>
      <c r="AX28" s="9">
        <f>HISTOJANV24!AX28+HISTOFEV24!AX28+HISTOMARS24!AX28+HISTOAVRIL24!AX28+HISTOMAI24!AX28+HISTOJUIN24!AX28+HISTOJUIL24!AX28+HISTOAOUT24!AX28+HISTOSEPT24!AX28+HISTOOCT24!AX28+HISTONOV24!AX28+HISTODEC24!AX28</f>
        <v>892500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1190000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1190000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O28" s="62" t="s">
        <v>142</v>
      </c>
      <c r="BQ28" s="62">
        <f>SUM(BQ24:BQ26)</f>
        <v>671500</v>
      </c>
    </row>
    <row r="29" spans="1:69" ht="18.5" x14ac:dyDescent="0.45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1391500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457500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334000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841500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1000000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3000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325500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8500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482500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622500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1702500</v>
      </c>
      <c r="BA29" s="9">
        <f>HISTOJANV24!BA29+HISTOFEV24!BA29+HISTOMARS24!BA29+HISTOAVRIL24!BA29+HISTOMAI24!BA29+HISTOJUIN24!BA29+HISTOJUIL24!BA29+HISTOAOUT24!BA29+HISTOSEPT24!BA29+HISTOOCT24!BA29+HISTONOV24!BA29+HISTODEC24!BA29</f>
        <v>1140000</v>
      </c>
      <c r="BB29" s="9">
        <f>HISTOJANV24!BB29+HISTOFEV24!BB29+HISTOMARS24!BB29+HISTOAVRIL24!BB29+HISTOMAI24!BB29+HISTOJUIN24!BB29+HISTOJUIL24!BB29+HISTOAOUT24!BB29+HISTOSEPT24!BB29+HISTOOCT24!BB29+HISTONOV24!BB29+HISTODEC24!BB29</f>
        <v>115000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562500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120000</v>
      </c>
      <c r="BG29" s="29"/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3533000</v>
      </c>
      <c r="E30" s="9">
        <f>HISTOJANV24!E30+HISTOFEV24!E30+HISTOMARS24!E30+HISTOAVRIL24!E30+HISTOMAI24!E30+HISTOJUIN24!E30+HISTOJUIL24!E30+HISTOAOUT24!E30+HISTOSEPT24!E30+HISTOOCT24!E30+HISTONOV24!E30+HISTODEC24!E30</f>
        <v>1000000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3000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530000</v>
      </c>
      <c r="S30" s="9">
        <f>HISTOJANV24!S30+HISTOFEV24!S30+HISTOMARS24!S30+HISTOAVRIL24!S30+HISTOMAI24!S30+HISTOJUIN24!S30+HISTOJUIL24!S30+HISTOAOUT24!S30+HISTOSEPT24!S30+HISTOOCT24!S30+HISTONOV24!S30+HISTODEC24!S30</f>
        <v>1000000</v>
      </c>
      <c r="T30" s="12"/>
      <c r="U30" s="17">
        <f t="shared" si="5"/>
        <v>1783000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1000000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3000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50000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525000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5000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28000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297000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2875000</v>
      </c>
      <c r="AZ30" s="9">
        <f>HISTOJANV24!AZ30+HISTOFEV24!AZ30+HISTOMARS24!AZ30+HISTOAVRIL24!AZ30+HISTOMAI24!AZ30+HISTOJUIN24!AZ30+HISTOJUIL24!AZ30+HISTOAOUT24!AZ30+HISTOSEPT24!AZ30+HISTOOCT24!AZ30+HISTONOV24!AZ30+HISTODEC24!AZ30</f>
        <v>4052000</v>
      </c>
      <c r="BA30" s="9">
        <f>HISTOJANV24!BA30+HISTOFEV24!BA30+HISTOMARS24!BA30+HISTOAVRIL24!BA30+HISTOMAI24!BA30+HISTOJUIN24!BA30+HISTOJUIL24!BA30+HISTOAOUT24!BA30+HISTOSEPT24!BA30+HISTOOCT24!BA30+HISTONOV24!BA30+HISTODEC24!BA30</f>
        <v>1005000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3047000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150000</v>
      </c>
      <c r="BG30" s="29"/>
      <c r="BH30" s="15"/>
      <c r="BI30" s="15"/>
      <c r="BJ30" s="15"/>
      <c r="BK30" s="15"/>
      <c r="BL30" s="61"/>
      <c r="BO30" t="s">
        <v>128</v>
      </c>
      <c r="BP30" t="s">
        <v>50</v>
      </c>
      <c r="BQ30" s="9">
        <f>HISTOJANV24!BQ30+HISTOFEV24!BQ30+HISTOMARS24!BQ30+HISTOAVRIL24!BQ30+HISTOMAI24!BQ30+HISTOJUIN24!BQ30+HISTOJUIL24!BQ30+HISTOAOUT24!BQ30+HISTOSEPT24!BQ30+HISTOOCT24!BQ30+HISTONOV24!BQ30+HISTODEC24!BQ30</f>
        <v>100000</v>
      </c>
    </row>
    <row r="31" spans="1:69" ht="18.5" x14ac:dyDescent="0.45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3130000</v>
      </c>
      <c r="E31" s="9">
        <f>HISTOJANV24!E31+HISTOFEV24!E31+HISTOMARS24!E31+HISTOAVRIL24!E31+HISTOMAI24!E31+HISTOJUIN24!E31+HISTOJUIL24!E31+HISTOAOUT24!E31+HISTOSEPT24!E31+HISTOOCT24!E31+HISTONOV24!E31+HISTODEC24!E31</f>
        <v>10000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30000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1250000</v>
      </c>
      <c r="T31" s="12"/>
      <c r="U31" s="17">
        <f t="shared" si="5"/>
        <v>1430000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2000000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3500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29500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500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326000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1160000</v>
      </c>
      <c r="AZ31" s="9">
        <f>HISTOJANV24!AZ31+HISTOFEV24!AZ31+HISTOMARS24!AZ31+HISTOAVRIL24!AZ31+HISTOMAI24!AZ31+HISTOJUIN24!AZ31+HISTOJUIL24!AZ31+HISTOAOUT24!AZ31+HISTOSEPT24!AZ31+HISTOOCT24!AZ31+HISTONOV24!AZ31+HISTODEC24!AZ31</f>
        <v>3466000</v>
      </c>
      <c r="BA31" s="9">
        <f>HISTOJANV24!BA31+HISTOFEV24!BA31+HISTOMARS24!BA31+HISTOAVRIL24!BA31+HISTOMAI24!BA31+HISTOJUIN24!BA31+HISTOJUIL24!BA31+HISTOAOUT24!BA31+HISTOSEPT24!BA31+HISTOOCT24!BA31+HISTONOV24!BA31+HISTODEC24!BA31</f>
        <v>59000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3377000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210000</v>
      </c>
      <c r="BG31" s="29"/>
      <c r="BH31" s="15"/>
      <c r="BI31" s="15"/>
      <c r="BJ31" s="15"/>
      <c r="BK31" s="15"/>
      <c r="BL31" s="61"/>
      <c r="BO31" t="s">
        <v>129</v>
      </c>
      <c r="BP31" t="s">
        <v>50</v>
      </c>
      <c r="BQ31" s="9">
        <f>HISTOJANV24!BQ31+HISTOFEV24!BQ31+HISTOMARS24!BQ31+HISTOAVRIL24!BQ31+HISTOMAI24!BQ31+HISTOJUIN24!BQ31+HISTOJUIL24!BQ31+HISTOAOUT24!BQ31+HISTOSEPT24!BQ31+HISTOOCT24!BQ31+HISTONOV24!BQ31+HISTODEC24!BQ31</f>
        <v>0</v>
      </c>
    </row>
    <row r="32" spans="1:69" ht="18.5" x14ac:dyDescent="0.45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4519500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1000000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1019500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1000000</v>
      </c>
      <c r="T32" s="12"/>
      <c r="U32" s="17">
        <f t="shared" si="5"/>
        <v>3144500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2000000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10500</v>
      </c>
      <c r="AD32" s="9">
        <f>HISTOJANV24!AD32+HISTOFEV24!AD32+HISTOMARS24!AD32+HISTOAVRIL24!AD32+HISTOMAI24!AD32+HISTOJUIN24!AD32+HISTOJUIL24!AD32+HISTOAOUT24!AD32+HISTOSEPT24!AD32+HISTOOCT24!AD32+HISTONOV24!AD32+HISTODEC24!AD32</f>
        <v>7500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1007500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12000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1025000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289500</v>
      </c>
      <c r="AX32" s="9">
        <f>HISTOJANV24!AX32+HISTOFEV24!AX32+HISTOMARS24!AX32+HISTOAVRIL24!AX32+HISTOMAI24!AX32+HISTOJUIN24!AX32+HISTOJUIL24!AX32+HISTOAOUT24!AX32+HISTOSEPT24!AX32+HISTOOCT24!AX32+HISTONOV24!AX32+HISTODEC24!AX32</f>
        <v>1900000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4009500</v>
      </c>
      <c r="BA32" s="9">
        <f>HISTOJANV24!BA32+HISTOFEV24!BA32+HISTOMARS24!BA32+HISTOAVRIL24!BA32+HISTOMAI24!BA32+HISTOJUIN24!BA32+HISTOJUIL24!BA32+HISTOAOUT24!BA32+HISTOSEPT24!BA32+HISTOOCT24!BA32+HISTONOV24!BA32+HISTODEC24!BA32</f>
        <v>400500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3579000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180000</v>
      </c>
      <c r="BG32" s="29"/>
      <c r="BH32" s="15"/>
      <c r="BI32" s="15"/>
      <c r="BJ32" s="15"/>
      <c r="BK32" s="15"/>
      <c r="BL32" s="61"/>
    </row>
    <row r="33" spans="1:69" ht="18.5" x14ac:dyDescent="0.45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2440000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744000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919000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1000000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6000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10000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769000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294000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1190000</v>
      </c>
      <c r="AZ33" s="9">
        <f>HISTOJANV24!AZ33+HISTOFEV24!AZ33+HISTOMARS24!AZ33+HISTOAVRIL24!AZ33+HISTOMAI24!AZ33+HISTOJUIN24!AZ33+HISTOJUIL24!AZ33+HISTOAOUT24!AZ33+HISTOSEPT24!AZ33+HISTOOCT24!AZ33+HISTONOV24!AZ33+HISTODEC24!AZ33</f>
        <v>2364000</v>
      </c>
      <c r="BA33" s="9">
        <f>HISTOJANV24!BA33+HISTOFEV24!BA33+HISTOMARS24!BA33+HISTOAVRIL24!BA33+HISTOMAI24!BA33+HISTOJUIN24!BA33+HISTOJUIL24!BA33+HISTOAOUT24!BA33+HISTOSEPT24!BA33+HISTOOCT24!BA33+HISTONOV24!BA33+HISTODEC24!BA33</f>
        <v>880000</v>
      </c>
      <c r="BB33" s="9">
        <f>HISTOJANV24!BB33+HISTOFEV24!BB33+HISTOMARS24!BB33+HISTOAVRIL24!BB33+HISTOMAI24!BB33+HISTOJUIN24!BB33+HISTOJUIL24!BB33+HISTOAOUT24!BB33+HISTOSEPT24!BB33+HISTOOCT24!BB33+HISTONOV24!BB33+HISTODEC24!BB33</f>
        <v>140000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1180000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120000</v>
      </c>
      <c r="BG33" s="29"/>
      <c r="BH33" s="15"/>
      <c r="BI33" s="15"/>
      <c r="BJ33" s="15"/>
      <c r="BK33" s="15"/>
      <c r="BL33" s="61"/>
      <c r="BO33" s="62" t="s">
        <v>142</v>
      </c>
      <c r="BQ33" s="62">
        <f>SUM(BQ30:BQ32)</f>
        <v>100000</v>
      </c>
    </row>
    <row r="34" spans="1:69" ht="18.5" x14ac:dyDescent="0.45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510000</v>
      </c>
      <c r="E34" s="9">
        <f>HISTOJANV24!E34+HISTOFEV24!E34+HISTOMARS24!E34+HISTOAVRIL24!E34+HISTOMAI24!E34+HISTOJUIN24!E34+HISTOJUIL24!E34+HISTOAOUT24!E34+HISTOSEPT24!E34+HISTOOCT24!E34+HISTONOV24!E34+HISTODEC24!E34</f>
        <v>100000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300750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353750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2500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325750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297500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297500</v>
      </c>
      <c r="BA34" s="9">
        <f>HISTOJANV24!BA34+HISTOFEV24!BA34+HISTOMARS24!BA34+HISTOAVRIL24!BA34+HISTOMAI24!BA34+HISTOJUIN24!BA34+HISTOJUIL24!BA34+HISTOAOUT24!BA34+HISTOSEPT24!BA34+HISTOOCT24!BA34+HISTONOV24!BA34+HISTODEC24!BA34</f>
        <v>297500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O34" s="62" t="s">
        <v>142</v>
      </c>
      <c r="BQ34" s="62">
        <f>SUM(BQ31:BQ33)</f>
        <v>100000</v>
      </c>
    </row>
    <row r="35" spans="1:69" ht="18.5" x14ac:dyDescent="0.45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1010000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297500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110000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597500</v>
      </c>
      <c r="T35" s="12"/>
      <c r="U35" s="17">
        <f t="shared" si="5"/>
        <v>757500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1000000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2500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135000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297500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980000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980000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120000</v>
      </c>
      <c r="BG35" s="29"/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450000</v>
      </c>
      <c r="E36" s="9">
        <f>HISTOJANV24!E36+HISTOFEV24!E36+HISTOMARS24!E36+HISTOAVRIL24!E36+HISTOMAI24!E36+HISTOJUIN24!E36+HISTOJUIL24!E36+HISTOAOUT24!E36+HISTOSEPT24!E36+HISTOOCT24!E36+HISTONOV24!E36+HISTODEC24!E36</f>
        <v>206000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6000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56000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2500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297500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397500</v>
      </c>
      <c r="BA36" s="9">
        <f>HISTOJANV24!BA36+HISTOFEV24!BA36+HISTOMARS24!BA36+HISTOAVRIL24!BA36+HISTOMAI24!BA36+HISTOJUIN24!BA36+HISTOJUIL24!BA36+HISTOAOUT24!BA36+HISTOSEPT24!BA36+HISTOOCT24!BA36+HISTONOV24!BA36+HISTODEC24!BA36</f>
        <v>297500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100000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O36" t="s">
        <v>126</v>
      </c>
      <c r="BP36" t="s">
        <v>126</v>
      </c>
      <c r="BQ36" s="9">
        <f>HISTOJANV24!BQ36+HISTOFEV24!BQ36+HISTOMARS24!BQ36+HISTOAVRIL24!BQ36+HISTOMAI24!BQ36+HISTOJUIN24!BQ36+HISTOJUIL24!BQ36+HISTOAOUT24!BQ36+HISTOSEPT24!BQ36+HISTOOCT24!BQ36+HISTONOV24!BQ36+HISTODEC24!BQ36</f>
        <v>700000</v>
      </c>
    </row>
    <row r="37" spans="1:69" ht="18.5" x14ac:dyDescent="0.45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750000</v>
      </c>
      <c r="E37" s="9">
        <f>HISTOJANV24!E37+HISTOFEV24!E37+HISTOMARS24!E37+HISTOAVRIL24!E37+HISTOMAI24!E37+HISTOJUIN24!E37+HISTOJUIL24!E37+HISTOAOUT24!E37+HISTOSEPT24!E37+HISTOOCT24!E37+HISTONOV24!E37+HISTODEC24!E37</f>
        <v>1093000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18000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700000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893000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4000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10000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725000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296000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1190000</v>
      </c>
      <c r="AZ37" s="9">
        <f>HISTOJANV24!AZ37+HISTOFEV24!AZ37+HISTOMARS24!AZ37+HISTOAVRIL24!AZ37+HISTOMAI24!AZ37+HISTOJUIN24!AZ37+HISTOJUIL24!AZ37+HISTOAOUT24!AZ37+HISTOSEPT24!AZ37+HISTOOCT24!AZ37+HISTONOV24!AZ37+HISTODEC24!AZ37</f>
        <v>1486000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240000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426000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O37" t="s">
        <v>127</v>
      </c>
      <c r="BP37" t="s">
        <v>126</v>
      </c>
      <c r="BQ37" s="9">
        <f>HISTOJANV24!BQ37+HISTOFEV24!BQ37+HISTOMARS24!BQ37+HISTOAVRIL24!BQ37+HISTOMAI24!BQ37+HISTOJUIN24!BQ37+HISTOJUIL24!BQ37+HISTOAOUT24!BQ37+HISTOSEPT24!BQ37+HISTOOCT24!BQ37+HISTONOV24!BQ37+HISTODEC24!BQ37</f>
        <v>0</v>
      </c>
    </row>
    <row r="38" spans="1:69" ht="18.5" x14ac:dyDescent="0.45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500000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2500</v>
      </c>
      <c r="AD38" s="9">
        <f>HISTOJANV24!AD38+HISTOFEV24!AD38+HISTOMARS24!AD38+HISTOAVRIL24!AD38+HISTOMAI24!AD38+HISTOJUIN24!AD38+HISTOJUIL24!AD38+HISTOAOUT24!AD38+HISTOSEPT24!AD38+HISTOOCT24!AD38+HISTONOV24!AD38+HISTODEC24!AD38</f>
        <v>7500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297500</v>
      </c>
      <c r="AX38" s="9">
        <f>HISTOJANV24!AX38+HISTOFEV24!AX38+HISTOMARS24!AX38+HISTOAVRIL24!AX38+HISTOMAI24!AX38+HISTOJUIN24!AX38+HISTOJUIL24!AX38+HISTOAOUT24!AX38+HISTOSEPT24!AX38+HISTOOCT24!AX38+HISTONOV24!AX38+HISTODEC24!AX38</f>
        <v>892500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1775000</v>
      </c>
      <c r="BA38" s="9">
        <f>HISTOJANV24!BA38+HISTOFEV24!BA38+HISTOMARS24!BA38+HISTOAVRIL24!BA38+HISTOMAI24!BA38+HISTOJUIN24!BA38+HISTOJUIL24!BA38+HISTOAOUT24!BA38+HISTOSEPT24!BA38+HISTOOCT24!BA38+HISTONOV24!BA38+HISTODEC24!BA38</f>
        <v>485000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1290000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15000</v>
      </c>
      <c r="BG38" s="29"/>
      <c r="BH38" s="15"/>
      <c r="BI38" s="15"/>
      <c r="BJ38" s="15"/>
      <c r="BK38" s="15"/>
      <c r="BL38" s="15"/>
      <c r="BO38" t="s">
        <v>127</v>
      </c>
      <c r="BP38" t="s">
        <v>126</v>
      </c>
      <c r="BQ38" s="9">
        <f>HISTOJANV24!BQ38+HISTOFEV24!BQ38+HISTOMARS24!BQ38+HISTOAVRIL24!BQ38+HISTOMAI24!BQ38+HISTOJUIN24!BQ38+HISTOJUIL24!BQ38+HISTOAOUT24!BQ38+HISTOSEPT24!BQ38+HISTOOCT24!BQ38+HISTONOV24!BQ38+HISTODEC24!BQ38</f>
        <v>0</v>
      </c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7">SUM(C6:C39)</f>
        <v>0</v>
      </c>
      <c r="D40" s="5">
        <f t="shared" si="7"/>
        <v>74923000</v>
      </c>
      <c r="E40" s="5">
        <f t="shared" si="7"/>
        <v>14449500</v>
      </c>
      <c r="F40" s="5">
        <f t="shared" si="7"/>
        <v>3190000</v>
      </c>
      <c r="G40" s="5">
        <f t="shared" si="7"/>
        <v>93000</v>
      </c>
      <c r="H40" s="5">
        <f t="shared" si="7"/>
        <v>0</v>
      </c>
      <c r="I40" s="5">
        <f t="shared" si="7"/>
        <v>4526850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ca="1" si="7"/>
        <v>1628000</v>
      </c>
      <c r="Q40" s="5">
        <f t="shared" si="7"/>
        <v>4838000</v>
      </c>
      <c r="R40" s="5">
        <f t="shared" si="7"/>
        <v>11223000</v>
      </c>
      <c r="S40" s="5">
        <f t="shared" si="7"/>
        <v>18456000</v>
      </c>
      <c r="T40" s="5"/>
      <c r="U40" s="5">
        <f t="shared" ref="U40:AA40" ca="1" si="8">SUM(U6:U39)</f>
        <v>45439850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21800000</v>
      </c>
      <c r="AA40" s="5">
        <f t="shared" si="8"/>
        <v>0</v>
      </c>
      <c r="AB40" s="5"/>
      <c r="AC40" s="5">
        <f>SUM(AC6:AC39)</f>
        <v>209000</v>
      </c>
      <c r="AD40" s="5">
        <f>SUM(AD6:AD39)</f>
        <v>285000</v>
      </c>
      <c r="AE40" s="5">
        <f>SUM(AE6:AE39)</f>
        <v>665000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1596000</v>
      </c>
      <c r="AJ40" s="5">
        <f t="shared" si="9"/>
        <v>4772500</v>
      </c>
      <c r="AK40" s="5">
        <f t="shared" si="9"/>
        <v>11196000</v>
      </c>
      <c r="AL40" s="5">
        <f t="shared" si="9"/>
        <v>32000</v>
      </c>
      <c r="AM40" s="5">
        <f t="shared" si="9"/>
        <v>65500</v>
      </c>
      <c r="AN40" s="5">
        <f t="shared" si="9"/>
        <v>132000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5265850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10987000</v>
      </c>
      <c r="AX40" s="5">
        <f t="shared" si="9"/>
        <v>18887500</v>
      </c>
      <c r="AY40" s="5">
        <f t="shared" si="9"/>
        <v>32131000</v>
      </c>
      <c r="AZ40" s="5">
        <f t="shared" si="9"/>
        <v>83594350</v>
      </c>
      <c r="BA40" s="5">
        <f t="shared" si="9"/>
        <v>14165200</v>
      </c>
      <c r="BB40" s="5">
        <f t="shared" si="9"/>
        <v>771700</v>
      </c>
      <c r="BC40" s="5">
        <f t="shared" si="9"/>
        <v>0</v>
      </c>
      <c r="BD40" s="5">
        <f t="shared" si="9"/>
        <v>70197168</v>
      </c>
      <c r="BE40" s="5">
        <f t="shared" si="9"/>
        <v>0</v>
      </c>
      <c r="BF40" s="5">
        <f t="shared" si="9"/>
        <v>2292150</v>
      </c>
      <c r="BH40" s="5">
        <f t="shared" ref="BH40:BL40" si="10">SUM(BH6:BH39)</f>
        <v>4251000</v>
      </c>
      <c r="BI40" s="5">
        <f t="shared" si="10"/>
        <v>960000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5">
        <f>SUM(BN6:BN39)</f>
        <v>5326618</v>
      </c>
      <c r="BO40" s="62" t="s">
        <v>142</v>
      </c>
      <c r="BQ40" s="62">
        <f>SUM(BQ36:BQ38)</f>
        <v>700000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83594350</v>
      </c>
      <c r="D47" s="9">
        <f>SUMIFS(D8:D40,H8:H40,"BANQUE")</f>
        <v>0</v>
      </c>
      <c r="F47" s="9">
        <f>E40</f>
        <v>14449500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160476700</v>
      </c>
    </row>
  </sheetData>
  <autoFilter ref="A5:AF38" xr:uid="{00000000-0009-0000-0000-000010000000}"/>
  <mergeCells count="1">
    <mergeCell ref="B4:M4"/>
  </mergeCells>
  <dataValidations count="1">
    <dataValidation type="list" allowBlank="1" showInputMessage="1" showErrorMessage="1" sqref="T6:T38 AP6:AP38 AF6:AF38 AA6:AA38" xr:uid="{00000000-0002-0000-1000-000000000000}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FD73-A059-46FD-AD0E-10BF9900C5A2}">
  <dimension ref="A1:BS85"/>
  <sheetViews>
    <sheetView zoomScaleNormal="100" workbookViewId="0">
      <pane xSplit="4" ySplit="5" topLeftCell="BE33" activePane="bottomRight" state="frozen"/>
      <selection pane="topRight" activeCell="E1" sqref="E1"/>
      <selection pane="bottomLeft" activeCell="A6" sqref="A6"/>
      <selection pane="bottomRight" activeCell="BG6" sqref="BG6:BG3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  <col min="71" max="71" width="13.08984375" bestFit="1" customWidth="1"/>
  </cols>
  <sheetData>
    <row r="1" spans="1:71" x14ac:dyDescent="0.35">
      <c r="A1" s="1" t="s">
        <v>2</v>
      </c>
      <c r="B1" s="1" t="s">
        <v>3</v>
      </c>
      <c r="C1" s="1"/>
    </row>
    <row r="2" spans="1:71" x14ac:dyDescent="0.35">
      <c r="A2" s="1" t="s">
        <v>4</v>
      </c>
      <c r="B2" s="1">
        <v>2024</v>
      </c>
      <c r="C2" s="1"/>
    </row>
    <row r="3" spans="1:71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1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1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216</v>
      </c>
      <c r="BS5" s="4" t="s">
        <v>215</v>
      </c>
    </row>
    <row r="6" spans="1:71" ht="18.5" x14ac:dyDescent="0.45">
      <c r="A6" s="1" t="s">
        <v>108</v>
      </c>
      <c r="B6" s="1" t="str">
        <f>VLOOKUP(A6,[11]LISTADHERENT!A$5:H$50,3,0)</f>
        <v>ASELBY</v>
      </c>
      <c r="C6" s="5">
        <f ca="1">D6+E6+F6-U6-BB6</f>
        <v>-61000</v>
      </c>
      <c r="D6" s="9">
        <f>VLOOKUP(A6,[12]HISTOBQUEDEC24!$A$6:$K$46,3,0)+BS6</f>
        <v>175000</v>
      </c>
      <c r="E6" s="9">
        <f>VLOOKUP(A6,[12]HISTOBQUEDEC24!$A$6:$G$41,4,0)</f>
        <v>0</v>
      </c>
      <c r="F6" s="9">
        <f>VLOOKUP(A6,[12]HISTOBQUEDEC24!$A$6:$G$41,5,0)</f>
        <v>0</v>
      </c>
      <c r="G6" s="5">
        <v>0</v>
      </c>
      <c r="H6" s="10" t="str">
        <f t="shared" ref="H6:H38" si="0">IF($D6&lt;&gt;0,"BANQUE",IF($E6&lt;&gt;0,"ESPECES","ECHEC"))</f>
        <v>BANQUE</v>
      </c>
      <c r="I6" s="10"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f ca="1">IFERROR(CHERCHEV(A6,[13]TONTDEC24!$A$6:$R$39,12,0),0)</f>
        <v>0</v>
      </c>
      <c r="Q6" s="2">
        <f>IFERROR(VLOOKUP(A6,[14]TONTDEC24!$A$7:$P$23,10,0),0)</f>
        <v>0</v>
      </c>
      <c r="R6" s="2">
        <f>IFERROR(VLOOKUP(A6,[15]TONTDEC24!$A$7:$P$20,10,0),0)</f>
        <v>0</v>
      </c>
      <c r="S6" s="20"/>
      <c r="T6" s="12"/>
      <c r="U6" s="17">
        <f ca="1">G6+S6++R6+P6+O6+M6+I6+K6+Q6+V6+W6</f>
        <v>236000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2082500</v>
      </c>
      <c r="BA6" s="58"/>
      <c r="BB6" s="58"/>
      <c r="BC6" s="15"/>
      <c r="BD6" s="57">
        <f>IF(AZ6=0,(AZ6-BA6-BC6),(AZ6-BA6-BB6-BC6))</f>
        <v>2082500</v>
      </c>
      <c r="BE6" s="82"/>
      <c r="BF6" s="29">
        <f t="shared" ref="BF6:BF38" si="5">Z6*1/100*BG6</f>
        <v>0</v>
      </c>
      <c r="BG6" s="29">
        <v>11</v>
      </c>
      <c r="BH6" s="15">
        <f>BQ16</f>
        <v>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  <c r="BR6" s="9">
        <f>VLOOKUP(A6,[12]HISTOBQUEDEC24!$A$6:$K$46,11,0)</f>
        <v>-175000</v>
      </c>
      <c r="BS6" s="9">
        <f>IF(BR6&gt;0,BR6,0)</f>
        <v>0</v>
      </c>
    </row>
    <row r="7" spans="1:71" ht="18.5" x14ac:dyDescent="0.45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VLOOKUP(A7,[12]HISTOBQUEDEC24!$A$6:$K$46,3,0)+BS7</f>
        <v>0</v>
      </c>
      <c r="E7" s="9">
        <f>VLOOKUP(A7,[12]HISTOBQUEDEC24!$A$6:$G$41,4,0)</f>
        <v>50000</v>
      </c>
      <c r="F7" s="9">
        <f>VLOOKUP(A7,[12]HISTOBQUEDEC24!$A$6:$G$41,5,0)</f>
        <v>0</v>
      </c>
      <c r="G7" s="5">
        <v>0</v>
      </c>
      <c r="H7" s="10" t="str">
        <f t="shared" si="0"/>
        <v>ESPECES</v>
      </c>
      <c r="I7" s="10"/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VLOOKUP(A7,[13]TONTDEC24!$A$6:$R$39,12,0)</f>
        <v>0</v>
      </c>
      <c r="Q7" s="2">
        <f>IFERROR(VLOOKUP(A7,[14]TONTDEC24!$A$7:$P$23,10,0),0)</f>
        <v>0</v>
      </c>
      <c r="R7" s="2">
        <f>IFERROR(VLOOKUP(A7,[15]TONTDEC24!$A$7:$P$20,10,0),0)</f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  <c r="BR7" s="9">
        <f>VLOOKUP(A7,[12]HISTOBQUEDEC24!$A$6:$K$46,11,0)</f>
        <v>0</v>
      </c>
      <c r="BS7" s="9">
        <f t="shared" ref="BS7:BS38" si="15">IF(BR7&gt;0,BR7,0)</f>
        <v>0</v>
      </c>
    </row>
    <row r="8" spans="1:71" ht="18.5" x14ac:dyDescent="0.45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VLOOKUP(A8,[12]HISTOBQUEDEC24!$A$6:$K$46,3,0)+BS8</f>
        <v>125000</v>
      </c>
      <c r="E8" s="9">
        <f>VLOOKUP(A8,[12]HISTOBQUEDEC24!$A$6:$G$41,4,0)</f>
        <v>500000</v>
      </c>
      <c r="F8" s="9">
        <f>VLOOKUP(A8,[12]HISTOBQUEDEC24!$A$6:$G$41,5,0)</f>
        <v>0</v>
      </c>
      <c r="G8" s="5"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VLOOKUP(A8,[13]TONTDEC24!$A$6:$R$39,12,0)</f>
        <v>0</v>
      </c>
      <c r="Q8" s="2">
        <f>IFERROR(VLOOKUP(A8,[14]TONTDEC24!$A$7:$P$23,10,0),0)</f>
        <v>0</v>
      </c>
      <c r="R8" s="2">
        <f>IFERROR(VLOOKUP(A8,[15]TONTDEC24!$A$7:$P$20,10,0),0)</f>
        <v>0</v>
      </c>
      <c r="S8" s="20">
        <v>500000</v>
      </c>
      <c r="T8" s="12"/>
      <c r="U8" s="17">
        <f t="shared" si="8"/>
        <v>625000</v>
      </c>
      <c r="V8" s="12"/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440000</v>
      </c>
      <c r="BA8" s="58"/>
      <c r="BB8" s="58"/>
      <c r="BC8" s="15"/>
      <c r="BD8" s="57">
        <f t="shared" si="14"/>
        <v>440000</v>
      </c>
      <c r="BE8" s="82"/>
      <c r="BF8" s="29">
        <f t="shared" si="5"/>
        <v>60000</v>
      </c>
      <c r="BG8" s="29">
        <v>12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  <c r="BR8" s="9">
        <f>VLOOKUP(A8,[12]HISTOBQUEDEC24!$A$6:$K$46,11,0)</f>
        <v>0</v>
      </c>
      <c r="BS8" s="9">
        <f t="shared" si="15"/>
        <v>0</v>
      </c>
    </row>
    <row r="9" spans="1:71" ht="18.5" x14ac:dyDescent="0.45">
      <c r="A9" s="1" t="s">
        <v>13</v>
      </c>
      <c r="B9" s="1" t="str">
        <f>VLOOKUP(A9,[11]LISTADHERENT!A$5:H$50,3,0)</f>
        <v xml:space="preserve">DJOMO JEAN PAUL </v>
      </c>
      <c r="C9" s="5">
        <f>D9+E9+F9-U9-BB9+1000</f>
        <v>500000</v>
      </c>
      <c r="D9" s="9">
        <f>VLOOKUP(A9,[12]HISTOBQUEDEC24!$A$6:$K$46,3,0)+BS9</f>
        <v>250000</v>
      </c>
      <c r="E9" s="9">
        <f>VLOOKUP(A9,[12]HISTOBQUEDEC24!$A$6:$G$41,4,0)+800000</f>
        <v>1600000</v>
      </c>
      <c r="F9" s="9">
        <f>VLOOKUP(A9,[12]HISTOBQUEDEC24!$A$6:$G$41,5,0)</f>
        <v>0</v>
      </c>
      <c r="G9" s="5"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VLOOKUP(A9,[13]TONTDEC24!$A$6:$R$39,12,0)</f>
        <v>0</v>
      </c>
      <c r="Q9" s="2">
        <f>IFERROR(VLOOKUP(A9,[14]TONTDEC24!$A$7:$P$23,10,0),0)</f>
        <v>0</v>
      </c>
      <c r="R9" s="2">
        <f>IFERROR(VLOOKUP(A9,[15]TONTDEC24!$A$7:$P$20,10,0),0)</f>
        <v>101000</v>
      </c>
      <c r="S9" s="20">
        <v>1000000</v>
      </c>
      <c r="T9" s="12"/>
      <c r="U9" s="17">
        <f t="shared" si="8"/>
        <v>1351000</v>
      </c>
      <c r="V9" s="12"/>
      <c r="W9" s="12"/>
      <c r="X9" s="12"/>
      <c r="Y9" s="12"/>
      <c r="Z9" s="12">
        <v>1000000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880000</v>
      </c>
      <c r="BA9" s="58"/>
      <c r="BB9" s="58"/>
      <c r="BC9" s="15"/>
      <c r="BD9" s="57">
        <f t="shared" si="14"/>
        <v>880000</v>
      </c>
      <c r="BE9" s="82"/>
      <c r="BF9" s="29">
        <f t="shared" si="5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  <c r="BR9" s="9">
        <f>VLOOKUP(A9,[12]HISTOBQUEDEC24!$A$6:$K$46,11,0)</f>
        <v>0</v>
      </c>
      <c r="BS9" s="9">
        <f t="shared" si="15"/>
        <v>0</v>
      </c>
    </row>
    <row r="10" spans="1:71" ht="18.5" x14ac:dyDescent="0.45">
      <c r="A10" s="1" t="s">
        <v>14</v>
      </c>
      <c r="B10" s="1" t="str">
        <f>VLOOKUP(A10,[11]LISTADHERENT!A$5:H$50,3,0)</f>
        <v>DJOMOU TCHAPDA</v>
      </c>
      <c r="C10" s="5">
        <f t="shared" si="6"/>
        <v>-11000</v>
      </c>
      <c r="D10" s="9">
        <f>VLOOKUP(A10,[12]HISTOBQUEDEC24!$A$6:$K$46,3,0)+BS10</f>
        <v>0</v>
      </c>
      <c r="E10" s="9">
        <f>VLOOKUP(A10,[12]HISTOBQUEDEC24!$A$6:$G$41,4,0)</f>
        <v>1307000</v>
      </c>
      <c r="F10" s="9">
        <f>VLOOKUP(A10,[12]HISTOBQUEDEC24!$A$6:$G$41,5,0)</f>
        <v>0</v>
      </c>
      <c r="G10" s="5">
        <v>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VLOOKUP(A10,[13]TONTDEC24!$A$6:$R$39,12,0)</f>
        <v>61000</v>
      </c>
      <c r="Q10" s="2">
        <f>IFERROR(VLOOKUP(A10,[14]TONTDEC24!$A$7:$P$23,10,0),0)</f>
        <v>132000</v>
      </c>
      <c r="R10" s="2">
        <f>IFERROR(VLOOKUP(A10,[15]TONTDEC24!$A$7:$P$20,10,0),0)</f>
        <v>0</v>
      </c>
      <c r="S10" s="20">
        <v>1000000</v>
      </c>
      <c r="T10" s="12"/>
      <c r="U10" s="17">
        <f t="shared" si="8"/>
        <v>1318000</v>
      </c>
      <c r="V10" s="12"/>
      <c r="W10" s="12"/>
      <c r="X10" s="12"/>
      <c r="Y10" s="12"/>
      <c r="Z10" s="12">
        <v>1000000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880000</v>
      </c>
      <c r="BA10" s="58"/>
      <c r="BB10" s="58"/>
      <c r="BC10" s="15"/>
      <c r="BD10" s="57">
        <f t="shared" si="14"/>
        <v>880000</v>
      </c>
      <c r="BE10" s="82"/>
      <c r="BF10" s="29">
        <f t="shared" si="5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  <c r="BR10" s="9">
        <f>VLOOKUP(A10,[12]HISTOBQUEDEC24!$A$6:$K$46,11,0)</f>
        <v>0</v>
      </c>
      <c r="BS10" s="9">
        <f t="shared" si="15"/>
        <v>0</v>
      </c>
    </row>
    <row r="11" spans="1:71" ht="17" customHeight="1" x14ac:dyDescent="0.45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VLOOKUP(A11,[12]HISTOBQUEDEC24!$A$6:$K$46,3,0)+BS11</f>
        <v>0</v>
      </c>
      <c r="E11" s="9">
        <f>VLOOKUP(A11,[12]HISTOBQUEDEC24!$A$6:$G$41,4,0)</f>
        <v>228000</v>
      </c>
      <c r="F11" s="9">
        <f>VLOOKUP(A11,[12]HISTOBQUEDEC24!$A$6:$G$41,5,0)</f>
        <v>0</v>
      </c>
      <c r="G11" s="5">
        <v>0</v>
      </c>
      <c r="H11" s="10" t="str">
        <f t="shared" si="0"/>
        <v>ESPECES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VLOOKUP(A11,[13]TONTDEC24!$A$6:$R$39,12,0)</f>
        <v>0</v>
      </c>
      <c r="Q11" s="2">
        <f>IFERROR(VLOOKUP(A11,[14]TONTDEC24!$A$7:$P$23,10,0),0)</f>
        <v>103000</v>
      </c>
      <c r="R11" s="2">
        <f>IFERROR(VLOOKUP(A11,[15]TONTDEC24!$A$7:$P$20,10,0),0)</f>
        <v>0</v>
      </c>
      <c r="S11" s="20"/>
      <c r="T11" s="12"/>
      <c r="U11" s="17">
        <f t="shared" si="8"/>
        <v>228000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0</v>
      </c>
      <c r="BA11" s="58"/>
      <c r="BB11" s="58"/>
      <c r="BC11" s="15"/>
      <c r="BD11" s="57">
        <f t="shared" si="14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  <c r="BR11" s="9">
        <f>VLOOKUP(A11,[12]HISTOBQUEDEC24!$A$6:$K$46,11,0)</f>
        <v>0</v>
      </c>
      <c r="BS11" s="9">
        <f t="shared" si="15"/>
        <v>0</v>
      </c>
    </row>
    <row r="12" spans="1:71" ht="18.5" x14ac:dyDescent="0.45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VLOOKUP(A12,[12]HISTOBQUEDEC24!$A$6:$K$46,3,0)+BS12+70000</f>
        <v>400000</v>
      </c>
      <c r="E12" s="9">
        <f>VLOOKUP(A12,[12]HISTOBQUEDEC24!$A$6:$G$41,4,0)</f>
        <v>637500</v>
      </c>
      <c r="F12" s="9">
        <f>VLOOKUP(A12,[12]HISTOBQUEDEC24!$A$6:$G$41,5,0)</f>
        <v>0</v>
      </c>
      <c r="G12" s="5"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VLOOKUP(A12,[13]TONTDEC24!$A$6:$R$39,12,0)</f>
        <v>61000</v>
      </c>
      <c r="Q12" s="2">
        <f>IFERROR(VLOOKUP(A12,[14]TONTDEC24!$A$7:$P$23,10,0),0)</f>
        <v>101500</v>
      </c>
      <c r="R12" s="2">
        <f>IFERROR(VLOOKUP(A12,[15]TONTDEC24!$A$7:$P$20,10,0),0)</f>
        <v>505000</v>
      </c>
      <c r="S12" s="20">
        <v>40000</v>
      </c>
      <c r="T12" s="12"/>
      <c r="U12" s="17">
        <f t="shared" si="8"/>
        <v>1037500</v>
      </c>
      <c r="V12" s="12"/>
      <c r="W12" s="12"/>
      <c r="X12" s="12"/>
      <c r="Y12" s="12"/>
      <c r="Z12" s="12">
        <v>1000000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940000</v>
      </c>
      <c r="BA12" s="58"/>
      <c r="BB12" s="58"/>
      <c r="BC12" s="15"/>
      <c r="BD12" s="57">
        <f t="shared" si="14"/>
        <v>940000</v>
      </c>
      <c r="BE12" s="82"/>
      <c r="BF12" s="29">
        <f t="shared" si="5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  <c r="BR12" s="9">
        <f>VLOOKUP(A12,[12]HISTOBQUEDEC24!$A$6:$K$46,11,0)</f>
        <v>0</v>
      </c>
      <c r="BS12" s="9">
        <f t="shared" si="15"/>
        <v>0</v>
      </c>
    </row>
    <row r="13" spans="1:71" ht="18.5" x14ac:dyDescent="0.45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VLOOKUP(A13,[12]HISTOBQUEDEC24!$A$6:$K$46,3,0)+BS13</f>
        <v>1050000</v>
      </c>
      <c r="E13" s="9">
        <f>VLOOKUP(A13,[12]HISTOBQUEDEC24!$A$6:$G$41,4,0)</f>
        <v>0</v>
      </c>
      <c r="F13" s="9">
        <f>VLOOKUP(A13,[12]HISTOBQUEDEC24!$A$6:$G$41,5,0)</f>
        <v>0</v>
      </c>
      <c r="G13" s="5"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VLOOKUP(A13,[13]TONTDEC24!$A$6:$R$39,12,0)</f>
        <v>0</v>
      </c>
      <c r="Q13" s="2">
        <f>IFERROR(VLOOKUP(A13,[14]TONTDEC24!$A$7:$P$23,10,0),0)</f>
        <v>0</v>
      </c>
      <c r="R13" s="2">
        <f>IFERROR(VLOOKUP(A13,[15]TONTDEC24!$A$7:$P$20,10,0),0)</f>
        <v>0</v>
      </c>
      <c r="S13" s="20">
        <v>1000000</v>
      </c>
      <c r="T13" s="12"/>
      <c r="U13" s="17">
        <f t="shared" si="8"/>
        <v>1050000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/>
      <c r="BR13" s="9">
        <f>VLOOKUP(A13,[12]HISTOBQUEDEC24!$A$6:$K$46,11,0)</f>
        <v>1000000</v>
      </c>
      <c r="BS13" s="9">
        <f t="shared" si="15"/>
        <v>1000000</v>
      </c>
    </row>
    <row r="14" spans="1:71" ht="18.5" x14ac:dyDescent="0.45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VLOOKUP(A14,[12]HISTOBQUEDEC24!$A$6:$K$46,3,0)+BS14</f>
        <v>50000</v>
      </c>
      <c r="E14" s="9">
        <f>VLOOKUP(A14,[12]HISTOBQUEDEC24!$A$6:$G$41,4,0)</f>
        <v>0</v>
      </c>
      <c r="F14" s="9">
        <f>VLOOKUP(A14,[12]HISTOBQUEDEC24!$A$6:$G$41,5,0)</f>
        <v>0</v>
      </c>
      <c r="G14" s="5"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VLOOKUP(A14,[13]TONTDEC24!$A$6:$R$39,12,0)</f>
        <v>0</v>
      </c>
      <c r="Q14" s="2">
        <f>IFERROR(VLOOKUP(A14,[14]TONTDEC24!$A$7:$P$23,10,0),0)</f>
        <v>0</v>
      </c>
      <c r="R14" s="2">
        <f>IFERROR(VLOOKUP(A14,[15]TONTDEC24!$A$7:$P$20,10,0),0)</f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  <c r="BR14" s="9">
        <f>VLOOKUP(A14,[12]HISTOBQUEDEC24!$A$6:$K$46,11,0)</f>
        <v>0</v>
      </c>
      <c r="BS14" s="9">
        <f t="shared" si="15"/>
        <v>0</v>
      </c>
    </row>
    <row r="15" spans="1:71" ht="18.5" x14ac:dyDescent="0.45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VLOOKUP(A15,[12]HISTOBQUEDEC24!$A$6:$K$46,3,0)+BS15</f>
        <v>0</v>
      </c>
      <c r="E15" s="9">
        <f>VLOOKUP(A15,[12]HISTOBQUEDEC24!$A$6:$G$41,4,0)</f>
        <v>125000</v>
      </c>
      <c r="F15" s="9">
        <f>VLOOKUP(A15,[12]HISTOBQUEDEC24!$A$6:$G$41,5,0)</f>
        <v>0</v>
      </c>
      <c r="G15" s="5">
        <v>0</v>
      </c>
      <c r="H15" s="10" t="str">
        <f t="shared" si="0"/>
        <v>ESPECES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VLOOKUP(A15,[13]TONTDEC24!$A$6:$R$39,12,0)</f>
        <v>0</v>
      </c>
      <c r="Q15" s="2">
        <f>IFERROR(VLOOKUP(A15,[14]TONTDEC24!$A$7:$P$23,10,0),0)</f>
        <v>0</v>
      </c>
      <c r="R15" s="2">
        <f>IFERROR(VLOOKUP(A15,[15]TONTDEC24!$A$7:$P$20,10,0),0)</f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Q15" s="6"/>
      <c r="BR15" s="9">
        <f>VLOOKUP(A15,[12]HISTOBQUEDEC24!$A$6:$K$46,11,0)</f>
        <v>0</v>
      </c>
      <c r="BS15" s="9">
        <f t="shared" si="15"/>
        <v>0</v>
      </c>
    </row>
    <row r="16" spans="1:71" ht="18.5" x14ac:dyDescent="0.45">
      <c r="A16" s="1" t="s">
        <v>21</v>
      </c>
      <c r="B16" s="1" t="str">
        <f>VLOOKUP(A16,[11]LISTADHERENT!A$5:H$50,3,0)</f>
        <v>HOTCHO BENJAMIN</v>
      </c>
      <c r="C16" s="5">
        <f t="shared" si="6"/>
        <v>-530000</v>
      </c>
      <c r="D16" s="9">
        <f>VLOOKUP(A16,[12]HISTOBQUEDEC24!$A$6:$K$46,3,0)+BS16+952000-250000</f>
        <v>952000</v>
      </c>
      <c r="E16" s="9">
        <f>VLOOKUP(A16,[12]HISTOBQUEDEC24!$A$6:$G$41,4,0)</f>
        <v>202000</v>
      </c>
      <c r="F16" s="9">
        <f>VLOOKUP(A16,[12]HISTOBQUEDEC24!$A$6:$G$41,5,0)</f>
        <v>0</v>
      </c>
      <c r="G16" s="5">
        <v>0</v>
      </c>
      <c r="H16" s="10" t="str">
        <f t="shared" si="0"/>
        <v>BANQUE</v>
      </c>
      <c r="I16" s="10">
        <f>15000+40000</f>
        <v>55000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VLOOKUP(A16,[13]TONTDEC24!$A$6:$R$39,12,0)</f>
        <v>0</v>
      </c>
      <c r="Q16" s="2">
        <f>IFERROR(VLOOKUP(A16,[14]TONTDEC24!$A$7:$P$23,10,0),0)</f>
        <v>202000</v>
      </c>
      <c r="R16" s="2">
        <f>IFERROR(VLOOKUP(A16,[15]TONTDEC24!$A$7:$P$20,10,0),0)</f>
        <v>202000</v>
      </c>
      <c r="S16" s="20">
        <v>1000000</v>
      </c>
      <c r="T16" s="12"/>
      <c r="U16" s="17">
        <f t="shared" si="8"/>
        <v>1684000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80000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O16" s="62" t="s">
        <v>142</v>
      </c>
      <c r="BQ16" s="62">
        <f>SUM(BQ6:BQ15)</f>
        <v>0</v>
      </c>
      <c r="BR16" s="9">
        <f>VLOOKUP(A16,[12]HISTOBQUEDEC24!$A$6:$K$46,11,0)</f>
        <v>0</v>
      </c>
      <c r="BS16" s="9">
        <f t="shared" si="15"/>
        <v>0</v>
      </c>
    </row>
    <row r="17" spans="1:71" ht="18.5" x14ac:dyDescent="0.45">
      <c r="A17" s="1" t="s">
        <v>22</v>
      </c>
      <c r="B17" s="1" t="str">
        <f>VLOOKUP(A17,[11]LISTADHERENT!A$5:H$50,3,0)</f>
        <v>KOUAMOU MOISE</v>
      </c>
      <c r="C17" s="5">
        <f t="shared" si="6"/>
        <v>-170000</v>
      </c>
      <c r="D17" s="9">
        <f>VLOOKUP(A17,[12]HISTOBQUEDEC24!$A$6:$K$46,3,0)+BS17</f>
        <v>260000</v>
      </c>
      <c r="E17" s="9">
        <f>VLOOKUP(A17,[12]HISTOBQUEDEC24!$A$6:$G$41,4,0)</f>
        <v>0</v>
      </c>
      <c r="F17" s="9">
        <f>VLOOKUP(A17,[12]HISTOBQUEDEC24!$A$6:$G$41,5,0)</f>
        <v>0</v>
      </c>
      <c r="G17" s="5">
        <v>0</v>
      </c>
      <c r="H17" s="10" t="str">
        <f t="shared" si="0"/>
        <v>BANQUE</v>
      </c>
      <c r="I17" s="10">
        <v>5500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VLOOKUP(A17,[13]TONTDEC24!$A$6:$R$39,12,0)</f>
        <v>0</v>
      </c>
      <c r="Q17" s="2">
        <f>IFERROR(VLOOKUP(A17,[14]TONTDEC24!$A$7:$P$23,10,0),0)</f>
        <v>0</v>
      </c>
      <c r="R17" s="2">
        <f>IFERROR(VLOOKUP(A17,[15]TONTDEC24!$A$7:$P$20,10,0),0)</f>
        <v>104500</v>
      </c>
      <c r="S17" s="20">
        <v>170000</v>
      </c>
      <c r="T17" s="12"/>
      <c r="U17" s="17">
        <f t="shared" si="8"/>
        <v>430000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9"/>
        <v>30500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O17" s="62"/>
      <c r="BQ17" s="6"/>
      <c r="BR17" s="9">
        <f>VLOOKUP(A17,[12]HISTOBQUEDEC24!$A$6:$K$46,11,0)</f>
        <v>110000</v>
      </c>
      <c r="BS17" s="9">
        <f t="shared" si="15"/>
        <v>110000</v>
      </c>
    </row>
    <row r="18" spans="1:71" ht="18.5" x14ac:dyDescent="0.45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VLOOKUP(A18,[12]HISTOBQUEDEC24!$A$6:$K$46,3,0)+BS18-10000</f>
        <v>611000</v>
      </c>
      <c r="E18" s="9">
        <f>VLOOKUP(A18,[12]HISTOBQUEDEC24!$A$6:$G$41,4,0)</f>
        <v>0</v>
      </c>
      <c r="F18" s="9">
        <f>VLOOKUP(A18,[12]HISTOBQUEDEC24!$A$6:$G$41,5,0)</f>
        <v>0</v>
      </c>
      <c r="G18" s="5"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VLOOKUP(A18,[13]TONTDEC24!$A$6:$R$39,12,0)</f>
        <v>0</v>
      </c>
      <c r="Q18" s="2">
        <f>IFERROR(VLOOKUP(A18,[14]TONTDEC24!$A$7:$P$23,10,0),0)</f>
        <v>0</v>
      </c>
      <c r="R18" s="2">
        <f>IFERROR(VLOOKUP(A18,[15]TONTDEC24!$A$7:$P$20,10,0),0)</f>
        <v>101000</v>
      </c>
      <c r="S18" s="20">
        <v>350000</v>
      </c>
      <c r="T18" s="12"/>
      <c r="U18" s="17">
        <f t="shared" si="8"/>
        <v>611000</v>
      </c>
      <c r="V18" s="12"/>
      <c r="W18" s="12"/>
      <c r="X18" s="12"/>
      <c r="Y18" s="12"/>
      <c r="Z18" s="12">
        <v>1000000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880000</v>
      </c>
      <c r="BA18" s="58"/>
      <c r="BB18" s="58"/>
      <c r="BC18" s="15"/>
      <c r="BD18" s="57">
        <f t="shared" si="14"/>
        <v>880000</v>
      </c>
      <c r="BE18" s="82"/>
      <c r="BF18" s="29">
        <f t="shared" si="5"/>
        <v>120000</v>
      </c>
      <c r="BG18" s="29">
        <v>12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  <c r="BR18" s="9">
        <f>VLOOKUP(A18,[12]HISTOBQUEDEC24!$A$6:$K$46,11,0)</f>
        <v>461000</v>
      </c>
      <c r="BS18" s="9">
        <f t="shared" si="15"/>
        <v>461000</v>
      </c>
    </row>
    <row r="19" spans="1:71" ht="18.5" x14ac:dyDescent="0.45">
      <c r="A19" s="1" t="s">
        <v>195</v>
      </c>
      <c r="B19" s="1" t="str">
        <f>VLOOKUP(A19,[11]LISTADHERENT!A$5:H$50,3,0)</f>
        <v>MASSEUNGOUE DAGOBERT</v>
      </c>
      <c r="C19" s="5">
        <f t="shared" si="6"/>
        <v>-297500</v>
      </c>
      <c r="D19" s="9">
        <f>VLOOKUP(A19,[12]HISTOBQUEDEC24!$A$6:$K$46,3,0)+BS19</f>
        <v>50000</v>
      </c>
      <c r="E19" s="9">
        <f>VLOOKUP(A19,[12]HISTOBQUEDEC24!$A$6:$G$41,4,0)</f>
        <v>0</v>
      </c>
      <c r="F19" s="9">
        <f>VLOOKUP(A19,[12]HISTOBQUEDEC24!$A$6:$G$41,5,0)</f>
        <v>0</v>
      </c>
      <c r="G19" s="5">
        <v>0</v>
      </c>
      <c r="H19" s="10" t="str">
        <f t="shared" si="0"/>
        <v>BANQUE</v>
      </c>
      <c r="I19" s="10">
        <v>297500</v>
      </c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VLOOKUP(A19,[13]TONTDEC24!$A$6:$R$39,12,0)</f>
        <v>0</v>
      </c>
      <c r="Q19" s="2">
        <f>IFERROR(VLOOKUP(A19,[14]TONTDEC24!$A$7:$P$23,10,0),0)</f>
        <v>0</v>
      </c>
      <c r="R19" s="2">
        <f>IFERROR(VLOOKUP(A19,[15]TONTDEC24!$A$7:$P$20,10,0),0)</f>
        <v>0</v>
      </c>
      <c r="S19" s="20"/>
      <c r="T19" s="12"/>
      <c r="U19" s="17">
        <f>G19+S19++R19+P19+O19+M19+I19+K19+Q19+V19+W19</f>
        <v>347500</v>
      </c>
      <c r="V19" s="12"/>
      <c r="W19" s="12"/>
      <c r="X19" s="12"/>
      <c r="Y19" s="12"/>
      <c r="Z19" s="12"/>
      <c r="AA19" s="12"/>
      <c r="AB19" s="12"/>
      <c r="AC19" s="12">
        <v>2500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322500</v>
      </c>
      <c r="AT19" s="15"/>
      <c r="AV19" s="15"/>
      <c r="AW19" s="15">
        <f t="shared" si="10"/>
        <v>297500</v>
      </c>
      <c r="AX19" s="15">
        <f t="shared" si="11"/>
        <v>0</v>
      </c>
      <c r="AY19" s="15">
        <f t="shared" si="12"/>
        <v>0</v>
      </c>
      <c r="AZ19" s="16">
        <f t="shared" si="13"/>
        <v>297500</v>
      </c>
      <c r="BA19" s="58"/>
      <c r="BB19" s="58"/>
      <c r="BC19" s="15"/>
      <c r="BD19" s="57">
        <f t="shared" si="14"/>
        <v>297500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Q19" s="6"/>
      <c r="BR19" s="9">
        <f>VLOOKUP(A19,[12]HISTOBQUEDEC24!$A$6:$K$46,11,0)</f>
        <v>0</v>
      </c>
      <c r="BS19" s="9">
        <f t="shared" si="15"/>
        <v>0</v>
      </c>
    </row>
    <row r="20" spans="1:71" ht="18.5" x14ac:dyDescent="0.45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VLOOKUP(A20,[12]HISTOBQUEDEC24!$A$6:$K$46,3,0)+BS20</f>
        <v>225000</v>
      </c>
      <c r="E20" s="9">
        <f>VLOOKUP(A20,[12]HISTOBQUEDEC24!$A$6:$G$41,4,0)</f>
        <v>1536000</v>
      </c>
      <c r="F20" s="9">
        <f>VLOOKUP(A20,[12]HISTOBQUEDEC24!$A$6:$G$41,5,0)</f>
        <v>0</v>
      </c>
      <c r="G20" s="5"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VLOOKUP(A20,[13]TONTDEC24!$A$6:$R$39,12,0)</f>
        <v>132000</v>
      </c>
      <c r="Q20" s="2">
        <f>IFERROR(VLOOKUP(A20,[14]TONTDEC24!$A$7:$P$23,10,0),0)</f>
        <v>202000</v>
      </c>
      <c r="R20" s="2">
        <f>IFERROR(VLOOKUP(A20,[15]TONTDEC24!$A$7:$P$20,10,0),0)</f>
        <v>202000</v>
      </c>
      <c r="S20" s="20">
        <v>1000000</v>
      </c>
      <c r="T20" s="12"/>
      <c r="U20" s="17">
        <f t="shared" si="8"/>
        <v>1761000</v>
      </c>
      <c r="V20" s="12"/>
      <c r="W20" s="12"/>
      <c r="X20" s="12"/>
      <c r="Y20" s="12"/>
      <c r="Z20" s="12">
        <v>1000000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970000</v>
      </c>
      <c r="BA20" s="58"/>
      <c r="BB20" s="58"/>
      <c r="BC20" s="15"/>
      <c r="BD20" s="57">
        <f t="shared" si="14"/>
        <v>970000</v>
      </c>
      <c r="BE20" s="82"/>
      <c r="BF20" s="29">
        <f t="shared" si="5"/>
        <v>30000</v>
      </c>
      <c r="BG20" s="29">
        <v>3</v>
      </c>
      <c r="BH20" s="15"/>
      <c r="BI20" s="15"/>
      <c r="BJ20" s="15"/>
      <c r="BK20" s="15"/>
      <c r="BL20" s="61"/>
      <c r="BQ20" s="6"/>
      <c r="BR20" s="9">
        <f>VLOOKUP(A20,[12]HISTOBQUEDEC24!$A$6:$K$46,11,0)</f>
        <v>0</v>
      </c>
      <c r="BS20" s="9">
        <f t="shared" si="15"/>
        <v>0</v>
      </c>
    </row>
    <row r="21" spans="1:71" ht="18.5" x14ac:dyDescent="0.45">
      <c r="A21" s="1" t="s">
        <v>26</v>
      </c>
      <c r="B21" s="1" t="str">
        <f>VLOOKUP(A21,[11]LISTADHERENT!A$5:H$50,3,0)</f>
        <v>NANGUEN MARTIN</v>
      </c>
      <c r="C21" s="5">
        <f t="shared" si="6"/>
        <v>-283500</v>
      </c>
      <c r="D21" s="9">
        <f>VLOOKUP(A21,[12]HISTOBQUEDEC24!$A$6:$K$46,3,0)+BS21</f>
        <v>0</v>
      </c>
      <c r="E21" s="9">
        <f>VLOOKUP(A21,[12]HISTOBQUEDEC24!$A$6:$G$41,4,0)</f>
        <v>66500</v>
      </c>
      <c r="F21" s="9">
        <f>VLOOKUP(A21,[12]HISTOBQUEDEC24!$A$6:$G$41,5,0)</f>
        <v>0</v>
      </c>
      <c r="G21" s="5">
        <v>0</v>
      </c>
      <c r="H21" s="10" t="str">
        <f t="shared" si="0"/>
        <v>ESPECES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VLOOKUP(A21,[13]TONTDEC24!$A$6:$R$39,12,0)</f>
        <v>0</v>
      </c>
      <c r="Q21" s="2">
        <f>IFERROR(VLOOKUP(A21,[14]TONTDEC24!$A$7:$P$23,10,0),0)</f>
        <v>0</v>
      </c>
      <c r="R21" s="2">
        <f>IFERROR(VLOOKUP(A21,[15]TONTDEC24!$A$7:$P$20,10,0),0)</f>
        <v>0</v>
      </c>
      <c r="S21" s="20">
        <f>296500+3500</f>
        <v>300000</v>
      </c>
      <c r="T21" s="12"/>
      <c r="U21" s="17">
        <f t="shared" si="8"/>
        <v>350000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Q21" s="6"/>
      <c r="BR21" s="9">
        <f>VLOOKUP(A21,[12]HISTOBQUEDEC24!$A$6:$K$46,11,0)</f>
        <v>0</v>
      </c>
      <c r="BS21" s="9">
        <f t="shared" si="15"/>
        <v>0</v>
      </c>
    </row>
    <row r="22" spans="1:71" ht="18.5" x14ac:dyDescent="0.45">
      <c r="A22" s="1" t="s">
        <v>27</v>
      </c>
      <c r="B22" s="1" t="str">
        <f>VLOOKUP(A22,[11]LISTADHERENT!A$5:H$50,3,0)</f>
        <v>NANKAM APPOLINAIRE</v>
      </c>
      <c r="C22" s="5">
        <f t="shared" si="6"/>
        <v>-107500</v>
      </c>
      <c r="D22" s="9">
        <f>VLOOKUP(A22,[12]HISTOBQUEDEC24!$A$6:$K$46,3,0)+BS22</f>
        <v>125000</v>
      </c>
      <c r="E22" s="9">
        <f>VLOOKUP(A22,[12]HISTOBQUEDEC24!$A$6:$G$41,4,0)</f>
        <v>0</v>
      </c>
      <c r="F22" s="9">
        <f>VLOOKUP(A22,[12]HISTOBQUEDEC24!$A$6:$G$41,5,0)</f>
        <v>0</v>
      </c>
      <c r="G22" s="5"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VLOOKUP(A22,[13]TONTDEC24!$A$6:$R$39,12,0)</f>
        <v>0</v>
      </c>
      <c r="Q22" s="2">
        <f>IFERROR(VLOOKUP(A22,[14]TONTDEC24!$A$7:$P$23,10,0),0)</f>
        <v>0</v>
      </c>
      <c r="R22" s="2">
        <f>IFERROR(VLOOKUP(A22,[15]TONTDEC24!$A$7:$P$20,10,0),0)</f>
        <v>0</v>
      </c>
      <c r="S22" s="20">
        <v>107500</v>
      </c>
      <c r="T22" s="12"/>
      <c r="U22" s="17">
        <f t="shared" si="8"/>
        <v>232500</v>
      </c>
      <c r="V22" s="12"/>
      <c r="W22" s="12"/>
      <c r="X22" s="12"/>
      <c r="Y22" s="12"/>
      <c r="Z22" s="12">
        <v>900000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792000</v>
      </c>
      <c r="BA22" s="58"/>
      <c r="BB22" s="58"/>
      <c r="BC22" s="15"/>
      <c r="BD22" s="57">
        <f t="shared" si="14"/>
        <v>792000</v>
      </c>
      <c r="BE22" s="82"/>
      <c r="BF22" s="29">
        <f t="shared" si="5"/>
        <v>108000</v>
      </c>
      <c r="BG22" s="29">
        <v>12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  <c r="BR22" s="9">
        <f>VLOOKUP(A22,[12]HISTOBQUEDEC24!$A$6:$K$46,11,0)</f>
        <v>0</v>
      </c>
      <c r="BS22" s="9">
        <f t="shared" si="15"/>
        <v>0</v>
      </c>
    </row>
    <row r="23" spans="1:71" ht="18.5" x14ac:dyDescent="0.45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VLOOKUP(A23,[12]HISTOBQUEDEC24!$A$6:$K$46,3,0)+BS23</f>
        <v>1164000</v>
      </c>
      <c r="E23" s="9">
        <f>VLOOKUP(A23,[12]HISTOBQUEDEC24!$A$6:$G$41,4,0)</f>
        <v>0</v>
      </c>
      <c r="F23" s="9">
        <f>VLOOKUP(A23,[12]HISTOBQUEDEC24!$A$6:$G$41,5,0)</f>
        <v>0</v>
      </c>
      <c r="G23" s="5"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VLOOKUP(A23,[13]TONTDEC24!$A$6:$R$39,12,0)</f>
        <v>0</v>
      </c>
      <c r="Q23" s="2">
        <f>IFERROR(VLOOKUP(A23,[14]TONTDEC24!$A$7:$P$23,10,0),0)</f>
        <v>0</v>
      </c>
      <c r="R23" s="2">
        <f>IFERROR(VLOOKUP(A23,[15]TONTDEC24!$A$7:$P$20,10,0),0)</f>
        <v>404000</v>
      </c>
      <c r="S23" s="20">
        <v>500000</v>
      </c>
      <c r="T23" s="12"/>
      <c r="U23" s="17">
        <f t="shared" si="8"/>
        <v>1164000</v>
      </c>
      <c r="V23" s="12"/>
      <c r="W23" s="12"/>
      <c r="X23" s="12"/>
      <c r="Y23" s="12"/>
      <c r="Z23" s="12">
        <v>500000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470000</v>
      </c>
      <c r="BA23" s="58"/>
      <c r="BB23" s="58"/>
      <c r="BC23" s="15"/>
      <c r="BD23" s="57">
        <f t="shared" si="14"/>
        <v>470000</v>
      </c>
      <c r="BE23" s="82"/>
      <c r="BF23" s="29">
        <f t="shared" si="5"/>
        <v>30000</v>
      </c>
      <c r="BG23" s="29">
        <v>6</v>
      </c>
      <c r="BH23" s="15"/>
      <c r="BI23" s="15"/>
      <c r="BJ23" s="15"/>
      <c r="BK23" s="15"/>
      <c r="BL23" s="61"/>
      <c r="BR23" s="9">
        <f>VLOOKUP(A23,[12]HISTOBQUEDEC24!$A$6:$K$46,11,0)</f>
        <v>904000</v>
      </c>
      <c r="BS23" s="9">
        <f t="shared" si="15"/>
        <v>904000</v>
      </c>
    </row>
    <row r="24" spans="1:71" ht="18.5" x14ac:dyDescent="0.45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VLOOKUP(A24,[12]HISTOBQUEDEC24!$A$6:$K$46,3,0)+BS24+217000</f>
        <v>442000</v>
      </c>
      <c r="E24" s="9">
        <f>VLOOKUP(A24,[12]HISTOBQUEDEC24!$A$6:$G$41,4,0)</f>
        <v>500000</v>
      </c>
      <c r="F24" s="9">
        <f>VLOOKUP(A24,[12]HISTOBQUEDEC24!$A$6:$G$41,5,0)</f>
        <v>0</v>
      </c>
      <c r="G24" s="5">
        <v>0</v>
      </c>
      <c r="H24" s="10" t="str">
        <f t="shared" si="0"/>
        <v>BANQUE</v>
      </c>
      <c r="I24" s="10">
        <v>13000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VLOOKUP(A24,[13]TONTDEC24!$A$6:$R$39,12,0)</f>
        <v>0</v>
      </c>
      <c r="Q24" s="2">
        <f>IFERROR(VLOOKUP(A24,[14]TONTDEC24!$A$7:$P$23,10,0),0)</f>
        <v>0</v>
      </c>
      <c r="R24" s="2">
        <f>IFERROR(VLOOKUP(A24,[15]TONTDEC24!$A$7:$P$20,10,0),0)</f>
        <v>204000</v>
      </c>
      <c r="S24" s="20">
        <v>500000</v>
      </c>
      <c r="T24" s="12"/>
      <c r="U24" s="17">
        <f t="shared" si="8"/>
        <v>942000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9"/>
        <v>38000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3"/>
        <v>0</v>
      </c>
      <c r="BA24" s="58"/>
      <c r="BB24" s="58"/>
      <c r="BC24" s="15"/>
      <c r="BD24" s="57">
        <f t="shared" si="14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  <c r="BR24" s="9">
        <f>VLOOKUP(A24,[12]HISTOBQUEDEC24!$A$6:$K$46,11,0)</f>
        <v>0</v>
      </c>
      <c r="BS24" s="9">
        <f t="shared" si="15"/>
        <v>0</v>
      </c>
    </row>
    <row r="25" spans="1:71" ht="18.5" x14ac:dyDescent="0.45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VLOOKUP(A25,[12]HISTOBQUEDEC24!$A$6:$K$46,3,0)+BS25</f>
        <v>375000</v>
      </c>
      <c r="E25" s="9">
        <f>VLOOKUP(A25,[12]HISTOBQUEDEC24!$A$6:$G$41,4,0)</f>
        <v>0</v>
      </c>
      <c r="F25" s="9">
        <f>VLOOKUP(A25,[12]HISTOBQUEDEC24!$A$6:$G$41,5,0)</f>
        <v>0</v>
      </c>
      <c r="G25" s="5">
        <v>0</v>
      </c>
      <c r="H25" s="10" t="str">
        <f t="shared" si="0"/>
        <v>BANQUE</v>
      </c>
      <c r="I25" s="10"/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VLOOKUP(A25,[13]TONTDEC24!$A$6:$R$39,12,0)</f>
        <v>0</v>
      </c>
      <c r="Q25" s="2">
        <f>IFERROR(VLOOKUP(A25,[14]TONTDEC24!$A$7:$P$23,10,0),0)</f>
        <v>0</v>
      </c>
      <c r="R25" s="2">
        <f>IFERROR(VLOOKUP(A25,[15]TONTDEC24!$A$7:$P$20,10,0),0)</f>
        <v>0</v>
      </c>
      <c r="S25" s="20"/>
      <c r="T25" s="12"/>
      <c r="U25" s="17">
        <f t="shared" si="8"/>
        <v>375000</v>
      </c>
      <c r="V25" s="12"/>
      <c r="W25" s="12"/>
      <c r="X25" s="12"/>
      <c r="Y25" s="12"/>
      <c r="Z25" s="12">
        <v>1000000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E25" s="82"/>
      <c r="BF25" s="29">
        <f t="shared" si="5"/>
        <v>120000</v>
      </c>
      <c r="BG25" s="29">
        <v>12</v>
      </c>
      <c r="BH25" s="15"/>
      <c r="BI25" s="15"/>
      <c r="BJ25" s="15"/>
      <c r="BK25" s="15"/>
      <c r="BL25" s="61"/>
      <c r="BO25" t="s">
        <v>125</v>
      </c>
      <c r="BP25" t="s">
        <v>143</v>
      </c>
      <c r="BR25" s="9">
        <f>VLOOKUP(A25,[12]HISTOBQUEDEC24!$A$6:$K$46,11,0)</f>
        <v>0</v>
      </c>
      <c r="BS25" s="9">
        <f t="shared" si="15"/>
        <v>0</v>
      </c>
    </row>
    <row r="26" spans="1:71" ht="18.5" x14ac:dyDescent="0.45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VLOOKUP(A26,[12]HISTOBQUEDEC24!$A$6:$K$46,3,0)+BS26</f>
        <v>0</v>
      </c>
      <c r="E26" s="9">
        <f>VLOOKUP(A26,[12]HISTOBQUEDEC24!$A$6:$G$41,4,0)</f>
        <v>1050000</v>
      </c>
      <c r="F26" s="9">
        <f>VLOOKUP(A26,[12]HISTOBQUEDEC24!$A$6:$G$41,5,0)</f>
        <v>0</v>
      </c>
      <c r="G26" s="5">
        <v>0</v>
      </c>
      <c r="H26" s="10" t="str">
        <f t="shared" si="0"/>
        <v>ESPECES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VLOOKUP(A26,[13]TONTDEC24!$A$6:$R$39,12,0)</f>
        <v>0</v>
      </c>
      <c r="Q26" s="2">
        <f>IFERROR(VLOOKUP(A26,[14]TONTDEC24!$A$7:$P$23,10,0),0)</f>
        <v>0</v>
      </c>
      <c r="R26" s="2">
        <f>IFERROR(VLOOKUP(A26,[15]TONTDEC24!$A$7:$P$20,10,0),0)</f>
        <v>0</v>
      </c>
      <c r="S26" s="20">
        <v>1000000</v>
      </c>
      <c r="T26" s="12"/>
      <c r="U26" s="17">
        <f t="shared" si="8"/>
        <v>1050000</v>
      </c>
      <c r="V26" s="12"/>
      <c r="W26" s="12"/>
      <c r="X26" s="12"/>
      <c r="Y26" s="12"/>
      <c r="Z26" s="12">
        <v>1000000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970000</v>
      </c>
      <c r="BA26" s="58"/>
      <c r="BB26" s="58"/>
      <c r="BC26" s="15"/>
      <c r="BD26" s="57">
        <f t="shared" si="14"/>
        <v>970000</v>
      </c>
      <c r="BE26" s="82"/>
      <c r="BF26" s="29">
        <f t="shared" si="5"/>
        <v>30000</v>
      </c>
      <c r="BG26" s="29">
        <v>3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  <c r="BR26" s="9">
        <f>VLOOKUP(A26,[12]HISTOBQUEDEC24!$A$6:$K$46,11,0)</f>
        <v>0</v>
      </c>
      <c r="BS26" s="9">
        <f t="shared" si="15"/>
        <v>0</v>
      </c>
    </row>
    <row r="27" spans="1:71" ht="18.5" x14ac:dyDescent="0.45">
      <c r="A27" s="1" t="s">
        <v>158</v>
      </c>
      <c r="B27" s="1" t="str">
        <f>VLOOKUP(A27,[11]LISTADHERENT!A$5:H$50,3,0)</f>
        <v>NOUBE ETIENNE</v>
      </c>
      <c r="C27" s="5">
        <f t="shared" si="6"/>
        <v>-50000</v>
      </c>
      <c r="D27" s="9">
        <f>VLOOKUP(A27,[12]HISTOBQUEDEC24!$A$6:$K$46,3,0)+BS27</f>
        <v>50000</v>
      </c>
      <c r="E27" s="9">
        <f>VLOOKUP(A27,[12]HISTOBQUEDEC24!$A$6:$G$41,4,0)</f>
        <v>0</v>
      </c>
      <c r="F27" s="9">
        <f>VLOOKUP(A27,[12]HISTOBQUEDEC24!$A$6:$G$41,5,0)</f>
        <v>0</v>
      </c>
      <c r="G27" s="5"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VLOOKUP(A27,[13]TONTDEC24!$A$6:$R$39,12,0)</f>
        <v>0</v>
      </c>
      <c r="Q27" s="2">
        <f>IFERROR(VLOOKUP(A27,[14]TONTDEC24!$A$7:$P$23,10,0),0)</f>
        <v>0</v>
      </c>
      <c r="R27" s="2">
        <f>IFERROR(VLOOKUP(A27,[15]TONTDEC24!$A$7:$P$20,10,0),0)</f>
        <v>0</v>
      </c>
      <c r="S27" s="20">
        <v>50000</v>
      </c>
      <c r="T27" s="12"/>
      <c r="U27" s="17">
        <f t="shared" si="8"/>
        <v>100000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Q27" s="6"/>
      <c r="BR27" s="9">
        <f>VLOOKUP(A27,[12]HISTOBQUEDEC24!$A$6:$K$46,11,0)</f>
        <v>0</v>
      </c>
      <c r="BS27" s="9">
        <f t="shared" si="15"/>
        <v>0</v>
      </c>
    </row>
    <row r="28" spans="1:71" ht="18.5" x14ac:dyDescent="0.45">
      <c r="A28" s="1" t="s">
        <v>34</v>
      </c>
      <c r="B28" s="1" t="str">
        <f>VLOOKUP(A28,[11]LISTADHERENT!A$5:H$50,3,0)</f>
        <v>PATEGO NJOSSU GUSTAVE</v>
      </c>
      <c r="C28" s="5">
        <f t="shared" si="6"/>
        <v>-27000</v>
      </c>
      <c r="D28" s="9">
        <f>VLOOKUP(A28,[12]HISTOBQUEDEC24!$A$6:$K$46,3,0)+BS28</f>
        <v>125000</v>
      </c>
      <c r="E28" s="9">
        <f>VLOOKUP(A28,[12]HISTOBQUEDEC24!$A$6:$G$41,4,0)</f>
        <v>0</v>
      </c>
      <c r="F28" s="9">
        <f>VLOOKUP(A28,[12]HISTOBQUEDEC24!$A$6:$G$41,5,0)</f>
        <v>0</v>
      </c>
      <c r="G28" s="5">
        <v>0</v>
      </c>
      <c r="H28" s="10" t="str">
        <f t="shared" si="0"/>
        <v>BANQUE</v>
      </c>
      <c r="I28" s="10">
        <v>27000</v>
      </c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VLOOKUP(A28,[13]TONTDEC24!$A$6:$R$39,12,0)</f>
        <v>0</v>
      </c>
      <c r="Q28" s="2">
        <f>IFERROR(VLOOKUP(A28,[14]TONTDEC24!$A$7:$P$23,10,0),0)</f>
        <v>0</v>
      </c>
      <c r="R28" s="2">
        <f>IFERROR(VLOOKUP(A28,[15]TONTDEC24!$A$7:$P$20,10,0),0)</f>
        <v>0</v>
      </c>
      <c r="S28" s="20"/>
      <c r="T28" s="12"/>
      <c r="U28" s="17">
        <f t="shared" si="8"/>
        <v>152000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52000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  <c r="BR28" s="9">
        <f>VLOOKUP(A28,[12]HISTOBQUEDEC24!$A$6:$K$46,11,0)</f>
        <v>0</v>
      </c>
      <c r="BS28" s="9">
        <f t="shared" si="15"/>
        <v>0</v>
      </c>
    </row>
    <row r="29" spans="1:71" ht="18.5" x14ac:dyDescent="0.45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VLOOKUP(A29,[12]HISTOBQUEDEC24!$A$6:$K$46,3,0)+BS29</f>
        <v>110000</v>
      </c>
      <c r="E29" s="9">
        <f>VLOOKUP(A29,[12]HISTOBQUEDEC24!$A$6:$G$41,4,0)</f>
        <v>0</v>
      </c>
      <c r="F29" s="9">
        <f>VLOOKUP(A29,[12]HISTOBQUEDEC24!$A$6:$G$41,5,0)</f>
        <v>0</v>
      </c>
      <c r="G29" s="5">
        <v>0</v>
      </c>
      <c r="H29" s="10" t="str">
        <f t="shared" si="0"/>
        <v>BANQUE</v>
      </c>
      <c r="I29" s="10">
        <v>-1000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VLOOKUP(A29,[13]TONTDEC24!$A$6:$R$39,12,0)</f>
        <v>61000</v>
      </c>
      <c r="Q29" s="2">
        <f>IFERROR(VLOOKUP(A29,[14]TONTDEC24!$A$7:$P$23,10,0),0)</f>
        <v>0</v>
      </c>
      <c r="R29" s="2">
        <f>IFERROR(VLOOKUP(A29,[15]TONTDEC24!$A$7:$P$20,10,0),0)</f>
        <v>0</v>
      </c>
      <c r="S29" s="20"/>
      <c r="T29" s="12"/>
      <c r="U29" s="17">
        <f t="shared" si="8"/>
        <v>110000</v>
      </c>
      <c r="V29" s="12"/>
      <c r="W29" s="12"/>
      <c r="X29" s="12"/>
      <c r="Y29" s="12"/>
      <c r="Z29" s="12">
        <v>1000000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24000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880000</v>
      </c>
      <c r="BA29" s="58"/>
      <c r="BB29" s="58"/>
      <c r="BC29" s="15"/>
      <c r="BD29" s="57">
        <f t="shared" si="14"/>
        <v>880000</v>
      </c>
      <c r="BE29" s="82"/>
      <c r="BF29" s="29">
        <f t="shared" si="5"/>
        <v>120000</v>
      </c>
      <c r="BG29" s="29">
        <v>12</v>
      </c>
      <c r="BH29" s="15"/>
      <c r="BI29" s="15"/>
      <c r="BJ29" s="15"/>
      <c r="BK29" s="15"/>
      <c r="BL29" s="61"/>
      <c r="BO29" s="62"/>
      <c r="BQ29" s="6"/>
      <c r="BR29" s="9">
        <f>VLOOKUP(A29,[12]HISTOBQUEDEC24!$A$6:$K$46,11,0)</f>
        <v>60000</v>
      </c>
      <c r="BS29" s="9">
        <f t="shared" si="15"/>
        <v>60000</v>
      </c>
    </row>
    <row r="30" spans="1:71" ht="18.5" x14ac:dyDescent="0.45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VLOOKUP(A30,[12]HISTOBQUEDEC24!$A$6:$K$46,3,0)+BS30+202000</f>
        <v>452000</v>
      </c>
      <c r="E30" s="9">
        <f>VLOOKUP(A30,[12]HISTOBQUEDEC24!$A$6:$G$41,4,0)</f>
        <v>1000000</v>
      </c>
      <c r="F30" s="9">
        <f>VLOOKUP(A30,[12]HISTOBQUEDEC24!$A$6:$G$41,5,0)</f>
        <v>0</v>
      </c>
      <c r="G30" s="5"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VLOOKUP(A30,[13]TONTDEC24!$A$6:$R$39,12,0)</f>
        <v>0</v>
      </c>
      <c r="Q30" s="2">
        <f>IFERROR(VLOOKUP(A30,[14]TONTDEC24!$A$7:$P$23,10,0),0)</f>
        <v>0</v>
      </c>
      <c r="R30" s="2">
        <f>IFERROR(VLOOKUP(A30,[15]TONTDEC24!$A$7:$P$20,10,0),0)</f>
        <v>202000</v>
      </c>
      <c r="S30" s="20">
        <v>1000000</v>
      </c>
      <c r="T30" s="12"/>
      <c r="U30" s="17">
        <f t="shared" si="8"/>
        <v>1452000</v>
      </c>
      <c r="V30" s="12"/>
      <c r="W30" s="12"/>
      <c r="X30" s="12"/>
      <c r="Y30" s="12"/>
      <c r="Z30" s="12">
        <v>1000000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880000</v>
      </c>
      <c r="BA30" s="58"/>
      <c r="BB30" s="58"/>
      <c r="BC30" s="15"/>
      <c r="BD30" s="57">
        <f t="shared" si="14"/>
        <v>880000</v>
      </c>
      <c r="BE30" s="82"/>
      <c r="BF30" s="29">
        <f t="shared" si="5"/>
        <v>120000</v>
      </c>
      <c r="BG30" s="29">
        <v>12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  <c r="BR30" s="9">
        <f>VLOOKUP(A30,[12]HISTOBQUEDEC24!$A$6:$K$46,11,0)</f>
        <v>0</v>
      </c>
      <c r="BS30" s="9">
        <f t="shared" si="15"/>
        <v>0</v>
      </c>
    </row>
    <row r="31" spans="1:71" ht="18.5" x14ac:dyDescent="0.45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VLOOKUP(A31,[12]HISTOBQUEDEC24!$A$6:$K$46,3,0)+BS31</f>
        <v>1150000</v>
      </c>
      <c r="E31" s="9">
        <f>VLOOKUP(A31,[12]HISTOBQUEDEC24!$A$6:$G$41,4,0)</f>
        <v>0</v>
      </c>
      <c r="F31" s="9">
        <f>VLOOKUP(A31,[12]HISTOBQUEDEC24!$A$6:$G$41,5,0)</f>
        <v>0</v>
      </c>
      <c r="G31" s="5"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VLOOKUP(A31,[13]TONTDEC24!$A$6:$R$39,12,0)</f>
        <v>0</v>
      </c>
      <c r="Q31" s="2">
        <f>IFERROR(VLOOKUP(A31,[14]TONTDEC24!$A$7:$P$23,10,0),0)</f>
        <v>0</v>
      </c>
      <c r="R31" s="2">
        <f>IFERROR(VLOOKUP(A31,[15]TONTDEC24!$A$7:$P$20,10,0),0)</f>
        <v>0</v>
      </c>
      <c r="S31" s="20">
        <v>1000000</v>
      </c>
      <c r="T31" s="12"/>
      <c r="U31" s="17">
        <f t="shared" si="8"/>
        <v>1150000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880000</v>
      </c>
      <c r="BA31" s="58"/>
      <c r="BB31" s="58"/>
      <c r="BC31" s="15"/>
      <c r="BD31" s="57">
        <f t="shared" si="14"/>
        <v>880000</v>
      </c>
      <c r="BE31" s="82"/>
      <c r="BF31" s="29">
        <f t="shared" si="5"/>
        <v>120000</v>
      </c>
      <c r="BG31" s="29">
        <v>12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  <c r="BR31" s="9">
        <f>VLOOKUP(A31,[12]HISTOBQUEDEC24!$A$6:$K$46,11,0)</f>
        <v>1000000</v>
      </c>
      <c r="BS31" s="9">
        <f t="shared" si="15"/>
        <v>1000000</v>
      </c>
    </row>
    <row r="32" spans="1:71" ht="18.5" x14ac:dyDescent="0.45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VLOOKUP(A32,[12]HISTOBQUEDEC24!$A$6:$K$46,3,0)+BS32+202000</f>
        <v>327000</v>
      </c>
      <c r="E32" s="9">
        <f>VLOOKUP(A32,[12]HISTOBQUEDEC24!$A$6:$G$41,4,0)</f>
        <v>0</v>
      </c>
      <c r="F32" s="9">
        <f>VLOOKUP(A32,[12]HISTOBQUEDEC24!$A$6:$G$41,5,0)</f>
        <v>0</v>
      </c>
      <c r="G32" s="5"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VLOOKUP(A32,[13]TONTDEC24!$A$6:$R$39,12,0)</f>
        <v>0</v>
      </c>
      <c r="Q32" s="2">
        <f>IFERROR(VLOOKUP(A32,[14]TONTDEC24!$A$7:$P$23,10,0),0)</f>
        <v>202000</v>
      </c>
      <c r="R32" s="2">
        <f>IFERROR(VLOOKUP(A32,[15]TONTDEC24!$A$7:$P$20,10,0),0)</f>
        <v>0</v>
      </c>
      <c r="S32" s="20"/>
      <c r="T32" s="12"/>
      <c r="U32" s="17">
        <f t="shared" si="8"/>
        <v>327000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E32" s="82"/>
      <c r="BF32" s="29">
        <f t="shared" si="5"/>
        <v>120000</v>
      </c>
      <c r="BG32" s="29">
        <v>12</v>
      </c>
      <c r="BH32" s="15"/>
      <c r="BI32" s="15"/>
      <c r="BJ32" s="15"/>
      <c r="BK32" s="15"/>
      <c r="BL32" s="61"/>
      <c r="BO32" t="s">
        <v>203</v>
      </c>
      <c r="BR32" s="9">
        <f>VLOOKUP(A32,[12]HISTOBQUEDEC24!$A$6:$K$46,11,0)</f>
        <v>0</v>
      </c>
      <c r="BS32" s="9">
        <f t="shared" si="15"/>
        <v>0</v>
      </c>
    </row>
    <row r="33" spans="1:71" ht="18.5" x14ac:dyDescent="0.45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VLOOKUP(A33,[12]HISTOBQUEDEC24!$A$6:$K$46,3,0)+BS33</f>
        <v>160000</v>
      </c>
      <c r="E33" s="9">
        <f>VLOOKUP(A33,[12]HISTOBQUEDEC24!$A$6:$G$41,4,0)</f>
        <v>0</v>
      </c>
      <c r="F33" s="9">
        <f>VLOOKUP(A33,[12]HISTOBQUEDEC24!$A$6:$G$41,5,0)</f>
        <v>0</v>
      </c>
      <c r="G33" s="5"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VLOOKUP(A33,[13]TONTDEC24!$A$6:$R$39,12,0)</f>
        <v>0</v>
      </c>
      <c r="Q33" s="2">
        <f>IFERROR(VLOOKUP(A33,[14]TONTDEC24!$A$7:$P$23,10,0),0)</f>
        <v>0</v>
      </c>
      <c r="R33" s="2">
        <f>IFERROR(VLOOKUP(A33,[15]TONTDEC24!$A$7:$P$20,10,0),0)</f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>
        <v>1000000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880000</v>
      </c>
      <c r="BA33" s="58"/>
      <c r="BB33" s="58"/>
      <c r="BC33" s="15"/>
      <c r="BD33" s="57">
        <f t="shared" si="14"/>
        <v>880000</v>
      </c>
      <c r="BE33" s="82"/>
      <c r="BF33" s="29">
        <f t="shared" si="5"/>
        <v>120000</v>
      </c>
      <c r="BG33" s="29">
        <v>12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  <c r="BR33" s="9">
        <f>VLOOKUP(A33,[12]HISTOBQUEDEC24!$A$6:$K$46,11,0)</f>
        <v>10000</v>
      </c>
      <c r="BS33" s="9">
        <f t="shared" si="15"/>
        <v>10000</v>
      </c>
    </row>
    <row r="34" spans="1:71" ht="18.5" x14ac:dyDescent="0.45">
      <c r="A34" s="1" t="s">
        <v>157</v>
      </c>
      <c r="B34" s="1" t="str">
        <f>VLOOKUP(A34,[11]LISTADHERENT!A$5:H$50,3,0)</f>
        <v>TCHOUTOU NANA CLAUDE</v>
      </c>
      <c r="C34" s="5">
        <f t="shared" si="6"/>
        <v>-297500</v>
      </c>
      <c r="D34" s="9">
        <f>VLOOKUP(A34,[12]HISTOBQUEDEC24!$A$6:$K$46,3,0)+BS34</f>
        <v>0</v>
      </c>
      <c r="E34" s="9">
        <f>VLOOKUP(A34,[12]HISTOBQUEDEC24!$A$6:$G$41,4,0)</f>
        <v>50000</v>
      </c>
      <c r="F34" s="9">
        <f>VLOOKUP(A34,[12]HISTOBQUEDEC24!$A$6:$G$41,5,0)</f>
        <v>0</v>
      </c>
      <c r="G34" s="5">
        <v>0</v>
      </c>
      <c r="H34" s="10" t="str">
        <f t="shared" si="0"/>
        <v>ESPECES</v>
      </c>
      <c r="I34" s="10">
        <v>297500</v>
      </c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VLOOKUP(A34,[13]TONTDEC24!$A$6:$R$39,12,0)</f>
        <v>0</v>
      </c>
      <c r="Q34" s="2">
        <f>IFERROR(VLOOKUP(A34,[14]TONTDEC24!$A$7:$P$23,10,0),0)</f>
        <v>0</v>
      </c>
      <c r="R34" s="2">
        <f>IFERROR(VLOOKUP(A34,[15]TONTDEC24!$A$7:$P$20,10,0),0)</f>
        <v>0</v>
      </c>
      <c r="S34" s="20"/>
      <c r="T34" s="12"/>
      <c r="U34" s="17">
        <f t="shared" si="8"/>
        <v>347500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322500</v>
      </c>
      <c r="AT34" s="15"/>
      <c r="AV34" s="15"/>
      <c r="AW34" s="15">
        <f t="shared" si="10"/>
        <v>297500</v>
      </c>
      <c r="AX34" s="15">
        <f t="shared" si="11"/>
        <v>0</v>
      </c>
      <c r="AY34" s="15">
        <f t="shared" si="12"/>
        <v>0</v>
      </c>
      <c r="AZ34" s="16">
        <f t="shared" si="13"/>
        <v>297500</v>
      </c>
      <c r="BA34" s="58"/>
      <c r="BB34" s="58"/>
      <c r="BC34" s="15"/>
      <c r="BD34" s="57">
        <f t="shared" si="14"/>
        <v>297500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  <c r="BR34" s="9">
        <f>VLOOKUP(A34,[12]HISTOBQUEDEC24!$A$6:$K$46,11,0)</f>
        <v>0</v>
      </c>
      <c r="BS34" s="9">
        <f t="shared" si="15"/>
        <v>0</v>
      </c>
    </row>
    <row r="35" spans="1:71" ht="18.5" x14ac:dyDescent="0.45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VLOOKUP(A35,[12]HISTOBQUEDEC24!$A$6:$K$46,3,0)+BS35</f>
        <v>350000</v>
      </c>
      <c r="E35" s="9">
        <f>VLOOKUP(A35,[12]HISTOBQUEDEC24!$A$6:$G$41,4,0)</f>
        <v>0</v>
      </c>
      <c r="F35" s="9">
        <f>VLOOKUP(A35,[12]HISTOBQUEDEC24!$A$6:$G$41,5,0)</f>
        <v>0</v>
      </c>
      <c r="G35" s="5">
        <v>0</v>
      </c>
      <c r="H35" s="10" t="str">
        <f t="shared" si="0"/>
        <v>BANQUE</v>
      </c>
      <c r="I35" s="10"/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VLOOKUP(A35,[13]TONTDEC24!$A$6:$R$39,12,0)</f>
        <v>0</v>
      </c>
      <c r="Q35" s="2">
        <f>IFERROR(VLOOKUP(A35,[14]TONTDEC24!$A$7:$P$23,10,0),0)</f>
        <v>0</v>
      </c>
      <c r="R35" s="2">
        <f>IFERROR(VLOOKUP(A35,[15]TONTDEC24!$A$7:$P$20,10,0),0)</f>
        <v>0</v>
      </c>
      <c r="S35" s="20">
        <v>300000</v>
      </c>
      <c r="T35" s="12"/>
      <c r="U35" s="17">
        <f t="shared" si="8"/>
        <v>350000</v>
      </c>
      <c r="V35" s="12"/>
      <c r="W35" s="12"/>
      <c r="X35" s="12"/>
      <c r="Y35" s="12"/>
      <c r="Z35" s="12">
        <v>1000000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25000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880000</v>
      </c>
      <c r="BA35" s="58"/>
      <c r="BB35" s="58"/>
      <c r="BC35" s="15"/>
      <c r="BD35" s="57">
        <f t="shared" si="14"/>
        <v>880000</v>
      </c>
      <c r="BE35" s="82"/>
      <c r="BF35" s="29">
        <f t="shared" si="5"/>
        <v>120000</v>
      </c>
      <c r="BG35" s="29">
        <v>12</v>
      </c>
      <c r="BH35" s="15"/>
      <c r="BI35" s="15"/>
      <c r="BJ35" s="15"/>
      <c r="BK35" s="15"/>
      <c r="BL35" s="61"/>
      <c r="BR35" s="9">
        <f>VLOOKUP(A35,[12]HISTOBQUEDEC24!$A$6:$K$46,11,0)</f>
        <v>290000</v>
      </c>
      <c r="BS35" s="9">
        <f t="shared" si="15"/>
        <v>290000</v>
      </c>
    </row>
    <row r="36" spans="1:71" ht="18.5" x14ac:dyDescent="0.45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VLOOKUP(A36,[12]HISTOBQUEDEC24!$A$6:$K$46,3,0)+BS36</f>
        <v>0</v>
      </c>
      <c r="E36" s="9">
        <f>VLOOKUP(A36,[12]HISTOBQUEDEC24!$A$6:$G$41,4,0)</f>
        <v>50000</v>
      </c>
      <c r="F36" s="9">
        <f>VLOOKUP(A36,[12]HISTOBQUEDEC24!$A$6:$G$41,5,0)</f>
        <v>0</v>
      </c>
      <c r="G36" s="5">
        <v>0</v>
      </c>
      <c r="H36" s="10" t="str">
        <f t="shared" si="0"/>
        <v>ESPECES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VLOOKUP(A36,[13]TONTDEC24!$A$6:$R$39,12,0)</f>
        <v>0</v>
      </c>
      <c r="Q36" s="2">
        <f>IFERROR(VLOOKUP(A36,[14]TONTDEC24!$A$7:$P$23,10,0),0)</f>
        <v>0</v>
      </c>
      <c r="R36" s="2">
        <f>IFERROR(VLOOKUP(A36,[15]TONTDEC24!$A$7:$P$20,10,0),0)</f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297500</v>
      </c>
      <c r="AX36" s="15">
        <f t="shared" si="11"/>
        <v>0</v>
      </c>
      <c r="AY36" s="15">
        <f t="shared" si="12"/>
        <v>0</v>
      </c>
      <c r="AZ36" s="16">
        <f t="shared" si="13"/>
        <v>297500</v>
      </c>
      <c r="BA36" s="58"/>
      <c r="BB36" s="58"/>
      <c r="BC36" s="15"/>
      <c r="BD36" s="57">
        <f t="shared" si="14"/>
        <v>297500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  <c r="BR36" s="9">
        <f>VLOOKUP(A36,[12]HISTOBQUEDEC24!$A$6:$K$46,11,0)</f>
        <v>0</v>
      </c>
      <c r="BS36" s="9">
        <f t="shared" si="15"/>
        <v>0</v>
      </c>
    </row>
    <row r="37" spans="1:71" ht="18.5" x14ac:dyDescent="0.45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VLOOKUP(A37,[12]HISTOBQUEDEC24!$A$6:$K$46,3,0)+BS37</f>
        <v>0</v>
      </c>
      <c r="E37" s="9">
        <f>VLOOKUP(A37,[12]HISTOBQUEDEC24!$A$6:$G$41,4,0)</f>
        <v>150000</v>
      </c>
      <c r="F37" s="9">
        <f>VLOOKUP(A37,[12]HISTOBQUEDEC24!$A$6:$G$41,5,0)</f>
        <v>0</v>
      </c>
      <c r="G37" s="5">
        <v>0</v>
      </c>
      <c r="H37" s="10" t="str">
        <f t="shared" si="0"/>
        <v>ESPECES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VLOOKUP(A37,[13]TONTDEC24!$A$6:$R$39,12,0)</f>
        <v>0</v>
      </c>
      <c r="Q37" s="2">
        <f>IFERROR(VLOOKUP(A37,[14]TONTDEC24!$A$7:$P$23,10,0),0)</f>
        <v>0</v>
      </c>
      <c r="R37" s="2">
        <f>IFERROR(VLOOKUP(A37,[15]TONTDEC24!$A$7:$P$20,10,0),0)</f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  <c r="BR37" s="9">
        <f>VLOOKUP(A37,[12]HISTOBQUEDEC24!$A$6:$K$46,11,0)</f>
        <v>0</v>
      </c>
      <c r="BS37" s="9">
        <f t="shared" si="15"/>
        <v>0</v>
      </c>
    </row>
    <row r="38" spans="1:71" ht="18.5" x14ac:dyDescent="0.45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VLOOKUP(A38,[12]HISTOBQUEDEC24!$A$6:$K$46,3,0)+BS38</f>
        <v>125000</v>
      </c>
      <c r="E38" s="9">
        <f>VLOOKUP(A38,[12]HISTOBQUEDEC24!$A$6:$G$41,4,0)</f>
        <v>0</v>
      </c>
      <c r="F38" s="9">
        <f>VLOOKUP(A38,[12]HISTOBQUEDEC24!$A$6:$G$41,5,0)</f>
        <v>0</v>
      </c>
      <c r="G38" s="5"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VLOOKUP(A38,[13]TONTDEC24!$A$6:$R$39,12,0)</f>
        <v>0</v>
      </c>
      <c r="Q38" s="2">
        <f>IFERROR(VLOOKUP(A38,[14]TONTDEC24!$A$7:$P$23,10,0),0)</f>
        <v>0</v>
      </c>
      <c r="R38" s="2">
        <f>IFERROR(VLOOKUP(A38,[15]TONTDEC24!$A$7:$P$20,10,0),0)</f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>
        <v>500000</v>
      </c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485000</v>
      </c>
      <c r="BA38" s="58"/>
      <c r="BB38" s="58"/>
      <c r="BC38" s="15"/>
      <c r="BD38" s="57">
        <f t="shared" si="14"/>
        <v>485000</v>
      </c>
      <c r="BE38" s="82"/>
      <c r="BF38" s="29">
        <f t="shared" si="5"/>
        <v>15000</v>
      </c>
      <c r="BG38" s="29">
        <v>3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  <c r="BR38" s="9">
        <f>VLOOKUP(A38,[12]HISTOBQUEDEC24!$A$6:$K$46,11,0)</f>
        <v>0</v>
      </c>
      <c r="BS38" s="9">
        <f t="shared" si="15"/>
        <v>0</v>
      </c>
    </row>
    <row r="39" spans="1:71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71" ht="18.5" x14ac:dyDescent="0.45">
      <c r="B40" s="1" t="s">
        <v>44</v>
      </c>
      <c r="C40" s="5">
        <f t="shared" ref="C40:S40" ca="1" si="16">SUM(C6:C39)</f>
        <v>-1335000</v>
      </c>
      <c r="D40" s="5">
        <f t="shared" si="16"/>
        <v>9103000</v>
      </c>
      <c r="E40" s="5">
        <f t="shared" si="16"/>
        <v>9052000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790500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ca="1" si="16"/>
        <v>315000</v>
      </c>
      <c r="Q40" s="5">
        <f t="shared" si="16"/>
        <v>942500</v>
      </c>
      <c r="R40" s="5">
        <f t="shared" si="16"/>
        <v>2025500</v>
      </c>
      <c r="S40" s="5">
        <f t="shared" si="16"/>
        <v>10817500</v>
      </c>
      <c r="T40" s="5"/>
      <c r="U40" s="5">
        <f t="shared" ref="U40:AA40" ca="1" si="17">SUM(U6:U39)</f>
        <v>19491000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15400000</v>
      </c>
      <c r="AA40" s="5">
        <f t="shared" si="17"/>
        <v>0</v>
      </c>
      <c r="AB40" s="5"/>
      <c r="AC40" s="5">
        <f>SUM(AC6:AC39)</f>
        <v>7500</v>
      </c>
      <c r="AD40" s="5">
        <f>SUM(AD6:AD39)</f>
        <v>7500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1529500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892500</v>
      </c>
      <c r="AX40" s="5">
        <f t="shared" si="18"/>
        <v>892500</v>
      </c>
      <c r="AY40" s="5">
        <f t="shared" si="18"/>
        <v>1190000</v>
      </c>
      <c r="AZ40" s="5">
        <f t="shared" si="18"/>
        <v>16842000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16842000</v>
      </c>
      <c r="BE40" s="5">
        <f t="shared" si="18"/>
        <v>0</v>
      </c>
      <c r="BF40" s="5">
        <f t="shared" si="18"/>
        <v>1533000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71" ht="18.5" x14ac:dyDescent="0.45">
      <c r="AW41" s="15"/>
      <c r="AX41" s="15"/>
      <c r="AY41" s="15"/>
      <c r="AZ41" s="16"/>
    </row>
    <row r="42" spans="1:71" ht="18.5" x14ac:dyDescent="0.45">
      <c r="Z42" s="12"/>
      <c r="AW42" s="15"/>
      <c r="AX42" s="15"/>
      <c r="AY42" s="15"/>
      <c r="AZ42" s="16"/>
      <c r="BA42" s="6"/>
    </row>
    <row r="43" spans="1:71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71" ht="18.5" x14ac:dyDescent="0.45">
      <c r="C44" s="3" t="s">
        <v>8</v>
      </c>
      <c r="D44" s="89"/>
      <c r="E44" s="89"/>
      <c r="F44" s="3" t="s">
        <v>9</v>
      </c>
      <c r="G44" s="89"/>
      <c r="H44" s="89"/>
      <c r="I44" s="89"/>
      <c r="Z44" s="12"/>
      <c r="AI44" s="5"/>
      <c r="AV44" s="3"/>
      <c r="AW44" s="89"/>
      <c r="AX44" s="15"/>
      <c r="AY44" s="15"/>
      <c r="AZ44" s="16"/>
    </row>
    <row r="45" spans="1:71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71" ht="18.5" x14ac:dyDescent="0.45">
      <c r="B46" s="1" t="s">
        <v>78</v>
      </c>
      <c r="AW46" s="15"/>
      <c r="AX46" s="15"/>
      <c r="AY46" s="15"/>
      <c r="AZ46" s="16"/>
    </row>
    <row r="47" spans="1:71" ht="18.5" x14ac:dyDescent="0.45">
      <c r="B47" s="1" t="s">
        <v>79</v>
      </c>
      <c r="C47" s="14">
        <f>AZ40</f>
        <v>16842000</v>
      </c>
      <c r="D47" s="9">
        <f>SUMIFS(D8:D40,H8:H40,"BANQUE")</f>
        <v>8928000</v>
      </c>
      <c r="F47" s="9">
        <f>E40</f>
        <v>9052000</v>
      </c>
      <c r="G47" s="14"/>
      <c r="J47" s="5"/>
      <c r="AW47" s="15"/>
      <c r="AX47" s="15"/>
      <c r="AY47" s="15"/>
      <c r="AZ47" s="16"/>
    </row>
    <row r="48" spans="1:71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31601500</v>
      </c>
    </row>
  </sheetData>
  <autoFilter ref="A5:AF38" xr:uid="{00000000-0009-0000-0000-00000F000000}"/>
  <mergeCells count="1">
    <mergeCell ref="B4:M4"/>
  </mergeCells>
  <dataValidations count="1">
    <dataValidation type="list" allowBlank="1" showInputMessage="1" showErrorMessage="1" sqref="T6:T38 AP6:AP38 AF6:AF38 AA6:AA38" xr:uid="{ED66262E-82F1-43B7-9820-7AA18BF3399B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5" width="14.81640625" customWidth="1"/>
    <col min="66" max="66" width="20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2023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VLOOKUP(A6,[17]HISTOBQUEJANV23!$A$6:$G$44,3,0)</f>
        <v>175000</v>
      </c>
      <c r="E6" s="9">
        <f>VLOOKUP(A6,[17]HISTOBQUEJANV23!$A$6:$G$39,4,0)</f>
        <v>0</v>
      </c>
      <c r="F6" s="9">
        <f>VLOOKUP(A6,[17]HISTOBQUEJANV23!$A$6:$G$39,5,0)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5" x14ac:dyDescent="0.45">
      <c r="A7" s="1" t="s">
        <v>161</v>
      </c>
      <c r="B7" s="1" t="str">
        <f>VLOOKUP(A7,[16]LISTADHERENT!A$5:H$39,3,0)</f>
        <v>BAKOP ACHILLE</v>
      </c>
      <c r="C7" s="9">
        <f t="shared" si="0"/>
        <v>0</v>
      </c>
      <c r="D7" s="9">
        <f>VLOOKUP(A7,[17]HISTOBQUEJANV23!$A$6:$G$44,3,0)</f>
        <v>0</v>
      </c>
      <c r="E7" s="9">
        <f>VLOOKUP(A7,[17]HISTOBQUEJANV23!$A$6:$G$39,4,0)</f>
        <v>104000</v>
      </c>
      <c r="F7" s="9">
        <f>VLOOKUP(A7,[17]HISTOBQUEJANV23!$A$6:$G$39,5,0)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VLOOKUP(A8,[17]HISTOBQUEJANV23!$A$6:$G$44,3,0)</f>
        <v>105000</v>
      </c>
      <c r="E8" s="9">
        <f>VLOOKUP(A8,[17]HISTOBQUEJANV23!$A$6:$G$39,4,0)</f>
        <v>10000</v>
      </c>
      <c r="F8" s="9">
        <f>VLOOKUP(A8,[17]HISTOBQUEJANV23!$A$6:$G$39,5,0)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VLOOKUP(A8,[18]TONTJANV23!$A$7:$P$20,10,0)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VLOOKUP(A9,[17]HISTOBQUEJANV23!$A$6:$G$44,3,0)</f>
        <v>160000</v>
      </c>
      <c r="E9" s="9">
        <f>VLOOKUP(A9,[17]HISTOBQUEJANV23!$A$6:$G$39,4,0)</f>
        <v>0</v>
      </c>
      <c r="F9" s="9">
        <f>VLOOKUP(A9,[17]HISTOBQUEJANV23!$A$6:$G$39,5,0)+140000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VLOOKUP(A10,[17]HISTOBQUEJANV23!$A$6:$G$44,3,0)</f>
        <v>40000</v>
      </c>
      <c r="E10" s="9">
        <f>VLOOKUP(A10,[17]HISTOBQUEJANV23!$A$6:$G$39,4,0)</f>
        <v>0</v>
      </c>
      <c r="F10" s="9">
        <f>VLOOKUP(A10,[17]HISTOBQUEJANV23!$A$6:$G$39,5,0)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VLOOKUP(A11,[17]HISTOBQUEJANV23!$A$6:$G$44,3,0)</f>
        <v>115000</v>
      </c>
      <c r="E11" s="9">
        <f>VLOOKUP(A11,[17]HISTOBQUEJANV23!$A$6:$G$39,4,0)</f>
        <v>0</v>
      </c>
      <c r="F11" s="9">
        <f>VLOOKUP(A11,[17]HISTOBQUEJANV23!$A$6:$G$39,5,0)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VLOOKUP(A11,[18]TONTJANV23!$A$7:$P$20,10,0)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VLOOKUP(A12,[17]HISTOBQUEJANV23!$A$6:$G$44,3,0)</f>
        <v>320000</v>
      </c>
      <c r="E12" s="9">
        <f>VLOOKUP(A12,[17]HISTOBQUEJANV23!$A$6:$G$39,4,0)</f>
        <v>0</v>
      </c>
      <c r="F12" s="9">
        <f>VLOOKUP(A12,[17]HISTOBQUEJANV23!$A$6:$G$39,5,0)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VLOOKUP(A12,[18]TONTJANV23!$A$7:$P$20,10,0)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VLOOKUP(A13,[17]HISTOBQUEJANV23!$A$6:$G$44,3,0)</f>
        <v>40000</v>
      </c>
      <c r="E13" s="9">
        <f>VLOOKUP(A13,[17]HISTOBQUEJANV23!$A$6:$G$39,4,0)</f>
        <v>0</v>
      </c>
      <c r="F13" s="9">
        <f>VLOOKUP(A13,[17]HISTOBQUEJANV23!$A$6:$G$39,5,0)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VLOOKUP(A14,[17]HISTOBQUEJANV23!$A$6:$G$44,3,0)</f>
        <v>40000</v>
      </c>
      <c r="E14" s="9">
        <f>VLOOKUP(A14,[17]HISTOBQUEJANV23!$A$6:$G$39,4,0)</f>
        <v>0</v>
      </c>
      <c r="F14" s="9">
        <f>VLOOKUP(A14,[17]HISTOBQUEJANV23!$A$6:$G$39,5,0)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VLOOKUP(A15,[17]HISTOBQUEJANV23!$A$6:$G$44,3,0)</f>
        <v>115000</v>
      </c>
      <c r="E15" s="9">
        <f>VLOOKUP(A15,[17]HISTOBQUEJANV23!$A$6:$G$39,4,0)</f>
        <v>0</v>
      </c>
      <c r="F15" s="9">
        <f>VLOOKUP(A15,[17]HISTOBQUEJANV23!$A$6:$G$39,5,0)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VLOOKUP(A15,[18]TONTJANV23!$A$7:$P$20,10,0)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VLOOKUP(A16,[17]HISTOBQUEJANV23!$A$6:$G$44,3,0)</f>
        <v>250000</v>
      </c>
      <c r="E16" s="9">
        <f>VLOOKUP(A16,[17]HISTOBQUEJANV23!$A$6:$G$39,4,0)</f>
        <v>0</v>
      </c>
      <c r="F16" s="9">
        <f>VLOOKUP(A16,[17]HISTOBQUEJANV23!$A$6:$G$39,5,0)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VLOOKUP(A16,[18]TONTJANV23!$A$7:$P$20,10,0)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VLOOKUP(A17,[17]HISTOBQUEJANV23!$A$6:$G$44,3,0)</f>
        <v>140000</v>
      </c>
      <c r="E17" s="9">
        <f>VLOOKUP(A17,[17]HISTOBQUEJANV23!$A$6:$G$39,4,0)</f>
        <v>0</v>
      </c>
      <c r="F17" s="9">
        <f>VLOOKUP(A17,[17]HISTOBQUEJANV23!$A$6:$G$39,5,0)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VLOOKUP(A18,[17]HISTOBQUEJANV23!$A$6:$G$44,3,0)</f>
        <v>180000</v>
      </c>
      <c r="E18" s="9">
        <f>VLOOKUP(A18,[17]HISTOBQUEJANV23!$A$6:$G$39,4,0)</f>
        <v>35000</v>
      </c>
      <c r="F18" s="9">
        <f>VLOOKUP(A18,[17]HISTOBQUEJANV23!$A$6:$G$39,5,0)+70000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VLOOKUP(A18,[18]TONTJANV23!$A$7:$P$20,10,0)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VLOOKUP(A19,[17]HISTOBQUEJANV23!$A$6:$G$44,3,0)</f>
        <v>40000</v>
      </c>
      <c r="E19" s="9">
        <f>VLOOKUP(A19,[17]HISTOBQUEJANV23!$A$6:$G$39,4,0)</f>
        <v>0</v>
      </c>
      <c r="F19" s="9">
        <f>VLOOKUP(A19,[17]HISTOBQUEJANV23!$A$6:$G$39,5,0)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VLOOKUP(A20,[17]HISTOBQUEJANV23!$A$6:$G$44,3,0)</f>
        <v>215000</v>
      </c>
      <c r="E20" s="9">
        <f>VLOOKUP(A20,[17]HISTOBQUEJANV23!$A$6:$G$39,4,0)</f>
        <v>0</v>
      </c>
      <c r="F20" s="9">
        <f>VLOOKUP(A20,[17]HISTOBQUEJANV23!$A$6:$G$39,5,0)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VLOOKUP(A20,[18]TONTJANV23!$A$7:$P$20,10,0)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VLOOKUP(A21,[17]HISTOBQUEJANV23!$A$6:$G$44,3,0)</f>
        <v>40000</v>
      </c>
      <c r="E21" s="9">
        <f>VLOOKUP(A21,[17]HISTOBQUEJANV23!$A$6:$G$39,4,0)</f>
        <v>0</v>
      </c>
      <c r="F21" s="9">
        <f>VLOOKUP(A21,[17]HISTOBQUEJANV23!$A$6:$G$39,5,0)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VLOOKUP(A22,[17]HISTOBQUEJANV23!$A$6:$G$44,3,0)</f>
        <v>115000</v>
      </c>
      <c r="E22" s="9">
        <f>VLOOKUP(A22,[17]HISTOBQUEJANV23!$A$6:$G$39,4,0)</f>
        <v>0</v>
      </c>
      <c r="F22" s="9">
        <f>VLOOKUP(A22,[17]HISTOBQUEJANV23!$A$6:$G$39,5,0)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VLOOKUP(A22,[18]TONTJANV23!$A$7:$P$20,10,0)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VLOOKUP(A23,[17]HISTOBQUEJANV23!$A$6:$G$44,3,0)</f>
        <v>250000</v>
      </c>
      <c r="E23" s="9">
        <f>VLOOKUP(A23,[17]HISTOBQUEJANV23!$A$6:$G$39,4,0)</f>
        <v>0</v>
      </c>
      <c r="F23" s="9">
        <f>VLOOKUP(A23,[17]HISTOBQUEJANV23!$A$6:$G$39,5,0)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VLOOKUP(A24,[17]HISTOBQUEJANV23!$A$6:$G$44,3,0)</f>
        <v>210000</v>
      </c>
      <c r="E24" s="9">
        <f>VLOOKUP(A24,[17]HISTOBQUEJANV23!$A$6:$G$39,4,0)</f>
        <v>5000</v>
      </c>
      <c r="F24" s="9">
        <f>VLOOKUP(A24,[17]HISTOBQUEJANV23!$A$6:$G$39,5,0)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VLOOKUP(A24,[18]TONTJANV23!$A$7:$P$20,10,0)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VLOOKUP(A25,[17]HISTOBQUEJANV23!$A$6:$G$44,3,0)</f>
        <v>280000</v>
      </c>
      <c r="E25" s="9">
        <f>VLOOKUP(A25,[17]HISTOBQUEJANV23!$A$6:$G$39,4,0)</f>
        <v>10000</v>
      </c>
      <c r="F25" s="9">
        <f>VLOOKUP(A25,[17]HISTOBQUEJANV23!$A$6:$G$39,5,0)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VLOOKUP(A25,[18]TONTJANV23!$A$7:$P$20,10,0)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VLOOKUP(A26,[17]HISTOBQUEJANV23!$A$6:$G$44,3,0)</f>
        <v>0</v>
      </c>
      <c r="E26" s="9">
        <f>VLOOKUP(A26,[17]HISTOBQUEJANV23!$A$6:$G$39,4,0)</f>
        <v>40000</v>
      </c>
      <c r="F26" s="9">
        <f>VLOOKUP(A26,[17]HISTOBQUEJANV23!$A$6:$G$39,5,0)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VLOOKUP(A27,[17]HISTOBQUEJANV23!$A$6:$G$44,3,0)</f>
        <v>0</v>
      </c>
      <c r="E27" s="9">
        <f>VLOOKUP(A27,[17]HISTOBQUEJANV23!$A$6:$G$39,4,0)</f>
        <v>65000</v>
      </c>
      <c r="F27" s="9">
        <f>VLOOKUP(A27,[17]HISTOBQUEJANV23!$A$6:$G$39,5,0)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VLOOKUP(A28,[17]HISTOBQUEJANV23!$A$6:$G$44,3,0)</f>
        <v>115000</v>
      </c>
      <c r="E28" s="9">
        <f>VLOOKUP(A28,[17]HISTOBQUEJANV23!$A$6:$G$39,4,0)</f>
        <v>0</v>
      </c>
      <c r="F28" s="9">
        <f>VLOOKUP(A28,[17]HISTOBQUEJANV23!$A$6:$G$39,5,0)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VLOOKUP(A28,[18]TONTJANV23!$A$7:$P$20,10,0)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VLOOKUP(A29,[17]HISTOBQUEJANV23!$A$6:$G$44,3,0)</f>
        <v>0</v>
      </c>
      <c r="E29" s="9">
        <f>VLOOKUP(A29,[17]HISTOBQUEJANV23!$A$6:$G$39,4,0)</f>
        <v>65000</v>
      </c>
      <c r="F29" s="9">
        <f>VLOOKUP(A29,[17]HISTOBQUEJANV23!$A$6:$G$39,5,0)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VLOOKUP(A30,[17]HISTOBQUEJANV23!$A$6:$G$44,3,0)</f>
        <v>0</v>
      </c>
      <c r="E30" s="9">
        <f>VLOOKUP(A30,[17]HISTOBQUEJANV23!$A$6:$G$39,4,0)</f>
        <v>115000</v>
      </c>
      <c r="F30" s="9">
        <f>VLOOKUP(A30,[17]HISTOBQUEJANV23!$A$6:$G$39,5,0)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VLOOKUP(A30,[18]TONTJANV23!$A$7:$P$20,10,0)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VLOOKUP(A31,[17]HISTOBQUEJANV23!$A$6:$G$44,3,0)</f>
        <v>250000</v>
      </c>
      <c r="E31" s="9">
        <f>VLOOKUP(A31,[17]HISTOBQUEJANV23!$A$6:$G$39,4,0)</f>
        <v>0</v>
      </c>
      <c r="F31" s="9">
        <f>VLOOKUP(A31,[17]HISTOBQUEJANV23!$A$6:$G$39,5,0)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VLOOKUP(A32,[17]HISTOBQUEJANV23!$A$6:$G$44,3,0)</f>
        <v>115000</v>
      </c>
      <c r="E32" s="9">
        <f>VLOOKUP(A32,[17]HISTOBQUEJANV23!$A$6:$G$39,4,0)</f>
        <v>0</v>
      </c>
      <c r="F32" s="9">
        <f>VLOOKUP(A32,[17]HISTOBQUEJANV23!$A$6:$G$39,5,0)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VLOOKUP(A33,[17]HISTOBQUEJANV23!$A$6:$G$44,3,0)</f>
        <v>0</v>
      </c>
      <c r="E33" s="9">
        <f>VLOOKUP(A33,[17]HISTOBQUEJANV23!$A$6:$G$39,4,0)</f>
        <v>40000</v>
      </c>
      <c r="F33" s="9">
        <f>VLOOKUP(A33,[17]HISTOBQUEJANV23!$A$6:$G$39,5,0)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69">
        <f t="shared" si="0"/>
        <v>35000</v>
      </c>
      <c r="D34" s="9">
        <f>VLOOKUP(A34,[17]HISTOBQUEJANV23!$A$6:$G$44,3,0)</f>
        <v>0</v>
      </c>
      <c r="E34" s="9">
        <f>VLOOKUP(A34,[17]HISTOBQUEJANV23!$A$6:$G$39,4,0)</f>
        <v>100000</v>
      </c>
      <c r="F34" s="9">
        <f>VLOOKUP(A34,[17]HISTOBQUEJANV23!$A$6:$G$39,5,0)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VLOOKUP(A35,[17]HISTOBQUEJANV23!$A$6:$G$44,3,0)</f>
        <v>40000</v>
      </c>
      <c r="E35" s="9">
        <f>VLOOKUP(A35,[17]HISTOBQUEJANV23!$A$6:$G$39,4,0)</f>
        <v>0</v>
      </c>
      <c r="F35" s="9">
        <f>VLOOKUP(A35,[17]HISTOBQUEJANV23!$A$6:$G$39,5,0)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VLOOKUP(A36,[17]HISTOBQUEJANV23!$A$6:$G$44,3,0)</f>
        <v>290000</v>
      </c>
      <c r="E36" s="9">
        <f>VLOOKUP(A36,[17]HISTOBQUEJANV23!$A$6:$G$39,4,0)</f>
        <v>0</v>
      </c>
      <c r="F36" s="9">
        <f>VLOOKUP(A36,[17]HISTOBQUEJANV23!$A$6:$G$39,5,0)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VLOOKUP(A36,[18]TONTJANV23!$A$7:$P$20,10,0)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5" x14ac:dyDescent="0.45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5" x14ac:dyDescent="0.45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5" x14ac:dyDescent="0.45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5" x14ac:dyDescent="0.45">
      <c r="B44" s="1" t="s">
        <v>78</v>
      </c>
      <c r="AW44" s="15"/>
      <c r="AX44" s="15"/>
      <c r="AY44" s="15"/>
      <c r="AZ44" s="16"/>
    </row>
    <row r="45" spans="1:68" ht="18.5" x14ac:dyDescent="0.45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3" spans="49:52" ht="17.5" x14ac:dyDescent="0.35">
      <c r="AW83" s="5"/>
      <c r="AX83" s="5"/>
      <c r="AY83" s="5"/>
      <c r="AZ83" s="5">
        <f>SUM(AZ8:AZ82)</f>
        <v>15710000</v>
      </c>
    </row>
  </sheetData>
  <autoFilter ref="A5:AF36" xr:uid="{00000000-0009-0000-0000-000011000000}"/>
  <mergeCells count="1">
    <mergeCell ref="B4:M4"/>
  </mergeCells>
  <dataValidations count="1">
    <dataValidation type="list" allowBlank="1" showInputMessage="1" showErrorMessage="1" sqref="T6:T36 AP6:AP36 AF6:AF36 AA6:AA36" xr:uid="{00000000-0002-0000-11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7.7265625" customWidth="1"/>
    <col min="58" max="58" width="15" bestFit="1" customWidth="1"/>
    <col min="62" max="62" width="15" bestFit="1" customWidth="1"/>
    <col min="64" max="64" width="12.453125" bestFit="1" customWidth="1"/>
    <col min="65" max="65" width="14.81640625" customWidth="1"/>
    <col min="66" max="66" width="27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VLOOKUP(A6,[17]HISTOBQUEFEV23!$A$6:$G$44,3,0)</f>
        <v>175000</v>
      </c>
      <c r="E6" s="9">
        <f>VLOOKUP(A6,[17]HISTOBQUEFEV23!$A$6:$G$39,4,0)</f>
        <v>0</v>
      </c>
      <c r="F6" s="9">
        <f>VLOOKUP(A6,[17]HISTOBQUEFEV23!$A$6:$G$39,5,0)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VLOOKUP(A7,[17]HISTOBQUEFEV23!$A$6:$G$44,3,0)</f>
        <v>0</v>
      </c>
      <c r="E7" s="9">
        <f>VLOOKUP(A7,[17]HISTOBQUEFEV23!$A$6:$G$39,4,0)</f>
        <v>40000</v>
      </c>
      <c r="F7" s="9">
        <f>VLOOKUP(A7,[17]HISTOBQUEFEV23!$A$6:$G$39,5,0)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VLOOKUP(A8,[17]HISTOBQUEFEV23!$A$6:$G$44,3,0)</f>
        <v>615000</v>
      </c>
      <c r="E8" s="9">
        <f>VLOOKUP(A8,[17]HISTOBQUEFEV23!$A$6:$G$39,4,0)</f>
        <v>0</v>
      </c>
      <c r="F8" s="9">
        <f>VLOOKUP(A8,[17]HISTOBQUEFEV23!$A$6:$G$39,5,0)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VLOOKUP($A8,[18]TONTFEV23!$A$7:$P$20,10,0)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VLOOKUP(A9,[17]HISTOBQUEFEV23!$A$6:$G$44,3,0)</f>
        <v>120000</v>
      </c>
      <c r="E9" s="9">
        <f>VLOOKUP(A9,[17]HISTOBQUEFEV23!$A$6:$G$39,4,0)</f>
        <v>80000</v>
      </c>
      <c r="F9" s="9">
        <f>VLOOKUP(A9,[17]HISTOBQUEFEV23!$A$6:$G$39,5,0)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VLOOKUP(A10,[17]HISTOBQUEFEV23!$A$6:$G$44,3,0)</f>
        <v>103000</v>
      </c>
      <c r="E10" s="9">
        <f>VLOOKUP(A10,[17]HISTOBQUEFEV23!$A$6:$G$39,4,0)</f>
        <v>0</v>
      </c>
      <c r="F10" s="9">
        <f>VLOOKUP(A10,[17]HISTOBQUEFEV23!$A$6:$G$39,5,0)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VLOOKUP(A11,[17]HISTOBQUEFEV23!$A$6:$G$44,3,0)</f>
        <v>177000</v>
      </c>
      <c r="E11" s="9">
        <f>VLOOKUP(A11,[17]HISTOBQUEFEV23!$A$6:$G$39,4,0)</f>
        <v>0</v>
      </c>
      <c r="F11" s="9">
        <f>VLOOKUP(A11,[17]HISTOBQUEFEV23!$A$6:$G$39,5,0)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VLOOKUP($A11,[18]TONTFEV23!$A$7:$P$20,10,0)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VLOOKUP(A12,[17]HISTOBQUEFEV23!$A$6:$G$44,3,0)</f>
        <v>320000</v>
      </c>
      <c r="E12" s="9">
        <f>VLOOKUP(A12,[17]HISTOBQUEFEV23!$A$6:$G$39,4,0)</f>
        <v>0</v>
      </c>
      <c r="F12" s="9">
        <f>VLOOKUP(A12,[17]HISTOBQUEFEV23!$A$6:$G$39,5,0)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VLOOKUP($A12,[18]TONTFEV23!$A$7:$P$20,10,0)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VLOOKUP(A13,[17]HISTOBQUEFEV23!$A$6:$G$44,3,0)</f>
        <v>0</v>
      </c>
      <c r="E13" s="9">
        <f>VLOOKUP(A13,[17]HISTOBQUEFEV23!$A$6:$G$39,4,0)</f>
        <v>40000</v>
      </c>
      <c r="F13" s="9">
        <f>VLOOKUP(A13,[17]HISTOBQUEFEV23!$A$6:$G$39,5,0)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VLOOKUP(A14,[17]HISTOBQUEFEV23!$A$6:$G$44,3,0)</f>
        <v>40000</v>
      </c>
      <c r="E14" s="9">
        <f>VLOOKUP(A14,[17]HISTOBQUEFEV23!$A$6:$G$39,4,0)</f>
        <v>0</v>
      </c>
      <c r="F14" s="9">
        <f>VLOOKUP(A14,[17]HISTOBQUEFEV23!$A$6:$G$39,5,0)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VLOOKUP(A15,[17]HISTOBQUEFEV23!$A$6:$G$44,3,0)</f>
        <v>115000</v>
      </c>
      <c r="E15" s="9">
        <f>VLOOKUP(A15,[17]HISTOBQUEFEV23!$A$6:$G$39,4,0)</f>
        <v>0</v>
      </c>
      <c r="F15" s="9">
        <f>VLOOKUP(A15,[17]HISTOBQUEFEV23!$A$6:$G$39,5,0)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VLOOKUP($A15,[18]TONTFEV23!$A$7:$P$20,10,0)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VLOOKUP(A16,[17]HISTOBQUEFEV23!$A$6:$G$44,3,0)</f>
        <v>250000</v>
      </c>
      <c r="E16" s="9">
        <f>VLOOKUP(A16,[17]HISTOBQUEFEV23!$A$6:$G$39,4,0)</f>
        <v>0</v>
      </c>
      <c r="F16" s="9">
        <f>VLOOKUP(A16,[17]HISTOBQUEFEV23!$A$6:$G$39,5,0)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VLOOKUP($A16,[18]TONTFEV23!$A$7:$P$20,10,0)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5" x14ac:dyDescent="0.45">
      <c r="A17" s="1" t="s">
        <v>22</v>
      </c>
      <c r="B17" s="1" t="str">
        <f>VLOOKUP(A17,[16]LISTADHERENT!A$5:H$39,3,0)</f>
        <v>KOUAMOU MOISE</v>
      </c>
      <c r="C17" s="9">
        <f t="shared" si="0"/>
        <v>-70000</v>
      </c>
      <c r="D17" s="9">
        <f>VLOOKUP(A17,[17]HISTOBQUEFEV23!$A$6:$G$44,3,0)</f>
        <v>140000</v>
      </c>
      <c r="E17" s="9">
        <f>VLOOKUP(A17,[17]HISTOBQUEFEV23!$A$6:$G$39,4,0)</f>
        <v>0</v>
      </c>
      <c r="F17" s="9">
        <f>VLOOKUP(A17,[17]HISTOBQUEFEV23!$A$6:$G$39,5,0)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VLOOKUP(A18,[17]HISTOBQUEFEV23!$A$6:$G$44,3,0)</f>
        <v>51000</v>
      </c>
      <c r="E18" s="9">
        <f>VLOOKUP(A18,[17]HISTOBQUEFEV23!$A$6:$G$39,4,0)</f>
        <v>266000</v>
      </c>
      <c r="F18" s="9">
        <f>VLOOKUP(A18,[17]HISTOBQUEFEV23!$A$6:$G$39,5,0)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VLOOKUP($A18,[18]TONTFEV23!$A$7:$P$20,10,0)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VLOOKUP(A19,[17]HISTOBQUEFEV23!$A$6:$G$44,3,0)</f>
        <v>0</v>
      </c>
      <c r="E19" s="9">
        <f>VLOOKUP(A19,[17]HISTOBQUEFEV23!$A$6:$G$39,4,0)</f>
        <v>40000</v>
      </c>
      <c r="F19" s="9">
        <f>VLOOKUP(A19,[17]HISTOBQUEFEV23!$A$6:$G$39,5,0)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VLOOKUP(A20,[17]HISTOBQUEFEV23!$A$6:$G$44,3,0)</f>
        <v>107000</v>
      </c>
      <c r="E20" s="9">
        <f>VLOOKUP(A20,[17]HISTOBQUEFEV23!$A$6:$G$39,4,0)</f>
        <v>215000</v>
      </c>
      <c r="F20" s="9">
        <f>VLOOKUP(A20,[17]HISTOBQUEFEV23!$A$6:$G$39,5,0)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VLOOKUP($A20,[18]TONTFEV23!$A$7:$P$20,10,0)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VLOOKUP(A21,[17]HISTOBQUEFEV23!$A$6:$G$44,3,0)</f>
        <v>40000</v>
      </c>
      <c r="E21" s="9">
        <f>VLOOKUP(A21,[17]HISTOBQUEFEV23!$A$6:$G$39,4,0)</f>
        <v>0</v>
      </c>
      <c r="F21" s="9">
        <f>VLOOKUP(A21,[17]HISTOBQUEFEV23!$A$6:$G$39,5,0)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VLOOKUP(A22,[17]HISTOBQUEFEV23!$A$6:$G$44,3,0)</f>
        <v>115000</v>
      </c>
      <c r="E22" s="9">
        <f>VLOOKUP(A22,[17]HISTOBQUEFEV23!$A$6:$G$39,4,0)</f>
        <v>0</v>
      </c>
      <c r="F22" s="9">
        <f>VLOOKUP(A22,[17]HISTOBQUEFEV23!$A$6:$G$39,5,0)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VLOOKUP($A22,[18]TONTFEV23!$A$7:$P$20,10,0)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VLOOKUP(A23,[17]HISTOBQUEFEV23!$A$6:$G$44,3,0)</f>
        <v>250000</v>
      </c>
      <c r="E23" s="9">
        <f>VLOOKUP(A23,[17]HISTOBQUEFEV23!$A$6:$G$39,4,0)</f>
        <v>0</v>
      </c>
      <c r="F23" s="9">
        <f>VLOOKUP(A23,[17]HISTOBQUEFEV23!$A$6:$G$39,5,0)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VLOOKUP(A24,[17]HISTOBQUEFEV23!$A$6:$G$44,3,0)</f>
        <v>551000</v>
      </c>
      <c r="E24" s="9">
        <f>VLOOKUP(A24,[17]HISTOBQUEFEV23!$A$6:$G$39,4,0)</f>
        <v>0</v>
      </c>
      <c r="F24" s="9">
        <f>VLOOKUP(A24,[17]HISTOBQUEFEV23!$A$6:$G$39,5,0)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VLOOKUP($A24,[18]TONTFEV23!$A$7:$P$20,10,0)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VLOOKUP(A25,[17]HISTOBQUEFEV23!$A$6:$G$44,3,0)</f>
        <v>451000</v>
      </c>
      <c r="E25" s="9">
        <f>VLOOKUP(A25,[17]HISTOBQUEFEV23!$A$6:$G$39,4,0)</f>
        <v>50000</v>
      </c>
      <c r="F25" s="9">
        <f>VLOOKUP(A25,[17]HISTOBQUEFEV23!$A$6:$G$39,5,0)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VLOOKUP($A25,[18]TONTFEV23!$A$7:$P$20,10,0)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VLOOKUP(A26,[17]HISTOBQUEFEV23!$A$6:$G$44,3,0)</f>
        <v>0</v>
      </c>
      <c r="E26" s="9">
        <f>VLOOKUP(A26,[17]HISTOBQUEFEV23!$A$6:$G$39,4,0)</f>
        <v>102000</v>
      </c>
      <c r="F26" s="9">
        <f>VLOOKUP(A26,[17]HISTOBQUEFEV23!$A$6:$G$39,5,0)+1000000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VLOOKUP(A27,[17]HISTOBQUEFEV23!$A$6:$G$44,3,0)</f>
        <v>40000</v>
      </c>
      <c r="E27" s="9">
        <f>VLOOKUP(A27,[17]HISTOBQUEFEV23!$A$6:$G$39,4,0)</f>
        <v>0</v>
      </c>
      <c r="F27" s="9">
        <f>VLOOKUP(A27,[17]HISTOBQUEFEV23!$A$6:$G$39,5,0)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VLOOKUP(A28,[17]HISTOBQUEFEV23!$A$6:$G$44,3,0)</f>
        <v>115000</v>
      </c>
      <c r="E28" s="9">
        <f>VLOOKUP(A28,[17]HISTOBQUEFEV23!$A$6:$G$39,4,0)</f>
        <v>0</v>
      </c>
      <c r="F28" s="9">
        <f>VLOOKUP(A28,[17]HISTOBQUEFEV23!$A$6:$G$39,5,0)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VLOOKUP($A28,[18]TONTFEV23!$A$7:$P$20,10,0)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VLOOKUP(A29,[17]HISTOBQUEFEV23!$A$6:$G$44,3,0)</f>
        <v>40000</v>
      </c>
      <c r="E29" s="9">
        <f>VLOOKUP(A29,[17]HISTOBQUEFEV23!$A$6:$G$39,4,0)</f>
        <v>0</v>
      </c>
      <c r="F29" s="9">
        <f>VLOOKUP(A29,[17]HISTOBQUEFEV23!$A$6:$G$39,5,0)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VLOOKUP(A30,[17]HISTOBQUEFEV23!$A$6:$G$44,3,0)</f>
        <v>115000</v>
      </c>
      <c r="E30" s="9">
        <f>VLOOKUP(A30,[17]HISTOBQUEFEV23!$A$6:$G$39,4,0)</f>
        <v>0</v>
      </c>
      <c r="F30" s="9">
        <f>VLOOKUP(A30,[17]HISTOBQUEFEV23!$A$6:$G$39,5,0)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VLOOKUP($A30,[18]TONTFEV23!$A$7:$P$20,10,0)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VLOOKUP(A31,[17]HISTOBQUEFEV23!$A$6:$G$44,3,0)</f>
        <v>0</v>
      </c>
      <c r="E31" s="9">
        <f>VLOOKUP(A31,[17]HISTOBQUEFEV23!$A$6:$G$39,4,0)</f>
        <v>140000</v>
      </c>
      <c r="F31" s="9">
        <f>VLOOKUP(A31,[17]HISTOBQUEFEV23!$A$6:$G$39,5,0)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VLOOKUP(A32,[17]HISTOBQUEFEV23!$A$6:$G$44,3,0)</f>
        <v>115000</v>
      </c>
      <c r="E32" s="9">
        <f>VLOOKUP(A32,[17]HISTOBQUEFEV23!$A$6:$G$39,4,0)</f>
        <v>0</v>
      </c>
      <c r="F32" s="9">
        <f>VLOOKUP(A32,[17]HISTOBQUEFEV23!$A$6:$G$39,5,0)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VLOOKUP($A32,[18]TONTFEV23!$A$7:$P$20,10,0)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VLOOKUP(A33,[17]HISTOBQUEFEV23!$A$6:$G$44,3,0)</f>
        <v>0</v>
      </c>
      <c r="E33" s="9">
        <f>VLOOKUP(A33,[17]HISTOBQUEFEV23!$A$6:$G$39,4,0)</f>
        <v>40000</v>
      </c>
      <c r="F33" s="9">
        <f>VLOOKUP(A33,[17]HISTOBQUEFEV23!$A$6:$G$39,5,0)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9">
        <f t="shared" si="0"/>
        <v>60000</v>
      </c>
      <c r="D34" s="9">
        <f>VLOOKUP(A34,[17]HISTOBQUEFEV23!$A$6:$G$44,3,0)</f>
        <v>100000</v>
      </c>
      <c r="E34" s="9">
        <f>VLOOKUP(A34,[17]HISTOBQUEFEV23!$A$6:$G$39,4,0)</f>
        <v>0</v>
      </c>
      <c r="F34" s="9">
        <f>VLOOKUP(A34,[17]HISTOBQUEFEV23!$A$6:$G$39,5,0)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9">
        <f t="shared" si="0"/>
        <v>0</v>
      </c>
      <c r="D35" s="9">
        <f>VLOOKUP(A35,[17]HISTOBQUEFEV23!$A$6:$G$44,3,0)</f>
        <v>40000</v>
      </c>
      <c r="E35" s="9">
        <f>VLOOKUP(A35,[17]HISTOBQUEFEV23!$A$6:$G$39,4,0)</f>
        <v>0</v>
      </c>
      <c r="F35" s="9">
        <f>VLOOKUP(A35,[17]HISTOBQUEFEV23!$A$6:$G$39,5,0)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VLOOKUP(A36,[17]HISTOBQUEFEV23!$A$6:$G$44,3,0)</f>
        <v>290000</v>
      </c>
      <c r="E36" s="9">
        <f>VLOOKUP(A36,[17]HISTOBQUEFEV23!$A$6:$G$39,4,0)</f>
        <v>0</v>
      </c>
      <c r="F36" s="9">
        <f>VLOOKUP(A36,[17]HISTOBQUEFEV23!$A$6:$G$39,5,0)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VLOOKUP($A36,[18]TONTFEV23!$A$7:$P$20,10,0)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  <c r="BO45">
        <v>640700</v>
      </c>
      <c r="BP45" t="s">
        <v>167</v>
      </c>
    </row>
    <row r="46" spans="1:68" ht="18.5" x14ac:dyDescent="0.45">
      <c r="AW46" s="15"/>
      <c r="AX46" s="15"/>
      <c r="AY46" s="15"/>
      <c r="AZ46" s="16"/>
      <c r="BO46">
        <v>560000</v>
      </c>
      <c r="BP46" t="s">
        <v>168</v>
      </c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7680500</v>
      </c>
    </row>
  </sheetData>
  <autoFilter ref="A5:AF36" xr:uid="{00000000-0009-0000-0000-000012000000}"/>
  <mergeCells count="1">
    <mergeCell ref="B4:M4"/>
  </mergeCells>
  <dataValidations count="1">
    <dataValidation type="list" allowBlank="1" showInputMessage="1" showErrorMessage="1" sqref="T6:T36 AP6:AP36 AF6:AF36 AA6:AA36" xr:uid="{00000000-0002-0000-12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6.54296875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VLOOKUP(A6,[17]HISTOBQUEMARS23!$A$6:$G$44,3,0)</f>
        <v>175000</v>
      </c>
      <c r="E6" s="9">
        <f>VLOOKUP(A6,[17]HISTOBQUEMARS23!$A$6:$G$39,4,0)</f>
        <v>0</v>
      </c>
      <c r="F6" s="9">
        <f>VLOOKUP(A6,[17]HISTOBQUEMARS23!$A$6:$G$39,5,0)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VLOOKUP(A7,[17]HISTOBQUEMARS23!$A$6:$G$44,3,0)</f>
        <v>40000</v>
      </c>
      <c r="E7" s="9">
        <f>VLOOKUP(A7,[17]HISTOBQUEMARS23!$A$6:$G$39,4,0)</f>
        <v>0</v>
      </c>
      <c r="F7" s="9">
        <f>VLOOKUP(A7,[17]HISTOBQUEMARS23!$A$6:$G$39,5,0)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VLOOKUP(A8,[17]HISTOBQUEMARS23!$A$6:$G$44,3,0)</f>
        <v>115000</v>
      </c>
      <c r="E8" s="9">
        <f>VLOOKUP(A8,[17]HISTOBQUEMARS23!$A$6:$G$39,4,0)</f>
        <v>0</v>
      </c>
      <c r="F8" s="9">
        <f>VLOOKUP(A8,[17]HISTOBQUEMARS23!$A$6:$G$39,5,0)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VLOOKUP($A8,[18]TONTMARS23!$A$6:$P$20,10,0)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VLOOKUP(A9,[17]HISTOBQUEMARS23!$A$6:$G$44,3,0)</f>
        <v>140000</v>
      </c>
      <c r="E9" s="9">
        <f>VLOOKUP(A9,[17]HISTOBQUEMARS23!$A$6:$G$39,4,0)</f>
        <v>0</v>
      </c>
      <c r="F9" s="9">
        <f>VLOOKUP(A9,[17]HISTOBQUEMARS23!$A$6:$G$39,5,0)+690000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VLOOKUP(A10,[17]HISTOBQUEMARS23!$A$6:$G$44,3,0)</f>
        <v>82000</v>
      </c>
      <c r="E10" s="9">
        <f>VLOOKUP(A10,[17]HISTOBQUEMARS23!$A$6:$G$39,4,0)</f>
        <v>0</v>
      </c>
      <c r="F10" s="9">
        <f>VLOOKUP(A10,[17]HISTOBQUEMARS23!$A$6:$G$39,5,0)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9">
        <f t="shared" si="0"/>
        <v>-100000</v>
      </c>
      <c r="D11" s="9">
        <f>VLOOKUP(A11,[17]HISTOBQUEMARS23!$A$6:$G$44,3,0)+892500</f>
        <v>912500</v>
      </c>
      <c r="E11" s="9">
        <f>VLOOKUP(A11,[17]HISTOBQUEMARS23!$A$6:$G$39,4,0)</f>
        <v>0</v>
      </c>
      <c r="F11" s="9">
        <f>VLOOKUP(A11,[17]HISTOBQUEMARS23!$A$6:$G$39,5,0)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VLOOKUP($A11,[18]TONTMARS23!$A$6:$P$20,10,0)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VLOOKUP(A12,[17]HISTOBQUEMARS23!$A$6:$G$44,3,0)</f>
        <v>320000</v>
      </c>
      <c r="E12" s="9">
        <f>VLOOKUP(A12,[17]HISTOBQUEMARS23!$A$6:$G$39,4,0)</f>
        <v>0</v>
      </c>
      <c r="F12" s="9">
        <f>VLOOKUP(A12,[17]HISTOBQUEMARS23!$A$6:$G$39,5,0)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VLOOKUP($A12,[18]TONTMARS23!$A$6:$P$20,10,0)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VLOOKUP(A13,[17]HISTOBQUEMARS23!$A$6:$G$44,3,0)</f>
        <v>40000</v>
      </c>
      <c r="E13" s="9">
        <f>VLOOKUP(A13,[17]HISTOBQUEMARS23!$A$6:$G$39,4,0)</f>
        <v>0</v>
      </c>
      <c r="F13" s="9">
        <f>VLOOKUP(A13,[17]HISTOBQUEMARS23!$A$6:$G$39,5,0)+70000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VLOOKUP(A14,[17]HISTOBQUEMARS23!$A$6:$G$44,3,0)</f>
        <v>40000</v>
      </c>
      <c r="E14" s="9">
        <f>VLOOKUP(A14,[17]HISTOBQUEMARS23!$A$6:$G$39,4,0)</f>
        <v>0</v>
      </c>
      <c r="F14" s="9">
        <f>VLOOKUP(A14,[17]HISTOBQUEMARS23!$A$6:$G$39,5,0)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VLOOKUP(A15,[17]HISTOBQUEMARS23!$A$6:$G$44,3,0)</f>
        <v>115000</v>
      </c>
      <c r="E15" s="9">
        <f>VLOOKUP(A15,[17]HISTOBQUEMARS23!$A$6:$G$39,4,0)</f>
        <v>0</v>
      </c>
      <c r="F15" s="9">
        <f>VLOOKUP(A15,[17]HISTOBQUEMARS23!$A$6:$G$39,5,0)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VLOOKUP($A15,[18]TONTMARS23!$A$6:$P$20,10,0)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VLOOKUP(A16,[17]HISTOBQUEMARS23!$A$6:$G$44,3,0)</f>
        <v>250000</v>
      </c>
      <c r="E16" s="9">
        <f>VLOOKUP(A16,[17]HISTOBQUEMARS23!$A$6:$G$39,4,0)</f>
        <v>0</v>
      </c>
      <c r="F16" s="9">
        <f>VLOOKUP(A16,[17]HISTOBQUEMARS23!$A$6:$G$39,5,0)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VLOOKUP($A16,[18]TONTMARS23!$A$6:$P$20,10,0)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VLOOKUP(A17,[17]HISTOBQUEMARS23!$A$6:$G$44,3,0)</f>
        <v>140000</v>
      </c>
      <c r="E17" s="9">
        <f>VLOOKUP(A17,[17]HISTOBQUEMARS23!$A$6:$G$39,4,0)</f>
        <v>0</v>
      </c>
      <c r="F17" s="9">
        <f>VLOOKUP(A17,[17]HISTOBQUEMARS23!$A$6:$G$39,5,0)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5" x14ac:dyDescent="0.45">
      <c r="A18" s="1" t="s">
        <v>23</v>
      </c>
      <c r="B18" s="1" t="str">
        <f>VLOOKUP(A18,[16]LISTADHERENT!A$5:H$39,3,0)</f>
        <v>KOUATCHO MESSACK</v>
      </c>
      <c r="C18" s="9">
        <f t="shared" si="0"/>
        <v>1000</v>
      </c>
      <c r="D18" s="9">
        <f>VLOOKUP(A18,[17]HISTOBQUEMARS23!$A$6:$G$44,3,0)</f>
        <v>215000</v>
      </c>
      <c r="E18" s="9">
        <f>VLOOKUP(A18,[17]HISTOBQUEMARS23!$A$6:$G$39,4,0)</f>
        <v>0</v>
      </c>
      <c r="F18" s="9">
        <f>VLOOKUP(A18,[17]HISTOBQUEMARS23!$A$6:$G$39,5,0)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VLOOKUP($A18,[18]TONTMARS23!$A$6:$P$20,10,0)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VLOOKUP(A19,[17]HISTOBQUEMARS23!$A$6:$G$44,3,0)</f>
        <v>40000</v>
      </c>
      <c r="E19" s="9">
        <f>VLOOKUP(A19,[17]HISTOBQUEMARS23!$A$6:$G$39,4,0)</f>
        <v>0</v>
      </c>
      <c r="F19" s="9">
        <f>VLOOKUP(A19,[17]HISTOBQUEMARS23!$A$6:$G$39,5,0)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5" x14ac:dyDescent="0.45">
      <c r="A20" s="73" t="s">
        <v>25</v>
      </c>
      <c r="B20" s="73" t="str">
        <f>VLOOKUP(A20,[16]LISTADHERENT!A$5:H$39,3,0)</f>
        <v>MBOGNING TUGMA GUY</v>
      </c>
      <c r="C20" s="14">
        <f t="shared" si="0"/>
        <v>93000</v>
      </c>
      <c r="D20" s="14">
        <f>VLOOKUP(A20,[17]HISTOBQUEMARS23!$A$6:$G$44,3,0)</f>
        <v>403500</v>
      </c>
      <c r="E20" s="14">
        <f>VLOOKUP(A20,[17]HISTOBQUEMARS23!$A$6:$G$39,4,0)</f>
        <v>0</v>
      </c>
      <c r="F20" s="14">
        <f>VLOOKUP(A20,[17]HISTOBQUEMARS23!$A$6:$G$39,5,0)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VLOOKUP($A20,[18]TONTMARS23!$A$6:$P$20,10,0)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VLOOKUP(A21,[17]HISTOBQUEMARS23!$A$6:$G$44,3,0)</f>
        <v>40000</v>
      </c>
      <c r="E21" s="9">
        <f>VLOOKUP(A21,[17]HISTOBQUEMARS23!$A$6:$G$39,4,0)</f>
        <v>0</v>
      </c>
      <c r="F21" s="9">
        <f>VLOOKUP(A21,[17]HISTOBQUEMARS23!$A$6:$G$39,5,0)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VLOOKUP(A22,[17]HISTOBQUEMARS23!$A$6:$G$44,3,0)</f>
        <v>115000</v>
      </c>
      <c r="E22" s="9">
        <f>VLOOKUP(A22,[17]HISTOBQUEMARS23!$A$6:$G$39,4,0)</f>
        <v>0</v>
      </c>
      <c r="F22" s="9">
        <f>VLOOKUP(A22,[17]HISTOBQUEMARS23!$A$6:$G$39,5,0)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VLOOKUP($A22,[18]TONTMARS23!$A$6:$P$20,10,0)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VLOOKUP(A23,[17]HISTOBQUEMARS23!$A$6:$G$44,3,0)</f>
        <v>250000</v>
      </c>
      <c r="E23" s="9">
        <f>VLOOKUP(A23,[17]HISTOBQUEMARS23!$A$6:$G$39,4,0)</f>
        <v>0</v>
      </c>
      <c r="F23" s="9">
        <f>VLOOKUP(A23,[17]HISTOBQUEMARS23!$A$6:$G$39,5,0)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tr">
        <f>VLOOKUP(A24,[16]LISTADHERENT!A$5:H$39,3,0)</f>
        <v>NGONDIEP CLAUDE</v>
      </c>
      <c r="C24" s="9">
        <f t="shared" si="0"/>
        <v>-3000</v>
      </c>
      <c r="D24" s="9">
        <f>VLOOKUP(A24,[17]HISTOBQUEMARS23!$A$6:$G$44,3,0)</f>
        <v>0</v>
      </c>
      <c r="E24" s="9">
        <f>VLOOKUP(A24,[17]HISTOBQUEMARS23!$A$6:$G$39,4,0)</f>
        <v>215000</v>
      </c>
      <c r="F24" s="9">
        <f>VLOOKUP(A24,[17]HISTOBQUEMARS23!$A$6:$G$39,5,0)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VLOOKUP($A24,[18]TONTMARS23!$A$6:$P$20,10,0)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5" x14ac:dyDescent="0.45">
      <c r="A25" s="1" t="s">
        <v>30</v>
      </c>
      <c r="B25" s="1" t="str">
        <f>VLOOKUP(A25,[16]LISTADHERENT!A$5:H$39,3,0)</f>
        <v>NGUIEMEGNI MATHIEU BLAISE</v>
      </c>
      <c r="C25" s="9">
        <f t="shared" si="0"/>
        <v>-10000</v>
      </c>
      <c r="D25" s="9">
        <f>VLOOKUP(A25,[17]HISTOBQUEMARS23!$A$6:$G$44,3,0)</f>
        <v>280000</v>
      </c>
      <c r="E25" s="9">
        <f>VLOOKUP(A25,[17]HISTOBQUEMARS23!$A$6:$G$39,4,0)</f>
        <v>0</v>
      </c>
      <c r="F25" s="9">
        <f>VLOOKUP(A25,[17]HISTOBQUEMARS23!$A$6:$G$39,5,0)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VLOOKUP($A25,[18]TONTMARS23!$A$6:$P$20,10,0)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VLOOKUP(A26,[17]HISTOBQUEMARS23!$A$6:$G$44,3,0)</f>
        <v>0</v>
      </c>
      <c r="E26" s="9">
        <f>VLOOKUP(A26,[17]HISTOBQUEMARS23!$A$6:$G$39,4,0)</f>
        <v>84000</v>
      </c>
      <c r="F26" s="9">
        <f>VLOOKUP(A26,[17]HISTOBQUEMARS23!$A$6:$G$39,5,0)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VLOOKUP(A27,[17]HISTOBQUEMARS23!$A$6:$G$44,3,0)</f>
        <v>50000</v>
      </c>
      <c r="E27" s="9">
        <f>VLOOKUP(A27,[17]HISTOBQUEMARS23!$A$6:$G$39,4,0)</f>
        <v>0</v>
      </c>
      <c r="F27" s="9">
        <f>VLOOKUP(A27,[17]HISTOBQUEMARS23!$A$6:$G$39,5,0)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VLOOKUP(A28,[17]HISTOBQUEMARS23!$A$6:$G$44,3,0)</f>
        <v>115000</v>
      </c>
      <c r="E28" s="9">
        <f>VLOOKUP(A28,[17]HISTOBQUEMARS23!$A$6:$G$39,4,0)</f>
        <v>0</v>
      </c>
      <c r="F28" s="9">
        <f>VLOOKUP(A28,[17]HISTOBQUEMARS23!$A$6:$G$39,5,0)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VLOOKUP($A28,[18]TONTMARS23!$A$6:$P$20,10,0)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VLOOKUP(A29,[17]HISTOBQUEMARS23!$A$6:$G$44,3,0)</f>
        <v>40000</v>
      </c>
      <c r="E29" s="9">
        <f>VLOOKUP(A29,[17]HISTOBQUEMARS23!$A$6:$G$39,4,0)</f>
        <v>0</v>
      </c>
      <c r="F29" s="9">
        <f>VLOOKUP(A29,[17]HISTOBQUEMARS23!$A$6:$G$39,5,0)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VLOOKUP(A30,[17]HISTOBQUEMARS23!$A$6:$G$44,3,0)</f>
        <v>115000</v>
      </c>
      <c r="E30" s="9">
        <f>VLOOKUP(A30,[17]HISTOBQUEMARS23!$A$6:$G$39,4,0)</f>
        <v>0</v>
      </c>
      <c r="F30" s="9">
        <f>VLOOKUP(A30,[17]HISTOBQUEMARS23!$A$6:$G$39,5,0)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VLOOKUP($A30,[18]TONTMARS23!$A$6:$P$20,10,0)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5" x14ac:dyDescent="0.45">
      <c r="A31" s="1" t="s">
        <v>37</v>
      </c>
      <c r="B31" s="1" t="str">
        <f>VLOOKUP(A31,[16]LISTADHERENT!A$5:H$39,3,0)</f>
        <v>SIMO PIERRE</v>
      </c>
      <c r="C31" s="9">
        <f t="shared" si="0"/>
        <v>-70000</v>
      </c>
      <c r="D31" s="9">
        <f>VLOOKUP(A31,[17]HISTOBQUEMARS23!$A$6:$G$44,3,0)</f>
        <v>140000</v>
      </c>
      <c r="E31" s="9">
        <f>VLOOKUP(A31,[17]HISTOBQUEMARS23!$A$6:$G$39,4,0)</f>
        <v>0</v>
      </c>
      <c r="F31" s="9">
        <f>VLOOKUP(A31,[17]HISTOBQUEMARS23!$A$6:$G$39,5,0)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5" x14ac:dyDescent="0.45">
      <c r="A32" s="73" t="s">
        <v>38</v>
      </c>
      <c r="B32" s="73" t="str">
        <f>VLOOKUP(A32,[16]LISTADHERENT!A$5:H$39,3,0)</f>
        <v>TCHOUAMOU MATHIEU</v>
      </c>
      <c r="C32" s="14">
        <f t="shared" si="0"/>
        <v>0</v>
      </c>
      <c r="D32" s="14">
        <f>VLOOKUP(A32,[17]HISTOBQUEMARS23!$A$6:$G$44,3,0)</f>
        <v>115000</v>
      </c>
      <c r="E32" s="14">
        <f>VLOOKUP(A32,[17]HISTOBQUEMARS23!$A$6:$G$39,4,0)</f>
        <v>0</v>
      </c>
      <c r="F32" s="14">
        <f>VLOOKUP(A32,[17]HISTOBQUEMARS23!$A$6:$G$39,5,0)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VLOOKUP($A32,[18]TONTMARS23!$A$6:$P$20,10,0)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VLOOKUP(A33,[17]HISTOBQUEMARS23!$A$6:$G$44,3,0)</f>
        <v>40000</v>
      </c>
      <c r="E33" s="9">
        <f>VLOOKUP(A33,[17]HISTOBQUEMARS23!$A$6:$G$39,4,0)</f>
        <v>0</v>
      </c>
      <c r="F33" s="9">
        <f>VLOOKUP(A33,[17]HISTOBQUEMARS23!$A$6:$G$39,5,0)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9">
        <f t="shared" si="0"/>
        <v>25000</v>
      </c>
      <c r="D34" s="9">
        <f>VLOOKUP(A34,[17]HISTOBQUEMARS23!$A$6:$G$44,3,0)</f>
        <v>100000</v>
      </c>
      <c r="E34" s="9">
        <f>VLOOKUP(A34,[17]HISTOBQUEMARS23!$A$6:$G$39,4,0)</f>
        <v>0</v>
      </c>
      <c r="F34" s="9">
        <f>VLOOKUP(A34,[17]HISTOBQUEMARS23!$A$6:$G$39,5,0)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9">
        <f t="shared" si="0"/>
        <v>-6000</v>
      </c>
      <c r="D35" s="9">
        <f>VLOOKUP(A35,[17]HISTOBQUEMARS23!$A$6:$G$44,3,0)</f>
        <v>34000</v>
      </c>
      <c r="E35" s="9">
        <f>VLOOKUP(A35,[17]HISTOBQUEMARS23!$A$6:$G$39,4,0)</f>
        <v>0</v>
      </c>
      <c r="F35" s="9">
        <f>VLOOKUP(A35,[17]HISTOBQUEMARS23!$A$6:$G$39,5,0)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VLOOKUP(A36,[17]HISTOBQUEMARS23!$A$6:$G$44,3,0)</f>
        <v>290000</v>
      </c>
      <c r="E36" s="9">
        <f>VLOOKUP(A36,[17]HISTOBQUEMARS23!$A$6:$G$39,4,0)</f>
        <v>0</v>
      </c>
      <c r="F36" s="9">
        <f>VLOOKUP(A36,[17]HISTOBQUEMARS23!$A$6:$G$39,5,0)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VLOOKUP($A36,[18]TONTMARS23!$A$6:$P$20,10,0)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  <c r="BD39" t="s">
        <v>184</v>
      </c>
      <c r="BE39" s="70">
        <v>1750000</v>
      </c>
    </row>
    <row r="40" spans="1:68" ht="18.5" x14ac:dyDescent="0.45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9183000</v>
      </c>
    </row>
  </sheetData>
  <autoFilter ref="A5:AF36" xr:uid="{00000000-0009-0000-0000-000013000000}"/>
  <mergeCells count="1">
    <mergeCell ref="B4:M4"/>
  </mergeCells>
  <dataValidations count="1">
    <dataValidation type="list" allowBlank="1" showInputMessage="1" showErrorMessage="1" sqref="T6:T36 AP6:AP36 AF6:AF36 AA6:AA36" xr:uid="{00000000-0002-0000-13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6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7.81640625" customWidth="1"/>
    <col min="58" max="58" width="15" bestFit="1" customWidth="1"/>
    <col min="63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VLOOKUP(A6,[17]HISTOBQUEAVRIL23!$A$6:$G$44,3,0)</f>
        <v>175000</v>
      </c>
      <c r="E6" s="9">
        <f>VLOOKUP(A6,[17]HISTOBQUEAVRIL23!$A$6:$G$39,4,0)</f>
        <v>0</v>
      </c>
      <c r="F6" s="9">
        <f>VLOOKUP(A6,[17]HISTOBQUEAVRIL23!$A$6:$G$39,5,0)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VLOOKUP(A7,[17]HISTOBQUEAVRIL23!$A$6:$G$44,3,0)</f>
        <v>40000</v>
      </c>
      <c r="E7" s="9">
        <f>VLOOKUP(A7,[17]HISTOBQUEAVRIL23!$A$6:$G$39,4,0)</f>
        <v>0</v>
      </c>
      <c r="F7" s="9">
        <f>VLOOKUP(A7,[17]HISTOBQUEAVRIL23!$A$6:$G$39,5,0)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VLOOKUP(A8,[17]HISTOBQUEAVRIL23!$A$6:$G$44,3,0)</f>
        <v>115000</v>
      </c>
      <c r="E8" s="9">
        <f>VLOOKUP(A8,[17]HISTOBQUEAVRIL23!$A$6:$G$39,4,0)</f>
        <v>0</v>
      </c>
      <c r="F8" s="9">
        <f>VLOOKUP(A8,[17]HISTOBQUEAVRIL23!$A$6:$G$39,5,0)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VLOOKUP($A8,[18]TONTAVRIL23!$A$6:$P$20,10,0)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VLOOKUP(A9,[17]HISTOBQUEAVRIL23!$A$6:$G$44,3,0)</f>
        <v>145000</v>
      </c>
      <c r="E9" s="9">
        <f>VLOOKUP(A9,[17]HISTOBQUEAVRIL23!$A$6:$G$39,4,0)</f>
        <v>0</v>
      </c>
      <c r="F9" s="9">
        <f>VLOOKUP(A9,[17]HISTOBQUEAVRIL23!$A$6:$G$39,5,0)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9">
        <f t="shared" si="0"/>
        <v>-70000</v>
      </c>
      <c r="D10" s="9">
        <f>VLOOKUP(A10,[17]HISTOBQUEAVRIL23!$A$6:$G$44,3,0)</f>
        <v>0</v>
      </c>
      <c r="E10" s="9">
        <f>VLOOKUP(A10,[17]HISTOBQUEAVRIL23!$A$6:$G$39,4,0)</f>
        <v>43000</v>
      </c>
      <c r="F10" s="9">
        <f>VLOOKUP(A10,[17]HISTOBQUEAVRIL23!$A$6:$G$39,5,0)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9">
        <f t="shared" si="0"/>
        <v>-157500</v>
      </c>
      <c r="D11" s="9">
        <f>VLOOKUP(A11,[17]HISTOBQUEAVRIL23!$A$6:$G$44,3,0)</f>
        <v>115000</v>
      </c>
      <c r="E11" s="9">
        <f>VLOOKUP(A11,[17]HISTOBQUEAVRIL23!$A$6:$G$39,4,0)</f>
        <v>0</v>
      </c>
      <c r="F11" s="9">
        <f>VLOOKUP(A11,[17]HISTOBQUEAVRIL23!$A$6:$G$39,5,0)+70000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VLOOKUP($A11,[18]TONTAVRIL23!$A$6:$P$20,10,0)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VLOOKUP(A12,[17]HISTOBQUEAVRIL23!$A$6:$G$44,3,0)</f>
        <v>320000</v>
      </c>
      <c r="E12" s="9">
        <f>VLOOKUP(A12,[17]HISTOBQUEAVRIL23!$A$6:$G$39,4,0)</f>
        <v>0</v>
      </c>
      <c r="F12" s="9">
        <f>VLOOKUP(A12,[17]HISTOBQUEAVRIL23!$A$6:$G$39,5,0)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VLOOKUP($A12,[18]TONTAVRIL23!$A$6:$P$20,10,0)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VLOOKUP(A13,[17]HISTOBQUEAVRIL23!$A$6:$G$44,3,0)</f>
        <v>40000</v>
      </c>
      <c r="E13" s="9">
        <f>VLOOKUP(A13,[17]HISTOBQUEAVRIL23!$A$6:$G$39,4,0)</f>
        <v>0</v>
      </c>
      <c r="F13" s="9">
        <f>VLOOKUP(A13,[17]HISTOBQUEAVRIL23!$A$6:$G$39,5,0)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VLOOKUP(A14,[17]HISTOBQUEAVRIL23!$A$6:$G$44,3,0)</f>
        <v>40000</v>
      </c>
      <c r="E14" s="9">
        <f>VLOOKUP(A14,[17]HISTOBQUEAVRIL23!$A$6:$G$39,4,0)</f>
        <v>0</v>
      </c>
      <c r="F14" s="9">
        <f>VLOOKUP(A14,[17]HISTOBQUEAVRIL23!$A$6:$G$39,5,0)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VLOOKUP(A15,[17]HISTOBQUEAVRIL23!$A$6:$G$44,3,0)</f>
        <v>115000</v>
      </c>
      <c r="E15" s="9">
        <f>VLOOKUP(A15,[17]HISTOBQUEAVRIL23!$A$6:$G$39,4,0)</f>
        <v>0</v>
      </c>
      <c r="F15" s="9">
        <f>VLOOKUP(A15,[17]HISTOBQUEAVRIL23!$A$6:$G$39,5,0)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VLOOKUP($A15,[18]TONTMARS23!$A$6:$P$20,10,0)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VLOOKUP(A16,[17]HISTOBQUEAVRIL23!$A$6:$G$44,3,0)-101000</f>
        <v>415000</v>
      </c>
      <c r="E16" s="9">
        <f>VLOOKUP(A16,[17]HISTOBQUEAVRIL23!$A$6:$G$39,4,0)</f>
        <v>0</v>
      </c>
      <c r="F16" s="9">
        <f>VLOOKUP(A16,[17]HISTOBQUEAVRIL23!$A$6:$G$39,5,0)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VLOOKUP($A16,[18]TONTMARS23!$A$6:$P$20,10,0)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VLOOKUP(A17,[17]HISTOBQUEAVRIL23!$A$6:$G$44,3,0)+101000</f>
        <v>342000</v>
      </c>
      <c r="E17" s="9">
        <f>VLOOKUP(A17,[17]HISTOBQUEAVRIL23!$A$6:$G$39,4,0)</f>
        <v>0</v>
      </c>
      <c r="F17" s="9">
        <f>VLOOKUP(A17,[17]HISTOBQUEAVRIL23!$A$6:$G$39,5,0)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>D18+E18+F18-U18-BB18</f>
        <v>0</v>
      </c>
      <c r="D18" s="9">
        <f>VLOOKUP(A18,[17]HISTOBQUEAVRIL23!$A$6:$G$44,3,0)</f>
        <v>419000</v>
      </c>
      <c r="E18" s="9">
        <f>VLOOKUP(A18,[17]HISTOBQUEAVRIL23!$A$6:$G$39,4,0)</f>
        <v>0</v>
      </c>
      <c r="F18" s="9">
        <f>VLOOKUP(A18,[17]HISTOBQUEAVRIL23!$A$6:$G$39,5,0)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VLOOKUP($A18,[18]TONTAVRIL23!$A$6:$P$20,10,0)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9">
        <f t="shared" si="0"/>
        <v>-1000000</v>
      </c>
      <c r="D19" s="9">
        <f>VLOOKUP(A19,[17]HISTOBQUEAVRIL23!$A$6:$G$44,3,0)</f>
        <v>40000</v>
      </c>
      <c r="E19" s="9">
        <f>VLOOKUP(A19,[17]HISTOBQUEAVRIL23!$A$6:$G$39,4,0)</f>
        <v>0</v>
      </c>
      <c r="F19" s="9">
        <f>VLOOKUP(A19,[17]HISTOBQUEAVRIL23!$A$6:$G$39,5,0)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VLOOKUP(A20,[17]HISTOBQUEAVRIL23!$A$6:$G$44,3,0)</f>
        <v>422000</v>
      </c>
      <c r="E20" s="9">
        <f>VLOOKUP(A20,[17]HISTOBQUEAVRIL23!$A$6:$G$39,4,0)</f>
        <v>0</v>
      </c>
      <c r="F20" s="9">
        <f>VLOOKUP(A20,[17]HISTOBQUEAVRIL23!$A$6:$G$39,5,0)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VLOOKUP($A20,[18]TONTAVRIL23!$A$6:$P$20,10,0)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VLOOKUP(A21,[17]HISTOBQUEAVRIL23!$A$6:$G$44,3,0)</f>
        <v>40000</v>
      </c>
      <c r="E21" s="9">
        <f>VLOOKUP(A21,[17]HISTOBQUEAVRIL23!$A$6:$G$39,4,0)</f>
        <v>0</v>
      </c>
      <c r="F21" s="9">
        <f>VLOOKUP(A21,[17]HISTOBQUEAVRIL23!$A$6:$G$39,5,0)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VLOOKUP(A22,[17]HISTOBQUEAVRIL23!$A$6:$G$44,3,0)</f>
        <v>115000</v>
      </c>
      <c r="E22" s="9">
        <f>VLOOKUP(A22,[17]HISTOBQUEAVRIL23!$A$6:$G$39,4,0)</f>
        <v>0</v>
      </c>
      <c r="F22" s="9">
        <f>VLOOKUP(A22,[17]HISTOBQUEAVRIL23!$A$6:$G$39,5,0)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VLOOKUP($A22,[18]TONTAVRIL23!$A$6:$P$20,10,0)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VLOOKUP(A23,[17]HISTOBQUEAVRIL23!$A$6:$G$44,3,0)</f>
        <v>452000</v>
      </c>
      <c r="E23" s="9">
        <f>VLOOKUP(A23,[17]HISTOBQUEAVRIL23!$A$6:$G$39,4,0)</f>
        <v>0</v>
      </c>
      <c r="F23" s="9">
        <f>VLOOKUP(A23,[17]HISTOBQUEAVRIL23!$A$6:$G$39,5,0)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VLOOKUP(A24,[17]HISTOBQUEAVRIL23!$A$6:$G$44,3,0)</f>
        <v>220000</v>
      </c>
      <c r="E24" s="9">
        <f>VLOOKUP(A24,[17]HISTOBQUEAVRIL23!$A$6:$G$39,4,0)</f>
        <v>0</v>
      </c>
      <c r="F24" s="9">
        <f>VLOOKUP(A24,[17]HISTOBQUEAVRIL23!$A$6:$G$39,5,0)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VLOOKUP($A24,[18]TONTAVRIL23!$A$6:$P$20,10,0)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VLOOKUP(A25,[17]HISTOBQUEAVRIL23!$A$6:$G$44,3,0)</f>
        <v>280000</v>
      </c>
      <c r="E25" s="9">
        <f>VLOOKUP(A25,[17]HISTOBQUEAVRIL23!$A$6:$G$39,4,0)</f>
        <v>0</v>
      </c>
      <c r="F25" s="9">
        <f>VLOOKUP(A25,[17]HISTOBQUEAVRIL23!$A$6:$G$39,5,0)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VLOOKUP($A25,[18]TONTAVRIL23!$A$6:$P$20,10,0)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VLOOKUP(A26,[17]HISTOBQUEAVRIL23!$A$6:$G$44,3,0)</f>
        <v>0</v>
      </c>
      <c r="E26" s="9">
        <f>VLOOKUP(A26,[17]HISTOBQUEAVRIL23!$A$6:$G$39,4,0)</f>
        <v>43000</v>
      </c>
      <c r="F26" s="9">
        <f>VLOOKUP(A26,[17]HISTOBQUEAVRIL23!$A$6:$G$39,5,0)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VLOOKUP(A27,[17]HISTOBQUEAVRIL23!$A$6:$G$44,3,0)</f>
        <v>50000</v>
      </c>
      <c r="E27" s="9">
        <f>VLOOKUP(A27,[17]HISTOBQUEAVRIL23!$A$6:$G$39,4,0)</f>
        <v>0</v>
      </c>
      <c r="F27" s="9">
        <f>VLOOKUP(A27,[17]HISTOBQUEAVRIL23!$A$6:$G$39,5,0)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VLOOKUP(A28,[17]HISTOBQUEAVRIL23!$A$6:$G$44,3,0)</f>
        <v>115000</v>
      </c>
      <c r="E28" s="9">
        <f>VLOOKUP(A28,[17]HISTOBQUEAVRIL23!$A$6:$G$39,4,0)</f>
        <v>0</v>
      </c>
      <c r="F28" s="9">
        <f>VLOOKUP(A28,[17]HISTOBQUEAVRIL23!$A$6:$G$39,5,0)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VLOOKUP($A28,[18]TONTAVRIL23!$A$6:$P$20,10,0)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9">
        <f t="shared" si="0"/>
        <v>120000</v>
      </c>
      <c r="D29" s="9">
        <f>VLOOKUP(A29,[17]HISTOBQUEAVRIL23!$A$6:$G$44,3,0)</f>
        <v>160000</v>
      </c>
      <c r="E29" s="9">
        <f>VLOOKUP(A29,[17]HISTOBQUEAVRIL23!$A$6:$G$39,4,0)</f>
        <v>0</v>
      </c>
      <c r="F29" s="9">
        <f>VLOOKUP(A29,[17]HISTOBQUEAVRIL23!$A$6:$G$39,5,0)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VLOOKUP(A30,[17]HISTOBQUEAVRIL23!$A$6:$G$44,3,0)</f>
        <v>115000</v>
      </c>
      <c r="E30" s="9">
        <f>VLOOKUP(A30,[17]HISTOBQUEAVRIL23!$A$6:$G$39,4,0)</f>
        <v>0</v>
      </c>
      <c r="F30" s="9">
        <f>VLOOKUP(A30,[17]HISTOBQUEAVRIL23!$A$6:$G$39,5,0)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VLOOKUP($A30,[18]TONTAVRIL23!$A$6:$P$20,10,0)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VLOOKUP(A31,[17]HISTOBQUEAVRIL23!$A$6:$G$44,3,0)</f>
        <v>140000</v>
      </c>
      <c r="E31" s="9">
        <f>VLOOKUP(A31,[17]HISTOBQUEAVRIL23!$A$6:$G$39,4,0)</f>
        <v>0</v>
      </c>
      <c r="F31" s="9">
        <f>VLOOKUP(A31,[17]HISTOBQUEAVRIL23!$A$6:$G$39,5,0)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9">
        <f t="shared" si="0"/>
        <v>-200000</v>
      </c>
      <c r="D32" s="9">
        <f>VLOOKUP(A32,[17]HISTOBQUEAVRIL23!$A$6:$G$44,3,0)</f>
        <v>115000</v>
      </c>
      <c r="E32" s="9">
        <f>VLOOKUP(A32,[17]HISTOBQUEAVRIL23!$A$6:$G$39,4,0)</f>
        <v>0</v>
      </c>
      <c r="F32" s="9">
        <f>VLOOKUP(A32,[17]HISTOBQUEAVRIL23!$A$6:$G$39,5,0)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VLOOKUP($A32,[18]TONTAVRIL23!$A$6:$P$20,10,0)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VLOOKUP(A33,[17]HISTOBQUEAVRIL23!$A$6:$G$44,3,0)</f>
        <v>0</v>
      </c>
      <c r="E33" s="9">
        <f>VLOOKUP(A33,[17]HISTOBQUEAVRIL23!$A$6:$G$39,4,0)</f>
        <v>43000</v>
      </c>
      <c r="F33" s="9">
        <f>VLOOKUP(A33,[17]HISTOBQUEAVRIL23!$A$6:$G$39,5,0)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VLOOKUP(A34,[17]HISTOBQUEAVRIL23!$A$6:$G$44,3,0)</f>
        <v>0</v>
      </c>
      <c r="E34" s="9">
        <f>VLOOKUP(A34,[17]HISTOBQUEAVRIL23!$A$6:$G$39,4,0)</f>
        <v>100000</v>
      </c>
      <c r="F34" s="9">
        <f>VLOOKUP(A34,[17]HISTOBQUEAVRIL23!$A$6:$G$39,5,0)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VLOOKUP(A35,[17]HISTOBQUEAVRIL23!$A$6:$G$44,3,0)</f>
        <v>0</v>
      </c>
      <c r="E35" s="9">
        <f>VLOOKUP(A35,[17]HISTOBQUEAVRIL23!$A$6:$G$39,4,0)+40000</f>
        <v>40000</v>
      </c>
      <c r="F35" s="9">
        <f>VLOOKUP(A35,[17]HISTOBQUEAVRIL23!$A$6:$G$39,5,0)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VLOOKUP(A36,[17]HISTOBQUEAVRIL23!$A$6:$G$44,3,0)</f>
        <v>290000</v>
      </c>
      <c r="E36" s="9">
        <f>VLOOKUP(A36,[17]HISTOBQUEAVRIL23!$A$6:$G$39,4,0)</f>
        <v>0</v>
      </c>
      <c r="F36" s="9">
        <f>VLOOKUP(A36,[17]HISTOBQUEAVRIL23!$A$6:$G$39,5,0)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VLOOKUP($A36,[18]TONTAVRIL23!$A$6:$P$20,10,0)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10382000</v>
      </c>
    </row>
  </sheetData>
  <autoFilter ref="A5:AF36" xr:uid="{00000000-0009-0000-0000-000014000000}"/>
  <mergeCells count="1">
    <mergeCell ref="B4:M4"/>
  </mergeCells>
  <dataValidations disablePrompts="1" count="1">
    <dataValidation type="list" allowBlank="1" showInputMessage="1" showErrorMessage="1" sqref="T6:T36 AP6:AP36 AF6:AF36 AA6:AA36" xr:uid="{00000000-0002-0000-14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6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VLOOKUP(A6,[17]HISTOBQUEMAI23!$A$6:$G$44,3,0)</f>
        <v>175000</v>
      </c>
      <c r="E6" s="9">
        <f>VLOOKUP(A6,[17]HISTOBQUEMAI23!$A$6:$G$39,4,0)</f>
        <v>0</v>
      </c>
      <c r="F6" s="9">
        <f>VLOOKUP(A6,[17]HISTOBQUEMAI23!$A$6:$G$39,5,0)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VLOOKUP(A7,[17]HISTOBQUEMAI23!$A$6:$G$44,3,0)</f>
        <v>40000</v>
      </c>
      <c r="E7" s="9">
        <f>VLOOKUP(A7,[17]HISTOBQUEMAI23!$A$6:$G$39,4,0)</f>
        <v>0</v>
      </c>
      <c r="F7" s="9">
        <f>VLOOKUP(A7,[17]HISTOBQUEMAI23!$A$6:$G$39,5,0)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VLOOKUP(A8,[17]HISTOBQUEMAI23!$A$6:$G$44,3,0)</f>
        <v>115000</v>
      </c>
      <c r="E8" s="9">
        <f>VLOOKUP(A8,[17]HISTOBQUEMAI23!$A$6:$G$39,4,0)</f>
        <v>0</v>
      </c>
      <c r="F8" s="9">
        <f>VLOOKUP(A8,[17]HISTOBQUEMAI23!$A$6:$G$39,5,0)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VLOOKUP($A8,[18]TONTMAI23!$A$6:$P$20,10,0)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VLOOKUP(A9,[17]HISTOBQUEMAI23!$A$6:$G$44,3,0)</f>
        <v>145000</v>
      </c>
      <c r="E9" s="9">
        <f>VLOOKUP(A9,[17]HISTOBQUEMAI23!$A$6:$G$39,4,0)</f>
        <v>23000</v>
      </c>
      <c r="F9" s="9">
        <f>VLOOKUP(A9,[17]HISTOBQUEMAI23!$A$6:$G$39,5,0)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VLOOKUP(A10,[17]HISTOBQUEMAI23!$A$6:$G$44,3,0)</f>
        <v>0</v>
      </c>
      <c r="E10" s="9">
        <f>VLOOKUP(A10,[17]HISTOBQUEMAI23!$A$6:$G$39,4,0)</f>
        <v>105000</v>
      </c>
      <c r="F10" s="9">
        <f>VLOOKUP(A10,[17]HISTOBQUEMAI23!$A$6:$G$39,5,0)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VLOOKUP(A11,[17]HISTOBQUEMAI23!$A$6:$G$44,3,0)</f>
        <v>267000</v>
      </c>
      <c r="E11" s="9">
        <f>VLOOKUP(A11,[17]HISTOBQUEMAI23!$A$6:$G$39,4,0)</f>
        <v>0</v>
      </c>
      <c r="F11" s="9">
        <f>VLOOKUP(A11,[17]HISTOBQUEMAI23!$A$6:$G$39,5,0)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VLOOKUP($A11,[18]TONTMAI23!$A$6:$P$20,10,0)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VLOOKUP(A12,[17]HISTOBQUEMAI23!$A$6:$G$44,3,0)</f>
        <v>420000</v>
      </c>
      <c r="E12" s="9">
        <f>VLOOKUP(A12,[17]HISTOBQUEMAI23!$A$6:$G$39,4,0)</f>
        <v>0</v>
      </c>
      <c r="F12" s="9">
        <f>VLOOKUP(A12,[17]HISTOBQUEMAI23!$A$6:$G$39,5,0)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VLOOKUP($A12,[18]TONTMAI23!$A$6:$P$20,10,0)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VLOOKUP(A13,[17]HISTOBQUEMAI23!$A$6:$G$44,3,0)</f>
        <v>40000</v>
      </c>
      <c r="E13" s="9">
        <f>VLOOKUP(A13,[17]HISTOBQUEMAI23!$A$6:$G$39,4,0)</f>
        <v>0</v>
      </c>
      <c r="F13" s="9">
        <f>VLOOKUP(A13,[17]HISTOBQUEMAI23!$A$6:$G$39,5,0)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VLOOKUP(A14,[17]HISTOBQUEMAI23!$A$6:$G$44,3,0)</f>
        <v>40000</v>
      </c>
      <c r="E14" s="9">
        <f>VLOOKUP(A14,[17]HISTOBQUEMAI23!$A$6:$G$39,4,0)</f>
        <v>0</v>
      </c>
      <c r="F14" s="9">
        <f>VLOOKUP(A14,[17]HISTOBQUEMAI23!$A$6:$G$39,5,0)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VLOOKUP(A15,[17]HISTOBQUEMAI23!$A$6:$G$44,3,0)</f>
        <v>0</v>
      </c>
      <c r="E15" s="9">
        <f>VLOOKUP(A15,[17]HISTOBQUEMAI23!$A$6:$G$39,4,0)</f>
        <v>118000</v>
      </c>
      <c r="F15" s="9">
        <f>VLOOKUP(A15,[17]HISTOBQUEMAI23!$A$6:$G$39,5,0)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VLOOKUP($A15,[18]TONTMAI23!$A$6:$P$20,10,0)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VLOOKUP(A16,[17]HISTOBQUEMAI23!$A$6:$G$44,3,0)</f>
        <v>230000</v>
      </c>
      <c r="E16" s="9">
        <f>VLOOKUP(A16,[17]HISTOBQUEMAI23!$A$6:$G$39,4,0)</f>
        <v>0</v>
      </c>
      <c r="F16" s="9">
        <f>VLOOKUP(A16,[17]HISTOBQUEMAI23!$A$6:$G$39,5,0)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VLOOKUP($A16,[18]TONTMAI23!$A$6:$P$20,10,0)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VLOOKUP(A17,[17]HISTOBQUEMAI23!$A$6:$G$44,3,0)</f>
        <v>140000</v>
      </c>
      <c r="E17" s="9">
        <f>VLOOKUP(A17,[17]HISTOBQUEMAI23!$A$6:$G$39,4,0)</f>
        <v>0</v>
      </c>
      <c r="F17" s="9">
        <f>VLOOKUP(A17,[17]HISTOBQUEMAI23!$A$6:$G$39,5,0)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9">
        <f t="shared" si="0"/>
        <v>0</v>
      </c>
      <c r="D18" s="9">
        <f>VLOOKUP(A18,[17]HISTOBQUEMAI23!$A$6:$G$44,3,0)</f>
        <v>315000</v>
      </c>
      <c r="E18" s="9">
        <f>VLOOKUP(A18,[17]HISTOBQUEMAI23!$A$6:$G$39,4,0)</f>
        <v>0</v>
      </c>
      <c r="F18" s="9">
        <f>VLOOKUP(A18,[17]HISTOBQUEMAI23!$A$6:$G$39,5,0)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VLOOKUP($A18,[18]TONTMAI23!$A$6:$P$20,10,0)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VLOOKUP(A19,[17]HISTOBQUEMAI23!$A$6:$G$44,3,0)</f>
        <v>40000</v>
      </c>
      <c r="E19" s="9">
        <f>VLOOKUP(A19,[17]HISTOBQUEMAI23!$A$6:$G$39,4,0)</f>
        <v>0</v>
      </c>
      <c r="F19" s="9">
        <f>VLOOKUP(A19,[17]HISTOBQUEMAI23!$A$6:$G$39,5,0)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VLOOKUP(A20,[17]HISTOBQUEMAI23!$A$6:$G$44,3,0)</f>
        <v>215000</v>
      </c>
      <c r="E20" s="9">
        <f>VLOOKUP(A20,[17]HISTOBQUEMAI23!$A$6:$G$39,4,0)</f>
        <v>0</v>
      </c>
      <c r="F20" s="9">
        <f>VLOOKUP(A20,[17]HISTOBQUEMAI23!$A$6:$G$39,5,0)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VLOOKUP($A20,[18]TONTMAI23!$A$6:$P$20,10,0)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VLOOKUP(A21,[17]HISTOBQUEMAI23!$A$6:$G$44,3,0)</f>
        <v>40000</v>
      </c>
      <c r="E21" s="9">
        <f>VLOOKUP(A21,[17]HISTOBQUEMAI23!$A$6:$G$39,4,0)</f>
        <v>0</v>
      </c>
      <c r="F21" s="9">
        <f>VLOOKUP(A21,[17]HISTOBQUEMAI23!$A$6:$G$39,5,0)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VLOOKUP(A22,[17]HISTOBQUEMAI23!$A$6:$G$44,3,0)</f>
        <v>115000</v>
      </c>
      <c r="E22" s="9">
        <f>VLOOKUP(A22,[17]HISTOBQUEMAI23!$A$6:$G$39,4,0)</f>
        <v>0</v>
      </c>
      <c r="F22" s="9">
        <f>VLOOKUP(A22,[17]HISTOBQUEMAI23!$A$6:$G$39,5,0)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VLOOKUP($A22,[18]TONTMAI23!$A$6:$P$20,10,0)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VLOOKUP(A23,[17]HISTOBQUEMAI23!$A$6:$G$44,3,0)</f>
        <v>250000</v>
      </c>
      <c r="E23" s="9">
        <f>VLOOKUP(A23,[17]HISTOBQUEMAI23!$A$6:$G$39,4,0)</f>
        <v>0</v>
      </c>
      <c r="F23" s="9">
        <f>VLOOKUP(A23,[17]HISTOBQUEMAI23!$A$6:$G$39,5,0)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VLOOKUP(A24,[17]HISTOBQUEMAI23!$A$6:$G$44,3,0)</f>
        <v>210000</v>
      </c>
      <c r="E24" s="9">
        <f>VLOOKUP(A24,[17]HISTOBQUEMAI23!$A$6:$G$39,4,0)</f>
        <v>0</v>
      </c>
      <c r="F24" s="9">
        <f>VLOOKUP(A24,[17]HISTOBQUEMAI23!$A$6:$G$39,5,0)+70000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VLOOKUP($A24,[18]TONTMAI23!$A$6:$P$20,10,0)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VLOOKUP(A25,[17]HISTOBQUEMAI23!$A$6:$G$44,3,0)+27000</f>
        <v>407000</v>
      </c>
      <c r="E25" s="9">
        <f>VLOOKUP(A25,[17]HISTOBQUEMAI23!$A$6:$G$39,4,0)</f>
        <v>0</v>
      </c>
      <c r="F25" s="9">
        <f>VLOOKUP(A25,[17]HISTOBQUEMAI23!$A$6:$G$39,5,0)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VLOOKUP($A25,[18]TONTMAI23!$A$6:$P$20,10,0)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VLOOKUP(A26,[17]HISTOBQUEMAI23!$A$6:$G$44,3,0)</f>
        <v>0</v>
      </c>
      <c r="E26" s="9">
        <f>VLOOKUP(A26,[17]HISTOBQUEMAI23!$A$6:$G$39,4,0)</f>
        <v>104000</v>
      </c>
      <c r="F26" s="9">
        <f>VLOOKUP(A26,[17]HISTOBQUEMAI23!$A$6:$G$39,5,0)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9">
        <f t="shared" si="0"/>
        <v>120000</v>
      </c>
      <c r="D27" s="9">
        <f>VLOOKUP(A27,[17]HISTOBQUEMAI23!$A$6:$G$44,3,0)</f>
        <v>560000</v>
      </c>
      <c r="E27" s="9">
        <f>VLOOKUP(A27,[17]HISTOBQUEMAI23!$A$6:$G$39,4,0)</f>
        <v>0</v>
      </c>
      <c r="F27" s="9">
        <f>VLOOKUP(A27,[17]HISTOBQUEMAI23!$A$6:$G$39,5,0)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VLOOKUP(A28,[17]HISTOBQUEMAI23!$A$6:$G$44,3,0)</f>
        <v>115000</v>
      </c>
      <c r="E28" s="9">
        <f>VLOOKUP(A28,[17]HISTOBQUEMAI23!$A$6:$G$39,4,0)</f>
        <v>0</v>
      </c>
      <c r="F28" s="9">
        <f>VLOOKUP(A28,[17]HISTOBQUEMAI23!$A$6:$G$39,5,0)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VLOOKUP($A28,[18]TONTMAI23!$A$6:$P$20,10,0)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VLOOKUP(A29,[17]HISTOBQUEMAI23!$A$6:$G$44,3,0)</f>
        <v>40000</v>
      </c>
      <c r="E29" s="9">
        <f>VLOOKUP(A29,[17]HISTOBQUEMAI23!$A$6:$G$39,4,0)</f>
        <v>0</v>
      </c>
      <c r="F29" s="9">
        <f>VLOOKUP(A29,[17]HISTOBQUEMAI23!$A$6:$G$39,5,0)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VLOOKUP(A30,[17]HISTOBQUEMAI23!$A$6:$G$44,3,0)</f>
        <v>115000</v>
      </c>
      <c r="E30" s="9">
        <f>VLOOKUP(A30,[17]HISTOBQUEMAI23!$A$6:$G$39,4,0)</f>
        <v>0</v>
      </c>
      <c r="F30" s="9">
        <f>VLOOKUP(A30,[17]HISTOBQUEMAI23!$A$6:$G$39,5,0)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VLOOKUP($A30,[18]TONTMAI23!$A$6:$P$20,10,0)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VLOOKUP(A31,[17]HISTOBQUEMAI23!$A$6:$G$44,3,0)</f>
        <v>140000</v>
      </c>
      <c r="E31" s="9">
        <f>VLOOKUP(A31,[17]HISTOBQUEMAI23!$A$6:$G$39,4,0)</f>
        <v>0</v>
      </c>
      <c r="F31" s="9">
        <f>VLOOKUP(A31,[17]HISTOBQUEMAI23!$A$6:$G$39,5,0)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VLOOKUP(A32,[17]HISTOBQUEMAI23!$A$6:$G$44,3,0)</f>
        <v>255000</v>
      </c>
      <c r="E32" s="9">
        <f>VLOOKUP(A32,[17]HISTOBQUEMAI23!$A$6:$G$39,4,0)</f>
        <v>0</v>
      </c>
      <c r="F32" s="9">
        <f>VLOOKUP(A32,[17]HISTOBQUEMAI23!$A$6:$G$39,5,0)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VLOOKUP($A32,[18]TONTMAI23!$A$6:$P$20,10,0)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9">
        <f t="shared" si="0"/>
        <v>-3000</v>
      </c>
      <c r="D33" s="9">
        <f>VLOOKUP(A33,[17]HISTOBQUEMAI23!$A$6:$G$44,3,0)</f>
        <v>0</v>
      </c>
      <c r="E33" s="9">
        <f>VLOOKUP(A33,[17]HISTOBQUEMAI23!$A$6:$G$39,4,0)</f>
        <v>40000</v>
      </c>
      <c r="F33" s="9">
        <f>VLOOKUP(A33,[17]HISTOBQUEMAI23!$A$6:$G$39,5,0)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VLOOKUP(A34,[17]HISTOBQUEMAI23!$A$6:$G$44,3,0)</f>
        <v>100000</v>
      </c>
      <c r="E34" s="9">
        <f>VLOOKUP(A34,[17]HISTOBQUEMAI23!$A$6:$G$39,4,0)</f>
        <v>0</v>
      </c>
      <c r="F34" s="9">
        <f>VLOOKUP(A34,[17]HISTOBQUEMAI23!$A$6:$G$39,5,0)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9">
        <f t="shared" si="0"/>
        <v>43000</v>
      </c>
      <c r="D35" s="9">
        <f>VLOOKUP(A35,[17]HISTOBQUEMAI23!$A$6:$G$44,3,0)</f>
        <v>0</v>
      </c>
      <c r="E35" s="9">
        <f>VLOOKUP(A35,[17]HISTOBQUEMAI23!$A$6:$G$39,4,0)</f>
        <v>86000</v>
      </c>
      <c r="F35" s="9">
        <f>VLOOKUP(A35,[17]HISTOBQUEMAI23!$A$6:$G$39,5,0)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VLOOKUP(A36,[17]HISTOBQUEMAI23!$A$6:$G$44,3,0)</f>
        <v>290000</v>
      </c>
      <c r="E36" s="9">
        <f>VLOOKUP(A36,[17]HISTOBQUEMAI23!$A$6:$G$39,4,0)</f>
        <v>0</v>
      </c>
      <c r="F36" s="9">
        <f>VLOOKUP(A36,[17]HISTOBQUEMAI23!$A$6:$G$39,5,0)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VLOOKUP($A36,[18]TONTMAI23!$A$6:$P$20,10,0)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8931000</v>
      </c>
    </row>
  </sheetData>
  <autoFilter ref="A5:AF36" xr:uid="{00000000-0009-0000-0000-000015000000}"/>
  <mergeCells count="1">
    <mergeCell ref="B4:M4"/>
  </mergeCells>
  <dataValidations count="1">
    <dataValidation type="list" allowBlank="1" showInputMessage="1" showErrorMessage="1" sqref="T6:T36 AP6:AP36 AF6:AF36 AA6:AA36" xr:uid="{00000000-0002-0000-15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0" width="15" customWidth="1"/>
    <col min="51" max="51" width="8.45312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VLOOKUP(A6,[17]HISTOBQUEJUIN23!$A$6:$G$44,3,0)</f>
        <v>175000</v>
      </c>
      <c r="E6" s="9">
        <f>VLOOKUP(A6,[17]HISTOBQUEJUIN23!$A$6:$G$39,4,0)</f>
        <v>0</v>
      </c>
      <c r="F6" s="9">
        <f>VLOOKUP(A6,[17]HISTOBQUEJUIN23!$A$6:$G$39,5,0)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VLOOKUP(A7,[17]HISTOBQUEJUIN23!$A$6:$G$44,3,0)</f>
        <v>40000</v>
      </c>
      <c r="E7" s="9">
        <f>VLOOKUP(A7,[17]HISTOBQUEJUIN23!$A$6:$G$39,4,0)</f>
        <v>0</v>
      </c>
      <c r="F7" s="9">
        <f>VLOOKUP(A7,[17]HISTOBQUEJUIN23!$A$6:$G$39,5,0)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VLOOKUP(A8,[17]HISTOBQUEJUIN23!$A$6:$G$44,3,0)+500000</f>
        <v>615000</v>
      </c>
      <c r="E8" s="9">
        <f>VLOOKUP(A8,[17]HISTOBQUEJUIN23!$A$6:$G$39,4,0)</f>
        <v>0</v>
      </c>
      <c r="F8" s="9">
        <f>VLOOKUP(A8,[17]HISTOBQUEJUIN23!$A$6:$G$39,5,0)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VLOOKUP($A8,[18]TONTJUIN23!$A$6:$P$20,10,0)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VLOOKUP(A9,[17]HISTOBQUEJUIN23!$A$6:$G$44,3,0)</f>
        <v>191000</v>
      </c>
      <c r="E9" s="9">
        <f>VLOOKUP(A9,[17]HISTOBQUEJUIN23!$A$6:$G$39,4,0)</f>
        <v>0</v>
      </c>
      <c r="F9" s="9">
        <f>VLOOKUP(A9,[17]HISTOBQUEJUIN23!$A$6:$G$39,5,0)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VLOOKUP(A10,[17]HISTOBQUEJUIN23!$A$6:$G$44,3,0)</f>
        <v>0</v>
      </c>
      <c r="E10" s="9">
        <f>VLOOKUP(A10,[17]HISTOBQUEJUIN23!$A$6:$G$39,4,0)</f>
        <v>43000</v>
      </c>
      <c r="F10" s="9">
        <f>VLOOKUP(A10,[17]HISTOBQUEJUIN23!$A$6:$G$39,5,0)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-500</v>
      </c>
      <c r="D11" s="9">
        <f>VLOOKUP(A11,[17]HISTOBQUEJUIN23!$A$6:$G$44,3,0)+81500</f>
        <v>251500</v>
      </c>
      <c r="E11" s="9">
        <f>VLOOKUP(A11,[17]HISTOBQUEJUIN23!$A$6:$G$39,4,0)</f>
        <v>0</v>
      </c>
      <c r="F11" s="9">
        <f>VLOOKUP(A11,[17]HISTOBQUEJUIN23!$A$6:$G$39,5,0)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VLOOKUP($A11,[18]TONTJUIN23!$A$6:$P$20,10,0)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VLOOKUP(A12,[17]HISTOBQUEJUIN23!$A$6:$G$44,3,0)+202500</f>
        <v>590500</v>
      </c>
      <c r="E12" s="9">
        <f>VLOOKUP(A12,[17]HISTOBQUEJUIN23!$A$6:$G$39,4,0)</f>
        <v>0</v>
      </c>
      <c r="F12" s="9">
        <f>VLOOKUP(A12,[17]HISTOBQUEJUIN23!$A$6:$G$39,5,0)+1000000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VLOOKUP($A12,[18]TONTJUIN23!$A$6:$P$20,10,0)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VLOOKUP(A13,[17]HISTOBQUEJUIN23!$A$6:$G$44,3,0)</f>
        <v>40000</v>
      </c>
      <c r="E13" s="9">
        <f>VLOOKUP(A13,[17]HISTOBQUEJUIN23!$A$6:$G$39,4,0)</f>
        <v>0</v>
      </c>
      <c r="F13" s="9">
        <f>VLOOKUP(A13,[17]HISTOBQUEJUIN23!$A$6:$G$39,5,0)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VLOOKUP(A14,[17]HISTOBQUEJUIN23!$A$6:$G$44,3,0)</f>
        <v>40000</v>
      </c>
      <c r="E14" s="9">
        <f>VLOOKUP(A14,[17]HISTOBQUEJUIN23!$A$6:$G$39,4,0)</f>
        <v>0</v>
      </c>
      <c r="F14" s="9">
        <f>VLOOKUP(A14,[17]HISTOBQUEJUIN23!$A$6:$G$39,5,0)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VLOOKUP(A15,[17]HISTOBQUEJUIN23!$A$6:$G$44,3,0)</f>
        <v>115000</v>
      </c>
      <c r="E15" s="9">
        <f>VLOOKUP(A15,[17]HISTOBQUEJUIN23!$A$6:$G$39,4,0)</f>
        <v>0</v>
      </c>
      <c r="F15" s="9">
        <f>VLOOKUP(A15,[17]HISTOBQUEJUIN23!$A$6:$G$39,5,0)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VLOOKUP($A15,[18]TONTJUIN23!$A$6:$P$20,10,0)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VLOOKUP(A16,[17]HISTOBQUEJUIN23!$A$6:$G$44,3,0)</f>
        <v>250000</v>
      </c>
      <c r="E16" s="9">
        <f>VLOOKUP(A16,[17]HISTOBQUEJUIN23!$A$6:$G$39,4,0)</f>
        <v>0</v>
      </c>
      <c r="F16" s="9">
        <f>VLOOKUP(A16,[17]HISTOBQUEJUIN23!$A$6:$G$39,5,0)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VLOOKUP($A16,[18]TONTJUIN23!$A$6:$P$20,10,0)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VLOOKUP(A17,[17]HISTOBQUEJUIN23!$A$6:$G$44,3,0)</f>
        <v>140000</v>
      </c>
      <c r="E17" s="9">
        <f>VLOOKUP(A17,[17]HISTOBQUEJUIN23!$A$6:$G$39,4,0)</f>
        <v>0</v>
      </c>
      <c r="F17" s="9">
        <f>VLOOKUP(A17,[17]HISTOBQUEJUIN23!$A$6:$G$39,5,0)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VLOOKUP(A18,[17]HISTOBQUEJUIN23!$A$6:$G$44,3,0)</f>
        <v>1215000</v>
      </c>
      <c r="E18" s="9">
        <f>VLOOKUP(A18,[17]HISTOBQUEJUIN23!$A$6:$G$39,4,0)</f>
        <v>0</v>
      </c>
      <c r="F18" s="9">
        <f>VLOOKUP(A18,[17]HISTOBQUEJUIN23!$A$6:$G$39,5,0)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VLOOKUP($A18,[18]TONTJUIN23!$A$6:$P$20,10,0)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VLOOKUP(A19,[17]HISTOBQUEJUIN23!$A$6:$G$44,3,0)</f>
        <v>40000</v>
      </c>
      <c r="E19" s="9">
        <f>VLOOKUP(A19,[17]HISTOBQUEJUIN23!$A$6:$G$39,4,0)</f>
        <v>0</v>
      </c>
      <c r="F19" s="9">
        <f>VLOOKUP(A19,[17]HISTOBQUEJUIN23!$A$6:$G$39,5,0)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>D20+E20+F20-U20-BB20-202000-81500-500000</f>
        <v>0</v>
      </c>
      <c r="D20" s="9">
        <f>VLOOKUP(A20,[17]HISTOBQUEJUIN23!$A$6:$G$44,3,0)-500</f>
        <v>997500</v>
      </c>
      <c r="E20" s="9">
        <f>VLOOKUP(A20,[17]HISTOBQUEJUIN23!$A$6:$G$39,4,0)</f>
        <v>0</v>
      </c>
      <c r="F20" s="9">
        <f>VLOOKUP(A20,[17]HISTOBQUEJUIN23!$A$6:$G$39,5,0)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VLOOKUP($A20,[18]TONTJUIN23!$A$6:$P$20,10,0)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VLOOKUP(A21,[17]HISTOBQUEJUIN23!$A$6:$G$44,3,0)</f>
        <v>40000</v>
      </c>
      <c r="E21" s="9">
        <f>VLOOKUP(A21,[17]HISTOBQUEJUIN23!$A$6:$G$39,4,0)</f>
        <v>0</v>
      </c>
      <c r="F21" s="9">
        <f>VLOOKUP(A21,[17]HISTOBQUEJUIN23!$A$6:$G$39,5,0)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VLOOKUP(A22,[17]HISTOBQUEJUIN23!$A$6:$G$44,3,0)</f>
        <v>115000</v>
      </c>
      <c r="E22" s="9">
        <f>VLOOKUP(A22,[17]HISTOBQUEJUIN23!$A$6:$G$39,4,0)</f>
        <v>0</v>
      </c>
      <c r="F22" s="9">
        <f>VLOOKUP(A22,[17]HISTOBQUEJUIN23!$A$6:$G$39,5,0)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VLOOKUP($A22,[18]TONTJUIN23!$A$6:$P$20,10,0)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VLOOKUP(A23,[17]HISTOBQUEJUIN23!$A$6:$G$44,3,0)</f>
        <v>452000</v>
      </c>
      <c r="E23" s="9">
        <f>VLOOKUP(A23,[17]HISTOBQUEJUIN23!$A$6:$G$39,4,0)</f>
        <v>0</v>
      </c>
      <c r="F23" s="9">
        <f>VLOOKUP(A23,[17]HISTOBQUEJUIN23!$A$6:$G$39,5,0)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VLOOKUP(A24,[17]HISTOBQUEJUIN23!$A$6:$G$44,3,0)</f>
        <v>215000</v>
      </c>
      <c r="E24" s="9">
        <f>VLOOKUP(A24,[17]HISTOBQUEJUIN23!$A$6:$G$39,4,0)</f>
        <v>0</v>
      </c>
      <c r="F24" s="9">
        <f>VLOOKUP(A24,[17]HISTOBQUEJUIN23!$A$6:$G$39,5,0)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VLOOKUP($A24,[18]TONTJUIN23!$A$6:$P$20,10,0)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VLOOKUP(A25,[17]HISTOBQUEJUIN23!$A$6:$G$44,3,0)</f>
        <v>350000</v>
      </c>
      <c r="E25" s="9">
        <f>VLOOKUP(A25,[17]HISTOBQUEJUIN23!$A$6:$G$39,4,0)</f>
        <v>0</v>
      </c>
      <c r="F25" s="9">
        <f>VLOOKUP(A25,[17]HISTOBQUEJUIN23!$A$6:$G$39,5,0)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VLOOKUP($A25,[18]TONTJUIN23!$A$6:$P$20,10,0)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VLOOKUP(A26,[17]HISTOBQUEJUIN23!$A$6:$G$44,3,0)</f>
        <v>40000</v>
      </c>
      <c r="E26" s="9">
        <f>VLOOKUP(A26,[17]HISTOBQUEJUIN23!$A$6:$G$39,4,0)</f>
        <v>0</v>
      </c>
      <c r="F26" s="9">
        <f>VLOOKUP(A26,[17]HISTOBQUEJUIN23!$A$6:$G$39,5,0)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VLOOKUP(A27,[17]HISTOBQUEJUIN23!$A$6:$G$44,3,0)</f>
        <v>45000</v>
      </c>
      <c r="E27" s="9">
        <f>VLOOKUP(A27,[17]HISTOBQUEJUIN23!$A$6:$G$39,4,0)</f>
        <v>0</v>
      </c>
      <c r="F27" s="9">
        <f>VLOOKUP(A27,[17]HISTOBQUEJUIN23!$A$6:$G$39,5,0)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VLOOKUP(A28,[17]HISTOBQUEJUIN23!$A$6:$G$44,3,0)</f>
        <v>115000</v>
      </c>
      <c r="E28" s="9">
        <f>VLOOKUP(A28,[17]HISTOBQUEJUIN23!$A$6:$G$39,4,0)</f>
        <v>0</v>
      </c>
      <c r="F28" s="9">
        <f>VLOOKUP(A28,[17]HISTOBQUEJUIN23!$A$6:$G$39,5,0)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VLOOKUP($A28,[18]TONTJUIN23!$A$6:$P$20,10,0)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VLOOKUP(A29,[17]HISTOBQUEJUIN23!$A$6:$G$44,3,0)</f>
        <v>40000</v>
      </c>
      <c r="E29" s="9">
        <f>VLOOKUP(A29,[17]HISTOBQUEJUIN23!$A$6:$G$39,4,0)</f>
        <v>0</v>
      </c>
      <c r="F29" s="9">
        <f>VLOOKUP(A29,[17]HISTOBQUEJUIN23!$A$6:$G$39,5,0)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VLOOKUP(A30,[17]HISTOBQUEJUIN23!$A$6:$G$44,3,0)</f>
        <v>115000</v>
      </c>
      <c r="E30" s="9">
        <f>VLOOKUP(A30,[17]HISTOBQUEJUIN23!$A$6:$G$39,4,0)</f>
        <v>0</v>
      </c>
      <c r="F30" s="9">
        <f>VLOOKUP(A30,[17]HISTOBQUEJUIN23!$A$6:$G$39,5,0)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VLOOKUP($A30,[18]TONTJUIN23!$A$6:$P$20,10,0)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VLOOKUP(A31,[17]HISTOBQUEJUIN23!$A$6:$G$44,3,0)</f>
        <v>140000</v>
      </c>
      <c r="E31" s="9">
        <f>VLOOKUP(A31,[17]HISTOBQUEJUIN23!$A$6:$G$39,4,0)</f>
        <v>0</v>
      </c>
      <c r="F31" s="9">
        <f>VLOOKUP(A31,[17]HISTOBQUEJUIN23!$A$6:$G$39,5,0)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VLOOKUP(A32,[17]HISTOBQUEJUIN23!$A$6:$G$44,3,0)</f>
        <v>217000</v>
      </c>
      <c r="E32" s="9">
        <f>VLOOKUP(A32,[17]HISTOBQUEJUIN23!$A$6:$G$39,4,0)</f>
        <v>0</v>
      </c>
      <c r="F32" s="9">
        <f>VLOOKUP(A32,[17]HISTOBQUEJUIN23!$A$6:$G$39,5,0)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VLOOKUP($A32,[18]TONTJUIN23!$A$6:$P$20,10,0)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VLOOKUP(A33,[17]HISTOBQUEJUIN23!$A$6:$G$44,3,0)</f>
        <v>40000</v>
      </c>
      <c r="E33" s="9">
        <f>VLOOKUP(A33,[17]HISTOBQUEJUIN23!$A$6:$G$39,4,0)</f>
        <v>0</v>
      </c>
      <c r="F33" s="9">
        <f>VLOOKUP(A33,[17]HISTOBQUEJUIN23!$A$6:$G$39,5,0)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VLOOKUP(A34,[17]HISTOBQUEJUIN23!$A$6:$G$44,3,0)</f>
        <v>100000</v>
      </c>
      <c r="E34" s="9">
        <f>VLOOKUP(A34,[17]HISTOBQUEJUIN23!$A$6:$G$39,4,0)</f>
        <v>0</v>
      </c>
      <c r="F34" s="9">
        <f>VLOOKUP(A34,[17]HISTOBQUEJUIN23!$A$6:$G$39,5,0)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VLOOKUP(A35,[17]HISTOBQUEJUIN23!$A$6:$G$44,3,0)</f>
        <v>40000</v>
      </c>
      <c r="E35" s="9">
        <f>VLOOKUP(A35,[17]HISTOBQUEJUIN23!$A$6:$G$39,4,0)</f>
        <v>0</v>
      </c>
      <c r="F35" s="9">
        <f>VLOOKUP(A35,[17]HISTOBQUEJUIN23!$A$6:$G$39,5,0)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VLOOKUP(A36,[17]HISTOBQUEJUIN23!$A$6:$G$44,3,0)</f>
        <v>290000</v>
      </c>
      <c r="E36" s="9">
        <f>VLOOKUP(A36,[17]HISTOBQUEJUIN23!$A$6:$G$39,4,0)</f>
        <v>0</v>
      </c>
      <c r="F36" s="9">
        <f>VLOOKUP(A36,[17]HISTOBQUEJUIN23!$A$6:$G$39,5,0)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VLOOKUP($A36,[18]TONTJUIN23!$A$6:$P$20,10,0)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 t="s">
        <v>180</v>
      </c>
      <c r="BA39" s="5">
        <v>94000</v>
      </c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10365600</v>
      </c>
    </row>
  </sheetData>
  <autoFilter ref="A5:AF36" xr:uid="{00000000-0009-0000-0000-000016000000}"/>
  <mergeCells count="1">
    <mergeCell ref="B4:M4"/>
  </mergeCells>
  <dataValidations count="1">
    <dataValidation type="list" allowBlank="1" showInputMessage="1" showErrorMessage="1" sqref="T6:T36 AP6:AP36 AF6:AF36 AA6:AA36" xr:uid="{00000000-0002-0000-16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4.81640625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VLOOKUP(A6,[17]HISTOBQUEJUIL23!$A$6:$G$44,3,0)</f>
        <v>175000</v>
      </c>
      <c r="E6" s="9">
        <f>VLOOKUP(A6,[17]HISTOBQUEJUIL23!$A$6:$G$39,4,0)</f>
        <v>0</v>
      </c>
      <c r="F6" s="9">
        <f>VLOOKUP(A6,[17]HISTOBQUEJUIL23!$A$6:$G$39,5,0)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VLOOKUP(A7,[17]HISTOBQUEJUIL23!$A$6:$G$44,3,0)</f>
        <v>40000</v>
      </c>
      <c r="E7" s="9">
        <f>VLOOKUP(A7,[17]HISTOBQUEJUIL23!$A$6:$G$39,4,0)</f>
        <v>33500</v>
      </c>
      <c r="F7" s="9">
        <f>VLOOKUP(A7,[17]HISTOBQUEJUIL23!$A$6:$G$39,5,0)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VLOOKUP(A8,[17]HISTOBQUEJUIL23!$A$6:$G$44,3,0)</f>
        <v>115000</v>
      </c>
      <c r="E8" s="9">
        <f>VLOOKUP(A8,[17]HISTOBQUEJUIL23!$A$6:$G$39,4,0)</f>
        <v>0</v>
      </c>
      <c r="F8" s="9">
        <f>VLOOKUP(A8,[17]HISTOBQUEJUIL23!$A$6:$G$39,5,0)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VLOOKUP($A8,[18]TONTJUIL23!$A$6:$P$20,10,0)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VLOOKUP(A9,[17]HISTOBQUEJUIL23!$A$6:$G$44,3,0)</f>
        <v>241000</v>
      </c>
      <c r="E9" s="9">
        <f>VLOOKUP(A9,[17]HISTOBQUEJUIL23!$A$6:$G$39,4,0)</f>
        <v>87500</v>
      </c>
      <c r="F9" s="9">
        <f>VLOOKUP(A9,[17]HISTOBQUEJUIL23!$A$6:$G$39,5,0)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14">
        <f t="shared" si="0"/>
        <v>0</v>
      </c>
      <c r="D10" s="9">
        <f>VLOOKUP(A10,[17]HISTOBQUEJUIL23!$A$6:$G$44,3,0)</f>
        <v>0</v>
      </c>
      <c r="E10" s="9">
        <f>VLOOKUP(A10,[17]HISTOBQUEJUIL23!$A$6:$G$39,4,0)+3000</f>
        <v>43000</v>
      </c>
      <c r="F10" s="9">
        <f>VLOOKUP(A10,[17]HISTOBQUEJUIL23!$A$6:$G$39,5,0)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VLOOKUP(A11,[17]HISTOBQUEJUIL23!$A$6:$G$44,3,0)+50000</f>
        <v>165000</v>
      </c>
      <c r="E11" s="9">
        <f>VLOOKUP(A11,[17]HISTOBQUEJUIL23!$A$6:$G$39,4,0)</f>
        <v>85500</v>
      </c>
      <c r="F11" s="9">
        <f>VLOOKUP(A11,[17]HISTOBQUEJUIL23!$A$6:$G$39,5,0)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VLOOKUP($A11,[18]TONTJUIL23!$A$6:$P$20,10,0)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VLOOKUP(A12,[17]HISTOBQUEJUIL23!$A$6:$G$44,3,0)</f>
        <v>360000</v>
      </c>
      <c r="E12" s="9">
        <f>VLOOKUP(A12,[17]HISTOBQUEJUIL23!$A$6:$G$39,4,0)</f>
        <v>0</v>
      </c>
      <c r="F12" s="9">
        <f>VLOOKUP(A12,[17]HISTOBQUEJUIL23!$A$6:$G$39,5,0)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VLOOKUP($A12,[18]TONTJUIL23!$A$6:$P$20,10,0)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VLOOKUP(A13,[17]HISTOBQUEJUIL23!$A$6:$G$44,3,0)</f>
        <v>40000</v>
      </c>
      <c r="E13" s="9">
        <f>VLOOKUP(A13,[17]HISTOBQUEJUIL23!$A$6:$G$39,4,0)</f>
        <v>0</v>
      </c>
      <c r="F13" s="9">
        <f>VLOOKUP(A13,[17]HISTOBQUEJUIL23!$A$6:$G$39,5,0)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VLOOKUP(A14,[17]HISTOBQUEJUIL23!$A$6:$G$44,3,0)</f>
        <v>40000</v>
      </c>
      <c r="E14" s="9">
        <f>VLOOKUP(A14,[17]HISTOBQUEJUIL23!$A$6:$G$39,4,0)</f>
        <v>0</v>
      </c>
      <c r="F14" s="9">
        <f>VLOOKUP(A14,[17]HISTOBQUEJUIL23!$A$6:$G$39,5,0)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VLOOKUP(A15,[17]HISTOBQUEJUIL23!$A$6:$G$44,3,0)</f>
        <v>115000</v>
      </c>
      <c r="E15" s="9">
        <f>VLOOKUP(A15,[17]HISTOBQUEJUIL23!$A$6:$G$39,4,0)</f>
        <v>0</v>
      </c>
      <c r="F15" s="9">
        <f>VLOOKUP(A15,[17]HISTOBQUEJUIL23!$A$6:$G$39,5,0)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VLOOKUP($A15,[18]TONTJUIL23!$A$6:$P$20,10,0)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VLOOKUP(A16,[17]HISTOBQUEJUIL23!$A$6:$G$44,3,0)</f>
        <v>250000</v>
      </c>
      <c r="E16" s="9">
        <f>VLOOKUP(A16,[17]HISTOBQUEJUIL23!$A$6:$G$39,4,0)</f>
        <v>0</v>
      </c>
      <c r="F16" s="9">
        <f>VLOOKUP(A16,[17]HISTOBQUEJUIL23!$A$6:$G$39,5,0)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VLOOKUP($A16,[18]TONTJUIL23!$A$6:$P$20,10,0)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VLOOKUP(A17,[17]HISTOBQUEJUIL23!$A$6:$G$44,3,0)</f>
        <v>140000</v>
      </c>
      <c r="E17" s="9">
        <f>VLOOKUP(A17,[17]HISTOBQUEJUIL23!$A$6:$G$39,4,0)</f>
        <v>0</v>
      </c>
      <c r="F17" s="9">
        <f>VLOOKUP(A17,[17]HISTOBQUEJUIL23!$A$6:$G$39,5,0)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VLOOKUP(A18,[17]HISTOBQUEJUIL23!$A$6:$G$44,3,0)</f>
        <v>215000</v>
      </c>
      <c r="E18" s="9">
        <f>VLOOKUP(A18,[17]HISTOBQUEJUIL23!$A$6:$G$39,4,0)</f>
        <v>0</v>
      </c>
      <c r="F18" s="9">
        <f>VLOOKUP(A18,[17]HISTOBQUEJUIL23!$A$6:$G$39,5,0)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VLOOKUP($A18,[18]TONTJUIL23!$A$6:$P$20,10,0)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VLOOKUP(A19,[17]HISTOBQUEJUIL23!$A$6:$G$44,3,0)</f>
        <v>40000</v>
      </c>
      <c r="E19" s="9">
        <f>VLOOKUP(A19,[17]HISTOBQUEJUIL23!$A$6:$G$39,4,0)</f>
        <v>0</v>
      </c>
      <c r="F19" s="9">
        <f>VLOOKUP(A19,[17]HISTOBQUEJUIL23!$A$6:$G$39,5,0)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VLOOKUP(A20,[17]HISTOBQUEJUIL23!$A$6:$G$44,3,0)-202000-250000-50000</f>
        <v>519000</v>
      </c>
      <c r="E20" s="9">
        <f>VLOOKUP(A20,[17]HISTOBQUEJUIL23!$A$6:$G$39,4,0)</f>
        <v>0</v>
      </c>
      <c r="F20" s="9">
        <f>VLOOKUP(A20,[17]HISTOBQUEJUIL23!$A$6:$G$39,5,0)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VLOOKUP($A20,[18]TONTJUIL23!$A$6:$P$20,10,0)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VLOOKUP(A21,[17]HISTOBQUEJUIL23!$A$6:$G$44,3,0)</f>
        <v>40000</v>
      </c>
      <c r="E21" s="9">
        <f>VLOOKUP(A21,[17]HISTOBQUEJUIL23!$A$6:$G$39,4,0)</f>
        <v>0</v>
      </c>
      <c r="F21" s="9">
        <f>VLOOKUP(A21,[17]HISTOBQUEJUIL23!$A$6:$G$39,5,0)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VLOOKUP(A22,[17]HISTOBQUEJUIL23!$A$6:$G$44,3,0)</f>
        <v>115000</v>
      </c>
      <c r="E22" s="9">
        <f>VLOOKUP(A22,[17]HISTOBQUEJUIL23!$A$6:$G$39,4,0)</f>
        <v>0</v>
      </c>
      <c r="F22" s="9">
        <f>VLOOKUP(A22,[17]HISTOBQUEJUIL23!$A$6:$G$39,5,0)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VLOOKUP($A22,[18]TONTJUIL23!$A$6:$P$20,10,0)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VLOOKUP(A23,[17]HISTOBQUEJUIL23!$A$6:$G$44,3,0)+202000</f>
        <v>452000</v>
      </c>
      <c r="E23" s="9">
        <f>VLOOKUP(A23,[17]HISTOBQUEJUIL23!$A$6:$G$39,4,0)</f>
        <v>0</v>
      </c>
      <c r="F23" s="9">
        <f>VLOOKUP(A23,[17]HISTOBQUEJUIL23!$A$6:$G$39,5,0)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9">
        <f t="shared" si="0"/>
        <v>-122000</v>
      </c>
      <c r="D24" s="9">
        <f>VLOOKUP(A24,[17]HISTOBQUEJUIL23!$A$6:$G$44,3,0)-61000</f>
        <v>159000</v>
      </c>
      <c r="E24" s="9">
        <f>VLOOKUP(A24,[17]HISTOBQUEJUIL23!$A$6:$G$39,4,0)</f>
        <v>0</v>
      </c>
      <c r="F24" s="9">
        <f>VLOOKUP(A24,[17]HISTOBQUEJUIL23!$A$6:$G$39,5,0)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VLOOKUP($A24,[18]TONTJUIL23!$A$6:$P$20,10,0)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VLOOKUP(A25,[17]HISTOBQUEJUIL23!$A$6:$G$44,3,0)</f>
        <v>400000</v>
      </c>
      <c r="E25" s="9">
        <f>VLOOKUP(A25,[17]HISTOBQUEJUIL23!$A$6:$G$39,4,0)</f>
        <v>0</v>
      </c>
      <c r="F25" s="9">
        <f>VLOOKUP(A25,[17]HISTOBQUEJUIL23!$A$6:$G$39,5,0)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VLOOKUP($A25,[18]TONTJUIL23!$A$6:$P$20,10,0)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VLOOKUP(A26,[17]HISTOBQUEJUIL23!$A$6:$G$44,3,0)</f>
        <v>0</v>
      </c>
      <c r="E26" s="9">
        <f>VLOOKUP(A26,[17]HISTOBQUEJUIL23!$A$6:$G$39,4,0)</f>
        <v>43000</v>
      </c>
      <c r="F26" s="9">
        <f>VLOOKUP(A26,[17]HISTOBQUEJUIL23!$A$6:$G$39,5,0)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VLOOKUP(A27,[17]HISTOBQUEJUIL23!$A$6:$G$44,3,0)</f>
        <v>50000</v>
      </c>
      <c r="E27" s="9">
        <f>VLOOKUP(A27,[17]HISTOBQUEJUIL23!$A$6:$G$39,4,0)</f>
        <v>0</v>
      </c>
      <c r="F27" s="9">
        <f>VLOOKUP(A27,[17]HISTOBQUEJUIL23!$A$6:$G$39,5,0)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VLOOKUP(A28,[17]HISTOBQUEJUIL23!$A$6:$G$44,3,0)</f>
        <v>115000</v>
      </c>
      <c r="E28" s="9">
        <f>VLOOKUP(A28,[17]HISTOBQUEJUIL23!$A$6:$G$39,4,0)</f>
        <v>0</v>
      </c>
      <c r="F28" s="9">
        <f>VLOOKUP(A28,[17]HISTOBQUEJUIL23!$A$6:$G$39,5,0)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VLOOKUP($A28,[18]TONTJUIL23!$A$6:$P$20,10,0)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VLOOKUP(A29,[17]HISTOBQUEJUIL23!$A$6:$G$44,3,0)</f>
        <v>40000</v>
      </c>
      <c r="E29" s="9">
        <f>VLOOKUP(A29,[17]HISTOBQUEJUIL23!$A$6:$G$39,4,0)</f>
        <v>0</v>
      </c>
      <c r="F29" s="9">
        <f>VLOOKUP(A29,[17]HISTOBQUEJUIL23!$A$6:$G$39,5,0)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VLOOKUP(A30,[17]HISTOBQUEJUIL23!$A$6:$G$44,3,0)</f>
        <v>115000</v>
      </c>
      <c r="E30" s="9">
        <f>VLOOKUP(A30,[17]HISTOBQUEJUIL23!$A$6:$G$39,4,0)</f>
        <v>0</v>
      </c>
      <c r="F30" s="9">
        <f>VLOOKUP(A30,[17]HISTOBQUEJUIL23!$A$6:$G$39,5,0)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VLOOKUP($A30,[18]TONTJUIL23!$A$6:$P$20,10,0)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VLOOKUP(A31,[17]HISTOBQUEJUIL23!$A$6:$G$44,3,0)</f>
        <v>140000</v>
      </c>
      <c r="E31" s="9">
        <f>VLOOKUP(A31,[17]HISTOBQUEJUIL23!$A$6:$G$39,4,0)</f>
        <v>0</v>
      </c>
      <c r="F31" s="9">
        <f>VLOOKUP(A31,[17]HISTOBQUEJUIL23!$A$6:$G$39,5,0)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VLOOKUP(A32,[17]HISTOBQUEJUIL23!$A$6:$G$44,3,0)+250000</f>
        <v>365000</v>
      </c>
      <c r="E32" s="9">
        <f>VLOOKUP(A32,[17]HISTOBQUEJUIL23!$A$6:$G$39,4,0)</f>
        <v>102000</v>
      </c>
      <c r="F32" s="9">
        <f>VLOOKUP(A32,[17]HISTOBQUEJUIL23!$A$6:$G$39,5,0)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VLOOKUP($A32,[18]TONTJUIL23!$A$6:$P$20,10,0)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VLOOKUP(A33,[17]HISTOBQUEJUIL23!$A$6:$G$44,3,0)</f>
        <v>40000</v>
      </c>
      <c r="E33" s="9">
        <f>VLOOKUP(A33,[17]HISTOBQUEJUIL23!$A$6:$G$39,4,0)</f>
        <v>0</v>
      </c>
      <c r="F33" s="9">
        <f>VLOOKUP(A33,[17]HISTOBQUEJUIL23!$A$6:$G$39,5,0)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VLOOKUP(A34,[17]HISTOBQUEJUIL23!$A$6:$G$44,3,0)</f>
        <v>100000</v>
      </c>
      <c r="E34" s="9">
        <f>VLOOKUP(A34,[17]HISTOBQUEJUIL23!$A$6:$G$39,4,0)</f>
        <v>0</v>
      </c>
      <c r="F34" s="9">
        <f>VLOOKUP(A34,[17]HISTOBQUEJUIL23!$A$6:$G$39,5,0)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VLOOKUP(A35,[17]HISTOBQUEJUIL23!$A$6:$G$44,3,0)</f>
        <v>40000</v>
      </c>
      <c r="E35" s="9">
        <f>VLOOKUP(A35,[17]HISTOBQUEJUIL23!$A$6:$G$39,4,0)</f>
        <v>0</v>
      </c>
      <c r="F35" s="9">
        <f>VLOOKUP(A35,[17]HISTOBQUEJUIL23!$A$6:$G$39,5,0)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VLOOKUP(A36,[17]HISTOBQUEJUIL23!$A$6:$G$44,3,0)</f>
        <v>290000</v>
      </c>
      <c r="E36" s="9">
        <f>VLOOKUP(A36,[17]HISTOBQUEJUIL23!$A$6:$G$39,4,0)</f>
        <v>0</v>
      </c>
      <c r="F36" s="9">
        <f>VLOOKUP(A36,[17]HISTOBQUEJUIL23!$A$6:$G$39,5,0)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VLOOKUP($A36,[18]TONTJUIL23!$A$6:$P$20,10,0)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7121000</v>
      </c>
    </row>
  </sheetData>
  <autoFilter ref="A5:AF36" xr:uid="{00000000-0009-0000-0000-000017000000}"/>
  <mergeCells count="1">
    <mergeCell ref="B4:M4"/>
  </mergeCells>
  <dataValidations count="1">
    <dataValidation type="list" allowBlank="1" showInputMessage="1" showErrorMessage="1" sqref="T6:T36 AP6:AP36 AF6:AF36 AA6:AA36" xr:uid="{00000000-0002-0000-17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6.26953125" customWidth="1"/>
    <col min="58" max="58" width="15" bestFit="1" customWidth="1"/>
    <col min="63" max="63" width="14.453125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VLOOKUP(A6,[17]HISTOBQUEAOUT23!$A$6:$G$44,3,0)</f>
        <v>175000</v>
      </c>
      <c r="E6" s="9">
        <f>VLOOKUP(A6,[17]HISTOBQUEAOUT23!$A$6:$G$39,4,0)</f>
        <v>0</v>
      </c>
      <c r="F6" s="9">
        <f>VLOOKUP(A6,[17]HISTOBQUEAOUT23!$A$6:$G$39,5,0)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VLOOKUP(A7,[17]HISTOBQUEAOUT23!$A$6:$G$44,3,0)</f>
        <v>40000</v>
      </c>
      <c r="E7" s="9">
        <f>VLOOKUP(A7,[17]HISTOBQUEAOUT23!$A$6:$G$39,4,0)</f>
        <v>0</v>
      </c>
      <c r="F7" s="9">
        <f>VLOOKUP(A7,[17]HISTOBQUEAOUT23!$A$6:$G$39,5,0)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VLOOKUP(A8,[17]HISTOBQUEAOUT23!$A$6:$G$44,3,0)</f>
        <v>115000</v>
      </c>
      <c r="E8" s="9">
        <f>VLOOKUP(A8,[17]HISTOBQUEAOUT23!$A$6:$G$39,4,0)</f>
        <v>0</v>
      </c>
      <c r="F8" s="9">
        <f>VLOOKUP(A8,[17]HISTOBQUEAOUT23!$A$6:$G$39,5,0)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VLOOKUP($A8,[18]TONTAOUT23!$A$6:$P$20,10,0)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5" x14ac:dyDescent="0.45">
      <c r="A9" s="73" t="s">
        <v>13</v>
      </c>
      <c r="B9" s="73" t="str">
        <f>VLOOKUP(A9,[16]LISTADHERENT!A$5:H$39,3,0)</f>
        <v xml:space="preserve">DJOMO JEAN PAUL </v>
      </c>
      <c r="C9" s="14">
        <f t="shared" si="0"/>
        <v>0</v>
      </c>
      <c r="D9" s="14">
        <f>VLOOKUP(A9,[17]HISTOBQUEAOUT23!$A$6:$G$44,3,0)</f>
        <v>140000</v>
      </c>
      <c r="E9" s="14">
        <f>VLOOKUP(A9,[17]HISTOBQUEAOUT23!$A$6:$G$39,4,0)</f>
        <v>202000</v>
      </c>
      <c r="F9" s="14">
        <f>VLOOKUP(A9,[17]HISTOBQUEAOUT23!$A$6:$G$39,5,0)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VLOOKUP(A10,[17]HISTOBQUEAOUT23!$A$6:$G$44,3,0)</f>
        <v>0</v>
      </c>
      <c r="E10" s="9">
        <f>VLOOKUP(A10,[17]HISTOBQUEAOUT23!$A$6:$G$39,4,0)</f>
        <v>43000</v>
      </c>
      <c r="F10" s="9">
        <f>VLOOKUP(A10,[17]HISTOBQUEAOUT23!$A$6:$G$39,5,0)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VLOOKUP(A11,[17]HISTOBQUEAOUT23!$A$6:$G$44,3,0)</f>
        <v>115000</v>
      </c>
      <c r="E11" s="9">
        <f>VLOOKUP(A11,[17]HISTOBQUEAOUT23!$A$6:$G$39,4,0)</f>
        <v>0</v>
      </c>
      <c r="F11" s="9">
        <f>VLOOKUP(A11,[17]HISTOBQUEAOUT23!$A$6:$G$39,5,0)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VLOOKUP($A11,[18]TONTAOUT23!$A$6:$P$20,10,0)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VLOOKUP(A12,[17]HISTOBQUEAOUT23!$A$6:$G$44,3,0)</f>
        <v>320000</v>
      </c>
      <c r="E12" s="9">
        <f>VLOOKUP(A12,[17]HISTOBQUEAOUT23!$A$6:$G$39,4,0)</f>
        <v>0</v>
      </c>
      <c r="F12" s="9">
        <f>VLOOKUP(A12,[17]HISTOBQUEAOUT23!$A$6:$G$39,5,0)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VLOOKUP($A12,[18]TONTAOUT23!$A$6:$P$20,10,0)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VLOOKUP(A13,[17]HISTOBQUEAOUT23!$A$6:$G$44,3,0)</f>
        <v>40000</v>
      </c>
      <c r="E13" s="9">
        <f>VLOOKUP(A13,[17]HISTOBQUEAOUT23!$A$6:$G$39,4,0)</f>
        <v>0</v>
      </c>
      <c r="F13" s="9">
        <f>VLOOKUP(A13,[17]HISTOBQUEAOUT23!$A$6:$G$39,5,0)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VLOOKUP(A14,[17]HISTOBQUEAOUT23!$A$6:$G$44,3,0)</f>
        <v>40000</v>
      </c>
      <c r="E14" s="9">
        <f>VLOOKUP(A14,[17]HISTOBQUEAOUT23!$A$6:$G$39,4,0)</f>
        <v>0</v>
      </c>
      <c r="F14" s="9">
        <f>VLOOKUP(A14,[17]HISTOBQUEAOUT23!$A$6:$G$39,5,0)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VLOOKUP(A15,[17]HISTOBQUEAOUT23!$A$6:$G$44,3,0)</f>
        <v>115000</v>
      </c>
      <c r="E15" s="9">
        <f>VLOOKUP(A15,[17]HISTOBQUEAOUT23!$A$6:$G$39,4,0)</f>
        <v>0</v>
      </c>
      <c r="F15" s="9">
        <f>VLOOKUP(A15,[17]HISTOBQUEAOUT23!$A$6:$G$39,5,0)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VLOOKUP($A15,[18]TONTAOUT23!$A$6:$P$20,10,0)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VLOOKUP(A16,[17]HISTOBQUEAOUT23!$A$6:$G$44,3,0)</f>
        <v>250000</v>
      </c>
      <c r="E16" s="9">
        <f>VLOOKUP(A16,[17]HISTOBQUEAOUT23!$A$6:$G$39,4,0)</f>
        <v>0</v>
      </c>
      <c r="F16" s="9">
        <f>VLOOKUP(A16,[17]HISTOBQUEAOUT23!$A$6:$G$39,5,0)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VLOOKUP($A16,[18]TONTAOUT23!$A$6:$P$20,10,0)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VLOOKUP(A17,[17]HISTOBQUEAOUT23!$A$6:$G$44,3,0)</f>
        <v>241000</v>
      </c>
      <c r="E17" s="9">
        <f>VLOOKUP(A17,[17]HISTOBQUEAOUT23!$A$6:$G$39,4,0)</f>
        <v>0</v>
      </c>
      <c r="F17" s="9">
        <f>VLOOKUP(A17,[17]HISTOBQUEAOUT23!$A$6:$G$39,5,0)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VLOOKUP(A18,[17]HISTOBQUEAOUT23!$A$6:$G$44,3,0)</f>
        <v>215000</v>
      </c>
      <c r="E18" s="9">
        <f>VLOOKUP(A18,[17]HISTOBQUEAOUT23!$A$6:$G$39,4,0)</f>
        <v>0</v>
      </c>
      <c r="F18" s="9">
        <f>VLOOKUP(A18,[17]HISTOBQUEAOUT23!$A$6:$G$39,5,0)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VLOOKUP($A18,[18]TONTAOUT23!$A$6:$P$20,10,0)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VLOOKUP(A19,[17]HISTOBQUEAOUT23!$A$6:$G$44,3,0)</f>
        <v>340000</v>
      </c>
      <c r="E19" s="9">
        <f>VLOOKUP(A19,[17]HISTOBQUEAOUT23!$A$6:$G$39,4,0)</f>
        <v>0</v>
      </c>
      <c r="F19" s="9">
        <f>VLOOKUP(A19,[17]HISTOBQUEAOUT23!$A$6:$G$39,5,0)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VLOOKUP(A20,[17]HISTOBQUEAOUT23!$A$6:$G$44,3,0)</f>
        <v>586500</v>
      </c>
      <c r="E20" s="9">
        <f>VLOOKUP(A20,[17]HISTOBQUEAOUT23!$A$6:$G$39,4,0)</f>
        <v>0</v>
      </c>
      <c r="F20" s="9">
        <f>VLOOKUP(A20,[17]HISTOBQUEAOUT23!$A$6:$G$39,5,0)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VLOOKUP($A20,[18]TONTAOUT23!$A$6:$P$20,10,0)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VLOOKUP(A21,[17]HISTOBQUEAOUT23!$A$6:$G$44,3,0)</f>
        <v>40000</v>
      </c>
      <c r="E21" s="9">
        <f>VLOOKUP(A21,[17]HISTOBQUEAOUT23!$A$6:$G$39,4,0)</f>
        <v>0</v>
      </c>
      <c r="F21" s="9">
        <f>VLOOKUP(A21,[17]HISTOBQUEAOUT23!$A$6:$G$39,5,0)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VLOOKUP(A22,[17]HISTOBQUEAOUT23!$A$6:$G$44,3,0)</f>
        <v>115000</v>
      </c>
      <c r="E22" s="9">
        <f>VLOOKUP(A22,[17]HISTOBQUEAOUT23!$A$6:$G$39,4,0)</f>
        <v>0</v>
      </c>
      <c r="F22" s="9">
        <f>VLOOKUP(A22,[17]HISTOBQUEAOUT23!$A$6:$G$39,5,0)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VLOOKUP($A22,[18]TONTAOUT23!$A$6:$P$20,10,0)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69">
        <f t="shared" si="0"/>
        <v>-576000</v>
      </c>
      <c r="D23" s="9">
        <f>VLOOKUP(A23,[17]HISTOBQUEAOUT23!$A$6:$G$44,3,0)</f>
        <v>270000</v>
      </c>
      <c r="E23" s="9">
        <f>VLOOKUP(A23,[17]HISTOBQUEAOUT23!$A$6:$G$39,4,0)</f>
        <v>0</v>
      </c>
      <c r="F23" s="9">
        <f>VLOOKUP(A23,[17]HISTOBQUEAOUT23!$A$6:$G$39,5,0)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69">
        <f t="shared" si="0"/>
        <v>-230000</v>
      </c>
      <c r="D24" s="9">
        <f>VLOOKUP(A24,[17]HISTOBQUEAOUT23!$A$6:$G$44,3,0)</f>
        <v>320000</v>
      </c>
      <c r="E24" s="9">
        <f>VLOOKUP(A24,[17]HISTOBQUEAOUT23!$A$6:$G$39,4,0)</f>
        <v>0</v>
      </c>
      <c r="F24" s="9">
        <f>VLOOKUP(A24,[17]HISTOBQUEAOUT23!$A$6:$G$39,5,0)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VLOOKUP($A24,[18]TONTAOUT23!$A$6:$P$20,10,0)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VLOOKUP(A25,[17]HISTOBQUEAOUT23!$A$6:$G$44,3,0)</f>
        <v>400000</v>
      </c>
      <c r="E25" s="9">
        <f>VLOOKUP(A25,[17]HISTOBQUEAOUT23!$A$6:$G$39,4,0)</f>
        <v>0</v>
      </c>
      <c r="F25" s="9">
        <f>VLOOKUP(A25,[17]HISTOBQUEAOUT23!$A$6:$G$39,5,0)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VLOOKUP($A25,[18]TONTAOUT23!$A$6:$P$20,10,0)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69">
        <f t="shared" si="0"/>
        <v>-1000000</v>
      </c>
      <c r="D26" s="9">
        <f>VLOOKUP(A26,[17]HISTOBQUEAOUT23!$A$6:$G$44,3,0)-76000</f>
        <v>40000</v>
      </c>
      <c r="E26" s="9">
        <f>VLOOKUP(A26,[17]HISTOBQUEAOUT23!$A$6:$G$39,4,0)</f>
        <v>0</v>
      </c>
      <c r="F26" s="9">
        <f>VLOOKUP(A26,[17]HISTOBQUEAOUT23!$A$6:$G$39,5,0)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VLOOKUP(A27,[17]HISTOBQUEAOUT23!$A$6:$G$44,3,0)</f>
        <v>50000</v>
      </c>
      <c r="E27" s="9">
        <f>VLOOKUP(A27,[17]HISTOBQUEAOUT23!$A$6:$G$39,4,0)</f>
        <v>0</v>
      </c>
      <c r="F27" s="9">
        <f>VLOOKUP(A27,[17]HISTOBQUEAOUT23!$A$6:$G$39,5,0)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VLOOKUP(A28,[17]HISTOBQUEAOUT23!$A$6:$G$44,3,0)</f>
        <v>115000</v>
      </c>
      <c r="E28" s="9">
        <f>VLOOKUP(A28,[17]HISTOBQUEAOUT23!$A$6:$G$39,4,0)</f>
        <v>0</v>
      </c>
      <c r="F28" s="9">
        <f>VLOOKUP(A28,[17]HISTOBQUEAOUT23!$A$6:$G$39,5,0)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VLOOKUP($A28,[18]TONTAOUT23!$A$6:$P$20,10,0)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VLOOKUP(A29,[17]HISTOBQUEAOUT23!$A$6:$G$44,3,0)</f>
        <v>40000</v>
      </c>
      <c r="E29" s="9">
        <f>VLOOKUP(A29,[17]HISTOBQUEAOUT23!$A$6:$G$39,4,0)</f>
        <v>0</v>
      </c>
      <c r="F29" s="9">
        <f>VLOOKUP(A29,[17]HISTOBQUEAOUT23!$A$6:$G$39,5,0)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VLOOKUP(A30,[17]HISTOBQUEAOUT23!$A$6:$G$44,3,0)</f>
        <v>115000</v>
      </c>
      <c r="E30" s="9">
        <f>VLOOKUP(A30,[17]HISTOBQUEAOUT23!$A$6:$G$39,4,0)</f>
        <v>0</v>
      </c>
      <c r="F30" s="9">
        <f>VLOOKUP(A30,[17]HISTOBQUEAOUT23!$A$6:$G$39,5,0)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VLOOKUP($A30,[18]TONTAOUT23!$A$6:$P$20,10,0)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VLOOKUP(A31,[17]HISTOBQUEAOUT23!$A$6:$G$44,3,0)</f>
        <v>140000</v>
      </c>
      <c r="E31" s="9">
        <f>VLOOKUP(A31,[17]HISTOBQUEAOUT23!$A$6:$G$39,4,0)</f>
        <v>0</v>
      </c>
      <c r="F31" s="9">
        <f>VLOOKUP(A31,[17]HISTOBQUEAOUT23!$A$6:$G$39,5,0)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5" x14ac:dyDescent="0.45">
      <c r="A32" s="73" t="s">
        <v>38</v>
      </c>
      <c r="B32" s="73" t="str">
        <f>VLOOKUP(A32,[16]LISTADHERENT!A$5:H$39,3,0)</f>
        <v>TCHOUAMOU MATHIEU</v>
      </c>
      <c r="C32" s="14">
        <f t="shared" si="0"/>
        <v>0</v>
      </c>
      <c r="D32" s="14">
        <f>VLOOKUP(A32,[17]HISTOBQUEAOUT23!$A$6:$G$44,3,0)+76000</f>
        <v>441000</v>
      </c>
      <c r="E32" s="14">
        <f>VLOOKUP(A32,[17]HISTOBQUEAOUT23!$A$6:$G$39,4,0)</f>
        <v>0</v>
      </c>
      <c r="F32" s="14">
        <f>VLOOKUP(A32,[17]HISTOBQUEAOUT23!$A$6:$G$39,5,0)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VLOOKUP($A32,[18]TONTAOUT23!$A$6:$P$20,10,0)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VLOOKUP(A33,[17]HISTOBQUEAOUT23!$A$6:$G$44,3,0)+40000</f>
        <v>40000</v>
      </c>
      <c r="E33" s="9">
        <f>VLOOKUP(A33,[17]HISTOBQUEAOUT23!$A$6:$G$39,4,0)</f>
        <v>0</v>
      </c>
      <c r="F33" s="9">
        <f>VLOOKUP(A33,[17]HISTOBQUEAOUT23!$A$6:$G$39,5,0)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VLOOKUP(A34,[17]HISTOBQUEAOUT23!$A$6:$G$44,3,0)</f>
        <v>100000</v>
      </c>
      <c r="E34" s="9">
        <f>VLOOKUP(A34,[17]HISTOBQUEAOUT23!$A$6:$G$39,4,0)</f>
        <v>0</v>
      </c>
      <c r="F34" s="9">
        <f>VLOOKUP(A34,[17]HISTOBQUEAOUT23!$A$6:$G$39,5,0)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VLOOKUP(A35,[17]HISTOBQUEAOUT23!$A$6:$G$44,3,0)</f>
        <v>40000</v>
      </c>
      <c r="E35" s="9">
        <f>VLOOKUP(A35,[17]HISTOBQUEAOUT23!$A$6:$G$39,4,0)</f>
        <v>0</v>
      </c>
      <c r="F35" s="9">
        <f>VLOOKUP(A35,[17]HISTOBQUEAOUT23!$A$6:$G$39,5,0)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VLOOKUP(A36,[17]HISTOBQUEAOUT23!$A$6:$G$44,3,0)</f>
        <v>290000</v>
      </c>
      <c r="E36" s="9">
        <f>VLOOKUP(A36,[17]HISTOBQUEAOUT23!$A$6:$G$39,4,0)</f>
        <v>0</v>
      </c>
      <c r="F36" s="9">
        <f>VLOOKUP(A36,[17]HISTOBQUEAOUT23!$A$6:$G$39,5,0)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VLOOKUP($A36,[18]TONTAOUT23!$A$6:$P$20,10,0)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5" x14ac:dyDescent="0.45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5" x14ac:dyDescent="0.45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12480000</v>
      </c>
    </row>
  </sheetData>
  <autoFilter ref="A5:AF36" xr:uid="{00000000-0009-0000-0000-000018000000}"/>
  <mergeCells count="1">
    <mergeCell ref="B4:M4"/>
  </mergeCells>
  <dataValidations count="1">
    <dataValidation type="list" allowBlank="1" showInputMessage="1" showErrorMessage="1" sqref="T6:T36 AP6:AP36 AF6:AF36 AA6:AA36" xr:uid="{00000000-0002-0000-18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8" customWidth="1"/>
    <col min="58" max="58" width="15" bestFit="1" customWidth="1"/>
    <col min="64" max="64" width="12.453125" bestFit="1" customWidth="1"/>
    <col min="65" max="65" width="14.81640625" customWidth="1"/>
    <col min="66" max="66" width="14.4531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VLOOKUP(A6,[17]HISTOBQUESEPT23!$A$6:$G$44,3,0)</f>
        <v>175000</v>
      </c>
      <c r="E6" s="9">
        <f>VLOOKUP(A6,[17]HISTOBQUESEPT23!$A$6:$G$39,4,0)</f>
        <v>0</v>
      </c>
      <c r="F6" s="9">
        <f>VLOOKUP(A6,[17]HISTOBQUESEPT23!$A$6:$G$39,5,0)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VLOOKUP(A7,[17]HISTOBQUESEPT23!$A$6:$G$44,3,0)</f>
        <v>40000</v>
      </c>
      <c r="E7" s="9">
        <f>VLOOKUP(A7,[17]HISTOBQUESEPT23!$A$6:$G$39,4,0)</f>
        <v>0</v>
      </c>
      <c r="F7" s="9">
        <f>VLOOKUP(A7,[17]HISTOBQUESEPT23!$A$6:$G$39,5,0)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VLOOKUP(A8,[17]HISTOBQUESEPT23!$A$6:$G$44,3,0)</f>
        <v>115000</v>
      </c>
      <c r="E8" s="9">
        <f>VLOOKUP(A8,[17]HISTOBQUESEPT23!$A$6:$G$39,4,0)</f>
        <v>0</v>
      </c>
      <c r="F8" s="9">
        <f>VLOOKUP(A8,[17]HISTOBQUESEPT23!$A$6:$G$39,5,0)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VLOOKUP($A8,[18]TONTSEPT23!$A$6:$P$20,10,0)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VLOOKUP(A9,[17]HISTOBQUESEPT23!$A$6:$G$44,3,0)+101000</f>
        <v>441000</v>
      </c>
      <c r="E9" s="9">
        <f>VLOOKUP(A9,[17]HISTOBQUESEPT23!$A$6:$G$39,4,0)</f>
        <v>0</v>
      </c>
      <c r="F9" s="9">
        <f>VLOOKUP(A9,[17]HISTOBQUESEPT23!$A$6:$G$39,5,0)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VLOOKUP(A10,[17]HISTOBQUESEPT23!$A$6:$G$44,3,0)-101000</f>
        <v>40000</v>
      </c>
      <c r="E10" s="9">
        <f>VLOOKUP(A10,[17]HISTOBQUESEPT23!$A$6:$G$39,4,0)</f>
        <v>0</v>
      </c>
      <c r="F10" s="9">
        <f>VLOOKUP(A10,[17]HISTOBQUESEPT23!$A$6:$G$39,5,0)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VLOOKUP(A11,[17]HISTOBQUESEPT23!$A$6:$G$44,3,0)</f>
        <v>347000</v>
      </c>
      <c r="E11" s="9">
        <f>VLOOKUP(A11,[17]HISTOBQUESEPT23!$A$6:$G$39,4,0)</f>
        <v>0</v>
      </c>
      <c r="F11" s="9">
        <f>VLOOKUP(A11,[17]HISTOBQUESEPT23!$A$6:$G$39,5,0)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VLOOKUP($A11,[18]TONTSEPT23!$A$6:$P$20,10,0)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VLOOKUP(A12,[17]HISTOBQUESEPT23!$A$6:$G$44,3,0)</f>
        <v>320000</v>
      </c>
      <c r="E12" s="9">
        <f>VLOOKUP(A12,[17]HISTOBQUESEPT23!$A$6:$G$39,4,0)</f>
        <v>0</v>
      </c>
      <c r="F12" s="9">
        <f>VLOOKUP(A12,[17]HISTOBQUESEPT23!$A$6:$G$39,5,0)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VLOOKUP($A12,[18]TONTSEPT23!$A$6:$P$20,10,0)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VLOOKUP(A13,[17]HISTOBQUESEPT23!$A$6:$G$44,3,0)</f>
        <v>40000</v>
      </c>
      <c r="E13" s="9">
        <f>VLOOKUP(A13,[17]HISTOBQUESEPT23!$A$6:$G$39,4,0)</f>
        <v>0</v>
      </c>
      <c r="F13" s="9">
        <f>VLOOKUP(A13,[17]HISTOBQUESEPT23!$A$6:$G$39,5,0)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VLOOKUP(A14,[17]HISTOBQUESEPT23!$A$6:$G$44,3,0)</f>
        <v>40000</v>
      </c>
      <c r="E14" s="9">
        <f>VLOOKUP(A14,[17]HISTOBQUESEPT23!$A$6:$G$39,4,0)</f>
        <v>0</v>
      </c>
      <c r="F14" s="9">
        <f>VLOOKUP(A14,[17]HISTOBQUESEPT23!$A$6:$G$39,5,0)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VLOOKUP(A15,[17]HISTOBQUESEPT23!$A$6:$G$44,3,0)</f>
        <v>115000</v>
      </c>
      <c r="E15" s="9">
        <f>VLOOKUP(A15,[17]HISTOBQUESEPT23!$A$6:$G$39,4,0)</f>
        <v>0</v>
      </c>
      <c r="F15" s="9">
        <f>VLOOKUP(A15,[17]HISTOBQUESEPT23!$A$6:$G$39,5,0)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VLOOKUP($A15,[18]TONTSEPT23!$A$6:$P$20,10,0)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VLOOKUP(A16,[17]HISTOBQUESEPT23!$A$6:$G$44,3,0)</f>
        <v>250000</v>
      </c>
      <c r="E16" s="9">
        <f>VLOOKUP(A16,[17]HISTOBQUESEPT23!$A$6:$G$39,4,0)</f>
        <v>0</v>
      </c>
      <c r="F16" s="9">
        <f>VLOOKUP(A16,[17]HISTOBQUESEPT23!$A$6:$G$39,5,0)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VLOOKUP($A16,[18]TONTSEPT23!$A$6:$P$20,10,0)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VLOOKUP(A17,[17]HISTOBQUESEPT23!$A$6:$G$44,3,0)</f>
        <v>140000</v>
      </c>
      <c r="E17" s="9">
        <f>VLOOKUP(A17,[17]HISTOBQUESEPT23!$A$6:$G$39,4,0)</f>
        <v>0</v>
      </c>
      <c r="F17" s="9">
        <f>VLOOKUP(A17,[17]HISTOBQUESEPT23!$A$6:$G$39,5,0)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VLOOKUP(A18,[17]HISTOBQUESEPT23!$A$6:$G$44,3,0)</f>
        <v>215000</v>
      </c>
      <c r="E18" s="9">
        <f>VLOOKUP(A18,[17]HISTOBQUESEPT23!$A$6:$G$39,4,0)</f>
        <v>100000</v>
      </c>
      <c r="F18" s="9">
        <f>VLOOKUP(A18,[17]HISTOBQUESEPT23!$A$6:$G$39,5,0)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VLOOKUP($A18,[18]TONTSEPT23!$A$6:$P$20,10,0)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VLOOKUP(A19,[17]HISTOBQUESEPT23!$A$6:$G$44,3,0)</f>
        <v>40000</v>
      </c>
      <c r="E19" s="9">
        <f>VLOOKUP(A19,[17]HISTOBQUESEPT23!$A$6:$G$39,4,0)</f>
        <v>0</v>
      </c>
      <c r="F19" s="9">
        <f>VLOOKUP(A19,[17]HISTOBQUESEPT23!$A$6:$G$39,5,0)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VLOOKUP(A20,[17]HISTOBQUESEPT23!$A$6:$G$44,3,0)</f>
        <v>528500</v>
      </c>
      <c r="E20" s="9">
        <f>VLOOKUP(A20,[17]HISTOBQUESEPT23!$A$6:$G$39,4,0)</f>
        <v>0</v>
      </c>
      <c r="F20" s="9">
        <f>VLOOKUP(A20,[17]HISTOBQUESEPT23!$A$6:$G$39,5,0)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VLOOKUP($A20,[18]TONTSEPT23!$A$6:$P$20,10,0)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VLOOKUP(A21,[17]HISTOBQUESEPT23!$A$6:$G$44,3,0)</f>
        <v>40000</v>
      </c>
      <c r="E21" s="9">
        <f>VLOOKUP(A21,[17]HISTOBQUESEPT23!$A$6:$G$39,4,0)</f>
        <v>0</v>
      </c>
      <c r="F21" s="9">
        <f>VLOOKUP(A21,[17]HISTOBQUESEPT23!$A$6:$G$39,5,0)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VLOOKUP(A22,[17]HISTOBQUESEPT23!$A$6:$G$44,3,0)</f>
        <v>115000</v>
      </c>
      <c r="E22" s="9">
        <f>VLOOKUP(A22,[17]HISTOBQUESEPT23!$A$6:$G$39,4,0)</f>
        <v>0</v>
      </c>
      <c r="F22" s="9">
        <f>VLOOKUP(A22,[17]HISTOBQUESEPT23!$A$6:$G$39,5,0)+892500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VLOOKUP($A22,[18]TONTSEPT23!$A$6:$P$20,10,0)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VLOOKUP(A23,[17]HISTOBQUESEPT23!$A$6:$G$44,3,0)</f>
        <v>250000</v>
      </c>
      <c r="E23" s="9">
        <f>VLOOKUP(A23,[17]HISTOBQUESEPT23!$A$6:$G$39,4,0)</f>
        <v>0</v>
      </c>
      <c r="F23" s="9">
        <f>VLOOKUP(A23,[17]HISTOBQUESEPT23!$A$6:$G$39,5,0)+70000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-171000</v>
      </c>
      <c r="D24" s="9">
        <f>VLOOKUP(A24,[17]HISTOBQUESEPT23!$A$6:$G$44,3,0)</f>
        <v>215000</v>
      </c>
      <c r="E24" s="9">
        <f>VLOOKUP(A24,[17]HISTOBQUESEPT23!$A$6:$G$39,4,0)</f>
        <v>0</v>
      </c>
      <c r="F24" s="9">
        <f>VLOOKUP(A24,[17]HISTOBQUESEPT23!$A$6:$G$39,5,0)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VLOOKUP($A24,[18]TONTSEPT23!$A$6:$P$20,10,0)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VLOOKUP(A25,[17]HISTOBQUESEPT23!$A$6:$G$44,3,0)</f>
        <v>440000</v>
      </c>
      <c r="E25" s="9">
        <f>VLOOKUP(A25,[17]HISTOBQUESEPT23!$A$6:$G$39,4,0)</f>
        <v>0</v>
      </c>
      <c r="F25" s="9">
        <f>VLOOKUP(A25,[17]HISTOBQUESEPT23!$A$6:$G$39,5,0)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VLOOKUP($A25,[18]TONTSEPT23!$A$6:$P$20,10,0)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5" x14ac:dyDescent="0.45">
      <c r="A26" s="73" t="s">
        <v>31</v>
      </c>
      <c r="B26" s="73" t="str">
        <f>VLOOKUP(A26,[16]LISTADHERENT!A$5:H$39,3,0)</f>
        <v>NKAMGANG JUSTIN DEJOLIE</v>
      </c>
      <c r="C26" s="14">
        <f t="shared" si="0"/>
        <v>40000</v>
      </c>
      <c r="D26" s="14">
        <f>VLOOKUP(A26,[17]HISTOBQUESEPT23!$A$6:$G$44,3,0)</f>
        <v>50000</v>
      </c>
      <c r="E26" s="14">
        <f>VLOOKUP(A26,[17]HISTOBQUESEPT23!$A$6:$G$39,4,0)</f>
        <v>94000</v>
      </c>
      <c r="F26" s="14">
        <f>VLOOKUP(A26,[17]HISTOBQUESEPT23!$A$6:$G$39,5,0)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9">
        <f t="shared" si="0"/>
        <v>-127500</v>
      </c>
      <c r="D27" s="9">
        <f>VLOOKUP(A27,[17]HISTOBQUESEPT23!$A$6:$G$44,3,0)</f>
        <v>50000</v>
      </c>
      <c r="E27" s="9">
        <f>VLOOKUP(A27,[17]HISTOBQUESEPT23!$A$6:$G$39,4,0)</f>
        <v>0</v>
      </c>
      <c r="F27" s="9">
        <f>VLOOKUP(A27,[17]HISTOBQUESEPT23!$A$6:$G$39,5,0)+70000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VLOOKUP(A28,[17]HISTOBQUESEPT23!$A$6:$G$44,3,0)</f>
        <v>115000</v>
      </c>
      <c r="E28" s="9">
        <f>VLOOKUP(A28,[17]HISTOBQUESEPT23!$A$6:$G$39,4,0)</f>
        <v>0</v>
      </c>
      <c r="F28" s="9">
        <f>VLOOKUP(A28,[17]HISTOBQUESEPT23!$A$6:$G$39,5,0)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VLOOKUP($A28,[18]TONTSEPT23!$A$6:$P$20,10,0)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9">
        <f t="shared" si="0"/>
        <v>-177500</v>
      </c>
      <c r="D29" s="9">
        <f>VLOOKUP(A29,[17]HISTOBQUESEPT23!$A$6:$G$44,3,0)</f>
        <v>40000</v>
      </c>
      <c r="E29" s="9">
        <f>VLOOKUP(A29,[17]HISTOBQUESEPT23!$A$6:$G$39,4,0)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VLOOKUP(A30,[17]HISTOBQUESEPT23!$A$6:$G$44,3,0)</f>
        <v>115000</v>
      </c>
      <c r="E30" s="9">
        <f>VLOOKUP(A30,[17]HISTOBQUESEPT23!$A$6:$G$39,4,0)</f>
        <v>0</v>
      </c>
      <c r="F30" s="9">
        <f>VLOOKUP(A30,[17]HISTOBQUESEPT23!$A$6:$G$39,5,0)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VLOOKUP($A30,[18]TONTSEPT23!$A$6:$P$20,10,0)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VLOOKUP(A31,[17]HISTOBQUESEPT23!$A$6:$G$44,3,0)</f>
        <v>140000</v>
      </c>
      <c r="E31" s="9">
        <f>VLOOKUP(A31,[17]HISTOBQUESEPT23!$A$6:$G$39,4,0)</f>
        <v>0</v>
      </c>
      <c r="F31" s="9">
        <f>VLOOKUP(A31,[17]HISTOBQUESEPT23!$A$6:$G$39,5,0)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VLOOKUP(A32,[17]HISTOBQUESEPT23!$A$6:$G$44,3,0)</f>
        <v>191000</v>
      </c>
      <c r="E32" s="9">
        <f>VLOOKUP(A32,[17]HISTOBQUESEPT23!$A$6:$G$39,4,0)</f>
        <v>0</v>
      </c>
      <c r="F32" s="9">
        <f>VLOOKUP(A32,[17]HISTOBQUESEPT23!$A$6:$G$39,5,0)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VLOOKUP($A32,[18]TONTSEPT23!$A$6:$P$20,10,0)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VLOOKUP(A33,[17]HISTOBQUESEPT23!$A$6:$G$44,3,0)+40000</f>
        <v>40000</v>
      </c>
      <c r="E33" s="9">
        <f>VLOOKUP(A33,[17]HISTOBQUESEPT23!$A$6:$G$39,4,0)</f>
        <v>0</v>
      </c>
      <c r="F33" s="9">
        <f>VLOOKUP(A33,[17]HISTOBQUESEPT23!$A$6:$G$39,5,0)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VLOOKUP(A34,[17]HISTOBQUESEPT23!$A$6:$G$44,3,0)</f>
        <v>40000</v>
      </c>
      <c r="E34" s="9">
        <f>VLOOKUP(A34,[17]HISTOBQUESEPT23!$A$6:$G$39,4,0)</f>
        <v>0</v>
      </c>
      <c r="F34" s="9">
        <f>VLOOKUP(A34,[17]HISTOBQUESEPT23!$A$6:$G$39,5,0)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VLOOKUP(A35,[17]HISTOBQUESEPT23!$A$6:$G$44,3,0)</f>
        <v>40000</v>
      </c>
      <c r="E35" s="9">
        <f>VLOOKUP(A35,[17]HISTOBQUESEPT23!$A$6:$G$39,4,0)</f>
        <v>0</v>
      </c>
      <c r="F35" s="9">
        <f>VLOOKUP(A35,[17]HISTOBQUESEPT23!$A$6:$G$39,5,0)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 t="shared" si="0"/>
        <v>0</v>
      </c>
      <c r="D36" s="9">
        <f>VLOOKUP(A36,[17]HISTOBQUESEPT23!$A$6:$G$44,3,0)</f>
        <v>400000</v>
      </c>
      <c r="E36" s="9">
        <f>VLOOKUP(A36,[17]HISTOBQUESEPT23!$A$6:$G$39,4,0)</f>
        <v>0</v>
      </c>
      <c r="F36" s="9">
        <f>VLOOKUP(A36,[17]HISTOBQUESEPT23!$A$6:$G$39,5,0)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VLOOKUP($A36,[18]TONTSEPT23!$A$6:$P$20,10,0)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6266000</v>
      </c>
    </row>
  </sheetData>
  <autoFilter ref="A5:AF36" xr:uid="{00000000-0009-0000-0000-000019000000}"/>
  <mergeCells count="1">
    <mergeCell ref="B4:M4"/>
  </mergeCells>
  <dataValidations count="1">
    <dataValidation type="list" allowBlank="1" showInputMessage="1" showErrorMessage="1" sqref="T6:T36 AP6:AP36 AF6:AF36 AA6:AA36" xr:uid="{00000000-0002-0000-19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35" width="16" customWidth="1"/>
    <col min="36" max="36" width="13" customWidth="1"/>
    <col min="37" max="37" width="15.1796875" customWidth="1"/>
    <col min="38" max="38" width="11.54296875" customWidth="1"/>
    <col min="39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5.81640625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5" si="0">D6+E6+F6-U6-BB6</f>
        <v>0</v>
      </c>
      <c r="D6" s="9">
        <f>VLOOKUP(A6,[17]HISTOBQUEOCT23!$A$6:$G$44,3,0)</f>
        <v>175000</v>
      </c>
      <c r="E6" s="9">
        <f>VLOOKUP(A6,[17]HISTOBQUEOCT23!$A$6:$G$39,4,0)</f>
        <v>0</v>
      </c>
      <c r="F6" s="9">
        <f>VLOOKUP(A6,[17]HISTOBQUEOCT23!$A$6:$G$39,5,0)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VLOOKUP(A7,[17]HISTOBQUEOCT23!$A$6:$G$44,3,0)</f>
        <v>40000</v>
      </c>
      <c r="E7" s="9">
        <f>VLOOKUP(A7,[17]HISTOBQUEOCT23!$A$6:$G$39,4,0)</f>
        <v>0</v>
      </c>
      <c r="F7" s="9">
        <f>VLOOKUP(A7,[17]HISTOBQUEOCT23!$A$6:$G$39,5,0)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VLOOKUP(A8,[17]HISTOBQUEOCT23!$A$6:$G$44,3,0)</f>
        <v>0</v>
      </c>
      <c r="E8" s="9">
        <f>VLOOKUP(A8,[17]HISTOBQUEOCT23!$A$6:$G$39,4,0)</f>
        <v>115000</v>
      </c>
      <c r="F8" s="9">
        <f>VLOOKUP(A8,[17]HISTOBQUEOCT23!$A$6:$G$39,5,0)+70000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VLOOKUP($A8,[18]TONTOCT23!$A$6:$P$20,10,0)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VLOOKUP(A9,[17]HISTOBQUEOCT23!$A$6:$G$44,3,0)+202000</f>
        <v>342000</v>
      </c>
      <c r="E9" s="9">
        <f>VLOOKUP(A9,[17]HISTOBQUEOCT23!$A$6:$G$39,4,0)</f>
        <v>0</v>
      </c>
      <c r="F9" s="9">
        <f>VLOOKUP(A9,[17]HISTOBQUEOCT23!$A$6:$G$39,5,0)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VLOOKUP(A10,[17]HISTOBQUEOCT23!$A$6:$G$44,3,0)-303000</f>
        <v>40000</v>
      </c>
      <c r="E10" s="9">
        <f>VLOOKUP(A10,[17]HISTOBQUEOCT23!$A$6:$G$39,4,0)</f>
        <v>0</v>
      </c>
      <c r="F10" s="9">
        <f>VLOOKUP(A10,[17]HISTOBQUEOCT23!$A$6:$G$39,5,0)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VLOOKUP(A11,[17]HISTOBQUEOCT23!$A$6:$G$44,3,0)</f>
        <v>115000</v>
      </c>
      <c r="E11" s="9">
        <f>VLOOKUP(A11,[17]HISTOBQUEOCT23!$A$6:$G$39,4,0)</f>
        <v>59000</v>
      </c>
      <c r="F11" s="9">
        <f>VLOOKUP(A11,[17]HISTOBQUEOCT23!$A$6:$G$39,5,0)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VLOOKUP($A11,[18]TONTOCT23!$A$6:$P$20,10,0)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VLOOKUP(A12,[17]HISTOBQUEOCT23!$A$6:$G$44,3,0)</f>
        <v>522000</v>
      </c>
      <c r="E12" s="9">
        <f>VLOOKUP(A12,[17]HISTOBQUEOCT23!$A$6:$G$39,4,0)</f>
        <v>0</v>
      </c>
      <c r="F12" s="9">
        <f>VLOOKUP(A12,[17]HISTOBQUEOCT23!$A$6:$G$39,5,0)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VLOOKUP($A12,[18]TONTOCT23!$A$6:$P$20,10,0)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VLOOKUP(A13,[17]HISTOBQUEOCT23!$A$6:$G$44,3,0)</f>
        <v>40000</v>
      </c>
      <c r="E13" s="9">
        <f>VLOOKUP(A13,[17]HISTOBQUEOCT23!$A$6:$G$39,4,0)</f>
        <v>0</v>
      </c>
      <c r="F13" s="9">
        <f>VLOOKUP(A13,[17]HISTOBQUEOCT23!$A$6:$G$39,5,0)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VLOOKUP(A14,[17]HISTOBQUEOCT23!$A$6:$G$44,3,0)</f>
        <v>40000</v>
      </c>
      <c r="E14" s="9">
        <f>VLOOKUP(A14,[17]HISTOBQUEOCT23!$A$6:$G$39,4,0)</f>
        <v>0</v>
      </c>
      <c r="F14" s="9">
        <f>VLOOKUP(A14,[17]HISTOBQUEOCT23!$A$6:$G$39,5,0)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VLOOKUP(A15,[17]HISTOBQUEOCT23!$A$6:$G$44,3,0)</f>
        <v>115000</v>
      </c>
      <c r="E15" s="9">
        <f>VLOOKUP(A15,[17]HISTOBQUEOCT23!$A$6:$G$39,4,0)</f>
        <v>0</v>
      </c>
      <c r="F15" s="9">
        <f>VLOOKUP(A15,[17]HISTOBQUEOCT23!$A$6:$G$39,5,0)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VLOOKUP($A15,[18]TONTOCT23!$A$6:$P$20,10,0)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136500</v>
      </c>
      <c r="D16" s="9">
        <f>VLOOKUP(A16,[17]HISTOBQUEOCT23!$A$6:$G$44,3,0)</f>
        <v>452000</v>
      </c>
      <c r="E16" s="9">
        <f>VLOOKUP(A16,[17]HISTOBQUEOCT23!$A$6:$G$39,4,0)</f>
        <v>136500</v>
      </c>
      <c r="F16" s="9">
        <f>VLOOKUP(A16,[17]HISTOBQUEOCT23!$A$6:$G$39,5,0)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VLOOKUP($A16,[18]TONTOCT23!$A$6:$P$20,10,0)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VLOOKUP(A17,[17]HISTOBQUEOCT23!$A$6:$G$44,3,0)</f>
        <v>140000</v>
      </c>
      <c r="E17" s="9">
        <f>VLOOKUP(A17,[17]HISTOBQUEOCT23!$A$6:$G$39,4,0)</f>
        <v>0</v>
      </c>
      <c r="F17" s="9">
        <f>VLOOKUP(A17,[17]HISTOBQUEOCT23!$A$6:$G$39,5,0)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VLOOKUP(A18,[17]HISTOBQUEOCT23!$A$6:$G$44,3,0)+101000</f>
        <v>456000</v>
      </c>
      <c r="E18" s="14">
        <f>VLOOKUP(A18,[17]HISTOBQUEOCT23!$A$6:$G$39,4,0)+10000</f>
        <v>10000</v>
      </c>
      <c r="F18" s="9">
        <f>VLOOKUP(A18,[17]HISTOBQUEOCT23!$A$6:$G$39,5,0)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VLOOKUP($A18,[18]TONTOCT23!$A$6:$P$20,10,0)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VLOOKUP(A19,[17]HISTOBQUEOCT23!$A$6:$G$44,3,0)</f>
        <v>40000</v>
      </c>
      <c r="E19" s="9">
        <f>VLOOKUP(A19,[17]HISTOBQUEOCT23!$A$6:$G$39,4,0)</f>
        <v>0</v>
      </c>
      <c r="F19" s="9">
        <f>VLOOKUP(A19,[17]HISTOBQUEOCT23!$A$6:$G$39,5,0)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VLOOKUP(A20,[17]HISTOBQUEOCT23!$A$6:$G$44,3,0)</f>
        <v>417000</v>
      </c>
      <c r="E20" s="9">
        <f>VLOOKUP(A20,[17]HISTOBQUEOCT23!$A$6:$G$39,4,0)</f>
        <v>0</v>
      </c>
      <c r="F20" s="9">
        <f>VLOOKUP(A20,[17]HISTOBQUEOCT23!$A$6:$G$39,5,0)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VLOOKUP($A20,[18]TONTOCT23!$A$6:$P$20,10,0)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VLOOKUP(A21,[17]HISTOBQUEOCT23!$A$6:$G$44,3,0)</f>
        <v>40000</v>
      </c>
      <c r="E21" s="9">
        <f>VLOOKUP(A21,[17]HISTOBQUEOCT23!$A$6:$G$39,4,0)</f>
        <v>0</v>
      </c>
      <c r="F21" s="9">
        <f>VLOOKUP(A21,[17]HISTOBQUEOCT23!$A$6:$G$39,5,0)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VLOOKUP(A22,[17]HISTOBQUEOCT23!$A$6:$G$44,3,0)</f>
        <v>115000</v>
      </c>
      <c r="E22" s="9">
        <f>VLOOKUP(A22,[17]HISTOBQUEOCT23!$A$6:$G$39,4,0)</f>
        <v>0</v>
      </c>
      <c r="F22" s="9">
        <f>VLOOKUP(A22,[17]HISTOBQUEOCT23!$A$6:$G$39,5,0)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VLOOKUP($A22,[18]TONTOCT23!$A$6:$P$20,10,0)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VLOOKUP(A23,[17]HISTOBQUEOCT23!$A$6:$G$44,3,0)+101000</f>
        <v>351000</v>
      </c>
      <c r="E23" s="9">
        <f>VLOOKUP(A23,[17]HISTOBQUEOCT23!$A$6:$G$39,4,0)</f>
        <v>0</v>
      </c>
      <c r="F23" s="9">
        <f>VLOOKUP(A23,[17]HISTOBQUEOCT23!$A$6:$G$39,5,0)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VLOOKUP(A24,[17]HISTOBQUEOCT23!$A$6:$G$44,3,0)</f>
        <v>400000</v>
      </c>
      <c r="E24" s="9">
        <f>VLOOKUP(A24,[17]HISTOBQUEOCT23!$A$6:$G$39,4,0)</f>
        <v>17000</v>
      </c>
      <c r="F24" s="9">
        <f>VLOOKUP(A24,[17]HISTOBQUEOCT23!$A$6:$G$39,5,0)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VLOOKUP($A24,[18]TONTOCT23!$A$6:$P$20,10,0)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VLOOKUP(A25,[17]HISTOBQUEOCT23!$A$6:$G$44,3,0)</f>
        <v>500000</v>
      </c>
      <c r="E25" s="9">
        <f>VLOOKUP(A25,[17]HISTOBQUEOCT23!$A$6:$G$39,4,0)</f>
        <v>0</v>
      </c>
      <c r="F25" s="9">
        <f>VLOOKUP(A25,[17]HISTOBQUEOCT23!$A$6:$G$39,5,0)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VLOOKUP($A25,[18]TONTOCT23!$A$6:$P$20,10,0)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9">
        <f t="shared" si="0"/>
        <v>101000</v>
      </c>
      <c r="D26" s="9">
        <f>VLOOKUP(A26,[17]HISTOBQUEOCT23!$A$6:$G$44,3,0)</f>
        <v>0</v>
      </c>
      <c r="E26" s="9">
        <f>VLOOKUP(A26,[17]HISTOBQUEOCT23!$A$6:$G$39,4,0)</f>
        <v>158500</v>
      </c>
      <c r="F26" s="9">
        <f>VLOOKUP(A26,[17]HISTOBQUEOCT23!$A$6:$G$39,5,0)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VLOOKUP(A27,[17]HISTOBQUEOCT23!$A$6:$G$44,3,0)</f>
        <v>50000</v>
      </c>
      <c r="E27" s="9">
        <f>VLOOKUP(A27,[17]HISTOBQUEOCT23!$A$6:$G$39,4,0)</f>
        <v>0</v>
      </c>
      <c r="F27" s="9">
        <f>VLOOKUP(A27,[17]HISTOBQUEOCT23!$A$6:$G$39,5,0)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VLOOKUP(A28,[17]HISTOBQUEOCT23!$A$6:$G$44,3,0)</f>
        <v>115000</v>
      </c>
      <c r="E28" s="9">
        <f>VLOOKUP(A28,[17]HISTOBQUEOCT23!$A$6:$G$39,4,0)</f>
        <v>0</v>
      </c>
      <c r="F28" s="9">
        <f>VLOOKUP(A28,[17]HISTOBQUEOCT23!$A$6:$G$39,5,0)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VLOOKUP($A28,[18]TONTOCT23!$A$6:$P$20,10,0)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VLOOKUP(A29,[17]HISTOBQUEOCT23!$A$6:$G$44,3,0)</f>
        <v>40000</v>
      </c>
      <c r="E29" s="9">
        <f>VLOOKUP(A29,[17]HISTOBQUEOCT23!$A$6:$G$39,4,0)</f>
        <v>0</v>
      </c>
      <c r="F29" s="9">
        <f>VLOOKUP(A29,[17]HISTOBQUEOCT23!$A$6:$G$39,5,0)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VLOOKUP(A30,[17]HISTOBQUEOCT23!$A$6:$G$44,3,0)</f>
        <v>115000</v>
      </c>
      <c r="E30" s="9">
        <f>VLOOKUP(A30,[17]HISTOBQUEOCT23!$A$6:$G$39,4,0)</f>
        <v>0</v>
      </c>
      <c r="F30" s="9">
        <f>VLOOKUP(A30,[17]HISTOBQUEOCT23!$A$6:$G$39,5,0)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VLOOKUP($A30,[18]TONTOCT23!$A$6:$P$20,10,0)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VLOOKUP(A31,[17]HISTOBQUEOCT23!$A$6:$G$44,3,0)</f>
        <v>171000</v>
      </c>
      <c r="E31" s="9">
        <f>VLOOKUP(A31,[17]HISTOBQUEOCT23!$A$6:$G$39,4,0)</f>
        <v>0</v>
      </c>
      <c r="F31" s="9">
        <f>VLOOKUP(A31,[17]HISTOBQUEOCT23!$A$6:$G$39,5,0)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VLOOKUP(A32,[17]HISTOBQUEOCT23!$A$6:$G$44,3,0)</f>
        <v>115000</v>
      </c>
      <c r="E32" s="9">
        <f>VLOOKUP(A32,[17]HISTOBQUEOCT23!$A$6:$G$39,4,0)</f>
        <v>0</v>
      </c>
      <c r="F32" s="9">
        <f>VLOOKUP(A32,[17]HISTOBQUEOCT23!$A$6:$G$39,5,0)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VLOOKUP($A32,[18]TONTOCT23!$A$6:$P$20,10,0)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 t="shared" si="0"/>
        <v>0</v>
      </c>
      <c r="D33" s="9">
        <f>VLOOKUP(A33,[17]HISTOBQUEOCT23!$A$6:$G$44,3,0)</f>
        <v>40000</v>
      </c>
      <c r="E33" s="9">
        <f>VLOOKUP(A33,[17]HISTOBQUEOCT23!$A$6:$G$39,4,0)</f>
        <v>0</v>
      </c>
      <c r="F33" s="9">
        <f>VLOOKUP(A33,[17]HISTOBQUEOCT23!$A$6:$G$39,5,0)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9">
        <f t="shared" si="0"/>
        <v>-227500</v>
      </c>
      <c r="D34" s="9">
        <f>VLOOKUP(A34,[17]HISTOBQUEOCT23!$A$6:$G$44,3,0)</f>
        <v>80000</v>
      </c>
      <c r="E34" s="9">
        <f>VLOOKUP(A34,[17]HISTOBQUEOCT23!$A$6:$G$39,4,0)</f>
        <v>0</v>
      </c>
      <c r="F34" s="9">
        <f>VLOOKUP(A34,[17]HISTOBQUEOCT23!$A$6:$G$39,5,0)+70000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VLOOKUP(A35,[17]HISTOBQUEOCT23!$A$6:$G$44,3,0)</f>
        <v>0</v>
      </c>
      <c r="E35" s="9">
        <f>VLOOKUP(A35,[17]HISTOBQUEOCT23!$A$6:$G$39,4,0)</f>
        <v>40000</v>
      </c>
      <c r="F35" s="9">
        <f>VLOOKUP(A35,[17]HISTOBQUEOCT23!$A$6:$G$39,5,0)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>D36+E36+F36-U36-BB36</f>
        <v>0</v>
      </c>
      <c r="D36" s="9">
        <f>VLOOKUP(A36,[17]HISTOBQUEOCT23!$A$6:$G$44,3,0)</f>
        <v>880000</v>
      </c>
      <c r="E36" s="9">
        <f>VLOOKUP(A36,[17]HISTOBQUEOCT23!$A$6:$G$39,4,0)</f>
        <v>0</v>
      </c>
      <c r="F36" s="9">
        <f>VLOOKUP(A36,[17]HISTOBQUEOCT23!$A$6:$G$39,5,0)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VLOOKUP($A36,[18]TONTOCT23!$A$6:$P$20,10,0)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8001000</v>
      </c>
    </row>
  </sheetData>
  <autoFilter ref="A5:AF36" xr:uid="{00000000-0009-0000-0000-00001A000000}"/>
  <mergeCells count="1">
    <mergeCell ref="B4:M4"/>
  </mergeCells>
  <dataValidations count="1">
    <dataValidation type="list" allowBlank="1" showInputMessage="1" showErrorMessage="1" sqref="T6:T36 AP6:AP36 AA6:AA36 AF6:AF33 AF35:AF36" xr:uid="{00000000-0002-0000-1A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VLOOKUP(A6,[17]HISTOBQUENOV23!$A$6:$G$44,3,0)</f>
        <v>175000</v>
      </c>
      <c r="E6" s="9">
        <f>VLOOKUP(A6,[17]HISTOBQUENOV23!$A$6:$G$39,4,0)</f>
        <v>0</v>
      </c>
      <c r="F6" s="9">
        <f>VLOOKUP(A6,[17]HISTOBQUENOV23!$A$6:$G$39,5,0)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VLOOKUP(A7,[17]HISTOBQUENOV23!$A$6:$G$44,3,0)+28000</f>
        <v>68000</v>
      </c>
      <c r="E7" s="9">
        <f>VLOOKUP(A7,[17]HISTOBQUENOV23!$A$6:$G$39,4,0)</f>
        <v>0</v>
      </c>
      <c r="F7" s="9">
        <f>VLOOKUP(A7,[17]HISTOBQUENOV23!$A$6:$G$39,5,0)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 t="shared" si="0"/>
        <v>0</v>
      </c>
      <c r="D8" s="9">
        <f>VLOOKUP(A8,[17]HISTOBQUENOV23!$A$6:$G$44,3,0)</f>
        <v>115000</v>
      </c>
      <c r="E8" s="9">
        <f>VLOOKUP(A8,[17]HISTOBQUENOV23!$A$6:$G$39,4,0)</f>
        <v>0</v>
      </c>
      <c r="F8" s="9">
        <f>VLOOKUP(A8,[17]HISTOBQUENOV23!$A$6:$G$39,5,0)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VLOOKUP($A8,[18]TONTNOV23!$A$6:$P$20,10,0)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 t="shared" si="0"/>
        <v>0</v>
      </c>
      <c r="D9" s="9">
        <f>VLOOKUP(A9,[17]HISTOBQUENOV23!$A$6:$G$44,3,0)</f>
        <v>342000</v>
      </c>
      <c r="E9" s="9">
        <f>VLOOKUP(A9,[17]HISTOBQUENOV23!$A$6:$G$39,4,0)</f>
        <v>0</v>
      </c>
      <c r="F9" s="9">
        <f>VLOOKUP(A9,[17]HISTOBQUENOV23!$A$6:$G$39,5,0)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 t="shared" si="0"/>
        <v>0</v>
      </c>
      <c r="D10" s="9">
        <f>VLOOKUP(A10,[17]HISTOBQUENOV23!$A$6:$G$44,3,0)</f>
        <v>40000</v>
      </c>
      <c r="E10" s="9">
        <f>VLOOKUP(A10,[17]HISTOBQUENOV23!$A$6:$G$39,4,0)</f>
        <v>0</v>
      </c>
      <c r="F10" s="9">
        <f>VLOOKUP(A10,[17]HISTOBQUENOV23!$A$6:$G$39,5,0)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VLOOKUP(A11,[17]HISTOBQUENOV23!$A$6:$G$44,3,0)+76000</f>
        <v>191000</v>
      </c>
      <c r="E11" s="9">
        <f>VLOOKUP(A11,[17]HISTOBQUENOV23!$A$6:$G$39,4,0)</f>
        <v>0</v>
      </c>
      <c r="F11" s="9">
        <f>VLOOKUP(A11,[17]HISTOBQUENOV23!$A$6:$G$39,5,0)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VLOOKUP($A11,[18]TONTNOV23!$A$6:$P$20,10,0)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VLOOKUP(A12,[17]HISTOBQUENOV23!$A$6:$G$44,3,0)+202000</f>
        <v>522000</v>
      </c>
      <c r="E12" s="9">
        <f>VLOOKUP(A12,[17]HISTOBQUENOV23!$A$6:$G$39,4,0)</f>
        <v>0</v>
      </c>
      <c r="F12" s="9">
        <f>VLOOKUP(A12,[17]HISTOBQUENOV23!$A$6:$G$39,5,0)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VLOOKUP($A12,[18]TONTNOV23!$A$6:$P$20,10,0)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VLOOKUP(A13,[17]HISTOBQUENOV23!$A$6:$G$44,3,0)</f>
        <v>40000</v>
      </c>
      <c r="E13" s="9">
        <f>VLOOKUP(A13,[17]HISTOBQUENOV23!$A$6:$G$39,4,0)</f>
        <v>0</v>
      </c>
      <c r="F13" s="9">
        <f>VLOOKUP(A13,[17]HISTOBQUENOV23!$A$6:$G$39,5,0)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9">
        <f t="shared" si="0"/>
        <v>-70000</v>
      </c>
      <c r="D14" s="9">
        <f>VLOOKUP(A14,[17]HISTOBQUENOV23!$A$6:$G$44,3,0)</f>
        <v>40000</v>
      </c>
      <c r="E14" s="9">
        <f>VLOOKUP(A14,[17]HISTOBQUENOV23!$A$6:$G$39,4,0)</f>
        <v>0</v>
      </c>
      <c r="F14" s="9">
        <f>VLOOKUP(A14,[17]HISTOBQUENOV23!$A$6:$G$39,5,0)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VLOOKUP(A15,[17]HISTOBQUENOV23!$A$6:$G$44,3,0)</f>
        <v>115000</v>
      </c>
      <c r="E15" s="9">
        <f>VLOOKUP(A15,[17]HISTOBQUENOV23!$A$6:$G$39,4,0)</f>
        <v>0</v>
      </c>
      <c r="F15" s="9">
        <f>VLOOKUP(A15,[17]HISTOBQUENOV23!$A$6:$G$39,5,0)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VLOOKUP($A15,[18]TONTNOV23!$A$6:$P$20,10,0)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-136500</v>
      </c>
      <c r="D16" s="9">
        <f>VLOOKUP(A16,[17]HISTOBQUENOV23!$A$6:$G$44,3,0)+202000</f>
        <v>452000</v>
      </c>
      <c r="E16" s="9">
        <f>VLOOKUP(A16,[17]HISTOBQUENOV23!$A$6:$G$39,4,0)</f>
        <v>0</v>
      </c>
      <c r="F16" s="9">
        <f>VLOOKUP(A16,[17]HISTOBQUENOV23!$A$6:$G$39,5,0)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VLOOKUP($A16,[18]TONTNOV23!$A$6:$P$20,10,0)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VLOOKUP(A17,[17]HISTOBQUENOV23!$A$6:$G$44,3,0)</f>
        <v>140000</v>
      </c>
      <c r="E17" s="9">
        <f>VLOOKUP(A17,[17]HISTOBQUENOV23!$A$6:$G$39,4,0)</f>
        <v>0</v>
      </c>
      <c r="F17" s="9">
        <f>VLOOKUP(A17,[17]HISTOBQUENOV23!$A$6:$G$39,5,0)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VLOOKUP(A18,[17]HISTOBQUENOV23!$A$6:$G$44,3,0)</f>
        <v>367000</v>
      </c>
      <c r="E18" s="9">
        <f>VLOOKUP(A18,[17]HISTOBQUENOV23!$A$6:$G$39,4,0)</f>
        <v>0</v>
      </c>
      <c r="F18" s="9">
        <f>VLOOKUP(A18,[17]HISTOBQUENOV23!$A$6:$G$39,5,0)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VLOOKUP($A18,[18]TONTNOV23!$A$6:$P$20,10,0)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VLOOKUP(A19,[17]HISTOBQUENOV23!$A$6:$G$44,3,0)</f>
        <v>40000</v>
      </c>
      <c r="E19" s="9">
        <f>VLOOKUP(A19,[17]HISTOBQUENOV23!$A$6:$G$39,4,0)</f>
        <v>0</v>
      </c>
      <c r="F19" s="9">
        <f>VLOOKUP(A19,[17]HISTOBQUENOV23!$A$6:$G$39,5,0)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VLOOKUP(A20,[17]HISTOBQUENOV23!$A$6:$G$44,3,0)+354000</f>
        <v>599500</v>
      </c>
      <c r="E20" s="9">
        <f>VLOOKUP(A20,[17]HISTOBQUENOV23!$A$6:$G$39,4,0)</f>
        <v>0</v>
      </c>
      <c r="F20" s="9">
        <f>VLOOKUP(A20,[17]HISTOBQUENOV23!$A$6:$G$39,5,0)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VLOOKUP($A20,[18]TONTNOV23!$A$6:$P$20,10,0)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VLOOKUP(A21,[17]HISTOBQUENOV23!$A$6:$G$44,3,0)</f>
        <v>40000</v>
      </c>
      <c r="E21" s="9">
        <f>VLOOKUP(A21,[17]HISTOBQUENOV23!$A$6:$G$39,4,0)</f>
        <v>0</v>
      </c>
      <c r="F21" s="9">
        <f>VLOOKUP(A21,[17]HISTOBQUENOV23!$A$6:$G$39,5,0)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 t="shared" si="0"/>
        <v>0</v>
      </c>
      <c r="D22" s="9">
        <f>VLOOKUP(A22,[17]HISTOBQUENOV23!$A$6:$G$44,3,0)</f>
        <v>115000</v>
      </c>
      <c r="E22" s="9">
        <f>VLOOKUP(A22,[17]HISTOBQUENOV23!$A$6:$G$39,4,0)</f>
        <v>0</v>
      </c>
      <c r="F22" s="9">
        <f>VLOOKUP(A22,[17]HISTOBQUENOV23!$A$6:$G$39,5,0)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VLOOKUP($A22,[18]TONTNOV23!$A$6:$P$20,10,0)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VLOOKUP(A23,[17]HISTOBQUENOV23!$A$6:$G$44,3,0)</f>
        <v>250000</v>
      </c>
      <c r="E23" s="9">
        <f>VLOOKUP(A23,[17]HISTOBQUENOV23!$A$6:$G$39,4,0)</f>
        <v>0</v>
      </c>
      <c r="F23" s="9">
        <f>VLOOKUP(A23,[17]HISTOBQUENOV23!$A$6:$G$39,5,0)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VLOOKUP(A24,[17]HISTOBQUENOV23!$A$6:$G$44,3,0)</f>
        <v>420000</v>
      </c>
      <c r="E24" s="9">
        <f>VLOOKUP(A24,[17]HISTOBQUENOV23!$A$6:$G$39,4,0)</f>
        <v>0</v>
      </c>
      <c r="F24" s="9">
        <f>VLOOKUP(A24,[17]HISTOBQUENOV23!$A$6:$G$39,5,0)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VLOOKUP($A24,[18]TONTNOV23!$A$6:$P$20,10,0)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VLOOKUP(A25,[17]HISTOBQUENOV23!$A$6:$G$44,3,0)</f>
        <v>500000</v>
      </c>
      <c r="E25" s="9">
        <f>VLOOKUP(A25,[17]HISTOBQUENOV23!$A$6:$G$39,4,0)</f>
        <v>0</v>
      </c>
      <c r="F25" s="9">
        <f>VLOOKUP(A25,[17]HISTOBQUENOV23!$A$6:$G$39,5,0)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VLOOKUP($A25,[18]TONTNOV23!$A$6:$P$20,10,0)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VLOOKUP(A26,[17]HISTOBQUENOV23!$A$6:$G$44,3,0)</f>
        <v>0</v>
      </c>
      <c r="E26" s="9">
        <f>VLOOKUP(A26,[17]HISTOBQUENOV23!$A$6:$G$39,4,0)</f>
        <v>102000</v>
      </c>
      <c r="F26" s="9">
        <f>VLOOKUP(A26,[17]HISTOBQUENOV23!$A$6:$G$39,5,0)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VLOOKUP(A27,[17]HISTOBQUENOV23!$A$6:$G$44,3,0)</f>
        <v>50000</v>
      </c>
      <c r="E27" s="9">
        <f>VLOOKUP(A27,[17]HISTOBQUENOV23!$A$6:$G$39,4,0)</f>
        <v>0</v>
      </c>
      <c r="F27" s="9">
        <f>VLOOKUP(A27,[17]HISTOBQUENOV23!$A$6:$G$39,5,0)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9">
        <f t="shared" si="0"/>
        <v>-70000</v>
      </c>
      <c r="D28" s="9">
        <f>VLOOKUP(A28,[17]HISTOBQUENOV23!$A$6:$G$44,3,0)</f>
        <v>115000</v>
      </c>
      <c r="E28" s="9">
        <f>VLOOKUP(A28,[17]HISTOBQUENOV23!$A$6:$G$39,4,0)</f>
        <v>0</v>
      </c>
      <c r="F28" s="9">
        <f>VLOOKUP(A28,[17]HISTOBQUENOV23!$A$6:$G$39,5,0)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VLOOKUP($A28,[18]TONTNOV23!$A$6:$P$20,10,0)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VLOOKUP(A29,[17]HISTOBQUENOV23!$A$6:$G$44,3,0)</f>
        <v>40000</v>
      </c>
      <c r="E29" s="9">
        <f>VLOOKUP(A29,[17]HISTOBQUENOV23!$A$6:$G$39,4,0)</f>
        <v>0</v>
      </c>
      <c r="F29" s="9">
        <f>VLOOKUP(A29,[17]HISTOBQUENOV23!$A$6:$G$39,5,0)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 t="shared" si="0"/>
        <v>0</v>
      </c>
      <c r="D30" s="9">
        <f>VLOOKUP(A30,[17]HISTOBQUENOV23!$A$6:$G$44,3,0)</f>
        <v>115000</v>
      </c>
      <c r="E30" s="9">
        <f>VLOOKUP(A30,[17]HISTOBQUENOV23!$A$6:$G$39,4,0)</f>
        <v>0</v>
      </c>
      <c r="F30" s="9">
        <f>VLOOKUP(A30,[17]HISTOBQUENOV23!$A$6:$G$39,5,0)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VLOOKUP($A30,[18]TONTNOV23!$A$6:$P$20,10,0)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VLOOKUP(A31,[17]HISTOBQUENOV23!$A$6:$G$44,3,0)</f>
        <v>171000</v>
      </c>
      <c r="E31" s="9">
        <f>VLOOKUP(A31,[17]HISTOBQUENOV23!$A$6:$G$39,4,0)</f>
        <v>0</v>
      </c>
      <c r="F31" s="9">
        <f>VLOOKUP(A31,[17]HISTOBQUENOV23!$A$6:$G$39,5,0)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VLOOKUP(A32,[17]HISTOBQUENOV23!$A$6:$G$44,3,0)</f>
        <v>115000</v>
      </c>
      <c r="E32" s="9">
        <f>VLOOKUP(A32,[17]HISTOBQUENOV23!$A$6:$G$39,4,0)</f>
        <v>0</v>
      </c>
      <c r="F32" s="9">
        <f>VLOOKUP(A32,[17]HISTOBQUENOV23!$A$6:$G$39,5,0)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VLOOKUP($A32,[18]TONTNOV23!$A$6:$P$20,10,0)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9">
        <f t="shared" si="0"/>
        <v>80000</v>
      </c>
      <c r="D33" s="9">
        <f>VLOOKUP(A33,[17]HISTOBQUENOV23!$A$6:$G$44,3,0)</f>
        <v>120000</v>
      </c>
      <c r="E33" s="9">
        <f>VLOOKUP(A33,[17]HISTOBQUENOV23!$A$6:$G$39,4,0)</f>
        <v>0</v>
      </c>
      <c r="F33" s="9">
        <f>VLOOKUP(A33,[17]HISTOBQUENOV23!$A$6:$G$39,5,0)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VLOOKUP(A34,[17]HISTOBQUENOV23!$A$6:$G$44,3,0)</f>
        <v>70000</v>
      </c>
      <c r="E34" s="9">
        <f>VLOOKUP(A34,[17]HISTOBQUENOV23!$A$6:$G$39,4,0)</f>
        <v>0</v>
      </c>
      <c r="F34" s="9">
        <f>VLOOKUP(A34,[17]HISTOBQUENOV23!$A$6:$G$39,5,0)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 t="shared" si="0"/>
        <v>0</v>
      </c>
      <c r="D35" s="9">
        <f>VLOOKUP(A35,[17]HISTOBQUENOV23!$A$6:$G$44,3,0)</f>
        <v>0</v>
      </c>
      <c r="E35" s="9">
        <f>VLOOKUP(A35,[17]HISTOBQUENOV23!$A$6:$G$39,4,0)</f>
        <v>40000</v>
      </c>
      <c r="F35" s="9">
        <f>VLOOKUP(A35,[17]HISTOBQUENOV23!$A$6:$G$39,5,0)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9">
        <f t="shared" si="0"/>
        <v>-70000</v>
      </c>
      <c r="D36" s="9">
        <f>VLOOKUP(A36,[17]HISTOBQUENOV23!$A$6:$G$44,3,0)</f>
        <v>593000</v>
      </c>
      <c r="E36" s="9">
        <f>VLOOKUP(A36,[17]HISTOBQUENOV23!$A$6:$G$39,4,0)</f>
        <v>0</v>
      </c>
      <c r="F36" s="9">
        <f>VLOOKUP(A36,[17]HISTOBQUENOV23!$A$6:$G$39,5,0)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VLOOKUP($A36,[18]TONTNOV23!$A$6:$P$20,10,0)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5011000</v>
      </c>
    </row>
  </sheetData>
  <autoFilter ref="A5:AF36" xr:uid="{00000000-0009-0000-0000-00001B000000}"/>
  <mergeCells count="1">
    <mergeCell ref="B4:M4"/>
  </mergeCells>
  <dataValidations count="1">
    <dataValidation type="list" allowBlank="1" showInputMessage="1" showErrorMessage="1" sqref="T6:T36 AP6:AP36 AF6:AF36 AA6:AA36" xr:uid="{00000000-0002-0000-1B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 t="shared" ref="C6:C36" si="0">D6+E6+F6-U6-BB6</f>
        <v>0</v>
      </c>
      <c r="D6" s="9">
        <f>VLOOKUP(A6,[17]HISTOBQUEDEC23!$A$6:$G$44,3,0)</f>
        <v>175000</v>
      </c>
      <c r="E6" s="9">
        <f>VLOOKUP(A6,[17]HISTOBQUEDEC23!$A$6:$G$39,4,0)</f>
        <v>0</v>
      </c>
      <c r="F6" s="9">
        <f>VLOOKUP(A6,[17]HISTOBQUEDEC23!$A$6:$G$39,5,0)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VLOOKUP($A6,[18]TONTDEC23!$A$6:$P$20,10,0)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 t="shared" si="0"/>
        <v>0</v>
      </c>
      <c r="D7" s="9">
        <f>VLOOKUP(A7,[17]HISTOBQUEDEC23!$A$6:$G$44,3,0)</f>
        <v>0</v>
      </c>
      <c r="E7" s="9">
        <f>VLOOKUP(A7,[17]HISTOBQUEDEC23!$A$6:$G$39,4,0)</f>
        <v>669000</v>
      </c>
      <c r="F7" s="9">
        <f>VLOOKUP(A7,[17]HISTOBQUEDEC23!$A$6:$G$39,5,0)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69">
        <f t="shared" si="0"/>
        <v>0</v>
      </c>
      <c r="D8" s="9">
        <f>VLOOKUP(A8,[17]HISTOBQUEDEC23!$A$6:$G$44,3,0)</f>
        <v>115000</v>
      </c>
      <c r="E8" s="9">
        <f>VLOOKUP(A8,[17]HISTOBQUEDEC23!$A$6:$G$39,4,0)</f>
        <v>0</v>
      </c>
      <c r="F8" s="9">
        <f>VLOOKUP(A8,[17]HISTOBQUEDEC23!$A$6:$G$39,5,0)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69">
        <f>D9+E9+F9-U9-BB9</f>
        <v>221000</v>
      </c>
      <c r="D9" s="9">
        <f>VLOOKUP(A9,[17]HISTOBQUEDEC23!$A$6:$G$44,3,0)</f>
        <v>386000</v>
      </c>
      <c r="E9" s="9">
        <f>VLOOKUP(A9,[17]HISTOBQUEDEC23!$A$6:$G$39,4,0)</f>
        <v>1000000</v>
      </c>
      <c r="F9" s="9">
        <f>VLOOKUP(A9,[17]HISTOBQUEDEC23!$A$6:$G$39,5,0)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69">
        <f t="shared" si="0"/>
        <v>0</v>
      </c>
      <c r="D10" s="9">
        <f>VLOOKUP(A10,[17]HISTOBQUEDEC23!$A$6:$G$44,3,0)</f>
        <v>0</v>
      </c>
      <c r="E10" s="9">
        <f>VLOOKUP(A10,[17]HISTOBQUEDEC23!$A$6:$G$39,4,0)</f>
        <v>40000</v>
      </c>
      <c r="F10" s="9">
        <f>VLOOKUP(A10,[17]HISTOBQUEDEC23!$A$6:$G$39,5,0)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 t="shared" si="0"/>
        <v>0</v>
      </c>
      <c r="D11" s="9">
        <f>VLOOKUP(A11,[17]HISTOBQUEDEC23!$A$6:$G$44,3,0)</f>
        <v>115000</v>
      </c>
      <c r="E11" s="9">
        <f>VLOOKUP(A11,[17]HISTOBQUEDEC23!$A$6:$G$39,4,0)+77000</f>
        <v>1077000</v>
      </c>
      <c r="F11" s="9">
        <f>VLOOKUP(A11,[17]HISTOBQUEDEC23!$A$6:$G$39,5,0)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VLOOKUP($A11,[18]TONTDEC23!$A$6:$P$20,10,0)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 t="shared" si="0"/>
        <v>0</v>
      </c>
      <c r="D12" s="9">
        <f>VLOOKUP(A12,[17]HISTOBQUEDEC23!$A$6:$G$44,3,0)</f>
        <v>1040000</v>
      </c>
      <c r="E12" s="9">
        <f>VLOOKUP(A12,[17]HISTOBQUEDEC23!$A$6:$G$39,4,0)+206000</f>
        <v>257000</v>
      </c>
      <c r="F12" s="9">
        <f>VLOOKUP(A12,[17]HISTOBQUEDEC23!$A$6:$G$39,5,0)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VLOOKUP($A12,[18]TONTDEC23!$A$6:$P$20,10,0)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 t="shared" si="0"/>
        <v>0</v>
      </c>
      <c r="D13" s="9">
        <f>VLOOKUP(A13,[17]HISTOBQUEDEC23!$A$6:$G$44,3,0)</f>
        <v>1040000</v>
      </c>
      <c r="E13" s="9">
        <f>VLOOKUP(A13,[17]HISTOBQUEDEC23!$A$6:$G$39,4,0)</f>
        <v>0</v>
      </c>
      <c r="F13" s="9">
        <f>VLOOKUP(A13,[17]HISTOBQUEDEC23!$A$6:$G$39,5,0)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 t="shared" si="0"/>
        <v>0</v>
      </c>
      <c r="D14" s="9">
        <f>VLOOKUP(A14,[17]HISTOBQUEDEC23!$A$6:$G$44,3,0)</f>
        <v>40000</v>
      </c>
      <c r="E14" s="9">
        <f>VLOOKUP(A14,[17]HISTOBQUEDEC23!$A$6:$G$39,4,0)</f>
        <v>0</v>
      </c>
      <c r="F14" s="9">
        <f>VLOOKUP(A14,[17]HISTOBQUEDEC23!$A$6:$G$39,5,0)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 t="shared" si="0"/>
        <v>0</v>
      </c>
      <c r="D15" s="9">
        <f>VLOOKUP(A15,[17]HISTOBQUEDEC23!$A$6:$G$44,3,0)</f>
        <v>115000</v>
      </c>
      <c r="E15" s="9">
        <f>VLOOKUP(A15,[17]HISTOBQUEDEC23!$A$6:$G$39,4,0)</f>
        <v>0</v>
      </c>
      <c r="F15" s="9">
        <f>VLOOKUP(A15,[17]HISTOBQUEDEC23!$A$6:$G$39,5,0)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VLOOKUP($A15,[18]TONTDEC23!$A$6:$P$20,10,0)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 t="shared" si="0"/>
        <v>0</v>
      </c>
      <c r="D16" s="9">
        <f>VLOOKUP(A16,[17]HISTOBQUEDEC23!$A$6:$G$44,3,0)</f>
        <v>250000</v>
      </c>
      <c r="E16" s="9">
        <f>VLOOKUP(A16,[17]HISTOBQUEDEC23!$A$6:$G$39,4,0)+206000+125000+238500</f>
        <v>569500</v>
      </c>
      <c r="F16" s="9">
        <f>VLOOKUP(A16,[17]HISTOBQUEDEC23!$A$6:$G$39,5,0)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VLOOKUP($A16,[18]TONTDEC23!$A$6:$P$20,10,0)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 t="shared" si="0"/>
        <v>0</v>
      </c>
      <c r="D17" s="9">
        <f>VLOOKUP(A17,[17]HISTOBQUEDEC23!$A$6:$G$44,3,0)</f>
        <v>1140000</v>
      </c>
      <c r="E17" s="9">
        <f>VLOOKUP(A17,[17]HISTOBQUEDEC23!$A$6:$G$39,4,0)</f>
        <v>0</v>
      </c>
      <c r="F17" s="9">
        <f>VLOOKUP(A17,[17]HISTOBQUEDEC23!$A$6:$G$39,5,0)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 t="shared" si="0"/>
        <v>0</v>
      </c>
      <c r="D18" s="9">
        <f>VLOOKUP(A18,[17]HISTOBQUEDEC23!$A$6:$G$44,3,0)</f>
        <v>1000000</v>
      </c>
      <c r="E18" s="9">
        <f>VLOOKUP(A18,[17]HISTOBQUEDEC23!$A$6:$G$39,4,0)</f>
        <v>447500</v>
      </c>
      <c r="F18" s="9">
        <f>VLOOKUP(A18,[17]HISTOBQUEDEC23!$A$6:$G$39,5,0)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VLOOKUP($A18,[18]TONTDEC23!$A$6:$P$20,10,0)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 t="shared" si="0"/>
        <v>0</v>
      </c>
      <c r="D19" s="9">
        <f>VLOOKUP(A19,[17]HISTOBQUEDEC23!$A$6:$G$44,3,0)</f>
        <v>40000</v>
      </c>
      <c r="E19" s="9">
        <f>VLOOKUP(A19,[17]HISTOBQUEDEC23!$A$6:$G$39,4,0)</f>
        <v>0</v>
      </c>
      <c r="F19" s="9">
        <f>VLOOKUP(A19,[17]HISTOBQUEDEC23!$A$6:$G$39,5,0)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 t="shared" si="0"/>
        <v>0</v>
      </c>
      <c r="D20" s="9">
        <f>VLOOKUP(A20,[17]HISTOBQUEDEC23!$A$6:$G$44,3,0)</f>
        <v>0</v>
      </c>
      <c r="E20" s="9">
        <f>VLOOKUP(A20,[17]HISTOBQUEDEC23!$A$6:$G$39,4,0)+300000</f>
        <v>1829000</v>
      </c>
      <c r="F20" s="9">
        <f>VLOOKUP(A20,[17]HISTOBQUEDEC23!$A$6:$G$39,5,0)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VLOOKUP($A20,[18]TONTDEC23!$A$6:$P$20,10,0)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 t="shared" si="0"/>
        <v>0</v>
      </c>
      <c r="D21" s="9">
        <f>VLOOKUP(A21,[17]HISTOBQUEDEC23!$A$6:$G$44,3,0)</f>
        <v>540000</v>
      </c>
      <c r="E21" s="9">
        <f>VLOOKUP(A21,[17]HISTOBQUEDEC23!$A$6:$G$39,4,0)</f>
        <v>0</v>
      </c>
      <c r="F21" s="9">
        <f>VLOOKUP(A21,[17]HISTOBQUEDEC23!$A$6:$G$39,5,0)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69">
        <f t="shared" si="0"/>
        <v>0</v>
      </c>
      <c r="D22" s="9">
        <f>VLOOKUP(A22,[17]HISTOBQUEDEC23!$A$6:$G$44,3,0)</f>
        <v>222500</v>
      </c>
      <c r="E22" s="9">
        <f>VLOOKUP(A22,[17]HISTOBQUEDEC23!$A$6:$G$39,4,0)</f>
        <v>0</v>
      </c>
      <c r="F22" s="9">
        <f>VLOOKUP(A22,[17]HISTOBQUEDEC23!$A$6:$G$39,5,0)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VLOOKUP($A22,[18]TONTDEC23!$A$6:$P$20,10,0)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 t="shared" si="0"/>
        <v>0</v>
      </c>
      <c r="D23" s="9">
        <f>VLOOKUP(A23,[17]HISTOBQUEDEC23!$A$6:$G$44,3,0)</f>
        <v>850000</v>
      </c>
      <c r="E23" s="9">
        <f>VLOOKUP(A23,[17]HISTOBQUEDEC23!$A$6:$G$39,4,0)</f>
        <v>0</v>
      </c>
      <c r="F23" s="9">
        <f>VLOOKUP(A23,[17]HISTOBQUEDEC23!$A$6:$G$39,5,0)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 t="shared" si="0"/>
        <v>0</v>
      </c>
      <c r="D24" s="9">
        <f>VLOOKUP(A24,[17]HISTOBQUEDEC23!$A$6:$G$44,3,0)</f>
        <v>1215000</v>
      </c>
      <c r="E24" s="9">
        <f>VLOOKUP(A24,[17]HISTOBQUEDEC23!$A$6:$G$39,4,0)</f>
        <v>202000</v>
      </c>
      <c r="F24" s="9">
        <f>VLOOKUP(A24,[17]HISTOBQUEDEC23!$A$6:$G$39,5,0)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VLOOKUP($A24,[18]TONTDEC23!$A$6:$P$20,10,0)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 t="shared" si="0"/>
        <v>0</v>
      </c>
      <c r="D25" s="9">
        <f>VLOOKUP(A25,[17]HISTOBQUEDEC23!$A$6:$G$44,3,0)</f>
        <v>600000</v>
      </c>
      <c r="E25" s="9">
        <f>VLOOKUP(A25,[17]HISTOBQUEDEC23!$A$6:$G$39,4,0)</f>
        <v>1000000</v>
      </c>
      <c r="F25" s="9">
        <f>VLOOKUP(A25,[17]HISTOBQUEDEC23!$A$6:$G$39,5,0)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VLOOKUP($A25,[18]TONTDEC23!$A$6:$P$20,10,0)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 t="shared" si="0"/>
        <v>0</v>
      </c>
      <c r="D26" s="9">
        <f>VLOOKUP(A26,[17]HISTOBQUEDEC23!$A$6:$G$44,3,0)</f>
        <v>0</v>
      </c>
      <c r="E26" s="9">
        <f>VLOOKUP(A26,[17]HISTOBQUEDEC23!$A$6:$G$39,4,0)</f>
        <v>1040000</v>
      </c>
      <c r="F26" s="9">
        <f>VLOOKUP(A26,[17]HISTOBQUEDEC23!$A$6:$G$39,5,0)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 t="shared" si="0"/>
        <v>0</v>
      </c>
      <c r="D27" s="9">
        <f>VLOOKUP(A27,[17]HISTOBQUEDEC23!$A$6:$G$44,3,0)</f>
        <v>50000</v>
      </c>
      <c r="E27" s="9">
        <f>VLOOKUP(A27,[17]HISTOBQUEDEC23!$A$6:$G$39,4,0)</f>
        <v>0</v>
      </c>
      <c r="F27" s="9">
        <f>VLOOKUP(A27,[17]HISTOBQUEDEC23!$A$6:$G$39,5,0)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 t="shared" si="0"/>
        <v>0</v>
      </c>
      <c r="D28" s="9">
        <f>VLOOKUP(A28,[17]HISTOBQUEDEC23!$A$6:$G$44,3,0)</f>
        <v>115000</v>
      </c>
      <c r="E28" s="9">
        <f>VLOOKUP(A28,[17]HISTOBQUEDEC23!$A$6:$G$39,4,0)</f>
        <v>0</v>
      </c>
      <c r="F28" s="9">
        <f>VLOOKUP(A28,[17]HISTOBQUEDEC23!$A$6:$G$39,5,0)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VLOOKUP($A28,[18]TONTDEC23!$A$6:$P$20,10,0)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 t="shared" si="0"/>
        <v>0</v>
      </c>
      <c r="D29" s="9">
        <f>VLOOKUP(A29,[17]HISTOBQUEDEC23!$A$6:$G$44,3,0)</f>
        <v>40000</v>
      </c>
      <c r="E29" s="9">
        <f>VLOOKUP(A29,[17]HISTOBQUEDEC23!$A$6:$G$39,4,0)</f>
        <v>0</v>
      </c>
      <c r="F29" s="9">
        <f>VLOOKUP(A29,[17]HISTOBQUEDEC23!$A$6:$G$39,5,0)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69">
        <f t="shared" si="0"/>
        <v>0</v>
      </c>
      <c r="D30" s="9">
        <f>VLOOKUP(A30,[17]HISTOBQUEDEC23!$A$6:$G$44,3,0)</f>
        <v>115000</v>
      </c>
      <c r="E30" s="9">
        <f>VLOOKUP(A30,[17]HISTOBQUEDEC23!$A$6:$G$39,4,0)</f>
        <v>0</v>
      </c>
      <c r="F30" s="9">
        <f>VLOOKUP(A30,[17]HISTOBQUEDEC23!$A$6:$G$39,5,0)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VLOOKUP($A30,[18]TONTDEC23!$A$6:$P$20,10,0)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 t="shared" si="0"/>
        <v>0</v>
      </c>
      <c r="D31" s="9">
        <f>VLOOKUP(A31,[17]HISTOBQUEDEC23!$A$6:$G$44,3,0)</f>
        <v>1171000</v>
      </c>
      <c r="E31" s="9">
        <f>VLOOKUP(A31,[17]HISTOBQUEDEC23!$A$6:$G$39,4,0)</f>
        <v>0</v>
      </c>
      <c r="F31" s="9">
        <f>VLOOKUP(A31,[17]HISTOBQUEDEC23!$A$6:$G$39,5,0)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 t="shared" si="0"/>
        <v>0</v>
      </c>
      <c r="D32" s="9">
        <f>VLOOKUP(A32,[17]HISTOBQUEDEC23!$A$6:$G$44,3,0)</f>
        <v>416000</v>
      </c>
      <c r="E32" s="9">
        <f>VLOOKUP(A32,[17]HISTOBQUEDEC23!$A$6:$G$39,4,0)</f>
        <v>0</v>
      </c>
      <c r="F32" s="9">
        <f>VLOOKUP(A32,[17]HISTOBQUEDEC23!$A$6:$G$39,5,0)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VLOOKUP($A32,[18]TONTDEC23!$A$6:$P$20,10,0)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69">
        <f>D33+E33+F33-U33-BB33+70000</f>
        <v>40000</v>
      </c>
      <c r="D33" s="9">
        <f>VLOOKUP(A33,[17]HISTOBQUEDEC23!$A$6:$G$44,3,0)</f>
        <v>90000</v>
      </c>
      <c r="E33" s="9">
        <f>VLOOKUP(A33,[17]HISTOBQUEDEC23!$A$6:$G$39,4,0)</f>
        <v>0</v>
      </c>
      <c r="F33" s="9">
        <f>VLOOKUP(A33,[17]HISTOBQUEDEC23!$A$6:$G$39,5,0)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 t="shared" si="0"/>
        <v>0</v>
      </c>
      <c r="D34" s="9">
        <f>VLOOKUP(A34,[17]HISTOBQUEDEC23!$A$6:$G$44,3,0)</f>
        <v>40000</v>
      </c>
      <c r="E34" s="9">
        <f>VLOOKUP(A34,[17]HISTOBQUEDEC23!$A$6:$G$39,4,0)</f>
        <v>0</v>
      </c>
      <c r="F34" s="9">
        <f>VLOOKUP(A34,[17]HISTOBQUEDEC23!$A$6:$G$39,5,0)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>D35+E35+F35-U35-BB35+70000</f>
        <v>0</v>
      </c>
      <c r="D35" s="9">
        <f>VLOOKUP(A35,[17]HISTOBQUEDEC23!$A$6:$G$44,3,0)+227500</f>
        <v>227500</v>
      </c>
      <c r="E35" s="9">
        <f>VLOOKUP(A35,[17]HISTOBQUEDEC23!$A$6:$G$39,4,0)</f>
        <v>40000</v>
      </c>
      <c r="F35" s="9">
        <f>VLOOKUP(A35,[17]HISTOBQUEDEC23!$A$6:$G$39,5,0)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69">
        <f t="shared" si="0"/>
        <v>0</v>
      </c>
      <c r="D36" s="9">
        <f>VLOOKUP(A36,[17]HISTOBQUEDEC23!$A$6:$G$44,3,0)</f>
        <v>290000</v>
      </c>
      <c r="E36" s="9">
        <f>VLOOKUP(A36,[17]HISTOBQUEDEC23!$A$6:$G$39,4,0)</f>
        <v>0</v>
      </c>
      <c r="F36" s="9">
        <f>VLOOKUP(A36,[17]HISTOBQUEDEC23!$A$6:$G$39,5,0)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VLOOKUP($A36,[18]TONTDEC23!$A$6:$P$20,10,0)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29454500</v>
      </c>
    </row>
  </sheetData>
  <autoFilter ref="A5:AF36" xr:uid="{00000000-0009-0000-0000-00001C000000}"/>
  <mergeCells count="1">
    <mergeCell ref="B4:M4"/>
  </mergeCells>
  <dataValidations count="1">
    <dataValidation type="list" allowBlank="1" showInputMessage="1" showErrorMessage="1" sqref="T6:T36 AP6:AP36 AF6:AF36 AA6:AA36" xr:uid="{00000000-0002-0000-1C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6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8" max="58" width="15" bestFit="1" customWidth="1"/>
    <col min="60" max="60" width="12.453125" bestFit="1" customWidth="1"/>
    <col min="61" max="62" width="15" bestFit="1" customWidth="1"/>
    <col min="63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93" t="s">
        <v>43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tr">
        <f>VLOOKUP(A6,[16]LISTADHERENT!A$5:H$39,3,0)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5" x14ac:dyDescent="0.45">
      <c r="A7" s="1" t="s">
        <v>161</v>
      </c>
      <c r="B7" s="1" t="str">
        <f>VLOOKUP(A7,[16]LISTADHERENT!A$5:H$39,3,0)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5" x14ac:dyDescent="0.45">
      <c r="A8" s="1" t="s">
        <v>12</v>
      </c>
      <c r="B8" s="1" t="str">
        <f>VLOOKUP(A8,[16]LISTADHERENT!A$5:H$39,3,0)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5" x14ac:dyDescent="0.45">
      <c r="A9" s="1" t="s">
        <v>13</v>
      </c>
      <c r="B9" s="1" t="str">
        <f>VLOOKUP(A9,[16]LISTADHERENT!A$5:H$39,3,0)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5" x14ac:dyDescent="0.45">
      <c r="A10" s="1" t="s">
        <v>14</v>
      </c>
      <c r="B10" s="1" t="str">
        <f>VLOOKUP(A10,[16]LISTADHERENT!A$5:H$39,3,0)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5" x14ac:dyDescent="0.45">
      <c r="A11" s="1" t="s">
        <v>15</v>
      </c>
      <c r="B11" s="1" t="str">
        <f>VLOOKUP(A11,[16]LISTADHERENT!A$5:H$39,3,0)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5" x14ac:dyDescent="0.45">
      <c r="A12" s="1" t="s">
        <v>16</v>
      </c>
      <c r="B12" s="1" t="str">
        <f>VLOOKUP(A12,[16]LISTADHERENT!A$5:H$39,3,0)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5" x14ac:dyDescent="0.45">
      <c r="A13" s="1" t="s">
        <v>17</v>
      </c>
      <c r="B13" s="1" t="str">
        <f>VLOOKUP(A13,[16]LISTADHERENT!A$5:H$39,3,0)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5" x14ac:dyDescent="0.45">
      <c r="A14" s="1" t="s">
        <v>18</v>
      </c>
      <c r="B14" s="1" t="str">
        <f>VLOOKUP(A14,[16]LISTADHERENT!A$5:H$39,3,0)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5" x14ac:dyDescent="0.45">
      <c r="A15" s="1" t="s">
        <v>20</v>
      </c>
      <c r="B15" s="1" t="str">
        <f>VLOOKUP(A15,[16]LISTADHERENT!A$5:H$39,3,0)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5" x14ac:dyDescent="0.45">
      <c r="A16" s="1" t="s">
        <v>21</v>
      </c>
      <c r="B16" s="1" t="str">
        <f>VLOOKUP(A16,[16]LISTADHERENT!A$5:H$39,3,0)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5" x14ac:dyDescent="0.45">
      <c r="A17" s="1" t="s">
        <v>22</v>
      </c>
      <c r="B17" s="1" t="str">
        <f>VLOOKUP(A17,[16]LISTADHERENT!A$5:H$39,3,0)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5" x14ac:dyDescent="0.45">
      <c r="A18" s="1" t="s">
        <v>23</v>
      </c>
      <c r="B18" s="1" t="str">
        <f>VLOOKUP(A18,[16]LISTADHERENT!A$5:H$39,3,0)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5" x14ac:dyDescent="0.45">
      <c r="A19" s="1" t="s">
        <v>24</v>
      </c>
      <c r="B19" s="1" t="str">
        <f>VLOOKUP(A19,[16]LISTADHERENT!A$5:H$39,3,0)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5" x14ac:dyDescent="0.45">
      <c r="A20" s="1" t="s">
        <v>25</v>
      </c>
      <c r="B20" s="1" t="str">
        <f>VLOOKUP(A20,[16]LISTADHERENT!A$5:H$39,3,0)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5" x14ac:dyDescent="0.45">
      <c r="A21" s="1" t="s">
        <v>26</v>
      </c>
      <c r="B21" s="1" t="str">
        <f>VLOOKUP(A21,[16]LISTADHERENT!A$5:H$39,3,0)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5" x14ac:dyDescent="0.45">
      <c r="A22" s="1" t="s">
        <v>27</v>
      </c>
      <c r="B22" s="1" t="str">
        <f>VLOOKUP(A22,[16]LISTADHERENT!A$5:H$39,3,0)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5" x14ac:dyDescent="0.45">
      <c r="A23" s="1" t="s">
        <v>28</v>
      </c>
      <c r="B23" s="1" t="str">
        <f>VLOOKUP(A23,[16]LISTADHERENT!A$5:H$39,3,0)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5" x14ac:dyDescent="0.45">
      <c r="A24" s="1" t="s">
        <v>29</v>
      </c>
      <c r="B24" s="1" t="str">
        <f>VLOOKUP(A24,[16]LISTADHERENT!A$5:H$39,3,0)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5" x14ac:dyDescent="0.45">
      <c r="A25" s="1" t="s">
        <v>30</v>
      </c>
      <c r="B25" s="1" t="str">
        <f>VLOOKUP(A25,[16]LISTADHERENT!A$5:H$39,3,0)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5" x14ac:dyDescent="0.45">
      <c r="A26" s="1" t="s">
        <v>31</v>
      </c>
      <c r="B26" s="1" t="str">
        <f>VLOOKUP(A26,[16]LISTADHERENT!A$5:H$39,3,0)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5" x14ac:dyDescent="0.45">
      <c r="A27" s="1" t="s">
        <v>158</v>
      </c>
      <c r="B27" s="1" t="str">
        <f>VLOOKUP(A27,[16]LISTADHERENT!A$5:H$39,3,0)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5" x14ac:dyDescent="0.45">
      <c r="A28" s="1" t="s">
        <v>34</v>
      </c>
      <c r="B28" s="1" t="str">
        <f>VLOOKUP(A28,[16]LISTADHERENT!A$5:H$39,3,0)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5" x14ac:dyDescent="0.45">
      <c r="A29" s="1" t="s">
        <v>159</v>
      </c>
      <c r="B29" s="1" t="str">
        <f>VLOOKUP(A29,[16]LISTADHERENT!A$5:H$39,3,0)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5" x14ac:dyDescent="0.45">
      <c r="A30" s="1" t="s">
        <v>35</v>
      </c>
      <c r="B30" s="1" t="str">
        <f>VLOOKUP(A30,[16]LISTADHERENT!A$5:H$39,3,0)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5" x14ac:dyDescent="0.45">
      <c r="A31" s="1" t="s">
        <v>37</v>
      </c>
      <c r="B31" s="1" t="str">
        <f>VLOOKUP(A31,[16]LISTADHERENT!A$5:H$39,3,0)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5" x14ac:dyDescent="0.45">
      <c r="A32" s="1" t="s">
        <v>38</v>
      </c>
      <c r="B32" s="1" t="str">
        <f>VLOOKUP(A32,[16]LISTADHERENT!A$5:H$39,3,0)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5" x14ac:dyDescent="0.45">
      <c r="A33" s="1" t="s">
        <v>157</v>
      </c>
      <c r="B33" s="1" t="str">
        <f>VLOOKUP(A33,[16]LISTADHERENT!A$5:H$39,3,0)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5" x14ac:dyDescent="0.45">
      <c r="A34" s="21" t="s">
        <v>160</v>
      </c>
      <c r="B34" s="1" t="str">
        <f>VLOOKUP(A34,[16]LISTADHERENT!A$5:H$39,3,0)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5" x14ac:dyDescent="0.45">
      <c r="A35" s="1" t="s">
        <v>40</v>
      </c>
      <c r="B35" s="1" t="str">
        <f>VLOOKUP(A35,[16]LISTADHERENT!A$5:H$39,3,0)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5" x14ac:dyDescent="0.45">
      <c r="A36" s="1" t="s">
        <v>41</v>
      </c>
      <c r="B36" s="1" t="str">
        <f>VLOOKUP(A36,[16]LISTADHERENT!A$5:H$39,3,0)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125561600</v>
      </c>
    </row>
  </sheetData>
  <autoFilter ref="A5:AF36" xr:uid="{00000000-0009-0000-0000-00001D000000}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>
      <selection activeCell="I16" sqref="I1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33</vt:i4>
      </vt:variant>
      <vt:variant>
        <vt:lpstr>Plages nommées</vt:lpstr>
      </vt:variant>
      <vt:variant>
        <vt:i4>1</vt:i4>
      </vt:variant>
    </vt:vector>
  </HeadingPairs>
  <TitlesOfParts>
    <vt:vector size="34" baseType="lpstr">
      <vt:lpstr>MODEVERSEMENT</vt:lpstr>
      <vt:lpstr>HISTOMVTDEPENSE</vt:lpstr>
      <vt:lpstr>COMPTE BANQUE</vt:lpstr>
      <vt:lpstr>HISTODEC22</vt:lpstr>
      <vt:lpstr>HISTOJANV25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HISTODEC24BB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dcterms:created xsi:type="dcterms:W3CDTF">2020-11-14T09:26:22Z</dcterms:created>
  <dcterms:modified xsi:type="dcterms:W3CDTF">2025-01-19T13:17:18Z</dcterms:modified>
</cp:coreProperties>
</file>