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907"/>
  <workbookPr/>
  <mc:AlternateContent xmlns:mc="http://schemas.openxmlformats.org/markup-compatibility/2006">
    <mc:Choice Requires="x15">
      <x15ac:absPath xmlns:x15ac="http://schemas.microsoft.com/office/spreadsheetml/2010/11/ac" url="D:\ASELBYTONTINE_2024\"/>
    </mc:Choice>
  </mc:AlternateContent>
  <xr:revisionPtr revIDLastSave="0" documentId="13_ncr:1_{8D93312E-B7F5-4FB0-98D3-0FFC8CB89110}" xr6:coauthVersionLast="37" xr6:coauthVersionMax="37" xr10:uidLastSave="{00000000-0000-0000-0000-000000000000}"/>
  <bookViews>
    <workbookView xWindow="0" yWindow="0" windowWidth="20490" windowHeight="7620" firstSheet="4" activeTab="6" xr2:uid="{00000000-000D-0000-FFFF-FFFF00000000}"/>
  </bookViews>
  <sheets>
    <sheet name="BILAN 2016" sheetId="4" r:id="rId1"/>
    <sheet name="BILAN 2017" sheetId="7" r:id="rId2"/>
    <sheet name="BILAN 2022" sheetId="22" r:id="rId3"/>
    <sheet name="BILAN 2023" sheetId="21" r:id="rId4"/>
    <sheet name="ENTREE" sheetId="1" r:id="rId5"/>
    <sheet name="SORTIE" sheetId="2" r:id="rId6"/>
    <sheet name="DETAILFICHECASSATION" sheetId="20" r:id="rId7"/>
    <sheet name="SITUATION GUY" sheetId="38" r:id="rId8"/>
    <sheet name="SYNTHESECOMPTE" sheetId="33" r:id="rId9"/>
    <sheet name="DISPOFONDS" sheetId="34" r:id="rId10"/>
    <sheet name="DETAILFPNDSROULT" sheetId="24" r:id="rId11"/>
    <sheet name="DETAILFRAISEXCEPTIONNEL" sheetId="25" r:id="rId12"/>
    <sheet name="DETAILFONDSMUTUEL" sheetId="26" r:id="rId13"/>
    <sheet name="DETAILPENALITES" sheetId="35" r:id="rId14"/>
    <sheet name="DETAILCOLLATION" sheetId="28" r:id="rId15"/>
    <sheet name="DETAILFOYER" sheetId="23" r:id="rId16"/>
    <sheet name="DETAIL PRETENCIRCULATION" sheetId="29" r:id="rId17"/>
    <sheet name="DETAILLISTEROUGE" sheetId="30" r:id="rId18"/>
    <sheet name="DETAILINSCRIPTION" sheetId="36" r:id="rId19"/>
    <sheet name="INTERETTONTINE" sheetId="37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xlnm._FilterDatabase" localSheetId="6" hidden="1">DETAILFICHECASSATION!$A$5:$Q$40</definedName>
    <definedName name="BANQUE" localSheetId="2">#REF!</definedName>
    <definedName name="BANQUE" localSheetId="3">#REF!</definedName>
    <definedName name="BANQUE" localSheetId="16">#REF!</definedName>
    <definedName name="BANQUE" localSheetId="14">#REF!</definedName>
    <definedName name="BANQUE" localSheetId="6">#REF!</definedName>
    <definedName name="BANQUE" localSheetId="12">#REF!</definedName>
    <definedName name="BANQUE" localSheetId="10">#REF!</definedName>
    <definedName name="BANQUE" localSheetId="17">#REF!</definedName>
    <definedName name="BANQUE" localSheetId="13">#REF!</definedName>
    <definedName name="BANQUE" localSheetId="9">#REF!</definedName>
    <definedName name="BANQUE" localSheetId="8">#REF!</definedName>
    <definedName name="BANQUE">#REF!</definedName>
    <definedName name="MODEET30000">[1]MODEVERSEMENT!$A$1:$A$3</definedName>
    <definedName name="MODEPAID" localSheetId="1">[2]Feuil2!$A$1:$A$3</definedName>
    <definedName name="MODEPAID" localSheetId="2">[2]Feuil2!$A$1:$A$3</definedName>
    <definedName name="MODEPAID" localSheetId="3">[2]Feuil2!$A$1:$A$3</definedName>
    <definedName name="MODEPAID" localSheetId="6">[3]Feuil2!$A$1:$A$3</definedName>
    <definedName name="MODEPAID">[4]Feuil2!$A$1:$A$3</definedName>
    <definedName name="MODEPAID30000" localSheetId="6">DETAILFICHECASSATION!#REF!</definedName>
    <definedName name="MODEPAIDOK" localSheetId="2">[5]MODEVERSEMENT!$A$1:$A$4</definedName>
    <definedName name="MODEPAIDOK">[5]MODEVERSEMENT!$A$1:$A$4</definedName>
    <definedName name="MODEPAIDS">[1]MODEVERSEMENT!$A$1:$A$3</definedName>
    <definedName name="MODET25000">[6]MODEVERSEMENT!$A$1:$A$3</definedName>
    <definedName name="MODET3000">[1]MODEVERSEMENT!$A$1:$A$3</definedName>
    <definedName name="MODET30000" localSheetId="6">DETAILFICHECASSATION!#REF!</definedName>
    <definedName name="MODEVERSEMENT" localSheetId="2">#REF!</definedName>
    <definedName name="MODEVERSEMENT" localSheetId="3">#REF!</definedName>
    <definedName name="MODEVERSEMENT" localSheetId="16">#REF!</definedName>
    <definedName name="MODEVERSEMENT" localSheetId="14">#REF!</definedName>
    <definedName name="MODEVERSEMENT" localSheetId="6">#REF!</definedName>
    <definedName name="MODEVERSEMENT" localSheetId="12">#REF!</definedName>
    <definedName name="MODEVERSEMENT" localSheetId="10">#REF!</definedName>
    <definedName name="MODEVERSEMENT" localSheetId="17">#REF!</definedName>
    <definedName name="MODEVERSEMENT" localSheetId="13">#REF!</definedName>
    <definedName name="MODEVERSEMENT" localSheetId="9">#REF!</definedName>
    <definedName name="MODEVERSEMENT" localSheetId="8">#REF!</definedName>
    <definedName name="MODEVERSEMENT">#REF!</definedName>
    <definedName name="MODEVERSEMENTS">[7]MODEVERSEMENT!$A$1:$A$3</definedName>
    <definedName name="MODPAID" localSheetId="6">DETAILFICHECASSATION!#REF!</definedName>
    <definedName name="VALMODEPAID">[8]MODEPAID!$A$1:$A$3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" i="20" l="1"/>
  <c r="C26" i="21" l="1"/>
  <c r="C6" i="37" l="1"/>
  <c r="C5" i="37"/>
  <c r="C4" i="37"/>
  <c r="D9" i="26" l="1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8" i="26"/>
  <c r="F8" i="25"/>
  <c r="F9" i="25"/>
  <c r="F10" i="25"/>
  <c r="F11" i="25"/>
  <c r="F24" i="24"/>
  <c r="F23" i="24"/>
  <c r="F22" i="24"/>
  <c r="F21" i="24"/>
  <c r="F20" i="24"/>
  <c r="F19" i="24"/>
  <c r="F18" i="24"/>
  <c r="F17" i="24"/>
  <c r="F15" i="24"/>
  <c r="F16" i="24"/>
  <c r="M38" i="20"/>
  <c r="C7" i="20" l="1"/>
  <c r="E14" i="33"/>
  <c r="C14" i="33"/>
  <c r="A14" i="33"/>
  <c r="A15" i="33"/>
  <c r="A16" i="33"/>
  <c r="A17" i="33"/>
  <c r="A18" i="33"/>
  <c r="A19" i="33"/>
  <c r="A20" i="33"/>
  <c r="A21" i="33"/>
  <c r="A22" i="33"/>
  <c r="A23" i="33"/>
  <c r="A24" i="33"/>
  <c r="D8" i="35" l="1"/>
  <c r="H12" i="26"/>
  <c r="D7" i="30" l="1"/>
  <c r="C15" i="30" l="1"/>
  <c r="D13" i="30"/>
  <c r="C13" i="30"/>
  <c r="C12" i="30"/>
  <c r="D12" i="30"/>
  <c r="D11" i="30" l="1"/>
  <c r="C11" i="30"/>
  <c r="C10" i="30"/>
  <c r="C9" i="30"/>
  <c r="C8" i="30"/>
  <c r="C7" i="30"/>
  <c r="E7" i="30" s="1"/>
  <c r="E14" i="30"/>
  <c r="E13" i="30"/>
  <c r="E12" i="30"/>
  <c r="E8" i="29"/>
  <c r="E10" i="29"/>
  <c r="E12" i="29"/>
  <c r="E13" i="29"/>
  <c r="E14" i="29"/>
  <c r="E17" i="29"/>
  <c r="E18" i="29"/>
  <c r="E19" i="29"/>
  <c r="E21" i="29"/>
  <c r="E22" i="29"/>
  <c r="E24" i="29"/>
  <c r="E25" i="29"/>
  <c r="E26" i="29"/>
  <c r="E27" i="29"/>
  <c r="E32" i="29"/>
  <c r="E37" i="29"/>
  <c r="B37" i="29"/>
  <c r="B36" i="29"/>
  <c r="B35" i="29"/>
  <c r="B34" i="29"/>
  <c r="B33" i="29"/>
  <c r="B32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E12" i="21"/>
  <c r="F40" i="36"/>
  <c r="E40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H11" i="26"/>
  <c r="H10" i="26"/>
  <c r="H9" i="26"/>
  <c r="H8" i="26"/>
  <c r="G8" i="35"/>
  <c r="G40" i="35" s="1"/>
  <c r="E13" i="21" s="1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F40" i="35"/>
  <c r="B8" i="35"/>
  <c r="F19" i="28"/>
  <c r="F18" i="28"/>
  <c r="F17" i="28"/>
  <c r="F16" i="28"/>
  <c r="F14" i="28"/>
  <c r="F13" i="28"/>
  <c r="F12" i="28"/>
  <c r="F11" i="28"/>
  <c r="F10" i="28"/>
  <c r="F9" i="28"/>
  <c r="F8" i="28"/>
  <c r="B38" i="28"/>
  <c r="B37" i="28"/>
  <c r="B36" i="28"/>
  <c r="B35" i="28"/>
  <c r="B34" i="28"/>
  <c r="E15" i="28" s="1"/>
  <c r="B33" i="28"/>
  <c r="B32" i="28"/>
  <c r="B31" i="28"/>
  <c r="B30" i="28"/>
  <c r="B29" i="28"/>
  <c r="B28" i="28"/>
  <c r="E12" i="28" s="1"/>
  <c r="B27" i="28"/>
  <c r="B26" i="28"/>
  <c r="B25" i="28"/>
  <c r="B24" i="28"/>
  <c r="E13" i="28" s="1"/>
  <c r="B23" i="28"/>
  <c r="B22" i="28"/>
  <c r="E16" i="28" s="1"/>
  <c r="B21" i="28"/>
  <c r="E8" i="28" s="1"/>
  <c r="B20" i="28"/>
  <c r="B19" i="28"/>
  <c r="B18" i="28"/>
  <c r="B17" i="28"/>
  <c r="B16" i="28"/>
  <c r="B15" i="28"/>
  <c r="E19" i="28" s="1"/>
  <c r="B14" i="28"/>
  <c r="E14" i="28" s="1"/>
  <c r="B13" i="28"/>
  <c r="B12" i="28"/>
  <c r="E11" i="28" s="1"/>
  <c r="B11" i="28"/>
  <c r="B10" i="28"/>
  <c r="B9" i="28"/>
  <c r="B8" i="28"/>
  <c r="G40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E40" i="25"/>
  <c r="B38" i="25"/>
  <c r="B37" i="25"/>
  <c r="B36" i="25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F40" i="25"/>
  <c r="E10" i="21" s="1"/>
  <c r="B8" i="25"/>
  <c r="F14" i="24"/>
  <c r="F13" i="24"/>
  <c r="F12" i="24"/>
  <c r="F11" i="24"/>
  <c r="F10" i="24"/>
  <c r="F9" i="24"/>
  <c r="F8" i="24"/>
  <c r="E40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E39" i="29" l="1"/>
  <c r="H40" i="26"/>
  <c r="E11" i="21" s="1"/>
  <c r="C17" i="30"/>
  <c r="E11" i="30"/>
  <c r="E40" i="28"/>
  <c r="E40" i="23" l="1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13" i="23"/>
  <c r="B12" i="23"/>
  <c r="B11" i="23"/>
  <c r="B10" i="23"/>
  <c r="B9" i="23"/>
  <c r="B8" i="23"/>
  <c r="A9" i="33" l="1"/>
  <c r="B9" i="33"/>
  <c r="C9" i="33"/>
  <c r="A10" i="33"/>
  <c r="B10" i="33"/>
  <c r="C10" i="33"/>
  <c r="A11" i="33"/>
  <c r="B11" i="33"/>
  <c r="C11" i="33"/>
  <c r="A12" i="33"/>
  <c r="B12" i="33"/>
  <c r="C12" i="33"/>
  <c r="A13" i="33"/>
  <c r="B13" i="33"/>
  <c r="C13" i="33"/>
  <c r="B15" i="33"/>
  <c r="C15" i="33"/>
  <c r="B16" i="33"/>
  <c r="C16" i="33"/>
  <c r="B17" i="33"/>
  <c r="C17" i="33"/>
  <c r="D17" i="33"/>
  <c r="B18" i="33"/>
  <c r="C18" i="33"/>
  <c r="B19" i="33"/>
  <c r="C19" i="33"/>
  <c r="D19" i="33"/>
  <c r="B20" i="33"/>
  <c r="C20" i="33"/>
  <c r="D20" i="33"/>
  <c r="B21" i="33"/>
  <c r="C21" i="33"/>
  <c r="D21" i="33"/>
  <c r="B22" i="33"/>
  <c r="C22" i="33"/>
  <c r="D22" i="33"/>
  <c r="B23" i="33"/>
  <c r="C23" i="33"/>
  <c r="D23" i="33"/>
  <c r="B24" i="33"/>
  <c r="C24" i="33"/>
  <c r="B8" i="33"/>
  <c r="A8" i="33"/>
  <c r="A9" i="34"/>
  <c r="B9" i="34"/>
  <c r="C9" i="34"/>
  <c r="D9" i="34"/>
  <c r="A10" i="34"/>
  <c r="B10" i="34"/>
  <c r="C10" i="34"/>
  <c r="D10" i="34"/>
  <c r="A11" i="34"/>
  <c r="B11" i="34"/>
  <c r="C11" i="34"/>
  <c r="D11" i="34"/>
  <c r="A12" i="34"/>
  <c r="B12" i="34"/>
  <c r="C12" i="34"/>
  <c r="D12" i="34"/>
  <c r="A13" i="34"/>
  <c r="B13" i="34"/>
  <c r="C13" i="34"/>
  <c r="D13" i="34"/>
  <c r="A14" i="34"/>
  <c r="B14" i="34"/>
  <c r="C14" i="34"/>
  <c r="A15" i="34"/>
  <c r="B15" i="34"/>
  <c r="C15" i="34"/>
  <c r="D15" i="34"/>
  <c r="B8" i="34"/>
  <c r="C8" i="34"/>
  <c r="D8" i="34"/>
  <c r="A8" i="34"/>
  <c r="E12" i="33"/>
  <c r="E13" i="33"/>
  <c r="E17" i="33"/>
  <c r="E19" i="33"/>
  <c r="F19" i="33" s="1"/>
  <c r="E20" i="33"/>
  <c r="E21" i="33"/>
  <c r="E22" i="33"/>
  <c r="E23" i="33"/>
  <c r="E24" i="33"/>
  <c r="C8" i="33"/>
  <c r="F20" i="33" l="1"/>
  <c r="F22" i="33"/>
  <c r="F21" i="33"/>
  <c r="C17" i="34"/>
  <c r="F23" i="33"/>
  <c r="F17" i="33"/>
  <c r="K22" i="2"/>
  <c r="L22" i="2"/>
  <c r="F8" i="23" s="1"/>
  <c r="F40" i="23" s="1"/>
  <c r="E18" i="21" s="1"/>
  <c r="E18" i="33" s="1"/>
  <c r="C41" i="21"/>
  <c r="F17" i="21"/>
  <c r="F19" i="21"/>
  <c r="F20" i="21"/>
  <c r="F21" i="21"/>
  <c r="F22" i="21"/>
  <c r="F23" i="21"/>
  <c r="E8" i="21"/>
  <c r="E8" i="33" s="1"/>
  <c r="G38" i="20"/>
  <c r="H38" i="20"/>
  <c r="K38" i="20"/>
  <c r="L38" i="20"/>
  <c r="P38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C22" i="2"/>
  <c r="B22" i="2"/>
  <c r="H22" i="2"/>
  <c r="F25" i="22"/>
  <c r="D25" i="22"/>
  <c r="F11" i="22"/>
  <c r="P50" i="20" l="1"/>
  <c r="C44" i="20"/>
  <c r="R44" i="20" s="1"/>
  <c r="B44" i="20"/>
  <c r="C43" i="20"/>
  <c r="R43" i="20" s="1"/>
  <c r="B43" i="20"/>
  <c r="C42" i="20"/>
  <c r="R42" i="20" s="1"/>
  <c r="B42" i="20"/>
  <c r="C41" i="20"/>
  <c r="R41" i="20" s="1"/>
  <c r="B41" i="20"/>
  <c r="L50" i="20" l="1"/>
  <c r="H50" i="20"/>
  <c r="K50" i="20"/>
  <c r="G50" i="20" l="1"/>
  <c r="E25" i="7" l="1"/>
  <c r="E19" i="7"/>
  <c r="E20" i="7"/>
  <c r="E29" i="7"/>
  <c r="E8" i="4"/>
  <c r="E29" i="4"/>
  <c r="C7" i="4"/>
  <c r="E20" i="4"/>
  <c r="E13" i="4"/>
  <c r="E14" i="4"/>
  <c r="E15" i="4"/>
  <c r="E16" i="4"/>
  <c r="E17" i="4"/>
  <c r="E19" i="4"/>
  <c r="D9" i="4"/>
  <c r="B18" i="7" l="1"/>
  <c r="E18" i="7" s="1"/>
  <c r="B17" i="7"/>
  <c r="E17" i="7" s="1"/>
  <c r="B15" i="7"/>
  <c r="E15" i="7" s="1"/>
  <c r="B16" i="7"/>
  <c r="E16" i="7" s="1"/>
  <c r="B12" i="4"/>
  <c r="B37" i="4" s="1"/>
  <c r="D12" i="7" l="1"/>
  <c r="D11" i="7"/>
  <c r="D10" i="7"/>
  <c r="D9" i="7"/>
  <c r="D39" i="7" s="1"/>
  <c r="C14" i="7" l="1"/>
  <c r="C18" i="4" l="1"/>
  <c r="E18" i="4" s="1"/>
  <c r="B21" i="7" s="1"/>
  <c r="E21" i="7" s="1"/>
  <c r="D12" i="4"/>
  <c r="C12" i="4"/>
  <c r="D11" i="4"/>
  <c r="C11" i="4"/>
  <c r="D10" i="4"/>
  <c r="C10" i="4"/>
  <c r="C9" i="4"/>
  <c r="E10" i="4" l="1"/>
  <c r="B10" i="7" s="1"/>
  <c r="E12" i="4"/>
  <c r="B12" i="7" s="1"/>
  <c r="E9" i="4"/>
  <c r="B9" i="7" s="1"/>
  <c r="C37" i="4"/>
  <c r="D37" i="4"/>
  <c r="E11" i="4"/>
  <c r="B11" i="7" s="1"/>
  <c r="E7" i="4"/>
  <c r="B7" i="7" s="1"/>
  <c r="E37" i="4" l="1"/>
  <c r="C12" i="7" l="1"/>
  <c r="E12" i="7" s="1"/>
  <c r="C8" i="7"/>
  <c r="C13" i="7"/>
  <c r="E13" i="7" s="1"/>
  <c r="C11" i="7"/>
  <c r="E11" i="7" s="1"/>
  <c r="C7" i="7"/>
  <c r="C10" i="7"/>
  <c r="E10" i="7" s="1"/>
  <c r="C9" i="7"/>
  <c r="E9" i="7" s="1"/>
  <c r="B8" i="7"/>
  <c r="E8" i="7" s="1"/>
  <c r="B39" i="7" l="1"/>
  <c r="C39" i="7"/>
  <c r="E39" i="7" s="1"/>
  <c r="E7" i="7"/>
  <c r="C21" i="1" l="1"/>
  <c r="B21" i="1" l="1"/>
  <c r="E10" i="33" l="1"/>
  <c r="F15" i="28" l="1"/>
  <c r="F40" i="28" s="1"/>
  <c r="E15" i="21" s="1"/>
  <c r="D7" i="20" l="1"/>
  <c r="D27" i="20"/>
  <c r="D29" i="20"/>
  <c r="D33" i="20"/>
  <c r="D34" i="20"/>
  <c r="D10" i="30" l="1"/>
  <c r="F10" i="30" s="1"/>
  <c r="C8" i="23" l="1"/>
  <c r="C8" i="26"/>
  <c r="C8" i="36"/>
  <c r="C8" i="35"/>
  <c r="C8" i="28"/>
  <c r="C8" i="25"/>
  <c r="C8" i="24"/>
  <c r="F6" i="20"/>
  <c r="J6" i="20"/>
  <c r="N6" i="20" s="1"/>
  <c r="C7" i="29" l="1"/>
  <c r="D9" i="30" l="1"/>
  <c r="E9" i="30" s="1"/>
  <c r="D8" i="30" l="1"/>
  <c r="E8" i="30" l="1"/>
  <c r="D7" i="29" l="1"/>
  <c r="D8" i="20" l="1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8" i="20"/>
  <c r="D30" i="20"/>
  <c r="D31" i="20"/>
  <c r="D32" i="20"/>
  <c r="D35" i="20"/>
  <c r="D36" i="20"/>
  <c r="D6" i="20" l="1"/>
  <c r="D38" i="20" s="1"/>
  <c r="D50" i="20" s="1"/>
  <c r="C7" i="1"/>
  <c r="J8" i="2" l="1"/>
  <c r="D8" i="1" l="1"/>
  <c r="D10" i="1" l="1"/>
  <c r="D11" i="1" l="1"/>
  <c r="D12" i="1" l="1"/>
  <c r="D13" i="1" l="1"/>
  <c r="D14" i="1" l="1"/>
  <c r="D15" i="1" l="1"/>
  <c r="D9" i="1" l="1"/>
  <c r="F40" i="24" l="1"/>
  <c r="E9" i="21" s="1"/>
  <c r="D40" i="26" l="1"/>
  <c r="E8" i="26"/>
  <c r="D17" i="1" l="1"/>
  <c r="D19" i="1" l="1"/>
  <c r="D18" i="1" l="1"/>
  <c r="B6" i="37" l="1"/>
  <c r="B5" i="37" l="1"/>
  <c r="O19" i="1" l="1"/>
  <c r="O21" i="1" s="1"/>
  <c r="D24" i="21"/>
  <c r="F24" i="21" l="1"/>
  <c r="D24" i="33"/>
  <c r="F24" i="33" s="1"/>
  <c r="B4" i="37" l="1"/>
  <c r="B8" i="37" s="1"/>
  <c r="E16" i="21" l="1"/>
  <c r="E16" i="33" l="1"/>
  <c r="E26" i="21"/>
  <c r="D16" i="21" l="1"/>
  <c r="D16" i="33" l="1"/>
  <c r="F16" i="33" s="1"/>
  <c r="F16" i="21"/>
  <c r="C8" i="20" l="1"/>
  <c r="R8" i="20" s="1"/>
  <c r="C9" i="20"/>
  <c r="R9" i="20" s="1"/>
  <c r="C10" i="20"/>
  <c r="R10" i="20" s="1"/>
  <c r="C11" i="20"/>
  <c r="R11" i="20" s="1"/>
  <c r="C12" i="20"/>
  <c r="R12" i="20" s="1"/>
  <c r="C13" i="20"/>
  <c r="R13" i="20" s="1"/>
  <c r="C14" i="20"/>
  <c r="R14" i="20" s="1"/>
  <c r="C15" i="20"/>
  <c r="R15" i="20" s="1"/>
  <c r="C16" i="20"/>
  <c r="R16" i="20" s="1"/>
  <c r="C17" i="20"/>
  <c r="R17" i="20" s="1"/>
  <c r="C18" i="20"/>
  <c r="R18" i="20" s="1"/>
  <c r="C19" i="20"/>
  <c r="C20" i="20"/>
  <c r="R20" i="20" s="1"/>
  <c r="C21" i="20"/>
  <c r="R21" i="20" s="1"/>
  <c r="C22" i="20"/>
  <c r="R22" i="20" s="1"/>
  <c r="C23" i="20"/>
  <c r="R23" i="20" s="1"/>
  <c r="C24" i="20"/>
  <c r="R24" i="20" s="1"/>
  <c r="C25" i="20"/>
  <c r="R25" i="20" s="1"/>
  <c r="C26" i="20"/>
  <c r="R26" i="20" s="1"/>
  <c r="C27" i="20"/>
  <c r="C28" i="20"/>
  <c r="R28" i="20" s="1"/>
  <c r="C29" i="20"/>
  <c r="R29" i="20" s="1"/>
  <c r="C30" i="20"/>
  <c r="R30" i="20" s="1"/>
  <c r="C31" i="20"/>
  <c r="R31" i="20" s="1"/>
  <c r="C32" i="20"/>
  <c r="R32" i="20" s="1"/>
  <c r="C33" i="20"/>
  <c r="R33" i="20" s="1"/>
  <c r="C34" i="20"/>
  <c r="C35" i="20"/>
  <c r="R35" i="20" s="1"/>
  <c r="C36" i="20"/>
  <c r="R36" i="20" s="1"/>
  <c r="C6" i="20"/>
  <c r="C38" i="20" l="1"/>
  <c r="C50" i="20" s="1"/>
  <c r="J12" i="1" l="1"/>
  <c r="K12" i="1"/>
  <c r="L12" i="1"/>
  <c r="N12" i="1"/>
  <c r="M12" i="1"/>
  <c r="D13" i="2"/>
  <c r="J13" i="1"/>
  <c r="D17" i="2"/>
  <c r="K17" i="1"/>
  <c r="D19" i="2"/>
  <c r="K18" i="1"/>
  <c r="N13" i="1"/>
  <c r="J11" i="2"/>
  <c r="M13" i="1"/>
  <c r="J13" i="2"/>
  <c r="M15" i="1"/>
  <c r="L15" i="1"/>
  <c r="M17" i="1"/>
  <c r="L18" i="1"/>
  <c r="N18" i="1"/>
  <c r="N17" i="1"/>
  <c r="J17" i="2"/>
  <c r="E19" i="2"/>
  <c r="M14" i="1"/>
  <c r="K14" i="1"/>
  <c r="N14" i="1"/>
  <c r="M16" i="1"/>
  <c r="J19" i="1"/>
  <c r="L19" i="1"/>
  <c r="E13" i="2"/>
  <c r="G13" i="2"/>
  <c r="K13" i="1"/>
  <c r="L13" i="1"/>
  <c r="L14" i="1"/>
  <c r="K15" i="1"/>
  <c r="N15" i="1"/>
  <c r="L17" i="1"/>
  <c r="K19" i="1"/>
  <c r="N19" i="1"/>
  <c r="J19" i="2"/>
  <c r="J18" i="1"/>
  <c r="M18" i="1"/>
  <c r="J18" i="2"/>
  <c r="I18" i="2"/>
  <c r="E18" i="2"/>
  <c r="G18" i="2"/>
  <c r="I19" i="2"/>
  <c r="G19" i="2"/>
  <c r="F19" i="2"/>
  <c r="F17" i="2"/>
  <c r="F16" i="2"/>
  <c r="I15" i="2"/>
  <c r="F15" i="2"/>
  <c r="I13" i="2"/>
  <c r="F13" i="2"/>
  <c r="I12" i="2"/>
  <c r="F12" i="2"/>
  <c r="G11" i="2"/>
  <c r="F18" i="2"/>
  <c r="D18" i="2"/>
  <c r="M19" i="1"/>
  <c r="I14" i="2"/>
  <c r="F14" i="2"/>
  <c r="D14" i="2"/>
  <c r="J14" i="2"/>
  <c r="J15" i="2"/>
  <c r="E14" i="2"/>
  <c r="G14" i="2"/>
  <c r="J14" i="1"/>
  <c r="E15" i="2"/>
  <c r="G15" i="2"/>
  <c r="J15" i="1"/>
  <c r="J16" i="2"/>
  <c r="I16" i="2"/>
  <c r="N16" i="1"/>
  <c r="D16" i="2"/>
  <c r="E16" i="2"/>
  <c r="G16" i="2"/>
  <c r="J16" i="1"/>
  <c r="I17" i="2"/>
  <c r="K16" i="1"/>
  <c r="L16" i="1"/>
  <c r="J17" i="1"/>
  <c r="E17" i="2"/>
  <c r="G17" i="2"/>
  <c r="D11" i="2"/>
  <c r="N11" i="1"/>
  <c r="J11" i="1"/>
  <c r="F11" i="2"/>
  <c r="M11" i="1"/>
  <c r="K11" i="1"/>
  <c r="L11" i="1"/>
  <c r="I11" i="2"/>
  <c r="J12" i="2"/>
  <c r="D12" i="2"/>
  <c r="E12" i="2"/>
  <c r="G12" i="2"/>
  <c r="M12" i="2" l="1"/>
  <c r="M18" i="2"/>
  <c r="M14" i="2"/>
  <c r="M13" i="2"/>
  <c r="M17" i="2"/>
  <c r="M16" i="2"/>
  <c r="M19" i="2"/>
  <c r="M10" i="1" l="1"/>
  <c r="K10" i="1"/>
  <c r="L10" i="1"/>
  <c r="I10" i="2"/>
  <c r="G10" i="2"/>
  <c r="N10" i="1"/>
  <c r="F10" i="2"/>
  <c r="J10" i="2"/>
  <c r="D10" i="2"/>
  <c r="J10" i="1"/>
  <c r="C13" i="23" l="1"/>
  <c r="C17" i="23"/>
  <c r="C21" i="23"/>
  <c r="C25" i="23"/>
  <c r="C29" i="23"/>
  <c r="C33" i="23"/>
  <c r="C37" i="23"/>
  <c r="C36" i="23" l="1"/>
  <c r="C32" i="23"/>
  <c r="C28" i="23"/>
  <c r="C24" i="23"/>
  <c r="C9" i="23"/>
  <c r="C35" i="23"/>
  <c r="C31" i="23"/>
  <c r="C27" i="23"/>
  <c r="C23" i="23"/>
  <c r="C19" i="23"/>
  <c r="C15" i="23"/>
  <c r="C11" i="23"/>
  <c r="C20" i="23"/>
  <c r="C16" i="23"/>
  <c r="C12" i="23"/>
  <c r="C38" i="23"/>
  <c r="C34" i="23"/>
  <c r="C30" i="23"/>
  <c r="C26" i="23"/>
  <c r="C22" i="23"/>
  <c r="C18" i="23"/>
  <c r="C14" i="23"/>
  <c r="C10" i="23"/>
  <c r="M9" i="1"/>
  <c r="K9" i="1"/>
  <c r="L9" i="1"/>
  <c r="J9" i="2"/>
  <c r="J22" i="2" s="1"/>
  <c r="J9" i="1"/>
  <c r="N9" i="1"/>
  <c r="D9" i="2"/>
  <c r="G9" i="2"/>
  <c r="F9" i="2"/>
  <c r="I9" i="2"/>
  <c r="E9" i="2"/>
  <c r="M9" i="2" l="1"/>
  <c r="C40" i="23"/>
  <c r="D18" i="21" l="1"/>
  <c r="E42" i="23"/>
  <c r="F18" i="21"/>
  <c r="D18" i="33"/>
  <c r="F18" i="33" s="1"/>
  <c r="C29" i="26" l="1"/>
  <c r="E29" i="26" s="1"/>
  <c r="C29" i="36"/>
  <c r="J27" i="20" l="1"/>
  <c r="N27" i="20" s="1"/>
  <c r="D29" i="35"/>
  <c r="D28" i="29"/>
  <c r="C28" i="29"/>
  <c r="C36" i="26"/>
  <c r="E36" i="26" s="1"/>
  <c r="C36" i="36"/>
  <c r="D9" i="35" l="1"/>
  <c r="J7" i="20"/>
  <c r="D38" i="35"/>
  <c r="J36" i="20"/>
  <c r="N36" i="20" s="1"/>
  <c r="D33" i="35"/>
  <c r="J31" i="20"/>
  <c r="N31" i="20" s="1"/>
  <c r="J26" i="20"/>
  <c r="N26" i="20" s="1"/>
  <c r="D28" i="35"/>
  <c r="D24" i="35"/>
  <c r="J22" i="20"/>
  <c r="N22" i="20" s="1"/>
  <c r="J18" i="20"/>
  <c r="N18" i="20" s="1"/>
  <c r="D20" i="35"/>
  <c r="D16" i="35"/>
  <c r="J14" i="20"/>
  <c r="N14" i="20" s="1"/>
  <c r="J10" i="20"/>
  <c r="N10" i="20" s="1"/>
  <c r="D12" i="35"/>
  <c r="J34" i="20"/>
  <c r="N34" i="20" s="1"/>
  <c r="D36" i="35"/>
  <c r="J35" i="20"/>
  <c r="N35" i="20" s="1"/>
  <c r="D37" i="35"/>
  <c r="D32" i="35"/>
  <c r="J30" i="20"/>
  <c r="N30" i="20" s="1"/>
  <c r="D27" i="35"/>
  <c r="J25" i="20"/>
  <c r="N25" i="20" s="1"/>
  <c r="D23" i="35"/>
  <c r="J21" i="20"/>
  <c r="N21" i="20" s="1"/>
  <c r="J17" i="20"/>
  <c r="N17" i="20" s="1"/>
  <c r="D19" i="35"/>
  <c r="J13" i="20"/>
  <c r="N13" i="20" s="1"/>
  <c r="D15" i="35"/>
  <c r="D11" i="35"/>
  <c r="J9" i="20"/>
  <c r="N9" i="20" s="1"/>
  <c r="J33" i="20"/>
  <c r="N33" i="20" s="1"/>
  <c r="D35" i="35"/>
  <c r="J29" i="20"/>
  <c r="N29" i="20" s="1"/>
  <c r="D31" i="35"/>
  <c r="J24" i="20"/>
  <c r="N24" i="20" s="1"/>
  <c r="D26" i="35"/>
  <c r="D22" i="35"/>
  <c r="J20" i="20"/>
  <c r="N20" i="20" s="1"/>
  <c r="J16" i="20"/>
  <c r="N16" i="20" s="1"/>
  <c r="D18" i="35"/>
  <c r="D14" i="35"/>
  <c r="J12" i="20"/>
  <c r="N12" i="20" s="1"/>
  <c r="J8" i="20"/>
  <c r="N8" i="20" s="1"/>
  <c r="D10" i="35"/>
  <c r="J32" i="20"/>
  <c r="N32" i="20" s="1"/>
  <c r="D34" i="35"/>
  <c r="J28" i="20"/>
  <c r="N28" i="20" s="1"/>
  <c r="D30" i="35"/>
  <c r="J23" i="20"/>
  <c r="N23" i="20" s="1"/>
  <c r="D25" i="35"/>
  <c r="D21" i="35"/>
  <c r="J19" i="20"/>
  <c r="N19" i="20" s="1"/>
  <c r="D17" i="35"/>
  <c r="J15" i="20"/>
  <c r="N15" i="20" s="1"/>
  <c r="J11" i="20"/>
  <c r="N11" i="20" s="1"/>
  <c r="D13" i="35"/>
  <c r="D35" i="29"/>
  <c r="C35" i="29"/>
  <c r="M8" i="1"/>
  <c r="M21" i="1" s="1"/>
  <c r="N7" i="20" l="1"/>
  <c r="N38" i="20" s="1"/>
  <c r="N50" i="20" s="1"/>
  <c r="J38" i="20"/>
  <c r="J50" i="20" s="1"/>
  <c r="D40" i="35"/>
  <c r="D14" i="21" s="1"/>
  <c r="D14" i="33" s="1"/>
  <c r="F14" i="33" s="1"/>
  <c r="C31" i="26"/>
  <c r="E31" i="26" s="1"/>
  <c r="C31" i="36"/>
  <c r="C35" i="26"/>
  <c r="E35" i="26" s="1"/>
  <c r="C35" i="36"/>
  <c r="C9" i="26"/>
  <c r="C9" i="36"/>
  <c r="E9" i="26" l="1"/>
  <c r="D8" i="29"/>
  <c r="D30" i="29"/>
  <c r="D34" i="29"/>
  <c r="C34" i="29"/>
  <c r="C30" i="29"/>
  <c r="C8" i="29"/>
  <c r="C11" i="26" l="1"/>
  <c r="E11" i="26" s="1"/>
  <c r="C12" i="26"/>
  <c r="E12" i="26" s="1"/>
  <c r="C13" i="26"/>
  <c r="E13" i="26" s="1"/>
  <c r="C14" i="26"/>
  <c r="E14" i="26" s="1"/>
  <c r="C15" i="26"/>
  <c r="E15" i="26" s="1"/>
  <c r="C16" i="26"/>
  <c r="E16" i="26" s="1"/>
  <c r="C17" i="26"/>
  <c r="E17" i="26" s="1"/>
  <c r="C18" i="26"/>
  <c r="E18" i="26" s="1"/>
  <c r="C19" i="26"/>
  <c r="E19" i="26" s="1"/>
  <c r="C20" i="26"/>
  <c r="E20" i="26" s="1"/>
  <c r="C21" i="26"/>
  <c r="E21" i="26" s="1"/>
  <c r="C22" i="26"/>
  <c r="E22" i="26" s="1"/>
  <c r="C23" i="26"/>
  <c r="E23" i="26" s="1"/>
  <c r="C24" i="26"/>
  <c r="E24" i="26" s="1"/>
  <c r="C25" i="26"/>
  <c r="E25" i="26" s="1"/>
  <c r="C26" i="26"/>
  <c r="E26" i="26" s="1"/>
  <c r="C27" i="26"/>
  <c r="E27" i="26" s="1"/>
  <c r="C28" i="26"/>
  <c r="E28" i="26" s="1"/>
  <c r="C30" i="26"/>
  <c r="E30" i="26" s="1"/>
  <c r="C32" i="26"/>
  <c r="E32" i="26" s="1"/>
  <c r="C33" i="26"/>
  <c r="E33" i="26" s="1"/>
  <c r="C34" i="26"/>
  <c r="E34" i="26" s="1"/>
  <c r="C37" i="26"/>
  <c r="E37" i="26" s="1"/>
  <c r="C38" i="26"/>
  <c r="E38" i="26" s="1"/>
  <c r="C10" i="2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30" i="36"/>
  <c r="C32" i="36"/>
  <c r="C33" i="36"/>
  <c r="C34" i="36"/>
  <c r="C37" i="36"/>
  <c r="C38" i="36"/>
  <c r="C10" i="36"/>
  <c r="C12" i="29" l="1"/>
  <c r="C40" i="36"/>
  <c r="D12" i="21" s="1"/>
  <c r="E10" i="26"/>
  <c r="E40" i="26" s="1"/>
  <c r="C40" i="26"/>
  <c r="D11" i="21" s="1"/>
  <c r="C23" i="29"/>
  <c r="C37" i="29"/>
  <c r="C9" i="29"/>
  <c r="C22" i="29"/>
  <c r="C18" i="29"/>
  <c r="C14" i="29"/>
  <c r="C10" i="29"/>
  <c r="C31" i="29"/>
  <c r="C21" i="29"/>
  <c r="C17" i="29"/>
  <c r="C13" i="29"/>
  <c r="C25" i="29"/>
  <c r="C26" i="29"/>
  <c r="C32" i="29"/>
  <c r="C36" i="29"/>
  <c r="C29" i="29"/>
  <c r="C24" i="29"/>
  <c r="C20" i="29"/>
  <c r="C16" i="29"/>
  <c r="C33" i="29"/>
  <c r="C27" i="29"/>
  <c r="C19" i="29"/>
  <c r="C15" i="29"/>
  <c r="C11" i="29"/>
  <c r="J8" i="1"/>
  <c r="J21" i="1" s="1"/>
  <c r="L8" i="1"/>
  <c r="L21" i="1" s="1"/>
  <c r="E8" i="2"/>
  <c r="K8" i="1"/>
  <c r="K21" i="1" s="1"/>
  <c r="N8" i="1"/>
  <c r="N21" i="1" s="1"/>
  <c r="I8" i="2"/>
  <c r="I22" i="2" s="1"/>
  <c r="E11" i="33" s="1"/>
  <c r="F8" i="2"/>
  <c r="F22" i="2" s="1"/>
  <c r="E15" i="33" s="1"/>
  <c r="G8" i="2"/>
  <c r="G22" i="2" s="1"/>
  <c r="D11" i="33" l="1"/>
  <c r="F11" i="33" s="1"/>
  <c r="F11" i="21"/>
  <c r="C39" i="29"/>
  <c r="F12" i="21"/>
  <c r="D12" i="33"/>
  <c r="F12" i="33" s="1"/>
  <c r="D38" i="21"/>
  <c r="B7" i="1"/>
  <c r="D14" i="34" l="1"/>
  <c r="D17" i="34" s="1"/>
  <c r="D41" i="21"/>
  <c r="D15" i="30" l="1"/>
  <c r="F15" i="30" s="1"/>
  <c r="E17" i="30" l="1"/>
  <c r="D17" i="30"/>
  <c r="D13" i="29" l="1"/>
  <c r="D10" i="29"/>
  <c r="D14" i="29"/>
  <c r="D18" i="29"/>
  <c r="D22" i="29"/>
  <c r="D26" i="29"/>
  <c r="D32" i="29"/>
  <c r="D9" i="29"/>
  <c r="D11" i="29"/>
  <c r="D15" i="29"/>
  <c r="D19" i="29"/>
  <c r="D23" i="29"/>
  <c r="D27" i="29"/>
  <c r="D33" i="29"/>
  <c r="D12" i="29"/>
  <c r="D16" i="29"/>
  <c r="D20" i="29"/>
  <c r="D24" i="29"/>
  <c r="D29" i="29"/>
  <c r="D36" i="29"/>
  <c r="D17" i="29"/>
  <c r="D21" i="29"/>
  <c r="D25" i="29"/>
  <c r="D31" i="29"/>
  <c r="D37" i="29"/>
  <c r="D8" i="2"/>
  <c r="D39" i="29" l="1"/>
  <c r="M8" i="2"/>
  <c r="D15" i="2" l="1"/>
  <c r="M15" i="2" l="1"/>
  <c r="D22" i="2"/>
  <c r="E9" i="33" s="1"/>
  <c r="E10" i="2" l="1"/>
  <c r="M10" i="2" l="1"/>
  <c r="E11" i="2" l="1"/>
  <c r="M11" i="2" l="1"/>
  <c r="M22" i="2" s="1"/>
  <c r="E22" i="2"/>
  <c r="F12" i="1" l="1"/>
  <c r="H11" i="1"/>
  <c r="I12" i="1"/>
  <c r="G11" i="1"/>
  <c r="G12" i="1"/>
  <c r="F11" i="1"/>
  <c r="I11" i="1"/>
  <c r="H12" i="1"/>
  <c r="E12" i="1" l="1"/>
  <c r="P12" i="1" s="1"/>
  <c r="E11" i="1"/>
  <c r="P11" i="1" s="1"/>
  <c r="I10" i="1" l="1"/>
  <c r="H10" i="1"/>
  <c r="G10" i="1"/>
  <c r="F10" i="1"/>
  <c r="E10" i="1" l="1"/>
  <c r="P10" i="1" s="1"/>
  <c r="I9" i="1" l="1"/>
  <c r="F9" i="1"/>
  <c r="H9" i="1"/>
  <c r="G9" i="1"/>
  <c r="E9" i="1" l="1"/>
  <c r="P9" i="1" s="1"/>
  <c r="I8" i="1" l="1"/>
  <c r="E8" i="1" l="1"/>
  <c r="G8" i="1"/>
  <c r="H8" i="1"/>
  <c r="F8" i="1"/>
  <c r="P8" i="1" l="1"/>
  <c r="C22" i="35" l="1"/>
  <c r="C11" i="35"/>
  <c r="C27" i="35"/>
  <c r="C36" i="24" l="1"/>
  <c r="C13" i="35"/>
  <c r="C36" i="25"/>
  <c r="C30" i="28"/>
  <c r="C10" i="24"/>
  <c r="C28" i="24"/>
  <c r="C20" i="24"/>
  <c r="C21" i="35"/>
  <c r="C20" i="28"/>
  <c r="C17" i="35"/>
  <c r="C18" i="25"/>
  <c r="C26" i="35"/>
  <c r="C10" i="25"/>
  <c r="C25" i="28"/>
  <c r="C29" i="25"/>
  <c r="C33" i="25"/>
  <c r="C35" i="35"/>
  <c r="C12" i="25"/>
  <c r="C35" i="25"/>
  <c r="C13" i="24"/>
  <c r="C19" i="24"/>
  <c r="C23" i="35"/>
  <c r="C15" i="25"/>
  <c r="C14" i="35"/>
  <c r="C9" i="24"/>
  <c r="C37" i="25"/>
  <c r="C23" i="25"/>
  <c r="F18" i="1"/>
  <c r="C32" i="24"/>
  <c r="I15" i="1"/>
  <c r="C20" i="25"/>
  <c r="C30" i="24"/>
  <c r="C10" i="28"/>
  <c r="G16" i="1"/>
  <c r="C15" i="24"/>
  <c r="C25" i="35"/>
  <c r="C16" i="28"/>
  <c r="I13" i="1"/>
  <c r="C9" i="35"/>
  <c r="C36" i="28"/>
  <c r="I19" i="1"/>
  <c r="C25" i="24"/>
  <c r="C37" i="35"/>
  <c r="C21" i="24"/>
  <c r="C27" i="24"/>
  <c r="C27" i="25"/>
  <c r="C27" i="28"/>
  <c r="C34" i="35"/>
  <c r="C28" i="25"/>
  <c r="C22" i="28"/>
  <c r="C22" i="24"/>
  <c r="C22" i="25"/>
  <c r="C20" i="35"/>
  <c r="C9" i="28"/>
  <c r="C29" i="28"/>
  <c r="C31" i="24"/>
  <c r="C17" i="24"/>
  <c r="F17" i="1"/>
  <c r="C24" i="28"/>
  <c r="I16" i="1"/>
  <c r="C13" i="28"/>
  <c r="H18" i="1"/>
  <c r="C38" i="25"/>
  <c r="C32" i="28"/>
  <c r="C11" i="28"/>
  <c r="C11" i="25"/>
  <c r="C14" i="28"/>
  <c r="C14" i="25"/>
  <c r="C14" i="24"/>
  <c r="C38" i="24"/>
  <c r="C30" i="25"/>
  <c r="C18" i="28"/>
  <c r="H16" i="1"/>
  <c r="C16" i="25"/>
  <c r="C38" i="35"/>
  <c r="C35" i="24"/>
  <c r="C21" i="25"/>
  <c r="C36" i="35"/>
  <c r="C15" i="35"/>
  <c r="C9" i="25"/>
  <c r="C37" i="28"/>
  <c r="C12" i="35"/>
  <c r="C31" i="28"/>
  <c r="C17" i="28"/>
  <c r="C23" i="28"/>
  <c r="C33" i="28"/>
  <c r="C28" i="35"/>
  <c r="I17" i="1"/>
  <c r="C33" i="35"/>
  <c r="C18" i="35"/>
  <c r="C29" i="35"/>
  <c r="C19" i="28"/>
  <c r="G18" i="1"/>
  <c r="C32" i="25"/>
  <c r="C12" i="28"/>
  <c r="C26" i="28"/>
  <c r="C26" i="24"/>
  <c r="C26" i="25"/>
  <c r="C31" i="25"/>
  <c r="H17" i="1"/>
  <c r="C24" i="24"/>
  <c r="I14" i="1"/>
  <c r="C24" i="35"/>
  <c r="C19" i="35"/>
  <c r="C18" i="24"/>
  <c r="F16" i="1"/>
  <c r="C12" i="24"/>
  <c r="C15" i="28"/>
  <c r="C16" i="24"/>
  <c r="C10" i="35"/>
  <c r="C35" i="28"/>
  <c r="C32" i="35"/>
  <c r="C25" i="25"/>
  <c r="C31" i="35"/>
  <c r="C21" i="28"/>
  <c r="C28" i="28"/>
  <c r="C37" i="24"/>
  <c r="C29" i="24"/>
  <c r="C17" i="25"/>
  <c r="C23" i="24"/>
  <c r="G17" i="1"/>
  <c r="C33" i="24"/>
  <c r="C30" i="35"/>
  <c r="C24" i="25"/>
  <c r="C34" i="28"/>
  <c r="C34" i="24"/>
  <c r="C34" i="25"/>
  <c r="I18" i="1"/>
  <c r="C13" i="25"/>
  <c r="C19" i="25"/>
  <c r="C38" i="28"/>
  <c r="C16" i="35"/>
  <c r="C40" i="35" l="1"/>
  <c r="D13" i="21" s="1"/>
  <c r="I21" i="1"/>
  <c r="C40" i="25"/>
  <c r="D10" i="21" s="1"/>
  <c r="C40" i="28"/>
  <c r="D15" i="21" s="1"/>
  <c r="E17" i="1"/>
  <c r="P17" i="1" s="1"/>
  <c r="F33" i="20"/>
  <c r="F15" i="20"/>
  <c r="F8" i="20"/>
  <c r="F22" i="20"/>
  <c r="F20" i="20"/>
  <c r="F25" i="20"/>
  <c r="F10" i="20"/>
  <c r="F19" i="20"/>
  <c r="F14" i="20"/>
  <c r="E16" i="1"/>
  <c r="E13" i="1"/>
  <c r="G13" i="1"/>
  <c r="E18" i="1"/>
  <c r="P18" i="1" s="1"/>
  <c r="G15" i="1"/>
  <c r="F18" i="20"/>
  <c r="F14" i="1"/>
  <c r="F15" i="1"/>
  <c r="H14" i="1"/>
  <c r="F26" i="20"/>
  <c r="F23" i="20"/>
  <c r="F31" i="20"/>
  <c r="H13" i="1"/>
  <c r="F29" i="20"/>
  <c r="C11" i="24"/>
  <c r="C40" i="24" s="1"/>
  <c r="D9" i="21" s="1"/>
  <c r="F16" i="20"/>
  <c r="F19" i="1"/>
  <c r="F34" i="20"/>
  <c r="F17" i="20"/>
  <c r="H15" i="1"/>
  <c r="H19" i="1"/>
  <c r="F13" i="1"/>
  <c r="F28" i="20"/>
  <c r="F36" i="20"/>
  <c r="F11" i="20"/>
  <c r="F27" i="20"/>
  <c r="F13" i="20"/>
  <c r="F30" i="20"/>
  <c r="G19" i="1"/>
  <c r="G14" i="1"/>
  <c r="F21" i="20"/>
  <c r="F35" i="20"/>
  <c r="F7" i="20"/>
  <c r="F21" i="1" l="1"/>
  <c r="H21" i="1"/>
  <c r="D15" i="33"/>
  <c r="F15" i="33" s="1"/>
  <c r="F15" i="21"/>
  <c r="F10" i="21"/>
  <c r="D10" i="33"/>
  <c r="F10" i="33" s="1"/>
  <c r="G21" i="1"/>
  <c r="F9" i="21"/>
  <c r="D9" i="33"/>
  <c r="P13" i="1"/>
  <c r="F13" i="21"/>
  <c r="D13" i="33"/>
  <c r="F13" i="33" s="1"/>
  <c r="F24" i="20"/>
  <c r="F32" i="20"/>
  <c r="F12" i="20"/>
  <c r="E15" i="1"/>
  <c r="P15" i="1" s="1"/>
  <c r="F9" i="20"/>
  <c r="E19" i="1"/>
  <c r="P19" i="1" s="1"/>
  <c r="E14" i="1"/>
  <c r="P14" i="1" s="1"/>
  <c r="E21" i="1" l="1"/>
  <c r="F38" i="20"/>
  <c r="F50" i="20" s="1"/>
  <c r="F9" i="33"/>
  <c r="D26" i="33"/>
  <c r="D16" i="1" l="1"/>
  <c r="D21" i="1" l="1"/>
  <c r="P16" i="1"/>
  <c r="P21" i="1" s="1"/>
  <c r="E6" i="20" l="1"/>
  <c r="I6" i="20" l="1"/>
  <c r="O6" i="20" l="1"/>
  <c r="E20" i="20"/>
  <c r="I20" i="20" s="1"/>
  <c r="O20" i="20" s="1"/>
  <c r="Q20" i="20" s="1"/>
  <c r="Q6" i="20" l="1"/>
  <c r="E13" i="20"/>
  <c r="I13" i="20" s="1"/>
  <c r="O13" i="20" s="1"/>
  <c r="Q13" i="20" s="1"/>
  <c r="E21" i="20"/>
  <c r="I21" i="20" s="1"/>
  <c r="O21" i="20" s="1"/>
  <c r="Q21" i="20" s="1"/>
  <c r="E15" i="20"/>
  <c r="I15" i="20" s="1"/>
  <c r="O15" i="20" s="1"/>
  <c r="Q15" i="20" s="1"/>
  <c r="E14" i="20"/>
  <c r="I14" i="20" s="1"/>
  <c r="O14" i="20" s="1"/>
  <c r="Q14" i="20" s="1"/>
  <c r="E30" i="20"/>
  <c r="I30" i="20" s="1"/>
  <c r="O30" i="20" s="1"/>
  <c r="Q30" i="20" s="1"/>
  <c r="E26" i="20"/>
  <c r="I26" i="20" s="1"/>
  <c r="O26" i="20" s="1"/>
  <c r="Q26" i="20" s="1"/>
  <c r="E35" i="20"/>
  <c r="I35" i="20" s="1"/>
  <c r="O35" i="20" s="1"/>
  <c r="Q35" i="20" s="1"/>
  <c r="E31" i="20"/>
  <c r="I31" i="20" s="1"/>
  <c r="O31" i="20" s="1"/>
  <c r="Q31" i="20" s="1"/>
  <c r="E23" i="20"/>
  <c r="I23" i="20" s="1"/>
  <c r="O23" i="20" s="1"/>
  <c r="Q23" i="20" s="1"/>
  <c r="E34" i="20"/>
  <c r="I34" i="20" s="1"/>
  <c r="O34" i="20" s="1"/>
  <c r="E36" i="20"/>
  <c r="I36" i="20" s="1"/>
  <c r="O36" i="20" s="1"/>
  <c r="Q36" i="20" s="1"/>
  <c r="E10" i="20"/>
  <c r="I10" i="20" s="1"/>
  <c r="O10" i="20" s="1"/>
  <c r="Q10" i="20" s="1"/>
  <c r="E18" i="20"/>
  <c r="I18" i="20" s="1"/>
  <c r="O18" i="20" s="1"/>
  <c r="Q18" i="20" s="1"/>
  <c r="E32" i="20"/>
  <c r="I32" i="20" s="1"/>
  <c r="O32" i="20" s="1"/>
  <c r="Q32" i="20" s="1"/>
  <c r="E17" i="20"/>
  <c r="I17" i="20" s="1"/>
  <c r="O17" i="20" s="1"/>
  <c r="Q17" i="20" s="1"/>
  <c r="E24" i="20"/>
  <c r="I24" i="20" s="1"/>
  <c r="O24" i="20" s="1"/>
  <c r="Q24" i="20" s="1"/>
  <c r="E11" i="20"/>
  <c r="I11" i="20" s="1"/>
  <c r="O11" i="20" s="1"/>
  <c r="Q11" i="20" s="1"/>
  <c r="E16" i="20"/>
  <c r="I16" i="20" s="1"/>
  <c r="O16" i="20" s="1"/>
  <c r="Q16" i="20" s="1"/>
  <c r="E29" i="20"/>
  <c r="I29" i="20" s="1"/>
  <c r="O29" i="20" s="1"/>
  <c r="Q29" i="20" s="1"/>
  <c r="E12" i="20"/>
  <c r="I12" i="20" s="1"/>
  <c r="O12" i="20" s="1"/>
  <c r="Q12" i="20" s="1"/>
  <c r="E9" i="20"/>
  <c r="I9" i="20" s="1"/>
  <c r="O9" i="20" s="1"/>
  <c r="Q9" i="20" s="1"/>
  <c r="E27" i="20"/>
  <c r="I27" i="20" s="1"/>
  <c r="O27" i="20" s="1"/>
  <c r="E22" i="20"/>
  <c r="I22" i="20" s="1"/>
  <c r="O22" i="20" s="1"/>
  <c r="Q22" i="20" s="1"/>
  <c r="E19" i="20"/>
  <c r="I19" i="20" s="1"/>
  <c r="O19" i="20" s="1"/>
  <c r="E28" i="20"/>
  <c r="I28" i="20" s="1"/>
  <c r="O28" i="20" s="1"/>
  <c r="Q28" i="20" s="1"/>
  <c r="E33" i="20"/>
  <c r="I33" i="20" s="1"/>
  <c r="O33" i="20" s="1"/>
  <c r="Q33" i="20" s="1"/>
  <c r="E8" i="20"/>
  <c r="I8" i="20" s="1"/>
  <c r="O8" i="20" s="1"/>
  <c r="Q8" i="20" s="1"/>
  <c r="E25" i="20"/>
  <c r="I25" i="20" s="1"/>
  <c r="O25" i="20" s="1"/>
  <c r="Q25" i="20" s="1"/>
  <c r="E7" i="20"/>
  <c r="Q27" i="20" l="1"/>
  <c r="R27" i="20"/>
  <c r="Q19" i="20"/>
  <c r="R19" i="20"/>
  <c r="Q34" i="20"/>
  <c r="R34" i="20"/>
  <c r="I7" i="20"/>
  <c r="E38" i="20"/>
  <c r="E50" i="20" s="1"/>
  <c r="O7" i="20" l="1"/>
  <c r="I38" i="20"/>
  <c r="I50" i="20" s="1"/>
  <c r="R38" i="20" l="1"/>
  <c r="D8" i="21" s="1"/>
  <c r="Q38" i="20"/>
  <c r="Q50" i="20" s="1"/>
  <c r="O38" i="20"/>
  <c r="O50" i="20" s="1"/>
  <c r="R50" i="20" l="1"/>
  <c r="D8" i="33"/>
  <c r="F8" i="33" s="1"/>
  <c r="F26" i="33" s="1"/>
  <c r="F8" i="21"/>
  <c r="F26" i="21" s="1"/>
  <c r="D26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D3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3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DIEUDONNE</t>
        </r>
      </text>
    </comment>
    <comment ref="G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ACHAT ORDINATEUR</t>
        </r>
      </text>
    </comment>
    <comment ref="I9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NKEPSEU DIEUDONNE</t>
        </r>
      </text>
    </comment>
    <comment ref="I12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PÈRE NGUIEMENI 100 000
BEAU PÈRE DJUOMBESSY 100 000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P8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P1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P20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P2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P32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Q3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103 000
EPARGNE 76000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15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8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RETOUR EN CAISSE OBSEQUES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F15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DANS L'EPARGNE</t>
        </r>
      </text>
    </comment>
  </commentList>
</comments>
</file>

<file path=xl/sharedStrings.xml><?xml version="1.0" encoding="utf-8"?>
<sst xmlns="http://schemas.openxmlformats.org/spreadsheetml/2006/main" count="708" uniqueCount="189">
  <si>
    <t>ENTREE DES DIFFERENTES RUBRIQUES</t>
  </si>
  <si>
    <t>EPARGNE</t>
  </si>
  <si>
    <t>FONDS DE ROULEMENT</t>
  </si>
  <si>
    <t>FRAIS EXCEPTIONNEL</t>
  </si>
  <si>
    <t>COLLATION</t>
  </si>
  <si>
    <t>PENALITE VST ESPECES</t>
  </si>
  <si>
    <t>INSCRIPTION</t>
  </si>
  <si>
    <t>MUTUELLE</t>
  </si>
  <si>
    <t>MOIS</t>
  </si>
  <si>
    <t>REPORT</t>
  </si>
  <si>
    <t>ANNEE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</si>
  <si>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</si>
  <si>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</si>
  <si>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</si>
  <si>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</si>
  <si>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</si>
  <si>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</si>
  <si>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</si>
  <si>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</si>
  <si>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</si>
  <si>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</si>
  <si>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</si>
  <si>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</si>
  <si>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TOTAL</t>
  </si>
  <si>
    <t>SORTIE DES DIFFERENTES RUBRIQUES</t>
  </si>
  <si>
    <t>BILAN ALLANT DE LA PERIODE  DU 01 DECEMBRE 2015 AU 30 NOVEMBRE 2016</t>
  </si>
  <si>
    <t>RUBRIQUE</t>
  </si>
  <si>
    <t>REPORT A NOUVEAU</t>
  </si>
  <si>
    <t>ENTREES</t>
  </si>
  <si>
    <t>SORTIES</t>
  </si>
  <si>
    <t>SOLDE</t>
  </si>
  <si>
    <t>EPARGNE\RELIQUAT2015</t>
  </si>
  <si>
    <t>FONDS DE CAISSE</t>
  </si>
  <si>
    <t>FRAIS EXCEPTIONNELS</t>
  </si>
  <si>
    <t>MUTUELLE\COMPLEMENT MUTUEL</t>
  </si>
  <si>
    <t>FOYER</t>
  </si>
  <si>
    <t>RECOUVREMENT POUR LAGWEU GENERAL</t>
  </si>
  <si>
    <t>AUTRES</t>
  </si>
  <si>
    <t>INTERET EMPRUNT</t>
  </si>
  <si>
    <t>EMPRUNT</t>
  </si>
  <si>
    <t>RELIQUAT 2016</t>
  </si>
  <si>
    <t>COMPTE CCA</t>
  </si>
  <si>
    <t>COMPTE AFRILAND</t>
  </si>
  <si>
    <t>COMPTE MC2</t>
  </si>
  <si>
    <t>ASELBY CAISSE(NDJOMO ETIENNE)</t>
  </si>
  <si>
    <t>RETRAIT DISTRIBUTION EPARGNE</t>
  </si>
  <si>
    <t>SOUS TOTAL</t>
  </si>
  <si>
    <t>MONTANT DISPONIBLE</t>
  </si>
  <si>
    <t>BILAN ALLANT DE LA PERIODE  DU 01 DECEMBRE 2016 AU 30 AOUT 2017</t>
  </si>
  <si>
    <t>EPARGNE\RELIQUAT2016</t>
  </si>
  <si>
    <t>PENALITE VERSEMENT EN ESPECES</t>
  </si>
  <si>
    <t>SANCTION</t>
  </si>
  <si>
    <t>NOM ET PRENOM</t>
  </si>
  <si>
    <t>RELIQUAT</t>
  </si>
  <si>
    <t>NOUVEAU FONDS</t>
  </si>
  <si>
    <t>COMPLEMENT FONDS</t>
  </si>
  <si>
    <t>COMPLEMENT MUTUELLE</t>
  </si>
  <si>
    <t>PENALITE</t>
  </si>
  <si>
    <t>FONDS GELE</t>
  </si>
  <si>
    <t>CHAISE</t>
  </si>
  <si>
    <t>TENUE</t>
  </si>
  <si>
    <t>INTERET BQUE AFRILAND</t>
  </si>
  <si>
    <t>AS201601</t>
  </si>
  <si>
    <t>AS201602</t>
  </si>
  <si>
    <t>AS201604</t>
  </si>
  <si>
    <t>AS201605</t>
  </si>
  <si>
    <t>AS201608</t>
  </si>
  <si>
    <t>AS201609</t>
  </si>
  <si>
    <t>AS201611</t>
  </si>
  <si>
    <t>AS201613</t>
  </si>
  <si>
    <t>AS201617</t>
  </si>
  <si>
    <t>AS201619</t>
  </si>
  <si>
    <t>AS201620</t>
  </si>
  <si>
    <t>AS201621</t>
  </si>
  <si>
    <t>AS201622</t>
  </si>
  <si>
    <t>AS201624</t>
  </si>
  <si>
    <t>AS201625</t>
  </si>
  <si>
    <t>AS201626</t>
  </si>
  <si>
    <t>AS201628</t>
  </si>
  <si>
    <t>AS201633</t>
  </si>
  <si>
    <t>AS201638</t>
  </si>
  <si>
    <t>AS201639</t>
  </si>
  <si>
    <t>AS201641</t>
  </si>
  <si>
    <t>AS201643</t>
  </si>
  <si>
    <t>AS201646</t>
  </si>
  <si>
    <t>AS201647</t>
  </si>
  <si>
    <t>AS201649</t>
  </si>
  <si>
    <t>AS201651</t>
  </si>
  <si>
    <t>AS201652</t>
  </si>
  <si>
    <t>AS201653</t>
  </si>
  <si>
    <t>AS201648</t>
  </si>
  <si>
    <t>PRÊT</t>
  </si>
  <si>
    <t>INTERET</t>
  </si>
  <si>
    <t>REMBOURSEMENT</t>
  </si>
  <si>
    <t>ASSOCIATION</t>
  </si>
  <si>
    <t>ASELBY</t>
  </si>
  <si>
    <t>MATRICULE</t>
  </si>
  <si>
    <t>REPARTITION INTERET</t>
  </si>
  <si>
    <t>REPARTITION PENALITE REMBOURSEMENT PRÊT</t>
  </si>
  <si>
    <t>REPARTITION COLLATION</t>
  </si>
  <si>
    <t xml:space="preserve">TOTAL </t>
  </si>
  <si>
    <t>TOTAL RETENU</t>
  </si>
  <si>
    <t>TOTAL  A PERCEVOIR</t>
  </si>
  <si>
    <t>MONTANT PERCU</t>
  </si>
  <si>
    <t>AS201654</t>
  </si>
  <si>
    <t>AS201656</t>
  </si>
  <si>
    <t>AS201612</t>
  </si>
  <si>
    <t>AS201623</t>
  </si>
  <si>
    <t>SYNTHESE DES COMPTES</t>
  </si>
  <si>
    <t>NUMERO ORDRE</t>
  </si>
  <si>
    <t>FONDS DE CAISSE ET RELIQUAT</t>
  </si>
  <si>
    <t>PENALITES</t>
  </si>
  <si>
    <t>TONTINE DE PRESENCE</t>
  </si>
  <si>
    <t>RECOUVREMENT POUR LA'AGWEU</t>
  </si>
  <si>
    <t>CHAISES</t>
  </si>
  <si>
    <t>DIVERS</t>
  </si>
  <si>
    <t>TENUES</t>
  </si>
  <si>
    <t>FONDS GELES</t>
  </si>
  <si>
    <t>INTERETS ET AUTRES</t>
  </si>
  <si>
    <t>INTERET TONTINE 100</t>
  </si>
  <si>
    <t>DISPOSITION DES FONDS</t>
  </si>
  <si>
    <t>COMPTE CCA AU 30/12/2022</t>
  </si>
  <si>
    <t>COMPTE MC²(NON ACTUALISE)</t>
  </si>
  <si>
    <t>DETTE PREFINANCEMENT LA'AGWEU</t>
  </si>
  <si>
    <t>DETTE MR KOUATCHO</t>
  </si>
  <si>
    <t>RESTE A RECUPERE AU CONSEIL</t>
  </si>
  <si>
    <t>FONDS EN CIRCULATION</t>
  </si>
  <si>
    <t>DETTES TONTINES</t>
  </si>
  <si>
    <t>2022-2023</t>
  </si>
  <si>
    <t>2022/2023</t>
  </si>
  <si>
    <t>AS201657</t>
  </si>
  <si>
    <t>AS201658</t>
  </si>
  <si>
    <t>INTERET TONTINE</t>
  </si>
  <si>
    <t xml:space="preserve">INTERET TONTINE </t>
  </si>
  <si>
    <t>MONTANT</t>
  </si>
  <si>
    <t>SORTIE</t>
  </si>
  <si>
    <t>DATE</t>
  </si>
  <si>
    <t>LIBELLE</t>
  </si>
  <si>
    <t>ENTREE</t>
  </si>
  <si>
    <t>VERSE DANS LE COMPTE CONSEIL</t>
  </si>
  <si>
    <t>TAXI BANQUE</t>
  </si>
  <si>
    <t>COMMUNICATI ON MBOGNING</t>
  </si>
  <si>
    <t>PRODUCTION RAPPORT MBOGNING</t>
  </si>
  <si>
    <t>COMMUNICATI ON MBOUTCHUENG ET HENGUE</t>
  </si>
  <si>
    <t>FRAIS EXCEPTIONNELLE</t>
  </si>
  <si>
    <t>NUIT DES ELITES (RECEPTION ET PROJET)</t>
  </si>
  <si>
    <t>GRATIFICATION BUREAU 2022</t>
  </si>
  <si>
    <t>FONDS MUTUELLE</t>
  </si>
  <si>
    <t>TRANSPORT DELEGATION</t>
  </si>
  <si>
    <t xml:space="preserve">DECES BEAU PÈRE NGUIEMENI </t>
  </si>
  <si>
    <t>DECES  BELLE MERE DJUOMBESSY</t>
  </si>
  <si>
    <t>ECHEANCE</t>
  </si>
  <si>
    <t>LISTE ROUGE</t>
  </si>
  <si>
    <t>PAIEMENT</t>
  </si>
  <si>
    <t>FOTSO THOMAS</t>
  </si>
  <si>
    <t>LIQUIDATION FONDS</t>
  </si>
  <si>
    <t>OBSERVATIONS</t>
  </si>
  <si>
    <t>NKEHE DAVID</t>
  </si>
  <si>
    <t>TYAM ERNEST</t>
  </si>
  <si>
    <t>SIMO FONGANG ERIC</t>
  </si>
  <si>
    <t>A REVERSER</t>
  </si>
  <si>
    <t>TCHOUANTE FRANCOIS</t>
  </si>
  <si>
    <t>PAS DE FONDS</t>
  </si>
  <si>
    <t>CHINGUE FABRICE</t>
  </si>
  <si>
    <t>NJEPDIO MBOUKAM DELUXE</t>
  </si>
  <si>
    <t>YEPMOU JEAN JACQUES</t>
  </si>
  <si>
    <t>TCHOUTOU NANA CLAUDE</t>
  </si>
  <si>
    <t>RECONDUCTION</t>
  </si>
  <si>
    <t>RECONDUCTION 2024</t>
  </si>
  <si>
    <t>OBSEQUES NKEPSEU DIEUDONNE</t>
  </si>
  <si>
    <t>OBSEQUES Mme KOUATCHO MESSACK</t>
  </si>
  <si>
    <t>FONDS DE CAISSE ET RECONDUCTION</t>
  </si>
  <si>
    <t>LEGALISATION DOCUMENT</t>
  </si>
  <si>
    <t>MONTANT PAIEMENT ESPECES</t>
  </si>
  <si>
    <t>MONTANT SANCTION</t>
  </si>
  <si>
    <t>PENALITES PAIEMENT ESPECES</t>
  </si>
  <si>
    <t>COMPLEMENT</t>
  </si>
  <si>
    <t>NUIT DES ELITES</t>
  </si>
  <si>
    <t>COMMISSION BUREAU</t>
  </si>
  <si>
    <t>CONFECTION ET LAVAGE ECHARGE</t>
  </si>
  <si>
    <t>T25</t>
  </si>
  <si>
    <t>T75</t>
  </si>
  <si>
    <t>T100</t>
  </si>
  <si>
    <t>TOTAL INTERET</t>
  </si>
  <si>
    <t>INTERET ADHERENT</t>
  </si>
  <si>
    <t>T0TAL</t>
  </si>
  <si>
    <t>GUY</t>
  </si>
  <si>
    <t>DJUOMBESSY</t>
  </si>
  <si>
    <t>HOTCHO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</si>
</sst>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d\-mmm\-yy;@"/>
    <numFmt numFmtId="165" formatCode="[$-40C]mmm\-yy;@"/>
  </numFmts>
  <fonts count="2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Britannic Bold"/>
      <family val="2"/>
    </font>
    <font>
      <sz val="11"/>
      <color rgb="FFFF0000"/>
      <name val="Britannic Bold"/>
      <family val="2"/>
    </font>
    <font>
      <sz val="11"/>
      <name val="Britannic Bold"/>
      <family val="2"/>
    </font>
    <font>
      <sz val="16"/>
      <color rgb="FF00B050"/>
      <name val="Britannic Bold"/>
      <family val="2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stellar"/>
      <family val="1"/>
    </font>
    <font>
      <b/>
      <sz val="14"/>
      <color theme="1"/>
      <name val="Britannic Bold"/>
      <family val="2"/>
    </font>
    <font>
      <b/>
      <sz val="20"/>
      <color theme="1"/>
      <name val="Calibri"/>
      <family val="2"/>
      <scheme val="minor"/>
    </font>
    <font>
      <sz val="14"/>
      <color theme="1"/>
      <name val="Britannic Bold"/>
      <family val="2"/>
    </font>
    <font>
      <sz val="11"/>
      <color theme="1"/>
      <name val="Arial"/>
      <family val="2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4"/>
      <color rgb="FFFF0000"/>
      <name val="Britannic Bold"/>
      <family val="2"/>
    </font>
    <font>
      <sz val="16"/>
      <color rgb="FFFF0000"/>
      <name val="Britannic Bold"/>
      <family val="2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sz val="14"/>
      <color rgb="FF00B05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4"/>
      <color rgb="FF0070C0"/>
      <name val="Britannic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hair">
        <color auto="1"/>
      </right>
      <top style="double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/>
    <xf numFmtId="0" fontId="1" fillId="0" borderId="0" xfId="0" applyFont="1"/>
    <xf numFmtId="3" fontId="4" fillId="0" borderId="0" xfId="0" applyNumberFormat="1" applyFont="1"/>
    <xf numFmtId="3" fontId="5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 wrapText="1"/>
    </xf>
    <xf numFmtId="3" fontId="5" fillId="2" borderId="3" xfId="0" applyNumberFormat="1" applyFont="1" applyFill="1" applyBorder="1" applyAlignment="1">
      <alignment horizontal="center" wrapText="1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3" fontId="4" fillId="0" borderId="5" xfId="0" applyNumberFormat="1" applyFont="1" applyBorder="1"/>
    <xf numFmtId="3" fontId="5" fillId="0" borderId="6" xfId="0" applyNumberFormat="1" applyFont="1" applyBorder="1"/>
    <xf numFmtId="0" fontId="3" fillId="0" borderId="5" xfId="0" applyFont="1" applyBorder="1"/>
    <xf numFmtId="0" fontId="0" fillId="0" borderId="4" xfId="0" applyBorder="1"/>
    <xf numFmtId="0" fontId="9" fillId="0" borderId="0" xfId="0" applyFont="1"/>
    <xf numFmtId="0" fontId="10" fillId="3" borderId="1" xfId="0" applyFont="1" applyFill="1" applyBorder="1"/>
    <xf numFmtId="0" fontId="10" fillId="3" borderId="2" xfId="0" applyFont="1" applyFill="1" applyBorder="1" applyAlignment="1">
      <alignment wrapText="1"/>
    </xf>
    <xf numFmtId="0" fontId="10" fillId="3" borderId="2" xfId="0" applyFont="1" applyFill="1" applyBorder="1"/>
    <xf numFmtId="0" fontId="10" fillId="3" borderId="3" xfId="0" applyFont="1" applyFill="1" applyBorder="1"/>
    <xf numFmtId="3" fontId="2" fillId="0" borderId="5" xfId="0" applyNumberFormat="1" applyFont="1" applyBorder="1"/>
    <xf numFmtId="3" fontId="2" fillId="0" borderId="6" xfId="0" applyNumberFormat="1" applyFont="1" applyBorder="1"/>
    <xf numFmtId="3" fontId="0" fillId="0" borderId="0" xfId="0" applyNumberFormat="1"/>
    <xf numFmtId="3" fontId="0" fillId="0" borderId="5" xfId="0" applyNumberFormat="1" applyBorder="1"/>
    <xf numFmtId="3" fontId="0" fillId="0" borderId="6" xfId="0" applyNumberFormat="1" applyBorder="1"/>
    <xf numFmtId="3" fontId="8" fillId="0" borderId="0" xfId="0" applyNumberFormat="1" applyFont="1"/>
    <xf numFmtId="0" fontId="2" fillId="0" borderId="7" xfId="0" applyFont="1" applyBorder="1"/>
    <xf numFmtId="3" fontId="2" fillId="0" borderId="9" xfId="0" applyNumberFormat="1" applyFont="1" applyBorder="1"/>
    <xf numFmtId="0" fontId="2" fillId="0" borderId="5" xfId="0" applyFont="1" applyBorder="1"/>
    <xf numFmtId="0" fontId="10" fillId="3" borderId="4" xfId="0" applyFont="1" applyFill="1" applyBorder="1"/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/>
    <xf numFmtId="0" fontId="10" fillId="3" borderId="6" xfId="0" applyFont="1" applyFill="1" applyBorder="1"/>
    <xf numFmtId="3" fontId="2" fillId="0" borderId="8" xfId="0" applyNumberFormat="1" applyFont="1" applyBorder="1"/>
    <xf numFmtId="0" fontId="1" fillId="0" borderId="5" xfId="0" applyFont="1" applyBorder="1"/>
    <xf numFmtId="3" fontId="3" fillId="0" borderId="5" xfId="0" applyNumberFormat="1" applyFont="1" applyBorder="1"/>
    <xf numFmtId="0" fontId="7" fillId="0" borderId="0" xfId="0" applyFont="1" applyAlignment="1">
      <alignment horizontal="center"/>
    </xf>
    <xf numFmtId="3" fontId="2" fillId="0" borderId="0" xfId="0" applyNumberFormat="1" applyFont="1"/>
    <xf numFmtId="3" fontId="2" fillId="2" borderId="11" xfId="0" applyNumberFormat="1" applyFont="1" applyFill="1" applyBorder="1" applyAlignment="1">
      <alignment horizontal="center" wrapText="1"/>
    </xf>
    <xf numFmtId="0" fontId="0" fillId="0" borderId="12" xfId="0" applyBorder="1"/>
    <xf numFmtId="3" fontId="4" fillId="0" borderId="12" xfId="0" applyNumberFormat="1" applyFont="1" applyBorder="1"/>
    <xf numFmtId="0" fontId="0" fillId="0" borderId="0" xfId="0" applyAlignment="1">
      <alignment horizontal="center"/>
    </xf>
    <xf numFmtId="17" fontId="1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3" fontId="2" fillId="3" borderId="2" xfId="0" applyNumberFormat="1" applyFont="1" applyFill="1" applyBorder="1" applyAlignment="1">
      <alignment wrapText="1"/>
    </xf>
    <xf numFmtId="3" fontId="2" fillId="3" borderId="3" xfId="0" applyNumberFormat="1" applyFont="1" applyFill="1" applyBorder="1" applyAlignment="1">
      <alignment wrapText="1"/>
    </xf>
    <xf numFmtId="3" fontId="13" fillId="0" borderId="5" xfId="0" applyNumberFormat="1" applyFont="1" applyBorder="1"/>
    <xf numFmtId="0" fontId="0" fillId="0" borderId="5" xfId="0" applyNumberFormat="1" applyBorder="1"/>
    <xf numFmtId="0" fontId="1" fillId="0" borderId="4" xfId="0" applyFont="1" applyBorder="1"/>
    <xf numFmtId="0" fontId="2" fillId="0" borderId="6" xfId="0" applyFont="1" applyBorder="1"/>
    <xf numFmtId="0" fontId="1" fillId="0" borderId="4" xfId="0" applyNumberFormat="1" applyFont="1" applyBorder="1"/>
    <xf numFmtId="0" fontId="2" fillId="0" borderId="8" xfId="0" applyFont="1" applyBorder="1"/>
    <xf numFmtId="3" fontId="16" fillId="0" borderId="8" xfId="0" applyNumberFormat="1" applyFont="1" applyBorder="1"/>
    <xf numFmtId="3" fontId="16" fillId="0" borderId="9" xfId="0" applyNumberFormat="1" applyFont="1" applyBorder="1"/>
    <xf numFmtId="0" fontId="7" fillId="0" borderId="0" xfId="0" applyFont="1" applyAlignment="1">
      <alignment horizontal="center"/>
    </xf>
    <xf numFmtId="3" fontId="17" fillId="0" borderId="5" xfId="0" applyNumberFormat="1" applyFont="1" applyBorder="1"/>
    <xf numFmtId="0" fontId="0" fillId="0" borderId="13" xfId="0" applyBorder="1"/>
    <xf numFmtId="0" fontId="2" fillId="0" borderId="14" xfId="0" applyFont="1" applyBorder="1"/>
    <xf numFmtId="3" fontId="2" fillId="0" borderId="14" xfId="0" applyNumberFormat="1" applyFont="1" applyBorder="1"/>
    <xf numFmtId="3" fontId="3" fillId="0" borderId="14" xfId="0" applyNumberFormat="1" applyFont="1" applyBorder="1"/>
    <xf numFmtId="3" fontId="2" fillId="0" borderId="15" xfId="0" applyNumberFormat="1" applyFont="1" applyBorder="1"/>
    <xf numFmtId="0" fontId="0" fillId="0" borderId="7" xfId="0" applyBorder="1"/>
    <xf numFmtId="0" fontId="18" fillId="0" borderId="8" xfId="0" applyFont="1" applyBorder="1"/>
    <xf numFmtId="3" fontId="18" fillId="0" borderId="8" xfId="0" applyNumberFormat="1" applyFont="1" applyBorder="1"/>
    <xf numFmtId="0" fontId="0" fillId="0" borderId="0" xfId="0" applyBorder="1"/>
    <xf numFmtId="0" fontId="2" fillId="0" borderId="0" xfId="0" applyFont="1" applyBorder="1"/>
    <xf numFmtId="3" fontId="2" fillId="0" borderId="0" xfId="0" applyNumberFormat="1" applyFont="1" applyBorder="1"/>
    <xf numFmtId="3" fontId="3" fillId="0" borderId="0" xfId="0" applyNumberFormat="1" applyFont="1" applyBorder="1"/>
    <xf numFmtId="0" fontId="0" fillId="0" borderId="1" xfId="0" applyBorder="1"/>
    <xf numFmtId="0" fontId="0" fillId="0" borderId="2" xfId="0" applyBorder="1"/>
    <xf numFmtId="3" fontId="17" fillId="0" borderId="2" xfId="0" applyNumberFormat="1" applyFont="1" applyBorder="1"/>
    <xf numFmtId="3" fontId="17" fillId="0" borderId="3" xfId="0" applyNumberFormat="1" applyFont="1" applyBorder="1"/>
    <xf numFmtId="3" fontId="17" fillId="0" borderId="6" xfId="0" applyNumberFormat="1" applyFont="1" applyBorder="1"/>
    <xf numFmtId="3" fontId="1" fillId="0" borderId="0" xfId="0" applyNumberFormat="1" applyFont="1" applyBorder="1"/>
    <xf numFmtId="3" fontId="0" fillId="0" borderId="0" xfId="0" applyNumberFormat="1" applyBorder="1"/>
    <xf numFmtId="0" fontId="1" fillId="0" borderId="0" xfId="0" applyFont="1" applyBorder="1"/>
    <xf numFmtId="3" fontId="14" fillId="0" borderId="0" xfId="0" applyNumberFormat="1" applyFont="1" applyBorder="1"/>
    <xf numFmtId="0" fontId="2" fillId="0" borderId="16" xfId="0" applyFont="1" applyBorder="1"/>
    <xf numFmtId="0" fontId="3" fillId="0" borderId="7" xfId="0" applyFont="1" applyBorder="1"/>
    <xf numFmtId="0" fontId="3" fillId="0" borderId="8" xfId="0" applyFont="1" applyBorder="1"/>
    <xf numFmtId="3" fontId="21" fillId="0" borderId="8" xfId="0" applyNumberFormat="1" applyFont="1" applyBorder="1"/>
    <xf numFmtId="3" fontId="18" fillId="0" borderId="9" xfId="0" applyNumberFormat="1" applyFont="1" applyBorder="1"/>
    <xf numFmtId="3" fontId="3" fillId="0" borderId="0" xfId="0" applyNumberFormat="1" applyFont="1"/>
    <xf numFmtId="0" fontId="1" fillId="0" borderId="12" xfId="0" applyFont="1" applyBorder="1"/>
    <xf numFmtId="3" fontId="3" fillId="0" borderId="12" xfId="0" applyNumberFormat="1" applyFont="1" applyBorder="1"/>
    <xf numFmtId="0" fontId="22" fillId="0" borderId="7" xfId="0" applyFont="1" applyBorder="1"/>
    <xf numFmtId="3" fontId="22" fillId="0" borderId="8" xfId="0" applyNumberFormat="1" applyFont="1" applyBorder="1"/>
    <xf numFmtId="3" fontId="22" fillId="0" borderId="9" xfId="0" applyNumberFormat="1" applyFont="1" applyBorder="1"/>
    <xf numFmtId="0" fontId="2" fillId="0" borderId="10" xfId="0" applyFont="1" applyBorder="1"/>
    <xf numFmtId="3" fontId="21" fillId="0" borderId="9" xfId="0" applyNumberFormat="1" applyFont="1" applyBorder="1"/>
    <xf numFmtId="0" fontId="0" fillId="0" borderId="0" xfId="0" applyAlignment="1">
      <alignment horizontal="center" vertical="center"/>
    </xf>
    <xf numFmtId="0" fontId="23" fillId="0" borderId="5" xfId="0" applyFont="1" applyBorder="1"/>
    <xf numFmtId="3" fontId="24" fillId="0" borderId="5" xfId="0" applyNumberFormat="1" applyFont="1" applyBorder="1"/>
    <xf numFmtId="3" fontId="24" fillId="0" borderId="6" xfId="0" applyNumberFormat="1" applyFont="1" applyBorder="1"/>
    <xf numFmtId="3" fontId="18" fillId="0" borderId="5" xfId="0" applyNumberFormat="1" applyFont="1" applyBorder="1"/>
    <xf numFmtId="3" fontId="18" fillId="0" borderId="6" xfId="0" applyNumberFormat="1" applyFont="1" applyBorder="1"/>
    <xf numFmtId="3" fontId="2" fillId="0" borderId="2" xfId="0" applyNumberFormat="1" applyFont="1" applyBorder="1"/>
    <xf numFmtId="3" fontId="2" fillId="0" borderId="3" xfId="0" applyNumberFormat="1" applyFont="1" applyBorder="1"/>
    <xf numFmtId="0" fontId="23" fillId="0" borderId="4" xfId="0" applyFont="1" applyBorder="1"/>
    <xf numFmtId="3" fontId="18" fillId="0" borderId="17" xfId="0" applyNumberFormat="1" applyFont="1" applyBorder="1" applyAlignment="1">
      <alignment horizontal="center" vertical="center"/>
    </xf>
    <xf numFmtId="3" fontId="18" fillId="0" borderId="18" xfId="0" applyNumberFormat="1" applyFont="1" applyBorder="1" applyAlignment="1">
      <alignment horizontal="center" vertical="center"/>
    </xf>
    <xf numFmtId="3" fontId="18" fillId="0" borderId="2" xfId="0" applyNumberFormat="1" applyFont="1" applyBorder="1"/>
    <xf numFmtId="3" fontId="2" fillId="0" borderId="5" xfId="0" applyNumberFormat="1" applyFont="1" applyBorder="1" applyAlignment="1">
      <alignment horizontal="center" vertical="center"/>
    </xf>
    <xf numFmtId="3" fontId="25" fillId="0" borderId="5" xfId="0" applyNumberFormat="1" applyFont="1" applyBorder="1"/>
    <xf numFmtId="3" fontId="26" fillId="0" borderId="6" xfId="0" applyNumberFormat="1" applyFont="1" applyBorder="1"/>
    <xf numFmtId="165" fontId="0" fillId="0" borderId="5" xfId="0" applyNumberFormat="1" applyBorder="1"/>
    <xf numFmtId="3" fontId="18" fillId="0" borderId="2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165" fontId="27" fillId="0" borderId="6" xfId="0" applyNumberFormat="1" applyFont="1" applyBorder="1"/>
    <xf numFmtId="3" fontId="2" fillId="0" borderId="3" xfId="0" applyNumberFormat="1" applyFont="1" applyFill="1" applyBorder="1" applyAlignment="1">
      <alignment horizontal="center" vertical="center"/>
    </xf>
    <xf numFmtId="0" fontId="0" fillId="0" borderId="9" xfId="0" applyBorder="1"/>
    <xf numFmtId="3" fontId="21" fillId="0" borderId="5" xfId="0" applyNumberFormat="1" applyFont="1" applyBorder="1"/>
    <xf numFmtId="3" fontId="28" fillId="0" borderId="5" xfId="0" applyNumberFormat="1" applyFont="1" applyBorder="1"/>
    <xf numFmtId="3" fontId="2" fillId="0" borderId="11" xfId="0" applyNumberFormat="1" applyFont="1" applyBorder="1" applyAlignment="1">
      <alignment horizontal="center" vertical="center"/>
    </xf>
    <xf numFmtId="3" fontId="21" fillId="0" borderId="12" xfId="0" applyNumberFormat="1" applyFont="1" applyBorder="1"/>
    <xf numFmtId="3" fontId="25" fillId="0" borderId="12" xfId="0" applyNumberFormat="1" applyFont="1" applyBorder="1"/>
    <xf numFmtId="3" fontId="16" fillId="0" borderId="22" xfId="0" applyNumberFormat="1" applyFont="1" applyBorder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9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3" fontId="6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18" fillId="0" borderId="21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3" fontId="18" fillId="0" borderId="19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18" fillId="0" borderId="2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18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TONTASELB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AUTREMOUVEM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5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MOUVEMENT201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MOUVEMENT2018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TRAVAUXFINEXERCICE2017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4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75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10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AUTREMOUVEMEN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LISTEADHEREN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LISTEFONDSCAISS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ABBO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MVTREPARTITION"/>
      <sheetName val="MVTREPARTITIONEDIT"/>
      <sheetName val="MVTREPARTITIONEDIT (2)"/>
      <sheetName val="SITUATION KEPSEU"/>
      <sheetName val="CPTETCHEMNOU"/>
      <sheetName val="CPTECHINGUE"/>
      <sheetName val="MVTRESUME2019"/>
      <sheetName val="Feuil1"/>
      <sheetName val="MVTRESUMEEDIT2019"/>
      <sheetName val="MVTRESUMETAB"/>
      <sheetName val="MVTRESUME20BACKUP"/>
      <sheetName val="GESTTRESORERIE"/>
      <sheetName val="MVTREPARTITION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>
        <row r="44">
          <cell r="C44">
            <v>16412126.924414562</v>
          </cell>
        </row>
      </sheetData>
      <sheetData sheetId="3">
        <row r="44">
          <cell r="C44">
            <v>119999.99999999997</v>
          </cell>
        </row>
      </sheetData>
      <sheetData sheetId="4">
        <row r="44">
          <cell r="C44">
            <v>244000.00000000006</v>
          </cell>
        </row>
      </sheetData>
      <sheetData sheetId="5">
        <row r="44">
          <cell r="C44">
            <v>0</v>
          </cell>
        </row>
      </sheetData>
      <sheetData sheetId="6">
        <row r="44">
          <cell r="C44">
            <v>0</v>
          </cell>
        </row>
      </sheetData>
      <sheetData sheetId="7">
        <row r="44">
          <cell r="C44">
            <v>20000</v>
          </cell>
        </row>
      </sheetData>
      <sheetData sheetId="8">
        <row r="44">
          <cell r="C44">
            <v>0</v>
          </cell>
        </row>
      </sheetData>
      <sheetData sheetId="9">
        <row r="44">
          <cell r="C44">
            <v>36180</v>
          </cell>
        </row>
      </sheetData>
      <sheetData sheetId="10">
        <row r="44">
          <cell r="C44">
            <v>0</v>
          </cell>
        </row>
      </sheetData>
      <sheetData sheetId="11">
        <row r="44">
          <cell r="C44">
            <v>1586800.0000000005</v>
          </cell>
        </row>
      </sheetData>
      <sheetData sheetId="12">
        <row r="2">
          <cell r="A2" t="str">
            <v>ANNEE</v>
          </cell>
        </row>
      </sheetData>
      <sheetData sheetId="13">
        <row r="40">
          <cell r="C40">
            <v>0</v>
          </cell>
        </row>
      </sheetData>
      <sheetData sheetId="14">
        <row r="44">
          <cell r="C44">
            <v>180000.00000000003</v>
          </cell>
        </row>
      </sheetData>
      <sheetData sheetId="15">
        <row r="44">
          <cell r="C44">
            <v>517300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 refreshError="1"/>
      <sheetData sheetId="1" refreshError="1"/>
      <sheetData sheetId="2" refreshError="1">
        <row r="54">
          <cell r="C54">
            <v>14428521</v>
          </cell>
          <cell r="O54">
            <v>1719860</v>
          </cell>
          <cell r="R54">
            <v>3821141</v>
          </cell>
          <cell r="S54">
            <v>250500</v>
          </cell>
          <cell r="T54">
            <v>501000</v>
          </cell>
          <cell r="U54">
            <v>1252500</v>
          </cell>
          <cell r="V54">
            <v>235000</v>
          </cell>
        </row>
      </sheetData>
      <sheetData sheetId="3" refreshError="1">
        <row r="5">
          <cell r="B5">
            <v>0</v>
          </cell>
        </row>
        <row r="6">
          <cell r="B6">
            <v>1100000</v>
          </cell>
        </row>
        <row r="7">
          <cell r="B7">
            <v>1260000</v>
          </cell>
        </row>
        <row r="8">
          <cell r="B8">
            <v>2595000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>
        <row r="9">
          <cell r="D9">
            <v>224500</v>
          </cell>
        </row>
      </sheetData>
      <sheetData sheetId="1"/>
      <sheetData sheetId="2">
        <row r="54">
          <cell r="C54">
            <v>14428521</v>
          </cell>
        </row>
      </sheetData>
      <sheetData sheetId="3">
        <row r="5">
          <cell r="B5">
            <v>0</v>
          </cell>
        </row>
      </sheetData>
      <sheetData sheetId="4">
        <row r="17">
          <cell r="D17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6">
          <cell r="D6">
            <v>588000</v>
          </cell>
        </row>
      </sheetData>
      <sheetData sheetId="12"/>
      <sheetData sheetId="13"/>
      <sheetData sheetId="1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 (2)"/>
      <sheetName val="BILAN 2016"/>
      <sheetName val="BILANFINAOUT2017"/>
      <sheetName val="BILANUPDATE"/>
      <sheetName val="BILANUPDATEDPA"/>
      <sheetName val="Feuil1"/>
      <sheetName val="Feuil2"/>
      <sheetName val="Feuil2 (2)"/>
    </sheetNames>
    <sheetDataSet>
      <sheetData sheetId="0"/>
      <sheetData sheetId="1"/>
      <sheetData sheetId="2">
        <row r="56">
          <cell r="C56">
            <v>16310819</v>
          </cell>
          <cell r="E56">
            <v>3963693</v>
          </cell>
          <cell r="F56">
            <v>182000</v>
          </cell>
          <cell r="G56">
            <v>364000</v>
          </cell>
          <cell r="H56">
            <v>910000</v>
          </cell>
          <cell r="I56">
            <v>2009927</v>
          </cell>
          <cell r="J56">
            <v>0</v>
          </cell>
          <cell r="R56">
            <v>125000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/>
      <sheetData sheetId="1"/>
      <sheetData sheetId="2">
        <row r="6">
          <cell r="A6" t="str">
            <v>AS201601</v>
          </cell>
        </row>
      </sheetData>
      <sheetData sheetId="3">
        <row r="6">
          <cell r="A6" t="str">
            <v>AS201601</v>
          </cell>
        </row>
      </sheetData>
      <sheetData sheetId="4">
        <row r="6">
          <cell r="A6" t="str">
            <v>AS201601</v>
          </cell>
        </row>
      </sheetData>
      <sheetData sheetId="5">
        <row r="6">
          <cell r="A6" t="str">
            <v>AS201601</v>
          </cell>
        </row>
      </sheetData>
      <sheetData sheetId="6">
        <row r="6">
          <cell r="A6" t="str">
            <v>AS201601</v>
          </cell>
        </row>
      </sheetData>
      <sheetData sheetId="7">
        <row r="6">
          <cell r="A6" t="str">
            <v>AS201601</v>
          </cell>
        </row>
      </sheetData>
      <sheetData sheetId="8">
        <row r="6">
          <cell r="A6" t="str">
            <v>AS201601</v>
          </cell>
        </row>
      </sheetData>
      <sheetData sheetId="9">
        <row r="6">
          <cell r="A6" t="str">
            <v>AS201601</v>
          </cell>
        </row>
      </sheetData>
      <sheetData sheetId="10">
        <row r="6">
          <cell r="A6" t="str">
            <v>AS201601</v>
          </cell>
        </row>
      </sheetData>
      <sheetData sheetId="11">
        <row r="6">
          <cell r="A6" t="str">
            <v>AS201601</v>
          </cell>
        </row>
      </sheetData>
      <sheetData sheetId="12">
        <row r="6">
          <cell r="A6" t="str">
            <v>AS201601</v>
          </cell>
        </row>
      </sheetData>
      <sheetData sheetId="13">
        <row r="35">
          <cell r="V35">
            <v>7000</v>
          </cell>
        </row>
        <row r="38">
          <cell r="D38">
            <v>9000000</v>
          </cell>
          <cell r="Q38">
            <v>8788000</v>
          </cell>
        </row>
        <row r="42">
          <cell r="R42">
            <v>239000</v>
          </cell>
        </row>
      </sheetData>
      <sheetData sheetId="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</sheetNames>
    <sheetDataSet>
      <sheetData sheetId="0"/>
      <sheetData sheetId="1">
        <row r="7">
          <cell r="A7" t="str">
            <v>AS201602</v>
          </cell>
        </row>
      </sheetData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S6">
            <v>19029.411764705881</v>
          </cell>
        </row>
        <row r="19">
          <cell r="T19">
            <v>18000</v>
          </cell>
        </row>
        <row r="27">
          <cell r="P27">
            <v>323500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SYNTHESE"/>
    </sheetNames>
    <sheetDataSet>
      <sheetData sheetId="0"/>
      <sheetData sheetId="1">
        <row r="7">
          <cell r="A7" t="str">
            <v>AS201604</v>
          </cell>
        </row>
      </sheetData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S6">
            <v>44678.571428571428</v>
          </cell>
        </row>
        <row r="17">
          <cell r="T17">
            <v>44000</v>
          </cell>
        </row>
        <row r="26">
          <cell r="Q26">
            <v>625500</v>
          </cell>
        </row>
      </sheetData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DEC22"/>
      <sheetName val="MVTJANV23"/>
      <sheetName val="MVTFEV23"/>
      <sheetName val="MVTMARS23"/>
      <sheetName val="MVTAVRIL23"/>
      <sheetName val="MVTMAI23"/>
      <sheetName val="MVTJUIN23"/>
      <sheetName val="MVTJUIL23"/>
      <sheetName val="MVTAOUT23"/>
      <sheetName val="MVTSEPT23"/>
      <sheetName val="MVTOCT23"/>
      <sheetName val="MVTNOV23"/>
      <sheetName val="MVTDEC23"/>
      <sheetName val="MVTRESUME23"/>
      <sheetName val="MVTREPARTITION2022"/>
      <sheetName val="BILAN 2022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  <sheetName val="MVTREPARTITION2022 (2)"/>
    </sheetNames>
    <sheetDataSet>
      <sheetData sheetId="0"/>
      <sheetData sheetId="1"/>
      <sheetData sheetId="2"/>
      <sheetData sheetId="3"/>
      <sheetData sheetId="4">
        <row r="39">
          <cell r="G39">
            <v>1267999.9999999998</v>
          </cell>
          <cell r="R39">
            <v>15600000</v>
          </cell>
        </row>
      </sheetData>
      <sheetData sheetId="5">
        <row r="40">
          <cell r="C40">
            <v>15600000</v>
          </cell>
          <cell r="D40">
            <v>4361558.5213484811</v>
          </cell>
          <cell r="I40">
            <v>0</v>
          </cell>
          <cell r="K40">
            <v>1050000</v>
          </cell>
          <cell r="L40">
            <v>30000</v>
          </cell>
          <cell r="M40">
            <v>30000</v>
          </cell>
          <cell r="N40">
            <v>120000</v>
          </cell>
          <cell r="O40">
            <v>0</v>
          </cell>
          <cell r="P40">
            <v>75000</v>
          </cell>
          <cell r="Q40">
            <v>35000</v>
          </cell>
          <cell r="U40">
            <v>0</v>
          </cell>
          <cell r="AD40">
            <v>210000</v>
          </cell>
          <cell r="AE40">
            <v>6000</v>
          </cell>
          <cell r="AF40">
            <v>0</v>
          </cell>
          <cell r="AG40">
            <v>0</v>
          </cell>
          <cell r="AH40">
            <v>100000</v>
          </cell>
          <cell r="AJ40">
            <v>0</v>
          </cell>
        </row>
      </sheetData>
      <sheetData sheetId="6">
        <row r="40">
          <cell r="G40">
            <v>30000</v>
          </cell>
          <cell r="I40">
            <v>0</v>
          </cell>
          <cell r="K40">
            <v>328000</v>
          </cell>
          <cell r="L40">
            <v>30000</v>
          </cell>
          <cell r="M40">
            <v>30000</v>
          </cell>
          <cell r="N40">
            <v>120000</v>
          </cell>
          <cell r="O40">
            <v>0</v>
          </cell>
          <cell r="P40">
            <v>0</v>
          </cell>
          <cell r="Q40">
            <v>60000</v>
          </cell>
          <cell r="R40">
            <v>1000000</v>
          </cell>
          <cell r="U40">
            <v>2500000</v>
          </cell>
          <cell r="AD40">
            <v>210000</v>
          </cell>
          <cell r="AE40">
            <v>68500</v>
          </cell>
          <cell r="AF40">
            <v>0</v>
          </cell>
          <cell r="AG40">
            <v>560000</v>
          </cell>
          <cell r="AH40">
            <v>0</v>
          </cell>
          <cell r="AJ40">
            <v>200000</v>
          </cell>
        </row>
      </sheetData>
      <sheetData sheetId="7">
        <row r="40">
          <cell r="G40">
            <v>6000</v>
          </cell>
          <cell r="I40">
            <v>0</v>
          </cell>
          <cell r="K40">
            <v>345000</v>
          </cell>
          <cell r="L40">
            <v>29000</v>
          </cell>
          <cell r="M40">
            <v>30000</v>
          </cell>
          <cell r="N40">
            <v>120000</v>
          </cell>
          <cell r="O40">
            <v>6000</v>
          </cell>
          <cell r="P40">
            <v>0</v>
          </cell>
          <cell r="Q40">
            <v>25000</v>
          </cell>
          <cell r="R40">
            <v>200000</v>
          </cell>
          <cell r="U40">
            <v>1582500</v>
          </cell>
          <cell r="AD40">
            <v>210000</v>
          </cell>
          <cell r="AE40">
            <v>6000</v>
          </cell>
          <cell r="AF40">
            <v>0</v>
          </cell>
          <cell r="AG40">
            <v>0</v>
          </cell>
          <cell r="AH40">
            <v>100000</v>
          </cell>
          <cell r="AJ40">
            <v>0</v>
          </cell>
        </row>
      </sheetData>
      <sheetData sheetId="8">
        <row r="40">
          <cell r="G40">
            <v>204000.00000000009</v>
          </cell>
          <cell r="I40">
            <v>0</v>
          </cell>
          <cell r="K40">
            <v>386000</v>
          </cell>
          <cell r="L40">
            <v>28000</v>
          </cell>
          <cell r="M40">
            <v>29000</v>
          </cell>
          <cell r="N40">
            <v>116000</v>
          </cell>
          <cell r="O40">
            <v>12000</v>
          </cell>
          <cell r="P40">
            <v>0</v>
          </cell>
          <cell r="Q40">
            <v>120000</v>
          </cell>
          <cell r="R40">
            <v>3500000</v>
          </cell>
          <cell r="U40">
            <v>1357500</v>
          </cell>
          <cell r="AD40">
            <v>140000</v>
          </cell>
          <cell r="AE40">
            <v>6000</v>
          </cell>
          <cell r="AF40">
            <v>0</v>
          </cell>
          <cell r="AG40">
            <v>0</v>
          </cell>
          <cell r="AH40">
            <v>100000</v>
          </cell>
          <cell r="AJ40">
            <v>0</v>
          </cell>
        </row>
      </sheetData>
      <sheetData sheetId="9">
        <row r="40">
          <cell r="G40">
            <v>29999.999999999993</v>
          </cell>
          <cell r="I40">
            <v>0</v>
          </cell>
          <cell r="K40">
            <v>882000</v>
          </cell>
          <cell r="L40">
            <v>33000</v>
          </cell>
          <cell r="M40">
            <v>31000</v>
          </cell>
          <cell r="N40">
            <v>124000</v>
          </cell>
          <cell r="O40">
            <v>19000</v>
          </cell>
          <cell r="P40">
            <v>0</v>
          </cell>
          <cell r="Q40">
            <v>120000</v>
          </cell>
          <cell r="R40">
            <v>0</v>
          </cell>
          <cell r="U40">
            <v>0</v>
          </cell>
          <cell r="AD40">
            <v>280000</v>
          </cell>
          <cell r="AE40">
            <v>6000</v>
          </cell>
          <cell r="AF40">
            <v>0</v>
          </cell>
          <cell r="AG40">
            <v>200000</v>
          </cell>
          <cell r="AH40">
            <v>100000</v>
          </cell>
          <cell r="AJ40">
            <v>0</v>
          </cell>
        </row>
      </sheetData>
      <sheetData sheetId="10">
        <row r="40">
          <cell r="G40">
            <v>74199.999999999985</v>
          </cell>
          <cell r="I40">
            <v>0</v>
          </cell>
          <cell r="K40">
            <v>426500</v>
          </cell>
          <cell r="L40">
            <v>30000</v>
          </cell>
          <cell r="M40">
            <v>30000</v>
          </cell>
          <cell r="N40">
            <v>120000</v>
          </cell>
          <cell r="O40">
            <v>3000</v>
          </cell>
          <cell r="P40">
            <v>0</v>
          </cell>
          <cell r="Q40">
            <v>0</v>
          </cell>
          <cell r="R40">
            <v>1555000</v>
          </cell>
          <cell r="U40">
            <v>2500000</v>
          </cell>
          <cell r="AD40">
            <v>70000</v>
          </cell>
          <cell r="AE40">
            <v>24000</v>
          </cell>
          <cell r="AF40">
            <v>20000</v>
          </cell>
          <cell r="AG40">
            <v>0</v>
          </cell>
          <cell r="AH40">
            <v>100000</v>
          </cell>
          <cell r="AJ40">
            <v>0</v>
          </cell>
        </row>
      </sheetData>
      <sheetData sheetId="11">
        <row r="40">
          <cell r="G40">
            <v>49999.999999999985</v>
          </cell>
          <cell r="I40">
            <v>0</v>
          </cell>
          <cell r="K40">
            <v>561768</v>
          </cell>
          <cell r="L40">
            <v>30000</v>
          </cell>
          <cell r="M40">
            <v>30000</v>
          </cell>
          <cell r="N40">
            <v>120000</v>
          </cell>
          <cell r="O40">
            <v>15000</v>
          </cell>
          <cell r="P40">
            <v>0</v>
          </cell>
          <cell r="Q40">
            <v>0</v>
          </cell>
          <cell r="R40">
            <v>1000000</v>
          </cell>
          <cell r="U40">
            <v>250000</v>
          </cell>
          <cell r="AD40">
            <v>280000</v>
          </cell>
          <cell r="AE40">
            <v>6000</v>
          </cell>
          <cell r="AF40">
            <v>50000</v>
          </cell>
          <cell r="AG40">
            <v>0</v>
          </cell>
          <cell r="AH40">
            <v>100000</v>
          </cell>
          <cell r="AJ40">
            <v>0</v>
          </cell>
        </row>
      </sheetData>
      <sheetData sheetId="12">
        <row r="40">
          <cell r="G40">
            <v>64000</v>
          </cell>
          <cell r="I40">
            <v>0</v>
          </cell>
          <cell r="K40">
            <v>394000</v>
          </cell>
          <cell r="L40">
            <v>32000</v>
          </cell>
          <cell r="M40">
            <v>29000</v>
          </cell>
          <cell r="N40">
            <v>116000</v>
          </cell>
          <cell r="O40">
            <v>3000</v>
          </cell>
          <cell r="P40">
            <v>0</v>
          </cell>
          <cell r="Q40">
            <v>0</v>
          </cell>
          <cell r="R40">
            <v>1600000</v>
          </cell>
          <cell r="U40">
            <v>2150000</v>
          </cell>
          <cell r="AD40">
            <v>140000</v>
          </cell>
          <cell r="AE40">
            <v>45000</v>
          </cell>
          <cell r="AF40">
            <v>155000</v>
          </cell>
          <cell r="AG40">
            <v>560000</v>
          </cell>
          <cell r="AH40">
            <v>100000</v>
          </cell>
          <cell r="AJ40">
            <v>0</v>
          </cell>
        </row>
      </sheetData>
      <sheetData sheetId="13">
        <row r="40">
          <cell r="G40">
            <v>0</v>
          </cell>
          <cell r="I40">
            <v>0</v>
          </cell>
          <cell r="K40">
            <v>774000</v>
          </cell>
          <cell r="L40">
            <v>29000</v>
          </cell>
          <cell r="M40">
            <v>29000</v>
          </cell>
          <cell r="N40">
            <v>116000</v>
          </cell>
          <cell r="O40">
            <v>3000</v>
          </cell>
          <cell r="P40">
            <v>0</v>
          </cell>
          <cell r="Q40">
            <v>0</v>
          </cell>
          <cell r="R40">
            <v>0</v>
          </cell>
          <cell r="U40">
            <v>1102500</v>
          </cell>
          <cell r="AD40">
            <v>210000</v>
          </cell>
          <cell r="AE40">
            <v>6000</v>
          </cell>
          <cell r="AF40">
            <v>0</v>
          </cell>
          <cell r="AG40">
            <v>0</v>
          </cell>
          <cell r="AH40">
            <v>100000</v>
          </cell>
          <cell r="AJ40">
            <v>0</v>
          </cell>
        </row>
      </sheetData>
      <sheetData sheetId="14">
        <row r="40">
          <cell r="G40">
            <v>19999.999999999993</v>
          </cell>
          <cell r="I40">
            <v>0</v>
          </cell>
          <cell r="K40">
            <v>596500</v>
          </cell>
          <cell r="L40">
            <v>29000</v>
          </cell>
          <cell r="M40">
            <v>29000</v>
          </cell>
          <cell r="N40">
            <v>116000</v>
          </cell>
          <cell r="O40">
            <v>0</v>
          </cell>
          <cell r="P40">
            <v>0</v>
          </cell>
          <cell r="Q40">
            <v>0</v>
          </cell>
          <cell r="R40">
            <v>1500000</v>
          </cell>
          <cell r="U40">
            <v>740000</v>
          </cell>
          <cell r="AD40">
            <v>140000</v>
          </cell>
          <cell r="AE40">
            <v>13500</v>
          </cell>
          <cell r="AF40">
            <v>600000</v>
          </cell>
          <cell r="AG40">
            <v>0</v>
          </cell>
          <cell r="AH40">
            <v>100000</v>
          </cell>
          <cell r="AJ40">
            <v>0</v>
          </cell>
        </row>
      </sheetData>
      <sheetData sheetId="15">
        <row r="40">
          <cell r="G40">
            <v>0</v>
          </cell>
          <cell r="I40">
            <v>0</v>
          </cell>
          <cell r="K40">
            <v>372500</v>
          </cell>
          <cell r="L40">
            <v>32000</v>
          </cell>
          <cell r="M40">
            <v>32000</v>
          </cell>
          <cell r="N40">
            <v>128000</v>
          </cell>
          <cell r="O40">
            <v>18000</v>
          </cell>
          <cell r="P40">
            <v>0</v>
          </cell>
          <cell r="Q40">
            <v>0</v>
          </cell>
          <cell r="R40">
            <v>0</v>
          </cell>
          <cell r="U40">
            <v>439500</v>
          </cell>
          <cell r="AD40">
            <v>210000</v>
          </cell>
          <cell r="AE40">
            <v>6000</v>
          </cell>
          <cell r="AF40">
            <v>0</v>
          </cell>
          <cell r="AG40">
            <v>0</v>
          </cell>
          <cell r="AH40">
            <v>110000</v>
          </cell>
          <cell r="AJ40">
            <v>0</v>
          </cell>
        </row>
      </sheetData>
      <sheetData sheetId="16">
        <row r="40">
          <cell r="G40">
            <v>0</v>
          </cell>
          <cell r="I40">
            <v>207000</v>
          </cell>
          <cell r="K40">
            <v>482800</v>
          </cell>
          <cell r="L40">
            <v>31000</v>
          </cell>
          <cell r="M40">
            <v>31000</v>
          </cell>
          <cell r="N40">
            <v>124000</v>
          </cell>
          <cell r="O40">
            <v>0</v>
          </cell>
          <cell r="P40">
            <v>0</v>
          </cell>
          <cell r="Q40">
            <v>0</v>
          </cell>
          <cell r="R40">
            <v>14310000</v>
          </cell>
          <cell r="U40">
            <v>13317700</v>
          </cell>
          <cell r="AD40">
            <v>140000</v>
          </cell>
          <cell r="AE40">
            <v>6000</v>
          </cell>
          <cell r="AF40">
            <v>0</v>
          </cell>
          <cell r="AG40">
            <v>0</v>
          </cell>
          <cell r="AH40">
            <v>0</v>
          </cell>
          <cell r="AJ40">
            <v>0</v>
          </cell>
        </row>
      </sheetData>
      <sheetData sheetId="1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816543.52134848095</v>
          </cell>
          <cell r="E6">
            <v>0</v>
          </cell>
          <cell r="F6">
            <v>868412.0714604354</v>
          </cell>
          <cell r="G6">
            <v>69979.737573760693</v>
          </cell>
          <cell r="H6">
            <v>869601.95639859815</v>
          </cell>
          <cell r="I6">
            <v>0</v>
          </cell>
          <cell r="J6">
            <v>0</v>
          </cell>
          <cell r="K6">
            <v>0</v>
          </cell>
          <cell r="L6">
            <v>3000</v>
          </cell>
          <cell r="M6">
            <v>0</v>
          </cell>
          <cell r="N6">
            <v>0</v>
          </cell>
          <cell r="O6">
            <v>4000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199000</v>
          </cell>
          <cell r="AF6">
            <v>825000</v>
          </cell>
          <cell r="AG6">
            <v>1320000</v>
          </cell>
          <cell r="AH6">
            <v>910000</v>
          </cell>
          <cell r="AI6">
            <v>0</v>
          </cell>
          <cell r="AJ6">
            <v>200000</v>
          </cell>
          <cell r="AK6">
            <v>0</v>
          </cell>
          <cell r="AL6">
            <v>0</v>
          </cell>
          <cell r="AM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0</v>
          </cell>
          <cell r="F7">
            <v>1323000</v>
          </cell>
          <cell r="G7">
            <v>13482.496361002119</v>
          </cell>
          <cell r="H7">
            <v>1323846.7741478398</v>
          </cell>
          <cell r="I7">
            <v>0</v>
          </cell>
          <cell r="J7">
            <v>241000</v>
          </cell>
          <cell r="K7">
            <v>705000</v>
          </cell>
          <cell r="L7">
            <v>12000</v>
          </cell>
          <cell r="M7">
            <v>12000</v>
          </cell>
          <cell r="N7">
            <v>48000</v>
          </cell>
          <cell r="O7">
            <v>3000</v>
          </cell>
          <cell r="P7">
            <v>0</v>
          </cell>
          <cell r="Q7">
            <v>0</v>
          </cell>
          <cell r="R7">
            <v>600000</v>
          </cell>
          <cell r="S7">
            <v>36000</v>
          </cell>
          <cell r="T7">
            <v>45261</v>
          </cell>
          <cell r="U7">
            <v>600000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140000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45261</v>
          </cell>
          <cell r="AM7">
            <v>36000</v>
          </cell>
        </row>
        <row r="8">
          <cell r="A8" t="str">
            <v>AS201602</v>
          </cell>
          <cell r="B8" t="str">
            <v>BOUTCHOUANG WILLIAM</v>
          </cell>
          <cell r="C8">
            <v>600000</v>
          </cell>
          <cell r="D8">
            <v>7024</v>
          </cell>
          <cell r="E8">
            <v>0</v>
          </cell>
          <cell r="F8">
            <v>771583.07207509631</v>
          </cell>
          <cell r="G8">
            <v>53009.126263205231</v>
          </cell>
          <cell r="H8">
            <v>772492.30345111119</v>
          </cell>
          <cell r="I8">
            <v>19000</v>
          </cell>
          <cell r="J8">
            <v>180000</v>
          </cell>
          <cell r="K8">
            <v>108000</v>
          </cell>
          <cell r="L8">
            <v>12000</v>
          </cell>
          <cell r="M8">
            <v>12000</v>
          </cell>
          <cell r="N8">
            <v>48000</v>
          </cell>
          <cell r="O8">
            <v>0</v>
          </cell>
          <cell r="P8">
            <v>0</v>
          </cell>
          <cell r="Q8">
            <v>0</v>
          </cell>
          <cell r="R8">
            <v>1000000</v>
          </cell>
          <cell r="S8">
            <v>35000</v>
          </cell>
          <cell r="T8">
            <v>0</v>
          </cell>
          <cell r="U8">
            <v>500000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70000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500000</v>
          </cell>
          <cell r="AL8">
            <v>0</v>
          </cell>
          <cell r="AM8">
            <v>35000</v>
          </cell>
          <cell r="AN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600000</v>
          </cell>
          <cell r="D9">
            <v>4810</v>
          </cell>
          <cell r="E9">
            <v>0</v>
          </cell>
          <cell r="F9">
            <v>858228.58925278904</v>
          </cell>
          <cell r="G9">
            <v>53547.826243040035</v>
          </cell>
          <cell r="H9">
            <v>859172.95972419891</v>
          </cell>
          <cell r="I9">
            <v>9000</v>
          </cell>
          <cell r="J9">
            <v>241000</v>
          </cell>
          <cell r="K9">
            <v>169000</v>
          </cell>
          <cell r="L9">
            <v>12000</v>
          </cell>
          <cell r="M9">
            <v>12000</v>
          </cell>
          <cell r="N9">
            <v>48000</v>
          </cell>
          <cell r="O9">
            <v>3000</v>
          </cell>
          <cell r="P9">
            <v>0</v>
          </cell>
          <cell r="Q9">
            <v>0</v>
          </cell>
          <cell r="R9">
            <v>3000000</v>
          </cell>
          <cell r="S9">
            <v>240000</v>
          </cell>
          <cell r="T9">
            <v>0</v>
          </cell>
          <cell r="U9">
            <v>2000000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140000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1000000</v>
          </cell>
          <cell r="AL9">
            <v>45261</v>
          </cell>
          <cell r="AM9">
            <v>240000</v>
          </cell>
          <cell r="AN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600000</v>
          </cell>
          <cell r="D10">
            <v>48710</v>
          </cell>
          <cell r="E10">
            <v>0</v>
          </cell>
          <cell r="F10">
            <v>813917.8529245347</v>
          </cell>
          <cell r="G10">
            <v>56584.679295905429</v>
          </cell>
          <cell r="H10">
            <v>814887.83113917976</v>
          </cell>
          <cell r="I10">
            <v>22000</v>
          </cell>
          <cell r="J10">
            <v>178000</v>
          </cell>
          <cell r="K10">
            <v>106000</v>
          </cell>
          <cell r="L10">
            <v>12000</v>
          </cell>
          <cell r="M10">
            <v>12000</v>
          </cell>
          <cell r="N10">
            <v>48000</v>
          </cell>
          <cell r="O10">
            <v>15000</v>
          </cell>
          <cell r="P10">
            <v>0</v>
          </cell>
          <cell r="Q10">
            <v>0</v>
          </cell>
          <cell r="R10">
            <v>1000000</v>
          </cell>
          <cell r="S10">
            <v>120000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70000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1000000</v>
          </cell>
          <cell r="AL10">
            <v>0</v>
          </cell>
          <cell r="AM10">
            <v>120000</v>
          </cell>
          <cell r="AN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600000</v>
          </cell>
          <cell r="D11">
            <v>4750</v>
          </cell>
          <cell r="E11">
            <v>0</v>
          </cell>
          <cell r="F11">
            <v>778665.06651773339</v>
          </cell>
          <cell r="G11">
            <v>52946.76789740676</v>
          </cell>
          <cell r="H11">
            <v>779570.98477951647</v>
          </cell>
          <cell r="I11">
            <v>0</v>
          </cell>
          <cell r="J11">
            <v>189500</v>
          </cell>
          <cell r="K11">
            <v>117500</v>
          </cell>
          <cell r="L11">
            <v>12000</v>
          </cell>
          <cell r="M11">
            <v>12000</v>
          </cell>
          <cell r="N11">
            <v>48000</v>
          </cell>
          <cell r="O11">
            <v>3000</v>
          </cell>
          <cell r="P11">
            <v>0</v>
          </cell>
          <cell r="Q11">
            <v>0</v>
          </cell>
          <cell r="R11">
            <v>3000000</v>
          </cell>
          <cell r="S11">
            <v>140000</v>
          </cell>
          <cell r="T11">
            <v>45261</v>
          </cell>
          <cell r="U11">
            <v>2157500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70000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1000000</v>
          </cell>
          <cell r="AL11">
            <v>45261</v>
          </cell>
          <cell r="AM11">
            <v>140000</v>
          </cell>
          <cell r="AN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600000</v>
          </cell>
          <cell r="D12">
            <v>10719</v>
          </cell>
          <cell r="E12">
            <v>0</v>
          </cell>
          <cell r="F12">
            <v>987112.98726499558</v>
          </cell>
          <cell r="G12">
            <v>55194.277451620372</v>
          </cell>
          <cell r="H12">
            <v>988041.30519774905</v>
          </cell>
          <cell r="I12">
            <v>0</v>
          </cell>
          <cell r="J12">
            <v>381600</v>
          </cell>
          <cell r="K12">
            <v>309600</v>
          </cell>
          <cell r="L12">
            <v>12000</v>
          </cell>
          <cell r="M12">
            <v>12000</v>
          </cell>
          <cell r="N12">
            <v>48000</v>
          </cell>
          <cell r="O12">
            <v>0</v>
          </cell>
          <cell r="P12">
            <v>0</v>
          </cell>
          <cell r="Q12">
            <v>0</v>
          </cell>
          <cell r="R12">
            <v>2705000</v>
          </cell>
          <cell r="S12">
            <v>162300</v>
          </cell>
          <cell r="T12">
            <v>0</v>
          </cell>
          <cell r="U12">
            <v>1719200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70000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985800</v>
          </cell>
          <cell r="AL12">
            <v>45200</v>
          </cell>
          <cell r="AM12">
            <v>162300</v>
          </cell>
          <cell r="AN12">
            <v>19716</v>
          </cell>
        </row>
        <row r="13">
          <cell r="A13" t="str">
            <v>AS201651</v>
          </cell>
          <cell r="B13" t="str">
            <v>DOMOU FABIEN</v>
          </cell>
          <cell r="C13">
            <v>600000</v>
          </cell>
          <cell r="D13">
            <v>584</v>
          </cell>
          <cell r="E13">
            <v>0</v>
          </cell>
          <cell r="F13">
            <v>764734.39913267479</v>
          </cell>
          <cell r="G13">
            <v>52457.235805909797</v>
          </cell>
          <cell r="H13">
            <v>765634.24656177277</v>
          </cell>
          <cell r="I13">
            <v>0</v>
          </cell>
          <cell r="J13">
            <v>180000</v>
          </cell>
          <cell r="K13">
            <v>108000</v>
          </cell>
          <cell r="L13">
            <v>12000</v>
          </cell>
          <cell r="M13">
            <v>12000</v>
          </cell>
          <cell r="N13">
            <v>48000</v>
          </cell>
          <cell r="O13">
            <v>0</v>
          </cell>
          <cell r="P13">
            <v>0</v>
          </cell>
          <cell r="Q13">
            <v>0</v>
          </cell>
          <cell r="R13">
            <v>2000000</v>
          </cell>
          <cell r="S13">
            <v>240000</v>
          </cell>
          <cell r="T13">
            <v>0</v>
          </cell>
          <cell r="U13">
            <v>1000000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70000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1000000</v>
          </cell>
          <cell r="AL13">
            <v>45261</v>
          </cell>
          <cell r="AM13">
            <v>240000</v>
          </cell>
          <cell r="AN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600000</v>
          </cell>
          <cell r="D14">
            <v>458343</v>
          </cell>
          <cell r="E14">
            <v>0</v>
          </cell>
          <cell r="F14">
            <v>1251571.3479732168</v>
          </cell>
          <cell r="G14">
            <v>91688.291016573858</v>
          </cell>
          <cell r="H14">
            <v>1253138.2519435629</v>
          </cell>
          <cell r="I14">
            <v>0</v>
          </cell>
          <cell r="J14">
            <v>180000</v>
          </cell>
          <cell r="K14">
            <v>108000</v>
          </cell>
          <cell r="L14">
            <v>12000</v>
          </cell>
          <cell r="M14">
            <v>12000</v>
          </cell>
          <cell r="N14">
            <v>48000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70000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600000</v>
          </cell>
          <cell r="D15">
            <v>51112</v>
          </cell>
          <cell r="E15">
            <v>0</v>
          </cell>
          <cell r="F15">
            <v>818472.00533971633</v>
          </cell>
          <cell r="G15">
            <v>56787.603500921949</v>
          </cell>
          <cell r="H15">
            <v>819445.48321493552</v>
          </cell>
          <cell r="I15">
            <v>18000</v>
          </cell>
          <cell r="J15">
            <v>180000</v>
          </cell>
          <cell r="K15">
            <v>108000</v>
          </cell>
          <cell r="L15">
            <v>12000</v>
          </cell>
          <cell r="M15">
            <v>12000</v>
          </cell>
          <cell r="N15">
            <v>48000</v>
          </cell>
          <cell r="O15">
            <v>3000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70000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600000</v>
          </cell>
          <cell r="D16">
            <v>16230</v>
          </cell>
          <cell r="E16">
            <v>0</v>
          </cell>
          <cell r="F16">
            <v>1251373.7556104097</v>
          </cell>
          <cell r="G16">
            <v>57431.20810410157</v>
          </cell>
          <cell r="H16">
            <v>1252392.3149606255</v>
          </cell>
          <cell r="I16">
            <v>12000</v>
          </cell>
          <cell r="J16">
            <v>580000</v>
          </cell>
          <cell r="K16">
            <v>508000</v>
          </cell>
          <cell r="L16">
            <v>12000</v>
          </cell>
          <cell r="M16">
            <v>12000</v>
          </cell>
          <cell r="N16">
            <v>48000</v>
          </cell>
          <cell r="O16">
            <v>0</v>
          </cell>
          <cell r="P16">
            <v>0</v>
          </cell>
          <cell r="Q16">
            <v>0</v>
          </cell>
          <cell r="R16">
            <v>1500000</v>
          </cell>
          <cell r="S16">
            <v>120000</v>
          </cell>
          <cell r="T16">
            <v>45261</v>
          </cell>
          <cell r="U16">
            <v>1500000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70000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45261</v>
          </cell>
          <cell r="AM16">
            <v>120000</v>
          </cell>
          <cell r="AN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600000</v>
          </cell>
          <cell r="D17">
            <v>53293</v>
          </cell>
          <cell r="E17">
            <v>0</v>
          </cell>
          <cell r="F17">
            <v>820791.35743165971</v>
          </cell>
          <cell r="G17">
            <v>56974.505152878948</v>
          </cell>
          <cell r="H17">
            <v>821768.01324764139</v>
          </cell>
          <cell r="I17">
            <v>9000</v>
          </cell>
          <cell r="J17">
            <v>180000</v>
          </cell>
          <cell r="K17">
            <v>108000</v>
          </cell>
          <cell r="L17">
            <v>12000</v>
          </cell>
          <cell r="M17">
            <v>12000</v>
          </cell>
          <cell r="N17">
            <v>48000</v>
          </cell>
          <cell r="O17">
            <v>0</v>
          </cell>
          <cell r="P17">
            <v>0</v>
          </cell>
          <cell r="Q17">
            <v>0</v>
          </cell>
          <cell r="R17">
            <v>1000000</v>
          </cell>
          <cell r="S17">
            <v>50000</v>
          </cell>
          <cell r="T17">
            <v>0</v>
          </cell>
          <cell r="U17">
            <v>1000000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70000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45261</v>
          </cell>
          <cell r="AM17">
            <v>50000</v>
          </cell>
          <cell r="AN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600000</v>
          </cell>
          <cell r="D18">
            <v>6459</v>
          </cell>
          <cell r="E18">
            <v>0</v>
          </cell>
          <cell r="F18">
            <v>770982.58845261845</v>
          </cell>
          <cell r="G18">
            <v>52969.628065245146</v>
          </cell>
          <cell r="H18">
            <v>771890.99705515814</v>
          </cell>
          <cell r="I18">
            <v>3000</v>
          </cell>
          <cell r="J18">
            <v>180000</v>
          </cell>
          <cell r="K18">
            <v>108000</v>
          </cell>
          <cell r="L18">
            <v>12000</v>
          </cell>
          <cell r="M18">
            <v>12000</v>
          </cell>
          <cell r="N18">
            <v>48000</v>
          </cell>
          <cell r="O18">
            <v>0</v>
          </cell>
          <cell r="P18">
            <v>0</v>
          </cell>
          <cell r="Q18">
            <v>0</v>
          </cell>
          <cell r="R18">
            <v>3250000</v>
          </cell>
          <cell r="S18">
            <v>140000</v>
          </cell>
          <cell r="T18">
            <v>0</v>
          </cell>
          <cell r="U18">
            <v>2250000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70000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1000000</v>
          </cell>
          <cell r="AL18">
            <v>45261</v>
          </cell>
          <cell r="AM18">
            <v>140000</v>
          </cell>
          <cell r="AN18">
            <v>0</v>
          </cell>
        </row>
        <row r="19">
          <cell r="A19" t="str">
            <v>AS201620</v>
          </cell>
          <cell r="B19" t="str">
            <v>LOWE JEAN</v>
          </cell>
          <cell r="C19">
            <v>600000</v>
          </cell>
          <cell r="D19">
            <v>746</v>
          </cell>
          <cell r="E19">
            <v>0</v>
          </cell>
          <cell r="F19">
            <v>764906.8278621044</v>
          </cell>
          <cell r="G19">
            <v>52471.13072703332</v>
          </cell>
          <cell r="H19">
            <v>765806.91155041021</v>
          </cell>
          <cell r="I19">
            <v>20000</v>
          </cell>
          <cell r="J19">
            <v>180000</v>
          </cell>
          <cell r="K19">
            <v>108000</v>
          </cell>
          <cell r="L19">
            <v>12000</v>
          </cell>
          <cell r="M19">
            <v>12000</v>
          </cell>
          <cell r="N19">
            <v>48000</v>
          </cell>
          <cell r="O19">
            <v>0</v>
          </cell>
          <cell r="P19">
            <v>0</v>
          </cell>
          <cell r="Q19">
            <v>0</v>
          </cell>
          <cell r="R19">
            <v>300000</v>
          </cell>
          <cell r="S19">
            <v>52000</v>
          </cell>
          <cell r="T19">
            <v>0</v>
          </cell>
          <cell r="U19">
            <v>1300000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70000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52000</v>
          </cell>
          <cell r="AN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600000</v>
          </cell>
          <cell r="D20">
            <v>47746</v>
          </cell>
          <cell r="E20">
            <v>0</v>
          </cell>
          <cell r="F20">
            <v>815392.17896341055</v>
          </cell>
          <cell r="G20">
            <v>56463.397241182596</v>
          </cell>
          <cell r="H20">
            <v>816360.75181528158</v>
          </cell>
          <cell r="I20">
            <v>0</v>
          </cell>
          <cell r="J20">
            <v>180500</v>
          </cell>
          <cell r="K20">
            <v>108500</v>
          </cell>
          <cell r="L20">
            <v>12000</v>
          </cell>
          <cell r="M20">
            <v>12000</v>
          </cell>
          <cell r="N20">
            <v>48000</v>
          </cell>
          <cell r="O20">
            <v>0</v>
          </cell>
          <cell r="P20">
            <v>0</v>
          </cell>
          <cell r="Q20">
            <v>0</v>
          </cell>
          <cell r="R20">
            <v>2060000</v>
          </cell>
          <cell r="S20">
            <v>180000</v>
          </cell>
          <cell r="T20">
            <v>0</v>
          </cell>
          <cell r="U20">
            <v>1000000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70000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1060000</v>
          </cell>
          <cell r="AL20">
            <v>45261</v>
          </cell>
          <cell r="AM20">
            <v>180000</v>
          </cell>
          <cell r="AN20">
            <v>60000</v>
          </cell>
        </row>
        <row r="21">
          <cell r="A21" t="str">
            <v>AS201639</v>
          </cell>
          <cell r="B21" t="str">
            <v>NANGUEN MARTIN</v>
          </cell>
          <cell r="C21">
            <v>600000</v>
          </cell>
          <cell r="D21">
            <v>51343</v>
          </cell>
          <cell r="E21">
            <v>0</v>
          </cell>
          <cell r="F21">
            <v>818717.19901930005</v>
          </cell>
          <cell r="G21">
            <v>56807.362080881765</v>
          </cell>
          <cell r="H21">
            <v>819691.01285514887</v>
          </cell>
          <cell r="I21">
            <v>0</v>
          </cell>
          <cell r="J21">
            <v>180000</v>
          </cell>
          <cell r="K21">
            <v>108000</v>
          </cell>
          <cell r="L21">
            <v>12000</v>
          </cell>
          <cell r="M21">
            <v>12000</v>
          </cell>
          <cell r="N21">
            <v>48000</v>
          </cell>
          <cell r="O21">
            <v>0</v>
          </cell>
          <cell r="P21">
            <v>0</v>
          </cell>
          <cell r="Q21">
            <v>0</v>
          </cell>
          <cell r="R21">
            <v>800000</v>
          </cell>
          <cell r="S21">
            <v>78000</v>
          </cell>
          <cell r="T21">
            <v>0</v>
          </cell>
          <cell r="U21">
            <v>500000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70000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300000</v>
          </cell>
          <cell r="AL21">
            <v>45261</v>
          </cell>
          <cell r="AM21">
            <v>78000</v>
          </cell>
          <cell r="AN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600000</v>
          </cell>
          <cell r="D22">
            <v>140918</v>
          </cell>
          <cell r="E22">
            <v>0</v>
          </cell>
          <cell r="F22">
            <v>913983.18336848414</v>
          </cell>
          <cell r="G22">
            <v>64484.234390188009</v>
          </cell>
          <cell r="H22">
            <v>915087.52919901803</v>
          </cell>
          <cell r="I22">
            <v>20000</v>
          </cell>
          <cell r="J22">
            <v>180000</v>
          </cell>
          <cell r="K22">
            <v>108000</v>
          </cell>
          <cell r="L22">
            <v>12000</v>
          </cell>
          <cell r="M22">
            <v>12000</v>
          </cell>
          <cell r="N22">
            <v>48000</v>
          </cell>
          <cell r="O22">
            <v>0</v>
          </cell>
          <cell r="P22">
            <v>0</v>
          </cell>
          <cell r="Q22">
            <v>0</v>
          </cell>
          <cell r="R22">
            <v>2000000</v>
          </cell>
          <cell r="S22">
            <v>240000</v>
          </cell>
          <cell r="T22">
            <v>45261</v>
          </cell>
          <cell r="U22">
            <v>1000000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70000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1000000</v>
          </cell>
          <cell r="AL22">
            <v>45261</v>
          </cell>
          <cell r="AM22">
            <v>240000</v>
          </cell>
          <cell r="AN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600000</v>
          </cell>
          <cell r="D23">
            <v>283210</v>
          </cell>
          <cell r="E23">
            <v>0</v>
          </cell>
          <cell r="F23">
            <v>1201313.8311978166</v>
          </cell>
          <cell r="G23">
            <v>77760.61781197961</v>
          </cell>
          <cell r="H23">
            <v>1202652.9316615455</v>
          </cell>
          <cell r="I23">
            <v>0</v>
          </cell>
          <cell r="J23">
            <v>296000</v>
          </cell>
          <cell r="K23">
            <v>224000</v>
          </cell>
          <cell r="L23">
            <v>12000</v>
          </cell>
          <cell r="M23">
            <v>12000</v>
          </cell>
          <cell r="N23">
            <v>48000</v>
          </cell>
          <cell r="O23">
            <v>0</v>
          </cell>
          <cell r="P23">
            <v>0</v>
          </cell>
          <cell r="Q23">
            <v>0</v>
          </cell>
          <cell r="R23">
            <v>1700000</v>
          </cell>
          <cell r="S23">
            <v>102000</v>
          </cell>
          <cell r="T23">
            <v>0</v>
          </cell>
          <cell r="U23">
            <v>1200000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70000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500000</v>
          </cell>
          <cell r="AL23">
            <v>45261</v>
          </cell>
          <cell r="AM23">
            <v>102000</v>
          </cell>
          <cell r="AN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600000</v>
          </cell>
          <cell r="D24">
            <v>39787</v>
          </cell>
          <cell r="E24">
            <v>0</v>
          </cell>
          <cell r="F24">
            <v>815427.64754339075</v>
          </cell>
          <cell r="G24">
            <v>55845.73227114683</v>
          </cell>
          <cell r="H24">
            <v>816384.62242377293</v>
          </cell>
          <cell r="I24">
            <v>15000</v>
          </cell>
          <cell r="J24">
            <v>192000</v>
          </cell>
          <cell r="K24">
            <v>117000</v>
          </cell>
          <cell r="L24">
            <v>12000</v>
          </cell>
          <cell r="M24">
            <v>12000</v>
          </cell>
          <cell r="N24">
            <v>48000</v>
          </cell>
          <cell r="O24">
            <v>3000</v>
          </cell>
          <cell r="P24">
            <v>0</v>
          </cell>
          <cell r="Q24">
            <v>0</v>
          </cell>
          <cell r="R24">
            <v>2000000</v>
          </cell>
          <cell r="S24">
            <v>240000</v>
          </cell>
          <cell r="T24">
            <v>45261</v>
          </cell>
          <cell r="U24">
            <v>1000000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70000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1000000</v>
          </cell>
          <cell r="AL24">
            <v>45261</v>
          </cell>
          <cell r="AM24">
            <v>240000</v>
          </cell>
          <cell r="AN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13696</v>
          </cell>
          <cell r="E25">
            <v>0</v>
          </cell>
          <cell r="F25">
            <v>1078678.9712208423</v>
          </cell>
          <cell r="G25">
            <v>53686.784231808502</v>
          </cell>
          <cell r="H25">
            <v>1079597.9252893366</v>
          </cell>
          <cell r="I25">
            <v>15000</v>
          </cell>
          <cell r="J25">
            <v>480000</v>
          </cell>
          <cell r="K25">
            <v>408000</v>
          </cell>
          <cell r="L25">
            <v>12000</v>
          </cell>
          <cell r="M25">
            <v>12000</v>
          </cell>
          <cell r="N25">
            <v>48000</v>
          </cell>
          <cell r="O25">
            <v>0</v>
          </cell>
          <cell r="P25">
            <v>0</v>
          </cell>
          <cell r="Q25">
            <v>0</v>
          </cell>
          <cell r="R25">
            <v>2000000</v>
          </cell>
          <cell r="S25">
            <v>240000</v>
          </cell>
          <cell r="T25">
            <v>45261</v>
          </cell>
          <cell r="U25">
            <v>1000000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70000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1000000</v>
          </cell>
          <cell r="AL25">
            <v>45261</v>
          </cell>
          <cell r="AM25">
            <v>240000</v>
          </cell>
          <cell r="AN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600000</v>
          </cell>
          <cell r="D26">
            <v>575</v>
          </cell>
          <cell r="E26">
            <v>0</v>
          </cell>
          <cell r="F26">
            <v>762725.07685729465</v>
          </cell>
          <cell r="G26">
            <v>52456.484583758327</v>
          </cell>
          <cell r="H26">
            <v>763624.91151315358</v>
          </cell>
          <cell r="I26">
            <v>0</v>
          </cell>
          <cell r="J26">
            <v>178000</v>
          </cell>
          <cell r="K26">
            <v>106000</v>
          </cell>
          <cell r="L26">
            <v>12000</v>
          </cell>
          <cell r="M26">
            <v>12000</v>
          </cell>
          <cell r="N26">
            <v>48000</v>
          </cell>
          <cell r="O26">
            <v>18000</v>
          </cell>
          <cell r="P26">
            <v>0</v>
          </cell>
          <cell r="Q26">
            <v>0</v>
          </cell>
          <cell r="R26">
            <v>4000000</v>
          </cell>
          <cell r="S26">
            <v>150000</v>
          </cell>
          <cell r="T26">
            <v>0</v>
          </cell>
          <cell r="U26">
            <v>3000000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70000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1000000</v>
          </cell>
          <cell r="AL26">
            <v>45261</v>
          </cell>
          <cell r="AM26">
            <v>150000</v>
          </cell>
          <cell r="AN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0</v>
          </cell>
          <cell r="F27">
            <v>738500</v>
          </cell>
          <cell r="G27">
            <v>518.81693285918482</v>
          </cell>
          <cell r="H27">
            <v>0</v>
          </cell>
          <cell r="I27">
            <v>0</v>
          </cell>
          <cell r="J27">
            <v>792500</v>
          </cell>
          <cell r="K27">
            <v>720500</v>
          </cell>
          <cell r="L27">
            <v>12000</v>
          </cell>
          <cell r="M27">
            <v>12000</v>
          </cell>
          <cell r="N27">
            <v>48000</v>
          </cell>
          <cell r="O27">
            <v>0</v>
          </cell>
          <cell r="P27">
            <v>25000</v>
          </cell>
          <cell r="Q27">
            <v>120000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70000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600000</v>
          </cell>
          <cell r="D28">
            <v>21452</v>
          </cell>
          <cell r="E28">
            <v>0</v>
          </cell>
          <cell r="F28">
            <v>786927.88948490063</v>
          </cell>
          <cell r="G28">
            <v>54245.666300758479</v>
          </cell>
          <cell r="H28">
            <v>787858.14609503525</v>
          </cell>
          <cell r="I28">
            <v>0</v>
          </cell>
          <cell r="J28">
            <v>180000</v>
          </cell>
          <cell r="K28">
            <v>108000</v>
          </cell>
          <cell r="L28">
            <v>12000</v>
          </cell>
          <cell r="M28">
            <v>12000</v>
          </cell>
          <cell r="N28">
            <v>48000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70000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0</v>
          </cell>
          <cell r="F29">
            <v>303500</v>
          </cell>
          <cell r="G29">
            <v>0</v>
          </cell>
          <cell r="H29">
            <v>0</v>
          </cell>
          <cell r="I29">
            <v>0</v>
          </cell>
          <cell r="J29">
            <v>357500</v>
          </cell>
          <cell r="K29">
            <v>285500</v>
          </cell>
          <cell r="L29">
            <v>12000</v>
          </cell>
          <cell r="M29">
            <v>12000</v>
          </cell>
          <cell r="N29">
            <v>48000</v>
          </cell>
          <cell r="O29">
            <v>0</v>
          </cell>
          <cell r="P29">
            <v>25000</v>
          </cell>
          <cell r="Q29">
            <v>120000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70000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600000</v>
          </cell>
          <cell r="D30">
            <v>200752</v>
          </cell>
          <cell r="E30">
            <v>0</v>
          </cell>
          <cell r="F30">
            <v>977617.95036181086</v>
          </cell>
          <cell r="G30">
            <v>69612.150550164253</v>
          </cell>
          <cell r="H30">
            <v>978809.48757680063</v>
          </cell>
          <cell r="I30">
            <v>34000</v>
          </cell>
          <cell r="J30">
            <v>180000</v>
          </cell>
          <cell r="K30">
            <v>108000</v>
          </cell>
          <cell r="L30">
            <v>12000</v>
          </cell>
          <cell r="M30">
            <v>12000</v>
          </cell>
          <cell r="N30">
            <v>48000</v>
          </cell>
          <cell r="O30">
            <v>0</v>
          </cell>
          <cell r="P30">
            <v>0</v>
          </cell>
          <cell r="Q30">
            <v>0</v>
          </cell>
          <cell r="R30">
            <v>1000000</v>
          </cell>
          <cell r="S30">
            <v>60000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70000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1000000</v>
          </cell>
          <cell r="AL30">
            <v>0</v>
          </cell>
          <cell r="AM30">
            <v>60000</v>
          </cell>
          <cell r="AN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600000</v>
          </cell>
          <cell r="D31">
            <v>103606</v>
          </cell>
          <cell r="E31">
            <v>0</v>
          </cell>
          <cell r="F31">
            <v>1094801.0246488438</v>
          </cell>
          <cell r="G31">
            <v>63580.612182999699</v>
          </cell>
          <cell r="H31">
            <v>1096001.7189100059</v>
          </cell>
          <cell r="I31">
            <v>0</v>
          </cell>
          <cell r="J31">
            <v>290500</v>
          </cell>
          <cell r="K31">
            <v>218500</v>
          </cell>
          <cell r="L31">
            <v>12000</v>
          </cell>
          <cell r="M31">
            <v>12000</v>
          </cell>
          <cell r="N31">
            <v>48000</v>
          </cell>
          <cell r="O31">
            <v>0</v>
          </cell>
          <cell r="P31">
            <v>0</v>
          </cell>
          <cell r="Q31">
            <v>0</v>
          </cell>
          <cell r="R31">
            <v>1250000</v>
          </cell>
          <cell r="S31">
            <v>135000</v>
          </cell>
          <cell r="T31">
            <v>45261</v>
          </cell>
          <cell r="U31">
            <v>1000000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70000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250000</v>
          </cell>
          <cell r="AL31">
            <v>45261</v>
          </cell>
          <cell r="AM31">
            <v>135000</v>
          </cell>
          <cell r="AN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600000</v>
          </cell>
          <cell r="D32">
            <v>4208</v>
          </cell>
          <cell r="E32">
            <v>0</v>
          </cell>
          <cell r="F32">
            <v>768588.4159420582</v>
          </cell>
          <cell r="G32">
            <v>52767.8062065169</v>
          </cell>
          <cell r="H32">
            <v>769493.54408604221</v>
          </cell>
          <cell r="I32">
            <v>0</v>
          </cell>
          <cell r="J32">
            <v>180000</v>
          </cell>
          <cell r="K32">
            <v>108000</v>
          </cell>
          <cell r="L32">
            <v>12000</v>
          </cell>
          <cell r="M32">
            <v>12000</v>
          </cell>
          <cell r="N32">
            <v>48000</v>
          </cell>
          <cell r="O32">
            <v>0</v>
          </cell>
          <cell r="P32">
            <v>0</v>
          </cell>
          <cell r="Q32">
            <v>0</v>
          </cell>
          <cell r="R32">
            <v>900000</v>
          </cell>
          <cell r="S32">
            <v>78000</v>
          </cell>
          <cell r="T32">
            <v>0</v>
          </cell>
          <cell r="U32">
            <v>900000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70000</v>
          </cell>
          <cell r="AE32">
            <v>0</v>
          </cell>
          <cell r="AF32">
            <v>0</v>
          </cell>
          <cell r="AG32">
            <v>0</v>
          </cell>
          <cell r="AH32">
            <v>100000</v>
          </cell>
          <cell r="AI32">
            <v>0</v>
          </cell>
          <cell r="AJ32">
            <v>0</v>
          </cell>
          <cell r="AK32">
            <v>0</v>
          </cell>
          <cell r="AL32">
            <v>45261</v>
          </cell>
          <cell r="AM32">
            <v>78000</v>
          </cell>
          <cell r="AN32">
            <v>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0</v>
          </cell>
          <cell r="F33">
            <v>121000</v>
          </cell>
          <cell r="G33">
            <v>0</v>
          </cell>
          <cell r="H33">
            <v>0</v>
          </cell>
          <cell r="I33">
            <v>0</v>
          </cell>
          <cell r="J33">
            <v>190000</v>
          </cell>
          <cell r="K33">
            <v>103000</v>
          </cell>
          <cell r="L33">
            <v>12000</v>
          </cell>
          <cell r="M33">
            <v>12000</v>
          </cell>
          <cell r="N33">
            <v>48000</v>
          </cell>
          <cell r="O33">
            <v>18000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70000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0</v>
          </cell>
          <cell r="E34">
            <v>0</v>
          </cell>
          <cell r="F34">
            <v>755500</v>
          </cell>
          <cell r="G34">
            <v>524.13813217056111</v>
          </cell>
          <cell r="H34">
            <v>0</v>
          </cell>
          <cell r="I34">
            <v>0</v>
          </cell>
          <cell r="J34">
            <v>809500</v>
          </cell>
          <cell r="K34">
            <v>737500</v>
          </cell>
          <cell r="L34">
            <v>12000</v>
          </cell>
          <cell r="M34">
            <v>12000</v>
          </cell>
          <cell r="N34">
            <v>48000</v>
          </cell>
          <cell r="O34">
            <v>3000</v>
          </cell>
          <cell r="P34">
            <v>25000</v>
          </cell>
          <cell r="Q34">
            <v>120000</v>
          </cell>
          <cell r="R34">
            <v>700000</v>
          </cell>
          <cell r="S34">
            <v>84000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70000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700000</v>
          </cell>
          <cell r="AL34">
            <v>0</v>
          </cell>
          <cell r="AM34">
            <v>84000</v>
          </cell>
          <cell r="AN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600000</v>
          </cell>
          <cell r="D35">
            <v>914734</v>
          </cell>
          <cell r="E35">
            <v>0</v>
          </cell>
          <cell r="F35">
            <v>1726953.5168487167</v>
          </cell>
          <cell r="G35">
            <v>130592.84770588134</v>
          </cell>
          <cell r="H35">
            <v>1729185.4840430534</v>
          </cell>
          <cell r="I35">
            <v>0</v>
          </cell>
          <cell r="J35">
            <v>184000</v>
          </cell>
          <cell r="K35">
            <v>98000</v>
          </cell>
          <cell r="L35">
            <v>12000</v>
          </cell>
          <cell r="M35">
            <v>12000</v>
          </cell>
          <cell r="N35">
            <v>48000</v>
          </cell>
          <cell r="O35">
            <v>6000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227500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4000</v>
          </cell>
          <cell r="AC35">
            <v>0</v>
          </cell>
          <cell r="AD35">
            <v>70000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-227500</v>
          </cell>
          <cell r="AL35">
            <v>0</v>
          </cell>
          <cell r="AM35">
            <v>0</v>
          </cell>
          <cell r="AN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600000</v>
          </cell>
          <cell r="D36">
            <v>1057774</v>
          </cell>
          <cell r="E36">
            <v>0</v>
          </cell>
          <cell r="F36">
            <v>1889079.5179826394</v>
          </cell>
          <cell r="G36">
            <v>143060.96984560182</v>
          </cell>
          <cell r="H36">
            <v>1891519.9258969994</v>
          </cell>
          <cell r="I36">
            <v>11000</v>
          </cell>
          <cell r="J36">
            <v>180000</v>
          </cell>
          <cell r="K36">
            <v>108000</v>
          </cell>
          <cell r="L36">
            <v>12000</v>
          </cell>
          <cell r="M36">
            <v>12000</v>
          </cell>
          <cell r="N36">
            <v>48000</v>
          </cell>
          <cell r="O36">
            <v>0</v>
          </cell>
          <cell r="P36">
            <v>0</v>
          </cell>
          <cell r="Q36">
            <v>0</v>
          </cell>
          <cell r="R36">
            <v>1000000</v>
          </cell>
          <cell r="S36">
            <v>60000</v>
          </cell>
          <cell r="T36">
            <v>0</v>
          </cell>
          <cell r="U36">
            <v>1003000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70000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45261</v>
          </cell>
          <cell r="AM36">
            <v>60000</v>
          </cell>
          <cell r="AN36">
            <v>0</v>
          </cell>
        </row>
        <row r="40">
          <cell r="AK40">
            <v>14068300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6">
          <cell r="B6">
            <v>763899.37129714503</v>
          </cell>
        </row>
        <row r="20">
          <cell r="D20">
            <v>335000</v>
          </cell>
        </row>
      </sheetData>
      <sheetData sheetId="25">
        <row r="6">
          <cell r="B6">
            <v>2518500</v>
          </cell>
        </row>
        <row r="31">
          <cell r="C31">
            <v>2518500</v>
          </cell>
        </row>
      </sheetData>
      <sheetData sheetId="26"/>
      <sheetData sheetId="27">
        <row r="6">
          <cell r="B6">
            <v>319855</v>
          </cell>
        </row>
        <row r="11">
          <cell r="C11">
            <v>76050</v>
          </cell>
        </row>
      </sheetData>
      <sheetData sheetId="28">
        <row r="6">
          <cell r="B6">
            <v>996118</v>
          </cell>
        </row>
        <row r="11">
          <cell r="C11">
            <v>500000</v>
          </cell>
        </row>
      </sheetData>
      <sheetData sheetId="29">
        <row r="6">
          <cell r="B6">
            <v>51453.696796924203</v>
          </cell>
        </row>
        <row r="12">
          <cell r="C12">
            <v>127454</v>
          </cell>
        </row>
      </sheetData>
      <sheetData sheetId="30"/>
      <sheetData sheetId="31">
        <row r="6">
          <cell r="B6">
            <v>1667000</v>
          </cell>
        </row>
        <row r="28">
          <cell r="C28">
            <v>1137217</v>
          </cell>
        </row>
      </sheetData>
      <sheetData sheetId="32">
        <row r="6">
          <cell r="B6">
            <v>1553000</v>
          </cell>
        </row>
        <row r="14">
          <cell r="C14">
            <v>1706468</v>
          </cell>
        </row>
      </sheetData>
      <sheetData sheetId="33">
        <row r="6">
          <cell r="B6">
            <v>1132500</v>
          </cell>
        </row>
        <row r="8">
          <cell r="C8">
            <v>540421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AS201629</v>
          </cell>
          <cell r="B36">
            <v>31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32</v>
          </cell>
          <cell r="C37" t="str">
            <v>SIME BRICE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33</v>
          </cell>
          <cell r="C38" t="str">
            <v>DJOMOU TCHANDA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34</v>
          </cell>
          <cell r="C39" t="str">
            <v>NOUBE ETIENNE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 t="str">
            <v>AS201657</v>
          </cell>
          <cell r="B40">
            <v>35</v>
          </cell>
          <cell r="C40" t="str">
            <v>SEUMO POLYCARPE</v>
          </cell>
          <cell r="D40">
            <v>0</v>
          </cell>
          <cell r="E40">
            <v>0</v>
          </cell>
          <cell r="F40">
            <v>696585118</v>
          </cell>
          <cell r="G40">
            <v>0</v>
          </cell>
          <cell r="H40">
            <v>0</v>
          </cell>
        </row>
        <row r="41">
          <cell r="A41" t="str">
            <v>AS201658</v>
          </cell>
          <cell r="B41">
            <v>36</v>
          </cell>
          <cell r="C41" t="str">
            <v>YANTCHOU GERVAIS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</sheetData>
      <sheetData sheetId="1"/>
      <sheetData sheetId="2"/>
      <sheetData sheetId="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 (2)"/>
      <sheetName val="LISTADHERENT (3)"/>
      <sheetName val="LISTADHERENT (4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</row>
      </sheetData>
      <sheetData sheetId="1"/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SCAISSE"/>
      <sheetName val="FONDSCAISSEBACKUP"/>
      <sheetName val="FONDSTRANSPORT"/>
    </sheetNames>
    <sheetDataSet>
      <sheetData sheetId="0">
        <row r="1">
          <cell r="A1" t="str">
            <v>MLE</v>
          </cell>
        </row>
        <row r="2">
          <cell r="A2" t="str">
            <v>AS201648</v>
          </cell>
          <cell r="B2">
            <v>1</v>
          </cell>
          <cell r="C2" t="str">
            <v>ASELBY</v>
          </cell>
          <cell r="D2">
            <v>362838.01108374598</v>
          </cell>
          <cell r="E2">
            <v>0</v>
          </cell>
          <cell r="F2">
            <v>31243</v>
          </cell>
          <cell r="G2">
            <v>62669</v>
          </cell>
          <cell r="H2">
            <v>456750.01108374598</v>
          </cell>
        </row>
        <row r="3">
          <cell r="A3" t="str">
            <v>AS201601</v>
          </cell>
          <cell r="B3">
            <v>2</v>
          </cell>
          <cell r="C3" t="str">
            <v>BAKOP ACHILLE</v>
          </cell>
          <cell r="D3">
            <v>420000</v>
          </cell>
          <cell r="E3">
            <v>30000</v>
          </cell>
          <cell r="F3">
            <v>30000</v>
          </cell>
          <cell r="G3">
            <v>-480000</v>
          </cell>
          <cell r="H3">
            <v>191000</v>
          </cell>
        </row>
        <row r="4">
          <cell r="A4" t="str">
            <v>AS201602</v>
          </cell>
          <cell r="B4">
            <v>3</v>
          </cell>
          <cell r="C4" t="str">
            <v>BOUTCHOUANG WILLIAM</v>
          </cell>
          <cell r="D4">
            <v>420000</v>
          </cell>
          <cell r="E4">
            <v>30000</v>
          </cell>
          <cell r="F4">
            <v>30000</v>
          </cell>
          <cell r="G4">
            <v>30000</v>
          </cell>
          <cell r="H4">
            <v>510000</v>
          </cell>
        </row>
        <row r="5">
          <cell r="A5" t="str">
            <v>AS201603</v>
          </cell>
          <cell r="B5">
            <v>4</v>
          </cell>
          <cell r="C5" t="str">
            <v>CHINGUE FABRICE</v>
          </cell>
          <cell r="D5">
            <v>420000</v>
          </cell>
          <cell r="E5">
            <v>30000</v>
          </cell>
          <cell r="F5">
            <v>30000</v>
          </cell>
          <cell r="G5">
            <v>-510000</v>
          </cell>
          <cell r="H5">
            <v>0</v>
          </cell>
        </row>
        <row r="6">
          <cell r="A6" t="str">
            <v>AS201650</v>
          </cell>
          <cell r="B6">
            <v>5</v>
          </cell>
          <cell r="C6" t="str">
            <v>DJOMO DOMO</v>
          </cell>
          <cell r="G6">
            <v>0</v>
          </cell>
          <cell r="H6">
            <v>0</v>
          </cell>
        </row>
        <row r="7">
          <cell r="A7" t="str">
            <v>AS201604</v>
          </cell>
          <cell r="B7">
            <v>6</v>
          </cell>
          <cell r="C7" t="str">
            <v xml:space="preserve">DJOMO JEAN PAUL </v>
          </cell>
          <cell r="D7">
            <v>420000</v>
          </cell>
          <cell r="E7">
            <v>30000</v>
          </cell>
          <cell r="F7">
            <v>30000</v>
          </cell>
          <cell r="G7">
            <v>30000</v>
          </cell>
          <cell r="H7">
            <v>510000</v>
          </cell>
        </row>
        <row r="8">
          <cell r="A8" t="str">
            <v>AS201654</v>
          </cell>
          <cell r="B8">
            <v>7</v>
          </cell>
          <cell r="C8" t="str">
            <v>DJOMOU TCHANDA</v>
          </cell>
          <cell r="D8">
            <v>0</v>
          </cell>
          <cell r="H8">
            <v>0</v>
          </cell>
        </row>
        <row r="9">
          <cell r="A9" t="str">
            <v>AS201605</v>
          </cell>
          <cell r="B9">
            <v>7</v>
          </cell>
          <cell r="C9" t="str">
            <v>DJOUKWE NANGUEN GUY BLAISE</v>
          </cell>
          <cell r="D9">
            <v>420000</v>
          </cell>
          <cell r="E9">
            <v>30000</v>
          </cell>
          <cell r="F9">
            <v>30000</v>
          </cell>
          <cell r="G9">
            <v>30000</v>
          </cell>
          <cell r="H9">
            <v>510000</v>
          </cell>
        </row>
        <row r="10">
          <cell r="A10" t="str">
            <v>AS201608</v>
          </cell>
          <cell r="B10">
            <v>8</v>
          </cell>
          <cell r="C10" t="str">
            <v>DJUOMBESSY ANTOINE</v>
          </cell>
          <cell r="D10">
            <v>420000</v>
          </cell>
          <cell r="E10">
            <v>30000</v>
          </cell>
          <cell r="F10">
            <v>30000</v>
          </cell>
          <cell r="G10">
            <v>30000</v>
          </cell>
          <cell r="H10">
            <v>510000</v>
          </cell>
        </row>
        <row r="11">
          <cell r="A11" t="str">
            <v>AS201651</v>
          </cell>
          <cell r="B11">
            <v>9</v>
          </cell>
          <cell r="C11" t="str">
            <v>DOMOU FABIEN</v>
          </cell>
          <cell r="F11">
            <v>441596</v>
          </cell>
          <cell r="G11">
            <v>68404</v>
          </cell>
          <cell r="H11">
            <v>510000</v>
          </cell>
        </row>
        <row r="12">
          <cell r="A12" t="str">
            <v>AS201609</v>
          </cell>
          <cell r="B12">
            <v>10</v>
          </cell>
          <cell r="C12" t="str">
            <v>DONHOU DAVID</v>
          </cell>
          <cell r="D12">
            <v>420000</v>
          </cell>
          <cell r="E12">
            <v>30000</v>
          </cell>
          <cell r="F12">
            <v>30000</v>
          </cell>
          <cell r="G12">
            <v>30000</v>
          </cell>
          <cell r="H12">
            <v>510000</v>
          </cell>
        </row>
        <row r="13">
          <cell r="A13" t="str">
            <v>AS201610</v>
          </cell>
          <cell r="B13">
            <v>11</v>
          </cell>
          <cell r="C13" t="str">
            <v>FOTSO THOMAS</v>
          </cell>
          <cell r="D13">
            <v>420000</v>
          </cell>
          <cell r="E13">
            <v>30000</v>
          </cell>
          <cell r="F13">
            <v>30000</v>
          </cell>
          <cell r="G13">
            <v>30000</v>
          </cell>
          <cell r="H13">
            <v>510000</v>
          </cell>
        </row>
        <row r="14">
          <cell r="A14" t="str">
            <v>AS201611</v>
          </cell>
          <cell r="B14">
            <v>12</v>
          </cell>
          <cell r="C14" t="str">
            <v>HENGUE PAUL OMER</v>
          </cell>
          <cell r="D14">
            <v>420000</v>
          </cell>
          <cell r="E14">
            <v>30000</v>
          </cell>
          <cell r="F14">
            <v>30000</v>
          </cell>
          <cell r="G14">
            <v>30000</v>
          </cell>
          <cell r="H14">
            <v>510000</v>
          </cell>
        </row>
        <row r="15">
          <cell r="A15" t="str">
            <v>AS201612</v>
          </cell>
          <cell r="B15">
            <v>13</v>
          </cell>
          <cell r="C15" t="str">
            <v>HODIEP JULES</v>
          </cell>
          <cell r="D15">
            <v>50000</v>
          </cell>
          <cell r="E15">
            <v>30000</v>
          </cell>
          <cell r="G15">
            <v>-80000</v>
          </cell>
          <cell r="H15">
            <v>80000</v>
          </cell>
        </row>
        <row r="16">
          <cell r="A16" t="str">
            <v>AS201613</v>
          </cell>
          <cell r="B16">
            <v>14</v>
          </cell>
          <cell r="C16" t="str">
            <v>HOTCHO BENJAMIN</v>
          </cell>
          <cell r="D16">
            <v>420000</v>
          </cell>
          <cell r="E16">
            <v>30000</v>
          </cell>
          <cell r="F16">
            <v>30000</v>
          </cell>
          <cell r="G16">
            <v>30000</v>
          </cell>
          <cell r="H16">
            <v>510000</v>
          </cell>
        </row>
        <row r="17">
          <cell r="A17" t="str">
            <v>AS201615</v>
          </cell>
          <cell r="B17">
            <v>15</v>
          </cell>
          <cell r="C17" t="str">
            <v>KEPSEU FRANCIS</v>
          </cell>
          <cell r="D17">
            <v>420000</v>
          </cell>
          <cell r="E17">
            <v>30000</v>
          </cell>
          <cell r="F17">
            <v>30000</v>
          </cell>
          <cell r="G17">
            <v>30000</v>
          </cell>
          <cell r="H17">
            <v>510000</v>
          </cell>
        </row>
        <row r="18">
          <cell r="A18" t="str">
            <v>AS201618</v>
          </cell>
          <cell r="B18">
            <v>16</v>
          </cell>
          <cell r="C18" t="str">
            <v>KOUAMO VICTOR PEGUY</v>
          </cell>
          <cell r="D18">
            <v>420000</v>
          </cell>
          <cell r="E18">
            <v>30000</v>
          </cell>
          <cell r="F18">
            <v>30000</v>
          </cell>
          <cell r="G18">
            <v>30000</v>
          </cell>
          <cell r="H18">
            <v>510000</v>
          </cell>
        </row>
        <row r="19">
          <cell r="A19" t="str">
            <v>AS201616</v>
          </cell>
          <cell r="B19">
            <v>17</v>
          </cell>
          <cell r="C19" t="str">
            <v>KOUAMOU EMMANUEL</v>
          </cell>
          <cell r="D19">
            <v>420000</v>
          </cell>
          <cell r="E19">
            <v>30000</v>
          </cell>
          <cell r="F19">
            <v>30000</v>
          </cell>
          <cell r="G19">
            <v>-480000</v>
          </cell>
          <cell r="H19">
            <v>0</v>
          </cell>
        </row>
        <row r="20">
          <cell r="A20" t="str">
            <v>AS201617</v>
          </cell>
          <cell r="B20">
            <v>18</v>
          </cell>
          <cell r="C20" t="str">
            <v>KOUAMOU MOISE</v>
          </cell>
          <cell r="D20">
            <v>420000</v>
          </cell>
          <cell r="E20">
            <v>30000</v>
          </cell>
          <cell r="F20">
            <v>30000</v>
          </cell>
          <cell r="G20">
            <v>30000</v>
          </cell>
          <cell r="H20">
            <v>510000</v>
          </cell>
        </row>
        <row r="21">
          <cell r="A21" t="str">
            <v>AS201619</v>
          </cell>
          <cell r="B21">
            <v>19</v>
          </cell>
          <cell r="C21" t="str">
            <v>KOUATCHO MESSACK</v>
          </cell>
          <cell r="D21">
            <v>420000</v>
          </cell>
          <cell r="E21">
            <v>30000</v>
          </cell>
          <cell r="F21">
            <v>30000</v>
          </cell>
          <cell r="G21">
            <v>30000</v>
          </cell>
          <cell r="H21">
            <v>510000</v>
          </cell>
        </row>
        <row r="22">
          <cell r="A22" t="str">
            <v>AS201620</v>
          </cell>
          <cell r="B22">
            <v>20</v>
          </cell>
          <cell r="C22" t="str">
            <v>LOWE JEAN</v>
          </cell>
          <cell r="D22">
            <v>420000</v>
          </cell>
          <cell r="E22">
            <v>30000</v>
          </cell>
          <cell r="F22">
            <v>30000</v>
          </cell>
          <cell r="G22">
            <v>30000</v>
          </cell>
          <cell r="H22">
            <v>510000</v>
          </cell>
        </row>
        <row r="23">
          <cell r="A23" t="str">
            <v>AS201649</v>
          </cell>
          <cell r="B23">
            <v>21</v>
          </cell>
          <cell r="C23" t="str">
            <v>MBOGNING TUGMA GUY</v>
          </cell>
          <cell r="F23">
            <v>30000</v>
          </cell>
          <cell r="G23">
            <v>480000</v>
          </cell>
          <cell r="H23">
            <v>510000</v>
          </cell>
        </row>
        <row r="24">
          <cell r="A24" t="str">
            <v>AS201639</v>
          </cell>
          <cell r="B24">
            <v>22</v>
          </cell>
          <cell r="C24" t="str">
            <v>NANGUEN MARTIN</v>
          </cell>
          <cell r="D24">
            <v>390000</v>
          </cell>
          <cell r="E24">
            <v>30000</v>
          </cell>
          <cell r="F24">
            <v>30000</v>
          </cell>
          <cell r="G24">
            <v>60000</v>
          </cell>
          <cell r="H24">
            <v>510000</v>
          </cell>
        </row>
        <row r="25">
          <cell r="A25" t="str">
            <v>AS201621</v>
          </cell>
          <cell r="B25">
            <v>23</v>
          </cell>
          <cell r="C25" t="str">
            <v>NANKAM APPOLINAIRE</v>
          </cell>
          <cell r="D25">
            <v>420000</v>
          </cell>
          <cell r="E25">
            <v>30000</v>
          </cell>
          <cell r="F25">
            <v>30000</v>
          </cell>
          <cell r="G25">
            <v>30000</v>
          </cell>
          <cell r="H25">
            <v>510000</v>
          </cell>
        </row>
        <row r="26">
          <cell r="A26" t="str">
            <v>AS201622</v>
          </cell>
          <cell r="B26">
            <v>24</v>
          </cell>
          <cell r="C26" t="str">
            <v>NDJOMO ETIENNE</v>
          </cell>
          <cell r="D26">
            <v>420000</v>
          </cell>
          <cell r="E26">
            <v>30000</v>
          </cell>
          <cell r="F26">
            <v>30000</v>
          </cell>
          <cell r="G26">
            <v>30000</v>
          </cell>
          <cell r="H26">
            <v>510000</v>
          </cell>
        </row>
        <row r="27">
          <cell r="A27" t="str">
            <v>AS201623</v>
          </cell>
          <cell r="B27">
            <v>25</v>
          </cell>
          <cell r="C27" t="str">
            <v>NDOMBOU JEAN CLAUDE</v>
          </cell>
          <cell r="D27">
            <v>420000</v>
          </cell>
          <cell r="E27">
            <v>30000</v>
          </cell>
          <cell r="F27">
            <v>30000</v>
          </cell>
          <cell r="G27">
            <v>-480000</v>
          </cell>
          <cell r="H27">
            <v>480000</v>
          </cell>
        </row>
        <row r="28">
          <cell r="A28" t="str">
            <v>AS201652</v>
          </cell>
          <cell r="B28">
            <v>26</v>
          </cell>
          <cell r="C28" t="str">
            <v>NGANHOU JEAN</v>
          </cell>
          <cell r="G28">
            <v>130000</v>
          </cell>
          <cell r="H28">
            <v>130000</v>
          </cell>
        </row>
        <row r="29">
          <cell r="A29" t="str">
            <v>AS201624</v>
          </cell>
          <cell r="B29">
            <v>27</v>
          </cell>
          <cell r="C29" t="str">
            <v>NGONDIEP CLAUDE</v>
          </cell>
          <cell r="D29">
            <v>420000</v>
          </cell>
          <cell r="E29">
            <v>30000</v>
          </cell>
          <cell r="F29">
            <v>30000</v>
          </cell>
          <cell r="G29">
            <v>30000</v>
          </cell>
          <cell r="H29">
            <v>510000</v>
          </cell>
        </row>
        <row r="30">
          <cell r="A30" t="str">
            <v>AS201625</v>
          </cell>
          <cell r="B30">
            <v>28</v>
          </cell>
          <cell r="C30" t="str">
            <v>NGONGANG JEAN THEODORE</v>
          </cell>
          <cell r="D30">
            <v>43045</v>
          </cell>
          <cell r="E30">
            <v>30000</v>
          </cell>
          <cell r="G30">
            <v>267467</v>
          </cell>
          <cell r="H30">
            <v>227663</v>
          </cell>
        </row>
        <row r="31">
          <cell r="A31" t="str">
            <v>AS201626</v>
          </cell>
          <cell r="B31">
            <v>29</v>
          </cell>
          <cell r="C31" t="str">
            <v>NGUIEMEGNI MATHIEU BLAISE</v>
          </cell>
          <cell r="D31">
            <v>420000</v>
          </cell>
          <cell r="E31">
            <v>30000</v>
          </cell>
          <cell r="F31">
            <v>30000</v>
          </cell>
          <cell r="G31">
            <v>30000</v>
          </cell>
          <cell r="H31">
            <v>510000</v>
          </cell>
        </row>
        <row r="32">
          <cell r="A32" t="str">
            <v>AS201627</v>
          </cell>
          <cell r="B32">
            <v>30</v>
          </cell>
          <cell r="C32" t="str">
            <v>NJEPDJIO MBOUKAM DELUXE</v>
          </cell>
          <cell r="D32">
            <v>420000</v>
          </cell>
          <cell r="E32">
            <v>30000</v>
          </cell>
          <cell r="F32">
            <v>30000</v>
          </cell>
          <cell r="G32">
            <v>-510000</v>
          </cell>
        </row>
        <row r="33">
          <cell r="A33" t="str">
            <v>AS201628</v>
          </cell>
          <cell r="B33">
            <v>31</v>
          </cell>
          <cell r="C33" t="str">
            <v>NKAMGANG JUSTIN DEJOLIE</v>
          </cell>
          <cell r="D33">
            <v>420000</v>
          </cell>
          <cell r="E33">
            <v>30000</v>
          </cell>
          <cell r="F33">
            <v>30000</v>
          </cell>
          <cell r="G33">
            <v>30000</v>
          </cell>
          <cell r="H33">
            <v>510000</v>
          </cell>
        </row>
        <row r="34">
          <cell r="A34" t="str">
            <v>AS201614</v>
          </cell>
          <cell r="B34">
            <v>32</v>
          </cell>
          <cell r="C34" t="str">
            <v>NKEHE DAVID</v>
          </cell>
          <cell r="D34">
            <v>357000</v>
          </cell>
          <cell r="E34">
            <v>30000</v>
          </cell>
          <cell r="F34">
            <v>33000</v>
          </cell>
          <cell r="G34">
            <v>90000</v>
          </cell>
          <cell r="H34">
            <v>510000</v>
          </cell>
        </row>
        <row r="35">
          <cell r="A35" t="str">
            <v>AS201629</v>
          </cell>
          <cell r="B35">
            <v>33</v>
          </cell>
          <cell r="C35" t="str">
            <v>NKEPSEU DIEUDONNE</v>
          </cell>
          <cell r="D35">
            <v>420000</v>
          </cell>
          <cell r="E35">
            <v>30000</v>
          </cell>
          <cell r="F35">
            <v>30000</v>
          </cell>
          <cell r="G35">
            <v>30000</v>
          </cell>
          <cell r="H35">
            <v>510000</v>
          </cell>
        </row>
        <row r="36">
          <cell r="A36" t="str">
            <v>AS201631</v>
          </cell>
          <cell r="B36">
            <v>34</v>
          </cell>
          <cell r="C36" t="str">
            <v>NTEPDIE TUEMAC MZ</v>
          </cell>
          <cell r="D36">
            <v>0</v>
          </cell>
          <cell r="E36">
            <v>0</v>
          </cell>
          <cell r="F36">
            <v>30000</v>
          </cell>
          <cell r="H36">
            <v>0</v>
          </cell>
        </row>
        <row r="37">
          <cell r="A37" t="str">
            <v>AS201633</v>
          </cell>
          <cell r="B37">
            <v>35</v>
          </cell>
          <cell r="C37" t="str">
            <v>PATEGO NJOSSU GUSTAVE</v>
          </cell>
          <cell r="D37">
            <v>420000</v>
          </cell>
          <cell r="E37">
            <v>30000</v>
          </cell>
          <cell r="F37">
            <v>30000</v>
          </cell>
          <cell r="G37">
            <v>30000</v>
          </cell>
          <cell r="H37">
            <v>510000</v>
          </cell>
        </row>
        <row r="38">
          <cell r="A38" t="str">
            <v>AS201634</v>
          </cell>
          <cell r="B38">
            <v>36</v>
          </cell>
          <cell r="C38" t="str">
            <v>SEUNOU RICHELOT</v>
          </cell>
          <cell r="D38">
            <v>420000</v>
          </cell>
          <cell r="E38">
            <v>30000</v>
          </cell>
          <cell r="F38">
            <v>30000</v>
          </cell>
          <cell r="G38">
            <v>-510000</v>
          </cell>
        </row>
        <row r="39">
          <cell r="A39" t="str">
            <v>AS201635</v>
          </cell>
          <cell r="B39">
            <v>37</v>
          </cell>
          <cell r="C39" t="str">
            <v>SIME ABEL</v>
          </cell>
          <cell r="D39">
            <v>390000</v>
          </cell>
          <cell r="E39">
            <v>30000</v>
          </cell>
          <cell r="F39">
            <v>-420000</v>
          </cell>
          <cell r="H39">
            <v>0</v>
          </cell>
        </row>
        <row r="40">
          <cell r="A40" t="str">
            <v>AS201653</v>
          </cell>
          <cell r="B40">
            <v>38</v>
          </cell>
          <cell r="C40" t="str">
            <v>SIME BRICE</v>
          </cell>
          <cell r="G40">
            <v>145376.91333081503</v>
          </cell>
          <cell r="H40">
            <v>145376.91333081503</v>
          </cell>
        </row>
        <row r="41">
          <cell r="A41" t="str">
            <v>AS201636</v>
          </cell>
          <cell r="B41">
            <v>39</v>
          </cell>
          <cell r="C41" t="str">
            <v>SIMO FONGANG ERIC</v>
          </cell>
          <cell r="D41">
            <v>420000</v>
          </cell>
          <cell r="E41">
            <v>30000</v>
          </cell>
          <cell r="F41">
            <v>30000</v>
          </cell>
          <cell r="G41">
            <v>30000</v>
          </cell>
          <cell r="H41">
            <v>510000</v>
          </cell>
        </row>
        <row r="42">
          <cell r="A42" t="str">
            <v>AS201637</v>
          </cell>
          <cell r="B42">
            <v>40</v>
          </cell>
          <cell r="C42" t="str">
            <v>SIME MATHIEU</v>
          </cell>
          <cell r="D42">
            <v>420000</v>
          </cell>
          <cell r="E42">
            <v>30000</v>
          </cell>
          <cell r="F42">
            <v>30000</v>
          </cell>
          <cell r="G42">
            <v>30000</v>
          </cell>
          <cell r="H42">
            <v>510000</v>
          </cell>
        </row>
        <row r="43">
          <cell r="A43" t="str">
            <v>AS201638</v>
          </cell>
          <cell r="B43">
            <v>41</v>
          </cell>
          <cell r="C43" t="str">
            <v>SIMO PIERRE</v>
          </cell>
          <cell r="D43">
            <v>420000</v>
          </cell>
          <cell r="E43">
            <v>30000</v>
          </cell>
          <cell r="F43">
            <v>30000</v>
          </cell>
          <cell r="G43">
            <v>30000</v>
          </cell>
          <cell r="H43">
            <v>510000</v>
          </cell>
        </row>
        <row r="44">
          <cell r="A44" t="str">
            <v>AS201640</v>
          </cell>
          <cell r="B44">
            <v>42</v>
          </cell>
          <cell r="C44" t="str">
            <v>TCHOUAMOU JEAN PAUL</v>
          </cell>
          <cell r="D44">
            <v>50000</v>
          </cell>
          <cell r="E44">
            <v>30000</v>
          </cell>
        </row>
        <row r="45">
          <cell r="A45" t="str">
            <v>AS201641</v>
          </cell>
          <cell r="B45">
            <v>43</v>
          </cell>
          <cell r="C45" t="str">
            <v>TCHOUAMOU MATHIEU</v>
          </cell>
          <cell r="D45">
            <v>420000</v>
          </cell>
          <cell r="E45">
            <v>30000</v>
          </cell>
          <cell r="F45">
            <v>30000</v>
          </cell>
          <cell r="G45">
            <v>30000</v>
          </cell>
          <cell r="H45">
            <v>510000</v>
          </cell>
        </row>
        <row r="46">
          <cell r="A46" t="str">
            <v>AS201642</v>
          </cell>
          <cell r="B46">
            <v>44</v>
          </cell>
          <cell r="C46" t="str">
            <v>TCHOUANTE FRANCOIS</v>
          </cell>
          <cell r="D46">
            <v>403819</v>
          </cell>
          <cell r="E46">
            <v>30000</v>
          </cell>
          <cell r="F46">
            <v>30000</v>
          </cell>
          <cell r="G46">
            <v>-463819</v>
          </cell>
          <cell r="H46">
            <v>0</v>
          </cell>
        </row>
        <row r="47">
          <cell r="A47" t="str">
            <v>AS201643</v>
          </cell>
          <cell r="B47">
            <v>45</v>
          </cell>
          <cell r="C47" t="str">
            <v>TCHOUTOU NANA CLAUDE</v>
          </cell>
          <cell r="D47">
            <v>0</v>
          </cell>
          <cell r="E47">
            <v>30000</v>
          </cell>
          <cell r="G47">
            <v>-51454</v>
          </cell>
          <cell r="H47">
            <v>0</v>
          </cell>
        </row>
        <row r="48">
          <cell r="A48" t="str">
            <v>AS201644</v>
          </cell>
          <cell r="B48">
            <v>46</v>
          </cell>
          <cell r="C48" t="str">
            <v>TIEYAM ERNEST</v>
          </cell>
          <cell r="D48">
            <v>420000</v>
          </cell>
          <cell r="E48">
            <v>30000</v>
          </cell>
          <cell r="F48">
            <v>30000</v>
          </cell>
          <cell r="G48">
            <v>-510000</v>
          </cell>
          <cell r="H48">
            <v>510000</v>
          </cell>
        </row>
        <row r="49">
          <cell r="A49" t="str">
            <v>AS201645</v>
          </cell>
          <cell r="B49">
            <v>47</v>
          </cell>
          <cell r="C49" t="str">
            <v>TUGMA PIERRE LOTI</v>
          </cell>
          <cell r="D49">
            <v>420000</v>
          </cell>
          <cell r="E49">
            <v>30000</v>
          </cell>
          <cell r="F49">
            <v>30000</v>
          </cell>
          <cell r="G49">
            <v>-480000</v>
          </cell>
          <cell r="H49">
            <v>0</v>
          </cell>
        </row>
        <row r="50">
          <cell r="A50" t="str">
            <v>AS201646</v>
          </cell>
          <cell r="B50">
            <v>48</v>
          </cell>
          <cell r="C50" t="str">
            <v>YEPMOU JEAN JACQUES</v>
          </cell>
          <cell r="D50">
            <v>420000</v>
          </cell>
          <cell r="E50">
            <v>30000</v>
          </cell>
          <cell r="F50">
            <v>30000</v>
          </cell>
          <cell r="G50">
            <v>30000</v>
          </cell>
          <cell r="H50">
            <v>510000</v>
          </cell>
        </row>
        <row r="51">
          <cell r="A51" t="str">
            <v>AS201647</v>
          </cell>
          <cell r="B51">
            <v>49</v>
          </cell>
          <cell r="C51" t="str">
            <v>YOUMBI EMMANUEL</v>
          </cell>
          <cell r="D51">
            <v>420000</v>
          </cell>
          <cell r="E51">
            <v>30000</v>
          </cell>
          <cell r="F51">
            <v>30000</v>
          </cell>
          <cell r="G51">
            <v>30000</v>
          </cell>
          <cell r="H51">
            <v>510000</v>
          </cell>
        </row>
      </sheetData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  <sheetName val="HISTOJANV24"/>
      <sheetName val="HISTODEC24"/>
    </sheetNames>
    <sheetDataSet>
      <sheetData sheetId="0" refreshError="1"/>
      <sheetData sheetId="1" refreshError="1"/>
      <sheetData sheetId="2" refreshError="1"/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  <row r="16">
          <cell r="BP16">
            <v>6000</v>
          </cell>
        </row>
        <row r="38">
          <cell r="BP38">
            <v>100000</v>
          </cell>
        </row>
      </sheetData>
      <sheetData sheetId="5">
        <row r="6">
          <cell r="A6" t="str">
            <v>AS201648</v>
          </cell>
        </row>
        <row r="8">
          <cell r="BP8">
            <v>27500</v>
          </cell>
        </row>
        <row r="11">
          <cell r="BP11">
            <v>35000</v>
          </cell>
        </row>
        <row r="13">
          <cell r="BP13">
            <v>6000</v>
          </cell>
        </row>
        <row r="22">
          <cell r="BP22">
            <v>200000</v>
          </cell>
        </row>
        <row r="30">
          <cell r="BP30">
            <v>560000</v>
          </cell>
        </row>
        <row r="38">
          <cell r="BP38">
            <v>0</v>
          </cell>
        </row>
      </sheetData>
      <sheetData sheetId="6">
        <row r="6">
          <cell r="A6" t="str">
            <v>AS201648</v>
          </cell>
        </row>
        <row r="16">
          <cell r="BP16">
            <v>6000</v>
          </cell>
        </row>
        <row r="38">
          <cell r="BP38">
            <v>100000</v>
          </cell>
        </row>
      </sheetData>
      <sheetData sheetId="7">
        <row r="6">
          <cell r="A6" t="str">
            <v>AS201648</v>
          </cell>
        </row>
        <row r="16">
          <cell r="BP16">
            <v>6000</v>
          </cell>
        </row>
        <row r="38">
          <cell r="BP38">
            <v>100000</v>
          </cell>
        </row>
      </sheetData>
      <sheetData sheetId="8">
        <row r="6">
          <cell r="A6" t="str">
            <v>AS201648</v>
          </cell>
        </row>
        <row r="16">
          <cell r="BP16">
            <v>6000</v>
          </cell>
        </row>
        <row r="30">
          <cell r="BP30">
            <v>200000</v>
          </cell>
        </row>
        <row r="38">
          <cell r="BP38">
            <v>100000</v>
          </cell>
        </row>
      </sheetData>
      <sheetData sheetId="9">
        <row r="6">
          <cell r="A6" t="str">
            <v>AS201648</v>
          </cell>
        </row>
        <row r="8">
          <cell r="BP8">
            <v>15000</v>
          </cell>
        </row>
        <row r="11">
          <cell r="BP11">
            <v>3000</v>
          </cell>
        </row>
        <row r="26">
          <cell r="BP26">
            <v>20000</v>
          </cell>
        </row>
        <row r="35">
          <cell r="BP35">
            <v>100000</v>
          </cell>
        </row>
      </sheetData>
      <sheetData sheetId="10">
        <row r="6">
          <cell r="A6" t="str">
            <v>AS201648</v>
          </cell>
        </row>
        <row r="13">
          <cell r="BP13">
            <v>6000</v>
          </cell>
        </row>
        <row r="26">
          <cell r="BP26">
            <v>50000</v>
          </cell>
        </row>
        <row r="38">
          <cell r="BP38">
            <v>100000</v>
          </cell>
        </row>
      </sheetData>
      <sheetData sheetId="11">
        <row r="6">
          <cell r="A6" t="str">
            <v>AS201648</v>
          </cell>
        </row>
        <row r="8">
          <cell r="BP8">
            <v>33000</v>
          </cell>
        </row>
        <row r="13">
          <cell r="BP13">
            <v>12000</v>
          </cell>
        </row>
        <row r="26">
          <cell r="BP26">
            <v>155000</v>
          </cell>
        </row>
        <row r="33">
          <cell r="BP33">
            <v>560000</v>
          </cell>
        </row>
        <row r="38">
          <cell r="BP38">
            <v>100000</v>
          </cell>
        </row>
      </sheetData>
      <sheetData sheetId="12">
        <row r="6">
          <cell r="A6" t="str">
            <v>AS201648</v>
          </cell>
        </row>
        <row r="13">
          <cell r="BP13">
            <v>6000</v>
          </cell>
        </row>
        <row r="38">
          <cell r="BP38">
            <v>100000</v>
          </cell>
        </row>
      </sheetData>
      <sheetData sheetId="13">
        <row r="6">
          <cell r="A6" t="str">
            <v>AS201648</v>
          </cell>
        </row>
        <row r="8">
          <cell r="BP8">
            <v>7500</v>
          </cell>
        </row>
        <row r="13">
          <cell r="BP13">
            <v>6000</v>
          </cell>
        </row>
        <row r="25">
          <cell r="BP25">
            <v>600000</v>
          </cell>
        </row>
        <row r="38">
          <cell r="BP38">
            <v>100000</v>
          </cell>
        </row>
      </sheetData>
      <sheetData sheetId="14">
        <row r="6">
          <cell r="A6" t="str">
            <v>AS201648</v>
          </cell>
        </row>
        <row r="16">
          <cell r="BP16">
            <v>6000</v>
          </cell>
        </row>
        <row r="35">
          <cell r="BP35">
            <v>110000</v>
          </cell>
        </row>
      </sheetData>
      <sheetData sheetId="15">
        <row r="6">
          <cell r="A6" t="str">
            <v>AS201648</v>
          </cell>
        </row>
        <row r="13">
          <cell r="BP13">
            <v>6000</v>
          </cell>
        </row>
        <row r="38">
          <cell r="BP38">
            <v>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8"/>
  <sheetViews>
    <sheetView topLeftCell="A22" workbookViewId="0">
      <selection activeCell="A29" sqref="A29:XFD29"/>
    </sheetView>
  </sheetViews>
  <sheetFormatPr baseColWidth="10" defaultRowHeight="14.5" x14ac:dyDescent="0.35"/>
  <cols>
    <col min="1" max="1" width="40.7265625" customWidth="1"/>
    <col min="2" max="2" width="15.7265625" customWidth="1"/>
    <col min="3" max="3" width="14.81640625" customWidth="1"/>
    <col min="4" max="4" width="13.1796875" customWidth="1"/>
    <col min="5" max="5" width="16.1796875" customWidth="1"/>
  </cols>
  <sheetData>
    <row r="2" spans="1:8" ht="21" x14ac:dyDescent="0.5">
      <c r="A2" s="20" t="s">
        <v>25</v>
      </c>
    </row>
    <row r="4" spans="1:8" ht="15" thickBot="1" x14ac:dyDescent="0.4"/>
    <row r="5" spans="1:8" ht="37.5" thickTop="1" x14ac:dyDescent="0.45">
      <c r="A5" s="21" t="s">
        <v>26</v>
      </c>
      <c r="B5" s="22" t="s">
        <v>27</v>
      </c>
      <c r="C5" s="23" t="s">
        <v>28</v>
      </c>
      <c r="D5" s="23" t="s">
        <v>29</v>
      </c>
      <c r="E5" s="24" t="s">
        <v>30</v>
      </c>
    </row>
    <row r="6" spans="1:8" x14ac:dyDescent="0.35">
      <c r="A6" s="19"/>
      <c r="B6" s="14"/>
      <c r="C6" s="14"/>
      <c r="D6" s="14"/>
      <c r="E6" s="15"/>
    </row>
    <row r="7" spans="1:8" x14ac:dyDescent="0.35">
      <c r="A7" s="13" t="s">
        <v>31</v>
      </c>
      <c r="B7" s="25">
        <v>29756024</v>
      </c>
      <c r="C7" s="25">
        <f>[9]TRAVAUXINVENTAIRE!R54+C20+1050000+2230668</f>
        <v>7101809</v>
      </c>
      <c r="D7" s="25"/>
      <c r="E7" s="26">
        <f>B7+C7-D7</f>
        <v>36857833</v>
      </c>
      <c r="F7" s="27"/>
      <c r="G7" s="27"/>
    </row>
    <row r="8" spans="1:8" x14ac:dyDescent="0.35">
      <c r="A8" s="13" t="s">
        <v>32</v>
      </c>
      <c r="B8" s="25"/>
      <c r="C8" s="25">
        <v>28382451</v>
      </c>
      <c r="D8" s="25">
        <v>39386431</v>
      </c>
      <c r="E8" s="26">
        <f>B8+C8-D8</f>
        <v>-11003980</v>
      </c>
      <c r="F8" s="27"/>
      <c r="H8" s="27"/>
    </row>
    <row r="9" spans="1:8" x14ac:dyDescent="0.35">
      <c r="A9" s="13" t="s">
        <v>2</v>
      </c>
      <c r="B9" s="25">
        <v>3031178</v>
      </c>
      <c r="C9" s="25">
        <f>[9]TRAVAUXINVENTAIRE!S54</f>
        <v>250500</v>
      </c>
      <c r="D9" s="25">
        <f>'[10]BILAN 2016'!$D$9</f>
        <v>224500</v>
      </c>
      <c r="E9" s="26">
        <f t="shared" ref="E9:E19" si="0">B9+C9-D9</f>
        <v>3057178</v>
      </c>
      <c r="F9" s="27"/>
      <c r="G9" s="27"/>
    </row>
    <row r="10" spans="1:8" x14ac:dyDescent="0.35">
      <c r="A10" s="13" t="s">
        <v>33</v>
      </c>
      <c r="B10" s="25">
        <v>1267460</v>
      </c>
      <c r="C10" s="25">
        <f>[9]TRAVAUXINVENTAIRE!T54</f>
        <v>501000</v>
      </c>
      <c r="D10" s="25">
        <f>[9]TRAVAUXINVENTAIREDEC!B6</f>
        <v>1100000</v>
      </c>
      <c r="E10" s="26">
        <f t="shared" si="0"/>
        <v>668460</v>
      </c>
      <c r="F10" s="27"/>
    </row>
    <row r="11" spans="1:8" x14ac:dyDescent="0.35">
      <c r="A11" s="13" t="s">
        <v>4</v>
      </c>
      <c r="B11" s="25">
        <v>940125</v>
      </c>
      <c r="C11" s="25">
        <f>[9]TRAVAUXINVENTAIRE!U54</f>
        <v>1252500</v>
      </c>
      <c r="D11" s="25">
        <f>[9]TRAVAUXINVENTAIREDEC!B7</f>
        <v>1260000</v>
      </c>
      <c r="E11" s="26">
        <f t="shared" si="0"/>
        <v>932625</v>
      </c>
      <c r="F11" s="27"/>
    </row>
    <row r="12" spans="1:8" x14ac:dyDescent="0.35">
      <c r="A12" s="13" t="s">
        <v>34</v>
      </c>
      <c r="B12" s="25">
        <f>-101500</f>
        <v>-101500</v>
      </c>
      <c r="C12" s="25">
        <f>[9]TRAVAUXINVENTAIRE!V54+[9]TRAVAUXINVENTAIRE!O54</f>
        <v>1954860</v>
      </c>
      <c r="D12" s="25">
        <f>[9]TRAVAUXINVENTAIREDEC!B8</f>
        <v>2595000</v>
      </c>
      <c r="E12" s="26">
        <f t="shared" si="0"/>
        <v>-741640</v>
      </c>
      <c r="F12" s="27"/>
    </row>
    <row r="13" spans="1:8" x14ac:dyDescent="0.35">
      <c r="A13" s="13" t="s">
        <v>6</v>
      </c>
      <c r="B13" s="25">
        <v>530000</v>
      </c>
      <c r="C13" s="25"/>
      <c r="D13" s="25"/>
      <c r="E13" s="26">
        <f t="shared" si="0"/>
        <v>530000</v>
      </c>
      <c r="F13" s="27"/>
    </row>
    <row r="14" spans="1:8" x14ac:dyDescent="0.35">
      <c r="A14" s="13" t="s">
        <v>58</v>
      </c>
      <c r="B14" s="25">
        <v>54508</v>
      </c>
      <c r="C14" s="25"/>
      <c r="D14" s="25"/>
      <c r="E14" s="26">
        <f t="shared" si="0"/>
        <v>54508</v>
      </c>
      <c r="F14" s="27"/>
    </row>
    <row r="15" spans="1:8" x14ac:dyDescent="0.35">
      <c r="A15" s="13" t="s">
        <v>59</v>
      </c>
      <c r="B15" s="25">
        <v>-164500</v>
      </c>
      <c r="C15" s="25"/>
      <c r="D15" s="25"/>
      <c r="E15" s="26">
        <f t="shared" si="0"/>
        <v>-164500</v>
      </c>
      <c r="F15" s="27"/>
    </row>
    <row r="16" spans="1:8" x14ac:dyDescent="0.35">
      <c r="A16" s="13" t="s">
        <v>60</v>
      </c>
      <c r="B16" s="25">
        <v>-75000</v>
      </c>
      <c r="C16" s="25"/>
      <c r="D16" s="25"/>
      <c r="E16" s="26">
        <f t="shared" si="0"/>
        <v>-75000</v>
      </c>
      <c r="F16" s="27"/>
    </row>
    <row r="17" spans="1:6" x14ac:dyDescent="0.35">
      <c r="A17" s="13" t="s">
        <v>35</v>
      </c>
      <c r="B17" s="25"/>
      <c r="C17" s="25"/>
      <c r="D17" s="25"/>
      <c r="E17" s="26">
        <f t="shared" si="0"/>
        <v>0</v>
      </c>
      <c r="F17" s="27"/>
    </row>
    <row r="18" spans="1:6" x14ac:dyDescent="0.35">
      <c r="A18" s="13" t="s">
        <v>36</v>
      </c>
      <c r="B18" s="28"/>
      <c r="C18" s="25">
        <f>320750+16500</f>
        <v>337250</v>
      </c>
      <c r="D18" s="28"/>
      <c r="E18" s="26">
        <f t="shared" si="0"/>
        <v>337250</v>
      </c>
      <c r="F18" s="30">
        <v>1711250</v>
      </c>
    </row>
    <row r="19" spans="1:6" x14ac:dyDescent="0.35">
      <c r="A19" s="13" t="s">
        <v>37</v>
      </c>
      <c r="B19" s="28"/>
      <c r="C19" s="28"/>
      <c r="D19" s="28"/>
      <c r="E19" s="26">
        <f t="shared" si="0"/>
        <v>0</v>
      </c>
      <c r="F19" s="27"/>
    </row>
    <row r="20" spans="1:6" x14ac:dyDescent="0.35">
      <c r="A20" s="13" t="s">
        <v>38</v>
      </c>
      <c r="B20" s="28"/>
      <c r="C20" s="25"/>
      <c r="D20" s="28"/>
      <c r="E20" s="26">
        <f t="shared" ref="E20" si="1">B20+C20-D20</f>
        <v>0</v>
      </c>
      <c r="F20" s="27"/>
    </row>
    <row r="21" spans="1:6" x14ac:dyDescent="0.35">
      <c r="A21" s="13"/>
      <c r="B21" s="28"/>
      <c r="C21" s="25"/>
      <c r="D21" s="28"/>
      <c r="E21" s="26"/>
      <c r="F21" s="27"/>
    </row>
    <row r="22" spans="1:6" x14ac:dyDescent="0.35">
      <c r="A22" s="13" t="s">
        <v>39</v>
      </c>
      <c r="B22" s="28"/>
      <c r="C22" s="14"/>
      <c r="D22" s="25"/>
      <c r="E22" s="26"/>
      <c r="F22" s="27"/>
    </row>
    <row r="23" spans="1:6" x14ac:dyDescent="0.35">
      <c r="A23" s="13"/>
      <c r="B23" s="28"/>
      <c r="C23" s="25"/>
      <c r="D23" s="28"/>
      <c r="E23" s="26"/>
      <c r="F23" s="27"/>
    </row>
    <row r="24" spans="1:6" x14ac:dyDescent="0.35">
      <c r="A24" s="13" t="s">
        <v>40</v>
      </c>
      <c r="B24" s="28"/>
      <c r="C24" s="25"/>
      <c r="D24" s="28"/>
      <c r="E24" s="26"/>
      <c r="F24" s="27"/>
    </row>
    <row r="25" spans="1:6" x14ac:dyDescent="0.35">
      <c r="A25" s="13"/>
      <c r="B25" s="28"/>
      <c r="C25" s="25"/>
      <c r="D25" s="28"/>
      <c r="E25" s="29"/>
      <c r="F25" s="27"/>
    </row>
    <row r="26" spans="1:6" x14ac:dyDescent="0.35">
      <c r="A26" s="13"/>
      <c r="B26" s="28"/>
      <c r="C26" s="25"/>
      <c r="D26" s="28"/>
      <c r="E26" s="29"/>
      <c r="F26" s="27"/>
    </row>
    <row r="27" spans="1:6" x14ac:dyDescent="0.35">
      <c r="A27" s="13" t="s">
        <v>41</v>
      </c>
      <c r="B27" s="28"/>
      <c r="C27" s="25"/>
      <c r="D27" s="25"/>
      <c r="E27" s="26"/>
      <c r="F27" s="27"/>
    </row>
    <row r="28" spans="1:6" x14ac:dyDescent="0.35">
      <c r="A28" s="13" t="s">
        <v>42</v>
      </c>
      <c r="B28" s="28"/>
      <c r="C28" s="14"/>
      <c r="D28" s="14"/>
      <c r="E28" s="26"/>
      <c r="F28" s="27"/>
    </row>
    <row r="29" spans="1:6" x14ac:dyDescent="0.35">
      <c r="A29" s="13" t="s">
        <v>61</v>
      </c>
      <c r="B29" s="25">
        <v>1779594</v>
      </c>
      <c r="C29" s="14"/>
      <c r="D29" s="14"/>
      <c r="E29" s="26">
        <f t="shared" ref="E29" si="2">B29+C29-D29</f>
        <v>1779594</v>
      </c>
      <c r="F29" s="27"/>
    </row>
    <row r="30" spans="1:6" x14ac:dyDescent="0.35">
      <c r="A30" s="13" t="s">
        <v>43</v>
      </c>
      <c r="B30" s="28"/>
      <c r="C30" s="25"/>
      <c r="D30" s="28"/>
      <c r="E30" s="26"/>
      <c r="F30" s="27"/>
    </row>
    <row r="31" spans="1:6" x14ac:dyDescent="0.35">
      <c r="A31" s="13" t="s">
        <v>44</v>
      </c>
      <c r="B31" s="28"/>
      <c r="C31" s="25"/>
      <c r="D31" s="28"/>
      <c r="E31" s="26"/>
      <c r="F31" s="27"/>
    </row>
    <row r="32" spans="1:6" x14ac:dyDescent="0.35">
      <c r="A32" s="13"/>
      <c r="B32" s="28"/>
      <c r="C32" s="25"/>
      <c r="D32" s="28"/>
      <c r="E32" s="26"/>
      <c r="F32" s="27"/>
    </row>
    <row r="33" spans="1:6" x14ac:dyDescent="0.35">
      <c r="A33" s="13" t="s">
        <v>45</v>
      </c>
      <c r="B33" s="28"/>
      <c r="C33" s="25"/>
      <c r="D33" s="28"/>
      <c r="E33" s="26"/>
      <c r="F33" s="27"/>
    </row>
    <row r="34" spans="1:6" x14ac:dyDescent="0.35">
      <c r="A34" s="13"/>
      <c r="B34" s="28"/>
      <c r="C34" s="25"/>
      <c r="D34" s="28"/>
      <c r="E34" s="26"/>
      <c r="F34" s="27"/>
    </row>
    <row r="35" spans="1:6" x14ac:dyDescent="0.35">
      <c r="A35" s="13" t="s">
        <v>46</v>
      </c>
      <c r="B35" s="14"/>
      <c r="C35" s="14"/>
      <c r="D35" s="14"/>
      <c r="E35" s="26"/>
    </row>
    <row r="36" spans="1:6" x14ac:dyDescent="0.35">
      <c r="A36" s="19"/>
      <c r="B36" s="14"/>
      <c r="C36" s="14"/>
      <c r="D36" s="14"/>
      <c r="E36" s="15"/>
    </row>
    <row r="37" spans="1:6" ht="15" thickBot="1" x14ac:dyDescent="0.4">
      <c r="A37" s="31" t="s">
        <v>47</v>
      </c>
      <c r="B37" s="38">
        <f>SUM(B7:B36)</f>
        <v>37017889</v>
      </c>
      <c r="C37" s="38">
        <f t="shared" ref="C37:D37" si="3">SUM(C7:C36)</f>
        <v>39780370</v>
      </c>
      <c r="D37" s="38">
        <f t="shared" si="3"/>
        <v>44565931</v>
      </c>
      <c r="E37" s="32">
        <f>B37+C37-D37</f>
        <v>32232328</v>
      </c>
    </row>
    <row r="38" spans="1:6" ht="15" thickTop="1" x14ac:dyDescent="0.3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40"/>
  <sheetViews>
    <sheetView topLeftCell="A25" workbookViewId="0">
      <selection activeCell="D7" sqref="D7"/>
    </sheetView>
  </sheetViews>
  <sheetFormatPr baseColWidth="10" defaultRowHeight="14.5" x14ac:dyDescent="0.35"/>
  <cols>
    <col min="1" max="1" width="40.7265625" customWidth="1"/>
    <col min="2" max="2" width="15.7265625" customWidth="1"/>
    <col min="3" max="3" width="14.81640625" customWidth="1"/>
    <col min="4" max="4" width="13.1796875" customWidth="1"/>
    <col min="5" max="5" width="16.1796875" customWidth="1"/>
  </cols>
  <sheetData>
    <row r="2" spans="1:7" ht="21" x14ac:dyDescent="0.5">
      <c r="A2" s="20" t="s">
        <v>48</v>
      </c>
    </row>
    <row r="4" spans="1:7" ht="15" thickBot="1" x14ac:dyDescent="0.4"/>
    <row r="5" spans="1:7" ht="37.5" thickTop="1" x14ac:dyDescent="0.45">
      <c r="A5" s="21" t="s">
        <v>26</v>
      </c>
      <c r="B5" s="22" t="s">
        <v>27</v>
      </c>
      <c r="C5" s="23" t="s">
        <v>28</v>
      </c>
      <c r="D5" s="23" t="s">
        <v>29</v>
      </c>
      <c r="E5" s="24" t="s">
        <v>30</v>
      </c>
    </row>
    <row r="6" spans="1:7" x14ac:dyDescent="0.35">
      <c r="A6" s="19"/>
      <c r="B6" s="14"/>
      <c r="C6" s="14"/>
      <c r="D6" s="14"/>
      <c r="E6" s="15"/>
    </row>
    <row r="7" spans="1:7" x14ac:dyDescent="0.35">
      <c r="A7" s="13" t="s">
        <v>49</v>
      </c>
      <c r="B7" s="25">
        <f>'BILAN 2016'!E7</f>
        <v>36857833</v>
      </c>
      <c r="C7" s="25">
        <f>[11]BILANFINAOUT2017!E56</f>
        <v>3963693</v>
      </c>
      <c r="D7" s="25">
        <v>13500000</v>
      </c>
      <c r="E7" s="26">
        <f t="shared" ref="E7:E13" si="0">B7+C7-D7</f>
        <v>27321526</v>
      </c>
      <c r="F7" s="27"/>
    </row>
    <row r="8" spans="1:7" x14ac:dyDescent="0.35">
      <c r="A8" s="13" t="s">
        <v>32</v>
      </c>
      <c r="B8" s="25">
        <f>'BILAN 2016'!E8</f>
        <v>-11003980</v>
      </c>
      <c r="C8" s="25">
        <f>[11]BILANFINAOUT2017!C56</f>
        <v>16310819</v>
      </c>
      <c r="D8" s="25"/>
      <c r="E8" s="26">
        <f t="shared" si="0"/>
        <v>5306839</v>
      </c>
      <c r="F8" s="27"/>
    </row>
    <row r="9" spans="1:7" x14ac:dyDescent="0.35">
      <c r="A9" s="13" t="s">
        <v>2</v>
      </c>
      <c r="B9" s="25">
        <f>'BILAN 2016'!E9</f>
        <v>3057178</v>
      </c>
      <c r="C9" s="25">
        <f>[11]BILANFINAOUT2017!F56</f>
        <v>182000</v>
      </c>
      <c r="D9" s="25">
        <f>89000+84000+12000+10000+6000+48000+13000+5000</f>
        <v>267000</v>
      </c>
      <c r="E9" s="26">
        <f t="shared" si="0"/>
        <v>2972178</v>
      </c>
      <c r="F9" s="27"/>
    </row>
    <row r="10" spans="1:7" x14ac:dyDescent="0.35">
      <c r="A10" s="13" t="s">
        <v>33</v>
      </c>
      <c r="B10" s="25">
        <f>'BILAN 2016'!E10</f>
        <v>668460</v>
      </c>
      <c r="C10" s="25">
        <f>[11]BILANFINAOUT2017!G56</f>
        <v>364000</v>
      </c>
      <c r="D10" s="25">
        <f>200000+345000</f>
        <v>545000</v>
      </c>
      <c r="E10" s="26">
        <f t="shared" si="0"/>
        <v>487460</v>
      </c>
      <c r="F10" s="27"/>
    </row>
    <row r="11" spans="1:7" x14ac:dyDescent="0.35">
      <c r="A11" s="13" t="s">
        <v>4</v>
      </c>
      <c r="B11" s="25">
        <f>'BILAN 2016'!E11</f>
        <v>932625</v>
      </c>
      <c r="C11" s="25">
        <f>[11]BILANFINAOUT2017!H56</f>
        <v>910000</v>
      </c>
      <c r="D11" s="25">
        <f>100000+110000+100000+100000+100000+100000+100000+100000+100000</f>
        <v>910000</v>
      </c>
      <c r="E11" s="26">
        <f t="shared" si="0"/>
        <v>932625</v>
      </c>
      <c r="F11" s="27"/>
    </row>
    <row r="12" spans="1:7" x14ac:dyDescent="0.35">
      <c r="A12" s="13" t="s">
        <v>34</v>
      </c>
      <c r="B12" s="25">
        <f>'BILAN 2016'!E12</f>
        <v>-741640</v>
      </c>
      <c r="C12" s="25">
        <f>[11]BILANFINAOUT2017!I56</f>
        <v>2009927</v>
      </c>
      <c r="D12" s="25">
        <f>200000+100000+640000</f>
        <v>940000</v>
      </c>
      <c r="E12" s="26">
        <f t="shared" si="0"/>
        <v>328287</v>
      </c>
      <c r="F12" s="27"/>
    </row>
    <row r="13" spans="1:7" x14ac:dyDescent="0.35">
      <c r="A13" s="13" t="s">
        <v>50</v>
      </c>
      <c r="B13" s="25"/>
      <c r="C13" s="25">
        <f>[11]BILANFINAOUT2017!R56</f>
        <v>125000</v>
      </c>
      <c r="D13" s="25"/>
      <c r="E13" s="26">
        <f t="shared" si="0"/>
        <v>125000</v>
      </c>
      <c r="F13" s="27"/>
    </row>
    <row r="14" spans="1:7" x14ac:dyDescent="0.35">
      <c r="A14" s="13" t="s">
        <v>51</v>
      </c>
      <c r="B14" s="25"/>
      <c r="C14" s="25">
        <f>+[11]BILANFINAOUT2017!J56</f>
        <v>0</v>
      </c>
      <c r="D14" s="25"/>
      <c r="E14" s="26"/>
      <c r="F14" s="27"/>
      <c r="G14" s="27"/>
    </row>
    <row r="15" spans="1:7" x14ac:dyDescent="0.35">
      <c r="A15" s="13" t="s">
        <v>6</v>
      </c>
      <c r="B15" s="25">
        <f>'BILAN 2016'!E13</f>
        <v>530000</v>
      </c>
      <c r="C15" s="25"/>
      <c r="D15" s="25"/>
      <c r="E15" s="26">
        <f t="shared" ref="E15:E21" si="1">B15+C15-D15</f>
        <v>530000</v>
      </c>
      <c r="F15" s="27"/>
    </row>
    <row r="16" spans="1:7" x14ac:dyDescent="0.35">
      <c r="A16" s="13" t="s">
        <v>58</v>
      </c>
      <c r="B16" s="25">
        <f>'BILAN 2016'!E14</f>
        <v>54508</v>
      </c>
      <c r="C16" s="25"/>
      <c r="D16" s="25"/>
      <c r="E16" s="26">
        <f t="shared" si="1"/>
        <v>54508</v>
      </c>
      <c r="F16" s="27"/>
    </row>
    <row r="17" spans="1:6" x14ac:dyDescent="0.35">
      <c r="A17" s="13" t="s">
        <v>59</v>
      </c>
      <c r="B17" s="25">
        <f>'BILAN 2016'!E15</f>
        <v>-164500</v>
      </c>
      <c r="C17" s="25"/>
      <c r="D17" s="25"/>
      <c r="E17" s="26">
        <f t="shared" si="1"/>
        <v>-164500</v>
      </c>
      <c r="F17" s="27"/>
    </row>
    <row r="18" spans="1:6" x14ac:dyDescent="0.35">
      <c r="A18" s="13" t="s">
        <v>60</v>
      </c>
      <c r="B18" s="25">
        <f>'BILAN 2016'!E16</f>
        <v>-75000</v>
      </c>
      <c r="C18" s="25"/>
      <c r="D18" s="25"/>
      <c r="E18" s="26">
        <f t="shared" si="1"/>
        <v>-75000</v>
      </c>
      <c r="F18" s="27"/>
    </row>
    <row r="19" spans="1:6" x14ac:dyDescent="0.35">
      <c r="A19" s="13"/>
      <c r="B19" s="25"/>
      <c r="C19" s="25"/>
      <c r="D19" s="25"/>
      <c r="E19" s="26">
        <f t="shared" si="1"/>
        <v>0</v>
      </c>
      <c r="F19" s="27"/>
    </row>
    <row r="20" spans="1:6" x14ac:dyDescent="0.35">
      <c r="A20" s="13" t="s">
        <v>35</v>
      </c>
      <c r="B20" s="25"/>
      <c r="C20" s="25"/>
      <c r="D20" s="25"/>
      <c r="E20" s="26">
        <f t="shared" si="1"/>
        <v>0</v>
      </c>
      <c r="F20" s="27"/>
    </row>
    <row r="21" spans="1:6" x14ac:dyDescent="0.35">
      <c r="A21" s="13" t="s">
        <v>36</v>
      </c>
      <c r="B21" s="25">
        <f>'BILAN 2016'!E18</f>
        <v>337250</v>
      </c>
      <c r="C21" s="25"/>
      <c r="D21" s="28"/>
      <c r="E21" s="26">
        <f t="shared" si="1"/>
        <v>337250</v>
      </c>
      <c r="F21" s="30"/>
    </row>
    <row r="22" spans="1:6" x14ac:dyDescent="0.35">
      <c r="A22" s="13" t="s">
        <v>37</v>
      </c>
      <c r="B22" s="28"/>
      <c r="C22" s="28"/>
      <c r="D22" s="28"/>
      <c r="E22" s="29"/>
      <c r="F22" s="27"/>
    </row>
    <row r="23" spans="1:6" x14ac:dyDescent="0.35">
      <c r="A23" s="13" t="s">
        <v>38</v>
      </c>
      <c r="B23" s="28"/>
      <c r="C23" s="25"/>
      <c r="D23" s="28"/>
      <c r="E23" s="26"/>
      <c r="F23" s="27"/>
    </row>
    <row r="24" spans="1:6" x14ac:dyDescent="0.35">
      <c r="A24" s="13"/>
      <c r="B24" s="28"/>
      <c r="C24" s="25"/>
      <c r="D24" s="28"/>
      <c r="E24" s="26"/>
      <c r="F24" s="27"/>
    </row>
    <row r="25" spans="1:6" x14ac:dyDescent="0.35">
      <c r="A25" s="13" t="s">
        <v>39</v>
      </c>
      <c r="B25" s="28"/>
      <c r="C25" s="14"/>
      <c r="D25" s="25"/>
      <c r="E25" s="26">
        <f t="shared" ref="E25" si="2">B25+C25-D25</f>
        <v>0</v>
      </c>
      <c r="F25" s="27"/>
    </row>
    <row r="26" spans="1:6" x14ac:dyDescent="0.35">
      <c r="A26" s="13"/>
      <c r="B26" s="28"/>
      <c r="C26" s="25"/>
      <c r="D26" s="28"/>
      <c r="E26" s="26"/>
      <c r="F26" s="27"/>
    </row>
    <row r="27" spans="1:6" x14ac:dyDescent="0.35">
      <c r="A27" s="13" t="s">
        <v>40</v>
      </c>
      <c r="B27" s="28"/>
      <c r="C27" s="25"/>
      <c r="D27" s="28"/>
      <c r="E27" s="26"/>
      <c r="F27" s="27"/>
    </row>
    <row r="28" spans="1:6" x14ac:dyDescent="0.35">
      <c r="A28" s="13"/>
      <c r="B28" s="28"/>
      <c r="C28" s="25"/>
      <c r="D28" s="28"/>
      <c r="E28" s="29"/>
      <c r="F28" s="27"/>
    </row>
    <row r="29" spans="1:6" x14ac:dyDescent="0.35">
      <c r="A29" s="13" t="s">
        <v>61</v>
      </c>
      <c r="B29" s="25">
        <v>1779594</v>
      </c>
      <c r="C29" s="14"/>
      <c r="D29" s="14"/>
      <c r="E29" s="26">
        <f t="shared" ref="E29" si="3">B29+C29-D29</f>
        <v>1779594</v>
      </c>
      <c r="F29" s="27"/>
    </row>
    <row r="30" spans="1:6" x14ac:dyDescent="0.35">
      <c r="A30" s="13" t="s">
        <v>41</v>
      </c>
      <c r="B30" s="28"/>
      <c r="C30" s="25"/>
      <c r="D30" s="25"/>
      <c r="E30" s="26"/>
      <c r="F30" s="27"/>
    </row>
    <row r="31" spans="1:6" x14ac:dyDescent="0.35">
      <c r="A31" s="13" t="s">
        <v>42</v>
      </c>
      <c r="B31" s="28"/>
      <c r="C31" s="14"/>
      <c r="D31" s="14"/>
      <c r="E31" s="26"/>
      <c r="F31" s="27"/>
    </row>
    <row r="32" spans="1:6" x14ac:dyDescent="0.35">
      <c r="A32" s="13" t="s">
        <v>43</v>
      </c>
      <c r="B32" s="28"/>
      <c r="C32" s="25"/>
      <c r="D32" s="28"/>
      <c r="E32" s="26"/>
      <c r="F32" s="27"/>
    </row>
    <row r="33" spans="1:6" x14ac:dyDescent="0.35">
      <c r="A33" s="13" t="s">
        <v>44</v>
      </c>
      <c r="B33" s="28"/>
      <c r="C33" s="25"/>
      <c r="D33" s="28"/>
      <c r="E33" s="26"/>
      <c r="F33" s="27"/>
    </row>
    <row r="34" spans="1:6" x14ac:dyDescent="0.35">
      <c r="A34" s="13"/>
      <c r="B34" s="28"/>
      <c r="C34" s="25"/>
      <c r="D34" s="28"/>
      <c r="E34" s="26"/>
      <c r="F34" s="27"/>
    </row>
    <row r="35" spans="1:6" x14ac:dyDescent="0.35">
      <c r="A35" s="13" t="s">
        <v>45</v>
      </c>
      <c r="B35" s="28"/>
      <c r="C35" s="25"/>
      <c r="D35" s="25"/>
      <c r="E35" s="26"/>
      <c r="F35" s="27"/>
    </row>
    <row r="36" spans="1:6" x14ac:dyDescent="0.35">
      <c r="A36" s="13"/>
      <c r="B36" s="28"/>
      <c r="C36" s="25"/>
      <c r="D36" s="28"/>
      <c r="E36" s="26"/>
      <c r="F36" s="27"/>
    </row>
    <row r="37" spans="1:6" x14ac:dyDescent="0.35">
      <c r="A37" s="19"/>
      <c r="B37" s="14"/>
      <c r="C37" s="14"/>
      <c r="D37" s="14"/>
      <c r="E37" s="26"/>
    </row>
    <row r="38" spans="1:6" x14ac:dyDescent="0.35">
      <c r="A38" s="19"/>
      <c r="B38" s="14"/>
      <c r="C38" s="14"/>
      <c r="D38" s="14"/>
      <c r="E38" s="15"/>
    </row>
    <row r="39" spans="1:6" ht="15" thickBot="1" x14ac:dyDescent="0.4">
      <c r="A39" s="31" t="s">
        <v>47</v>
      </c>
      <c r="B39" s="38">
        <f>SUM(B7:B38)</f>
        <v>32232328</v>
      </c>
      <c r="C39" s="38">
        <f t="shared" ref="C39:D39" si="4">SUM(C7:C38)</f>
        <v>23865439</v>
      </c>
      <c r="D39" s="38">
        <f t="shared" si="4"/>
        <v>16162000</v>
      </c>
      <c r="E39" s="32">
        <f>B39+C39-D39</f>
        <v>39935767</v>
      </c>
    </row>
    <row r="40" spans="1:6" ht="15" thickTop="1" x14ac:dyDescent="0.3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9"/>
  <sheetViews>
    <sheetView workbookViewId="0">
      <selection activeCell="C9" sqref="C9"/>
    </sheetView>
  </sheetViews>
  <sheetFormatPr baseColWidth="10" defaultRowHeight="14.5" x14ac:dyDescent="0.35"/>
  <cols>
    <col min="2" max="2" width="40.7265625" customWidth="1"/>
    <col min="3" max="5" width="18.54296875" bestFit="1" customWidth="1"/>
    <col min="6" max="6" width="20.453125" customWidth="1"/>
  </cols>
  <sheetData>
    <row r="1" spans="1:7" x14ac:dyDescent="0.35">
      <c r="B1" s="13" t="s">
        <v>95</v>
      </c>
    </row>
    <row r="2" spans="1:7" x14ac:dyDescent="0.35">
      <c r="B2" s="13" t="s">
        <v>10</v>
      </c>
      <c r="C2" s="13">
        <v>2022</v>
      </c>
    </row>
    <row r="3" spans="1:7" ht="21" x14ac:dyDescent="0.5">
      <c r="B3" s="126" t="s">
        <v>108</v>
      </c>
      <c r="C3" s="127"/>
      <c r="D3" s="127"/>
      <c r="E3" s="127"/>
      <c r="F3" s="127"/>
    </row>
    <row r="5" spans="1:7" ht="15" thickBot="1" x14ac:dyDescent="0.4"/>
    <row r="6" spans="1:7" ht="37.5" thickTop="1" x14ac:dyDescent="0.45">
      <c r="A6" s="21" t="s">
        <v>109</v>
      </c>
      <c r="B6" s="23" t="s">
        <v>26</v>
      </c>
      <c r="C6" s="22" t="s">
        <v>27</v>
      </c>
      <c r="D6" s="23" t="s">
        <v>28</v>
      </c>
      <c r="E6" s="23" t="s">
        <v>29</v>
      </c>
      <c r="F6" s="24" t="s">
        <v>30</v>
      </c>
    </row>
    <row r="7" spans="1:7" ht="18.5" x14ac:dyDescent="0.45">
      <c r="A7" s="34"/>
      <c r="B7" s="36"/>
      <c r="C7" s="35"/>
      <c r="D7" s="36"/>
      <c r="E7" s="36"/>
      <c r="F7" s="37"/>
    </row>
    <row r="8" spans="1:7" x14ac:dyDescent="0.35">
      <c r="A8" s="19">
        <v>1</v>
      </c>
      <c r="B8" s="13" t="s">
        <v>110</v>
      </c>
      <c r="C8" s="62">
        <v>21791466</v>
      </c>
      <c r="D8" s="62"/>
      <c r="E8" s="40">
        <v>500000</v>
      </c>
      <c r="F8" s="26">
        <v>21291466</v>
      </c>
      <c r="G8" s="27"/>
    </row>
    <row r="9" spans="1:7" x14ac:dyDescent="0.35">
      <c r="A9" s="19">
        <v>2</v>
      </c>
      <c r="B9" s="14" t="s">
        <v>2</v>
      </c>
      <c r="C9" s="62">
        <v>2074728</v>
      </c>
      <c r="D9" s="62">
        <v>156000</v>
      </c>
      <c r="E9" s="40">
        <v>234500</v>
      </c>
      <c r="F9" s="26">
        <v>1996228</v>
      </c>
      <c r="G9" s="27"/>
    </row>
    <row r="10" spans="1:7" x14ac:dyDescent="0.35">
      <c r="A10" s="19">
        <v>3</v>
      </c>
      <c r="B10" s="14" t="s">
        <v>33</v>
      </c>
      <c r="C10" s="62">
        <v>1191460</v>
      </c>
      <c r="D10" s="62">
        <v>312000</v>
      </c>
      <c r="E10" s="40">
        <v>0</v>
      </c>
      <c r="F10" s="26">
        <v>1503460</v>
      </c>
      <c r="G10" s="27"/>
    </row>
    <row r="11" spans="1:7" x14ac:dyDescent="0.35">
      <c r="A11" s="19">
        <v>4</v>
      </c>
      <c r="B11" s="14" t="s">
        <v>34</v>
      </c>
      <c r="C11" s="62">
        <v>94762</v>
      </c>
      <c r="D11" s="62">
        <v>520000</v>
      </c>
      <c r="E11" s="40">
        <v>0</v>
      </c>
      <c r="F11" s="26">
        <f>C11+D11</f>
        <v>614762</v>
      </c>
      <c r="G11" s="27"/>
    </row>
    <row r="12" spans="1:7" x14ac:dyDescent="0.35">
      <c r="A12" s="19">
        <v>5</v>
      </c>
      <c r="B12" s="14" t="s">
        <v>6</v>
      </c>
      <c r="C12" s="62">
        <v>680000</v>
      </c>
      <c r="D12" s="62">
        <v>0</v>
      </c>
      <c r="E12" s="40">
        <v>0</v>
      </c>
      <c r="F12" s="26">
        <v>680000</v>
      </c>
      <c r="G12" s="27"/>
    </row>
    <row r="13" spans="1:7" x14ac:dyDescent="0.35">
      <c r="A13" s="19">
        <v>6</v>
      </c>
      <c r="B13" s="14" t="s">
        <v>111</v>
      </c>
      <c r="C13" s="62">
        <v>1122025</v>
      </c>
      <c r="D13" s="62">
        <v>96000</v>
      </c>
      <c r="E13" s="40">
        <v>450000</v>
      </c>
      <c r="F13" s="26">
        <v>768025</v>
      </c>
      <c r="G13" s="27"/>
    </row>
    <row r="14" spans="1:7" x14ac:dyDescent="0.35">
      <c r="A14" s="19">
        <v>7</v>
      </c>
      <c r="B14" s="14" t="s">
        <v>4</v>
      </c>
      <c r="C14" s="62">
        <v>1310525</v>
      </c>
      <c r="D14" s="62">
        <v>780000</v>
      </c>
      <c r="E14" s="40">
        <v>770000</v>
      </c>
      <c r="F14" s="26">
        <v>1320525</v>
      </c>
      <c r="G14" s="27"/>
    </row>
    <row r="15" spans="1:7" x14ac:dyDescent="0.35">
      <c r="A15" s="19">
        <v>8</v>
      </c>
      <c r="B15" s="14" t="s">
        <v>112</v>
      </c>
      <c r="C15" s="62">
        <v>94000</v>
      </c>
      <c r="D15" s="62"/>
      <c r="E15" s="40"/>
      <c r="F15" s="26">
        <v>94000</v>
      </c>
      <c r="G15" s="27"/>
    </row>
    <row r="16" spans="1:7" x14ac:dyDescent="0.35">
      <c r="A16" s="19">
        <v>9</v>
      </c>
      <c r="B16" s="14" t="s">
        <v>113</v>
      </c>
      <c r="C16" s="62"/>
      <c r="D16" s="62"/>
      <c r="E16" s="40"/>
      <c r="F16" s="26">
        <v>0</v>
      </c>
      <c r="G16" s="27"/>
    </row>
    <row r="17" spans="1:8" x14ac:dyDescent="0.35">
      <c r="A17" s="19">
        <v>10</v>
      </c>
      <c r="B17" s="14" t="s">
        <v>35</v>
      </c>
      <c r="C17" s="62">
        <v>527000</v>
      </c>
      <c r="D17" s="62">
        <v>1836000</v>
      </c>
      <c r="E17" s="40">
        <v>1820000</v>
      </c>
      <c r="F17" s="26">
        <v>543000</v>
      </c>
      <c r="G17" s="27"/>
    </row>
    <row r="18" spans="1:8" x14ac:dyDescent="0.35">
      <c r="A18" s="19">
        <v>11</v>
      </c>
      <c r="B18" s="14" t="s">
        <v>114</v>
      </c>
      <c r="C18" s="62">
        <v>164500</v>
      </c>
      <c r="D18" s="62"/>
      <c r="E18" s="40">
        <v>164500</v>
      </c>
      <c r="F18" s="26">
        <v>0</v>
      </c>
      <c r="G18" s="27"/>
    </row>
    <row r="19" spans="1:8" x14ac:dyDescent="0.35">
      <c r="A19" s="19">
        <v>12</v>
      </c>
      <c r="B19" s="14" t="s">
        <v>115</v>
      </c>
      <c r="C19" s="62">
        <v>619900</v>
      </c>
      <c r="D19" s="62"/>
      <c r="E19" s="40">
        <v>619900</v>
      </c>
      <c r="F19" s="26">
        <v>0</v>
      </c>
      <c r="G19" s="27"/>
    </row>
    <row r="20" spans="1:8" x14ac:dyDescent="0.35">
      <c r="A20" s="19">
        <v>13</v>
      </c>
      <c r="B20" s="14" t="s">
        <v>116</v>
      </c>
      <c r="C20" s="62">
        <v>75000</v>
      </c>
      <c r="D20" s="62"/>
      <c r="E20" s="40">
        <v>75000</v>
      </c>
      <c r="F20" s="26">
        <v>0</v>
      </c>
      <c r="G20" s="27"/>
    </row>
    <row r="21" spans="1:8" x14ac:dyDescent="0.35">
      <c r="A21" s="19">
        <v>14</v>
      </c>
      <c r="B21" s="14" t="s">
        <v>117</v>
      </c>
      <c r="C21" s="62">
        <v>54508</v>
      </c>
      <c r="D21" s="62"/>
      <c r="E21" s="40">
        <v>54508</v>
      </c>
      <c r="F21" s="26">
        <v>0</v>
      </c>
      <c r="G21" s="27"/>
    </row>
    <row r="22" spans="1:8" x14ac:dyDescent="0.35">
      <c r="A22" s="19">
        <v>15</v>
      </c>
      <c r="B22" s="14" t="s">
        <v>118</v>
      </c>
      <c r="C22" s="62">
        <v>2858226</v>
      </c>
      <c r="D22" s="62">
        <v>3748107.9999999995</v>
      </c>
      <c r="E22" s="40"/>
      <c r="F22" s="26">
        <v>6606334</v>
      </c>
      <c r="G22" s="27"/>
    </row>
    <row r="23" spans="1:8" x14ac:dyDescent="0.35">
      <c r="A23" s="19"/>
      <c r="B23" s="14" t="s">
        <v>119</v>
      </c>
      <c r="C23" s="25"/>
      <c r="D23" s="62">
        <v>28000</v>
      </c>
      <c r="E23" s="40"/>
      <c r="F23" s="26">
        <v>28000</v>
      </c>
      <c r="G23" s="27"/>
    </row>
    <row r="24" spans="1:8" x14ac:dyDescent="0.35">
      <c r="A24" s="63"/>
      <c r="B24" s="64"/>
      <c r="C24" s="65"/>
      <c r="D24" s="65"/>
      <c r="E24" s="66"/>
      <c r="F24" s="67"/>
      <c r="G24" s="27"/>
    </row>
    <row r="25" spans="1:8" ht="20.5" thickBot="1" x14ac:dyDescent="0.45">
      <c r="A25" s="68"/>
      <c r="B25" s="69" t="s">
        <v>23</v>
      </c>
      <c r="C25" s="70">
        <v>32658100</v>
      </c>
      <c r="D25" s="70">
        <f>SUM(D9:D23)</f>
        <v>7476108</v>
      </c>
      <c r="E25" s="70">
        <v>4688408</v>
      </c>
      <c r="F25" s="70">
        <f>SUM(F8:F23)</f>
        <v>35445800</v>
      </c>
      <c r="G25" s="27"/>
      <c r="H25" s="27">
        <v>479000</v>
      </c>
    </row>
    <row r="26" spans="1:8" ht="15" thickTop="1" x14ac:dyDescent="0.35">
      <c r="A26" s="71"/>
      <c r="B26" s="72"/>
      <c r="C26" s="73"/>
      <c r="D26" s="73"/>
      <c r="E26" s="73"/>
      <c r="F26" s="73"/>
      <c r="G26" s="27"/>
    </row>
    <row r="27" spans="1:8" ht="23.5" x14ac:dyDescent="0.55000000000000004">
      <c r="B27" s="128" t="s">
        <v>120</v>
      </c>
      <c r="C27" s="129"/>
      <c r="D27" s="129"/>
      <c r="E27" s="129"/>
      <c r="F27" s="129"/>
      <c r="G27" s="71"/>
    </row>
    <row r="28" spans="1:8" x14ac:dyDescent="0.35">
      <c r="A28" s="71"/>
      <c r="B28" s="72"/>
      <c r="C28" s="73"/>
      <c r="D28" s="73"/>
      <c r="E28" s="74"/>
      <c r="F28" s="73"/>
      <c r="G28" s="27"/>
    </row>
    <row r="29" spans="1:8" x14ac:dyDescent="0.35">
      <c r="A29" s="71"/>
      <c r="B29" s="72"/>
      <c r="C29" s="73"/>
      <c r="D29" s="73"/>
      <c r="E29" s="74"/>
      <c r="F29" s="73"/>
      <c r="G29" s="27"/>
    </row>
    <row r="30" spans="1:8" ht="15" thickBot="1" x14ac:dyDescent="0.4">
      <c r="A30" s="71"/>
      <c r="B30" s="72"/>
      <c r="C30" s="73">
        <v>2021</v>
      </c>
      <c r="D30" s="73">
        <v>2022</v>
      </c>
      <c r="E30" s="74"/>
      <c r="F30" s="73"/>
      <c r="G30" s="27"/>
    </row>
    <row r="31" spans="1:8" ht="15" thickTop="1" x14ac:dyDescent="0.35">
      <c r="A31" s="75">
        <v>1</v>
      </c>
      <c r="B31" s="76" t="s">
        <v>121</v>
      </c>
      <c r="C31" s="77">
        <v>7304779</v>
      </c>
      <c r="D31" s="78">
        <v>4337431</v>
      </c>
      <c r="E31" s="74"/>
      <c r="F31" s="73"/>
      <c r="G31" s="27"/>
    </row>
    <row r="32" spans="1:8" x14ac:dyDescent="0.35">
      <c r="A32" s="19">
        <v>2</v>
      </c>
      <c r="B32" s="14" t="s">
        <v>122</v>
      </c>
      <c r="C32" s="62">
        <v>630005</v>
      </c>
      <c r="D32" s="79">
        <v>630005</v>
      </c>
      <c r="E32" s="74"/>
      <c r="F32" s="73"/>
      <c r="G32" s="27"/>
      <c r="H32" s="27"/>
    </row>
    <row r="33" spans="1:7" x14ac:dyDescent="0.35">
      <c r="A33" s="19">
        <v>3</v>
      </c>
      <c r="B33" s="14" t="s">
        <v>42</v>
      </c>
      <c r="C33" s="62">
        <v>1423702</v>
      </c>
      <c r="D33" s="79">
        <v>1423702</v>
      </c>
      <c r="E33" s="74"/>
      <c r="F33" s="73"/>
      <c r="G33" s="27"/>
    </row>
    <row r="34" spans="1:7" x14ac:dyDescent="0.35">
      <c r="A34" s="19">
        <v>4</v>
      </c>
      <c r="B34" s="14" t="s">
        <v>123</v>
      </c>
      <c r="C34" s="62">
        <v>744700</v>
      </c>
      <c r="D34" s="79">
        <v>744700</v>
      </c>
      <c r="E34" s="74"/>
      <c r="F34" s="73"/>
      <c r="G34" s="27"/>
    </row>
    <row r="35" spans="1:7" x14ac:dyDescent="0.35">
      <c r="A35" s="19">
        <v>5</v>
      </c>
      <c r="B35" s="14" t="s">
        <v>124</v>
      </c>
      <c r="C35" s="62">
        <v>275000</v>
      </c>
      <c r="D35" s="79">
        <v>0</v>
      </c>
      <c r="E35" s="73"/>
      <c r="F35" s="73"/>
      <c r="G35" s="27"/>
    </row>
    <row r="36" spans="1:7" x14ac:dyDescent="0.35">
      <c r="A36" s="19">
        <v>6</v>
      </c>
      <c r="B36" s="14" t="s">
        <v>125</v>
      </c>
      <c r="C36" s="62">
        <v>154000</v>
      </c>
      <c r="D36" s="79">
        <v>154000</v>
      </c>
      <c r="E36" s="73"/>
      <c r="F36" s="73"/>
      <c r="G36" s="27"/>
    </row>
    <row r="37" spans="1:7" x14ac:dyDescent="0.35">
      <c r="A37" s="19">
        <v>7</v>
      </c>
      <c r="B37" s="14" t="s">
        <v>126</v>
      </c>
      <c r="C37" s="62">
        <v>20515659</v>
      </c>
      <c r="D37" s="79">
        <v>18658500</v>
      </c>
      <c r="E37" s="73"/>
      <c r="F37" s="73"/>
      <c r="G37" s="27"/>
    </row>
    <row r="38" spans="1:7" x14ac:dyDescent="0.35">
      <c r="A38" s="19">
        <v>8</v>
      </c>
      <c r="B38" s="14" t="s">
        <v>127</v>
      </c>
      <c r="C38" s="62">
        <v>1233618</v>
      </c>
      <c r="D38" s="79">
        <v>656618</v>
      </c>
      <c r="E38" s="74"/>
      <c r="F38" s="73"/>
      <c r="G38" s="27"/>
    </row>
    <row r="39" spans="1:7" x14ac:dyDescent="0.35">
      <c r="A39" s="19"/>
      <c r="B39" s="14"/>
      <c r="C39" s="25"/>
      <c r="D39" s="26"/>
      <c r="E39" s="74"/>
      <c r="F39" s="73"/>
      <c r="G39" s="27"/>
    </row>
    <row r="40" spans="1:7" ht="15" thickBot="1" x14ac:dyDescent="0.4">
      <c r="A40" s="68"/>
      <c r="B40" s="58" t="s">
        <v>23</v>
      </c>
      <c r="C40" s="38">
        <v>32281463</v>
      </c>
      <c r="D40" s="32">
        <v>26604956</v>
      </c>
      <c r="E40" s="80"/>
      <c r="F40" s="73"/>
      <c r="G40" s="30"/>
    </row>
    <row r="41" spans="1:7" ht="15" thickTop="1" x14ac:dyDescent="0.35">
      <c r="A41" s="71"/>
      <c r="B41" s="71"/>
      <c r="C41" s="81"/>
      <c r="D41" s="81"/>
      <c r="E41" s="80"/>
      <c r="F41" s="73"/>
      <c r="G41" s="27"/>
    </row>
    <row r="42" spans="1:7" x14ac:dyDescent="0.35">
      <c r="A42" s="71"/>
      <c r="B42" s="71"/>
      <c r="C42" s="73"/>
      <c r="D42" s="73"/>
      <c r="E42" s="74"/>
      <c r="F42" s="73"/>
      <c r="G42" s="27"/>
    </row>
    <row r="43" spans="1:7" x14ac:dyDescent="0.35">
      <c r="A43" s="71"/>
      <c r="B43" s="72"/>
      <c r="C43" s="81"/>
      <c r="D43" s="73"/>
      <c r="E43" s="74"/>
      <c r="F43" s="73"/>
      <c r="G43" s="27"/>
    </row>
    <row r="44" spans="1:7" x14ac:dyDescent="0.35">
      <c r="A44" s="71"/>
      <c r="B44" s="72"/>
      <c r="C44" s="81"/>
      <c r="D44" s="71"/>
      <c r="E44" s="74"/>
      <c r="F44" s="73"/>
      <c r="G44" s="27"/>
    </row>
    <row r="45" spans="1:7" x14ac:dyDescent="0.35">
      <c r="A45" s="71"/>
      <c r="B45" s="72"/>
      <c r="C45" s="81"/>
      <c r="D45" s="73"/>
      <c r="E45" s="80"/>
      <c r="F45" s="73"/>
      <c r="G45" s="27"/>
    </row>
    <row r="46" spans="1:7" x14ac:dyDescent="0.35">
      <c r="A46" s="71"/>
      <c r="B46" s="72"/>
      <c r="C46" s="81"/>
      <c r="D46" s="73"/>
      <c r="E46" s="80"/>
      <c r="F46" s="73"/>
      <c r="G46" s="27"/>
    </row>
    <row r="47" spans="1:7" x14ac:dyDescent="0.35">
      <c r="A47" s="71"/>
      <c r="B47" s="72"/>
      <c r="C47" s="81"/>
      <c r="D47" s="73"/>
      <c r="E47" s="80"/>
      <c r="F47" s="73"/>
      <c r="G47" s="27"/>
    </row>
    <row r="48" spans="1:7" x14ac:dyDescent="0.35">
      <c r="A48" s="71"/>
      <c r="B48" s="72"/>
      <c r="C48" s="81"/>
      <c r="D48" s="73"/>
      <c r="E48" s="80"/>
      <c r="F48" s="73"/>
      <c r="G48" s="27"/>
    </row>
    <row r="49" spans="1:7" x14ac:dyDescent="0.35">
      <c r="A49" s="71"/>
      <c r="B49" s="72"/>
      <c r="C49" s="71"/>
      <c r="D49" s="73"/>
      <c r="E49" s="74"/>
      <c r="F49" s="73"/>
      <c r="G49" s="27"/>
    </row>
    <row r="50" spans="1:7" x14ac:dyDescent="0.35">
      <c r="A50" s="71"/>
      <c r="B50" s="72"/>
      <c r="C50" s="71"/>
      <c r="D50" s="73"/>
      <c r="E50" s="82"/>
      <c r="F50" s="73"/>
      <c r="G50" s="27"/>
    </row>
    <row r="51" spans="1:7" x14ac:dyDescent="0.35">
      <c r="A51" s="71"/>
      <c r="B51" s="72"/>
      <c r="C51" s="73"/>
      <c r="D51" s="73"/>
      <c r="E51" s="82"/>
      <c r="F51" s="73"/>
      <c r="G51" s="27"/>
    </row>
    <row r="52" spans="1:7" x14ac:dyDescent="0.35">
      <c r="A52" s="71"/>
      <c r="B52" s="72"/>
      <c r="C52" s="71"/>
      <c r="D52" s="73"/>
      <c r="E52" s="80"/>
      <c r="F52" s="73"/>
      <c r="G52" s="27"/>
    </row>
    <row r="53" spans="1:7" x14ac:dyDescent="0.35">
      <c r="A53" s="71"/>
      <c r="B53" s="72"/>
      <c r="C53" s="81"/>
      <c r="D53" s="73"/>
      <c r="E53" s="80"/>
      <c r="F53" s="73"/>
      <c r="G53" s="27"/>
    </row>
    <row r="54" spans="1:7" x14ac:dyDescent="0.35">
      <c r="A54" s="71"/>
      <c r="B54" s="72"/>
      <c r="C54" s="81"/>
      <c r="D54" s="73"/>
      <c r="E54" s="74"/>
      <c r="F54" s="73"/>
      <c r="G54" s="27"/>
    </row>
    <row r="55" spans="1:7" x14ac:dyDescent="0.35">
      <c r="A55" s="71"/>
      <c r="B55" s="72"/>
      <c r="C55" s="81"/>
      <c r="D55" s="73"/>
      <c r="E55" s="80"/>
      <c r="F55" s="73"/>
      <c r="G55" s="27"/>
    </row>
    <row r="56" spans="1:7" x14ac:dyDescent="0.35">
      <c r="A56" s="71"/>
      <c r="B56" s="71"/>
      <c r="C56" s="71"/>
      <c r="D56" s="71"/>
      <c r="E56" s="82"/>
      <c r="F56" s="73"/>
    </row>
    <row r="57" spans="1:7" x14ac:dyDescent="0.35">
      <c r="A57" s="71"/>
      <c r="B57" s="71"/>
      <c r="C57" s="71"/>
      <c r="D57" s="71"/>
      <c r="E57" s="82"/>
      <c r="F57" s="71"/>
    </row>
    <row r="58" spans="1:7" ht="17.5" x14ac:dyDescent="0.35">
      <c r="A58" s="71"/>
      <c r="B58" s="72"/>
      <c r="C58" s="83"/>
      <c r="D58" s="83"/>
      <c r="E58" s="83"/>
      <c r="F58" s="83"/>
    </row>
    <row r="59" spans="1:7" x14ac:dyDescent="0.35">
      <c r="A59" s="71"/>
      <c r="B59" s="71"/>
      <c r="C59" s="71"/>
      <c r="D59" s="71"/>
      <c r="E59" s="71"/>
      <c r="F59" s="71"/>
    </row>
    <row r="60" spans="1:7" x14ac:dyDescent="0.35">
      <c r="A60" s="71"/>
      <c r="B60" s="71"/>
      <c r="C60" s="71"/>
      <c r="D60" s="71"/>
      <c r="E60" s="71"/>
      <c r="F60" s="71"/>
    </row>
    <row r="61" spans="1:7" x14ac:dyDescent="0.35">
      <c r="A61" s="71"/>
      <c r="B61" s="71"/>
      <c r="C61" s="71"/>
      <c r="D61" s="71"/>
      <c r="E61" s="71"/>
      <c r="F61" s="71"/>
    </row>
    <row r="62" spans="1:7" x14ac:dyDescent="0.35">
      <c r="A62" s="71"/>
      <c r="B62" s="71"/>
      <c r="C62" s="71"/>
      <c r="D62" s="71"/>
      <c r="E62" s="71"/>
      <c r="F62" s="71"/>
    </row>
    <row r="63" spans="1:7" x14ac:dyDescent="0.35">
      <c r="A63" s="71"/>
      <c r="B63" s="71"/>
      <c r="C63" s="71"/>
      <c r="D63" s="71"/>
      <c r="E63" s="71"/>
      <c r="F63" s="71"/>
    </row>
    <row r="64" spans="1:7" x14ac:dyDescent="0.35">
      <c r="A64" s="71"/>
      <c r="B64" s="71"/>
      <c r="C64" s="71"/>
      <c r="D64" s="71"/>
      <c r="E64" s="71"/>
      <c r="F64" s="71"/>
    </row>
    <row r="65" spans="1:6" x14ac:dyDescent="0.35">
      <c r="A65" s="71"/>
      <c r="B65" s="71"/>
      <c r="C65" s="71"/>
      <c r="D65" s="71"/>
      <c r="E65" s="71"/>
      <c r="F65" s="71"/>
    </row>
    <row r="66" spans="1:6" x14ac:dyDescent="0.35">
      <c r="A66" s="71"/>
      <c r="B66" s="71"/>
      <c r="C66" s="71"/>
      <c r="D66" s="71"/>
      <c r="E66" s="71"/>
      <c r="F66" s="71"/>
    </row>
    <row r="67" spans="1:6" x14ac:dyDescent="0.35">
      <c r="A67" s="71"/>
      <c r="B67" s="71"/>
      <c r="C67" s="71"/>
      <c r="D67" s="71"/>
      <c r="E67" s="71"/>
      <c r="F67" s="71"/>
    </row>
    <row r="68" spans="1:6" x14ac:dyDescent="0.35">
      <c r="A68" s="71"/>
      <c r="B68" s="71"/>
      <c r="C68" s="71"/>
      <c r="D68" s="71"/>
      <c r="E68" s="71"/>
      <c r="F68" s="71"/>
    </row>
    <row r="69" spans="1:6" x14ac:dyDescent="0.35">
      <c r="A69" s="71"/>
      <c r="B69" s="71"/>
      <c r="C69" s="71"/>
      <c r="D69" s="71"/>
      <c r="E69" s="71"/>
      <c r="F69" s="71"/>
    </row>
    <row r="70" spans="1:6" x14ac:dyDescent="0.35">
      <c r="A70" s="71"/>
      <c r="B70" s="71"/>
      <c r="C70" s="71"/>
      <c r="D70" s="71"/>
      <c r="E70" s="71"/>
      <c r="F70" s="71"/>
    </row>
    <row r="71" spans="1:6" x14ac:dyDescent="0.35">
      <c r="A71" s="71"/>
      <c r="B71" s="71"/>
      <c r="C71" s="71"/>
      <c r="D71" s="71"/>
      <c r="E71" s="71"/>
      <c r="F71" s="71"/>
    </row>
    <row r="72" spans="1:6" x14ac:dyDescent="0.35">
      <c r="A72" s="71"/>
      <c r="B72" s="71"/>
      <c r="C72" s="71"/>
      <c r="D72" s="71"/>
      <c r="E72" s="71"/>
      <c r="F72" s="71"/>
    </row>
    <row r="73" spans="1:6" x14ac:dyDescent="0.35">
      <c r="A73" s="71"/>
      <c r="B73" s="71"/>
      <c r="C73" s="71"/>
      <c r="D73" s="71"/>
      <c r="E73" s="71"/>
      <c r="F73" s="71"/>
    </row>
    <row r="74" spans="1:6" x14ac:dyDescent="0.35">
      <c r="A74" s="71"/>
      <c r="B74" s="71"/>
      <c r="C74" s="71"/>
      <c r="D74" s="71"/>
      <c r="E74" s="71"/>
      <c r="F74" s="71"/>
    </row>
    <row r="75" spans="1:6" x14ac:dyDescent="0.35">
      <c r="A75" s="71"/>
      <c r="B75" s="71"/>
      <c r="C75" s="71"/>
      <c r="D75" s="71"/>
      <c r="E75" s="71"/>
      <c r="F75" s="71"/>
    </row>
    <row r="76" spans="1:6" x14ac:dyDescent="0.35">
      <c r="A76" s="71"/>
      <c r="B76" s="71"/>
      <c r="C76" s="71"/>
      <c r="D76" s="71"/>
      <c r="E76" s="71"/>
      <c r="F76" s="71"/>
    </row>
    <row r="77" spans="1:6" x14ac:dyDescent="0.35">
      <c r="A77" s="71"/>
      <c r="B77" s="71"/>
      <c r="C77" s="71"/>
      <c r="D77" s="71"/>
      <c r="E77" s="71"/>
      <c r="F77" s="71"/>
    </row>
    <row r="78" spans="1:6" x14ac:dyDescent="0.35">
      <c r="A78" s="71"/>
      <c r="B78" s="71"/>
      <c r="C78" s="71"/>
      <c r="D78" s="71"/>
      <c r="E78" s="71"/>
      <c r="F78" s="71"/>
    </row>
    <row r="79" spans="1:6" x14ac:dyDescent="0.35">
      <c r="A79" s="71"/>
      <c r="B79" s="71"/>
      <c r="C79" s="71"/>
      <c r="D79" s="71"/>
      <c r="E79" s="71"/>
      <c r="F79" s="71"/>
    </row>
    <row r="80" spans="1:6" x14ac:dyDescent="0.35">
      <c r="A80" s="71"/>
      <c r="B80" s="71"/>
      <c r="C80" s="71"/>
      <c r="D80" s="71"/>
      <c r="E80" s="71"/>
      <c r="F80" s="71"/>
    </row>
    <row r="81" spans="1:6" x14ac:dyDescent="0.35">
      <c r="A81" s="71"/>
      <c r="B81" s="71"/>
      <c r="C81" s="71"/>
      <c r="D81" s="71"/>
      <c r="E81" s="71"/>
      <c r="F81" s="71"/>
    </row>
    <row r="82" spans="1:6" x14ac:dyDescent="0.35">
      <c r="A82" s="71"/>
      <c r="B82" s="71"/>
      <c r="C82" s="71"/>
      <c r="D82" s="71"/>
      <c r="E82" s="71"/>
      <c r="F82" s="71"/>
    </row>
    <row r="83" spans="1:6" x14ac:dyDescent="0.35">
      <c r="A83" s="71"/>
      <c r="B83" s="71"/>
      <c r="C83" s="71"/>
      <c r="D83" s="71"/>
      <c r="E83" s="71"/>
      <c r="F83" s="71"/>
    </row>
    <row r="84" spans="1:6" x14ac:dyDescent="0.35">
      <c r="A84" s="71"/>
      <c r="B84" s="71"/>
      <c r="C84" s="71"/>
      <c r="D84" s="71"/>
      <c r="E84" s="71"/>
      <c r="F84" s="71"/>
    </row>
    <row r="85" spans="1:6" x14ac:dyDescent="0.35">
      <c r="A85" s="71"/>
      <c r="B85" s="71"/>
      <c r="C85" s="71"/>
      <c r="D85" s="71"/>
      <c r="E85" s="71"/>
      <c r="F85" s="71"/>
    </row>
    <row r="86" spans="1:6" x14ac:dyDescent="0.35">
      <c r="A86" s="71"/>
      <c r="B86" s="71"/>
      <c r="C86" s="71"/>
      <c r="D86" s="71"/>
      <c r="E86" s="71"/>
      <c r="F86" s="71"/>
    </row>
    <row r="87" spans="1:6" x14ac:dyDescent="0.35">
      <c r="A87" s="71"/>
      <c r="B87" s="71"/>
      <c r="C87" s="71"/>
      <c r="D87" s="71"/>
      <c r="E87" s="71"/>
      <c r="F87" s="71"/>
    </row>
    <row r="88" spans="1:6" x14ac:dyDescent="0.35">
      <c r="A88" s="71"/>
      <c r="B88" s="71"/>
      <c r="C88" s="71"/>
      <c r="D88" s="71"/>
      <c r="E88" s="71"/>
      <c r="F88" s="71"/>
    </row>
    <row r="89" spans="1:6" x14ac:dyDescent="0.35">
      <c r="A89" s="71"/>
      <c r="B89" s="71"/>
      <c r="C89" s="71"/>
      <c r="D89" s="71"/>
      <c r="E89" s="71"/>
      <c r="F89" s="71"/>
    </row>
    <row r="90" spans="1:6" x14ac:dyDescent="0.35">
      <c r="A90" s="71"/>
      <c r="B90" s="71"/>
      <c r="C90" s="71"/>
      <c r="D90" s="71"/>
      <c r="E90" s="71"/>
      <c r="F90" s="71"/>
    </row>
    <row r="91" spans="1:6" x14ac:dyDescent="0.35">
      <c r="A91" s="71"/>
      <c r="B91" s="71"/>
      <c r="C91" s="71"/>
      <c r="D91" s="71"/>
      <c r="E91" s="71"/>
      <c r="F91" s="71"/>
    </row>
    <row r="92" spans="1:6" x14ac:dyDescent="0.35">
      <c r="A92" s="71"/>
      <c r="B92" s="71"/>
      <c r="C92" s="71"/>
      <c r="D92" s="71"/>
      <c r="E92" s="71"/>
      <c r="F92" s="71"/>
    </row>
    <row r="93" spans="1:6" x14ac:dyDescent="0.35">
      <c r="A93" s="71"/>
      <c r="B93" s="71"/>
      <c r="C93" s="71"/>
      <c r="D93" s="71"/>
      <c r="E93" s="71"/>
      <c r="F93" s="71"/>
    </row>
    <row r="94" spans="1:6" x14ac:dyDescent="0.35">
      <c r="A94" s="71"/>
      <c r="B94" s="71"/>
      <c r="C94" s="71"/>
      <c r="D94" s="71"/>
      <c r="E94" s="71"/>
      <c r="F94" s="71"/>
    </row>
    <row r="95" spans="1:6" x14ac:dyDescent="0.35">
      <c r="A95" s="71"/>
      <c r="B95" s="71"/>
      <c r="C95" s="71"/>
      <c r="D95" s="71"/>
      <c r="E95" s="71"/>
      <c r="F95" s="71"/>
    </row>
    <row r="96" spans="1:6" x14ac:dyDescent="0.35">
      <c r="A96" s="71"/>
      <c r="B96" s="71"/>
      <c r="C96" s="71"/>
      <c r="D96" s="71"/>
      <c r="E96" s="71"/>
      <c r="F96" s="71"/>
    </row>
    <row r="97" spans="1:6" x14ac:dyDescent="0.35">
      <c r="A97" s="71"/>
      <c r="B97" s="71"/>
      <c r="C97" s="71"/>
      <c r="D97" s="71"/>
      <c r="E97" s="71"/>
      <c r="F97" s="71"/>
    </row>
    <row r="98" spans="1:6" x14ac:dyDescent="0.35">
      <c r="A98" s="71"/>
      <c r="B98" s="71"/>
      <c r="C98" s="71"/>
      <c r="D98" s="71"/>
      <c r="E98" s="71"/>
      <c r="F98" s="71"/>
    </row>
    <row r="99" spans="1:6" x14ac:dyDescent="0.35">
      <c r="A99" s="71"/>
      <c r="B99" s="71"/>
      <c r="C99" s="71"/>
      <c r="D99" s="71"/>
      <c r="E99" s="71"/>
      <c r="F99" s="71"/>
    </row>
    <row r="100" spans="1:6" x14ac:dyDescent="0.35">
      <c r="A100" s="71"/>
      <c r="B100" s="71"/>
      <c r="C100" s="71"/>
      <c r="D100" s="71"/>
      <c r="E100" s="71"/>
      <c r="F100" s="71"/>
    </row>
    <row r="101" spans="1:6" x14ac:dyDescent="0.35">
      <c r="A101" s="71"/>
      <c r="B101" s="71"/>
      <c r="C101" s="71"/>
      <c r="D101" s="71"/>
      <c r="E101" s="71"/>
      <c r="F101" s="71"/>
    </row>
    <row r="102" spans="1:6" x14ac:dyDescent="0.35">
      <c r="A102" s="71"/>
      <c r="B102" s="71"/>
      <c r="C102" s="71"/>
      <c r="D102" s="71"/>
      <c r="E102" s="71"/>
      <c r="F102" s="71"/>
    </row>
    <row r="103" spans="1:6" x14ac:dyDescent="0.35">
      <c r="A103" s="71"/>
      <c r="B103" s="71"/>
      <c r="C103" s="71"/>
      <c r="D103" s="71"/>
      <c r="E103" s="71"/>
      <c r="F103" s="71"/>
    </row>
    <row r="104" spans="1:6" x14ac:dyDescent="0.35">
      <c r="A104" s="71"/>
      <c r="B104" s="71"/>
      <c r="C104" s="71"/>
      <c r="D104" s="71"/>
      <c r="E104" s="71"/>
      <c r="F104" s="71"/>
    </row>
    <row r="105" spans="1:6" x14ac:dyDescent="0.35">
      <c r="A105" s="71"/>
      <c r="B105" s="71"/>
      <c r="C105" s="71"/>
      <c r="D105" s="71"/>
      <c r="E105" s="71"/>
      <c r="F105" s="71"/>
    </row>
    <row r="106" spans="1:6" x14ac:dyDescent="0.35">
      <c r="A106" s="71"/>
      <c r="B106" s="71"/>
      <c r="C106" s="71"/>
      <c r="D106" s="71"/>
      <c r="E106" s="71"/>
      <c r="F106" s="71"/>
    </row>
    <row r="107" spans="1:6" x14ac:dyDescent="0.35">
      <c r="A107" s="71"/>
      <c r="B107" s="71"/>
      <c r="C107" s="71"/>
      <c r="D107" s="71"/>
      <c r="E107" s="71"/>
      <c r="F107" s="71"/>
    </row>
    <row r="108" spans="1:6" x14ac:dyDescent="0.35">
      <c r="A108" s="71"/>
      <c r="B108" s="71"/>
      <c r="C108" s="71"/>
      <c r="D108" s="71"/>
      <c r="E108" s="71"/>
      <c r="F108" s="71"/>
    </row>
    <row r="109" spans="1:6" x14ac:dyDescent="0.35">
      <c r="A109" s="71"/>
      <c r="B109" s="71"/>
      <c r="C109" s="71"/>
      <c r="D109" s="71"/>
      <c r="E109" s="71"/>
      <c r="F109" s="71"/>
    </row>
  </sheetData>
  <mergeCells count="2">
    <mergeCell ref="B3:F3"/>
    <mergeCell ref="B27:F27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0"/>
  <sheetViews>
    <sheetView topLeftCell="A26" workbookViewId="0">
      <selection activeCell="C41" sqref="C41"/>
    </sheetView>
  </sheetViews>
  <sheetFormatPr baseColWidth="10" defaultRowHeight="14.5" x14ac:dyDescent="0.35"/>
  <cols>
    <col min="2" max="2" width="40.7265625" customWidth="1"/>
    <col min="3" max="5" width="18.54296875" bestFit="1" customWidth="1"/>
    <col min="6" max="6" width="20.453125" customWidth="1"/>
  </cols>
  <sheetData>
    <row r="1" spans="1:7" x14ac:dyDescent="0.35">
      <c r="B1" s="13" t="s">
        <v>95</v>
      </c>
    </row>
    <row r="2" spans="1:7" x14ac:dyDescent="0.35">
      <c r="B2" s="95" t="s">
        <v>10</v>
      </c>
      <c r="C2" s="84">
        <v>2023</v>
      </c>
    </row>
    <row r="3" spans="1:7" ht="21" x14ac:dyDescent="0.5">
      <c r="B3" s="126" t="s">
        <v>108</v>
      </c>
      <c r="C3" s="127"/>
      <c r="D3" s="127"/>
      <c r="E3" s="127"/>
      <c r="F3" s="127"/>
    </row>
    <row r="5" spans="1:7" ht="15" thickBot="1" x14ac:dyDescent="0.4"/>
    <row r="6" spans="1:7" ht="37.5" thickTop="1" x14ac:dyDescent="0.45">
      <c r="A6" s="21" t="s">
        <v>109</v>
      </c>
      <c r="B6" s="23" t="s">
        <v>26</v>
      </c>
      <c r="C6" s="22" t="s">
        <v>27</v>
      </c>
      <c r="D6" s="23" t="s">
        <v>28</v>
      </c>
      <c r="E6" s="23" t="s">
        <v>29</v>
      </c>
      <c r="F6" s="24" t="s">
        <v>30</v>
      </c>
    </row>
    <row r="7" spans="1:7" ht="18.5" x14ac:dyDescent="0.45">
      <c r="A7" s="34"/>
      <c r="B7" s="36"/>
      <c r="C7" s="35"/>
      <c r="D7" s="36"/>
      <c r="E7" s="36"/>
      <c r="F7" s="37"/>
    </row>
    <row r="8" spans="1:7" x14ac:dyDescent="0.35">
      <c r="A8" s="19">
        <v>1</v>
      </c>
      <c r="B8" s="33" t="s">
        <v>171</v>
      </c>
      <c r="C8" s="62">
        <v>21291466</v>
      </c>
      <c r="D8" s="62">
        <f>DETAILFICHECASSATION!L38+DETAILFICHECASSATION!R38</f>
        <v>24118742.582153067</v>
      </c>
      <c r="E8" s="40">
        <f>SORTIE!B22</f>
        <v>640700</v>
      </c>
      <c r="F8" s="26">
        <f>C8+D8-E8</f>
        <v>44769508.582153067</v>
      </c>
      <c r="G8" s="27"/>
    </row>
    <row r="9" spans="1:7" x14ac:dyDescent="0.35">
      <c r="A9" s="19">
        <v>2</v>
      </c>
      <c r="B9" s="14" t="s">
        <v>2</v>
      </c>
      <c r="C9" s="62">
        <v>1996228</v>
      </c>
      <c r="D9" s="62">
        <f>+DETAILFPNDSROULT!C40</f>
        <v>363000</v>
      </c>
      <c r="E9" s="40">
        <f>DETAILFPNDSROULT!F40</f>
        <v>193000</v>
      </c>
      <c r="F9" s="26">
        <f t="shared" ref="F9:F24" si="0">C9+D9-E9</f>
        <v>2166228</v>
      </c>
      <c r="G9" s="27"/>
    </row>
    <row r="10" spans="1:7" x14ac:dyDescent="0.35">
      <c r="A10" s="19">
        <v>3</v>
      </c>
      <c r="B10" s="14" t="s">
        <v>33</v>
      </c>
      <c r="C10" s="62">
        <v>1503460</v>
      </c>
      <c r="D10" s="62">
        <f>DETAILFRAISEXCEPTIONNEL!C40</f>
        <v>360000</v>
      </c>
      <c r="E10" s="40">
        <f>DETAILFRAISEXCEPTIONNEL!F40</f>
        <v>825000</v>
      </c>
      <c r="F10" s="26">
        <f t="shared" si="0"/>
        <v>1038460</v>
      </c>
      <c r="G10" s="27"/>
    </row>
    <row r="11" spans="1:7" x14ac:dyDescent="0.35">
      <c r="A11" s="19">
        <v>4</v>
      </c>
      <c r="B11" s="14" t="s">
        <v>34</v>
      </c>
      <c r="C11" s="62">
        <v>614762</v>
      </c>
      <c r="D11" s="62">
        <f>DETAILFONDSMUTUEL!C40+DETAILFONDSMUTUEL!D40</f>
        <v>1520000</v>
      </c>
      <c r="E11" s="40">
        <f>DETAILFONDSMUTUEL!H40</f>
        <v>1320000</v>
      </c>
      <c r="F11" s="26">
        <f t="shared" si="0"/>
        <v>814762</v>
      </c>
      <c r="G11" s="27"/>
    </row>
    <row r="12" spans="1:7" x14ac:dyDescent="0.35">
      <c r="A12" s="19">
        <v>5</v>
      </c>
      <c r="B12" s="14" t="s">
        <v>6</v>
      </c>
      <c r="C12" s="62">
        <v>680000</v>
      </c>
      <c r="D12" s="62">
        <f>DETAILINSCRIPTION!C40</f>
        <v>75000</v>
      </c>
      <c r="E12" s="40">
        <f>DETAILINSCRIPTION!F40</f>
        <v>0</v>
      </c>
      <c r="F12" s="26">
        <f t="shared" si="0"/>
        <v>755000</v>
      </c>
      <c r="G12" s="27"/>
    </row>
    <row r="13" spans="1:7" x14ac:dyDescent="0.35">
      <c r="A13" s="19">
        <v>6</v>
      </c>
      <c r="B13" s="14" t="s">
        <v>175</v>
      </c>
      <c r="C13" s="62">
        <v>768025</v>
      </c>
      <c r="D13" s="62">
        <f>DETAILPENALITES!C40</f>
        <v>79000</v>
      </c>
      <c r="E13" s="40">
        <f>DETAILPENALITES!G40</f>
        <v>200000</v>
      </c>
      <c r="F13" s="26">
        <f t="shared" si="0"/>
        <v>647025</v>
      </c>
      <c r="G13" s="27"/>
    </row>
    <row r="14" spans="1:7" x14ac:dyDescent="0.35">
      <c r="A14" s="19">
        <v>7</v>
      </c>
      <c r="B14" s="14" t="s">
        <v>51</v>
      </c>
      <c r="C14" s="62"/>
      <c r="D14" s="62">
        <f>DETAILPENALITES!D40</f>
        <v>207000</v>
      </c>
      <c r="E14" s="40"/>
      <c r="F14" s="26"/>
      <c r="G14" s="27"/>
    </row>
    <row r="15" spans="1:7" x14ac:dyDescent="0.35">
      <c r="A15" s="19">
        <v>8</v>
      </c>
      <c r="B15" s="14" t="s">
        <v>4</v>
      </c>
      <c r="C15" s="62">
        <v>1320525</v>
      </c>
      <c r="D15" s="62">
        <f>DETAILCOLLATION!C40</f>
        <v>1440000</v>
      </c>
      <c r="E15" s="40">
        <f>DETAILCOLLATION!F40</f>
        <v>1010000</v>
      </c>
      <c r="F15" s="26">
        <f t="shared" si="0"/>
        <v>1750525</v>
      </c>
      <c r="G15" s="27"/>
    </row>
    <row r="16" spans="1:7" x14ac:dyDescent="0.35">
      <c r="A16" s="19">
        <v>9</v>
      </c>
      <c r="B16" s="14" t="s">
        <v>112</v>
      </c>
      <c r="C16" s="62">
        <v>94000</v>
      </c>
      <c r="D16" s="62">
        <f>[12]TONTRESUME23!$D$38</f>
        <v>9000000</v>
      </c>
      <c r="E16" s="40">
        <f>[12]TONTRESUME23!$Q$38</f>
        <v>8788000</v>
      </c>
      <c r="F16" s="26">
        <f t="shared" si="0"/>
        <v>306000</v>
      </c>
      <c r="G16" s="27"/>
    </row>
    <row r="17" spans="1:8" x14ac:dyDescent="0.35">
      <c r="A17" s="19">
        <v>10</v>
      </c>
      <c r="B17" s="14" t="s">
        <v>113</v>
      </c>
      <c r="C17" s="62">
        <v>0</v>
      </c>
      <c r="D17" s="62"/>
      <c r="E17" s="40"/>
      <c r="F17" s="26">
        <f t="shared" si="0"/>
        <v>0</v>
      </c>
      <c r="G17" s="27"/>
    </row>
    <row r="18" spans="1:8" x14ac:dyDescent="0.35">
      <c r="A18" s="19">
        <v>11</v>
      </c>
      <c r="B18" s="14" t="s">
        <v>35</v>
      </c>
      <c r="C18" s="62">
        <v>543000</v>
      </c>
      <c r="D18" s="62">
        <f>DETAILFOYER!C40</f>
        <v>2240000</v>
      </c>
      <c r="E18" s="40">
        <f>DETAILFOYER!F40</f>
        <v>1750000</v>
      </c>
      <c r="F18" s="26">
        <f t="shared" si="0"/>
        <v>1033000</v>
      </c>
      <c r="G18" s="27"/>
    </row>
    <row r="19" spans="1:8" x14ac:dyDescent="0.35">
      <c r="A19" s="19">
        <v>12</v>
      </c>
      <c r="B19" s="14" t="s">
        <v>114</v>
      </c>
      <c r="C19" s="62">
        <v>0</v>
      </c>
      <c r="D19" s="62"/>
      <c r="E19" s="40"/>
      <c r="F19" s="26">
        <f t="shared" si="0"/>
        <v>0</v>
      </c>
      <c r="G19" s="27"/>
    </row>
    <row r="20" spans="1:8" x14ac:dyDescent="0.35">
      <c r="A20" s="19">
        <v>13</v>
      </c>
      <c r="B20" s="14" t="s">
        <v>115</v>
      </c>
      <c r="C20" s="62">
        <v>0</v>
      </c>
      <c r="D20" s="62"/>
      <c r="E20" s="40"/>
      <c r="F20" s="26">
        <f t="shared" si="0"/>
        <v>0</v>
      </c>
      <c r="G20" s="27"/>
    </row>
    <row r="21" spans="1:8" x14ac:dyDescent="0.35">
      <c r="A21" s="19">
        <v>14</v>
      </c>
      <c r="B21" s="14" t="s">
        <v>116</v>
      </c>
      <c r="C21" s="62">
        <v>0</v>
      </c>
      <c r="D21" s="62"/>
      <c r="E21" s="40"/>
      <c r="F21" s="26">
        <f t="shared" si="0"/>
        <v>0</v>
      </c>
      <c r="G21" s="27"/>
    </row>
    <row r="22" spans="1:8" x14ac:dyDescent="0.35">
      <c r="A22" s="19">
        <v>15</v>
      </c>
      <c r="B22" s="14" t="s">
        <v>117</v>
      </c>
      <c r="C22" s="62">
        <v>0</v>
      </c>
      <c r="D22" s="62"/>
      <c r="E22" s="40"/>
      <c r="F22" s="26">
        <f t="shared" si="0"/>
        <v>0</v>
      </c>
      <c r="G22" s="27"/>
    </row>
    <row r="23" spans="1:8" x14ac:dyDescent="0.35">
      <c r="A23" s="19">
        <v>16</v>
      </c>
      <c r="B23" s="14" t="s">
        <v>118</v>
      </c>
      <c r="C23" s="62">
        <v>6606334</v>
      </c>
      <c r="D23" s="62"/>
      <c r="E23" s="40"/>
      <c r="F23" s="26">
        <f t="shared" si="0"/>
        <v>6606334</v>
      </c>
      <c r="G23" s="27"/>
    </row>
    <row r="24" spans="1:8" x14ac:dyDescent="0.35">
      <c r="A24" s="19">
        <v>17</v>
      </c>
      <c r="B24" s="14" t="s">
        <v>133</v>
      </c>
      <c r="C24" s="62">
        <v>28000</v>
      </c>
      <c r="D24" s="62">
        <f>[13]TONTRESUME23!$S$6+[14]TONTRESUME23!$S$6</f>
        <v>63707.983193277309</v>
      </c>
      <c r="E24" s="40"/>
      <c r="F24" s="26">
        <f t="shared" si="0"/>
        <v>91707.983193277309</v>
      </c>
      <c r="G24" s="27"/>
    </row>
    <row r="25" spans="1:8" x14ac:dyDescent="0.35">
      <c r="A25" s="19"/>
      <c r="B25" s="33"/>
      <c r="C25" s="25"/>
      <c r="D25" s="25"/>
      <c r="E25" s="40"/>
      <c r="F25" s="26"/>
      <c r="G25" s="27"/>
    </row>
    <row r="26" spans="1:8" ht="20.5" thickBot="1" x14ac:dyDescent="0.45">
      <c r="A26" s="68"/>
      <c r="B26" s="69" t="s">
        <v>23</v>
      </c>
      <c r="C26" s="70">
        <f>SUM(C8:C24)</f>
        <v>35445800</v>
      </c>
      <c r="D26" s="70">
        <f t="shared" ref="D26:F26" si="1">SUM(D8:D24)</f>
        <v>39466450.565346345</v>
      </c>
      <c r="E26" s="70">
        <f t="shared" si="1"/>
        <v>14726700</v>
      </c>
      <c r="F26" s="70">
        <f t="shared" si="1"/>
        <v>59978550.565346345</v>
      </c>
      <c r="G26" s="27"/>
      <c r="H26" s="27"/>
    </row>
    <row r="27" spans="1:8" ht="15" thickTop="1" x14ac:dyDescent="0.35">
      <c r="A27" s="71"/>
      <c r="B27" s="72"/>
      <c r="C27" s="73"/>
      <c r="D27" s="73"/>
      <c r="E27" s="73"/>
      <c r="F27" s="73"/>
      <c r="G27" s="27"/>
    </row>
    <row r="28" spans="1:8" ht="23.5" x14ac:dyDescent="0.55000000000000004">
      <c r="B28" s="128" t="s">
        <v>120</v>
      </c>
      <c r="C28" s="129"/>
      <c r="D28" s="129"/>
      <c r="E28" s="129"/>
      <c r="F28" s="129"/>
      <c r="G28" s="71"/>
    </row>
    <row r="29" spans="1:8" x14ac:dyDescent="0.35">
      <c r="A29" s="71"/>
      <c r="B29" s="72"/>
      <c r="C29" s="73"/>
      <c r="D29" s="73"/>
      <c r="E29" s="74"/>
      <c r="F29" s="73"/>
      <c r="G29" s="27"/>
    </row>
    <row r="30" spans="1:8" x14ac:dyDescent="0.35">
      <c r="A30" s="71"/>
      <c r="B30" s="72"/>
      <c r="C30" s="73"/>
      <c r="D30" s="73"/>
      <c r="E30" s="74"/>
      <c r="F30" s="73"/>
      <c r="G30" s="27"/>
    </row>
    <row r="31" spans="1:8" ht="15" thickBot="1" x14ac:dyDescent="0.4">
      <c r="A31" s="71"/>
      <c r="B31" s="72"/>
      <c r="C31" s="73">
        <v>2022</v>
      </c>
      <c r="D31" s="73">
        <v>2023</v>
      </c>
      <c r="E31" s="74"/>
      <c r="F31" s="73"/>
      <c r="G31" s="27"/>
    </row>
    <row r="32" spans="1:8" ht="15" thickTop="1" x14ac:dyDescent="0.35">
      <c r="A32" s="75">
        <v>1</v>
      </c>
      <c r="B32" s="76" t="s">
        <v>121</v>
      </c>
      <c r="C32" s="77">
        <v>4337431</v>
      </c>
      <c r="D32" s="78"/>
      <c r="E32" s="74"/>
      <c r="F32" s="73"/>
      <c r="G32" s="27"/>
    </row>
    <row r="33" spans="1:8" x14ac:dyDescent="0.35">
      <c r="A33" s="19">
        <v>2</v>
      </c>
      <c r="B33" s="14" t="s">
        <v>122</v>
      </c>
      <c r="C33" s="62">
        <v>630005</v>
      </c>
      <c r="D33" s="79"/>
      <c r="E33" s="74"/>
      <c r="F33" s="73"/>
      <c r="G33" s="27"/>
      <c r="H33" s="27"/>
    </row>
    <row r="34" spans="1:8" x14ac:dyDescent="0.35">
      <c r="A34" s="19">
        <v>3</v>
      </c>
      <c r="B34" s="14" t="s">
        <v>42</v>
      </c>
      <c r="C34" s="62">
        <v>1423702</v>
      </c>
      <c r="D34" s="79"/>
      <c r="E34" s="74"/>
      <c r="F34" s="73"/>
      <c r="G34" s="27"/>
    </row>
    <row r="35" spans="1:8" x14ac:dyDescent="0.35">
      <c r="A35" s="19">
        <v>4</v>
      </c>
      <c r="B35" s="14" t="s">
        <v>123</v>
      </c>
      <c r="C35" s="62">
        <v>744700</v>
      </c>
      <c r="D35" s="79"/>
      <c r="E35" s="74"/>
      <c r="F35" s="73"/>
      <c r="G35" s="27"/>
    </row>
    <row r="36" spans="1:8" x14ac:dyDescent="0.35">
      <c r="A36" s="19">
        <v>5</v>
      </c>
      <c r="B36" s="14" t="s">
        <v>124</v>
      </c>
      <c r="C36" s="62">
        <v>0</v>
      </c>
      <c r="D36" s="79"/>
      <c r="E36" s="73"/>
      <c r="F36" s="73"/>
      <c r="G36" s="27"/>
    </row>
    <row r="37" spans="1:8" x14ac:dyDescent="0.35">
      <c r="A37" s="19">
        <v>6</v>
      </c>
      <c r="B37" s="14" t="s">
        <v>125</v>
      </c>
      <c r="C37" s="62">
        <v>154000</v>
      </c>
      <c r="D37" s="79"/>
      <c r="E37" s="73"/>
      <c r="F37" s="73"/>
      <c r="G37" s="27"/>
    </row>
    <row r="38" spans="1:8" x14ac:dyDescent="0.35">
      <c r="A38" s="19">
        <v>7</v>
      </c>
      <c r="B38" s="14" t="s">
        <v>126</v>
      </c>
      <c r="C38" s="62">
        <v>18658500</v>
      </c>
      <c r="D38" s="79">
        <f>[15]MVTRESUME23!$AK$40</f>
        <v>14068300</v>
      </c>
      <c r="E38" s="73"/>
      <c r="F38" s="73"/>
      <c r="G38" s="27"/>
    </row>
    <row r="39" spans="1:8" x14ac:dyDescent="0.35">
      <c r="A39" s="19">
        <v>8</v>
      </c>
      <c r="B39" s="14" t="s">
        <v>127</v>
      </c>
      <c r="C39" s="62">
        <v>656618</v>
      </c>
      <c r="D39" s="79"/>
      <c r="E39" s="74"/>
      <c r="F39" s="73"/>
      <c r="G39" s="27"/>
    </row>
    <row r="40" spans="1:8" x14ac:dyDescent="0.35">
      <c r="A40" s="19"/>
      <c r="B40" s="14"/>
      <c r="C40" s="25"/>
      <c r="D40" s="26"/>
      <c r="E40" s="74"/>
      <c r="F40" s="73"/>
      <c r="G40" s="27"/>
    </row>
    <row r="41" spans="1:8" ht="15" thickBot="1" x14ac:dyDescent="0.4">
      <c r="A41" s="68"/>
      <c r="B41" s="58" t="s">
        <v>23</v>
      </c>
      <c r="C41" s="38">
        <f>SUM(C32:C40)</f>
        <v>26604956</v>
      </c>
      <c r="D41" s="32">
        <f>SUM(D32:D40)</f>
        <v>14068300</v>
      </c>
      <c r="E41" s="80"/>
      <c r="F41" s="73"/>
      <c r="G41" s="30"/>
    </row>
    <row r="42" spans="1:8" ht="15" thickTop="1" x14ac:dyDescent="0.35">
      <c r="A42" s="71"/>
      <c r="B42" s="71"/>
      <c r="C42" s="81"/>
      <c r="D42" s="81"/>
      <c r="E42" s="80"/>
      <c r="F42" s="73"/>
      <c r="G42" s="27"/>
    </row>
    <row r="43" spans="1:8" x14ac:dyDescent="0.35">
      <c r="A43" s="71"/>
      <c r="B43" s="71"/>
      <c r="C43" s="73"/>
      <c r="D43" s="73"/>
      <c r="E43" s="74"/>
      <c r="F43" s="73"/>
      <c r="G43" s="27"/>
    </row>
    <row r="44" spans="1:8" x14ac:dyDescent="0.35">
      <c r="A44" s="71"/>
      <c r="B44" s="72"/>
      <c r="C44" s="81"/>
      <c r="D44" s="73"/>
      <c r="E44" s="74"/>
      <c r="F44" s="73"/>
      <c r="G44" s="27"/>
    </row>
    <row r="45" spans="1:8" x14ac:dyDescent="0.35">
      <c r="A45" s="71"/>
      <c r="B45" s="72"/>
      <c r="C45" s="81"/>
      <c r="D45" s="71"/>
      <c r="E45" s="74"/>
      <c r="F45" s="73"/>
      <c r="G45" s="27"/>
    </row>
    <row r="46" spans="1:8" x14ac:dyDescent="0.35">
      <c r="A46" s="71"/>
      <c r="B46" s="72"/>
      <c r="C46" s="81"/>
      <c r="D46" s="73"/>
      <c r="E46" s="80"/>
      <c r="F46" s="73"/>
      <c r="G46" s="27"/>
    </row>
    <row r="47" spans="1:8" x14ac:dyDescent="0.35">
      <c r="A47" s="71"/>
      <c r="B47" s="72"/>
      <c r="C47" s="81"/>
      <c r="D47" s="73"/>
      <c r="E47" s="80"/>
      <c r="F47" s="73"/>
      <c r="G47" s="27"/>
    </row>
    <row r="48" spans="1:8" x14ac:dyDescent="0.35">
      <c r="A48" s="71"/>
      <c r="B48" s="72"/>
      <c r="C48" s="81"/>
      <c r="D48" s="73"/>
      <c r="E48" s="80"/>
      <c r="F48" s="73"/>
      <c r="G48" s="27"/>
    </row>
    <row r="49" spans="1:7" x14ac:dyDescent="0.35">
      <c r="A49" s="71"/>
      <c r="B49" s="72"/>
      <c r="C49" s="81"/>
      <c r="D49" s="73"/>
      <c r="E49" s="80"/>
      <c r="F49" s="73"/>
      <c r="G49" s="27"/>
    </row>
    <row r="50" spans="1:7" x14ac:dyDescent="0.35">
      <c r="A50" s="71"/>
      <c r="B50" s="72"/>
      <c r="C50" s="71"/>
      <c r="D50" s="73"/>
      <c r="E50" s="74"/>
      <c r="F50" s="73"/>
      <c r="G50" s="27"/>
    </row>
    <row r="51" spans="1:7" x14ac:dyDescent="0.35">
      <c r="A51" s="71"/>
      <c r="B51" s="72"/>
      <c r="C51" s="71"/>
      <c r="D51" s="73"/>
      <c r="E51" s="82"/>
      <c r="F51" s="73"/>
      <c r="G51" s="27"/>
    </row>
    <row r="52" spans="1:7" x14ac:dyDescent="0.35">
      <c r="A52" s="71"/>
      <c r="B52" s="72"/>
      <c r="C52" s="73"/>
      <c r="D52" s="73"/>
      <c r="E52" s="82"/>
      <c r="F52" s="73"/>
      <c r="G52" s="27"/>
    </row>
    <row r="53" spans="1:7" x14ac:dyDescent="0.35">
      <c r="A53" s="71"/>
      <c r="B53" s="72"/>
      <c r="C53" s="71"/>
      <c r="D53" s="73"/>
      <c r="E53" s="80"/>
      <c r="F53" s="73"/>
      <c r="G53" s="27"/>
    </row>
    <row r="54" spans="1:7" x14ac:dyDescent="0.35">
      <c r="A54" s="71"/>
      <c r="B54" s="72"/>
      <c r="C54" s="81"/>
      <c r="D54" s="73"/>
      <c r="E54" s="80"/>
      <c r="F54" s="73"/>
      <c r="G54" s="27"/>
    </row>
    <row r="55" spans="1:7" x14ac:dyDescent="0.35">
      <c r="A55" s="71"/>
      <c r="B55" s="72"/>
      <c r="C55" s="81"/>
      <c r="D55" s="73"/>
      <c r="E55" s="74"/>
      <c r="F55" s="73"/>
      <c r="G55" s="27"/>
    </row>
    <row r="56" spans="1:7" x14ac:dyDescent="0.35">
      <c r="A56" s="71"/>
      <c r="B56" s="72"/>
      <c r="C56" s="81"/>
      <c r="D56" s="73"/>
      <c r="E56" s="80"/>
      <c r="F56" s="73"/>
      <c r="G56" s="27"/>
    </row>
    <row r="57" spans="1:7" x14ac:dyDescent="0.35">
      <c r="A57" s="71"/>
      <c r="B57" s="71"/>
      <c r="C57" s="71"/>
      <c r="D57" s="71"/>
      <c r="E57" s="82"/>
      <c r="F57" s="73"/>
    </row>
    <row r="58" spans="1:7" x14ac:dyDescent="0.35">
      <c r="A58" s="71"/>
      <c r="B58" s="71"/>
      <c r="C58" s="71"/>
      <c r="D58" s="71"/>
      <c r="E58" s="82"/>
      <c r="F58" s="71"/>
    </row>
    <row r="59" spans="1:7" ht="17.5" x14ac:dyDescent="0.35">
      <c r="A59" s="71"/>
      <c r="B59" s="72"/>
      <c r="C59" s="83"/>
      <c r="D59" s="83"/>
      <c r="E59" s="83"/>
      <c r="F59" s="83"/>
    </row>
    <row r="60" spans="1:7" x14ac:dyDescent="0.35">
      <c r="A60" s="71"/>
      <c r="B60" s="71"/>
      <c r="C60" s="71"/>
      <c r="D60" s="71"/>
      <c r="E60" s="71"/>
      <c r="F60" s="71"/>
    </row>
    <row r="61" spans="1:7" x14ac:dyDescent="0.35">
      <c r="A61" s="71"/>
      <c r="B61" s="71"/>
      <c r="C61" s="71"/>
      <c r="D61" s="71"/>
      <c r="E61" s="71"/>
      <c r="F61" s="71"/>
    </row>
    <row r="62" spans="1:7" x14ac:dyDescent="0.35">
      <c r="A62" s="71"/>
      <c r="B62" s="71"/>
      <c r="C62" s="71"/>
      <c r="D62" s="71"/>
      <c r="E62" s="71"/>
      <c r="F62" s="71"/>
    </row>
    <row r="63" spans="1:7" x14ac:dyDescent="0.35">
      <c r="A63" s="71"/>
      <c r="B63" s="71"/>
      <c r="C63" s="71"/>
      <c r="D63" s="71"/>
      <c r="E63" s="71"/>
      <c r="F63" s="71"/>
    </row>
    <row r="64" spans="1:7" x14ac:dyDescent="0.35">
      <c r="A64" s="71"/>
      <c r="B64" s="71"/>
      <c r="C64" s="71"/>
      <c r="D64" s="71"/>
      <c r="E64" s="71"/>
      <c r="F64" s="71"/>
    </row>
    <row r="65" spans="1:6" x14ac:dyDescent="0.35">
      <c r="A65" s="71"/>
      <c r="B65" s="71"/>
      <c r="C65" s="71"/>
      <c r="D65" s="71"/>
      <c r="E65" s="71"/>
      <c r="F65" s="71"/>
    </row>
    <row r="66" spans="1:6" x14ac:dyDescent="0.35">
      <c r="A66" s="71"/>
      <c r="B66" s="71"/>
      <c r="C66" s="71"/>
      <c r="D66" s="71"/>
      <c r="E66" s="71"/>
      <c r="F66" s="71"/>
    </row>
    <row r="67" spans="1:6" x14ac:dyDescent="0.35">
      <c r="A67" s="71"/>
      <c r="B67" s="71"/>
      <c r="C67" s="71"/>
      <c r="D67" s="71"/>
      <c r="E67" s="71"/>
      <c r="F67" s="71"/>
    </row>
    <row r="68" spans="1:6" x14ac:dyDescent="0.35">
      <c r="A68" s="71"/>
      <c r="B68" s="71"/>
      <c r="C68" s="71"/>
      <c r="D68" s="71"/>
      <c r="E68" s="71"/>
      <c r="F68" s="71"/>
    </row>
    <row r="69" spans="1:6" x14ac:dyDescent="0.35">
      <c r="A69" s="71"/>
      <c r="B69" s="71"/>
      <c r="C69" s="71"/>
      <c r="D69" s="71"/>
      <c r="E69" s="71"/>
      <c r="F69" s="71"/>
    </row>
    <row r="70" spans="1:6" x14ac:dyDescent="0.35">
      <c r="A70" s="71"/>
      <c r="B70" s="71"/>
      <c r="C70" s="71"/>
      <c r="D70" s="71"/>
      <c r="E70" s="71"/>
      <c r="F70" s="71"/>
    </row>
    <row r="71" spans="1:6" x14ac:dyDescent="0.35">
      <c r="A71" s="71"/>
      <c r="B71" s="71"/>
      <c r="C71" s="71"/>
      <c r="D71" s="71"/>
      <c r="E71" s="71"/>
      <c r="F71" s="71"/>
    </row>
    <row r="72" spans="1:6" x14ac:dyDescent="0.35">
      <c r="A72" s="71"/>
      <c r="B72" s="71"/>
      <c r="C72" s="71"/>
      <c r="D72" s="71"/>
      <c r="E72" s="71"/>
      <c r="F72" s="71"/>
    </row>
    <row r="73" spans="1:6" x14ac:dyDescent="0.35">
      <c r="A73" s="71"/>
      <c r="B73" s="71"/>
      <c r="C73" s="71"/>
      <c r="D73" s="71"/>
      <c r="E73" s="71"/>
      <c r="F73" s="71"/>
    </row>
    <row r="74" spans="1:6" x14ac:dyDescent="0.35">
      <c r="A74" s="71"/>
      <c r="B74" s="71"/>
      <c r="C74" s="71"/>
      <c r="D74" s="71"/>
      <c r="E74" s="71"/>
      <c r="F74" s="71"/>
    </row>
    <row r="75" spans="1:6" x14ac:dyDescent="0.35">
      <c r="A75" s="71"/>
      <c r="B75" s="71"/>
      <c r="C75" s="71"/>
      <c r="D75" s="71"/>
      <c r="E75" s="71"/>
      <c r="F75" s="71"/>
    </row>
    <row r="76" spans="1:6" x14ac:dyDescent="0.35">
      <c r="A76" s="71"/>
      <c r="B76" s="71"/>
      <c r="C76" s="71"/>
      <c r="D76" s="71"/>
      <c r="E76" s="71"/>
      <c r="F76" s="71"/>
    </row>
    <row r="77" spans="1:6" x14ac:dyDescent="0.35">
      <c r="A77" s="71"/>
      <c r="B77" s="71"/>
      <c r="C77" s="71"/>
      <c r="D77" s="71"/>
      <c r="E77" s="71"/>
      <c r="F77" s="71"/>
    </row>
    <row r="78" spans="1:6" x14ac:dyDescent="0.35">
      <c r="A78" s="71"/>
      <c r="B78" s="71"/>
      <c r="C78" s="71"/>
      <c r="D78" s="71"/>
      <c r="E78" s="71"/>
      <c r="F78" s="71"/>
    </row>
    <row r="79" spans="1:6" x14ac:dyDescent="0.35">
      <c r="A79" s="71"/>
      <c r="B79" s="71"/>
      <c r="C79" s="71"/>
      <c r="D79" s="71"/>
      <c r="E79" s="71"/>
      <c r="F79" s="71"/>
    </row>
    <row r="80" spans="1:6" x14ac:dyDescent="0.35">
      <c r="A80" s="71"/>
      <c r="B80" s="71"/>
      <c r="C80" s="71"/>
      <c r="D80" s="71"/>
      <c r="E80" s="71"/>
      <c r="F80" s="71"/>
    </row>
    <row r="81" spans="1:6" x14ac:dyDescent="0.35">
      <c r="A81" s="71"/>
      <c r="B81" s="71"/>
      <c r="C81" s="71"/>
      <c r="D81" s="71"/>
      <c r="E81" s="71"/>
      <c r="F81" s="71"/>
    </row>
    <row r="82" spans="1:6" x14ac:dyDescent="0.35">
      <c r="A82" s="71"/>
      <c r="B82" s="71"/>
      <c r="C82" s="71"/>
      <c r="D82" s="71"/>
      <c r="E82" s="71"/>
      <c r="F82" s="71"/>
    </row>
    <row r="83" spans="1:6" x14ac:dyDescent="0.35">
      <c r="A83" s="71"/>
      <c r="B83" s="71"/>
      <c r="C83" s="71"/>
      <c r="D83" s="71"/>
      <c r="E83" s="71"/>
      <c r="F83" s="71"/>
    </row>
    <row r="84" spans="1:6" x14ac:dyDescent="0.35">
      <c r="A84" s="71"/>
      <c r="B84" s="71"/>
      <c r="C84" s="71"/>
      <c r="D84" s="71"/>
      <c r="E84" s="71"/>
      <c r="F84" s="71"/>
    </row>
    <row r="85" spans="1:6" x14ac:dyDescent="0.35">
      <c r="A85" s="71"/>
      <c r="B85" s="71"/>
      <c r="C85" s="71"/>
      <c r="D85" s="71"/>
      <c r="E85" s="71"/>
      <c r="F85" s="71"/>
    </row>
    <row r="86" spans="1:6" x14ac:dyDescent="0.35">
      <c r="A86" s="71"/>
      <c r="B86" s="71"/>
      <c r="C86" s="71"/>
      <c r="D86" s="71"/>
      <c r="E86" s="71"/>
      <c r="F86" s="71"/>
    </row>
    <row r="87" spans="1:6" x14ac:dyDescent="0.35">
      <c r="A87" s="71"/>
      <c r="B87" s="71"/>
      <c r="C87" s="71"/>
      <c r="D87" s="71"/>
      <c r="E87" s="71"/>
      <c r="F87" s="71"/>
    </row>
    <row r="88" spans="1:6" x14ac:dyDescent="0.35">
      <c r="A88" s="71"/>
      <c r="B88" s="71"/>
      <c r="C88" s="71"/>
      <c r="D88" s="71"/>
      <c r="E88" s="71"/>
      <c r="F88" s="71"/>
    </row>
    <row r="89" spans="1:6" x14ac:dyDescent="0.35">
      <c r="A89" s="71"/>
      <c r="B89" s="71"/>
      <c r="C89" s="71"/>
      <c r="D89" s="71"/>
      <c r="E89" s="71"/>
      <c r="F89" s="71"/>
    </row>
    <row r="90" spans="1:6" x14ac:dyDescent="0.35">
      <c r="A90" s="71"/>
      <c r="B90" s="71"/>
      <c r="C90" s="71"/>
      <c r="D90" s="71"/>
      <c r="E90" s="71"/>
      <c r="F90" s="71"/>
    </row>
    <row r="91" spans="1:6" x14ac:dyDescent="0.35">
      <c r="A91" s="71"/>
      <c r="B91" s="71"/>
      <c r="C91" s="71"/>
      <c r="D91" s="71"/>
      <c r="E91" s="71"/>
      <c r="F91" s="71"/>
    </row>
    <row r="92" spans="1:6" x14ac:dyDescent="0.35">
      <c r="A92" s="71"/>
      <c r="B92" s="71"/>
      <c r="C92" s="71"/>
      <c r="D92" s="71"/>
      <c r="E92" s="71"/>
      <c r="F92" s="71"/>
    </row>
    <row r="93" spans="1:6" x14ac:dyDescent="0.35">
      <c r="A93" s="71"/>
      <c r="B93" s="71"/>
      <c r="C93" s="71"/>
      <c r="D93" s="71"/>
      <c r="E93" s="71"/>
      <c r="F93" s="71"/>
    </row>
    <row r="94" spans="1:6" x14ac:dyDescent="0.35">
      <c r="A94" s="71"/>
      <c r="B94" s="71"/>
      <c r="C94" s="71"/>
      <c r="D94" s="71"/>
      <c r="E94" s="71"/>
      <c r="F94" s="71"/>
    </row>
    <row r="95" spans="1:6" x14ac:dyDescent="0.35">
      <c r="A95" s="71"/>
      <c r="B95" s="71"/>
      <c r="C95" s="71"/>
      <c r="D95" s="71"/>
      <c r="E95" s="71"/>
      <c r="F95" s="71"/>
    </row>
    <row r="96" spans="1:6" x14ac:dyDescent="0.35">
      <c r="A96" s="71"/>
      <c r="B96" s="71"/>
      <c r="C96" s="71"/>
      <c r="D96" s="71"/>
      <c r="E96" s="71"/>
      <c r="F96" s="71"/>
    </row>
    <row r="97" spans="1:6" x14ac:dyDescent="0.35">
      <c r="A97" s="71"/>
      <c r="B97" s="71"/>
      <c r="C97" s="71"/>
      <c r="D97" s="71"/>
      <c r="E97" s="71"/>
      <c r="F97" s="71"/>
    </row>
    <row r="98" spans="1:6" x14ac:dyDescent="0.35">
      <c r="A98" s="71"/>
      <c r="B98" s="71"/>
      <c r="C98" s="71"/>
      <c r="D98" s="71"/>
      <c r="E98" s="71"/>
      <c r="F98" s="71"/>
    </row>
    <row r="99" spans="1:6" x14ac:dyDescent="0.35">
      <c r="A99" s="71"/>
      <c r="B99" s="71"/>
      <c r="C99" s="71"/>
      <c r="D99" s="71"/>
      <c r="E99" s="71"/>
      <c r="F99" s="71"/>
    </row>
    <row r="100" spans="1:6" x14ac:dyDescent="0.35">
      <c r="A100" s="71"/>
      <c r="B100" s="71"/>
      <c r="C100" s="71"/>
      <c r="D100" s="71"/>
      <c r="E100" s="71"/>
      <c r="F100" s="71"/>
    </row>
    <row r="101" spans="1:6" x14ac:dyDescent="0.35">
      <c r="A101" s="71"/>
      <c r="B101" s="71"/>
      <c r="C101" s="71"/>
      <c r="D101" s="71"/>
      <c r="E101" s="71"/>
      <c r="F101" s="71"/>
    </row>
    <row r="102" spans="1:6" x14ac:dyDescent="0.35">
      <c r="A102" s="71"/>
      <c r="B102" s="71"/>
      <c r="C102" s="71"/>
      <c r="D102" s="71"/>
      <c r="E102" s="71"/>
      <c r="F102" s="71"/>
    </row>
    <row r="103" spans="1:6" x14ac:dyDescent="0.35">
      <c r="A103" s="71"/>
      <c r="B103" s="71"/>
      <c r="C103" s="71"/>
      <c r="D103" s="71"/>
      <c r="E103" s="71"/>
      <c r="F103" s="71"/>
    </row>
    <row r="104" spans="1:6" x14ac:dyDescent="0.35">
      <c r="A104" s="71"/>
      <c r="B104" s="71"/>
      <c r="C104" s="71"/>
      <c r="D104" s="71"/>
      <c r="E104" s="71"/>
      <c r="F104" s="71"/>
    </row>
    <row r="105" spans="1:6" x14ac:dyDescent="0.35">
      <c r="A105" s="71"/>
      <c r="B105" s="71"/>
      <c r="C105" s="71"/>
      <c r="D105" s="71"/>
      <c r="E105" s="71"/>
      <c r="F105" s="71"/>
    </row>
    <row r="106" spans="1:6" x14ac:dyDescent="0.35">
      <c r="A106" s="71"/>
      <c r="B106" s="71"/>
      <c r="C106" s="71"/>
      <c r="D106" s="71"/>
      <c r="E106" s="71"/>
      <c r="F106" s="71"/>
    </row>
    <row r="107" spans="1:6" x14ac:dyDescent="0.35">
      <c r="A107" s="71"/>
      <c r="B107" s="71"/>
      <c r="C107" s="71"/>
      <c r="D107" s="71"/>
      <c r="E107" s="71"/>
      <c r="F107" s="71"/>
    </row>
    <row r="108" spans="1:6" x14ac:dyDescent="0.35">
      <c r="A108" s="71"/>
      <c r="B108" s="71"/>
      <c r="C108" s="71"/>
      <c r="D108" s="71"/>
      <c r="E108" s="71"/>
      <c r="F108" s="71"/>
    </row>
    <row r="109" spans="1:6" x14ac:dyDescent="0.35">
      <c r="A109" s="71"/>
      <c r="B109" s="71"/>
      <c r="C109" s="71"/>
      <c r="D109" s="71"/>
      <c r="E109" s="71"/>
      <c r="F109" s="71"/>
    </row>
    <row r="110" spans="1:6" x14ac:dyDescent="0.35">
      <c r="A110" s="71"/>
      <c r="B110" s="71"/>
      <c r="C110" s="71"/>
      <c r="D110" s="71"/>
      <c r="E110" s="71"/>
      <c r="F110" s="71"/>
    </row>
  </sheetData>
  <mergeCells count="2">
    <mergeCell ref="B3:F3"/>
    <mergeCell ref="B28:F28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21"/>
  <sheetViews>
    <sheetView zoomScaleNormal="100" zoomScaleSheetLayoutView="118" workbookViewId="0">
      <pane xSplit="1" ySplit="6" topLeftCell="F7" activePane="bottomRight" state="frozen"/>
      <selection pane="topRight" activeCell="B1" sqref="B1"/>
      <selection pane="bottomLeft" activeCell="A7" sqref="A7"/>
      <selection pane="bottomRight" activeCell="H8" sqref="H8"/>
    </sheetView>
  </sheetViews>
  <sheetFormatPr baseColWidth="10" defaultRowHeight="14.5" x14ac:dyDescent="0.35"/>
  <cols>
    <col min="1" max="1" width="12.453125" bestFit="1" customWidth="1"/>
    <col min="2" max="2" width="19.81640625" customWidth="1"/>
    <col min="3" max="3" width="20.26953125" customWidth="1"/>
    <col min="4" max="4" width="20.7265625" customWidth="1"/>
    <col min="5" max="5" width="18.26953125" bestFit="1" customWidth="1"/>
    <col min="6" max="7" width="16.26953125" bestFit="1" customWidth="1"/>
    <col min="8" max="8" width="16.54296875" customWidth="1"/>
    <col min="9" max="10" width="13.54296875" bestFit="1" customWidth="1"/>
    <col min="11" max="11" width="16.26953125" bestFit="1" customWidth="1"/>
    <col min="12" max="12" width="18.26953125" bestFit="1" customWidth="1"/>
    <col min="13" max="15" width="16.26953125" customWidth="1"/>
    <col min="16" max="16" width="18.26953125" bestFit="1" customWidth="1"/>
    <col min="17" max="17" width="12.453125" bestFit="1" customWidth="1"/>
    <col min="18" max="18" width="16.81640625" bestFit="1" customWidth="1"/>
    <col min="19" max="19" width="15" bestFit="1" customWidth="1"/>
  </cols>
  <sheetData>
    <row r="2" spans="1:16" ht="26" x14ac:dyDescent="0.6">
      <c r="D2" s="130" t="s">
        <v>0</v>
      </c>
      <c r="E2" s="130"/>
      <c r="F2" s="131"/>
      <c r="G2" s="131"/>
      <c r="H2" s="131"/>
      <c r="I2" s="131"/>
      <c r="J2" s="131"/>
    </row>
    <row r="3" spans="1:16" x14ac:dyDescent="0.35">
      <c r="A3" s="1" t="s">
        <v>10</v>
      </c>
      <c r="B3" s="1"/>
      <c r="C3" s="1"/>
      <c r="D3" s="1"/>
      <c r="E3" s="1">
        <v>2023</v>
      </c>
    </row>
    <row r="6" spans="1:16" ht="29" x14ac:dyDescent="0.4">
      <c r="A6" s="6" t="s">
        <v>8</v>
      </c>
      <c r="B6" s="6" t="s">
        <v>32</v>
      </c>
      <c r="C6" s="6" t="s">
        <v>53</v>
      </c>
      <c r="D6" s="6" t="s">
        <v>92</v>
      </c>
      <c r="E6" s="6" t="s">
        <v>1</v>
      </c>
      <c r="F6" s="7" t="s">
        <v>2</v>
      </c>
      <c r="G6" s="7" t="s">
        <v>3</v>
      </c>
      <c r="H6" s="7" t="s">
        <v>4</v>
      </c>
      <c r="I6" s="7" t="s">
        <v>5</v>
      </c>
      <c r="J6" s="7" t="s">
        <v>6</v>
      </c>
      <c r="K6" s="7" t="s">
        <v>7</v>
      </c>
      <c r="L6" s="7" t="s">
        <v>93</v>
      </c>
      <c r="M6" s="7" t="s">
        <v>51</v>
      </c>
      <c r="N6" s="7" t="s">
        <v>35</v>
      </c>
      <c r="O6" s="7" t="s">
        <v>132</v>
      </c>
      <c r="P6" s="8" t="s">
        <v>23</v>
      </c>
    </row>
    <row r="7" spans="1:16" x14ac:dyDescent="0.35">
      <c r="A7" s="1" t="s">
        <v>9</v>
      </c>
      <c r="B7" s="42">
        <f>[15]MVTJANV23!$C$40</f>
        <v>15600000</v>
      </c>
      <c r="C7" s="42">
        <f>[15]MVTJANV23!$D$40</f>
        <v>4361558.5213484811</v>
      </c>
      <c r="D7" s="1"/>
    </row>
    <row r="8" spans="1:16" ht="20" x14ac:dyDescent="0.4">
      <c r="A8" s="1" t="s">
        <v>15</v>
      </c>
      <c r="B8" s="42"/>
      <c r="C8" s="42"/>
      <c r="D8" s="42">
        <f>[15]MVTDEC22!$G$39</f>
        <v>1267999.9999999998</v>
      </c>
      <c r="E8" s="3">
        <f>[15]MVTJANV23!$K$40</f>
        <v>1050000</v>
      </c>
      <c r="F8" s="3">
        <f>[15]MVTJANV23!$L$40</f>
        <v>30000</v>
      </c>
      <c r="G8" s="3">
        <f>[15]MVTJANV23!$M$40</f>
        <v>30000</v>
      </c>
      <c r="H8" s="3">
        <f>[15]MVTJANV23!$N$40</f>
        <v>120000</v>
      </c>
      <c r="I8" s="3">
        <f>[15]MVTJANV23!$O$40</f>
        <v>0</v>
      </c>
      <c r="J8" s="3">
        <f>[15]MVTJANV23!$P$40</f>
        <v>75000</v>
      </c>
      <c r="K8" s="3">
        <f>[15]MVTJANV23!$Q$40</f>
        <v>35000</v>
      </c>
      <c r="L8" s="3">
        <f>[15]MVTJANV23!$U$40</f>
        <v>0</v>
      </c>
      <c r="M8" s="3">
        <f>[15]MVTJANV23!$I$40</f>
        <v>0</v>
      </c>
      <c r="N8" s="3">
        <f>[15]MVTJANV23!$AD$40</f>
        <v>210000</v>
      </c>
      <c r="O8" s="3"/>
      <c r="P8" s="4">
        <f t="shared" ref="P8:P19" si="0">SUM(B8:O8)</f>
        <v>2818000</v>
      </c>
    </row>
    <row r="9" spans="1:16" ht="20" x14ac:dyDescent="0.4">
      <c r="A9" s="1" t="s">
        <v>16</v>
      </c>
      <c r="B9" s="42"/>
      <c r="C9" s="42"/>
      <c r="D9" s="42">
        <f>[15]MVTFEV23!$G$40</f>
        <v>30000</v>
      </c>
      <c r="E9" s="3">
        <f>[15]MVTFEV23!$K$40</f>
        <v>328000</v>
      </c>
      <c r="F9" s="3">
        <f>[15]MVTFEV23!$L$40</f>
        <v>30000</v>
      </c>
      <c r="G9" s="3">
        <f>[15]MVTFEV23!$M$40</f>
        <v>30000</v>
      </c>
      <c r="H9" s="3">
        <f>[15]MVTFEV23!$N$40</f>
        <v>120000</v>
      </c>
      <c r="I9" s="3">
        <f>[15]MVTFEV23!$O$40</f>
        <v>0</v>
      </c>
      <c r="J9" s="3">
        <f>[15]MVTFEV23!$P$40</f>
        <v>0</v>
      </c>
      <c r="K9" s="3">
        <f>[15]MVTFEV23!$Q$40</f>
        <v>60000</v>
      </c>
      <c r="L9" s="3">
        <f>[15]MVTFEV23!$U$40</f>
        <v>2500000</v>
      </c>
      <c r="M9" s="3">
        <f>[15]MVTFEV23!$I$40</f>
        <v>0</v>
      </c>
      <c r="N9" s="3">
        <f>[15]MVTFEV23!$AD$40</f>
        <v>210000</v>
      </c>
      <c r="O9" s="3"/>
      <c r="P9" s="4">
        <f t="shared" si="0"/>
        <v>3308000</v>
      </c>
    </row>
    <row r="10" spans="1:16" ht="20" x14ac:dyDescent="0.4">
      <c r="A10" s="1" t="s">
        <v>17</v>
      </c>
      <c r="B10" s="42"/>
      <c r="C10" s="42"/>
      <c r="D10" s="42">
        <f>[15]MVTMARS23!$G$40</f>
        <v>6000</v>
      </c>
      <c r="E10" s="3">
        <f>[15]MVTMARS23!$K$40</f>
        <v>345000</v>
      </c>
      <c r="F10" s="3">
        <f>[15]MVTMARS23!$L$40</f>
        <v>29000</v>
      </c>
      <c r="G10" s="3">
        <f>[15]MVTMARS23!$M$40</f>
        <v>30000</v>
      </c>
      <c r="H10" s="3">
        <f>[15]MVTMARS23!$N$40</f>
        <v>120000</v>
      </c>
      <c r="I10" s="3">
        <f>[15]MVTMARS23!$O$40</f>
        <v>6000</v>
      </c>
      <c r="J10" s="3">
        <f>[15]MVTMARS23!$P$40</f>
        <v>0</v>
      </c>
      <c r="K10" s="3">
        <f>[15]MVTMARS23!$Q$40</f>
        <v>25000</v>
      </c>
      <c r="L10" s="3">
        <f>[15]MVTMARS23!$U$40</f>
        <v>1582500</v>
      </c>
      <c r="M10" s="3">
        <f>[15]MVTMARS23!$I$40</f>
        <v>0</v>
      </c>
      <c r="N10" s="3">
        <f>[15]MVTMARS23!$AD$40</f>
        <v>210000</v>
      </c>
      <c r="O10" s="3"/>
      <c r="P10" s="4">
        <f t="shared" si="0"/>
        <v>2353500</v>
      </c>
    </row>
    <row r="11" spans="1:16" ht="20" x14ac:dyDescent="0.4">
      <c r="A11" s="1" t="s">
        <v>18</v>
      </c>
      <c r="B11" s="42"/>
      <c r="C11" s="42"/>
      <c r="D11" s="42">
        <f>[15]MVTAVRIL23!$G$40</f>
        <v>204000.00000000009</v>
      </c>
      <c r="E11" s="3">
        <f>[15]MVTAVRIL23!$K$40</f>
        <v>386000</v>
      </c>
      <c r="F11" s="3">
        <f>[15]MVTAVRIL23!$L$40</f>
        <v>28000</v>
      </c>
      <c r="G11" s="3">
        <f>[15]MVTAVRIL23!$M$40</f>
        <v>29000</v>
      </c>
      <c r="H11" s="3">
        <f>[15]MVTAVRIL23!$N$40</f>
        <v>116000</v>
      </c>
      <c r="I11" s="3">
        <f>[15]MVTAVRIL23!$O$40</f>
        <v>12000</v>
      </c>
      <c r="J11" s="3">
        <f>[15]MVTAVRIL23!$P$40</f>
        <v>0</v>
      </c>
      <c r="K11" s="3">
        <f>[15]MVTAVRIL23!$Q$40</f>
        <v>120000</v>
      </c>
      <c r="L11" s="3">
        <f>[15]MVTAVRIL23!$U$40</f>
        <v>1357500</v>
      </c>
      <c r="M11" s="3">
        <f>[15]MVTAVRIL23!$I$40</f>
        <v>0</v>
      </c>
      <c r="N11" s="3">
        <f>[15]MVTAVRIL23!$AD$40</f>
        <v>140000</v>
      </c>
      <c r="O11" s="3"/>
      <c r="P11" s="4">
        <f t="shared" si="0"/>
        <v>2392500</v>
      </c>
    </row>
    <row r="12" spans="1:16" ht="20" x14ac:dyDescent="0.4">
      <c r="A12" s="1" t="s">
        <v>19</v>
      </c>
      <c r="B12" s="42"/>
      <c r="C12" s="42"/>
      <c r="D12" s="42">
        <f>[15]MVTMAI23!$G$40</f>
        <v>29999.999999999993</v>
      </c>
      <c r="E12" s="3">
        <f>[15]MVTMAI23!$K$40</f>
        <v>882000</v>
      </c>
      <c r="F12" s="3">
        <f>[15]MVTMAI23!$L$40</f>
        <v>33000</v>
      </c>
      <c r="G12" s="3">
        <f>[15]MVTMAI23!$M$40</f>
        <v>31000</v>
      </c>
      <c r="H12" s="3">
        <f>[15]MVTMAI23!$N$40</f>
        <v>124000</v>
      </c>
      <c r="I12" s="3">
        <f>[15]MVTMAI23!$O$40</f>
        <v>19000</v>
      </c>
      <c r="J12" s="3">
        <f>[15]MVTMAI23!$P$40</f>
        <v>0</v>
      </c>
      <c r="K12" s="3">
        <f>[15]MVTMAI23!$Q$40</f>
        <v>120000</v>
      </c>
      <c r="L12" s="3">
        <f>[15]MVTMAI23!$U$40</f>
        <v>0</v>
      </c>
      <c r="M12" s="3">
        <f>[15]MVTMAI23!$I$40</f>
        <v>0</v>
      </c>
      <c r="N12" s="3">
        <f>[15]MVTMAI23!$AD$40</f>
        <v>280000</v>
      </c>
      <c r="O12" s="3"/>
      <c r="P12" s="4">
        <f t="shared" si="0"/>
        <v>1519000</v>
      </c>
    </row>
    <row r="13" spans="1:16" ht="20" x14ac:dyDescent="0.4">
      <c r="A13" s="1" t="s">
        <v>20</v>
      </c>
      <c r="B13" s="42"/>
      <c r="C13" s="42"/>
      <c r="D13" s="42">
        <f>[15]MVTJUIN23!$G$40</f>
        <v>74199.999999999985</v>
      </c>
      <c r="E13" s="3">
        <f>[15]MVTJUIN23!$K$40</f>
        <v>426500</v>
      </c>
      <c r="F13" s="3">
        <f>[15]MVTJUIN23!$L$40</f>
        <v>30000</v>
      </c>
      <c r="G13" s="3">
        <f>[15]MVTJUIN23!$M$40</f>
        <v>30000</v>
      </c>
      <c r="H13" s="3">
        <f>[15]MVTJUIN23!$N$40</f>
        <v>120000</v>
      </c>
      <c r="I13" s="3">
        <f>[15]MVTJUIN23!$O$40</f>
        <v>3000</v>
      </c>
      <c r="J13" s="3">
        <f>[15]MVTJUIN23!$P$40</f>
        <v>0</v>
      </c>
      <c r="K13" s="3">
        <f>[15]MVTJUIN23!$Q$40</f>
        <v>0</v>
      </c>
      <c r="L13" s="3">
        <f>[15]MVTJUIN23!$U$40</f>
        <v>2500000</v>
      </c>
      <c r="M13" s="3">
        <f>[15]MVTJUIN23!$I$40</f>
        <v>0</v>
      </c>
      <c r="N13" s="3">
        <f>[15]MVTJUIN23!$AD$40</f>
        <v>70000</v>
      </c>
      <c r="O13" s="3"/>
      <c r="P13" s="4">
        <f t="shared" si="0"/>
        <v>3253700</v>
      </c>
    </row>
    <row r="14" spans="1:16" ht="20" x14ac:dyDescent="0.4">
      <c r="A14" s="1" t="s">
        <v>21</v>
      </c>
      <c r="B14" s="42"/>
      <c r="C14" s="42"/>
      <c r="D14" s="42">
        <f>[15]MVTJUIL23!$G$40</f>
        <v>49999.999999999985</v>
      </c>
      <c r="E14" s="3">
        <f>[15]MVTJUIL23!$K$40</f>
        <v>561768</v>
      </c>
      <c r="F14" s="3">
        <f>[15]MVTJUIL23!$L$40</f>
        <v>30000</v>
      </c>
      <c r="G14" s="3">
        <f>[15]MVTJUIL23!$M$40</f>
        <v>30000</v>
      </c>
      <c r="H14" s="3">
        <f>[15]MVTJUIL23!$N$40</f>
        <v>120000</v>
      </c>
      <c r="I14" s="3">
        <f>[15]MVTJUIL23!$O$40</f>
        <v>15000</v>
      </c>
      <c r="J14" s="3">
        <f>[15]MVTJUIL23!$P$40</f>
        <v>0</v>
      </c>
      <c r="K14" s="3">
        <f>[15]MVTJUIL23!$Q$40</f>
        <v>0</v>
      </c>
      <c r="L14" s="3">
        <f>[15]MVTJUIL23!$U$40</f>
        <v>250000</v>
      </c>
      <c r="M14" s="3">
        <f>[15]MVTJUIL23!$I$40</f>
        <v>0</v>
      </c>
      <c r="N14" s="3">
        <f>[15]MVTJUIL23!$AD$40</f>
        <v>280000</v>
      </c>
      <c r="O14" s="3"/>
      <c r="P14" s="4">
        <f t="shared" si="0"/>
        <v>1336768</v>
      </c>
    </row>
    <row r="15" spans="1:16" ht="20" x14ac:dyDescent="0.4">
      <c r="A15" s="1" t="s">
        <v>22</v>
      </c>
      <c r="B15" s="42"/>
      <c r="C15" s="42"/>
      <c r="D15" s="42">
        <f>[15]MVTAOUT23!$G$40</f>
        <v>64000</v>
      </c>
      <c r="E15" s="3">
        <f>[15]MVTAOUT23!$K$40</f>
        <v>394000</v>
      </c>
      <c r="F15" s="3">
        <f>[15]MVTAOUT23!$L$40</f>
        <v>32000</v>
      </c>
      <c r="G15" s="3">
        <f>[15]MVTAOUT23!$M$40</f>
        <v>29000</v>
      </c>
      <c r="H15" s="3">
        <f>[15]MVTAOUT23!$N$40</f>
        <v>116000</v>
      </c>
      <c r="I15" s="3">
        <f>[15]MVTAOUT23!$O$40</f>
        <v>3000</v>
      </c>
      <c r="J15" s="3">
        <f>[15]MVTAOUT23!$P$40</f>
        <v>0</v>
      </c>
      <c r="K15" s="3">
        <f>[15]MVTAOUT23!$Q$40</f>
        <v>0</v>
      </c>
      <c r="L15" s="3">
        <f>[15]MVTAOUT23!$U$40</f>
        <v>2150000</v>
      </c>
      <c r="M15" s="3">
        <f>[15]MVTAOUT23!$I$40</f>
        <v>0</v>
      </c>
      <c r="N15" s="3">
        <f>[15]MVTAOUT23!$AD$40</f>
        <v>140000</v>
      </c>
      <c r="O15" s="3"/>
      <c r="P15" s="4">
        <f t="shared" si="0"/>
        <v>2928000</v>
      </c>
    </row>
    <row r="16" spans="1:16" ht="20" x14ac:dyDescent="0.4">
      <c r="A16" s="1" t="s">
        <v>11</v>
      </c>
      <c r="B16" s="42"/>
      <c r="C16" s="42"/>
      <c r="D16" s="42">
        <f>[15]MVTSEPT23!$G$40</f>
        <v>0</v>
      </c>
      <c r="E16" s="3">
        <f>[15]MVTSEPT23!$K$40</f>
        <v>774000</v>
      </c>
      <c r="F16" s="3">
        <f>[15]MVTSEPT23!$L$40</f>
        <v>29000</v>
      </c>
      <c r="G16" s="3">
        <f>[15]MVTSEPT23!$M$40</f>
        <v>29000</v>
      </c>
      <c r="H16" s="3">
        <f>[15]MVTSEPT23!$N$40</f>
        <v>116000</v>
      </c>
      <c r="I16" s="3">
        <f>[15]MVTSEPT23!$O$40</f>
        <v>3000</v>
      </c>
      <c r="J16" s="3">
        <f>[15]MVTSEPT23!$P$40</f>
        <v>0</v>
      </c>
      <c r="K16" s="3">
        <f>[15]MVTSEPT23!$Q$40</f>
        <v>0</v>
      </c>
      <c r="L16" s="3">
        <f>[15]MVTSEPT23!$U$40</f>
        <v>1102500</v>
      </c>
      <c r="M16" s="3">
        <f>[15]MVTSEPT23!$I$40</f>
        <v>0</v>
      </c>
      <c r="N16" s="3">
        <f>[15]MVTSEPT23!$AD$40</f>
        <v>210000</v>
      </c>
      <c r="O16" s="3"/>
      <c r="P16" s="4">
        <f t="shared" si="0"/>
        <v>2263500</v>
      </c>
    </row>
    <row r="17" spans="1:16" ht="20" x14ac:dyDescent="0.4">
      <c r="A17" s="1" t="s">
        <v>12</v>
      </c>
      <c r="B17" s="42"/>
      <c r="C17" s="42"/>
      <c r="D17" s="42">
        <f>[15]MVTOCT23!$G$40</f>
        <v>19999.999999999993</v>
      </c>
      <c r="E17" s="3">
        <f>[15]MVTOCT23!$K$40</f>
        <v>596500</v>
      </c>
      <c r="F17" s="3">
        <f>[15]MVTOCT23!$L$40</f>
        <v>29000</v>
      </c>
      <c r="G17" s="3">
        <f>[15]MVTOCT23!$M$40</f>
        <v>29000</v>
      </c>
      <c r="H17" s="3">
        <f>[15]MVTOCT23!$N$40</f>
        <v>116000</v>
      </c>
      <c r="I17" s="3">
        <f>[15]MVTOCT23!$O$40</f>
        <v>0</v>
      </c>
      <c r="J17" s="3">
        <f>[15]MVTOCT23!$P$40</f>
        <v>0</v>
      </c>
      <c r="K17" s="3">
        <f>[15]MVTOCT23!$Q$40</f>
        <v>0</v>
      </c>
      <c r="L17" s="3">
        <f>[15]MVTOCT23!$U$40</f>
        <v>740000</v>
      </c>
      <c r="M17" s="3">
        <f>[15]MVTOCT23!$I$40</f>
        <v>0</v>
      </c>
      <c r="N17" s="3">
        <f>[15]MVTOCT23!$AD$40</f>
        <v>140000</v>
      </c>
      <c r="O17" s="3"/>
      <c r="P17" s="4">
        <f t="shared" si="0"/>
        <v>1670500</v>
      </c>
    </row>
    <row r="18" spans="1:16" ht="20" x14ac:dyDescent="0.4">
      <c r="A18" s="1" t="s">
        <v>13</v>
      </c>
      <c r="B18" s="42"/>
      <c r="C18" s="42"/>
      <c r="D18" s="42">
        <f>[15]MVTNOV23!$G$40</f>
        <v>0</v>
      </c>
      <c r="E18" s="3">
        <f>[15]MVTNOV23!$K$40</f>
        <v>372500</v>
      </c>
      <c r="F18" s="3">
        <f>[15]MVTNOV23!$L$40</f>
        <v>32000</v>
      </c>
      <c r="G18" s="3">
        <f>[15]MVTNOV23!$M$40</f>
        <v>32000</v>
      </c>
      <c r="H18" s="3">
        <f>[15]MVTNOV23!$N$40</f>
        <v>128000</v>
      </c>
      <c r="I18" s="3">
        <f>[15]MVTNOV23!$O$40</f>
        <v>18000</v>
      </c>
      <c r="J18" s="3">
        <f>[15]MVTNOV23!$P$40</f>
        <v>0</v>
      </c>
      <c r="K18" s="3">
        <f>[15]MVTNOV23!$Q$40</f>
        <v>0</v>
      </c>
      <c r="L18" s="3">
        <f>[15]MVTNOV23!$U$40</f>
        <v>439500</v>
      </c>
      <c r="M18" s="3">
        <f>[15]MVTNOV23!$I$40</f>
        <v>0</v>
      </c>
      <c r="N18" s="3">
        <f>[15]MVTNOV23!$AD$40</f>
        <v>210000</v>
      </c>
      <c r="O18" s="3"/>
      <c r="P18" s="4">
        <f t="shared" si="0"/>
        <v>1232000</v>
      </c>
    </row>
    <row r="19" spans="1:16" ht="20" x14ac:dyDescent="0.4">
      <c r="A19" s="1" t="s">
        <v>14</v>
      </c>
      <c r="B19" s="42"/>
      <c r="C19" s="42"/>
      <c r="D19" s="42">
        <f>[15]MVTDEC23!$G$40</f>
        <v>0</v>
      </c>
      <c r="E19" s="3">
        <f>[15]MVTDEC23!$K$40</f>
        <v>482800</v>
      </c>
      <c r="F19" s="3">
        <f>[15]MVTDEC23!$L$40</f>
        <v>31000</v>
      </c>
      <c r="G19" s="3">
        <f>[15]MVTDEC23!$M$40</f>
        <v>31000</v>
      </c>
      <c r="H19" s="3">
        <f>[15]MVTDEC23!$N$40</f>
        <v>124000</v>
      </c>
      <c r="I19" s="3">
        <f>[15]MVTDEC23!$O$40</f>
        <v>0</v>
      </c>
      <c r="J19" s="3">
        <f>[15]MVTDEC23!$P$40</f>
        <v>0</v>
      </c>
      <c r="K19" s="3">
        <f>[15]MVTDEC23!$Q$40</f>
        <v>0</v>
      </c>
      <c r="L19" s="3">
        <f>[15]MVTDEC23!$U$40</f>
        <v>13317700</v>
      </c>
      <c r="M19" s="3">
        <f>[15]MVTDEC23!$I$40</f>
        <v>207000</v>
      </c>
      <c r="N19" s="3">
        <f>[15]MVTDEC23!$AD$40</f>
        <v>140000</v>
      </c>
      <c r="O19" s="3">
        <f>[13]TONTRESUME23!$S$6+[14]TONTRESUME23!$S$6</f>
        <v>63707.983193277309</v>
      </c>
      <c r="P19" s="4">
        <f t="shared" si="0"/>
        <v>14397207.983193276</v>
      </c>
    </row>
    <row r="21" spans="1:16" ht="20" x14ac:dyDescent="0.4">
      <c r="A21" s="5" t="s">
        <v>23</v>
      </c>
      <c r="B21" s="4">
        <f t="shared" ref="B21:O21" si="1">SUM(B8:B20)</f>
        <v>0</v>
      </c>
      <c r="C21" s="4">
        <f t="shared" si="1"/>
        <v>0</v>
      </c>
      <c r="D21" s="4">
        <f t="shared" si="1"/>
        <v>1746199.9999999998</v>
      </c>
      <c r="E21" s="4">
        <f t="shared" si="1"/>
        <v>6599068</v>
      </c>
      <c r="F21" s="4">
        <f t="shared" si="1"/>
        <v>363000</v>
      </c>
      <c r="G21" s="4">
        <f t="shared" si="1"/>
        <v>360000</v>
      </c>
      <c r="H21" s="4">
        <f t="shared" si="1"/>
        <v>1440000</v>
      </c>
      <c r="I21" s="4">
        <f t="shared" si="1"/>
        <v>79000</v>
      </c>
      <c r="J21" s="4">
        <f t="shared" si="1"/>
        <v>75000</v>
      </c>
      <c r="K21" s="4">
        <f t="shared" si="1"/>
        <v>360000</v>
      </c>
      <c r="L21" s="4">
        <f t="shared" si="1"/>
        <v>25939700</v>
      </c>
      <c r="M21" s="4">
        <f t="shared" si="1"/>
        <v>207000</v>
      </c>
      <c r="N21" s="4">
        <f t="shared" si="1"/>
        <v>2240000</v>
      </c>
      <c r="O21" s="4">
        <f t="shared" si="1"/>
        <v>63707.983193277309</v>
      </c>
      <c r="P21" s="4">
        <f>SUM(P8:P20)</f>
        <v>39472675.983193278</v>
      </c>
    </row>
  </sheetData>
  <mergeCells count="1">
    <mergeCell ref="D2:J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3"/>
  <sheetViews>
    <sheetView workbookViewId="0">
      <pane ySplit="6" topLeftCell="A7" activePane="bottomLeft" state="frozen"/>
      <selection pane="bottomLeft" activeCell="G12" sqref="G12"/>
    </sheetView>
  </sheetViews>
  <sheetFormatPr baseColWidth="10" defaultRowHeight="14.5" x14ac:dyDescent="0.35"/>
  <cols>
    <col min="1" max="1" width="12.453125" bestFit="1" customWidth="1"/>
    <col min="2" max="2" width="19.81640625" customWidth="1"/>
    <col min="3" max="3" width="16.26953125" bestFit="1" customWidth="1"/>
    <col min="4" max="4" width="18.26953125" bestFit="1" customWidth="1"/>
    <col min="5" max="5" width="17.54296875" customWidth="1"/>
    <col min="6" max="6" width="16.26953125" bestFit="1" customWidth="1"/>
    <col min="7" max="8" width="13.54296875" bestFit="1" customWidth="1"/>
    <col min="9" max="9" width="16.26953125" bestFit="1" customWidth="1"/>
    <col min="10" max="10" width="18.26953125" bestFit="1" customWidth="1"/>
    <col min="11" max="12" width="16.26953125" customWidth="1"/>
    <col min="13" max="13" width="18.26953125" bestFit="1" customWidth="1"/>
  </cols>
  <sheetData>
    <row r="2" spans="1:13" ht="26" x14ac:dyDescent="0.6">
      <c r="C2" s="130" t="s">
        <v>24</v>
      </c>
      <c r="D2" s="131"/>
      <c r="E2" s="131"/>
      <c r="F2" s="131"/>
      <c r="G2" s="131"/>
      <c r="H2" s="131"/>
      <c r="I2" s="131"/>
      <c r="J2" s="41"/>
      <c r="K2" s="41"/>
      <c r="L2" s="61"/>
    </row>
    <row r="3" spans="1:13" x14ac:dyDescent="0.35">
      <c r="A3" s="1" t="s">
        <v>10</v>
      </c>
      <c r="B3" s="1" t="s">
        <v>128</v>
      </c>
    </row>
    <row r="5" spans="1:13" ht="15" thickBot="1" x14ac:dyDescent="0.4"/>
    <row r="6" spans="1:13" ht="29.5" thickTop="1" x14ac:dyDescent="0.4">
      <c r="A6" s="9" t="s">
        <v>8</v>
      </c>
      <c r="B6" s="6" t="s">
        <v>32</v>
      </c>
      <c r="C6" s="10" t="s">
        <v>1</v>
      </c>
      <c r="D6" s="11" t="s">
        <v>2</v>
      </c>
      <c r="E6" s="11" t="s">
        <v>3</v>
      </c>
      <c r="F6" s="11" t="s">
        <v>4</v>
      </c>
      <c r="G6" s="11" t="s">
        <v>5</v>
      </c>
      <c r="H6" s="11" t="s">
        <v>6</v>
      </c>
      <c r="I6" s="11" t="s">
        <v>7</v>
      </c>
      <c r="J6" s="43" t="s">
        <v>91</v>
      </c>
      <c r="K6" s="43" t="s">
        <v>57</v>
      </c>
      <c r="L6" s="43" t="s">
        <v>35</v>
      </c>
      <c r="M6" s="12" t="s">
        <v>23</v>
      </c>
    </row>
    <row r="7" spans="1:13" x14ac:dyDescent="0.35">
      <c r="A7" s="13" t="s">
        <v>9</v>
      </c>
      <c r="B7" s="89"/>
      <c r="C7" s="39"/>
      <c r="D7" s="39"/>
      <c r="E7" s="39"/>
      <c r="F7" s="39"/>
      <c r="G7" s="39"/>
      <c r="H7" s="39"/>
      <c r="I7" s="39"/>
      <c r="J7" s="90"/>
      <c r="K7" s="90"/>
      <c r="L7" s="90"/>
      <c r="M7" s="15"/>
    </row>
    <row r="8" spans="1:13" ht="20" x14ac:dyDescent="0.4">
      <c r="A8" s="13" t="s">
        <v>15</v>
      </c>
      <c r="B8" s="89"/>
      <c r="C8" s="40"/>
      <c r="D8" s="40">
        <f>[15]MVTJANV23!$AE$40</f>
        <v>6000</v>
      </c>
      <c r="E8" s="40">
        <f>[15]MVTJANV23!$AF$40</f>
        <v>0</v>
      </c>
      <c r="F8" s="40">
        <f>[15]MVTJANV23!$AH$40</f>
        <v>100000</v>
      </c>
      <c r="G8" s="40">
        <f>[15]MVTJANV23!$AJ$40</f>
        <v>0</v>
      </c>
      <c r="H8" s="40"/>
      <c r="I8" s="40">
        <f>[15]MVTJANV23!$AG$40</f>
        <v>0</v>
      </c>
      <c r="J8" s="91">
        <f>[15]MVTDEC22!$R$39</f>
        <v>15600000</v>
      </c>
      <c r="K8" s="91"/>
      <c r="L8" s="91"/>
      <c r="M8" s="17">
        <f t="shared" ref="M8:M19" si="0">SUM(C8:K8)</f>
        <v>15706000</v>
      </c>
    </row>
    <row r="9" spans="1:13" ht="20" x14ac:dyDescent="0.4">
      <c r="A9" s="13" t="s">
        <v>16</v>
      </c>
      <c r="B9" s="40">
        <v>640700</v>
      </c>
      <c r="C9" s="40"/>
      <c r="D9" s="40">
        <f>[15]MVTFEV23!$AE$40</f>
        <v>68500</v>
      </c>
      <c r="E9" s="40">
        <f>[15]MVTFEV23!$AF$40</f>
        <v>0</v>
      </c>
      <c r="F9" s="40">
        <f>[15]MVTFEV23!$AH$40</f>
        <v>0</v>
      </c>
      <c r="G9" s="91">
        <f>[15]MVTFEV23!$AJ$40</f>
        <v>200000</v>
      </c>
      <c r="H9" s="40"/>
      <c r="I9" s="40">
        <f>[15]MVTFEV23!$AG$40</f>
        <v>560000</v>
      </c>
      <c r="J9" s="91">
        <f>[15]MVTFEV23!$R$40</f>
        <v>1000000</v>
      </c>
      <c r="K9" s="91"/>
      <c r="L9" s="91"/>
      <c r="M9" s="17">
        <f t="shared" si="0"/>
        <v>1828500</v>
      </c>
    </row>
    <row r="10" spans="1:13" ht="20" x14ac:dyDescent="0.4">
      <c r="A10" s="13" t="s">
        <v>17</v>
      </c>
      <c r="B10" s="89"/>
      <c r="C10" s="40"/>
      <c r="D10" s="40">
        <f>[15]MVTMARS23!$AE$40</f>
        <v>6000</v>
      </c>
      <c r="E10" s="40">
        <f>[15]MVTMARS23!$AF$40</f>
        <v>0</v>
      </c>
      <c r="F10" s="40">
        <f>[15]MVTMARS23!$AH$40</f>
        <v>100000</v>
      </c>
      <c r="G10" s="40">
        <f>[15]MVTMARS23!$AJ$40</f>
        <v>0</v>
      </c>
      <c r="H10" s="40"/>
      <c r="I10" s="40">
        <f>[15]MVTMARS23!$AG$40</f>
        <v>0</v>
      </c>
      <c r="J10" s="91">
        <f>[15]MVTMARS23!$R$40</f>
        <v>200000</v>
      </c>
      <c r="K10" s="91"/>
      <c r="L10" s="91">
        <v>1750000</v>
      </c>
      <c r="M10" s="17">
        <f t="shared" si="0"/>
        <v>306000</v>
      </c>
    </row>
    <row r="11" spans="1:13" ht="20" x14ac:dyDescent="0.4">
      <c r="A11" s="13" t="s">
        <v>18</v>
      </c>
      <c r="B11" s="89"/>
      <c r="C11" s="40"/>
      <c r="D11" s="40">
        <f>[15]MVTAVRIL23!$AE$40</f>
        <v>6000</v>
      </c>
      <c r="E11" s="40">
        <f>[15]MVTAVRIL23!$AF$40</f>
        <v>0</v>
      </c>
      <c r="F11" s="40">
        <f>[15]MVTAVRIL23!$AH$40</f>
        <v>100000</v>
      </c>
      <c r="G11" s="40">
        <f>[15]MVTAVRIL23!$AJ$40</f>
        <v>0</v>
      </c>
      <c r="H11" s="40"/>
      <c r="I11" s="40">
        <f>[15]MVTAVRIL23!$AG$40</f>
        <v>0</v>
      </c>
      <c r="J11" s="91">
        <f>[15]MVTAVRIL23!$R$40</f>
        <v>3500000</v>
      </c>
      <c r="K11" s="91"/>
      <c r="L11" s="91"/>
      <c r="M11" s="17">
        <f t="shared" si="0"/>
        <v>3606000</v>
      </c>
    </row>
    <row r="12" spans="1:13" ht="20" x14ac:dyDescent="0.4">
      <c r="A12" s="13" t="s">
        <v>19</v>
      </c>
      <c r="B12" s="89"/>
      <c r="C12" s="40"/>
      <c r="D12" s="40">
        <f>[15]MVTMAI23!$AE$40</f>
        <v>6000</v>
      </c>
      <c r="E12" s="40">
        <f>[15]MVTMAI23!$AF$40</f>
        <v>0</v>
      </c>
      <c r="F12" s="40">
        <f>[15]MVTMAI23!$AH$40</f>
        <v>100000</v>
      </c>
      <c r="G12" s="40">
        <f>[15]MVTMAI23!$AJ$40</f>
        <v>0</v>
      </c>
      <c r="H12" s="40"/>
      <c r="I12" s="40">
        <f>[15]MVTMAI23!$AG$40</f>
        <v>200000</v>
      </c>
      <c r="J12" s="91">
        <f>[15]MVTMAI23!$R$40</f>
        <v>0</v>
      </c>
      <c r="K12" s="91"/>
      <c r="L12" s="91"/>
      <c r="M12" s="17">
        <f t="shared" si="0"/>
        <v>306000</v>
      </c>
    </row>
    <row r="13" spans="1:13" ht="20" x14ac:dyDescent="0.4">
      <c r="A13" s="13" t="s">
        <v>20</v>
      </c>
      <c r="B13" s="89"/>
      <c r="C13" s="40"/>
      <c r="D13" s="40">
        <f>[15]MVTJUIN23!$AE$40</f>
        <v>24000</v>
      </c>
      <c r="E13" s="40">
        <f>[15]MVTJUIN23!$AF$40</f>
        <v>20000</v>
      </c>
      <c r="F13" s="40">
        <f>[15]MVTJUIN23!$AH$40</f>
        <v>100000</v>
      </c>
      <c r="G13" s="40">
        <f>[15]MVTJUIN23!$AJ$40</f>
        <v>0</v>
      </c>
      <c r="H13" s="40"/>
      <c r="I13" s="40">
        <f>[15]MVTJUIN23!$AG$40</f>
        <v>0</v>
      </c>
      <c r="J13" s="91">
        <f>[15]MVTJUIN23!$R$40</f>
        <v>1555000</v>
      </c>
      <c r="K13" s="91"/>
      <c r="L13" s="91"/>
      <c r="M13" s="17">
        <f t="shared" si="0"/>
        <v>1699000</v>
      </c>
    </row>
    <row r="14" spans="1:13" ht="20" x14ac:dyDescent="0.4">
      <c r="A14" s="13" t="s">
        <v>21</v>
      </c>
      <c r="B14" s="89"/>
      <c r="C14" s="18"/>
      <c r="D14" s="40">
        <f>[15]MVTJUIL23!$AE$40</f>
        <v>6000</v>
      </c>
      <c r="E14" s="40">
        <f>[15]MVTJUIL23!$AF$40</f>
        <v>50000</v>
      </c>
      <c r="F14" s="40">
        <f>[15]MVTJUIL23!$AH$40</f>
        <v>100000</v>
      </c>
      <c r="G14" s="40">
        <f>[15]MVTJUIL23!$AJ$40</f>
        <v>0</v>
      </c>
      <c r="H14" s="40"/>
      <c r="I14" s="40">
        <f>[15]MVTJUIL23!$AG$40</f>
        <v>0</v>
      </c>
      <c r="J14" s="91">
        <f>[15]MVTJUIL23!$R$40</f>
        <v>1000000</v>
      </c>
      <c r="K14" s="91"/>
      <c r="L14" s="91"/>
      <c r="M14" s="17">
        <f t="shared" si="0"/>
        <v>1156000</v>
      </c>
    </row>
    <row r="15" spans="1:13" ht="20" x14ac:dyDescent="0.4">
      <c r="A15" s="13" t="s">
        <v>22</v>
      </c>
      <c r="B15" s="89"/>
      <c r="C15" s="40"/>
      <c r="D15" s="40">
        <f>[15]MVTAOUT23!$AE$40</f>
        <v>45000</v>
      </c>
      <c r="E15" s="40">
        <f>[15]MVTAOUT23!$AF$40</f>
        <v>155000</v>
      </c>
      <c r="F15" s="40">
        <f>[15]MVTAOUT23!$AH$40</f>
        <v>100000</v>
      </c>
      <c r="G15" s="40">
        <f>[15]MVTAOUT23!$AJ$40</f>
        <v>0</v>
      </c>
      <c r="H15" s="40"/>
      <c r="I15" s="40">
        <f>[15]MVTAOUT23!$AG$40</f>
        <v>560000</v>
      </c>
      <c r="J15" s="91">
        <f>[15]MVTAOUT23!$R$40</f>
        <v>1600000</v>
      </c>
      <c r="K15" s="91"/>
      <c r="L15" s="91"/>
      <c r="M15" s="17">
        <f t="shared" si="0"/>
        <v>2460000</v>
      </c>
    </row>
    <row r="16" spans="1:13" ht="20" x14ac:dyDescent="0.4">
      <c r="A16" s="13" t="s">
        <v>11</v>
      </c>
      <c r="B16" s="89"/>
      <c r="C16" s="40"/>
      <c r="D16" s="40">
        <f>[15]MVTSEPT23!$AE$40</f>
        <v>6000</v>
      </c>
      <c r="E16" s="40">
        <f>[15]MVTSEPT23!$AF$40</f>
        <v>0</v>
      </c>
      <c r="F16" s="40">
        <f>[15]MVTSEPT23!$AH$40</f>
        <v>100000</v>
      </c>
      <c r="G16" s="40">
        <f>[15]MVTSEPT23!$AJ$40</f>
        <v>0</v>
      </c>
      <c r="H16" s="40"/>
      <c r="I16" s="40">
        <f>[15]MVTSEPT23!$AG$40</f>
        <v>0</v>
      </c>
      <c r="J16" s="91">
        <f>[15]MVTSEPT23!$R$40</f>
        <v>0</v>
      </c>
      <c r="K16" s="91"/>
      <c r="L16" s="91"/>
      <c r="M16" s="17">
        <f t="shared" si="0"/>
        <v>106000</v>
      </c>
    </row>
    <row r="17" spans="1:13" ht="20" x14ac:dyDescent="0.4">
      <c r="A17" s="13" t="s">
        <v>12</v>
      </c>
      <c r="B17" s="89"/>
      <c r="C17" s="40"/>
      <c r="D17" s="40">
        <f>[15]MVTOCT23!$AE$40</f>
        <v>13500</v>
      </c>
      <c r="E17" s="40">
        <f>[15]MVTOCT23!$AF$40</f>
        <v>600000</v>
      </c>
      <c r="F17" s="40">
        <f>[15]MVTOCT23!$AH$40</f>
        <v>100000</v>
      </c>
      <c r="G17" s="40">
        <f>[15]MVTOCT23!$AJ$40</f>
        <v>0</v>
      </c>
      <c r="H17" s="40"/>
      <c r="I17" s="40">
        <f>[15]MVTOCT23!$AG$40</f>
        <v>0</v>
      </c>
      <c r="J17" s="91">
        <f>[15]MVTOCT23!$R$40</f>
        <v>1500000</v>
      </c>
      <c r="K17" s="91"/>
      <c r="L17" s="91"/>
      <c r="M17" s="17">
        <f t="shared" si="0"/>
        <v>2213500</v>
      </c>
    </row>
    <row r="18" spans="1:13" ht="20" x14ac:dyDescent="0.4">
      <c r="A18" s="13" t="s">
        <v>13</v>
      </c>
      <c r="B18" s="89"/>
      <c r="C18" s="40"/>
      <c r="D18" s="40">
        <f>[15]MVTNOV23!$AE$40</f>
        <v>6000</v>
      </c>
      <c r="E18" s="40">
        <f>[15]MVTNOV23!$AF$40</f>
        <v>0</v>
      </c>
      <c r="F18" s="40">
        <f>[15]MVTNOV23!$AH$40</f>
        <v>110000</v>
      </c>
      <c r="G18" s="40">
        <f>[15]MVTNOV23!$AJ$40</f>
        <v>0</v>
      </c>
      <c r="H18" s="40"/>
      <c r="I18" s="40">
        <f>[15]MVTNOV23!$AG$40</f>
        <v>0</v>
      </c>
      <c r="J18" s="91">
        <f>[15]MVTNOV23!$R$40</f>
        <v>0</v>
      </c>
      <c r="K18" s="91"/>
      <c r="L18" s="91"/>
      <c r="M18" s="17">
        <f t="shared" si="0"/>
        <v>116000</v>
      </c>
    </row>
    <row r="19" spans="1:13" ht="20" x14ac:dyDescent="0.4">
      <c r="A19" s="13" t="s">
        <v>14</v>
      </c>
      <c r="B19" s="89"/>
      <c r="C19" s="40"/>
      <c r="D19" s="40">
        <f>[15]MVTDEC23!$AE$40</f>
        <v>6000</v>
      </c>
      <c r="E19" s="40">
        <f>[15]MVTDEC23!$AF$40</f>
        <v>0</v>
      </c>
      <c r="F19" s="40">
        <f>[15]MVTDEC23!$AH$40</f>
        <v>0</v>
      </c>
      <c r="G19" s="40">
        <f>[15]MVTDEC23!$AJ$40</f>
        <v>0</v>
      </c>
      <c r="H19" s="40"/>
      <c r="I19" s="40">
        <f>[15]MVTDEC23!$AG$40</f>
        <v>0</v>
      </c>
      <c r="J19" s="91">
        <f>[15]MVTDEC23!$R$40</f>
        <v>14310000</v>
      </c>
      <c r="K19" s="91"/>
      <c r="L19" s="91"/>
      <c r="M19" s="17">
        <f t="shared" si="0"/>
        <v>14316000</v>
      </c>
    </row>
    <row r="20" spans="1:13" ht="20" x14ac:dyDescent="0.4">
      <c r="A20" s="13"/>
      <c r="C20" s="16"/>
      <c r="D20" s="16"/>
      <c r="E20" s="16"/>
      <c r="F20" s="16"/>
      <c r="G20" s="14"/>
      <c r="H20" s="14"/>
      <c r="I20" s="16"/>
      <c r="J20" s="45"/>
      <c r="K20" s="45"/>
      <c r="L20" s="45"/>
      <c r="M20" s="17"/>
    </row>
    <row r="21" spans="1:13" ht="20" x14ac:dyDescent="0.4">
      <c r="A21" s="19"/>
      <c r="B21" s="4"/>
      <c r="C21" s="14"/>
      <c r="D21" s="14"/>
      <c r="E21" s="14"/>
      <c r="F21" s="14"/>
      <c r="G21" s="14"/>
      <c r="H21" s="14"/>
      <c r="I21" s="14"/>
      <c r="J21" s="44"/>
      <c r="K21" s="44"/>
      <c r="L21" s="44"/>
      <c r="M21" s="15"/>
    </row>
    <row r="22" spans="1:13" ht="20.5" thickBot="1" x14ac:dyDescent="0.45">
      <c r="A22" s="92" t="s">
        <v>23</v>
      </c>
      <c r="B22" s="93">
        <f t="shared" ref="B22:M22" si="1">SUM(B8:B21)</f>
        <v>640700</v>
      </c>
      <c r="C22" s="93">
        <f t="shared" si="1"/>
        <v>0</v>
      </c>
      <c r="D22" s="93">
        <f t="shared" si="1"/>
        <v>199000</v>
      </c>
      <c r="E22" s="93">
        <f t="shared" si="1"/>
        <v>825000</v>
      </c>
      <c r="F22" s="93">
        <f t="shared" si="1"/>
        <v>1010000</v>
      </c>
      <c r="G22" s="93">
        <f t="shared" si="1"/>
        <v>200000</v>
      </c>
      <c r="H22" s="93">
        <f t="shared" si="1"/>
        <v>0</v>
      </c>
      <c r="I22" s="93">
        <f t="shared" si="1"/>
        <v>1320000</v>
      </c>
      <c r="J22" s="93">
        <f t="shared" si="1"/>
        <v>40265000</v>
      </c>
      <c r="K22" s="93">
        <f t="shared" si="1"/>
        <v>0</v>
      </c>
      <c r="L22" s="93">
        <f t="shared" si="1"/>
        <v>1750000</v>
      </c>
      <c r="M22" s="94">
        <f t="shared" si="1"/>
        <v>43819000</v>
      </c>
    </row>
    <row r="23" spans="1:13" ht="15" thickTop="1" x14ac:dyDescent="0.35"/>
  </sheetData>
  <mergeCells count="1">
    <mergeCell ref="C2:I2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5"/>
  <sheetViews>
    <sheetView tabSelected="1" zoomScaleNormal="100" workbookViewId="0">
      <pane xSplit="2" ySplit="5" topLeftCell="M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R7" sqref="R7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81640625" customWidth="1"/>
    <col min="4" max="4" width="15" bestFit="1" customWidth="1"/>
    <col min="5" max="5" width="15.26953125" customWidth="1"/>
    <col min="6" max="6" width="15" bestFit="1" customWidth="1"/>
    <col min="7" max="8" width="15.26953125" customWidth="1"/>
    <col min="9" max="9" width="16.81640625" bestFit="1" customWidth="1"/>
    <col min="10" max="14" width="16.81640625" customWidth="1"/>
    <col min="15" max="15" width="20.7265625" customWidth="1"/>
    <col min="16" max="16" width="15" bestFit="1" customWidth="1"/>
    <col min="17" max="17" width="17.54296875" style="46" bestFit="1" customWidth="1"/>
    <col min="18" max="18" width="16.54296875" customWidth="1"/>
  </cols>
  <sheetData>
    <row r="1" spans="1:18" x14ac:dyDescent="0.35">
      <c r="A1" s="1" t="s">
        <v>94</v>
      </c>
      <c r="B1" s="1" t="s">
        <v>95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</row>
    <row r="2" spans="1:18" x14ac:dyDescent="0.35">
      <c r="A2" s="1" t="s">
        <v>10</v>
      </c>
      <c r="B2" s="1" t="s">
        <v>129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</row>
    <row r="3" spans="1:18" x14ac:dyDescent="0.35">
      <c r="A3" s="1"/>
      <c r="B3" s="42"/>
      <c r="C3" s="42"/>
      <c r="D3" s="4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R3" s="42"/>
    </row>
    <row r="4" spans="1:18" ht="26.5" thickBot="1" x14ac:dyDescent="0.65">
      <c r="B4" s="47"/>
      <c r="C4" s="47"/>
      <c r="D4" s="47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48"/>
      <c r="R4" s="47"/>
    </row>
    <row r="5" spans="1:18" ht="57" thickTop="1" x14ac:dyDescent="0.35">
      <c r="A5" s="49" t="s">
        <v>96</v>
      </c>
      <c r="B5" s="50" t="s">
        <v>52</v>
      </c>
      <c r="C5" s="50" t="s">
        <v>32</v>
      </c>
      <c r="D5" s="50" t="s">
        <v>167</v>
      </c>
      <c r="E5" s="51" t="s">
        <v>97</v>
      </c>
      <c r="F5" s="50" t="s">
        <v>1</v>
      </c>
      <c r="G5" s="51" t="s">
        <v>98</v>
      </c>
      <c r="H5" s="51" t="s">
        <v>99</v>
      </c>
      <c r="I5" s="51" t="s">
        <v>100</v>
      </c>
      <c r="J5" s="50" t="s">
        <v>51</v>
      </c>
      <c r="K5" s="51" t="s">
        <v>56</v>
      </c>
      <c r="L5" s="51" t="s">
        <v>55</v>
      </c>
      <c r="M5" s="51" t="s">
        <v>177</v>
      </c>
      <c r="N5" s="51" t="s">
        <v>101</v>
      </c>
      <c r="O5" s="51" t="s">
        <v>102</v>
      </c>
      <c r="P5" s="51" t="s">
        <v>103</v>
      </c>
      <c r="Q5" s="51" t="s">
        <v>168</v>
      </c>
      <c r="R5" s="52" t="s">
        <v>54</v>
      </c>
    </row>
    <row r="6" spans="1:18" x14ac:dyDescent="0.35">
      <c r="A6" s="13" t="s">
        <v>90</v>
      </c>
      <c r="B6" s="33" t="str">
        <f>VLOOKUP(A6,[16]LISTADHERENT!A$5:H$39,3,0)</f>
        <v>ASELBY</v>
      </c>
      <c r="C6" s="25">
        <f>VLOOKUP($A6,[15]MVTRESUME23!$A$6:$AN$36,3,0)</f>
        <v>0</v>
      </c>
      <c r="D6" s="25">
        <f>VLOOKUP(A6,[15]MVTRESUME23!$A$6:$AN$36,4,0)</f>
        <v>816543.52134848095</v>
      </c>
      <c r="E6" s="25">
        <f>VLOOKUP(A6,[15]MVTRESUME23!$A$6:$AN$36,7,0)</f>
        <v>69979.737573760693</v>
      </c>
      <c r="F6" s="25">
        <f>VLOOKUP($A6,[15]MVTRESUME23!$A$6:$AN$36,11,0)</f>
        <v>0</v>
      </c>
      <c r="G6" s="25"/>
      <c r="H6" s="25"/>
      <c r="I6" s="25">
        <f>D6+E6+F6+G6+H6</f>
        <v>886523.25892224163</v>
      </c>
      <c r="J6" s="25">
        <f>VLOOKUP($A6,[15]MVTRESUME23!$A$6:$AN$36,9,0)</f>
        <v>0</v>
      </c>
      <c r="K6" s="25"/>
      <c r="L6" s="25"/>
      <c r="M6" s="25"/>
      <c r="N6" s="25">
        <f>J6+K6+L6+M6</f>
        <v>0</v>
      </c>
      <c r="O6" s="25">
        <f>I6-N6</f>
        <v>886523.25892224163</v>
      </c>
      <c r="P6" s="25"/>
      <c r="Q6" s="25">
        <f t="shared" ref="Q6:Q36" si="0">O6-P6</f>
        <v>886523.25892224163</v>
      </c>
      <c r="R6" s="26"/>
    </row>
    <row r="7" spans="1:18" x14ac:dyDescent="0.35">
      <c r="A7" s="13" t="s">
        <v>62</v>
      </c>
      <c r="B7" s="33" t="str">
        <f>VLOOKUP(A7,[16]LISTADHERENT!A$5:H$39,3,0)</f>
        <v>BAKOP ACHILLE</v>
      </c>
      <c r="C7" s="25">
        <f>VLOOKUP(A7,[15]MVTRESUME23!$A$6:$AN$36,3,0)</f>
        <v>0</v>
      </c>
      <c r="D7" s="25">
        <f>VLOOKUP(A7,[15]MVTRESUME23!$A$6:$AN$36,4,0)</f>
        <v>0</v>
      </c>
      <c r="E7" s="25">
        <f>VLOOKUP(A7,[15]MVTRESUME23!$A$6:$AN$36,7,0)</f>
        <v>13482.496361002119</v>
      </c>
      <c r="F7" s="25">
        <f>VLOOKUP($A7,[15]MVTRESUME23!$A$6:$AN$36,11,0)</f>
        <v>705000</v>
      </c>
      <c r="G7" s="25"/>
      <c r="H7" s="25"/>
      <c r="I7" s="25">
        <f t="shared" ref="I7:I36" si="1">D7+E7+F7+G7+H7</f>
        <v>718482.49636100209</v>
      </c>
      <c r="J7" s="25">
        <f>VLOOKUP($A7,[15]MVTRESUME23!$A$6:$AN$36,9,0)</f>
        <v>0</v>
      </c>
      <c r="K7" s="25">
        <v>40000</v>
      </c>
      <c r="L7" s="25">
        <v>700000</v>
      </c>
      <c r="M7" s="25"/>
      <c r="N7" s="25">
        <f t="shared" ref="N7:N36" si="2">J7+K7+L7+M7</f>
        <v>740000</v>
      </c>
      <c r="O7" s="40">
        <f t="shared" ref="O7:O36" si="3">I7-N7</f>
        <v>-21517.503638997907</v>
      </c>
      <c r="P7" s="25"/>
      <c r="Q7" s="25">
        <v>678482</v>
      </c>
      <c r="R7" s="26">
        <f>C7+L7+O7</f>
        <v>678482.49636100209</v>
      </c>
    </row>
    <row r="8" spans="1:18" x14ac:dyDescent="0.35">
      <c r="A8" s="13" t="s">
        <v>63</v>
      </c>
      <c r="B8" s="33" t="str">
        <f>VLOOKUP(A8,[16]LISTADHERENT!A$5:H$39,3,0)</f>
        <v>BOUTCHOUANG WILLIAM</v>
      </c>
      <c r="C8" s="25">
        <f>VLOOKUP(A8,[15]MVTRESUME23!$A$6:$AN$36,3,0)</f>
        <v>600000</v>
      </c>
      <c r="D8" s="25">
        <f>VLOOKUP(A8,[15]MVTRESUME23!$A$6:$AN$36,4,0)</f>
        <v>7024</v>
      </c>
      <c r="E8" s="25">
        <f>VLOOKUP(A8,[15]MVTRESUME23!$A$6:$AN$36,7,0)</f>
        <v>53009.126263205231</v>
      </c>
      <c r="F8" s="25">
        <f>VLOOKUP($A8,[15]MVTRESUME23!$A$6:$AN$36,11,0)</f>
        <v>108000</v>
      </c>
      <c r="G8" s="25"/>
      <c r="H8" s="25"/>
      <c r="I8" s="25">
        <f t="shared" si="1"/>
        <v>168033.12626320522</v>
      </c>
      <c r="J8" s="25">
        <f>VLOOKUP($A8,[15]MVTRESUME23!$A$6:$AN$36,9,0)</f>
        <v>19000</v>
      </c>
      <c r="K8" s="25">
        <v>40000</v>
      </c>
      <c r="L8" s="25">
        <v>100000</v>
      </c>
      <c r="M8" s="25"/>
      <c r="N8" s="25">
        <f t="shared" si="2"/>
        <v>159000</v>
      </c>
      <c r="O8" s="25">
        <f t="shared" si="3"/>
        <v>9033.1262632052239</v>
      </c>
      <c r="P8" s="40">
        <v>9000</v>
      </c>
      <c r="Q8" s="25">
        <f t="shared" si="0"/>
        <v>33.12626320522395</v>
      </c>
      <c r="R8" s="26">
        <f t="shared" ref="R8:R36" si="4">C8+L8</f>
        <v>700000</v>
      </c>
    </row>
    <row r="9" spans="1:18" x14ac:dyDescent="0.35">
      <c r="A9" s="13" t="s">
        <v>64</v>
      </c>
      <c r="B9" s="33" t="str">
        <f>VLOOKUP(A9,[16]LISTADHERENT!A$5:H$39,3,0)</f>
        <v xml:space="preserve">DJOMO JEAN PAUL </v>
      </c>
      <c r="C9" s="25">
        <f>VLOOKUP(A9,[15]MVTRESUME23!$A$6:$AN$36,3,0)</f>
        <v>600000</v>
      </c>
      <c r="D9" s="25">
        <f>VLOOKUP(A9,[15]MVTRESUME23!$A$6:$AN$36,4,0)</f>
        <v>4810</v>
      </c>
      <c r="E9" s="25">
        <f>VLOOKUP(A9,[15]MVTRESUME23!$A$6:$AN$36,7,0)</f>
        <v>53547.826243040035</v>
      </c>
      <c r="F9" s="25">
        <f>VLOOKUP($A9,[15]MVTRESUME23!$A$6:$AN$36,11,0)</f>
        <v>169000</v>
      </c>
      <c r="G9" s="25"/>
      <c r="H9" s="25"/>
      <c r="I9" s="25">
        <f t="shared" si="1"/>
        <v>227357.82624304004</v>
      </c>
      <c r="J9" s="25">
        <f>VLOOKUP($A9,[15]MVTRESUME23!$A$6:$AN$36,9,0)</f>
        <v>9000</v>
      </c>
      <c r="K9" s="25">
        <v>40000</v>
      </c>
      <c r="L9" s="25">
        <v>100000</v>
      </c>
      <c r="M9" s="25">
        <v>25000</v>
      </c>
      <c r="N9" s="25">
        <f t="shared" si="2"/>
        <v>174000</v>
      </c>
      <c r="O9" s="25">
        <f t="shared" si="3"/>
        <v>53357.826243040035</v>
      </c>
      <c r="P9" s="25"/>
      <c r="Q9" s="25">
        <f t="shared" si="0"/>
        <v>53357.826243040035</v>
      </c>
      <c r="R9" s="26">
        <f t="shared" si="4"/>
        <v>700000</v>
      </c>
    </row>
    <row r="10" spans="1:18" x14ac:dyDescent="0.35">
      <c r="A10" s="13" t="s">
        <v>104</v>
      </c>
      <c r="B10" s="33" t="str">
        <f>VLOOKUP(A10,[16]LISTADHERENT!A$5:H$39,3,0)</f>
        <v>DJOMOU TCHAPDA</v>
      </c>
      <c r="C10" s="25">
        <f>VLOOKUP(A10,[15]MVTRESUME23!$A$6:$AN$36,3,0)</f>
        <v>600000</v>
      </c>
      <c r="D10" s="25">
        <f>VLOOKUP(A10,[15]MVTRESUME23!$A$6:$AN$36,4,0)</f>
        <v>48710</v>
      </c>
      <c r="E10" s="25">
        <f>VLOOKUP(A10,[15]MVTRESUME23!$A$6:$AN$36,7,0)</f>
        <v>56584.679295905429</v>
      </c>
      <c r="F10" s="25">
        <f>VLOOKUP($A10,[15]MVTRESUME23!$A$6:$AN$36,11,0)</f>
        <v>106000</v>
      </c>
      <c r="G10" s="25"/>
      <c r="H10" s="25"/>
      <c r="I10" s="25">
        <f t="shared" si="1"/>
        <v>211294.67929590543</v>
      </c>
      <c r="J10" s="25">
        <f>VLOOKUP($A10,[15]MVTRESUME23!$A$6:$AN$36,9,0)</f>
        <v>22000</v>
      </c>
      <c r="K10" s="25">
        <v>40000</v>
      </c>
      <c r="L10" s="25">
        <v>100000</v>
      </c>
      <c r="M10" s="25"/>
      <c r="N10" s="25">
        <f t="shared" si="2"/>
        <v>162000</v>
      </c>
      <c r="O10" s="25">
        <f t="shared" si="3"/>
        <v>49294.679295905429</v>
      </c>
      <c r="P10" s="40">
        <v>49000</v>
      </c>
      <c r="Q10" s="25">
        <f t="shared" si="0"/>
        <v>294.67929590542917</v>
      </c>
      <c r="R10" s="26">
        <f t="shared" si="4"/>
        <v>700000</v>
      </c>
    </row>
    <row r="11" spans="1:18" x14ac:dyDescent="0.35">
      <c r="A11" s="13" t="s">
        <v>65</v>
      </c>
      <c r="B11" s="33" t="str">
        <f>VLOOKUP(A11,[16]LISTADHERENT!A$5:H$39,3,0)</f>
        <v>DJOUKWE NANGUEN GUY BLAISE</v>
      </c>
      <c r="C11" s="25">
        <f>VLOOKUP(A11,[15]MVTRESUME23!$A$6:$AN$36,3,0)</f>
        <v>600000</v>
      </c>
      <c r="D11" s="25">
        <f>VLOOKUP(A11,[15]MVTRESUME23!$A$6:$AN$36,4,0)</f>
        <v>4750</v>
      </c>
      <c r="E11" s="25">
        <f>VLOOKUP(A11,[15]MVTRESUME23!$A$6:$AN$36,7,0)</f>
        <v>52946.76789740676</v>
      </c>
      <c r="F11" s="25">
        <f>VLOOKUP($A11,[15]MVTRESUME23!$A$6:$AN$36,11,0)</f>
        <v>117500</v>
      </c>
      <c r="G11" s="25"/>
      <c r="H11" s="25"/>
      <c r="I11" s="25">
        <f t="shared" si="1"/>
        <v>175196.76789740677</v>
      </c>
      <c r="J11" s="25">
        <f>VLOOKUP($A11,[15]MVTRESUME23!$A$6:$AN$36,9,0)</f>
        <v>0</v>
      </c>
      <c r="K11" s="25">
        <v>40000</v>
      </c>
      <c r="L11" s="25">
        <v>100000</v>
      </c>
      <c r="M11" s="25"/>
      <c r="N11" s="25">
        <f t="shared" si="2"/>
        <v>140000</v>
      </c>
      <c r="O11" s="25">
        <f t="shared" si="3"/>
        <v>35196.767897406768</v>
      </c>
      <c r="P11" s="40">
        <v>33000</v>
      </c>
      <c r="Q11" s="25">
        <f t="shared" si="0"/>
        <v>2196.7678974067676</v>
      </c>
      <c r="R11" s="26">
        <f t="shared" si="4"/>
        <v>700000</v>
      </c>
    </row>
    <row r="12" spans="1:18" x14ac:dyDescent="0.35">
      <c r="A12" s="13" t="s">
        <v>66</v>
      </c>
      <c r="B12" s="33" t="str">
        <f>VLOOKUP(A12,[16]LISTADHERENT!A$5:H$39,3,0)</f>
        <v>DJUOMBESSY ANTOINE</v>
      </c>
      <c r="C12" s="25">
        <f>VLOOKUP(A12,[15]MVTRESUME23!$A$6:$AN$36,3,0)</f>
        <v>600000</v>
      </c>
      <c r="D12" s="25">
        <f>VLOOKUP(A12,[15]MVTRESUME23!$A$6:$AN$36,4,0)</f>
        <v>10719</v>
      </c>
      <c r="E12" s="25">
        <f>VLOOKUP(A12,[15]MVTRESUME23!$A$6:$AN$36,7,0)</f>
        <v>55194.277451620372</v>
      </c>
      <c r="F12" s="25">
        <f>VLOOKUP($A12,[15]MVTRESUME23!$A$6:$AN$36,11,0)</f>
        <v>309600</v>
      </c>
      <c r="G12" s="25"/>
      <c r="H12" s="25"/>
      <c r="I12" s="25">
        <f t="shared" si="1"/>
        <v>375513.27745162038</v>
      </c>
      <c r="J12" s="25">
        <f>VLOOKUP($A12,[15]MVTRESUME23!$A$6:$AN$36,9,0)</f>
        <v>0</v>
      </c>
      <c r="K12" s="25">
        <v>40000</v>
      </c>
      <c r="L12" s="25">
        <v>100000</v>
      </c>
      <c r="M12" s="25">
        <v>20000</v>
      </c>
      <c r="N12" s="25">
        <f t="shared" si="2"/>
        <v>160000</v>
      </c>
      <c r="O12" s="25">
        <f t="shared" si="3"/>
        <v>215513.27745162038</v>
      </c>
      <c r="P12" s="40">
        <v>201000</v>
      </c>
      <c r="Q12" s="25">
        <f t="shared" si="0"/>
        <v>14513.277451620379</v>
      </c>
      <c r="R12" s="26">
        <f t="shared" si="4"/>
        <v>700000</v>
      </c>
    </row>
    <row r="13" spans="1:18" x14ac:dyDescent="0.35">
      <c r="A13" s="13" t="s">
        <v>87</v>
      </c>
      <c r="B13" s="33" t="str">
        <f>VLOOKUP(A13,[16]LISTADHERENT!A$5:H$39,3,0)</f>
        <v>DOMOU FABIEN</v>
      </c>
      <c r="C13" s="25">
        <f>VLOOKUP(A13,[15]MVTRESUME23!$A$6:$AN$36,3,0)</f>
        <v>600000</v>
      </c>
      <c r="D13" s="25">
        <f>VLOOKUP(A13,[15]MVTRESUME23!$A$6:$AN$36,4,0)</f>
        <v>584</v>
      </c>
      <c r="E13" s="25">
        <f>VLOOKUP(A13,[15]MVTRESUME23!$A$6:$AN$36,7,0)</f>
        <v>52457.235805909797</v>
      </c>
      <c r="F13" s="25">
        <f>VLOOKUP($A13,[15]MVTRESUME23!$A$6:$AN$36,11,0)</f>
        <v>108000</v>
      </c>
      <c r="G13" s="25"/>
      <c r="H13" s="25"/>
      <c r="I13" s="25">
        <f t="shared" si="1"/>
        <v>161041.23580590979</v>
      </c>
      <c r="J13" s="25">
        <f>VLOOKUP($A13,[15]MVTRESUME23!$A$6:$AN$36,9,0)</f>
        <v>0</v>
      </c>
      <c r="K13" s="25">
        <v>40000</v>
      </c>
      <c r="L13" s="25">
        <v>100000</v>
      </c>
      <c r="M13" s="25"/>
      <c r="N13" s="25">
        <f t="shared" si="2"/>
        <v>140000</v>
      </c>
      <c r="O13" s="25">
        <f t="shared" si="3"/>
        <v>21041.23580590979</v>
      </c>
      <c r="P13" s="40">
        <v>21000</v>
      </c>
      <c r="Q13" s="25">
        <f t="shared" si="0"/>
        <v>41.235805909789633</v>
      </c>
      <c r="R13" s="26">
        <f t="shared" si="4"/>
        <v>700000</v>
      </c>
    </row>
    <row r="14" spans="1:18" x14ac:dyDescent="0.35">
      <c r="A14" s="13" t="s">
        <v>67</v>
      </c>
      <c r="B14" s="33" t="str">
        <f>VLOOKUP(A14,[16]LISTADHERENT!A$5:H$39,3,0)</f>
        <v>DONHOU DAVID</v>
      </c>
      <c r="C14" s="25">
        <f>VLOOKUP(A14,[15]MVTRESUME23!$A$6:$AN$36,3,0)</f>
        <v>600000</v>
      </c>
      <c r="D14" s="25">
        <f>VLOOKUP(A14,[15]MVTRESUME23!$A$6:$AN$36,4,0)</f>
        <v>458343</v>
      </c>
      <c r="E14" s="25">
        <f>VLOOKUP(A14,[15]MVTRESUME23!$A$6:$AN$36,7,0)</f>
        <v>91688.291016573858</v>
      </c>
      <c r="F14" s="25">
        <f>VLOOKUP($A14,[15]MVTRESUME23!$A$6:$AN$36,11,0)</f>
        <v>108000</v>
      </c>
      <c r="G14" s="25"/>
      <c r="H14" s="25"/>
      <c r="I14" s="25">
        <f t="shared" si="1"/>
        <v>658031.2910165739</v>
      </c>
      <c r="J14" s="25">
        <f>VLOOKUP($A14,[15]MVTRESUME23!$A$6:$AN$36,9,0)</f>
        <v>0</v>
      </c>
      <c r="K14" s="25">
        <v>40000</v>
      </c>
      <c r="L14" s="25">
        <v>100000</v>
      </c>
      <c r="M14" s="25"/>
      <c r="N14" s="25">
        <f t="shared" si="2"/>
        <v>140000</v>
      </c>
      <c r="O14" s="25">
        <f t="shared" si="3"/>
        <v>518031.2910165739</v>
      </c>
      <c r="P14" s="25"/>
      <c r="Q14" s="25">
        <f t="shared" si="0"/>
        <v>518031.2910165739</v>
      </c>
      <c r="R14" s="26">
        <f t="shared" si="4"/>
        <v>700000</v>
      </c>
    </row>
    <row r="15" spans="1:18" ht="14.25" customHeight="1" x14ac:dyDescent="0.35">
      <c r="A15" s="13" t="s">
        <v>68</v>
      </c>
      <c r="B15" s="33" t="str">
        <f>VLOOKUP(A15,[16]LISTADHERENT!A$5:H$39,3,0)</f>
        <v>HENGUE PAUL OMER</v>
      </c>
      <c r="C15" s="25">
        <f>VLOOKUP(A15,[15]MVTRESUME23!$A$6:$AN$36,3,0)</f>
        <v>600000</v>
      </c>
      <c r="D15" s="25">
        <f>VLOOKUP(A15,[15]MVTRESUME23!$A$6:$AN$36,4,0)</f>
        <v>51112</v>
      </c>
      <c r="E15" s="25">
        <f>VLOOKUP(A15,[15]MVTRESUME23!$A$6:$AN$36,7,0)</f>
        <v>56787.603500921949</v>
      </c>
      <c r="F15" s="25">
        <f>VLOOKUP($A15,[15]MVTRESUME23!$A$6:$AN$36,11,0)</f>
        <v>108000</v>
      </c>
      <c r="G15" s="25"/>
      <c r="H15" s="25"/>
      <c r="I15" s="25">
        <f t="shared" si="1"/>
        <v>215899.60350092195</v>
      </c>
      <c r="J15" s="25">
        <f>VLOOKUP($A15,[15]MVTRESUME23!$A$6:$AN$36,9,0)</f>
        <v>18000</v>
      </c>
      <c r="K15" s="25">
        <v>40000</v>
      </c>
      <c r="L15" s="25">
        <v>100000</v>
      </c>
      <c r="M15" s="25"/>
      <c r="N15" s="25">
        <f t="shared" si="2"/>
        <v>158000</v>
      </c>
      <c r="O15" s="25">
        <f t="shared" si="3"/>
        <v>57899.603500921949</v>
      </c>
      <c r="P15" s="25"/>
      <c r="Q15" s="25">
        <f t="shared" si="0"/>
        <v>57899.603500921949</v>
      </c>
      <c r="R15" s="26">
        <f t="shared" si="4"/>
        <v>700000</v>
      </c>
    </row>
    <row r="16" spans="1:18" x14ac:dyDescent="0.35">
      <c r="A16" s="13" t="s">
        <v>69</v>
      </c>
      <c r="B16" s="33" t="str">
        <f>VLOOKUP(A16,[16]LISTADHERENT!A$5:H$39,3,0)</f>
        <v>HOTCHO BENJAMIN</v>
      </c>
      <c r="C16" s="25">
        <f>VLOOKUP(A16,[15]MVTRESUME23!$A$6:$AN$36,3,0)</f>
        <v>600000</v>
      </c>
      <c r="D16" s="25">
        <f>VLOOKUP(A16,[15]MVTRESUME23!$A$6:$AN$36,4,0)</f>
        <v>16230</v>
      </c>
      <c r="E16" s="25">
        <f>VLOOKUP(A16,[15]MVTRESUME23!$A$6:$AN$36,7,0)</f>
        <v>57431.20810410157</v>
      </c>
      <c r="F16" s="25">
        <f>VLOOKUP($A16,[15]MVTRESUME23!$A$6:$AN$36,11,0)</f>
        <v>508000</v>
      </c>
      <c r="G16" s="25"/>
      <c r="H16" s="25"/>
      <c r="I16" s="25">
        <f t="shared" si="1"/>
        <v>581661.20810410159</v>
      </c>
      <c r="J16" s="25">
        <f>VLOOKUP($A16,[15]MVTRESUME23!$A$6:$AN$36,9,0)</f>
        <v>12000</v>
      </c>
      <c r="K16" s="25">
        <v>40000</v>
      </c>
      <c r="L16" s="25">
        <v>100000</v>
      </c>
      <c r="M16" s="25"/>
      <c r="N16" s="25">
        <f t="shared" si="2"/>
        <v>152000</v>
      </c>
      <c r="O16" s="25">
        <f t="shared" si="3"/>
        <v>429661.20810410159</v>
      </c>
      <c r="P16" s="40">
        <v>400000</v>
      </c>
      <c r="Q16" s="25">
        <f t="shared" si="0"/>
        <v>29661.208104101592</v>
      </c>
      <c r="R16" s="26">
        <f t="shared" si="4"/>
        <v>700000</v>
      </c>
    </row>
    <row r="17" spans="1:18" s="2" customFormat="1" ht="13.5" customHeight="1" x14ac:dyDescent="0.35">
      <c r="A17" s="13" t="s">
        <v>70</v>
      </c>
      <c r="B17" s="33" t="str">
        <f>VLOOKUP(A17,[16]LISTADHERENT!A$5:H$39,3,0)</f>
        <v>KOUAMOU MOISE</v>
      </c>
      <c r="C17" s="25">
        <f>VLOOKUP(A17,[15]MVTRESUME23!$A$6:$AN$36,3,0)</f>
        <v>600000</v>
      </c>
      <c r="D17" s="25">
        <f>VLOOKUP(A17,[15]MVTRESUME23!$A$6:$AN$36,4,0)</f>
        <v>53293</v>
      </c>
      <c r="E17" s="25">
        <f>VLOOKUP(A17,[15]MVTRESUME23!$A$6:$AN$36,7,0)</f>
        <v>56974.505152878948</v>
      </c>
      <c r="F17" s="25">
        <f>VLOOKUP($A17,[15]MVTRESUME23!$A$6:$AN$36,11,0)</f>
        <v>108000</v>
      </c>
      <c r="G17" s="40"/>
      <c r="H17" s="25"/>
      <c r="I17" s="25">
        <f t="shared" si="1"/>
        <v>218267.50515287893</v>
      </c>
      <c r="J17" s="25">
        <f>VLOOKUP($A17,[15]MVTRESUME23!$A$6:$AN$36,9,0)</f>
        <v>9000</v>
      </c>
      <c r="K17" s="25">
        <v>40000</v>
      </c>
      <c r="L17" s="25">
        <v>100000</v>
      </c>
      <c r="M17" s="25"/>
      <c r="N17" s="25">
        <f t="shared" si="2"/>
        <v>149000</v>
      </c>
      <c r="O17" s="25">
        <f t="shared" si="3"/>
        <v>69267.505152878934</v>
      </c>
      <c r="P17" s="40">
        <v>60000</v>
      </c>
      <c r="Q17" s="25">
        <f t="shared" si="0"/>
        <v>9267.5051528789336</v>
      </c>
      <c r="R17" s="26">
        <f t="shared" si="4"/>
        <v>700000</v>
      </c>
    </row>
    <row r="18" spans="1:18" s="2" customFormat="1" x14ac:dyDescent="0.35">
      <c r="A18" s="13" t="s">
        <v>71</v>
      </c>
      <c r="B18" s="33" t="str">
        <f>VLOOKUP(A18,[16]LISTADHERENT!A$5:H$39,3,0)</f>
        <v>KOUATCHO MESSACK</v>
      </c>
      <c r="C18" s="25">
        <f>VLOOKUP(A18,[15]MVTRESUME23!$A$6:$AN$36,3,0)</f>
        <v>600000</v>
      </c>
      <c r="D18" s="25">
        <f>VLOOKUP(A18,[15]MVTRESUME23!$A$6:$AN$36,4,0)</f>
        <v>6459</v>
      </c>
      <c r="E18" s="25">
        <f>VLOOKUP(A18,[15]MVTRESUME23!$A$6:$AN$36,7,0)</f>
        <v>52969.628065245146</v>
      </c>
      <c r="F18" s="25">
        <f>VLOOKUP($A18,[15]MVTRESUME23!$A$6:$AN$36,11,0)</f>
        <v>108000</v>
      </c>
      <c r="G18" s="40"/>
      <c r="H18" s="25"/>
      <c r="I18" s="25">
        <f t="shared" si="1"/>
        <v>167428.62806524514</v>
      </c>
      <c r="J18" s="25">
        <f>VLOOKUP($A18,[15]MVTRESUME23!$A$6:$AN$36,9,0)</f>
        <v>3000</v>
      </c>
      <c r="K18" s="25">
        <v>40000</v>
      </c>
      <c r="L18" s="25">
        <v>100000</v>
      </c>
      <c r="M18" s="25"/>
      <c r="N18" s="25">
        <f t="shared" si="2"/>
        <v>143000</v>
      </c>
      <c r="O18" s="25">
        <f t="shared" si="3"/>
        <v>24428.628065245139</v>
      </c>
      <c r="P18" s="25"/>
      <c r="Q18" s="25">
        <f t="shared" si="0"/>
        <v>24428.628065245139</v>
      </c>
      <c r="R18" s="26">
        <f t="shared" si="4"/>
        <v>700000</v>
      </c>
    </row>
    <row r="19" spans="1:18" x14ac:dyDescent="0.35">
      <c r="A19" s="13" t="s">
        <v>72</v>
      </c>
      <c r="B19" s="33" t="str">
        <f>VLOOKUP(A19,[16]LISTADHERENT!A$5:H$39,3,0)</f>
        <v>LOWE JEAN</v>
      </c>
      <c r="C19" s="25">
        <f>VLOOKUP(A19,[15]MVTRESUME23!$A$6:$AN$36,3,0)</f>
        <v>600000</v>
      </c>
      <c r="D19" s="25">
        <f>VLOOKUP(A19,[15]MVTRESUME23!$A$6:$AN$36,4,0)</f>
        <v>746</v>
      </c>
      <c r="E19" s="25">
        <f>VLOOKUP(A19,[15]MVTRESUME23!$A$6:$AN$36,7,0)</f>
        <v>52471.13072703332</v>
      </c>
      <c r="F19" s="25">
        <f>VLOOKUP($A19,[15]MVTRESUME23!$A$6:$AN$36,11,0)</f>
        <v>108000</v>
      </c>
      <c r="G19" s="25"/>
      <c r="H19" s="25"/>
      <c r="I19" s="25">
        <f t="shared" si="1"/>
        <v>161217.13072703331</v>
      </c>
      <c r="J19" s="25">
        <f>VLOOKUP($A19,[15]MVTRESUME23!$A$6:$AN$36,9,0)</f>
        <v>20000</v>
      </c>
      <c r="K19" s="25">
        <v>40000</v>
      </c>
      <c r="L19" s="25">
        <v>100000</v>
      </c>
      <c r="M19" s="25">
        <v>25000</v>
      </c>
      <c r="N19" s="25">
        <f t="shared" si="2"/>
        <v>185000</v>
      </c>
      <c r="O19" s="40">
        <f t="shared" si="3"/>
        <v>-23782.869272966695</v>
      </c>
      <c r="P19" s="25"/>
      <c r="Q19" s="25">
        <f t="shared" si="0"/>
        <v>-23782.869272966695</v>
      </c>
      <c r="R19" s="26">
        <f>C19+L19+O19</f>
        <v>676217.13072703336</v>
      </c>
    </row>
    <row r="20" spans="1:18" x14ac:dyDescent="0.35">
      <c r="A20" s="13" t="s">
        <v>86</v>
      </c>
      <c r="B20" s="33" t="str">
        <f>VLOOKUP(A20,[16]LISTADHERENT!A$5:H$39,3,0)</f>
        <v>MBOGNING TUGMA GUY</v>
      </c>
      <c r="C20" s="25">
        <f>VLOOKUP(A20,[15]MVTRESUME23!$A$6:$AN$36,3,0)</f>
        <v>600000</v>
      </c>
      <c r="D20" s="25">
        <f>VLOOKUP(A20,[15]MVTRESUME23!$A$6:$AN$36,4,0)</f>
        <v>47746</v>
      </c>
      <c r="E20" s="25">
        <f>VLOOKUP(A20,[15]MVTRESUME23!$A$6:$AN$36,7,0)</f>
        <v>56463.397241182596</v>
      </c>
      <c r="F20" s="25">
        <f>VLOOKUP($A20,[15]MVTRESUME23!$A$6:$AN$36,11,0)</f>
        <v>108500</v>
      </c>
      <c r="G20" s="25"/>
      <c r="H20" s="25"/>
      <c r="I20" s="25">
        <f t="shared" si="1"/>
        <v>212709.3972411826</v>
      </c>
      <c r="J20" s="25">
        <f>VLOOKUP($A20,[15]MVTRESUME23!$A$6:$AN$36,9,0)</f>
        <v>0</v>
      </c>
      <c r="K20" s="25">
        <v>40000</v>
      </c>
      <c r="L20" s="25">
        <v>100000</v>
      </c>
      <c r="M20" s="25"/>
      <c r="N20" s="25">
        <f t="shared" si="2"/>
        <v>140000</v>
      </c>
      <c r="O20" s="25">
        <f t="shared" si="3"/>
        <v>72709.397241182596</v>
      </c>
      <c r="P20" s="40">
        <v>41000</v>
      </c>
      <c r="Q20" s="25">
        <f t="shared" si="0"/>
        <v>31709.397241182596</v>
      </c>
      <c r="R20" s="26">
        <f t="shared" si="4"/>
        <v>700000</v>
      </c>
    </row>
    <row r="21" spans="1:18" x14ac:dyDescent="0.35">
      <c r="A21" s="13" t="s">
        <v>81</v>
      </c>
      <c r="B21" s="33" t="str">
        <f>VLOOKUP(A21,[16]LISTADHERENT!A$5:H$39,3,0)</f>
        <v>NANGUEN MARTIN</v>
      </c>
      <c r="C21" s="25">
        <f>VLOOKUP(A21,[15]MVTRESUME23!$A$6:$AN$36,3,0)</f>
        <v>600000</v>
      </c>
      <c r="D21" s="25">
        <f>VLOOKUP(A21,[15]MVTRESUME23!$A$6:$AN$36,4,0)</f>
        <v>51343</v>
      </c>
      <c r="E21" s="25">
        <f>VLOOKUP(A21,[15]MVTRESUME23!$A$6:$AN$36,7,0)</f>
        <v>56807.362080881765</v>
      </c>
      <c r="F21" s="25">
        <f>VLOOKUP($A21,[15]MVTRESUME23!$A$6:$AN$36,11,0)</f>
        <v>108000</v>
      </c>
      <c r="G21" s="25"/>
      <c r="H21" s="25"/>
      <c r="I21" s="25">
        <f t="shared" si="1"/>
        <v>216150.36208088178</v>
      </c>
      <c r="J21" s="25">
        <f>VLOOKUP($A21,[15]MVTRESUME23!$A$6:$AN$36,9,0)</f>
        <v>0</v>
      </c>
      <c r="K21" s="25">
        <v>40000</v>
      </c>
      <c r="L21" s="25">
        <v>100000</v>
      </c>
      <c r="M21" s="25">
        <v>25000</v>
      </c>
      <c r="N21" s="25">
        <f t="shared" si="2"/>
        <v>165000</v>
      </c>
      <c r="O21" s="25">
        <f t="shared" si="3"/>
        <v>51150.36208088178</v>
      </c>
      <c r="P21" s="40">
        <v>50000</v>
      </c>
      <c r="Q21" s="25">
        <f t="shared" si="0"/>
        <v>1150.3620808817795</v>
      </c>
      <c r="R21" s="26">
        <f t="shared" si="4"/>
        <v>700000</v>
      </c>
    </row>
    <row r="22" spans="1:18" x14ac:dyDescent="0.35">
      <c r="A22" s="13" t="s">
        <v>73</v>
      </c>
      <c r="B22" s="33" t="str">
        <f>VLOOKUP(A22,[16]LISTADHERENT!A$5:H$39,3,0)</f>
        <v>NANKAM APPOLINAIRE</v>
      </c>
      <c r="C22" s="25">
        <f>VLOOKUP(A22,[15]MVTRESUME23!$A$6:$AN$36,3,0)</f>
        <v>600000</v>
      </c>
      <c r="D22" s="25">
        <f>VLOOKUP(A22,[15]MVTRESUME23!$A$6:$AN$36,4,0)</f>
        <v>140918</v>
      </c>
      <c r="E22" s="25">
        <f>VLOOKUP(A22,[15]MVTRESUME23!$A$6:$AN$36,7,0)</f>
        <v>64484.234390188009</v>
      </c>
      <c r="F22" s="25">
        <f>VLOOKUP($A22,[15]MVTRESUME23!$A$6:$AN$36,11,0)</f>
        <v>108000</v>
      </c>
      <c r="G22" s="25"/>
      <c r="H22" s="25"/>
      <c r="I22" s="25">
        <f t="shared" si="1"/>
        <v>313402.23439018801</v>
      </c>
      <c r="J22" s="25">
        <f>VLOOKUP($A22,[15]MVTRESUME23!$A$6:$AN$36,9,0)</f>
        <v>20000</v>
      </c>
      <c r="K22" s="25">
        <v>40000</v>
      </c>
      <c r="L22" s="25">
        <v>100000</v>
      </c>
      <c r="M22" s="25"/>
      <c r="N22" s="25">
        <f t="shared" si="2"/>
        <v>160000</v>
      </c>
      <c r="O22" s="25">
        <f t="shared" si="3"/>
        <v>153402.23439018801</v>
      </c>
      <c r="P22" s="40">
        <v>53000</v>
      </c>
      <c r="Q22" s="25">
        <f t="shared" si="0"/>
        <v>100402.23439018801</v>
      </c>
      <c r="R22" s="26">
        <f t="shared" si="4"/>
        <v>700000</v>
      </c>
    </row>
    <row r="23" spans="1:18" x14ac:dyDescent="0.35">
      <c r="A23" s="13" t="s">
        <v>74</v>
      </c>
      <c r="B23" s="33" t="str">
        <f>VLOOKUP(A23,[16]LISTADHERENT!A$5:H$39,3,0)</f>
        <v>NDJOMO ETIENNE</v>
      </c>
      <c r="C23" s="25">
        <f>VLOOKUP(A23,[15]MVTRESUME23!$A$6:$AN$36,3,0)</f>
        <v>600000</v>
      </c>
      <c r="D23" s="25">
        <f>VLOOKUP(A23,[15]MVTRESUME23!$A$6:$AN$36,4,0)</f>
        <v>283210</v>
      </c>
      <c r="E23" s="25">
        <f>VLOOKUP(A23,[15]MVTRESUME23!$A$6:$AN$36,7,0)</f>
        <v>77760.61781197961</v>
      </c>
      <c r="F23" s="25">
        <f>VLOOKUP($A23,[15]MVTRESUME23!$A$6:$AN$36,11,0)</f>
        <v>224000</v>
      </c>
      <c r="G23" s="25"/>
      <c r="H23" s="25"/>
      <c r="I23" s="25">
        <f t="shared" si="1"/>
        <v>584970.61781197961</v>
      </c>
      <c r="J23" s="25">
        <f>VLOOKUP($A23,[15]MVTRESUME23!$A$6:$AN$36,9,0)</f>
        <v>0</v>
      </c>
      <c r="K23" s="25">
        <v>40000</v>
      </c>
      <c r="L23" s="25">
        <v>100000</v>
      </c>
      <c r="M23" s="25"/>
      <c r="N23" s="25">
        <f t="shared" si="2"/>
        <v>140000</v>
      </c>
      <c r="O23" s="25">
        <f t="shared" si="3"/>
        <v>444970.61781197961</v>
      </c>
      <c r="P23" s="40">
        <v>220000</v>
      </c>
      <c r="Q23" s="25">
        <f t="shared" si="0"/>
        <v>224970.61781197961</v>
      </c>
      <c r="R23" s="26">
        <f t="shared" si="4"/>
        <v>700000</v>
      </c>
    </row>
    <row r="24" spans="1:18" x14ac:dyDescent="0.35">
      <c r="A24" s="13" t="s">
        <v>75</v>
      </c>
      <c r="B24" s="33" t="str">
        <f>VLOOKUP(A24,[16]LISTADHERENT!A$5:H$39,3,0)</f>
        <v>NGONDIEP CLAUDE</v>
      </c>
      <c r="C24" s="25">
        <f>VLOOKUP(A24,[15]MVTRESUME23!$A$6:$AN$36,3,0)</f>
        <v>600000</v>
      </c>
      <c r="D24" s="25">
        <f>VLOOKUP(A24,[15]MVTRESUME23!$A$6:$AN$36,4,0)</f>
        <v>39787</v>
      </c>
      <c r="E24" s="25">
        <f>VLOOKUP(A24,[15]MVTRESUME23!$A$6:$AN$36,7,0)</f>
        <v>55845.73227114683</v>
      </c>
      <c r="F24" s="25">
        <f>VLOOKUP($A24,[15]MVTRESUME23!$A$6:$AN$36,11,0)</f>
        <v>117000</v>
      </c>
      <c r="G24" s="25"/>
      <c r="H24" s="25"/>
      <c r="I24" s="25">
        <f t="shared" si="1"/>
        <v>212632.73227114684</v>
      </c>
      <c r="J24" s="25">
        <f>VLOOKUP($A24,[15]MVTRESUME23!$A$6:$AN$36,9,0)</f>
        <v>15000</v>
      </c>
      <c r="K24" s="25">
        <v>40000</v>
      </c>
      <c r="L24" s="25">
        <v>100000</v>
      </c>
      <c r="M24" s="25"/>
      <c r="N24" s="25">
        <f t="shared" si="2"/>
        <v>155000</v>
      </c>
      <c r="O24" s="25">
        <f t="shared" si="3"/>
        <v>57632.732271146844</v>
      </c>
      <c r="P24" s="25"/>
      <c r="Q24" s="25">
        <f t="shared" si="0"/>
        <v>57632.732271146844</v>
      </c>
      <c r="R24" s="26">
        <f t="shared" si="4"/>
        <v>700000</v>
      </c>
    </row>
    <row r="25" spans="1:18" x14ac:dyDescent="0.35">
      <c r="A25" s="13" t="s">
        <v>77</v>
      </c>
      <c r="B25" s="33" t="str">
        <f>VLOOKUP(A25,[16]LISTADHERENT!A$5:H$39,3,0)</f>
        <v>NGUIEMEGNI MATHIEU BLAISE</v>
      </c>
      <c r="C25" s="25">
        <f>VLOOKUP(A25,[15]MVTRESUME23!$A$6:$AN$36,3,0)</f>
        <v>600000</v>
      </c>
      <c r="D25" s="25">
        <f>VLOOKUP(A25,[15]MVTRESUME23!$A$6:$AN$36,4,0)</f>
        <v>13696</v>
      </c>
      <c r="E25" s="25">
        <f>VLOOKUP(A25,[15]MVTRESUME23!$A$6:$AN$36,7,0)</f>
        <v>53686.784231808502</v>
      </c>
      <c r="F25" s="25">
        <f>VLOOKUP($A25,[15]MVTRESUME23!$A$6:$AN$36,11,0)</f>
        <v>408000</v>
      </c>
      <c r="G25" s="25"/>
      <c r="H25" s="25"/>
      <c r="I25" s="25">
        <f t="shared" si="1"/>
        <v>475382.7842318085</v>
      </c>
      <c r="J25" s="25">
        <f>VLOOKUP($A25,[15]MVTRESUME23!$A$6:$AN$36,9,0)</f>
        <v>15000</v>
      </c>
      <c r="K25" s="25">
        <v>40000</v>
      </c>
      <c r="L25" s="25">
        <v>100000</v>
      </c>
      <c r="M25" s="25"/>
      <c r="N25" s="25">
        <f t="shared" si="2"/>
        <v>155000</v>
      </c>
      <c r="O25" s="25">
        <f t="shared" si="3"/>
        <v>320382.7842318085</v>
      </c>
      <c r="P25" s="40">
        <v>300000</v>
      </c>
      <c r="Q25" s="25">
        <f t="shared" si="0"/>
        <v>20382.784231808502</v>
      </c>
      <c r="R25" s="26">
        <f t="shared" si="4"/>
        <v>700000</v>
      </c>
    </row>
    <row r="26" spans="1:18" s="2" customFormat="1" x14ac:dyDescent="0.35">
      <c r="A26" s="13" t="s">
        <v>78</v>
      </c>
      <c r="B26" s="33" t="str">
        <f>VLOOKUP(A26,[16]LISTADHERENT!A$5:H$39,3,0)</f>
        <v>NKAMGANG JUSTIN DEJOLIE</v>
      </c>
      <c r="C26" s="25">
        <f>VLOOKUP(A26,[15]MVTRESUME23!$A$6:$AN$36,3,0)</f>
        <v>600000</v>
      </c>
      <c r="D26" s="25">
        <f>VLOOKUP(A26,[15]MVTRESUME23!$A$6:$AN$36,4,0)</f>
        <v>575</v>
      </c>
      <c r="E26" s="25">
        <f>VLOOKUP(A26,[15]MVTRESUME23!$A$6:$AN$36,7,0)</f>
        <v>52456.484583758327</v>
      </c>
      <c r="F26" s="25">
        <f>VLOOKUP($A26,[15]MVTRESUME23!$A$6:$AN$36,11,0)</f>
        <v>106000</v>
      </c>
      <c r="G26" s="40"/>
      <c r="H26" s="40"/>
      <c r="I26" s="25">
        <f t="shared" si="1"/>
        <v>159031.48458375834</v>
      </c>
      <c r="J26" s="25">
        <f>VLOOKUP($A26,[15]MVTRESUME23!$A$6:$AN$36,9,0)</f>
        <v>0</v>
      </c>
      <c r="K26" s="25">
        <v>40000</v>
      </c>
      <c r="L26" s="25">
        <v>100000</v>
      </c>
      <c r="M26" s="25"/>
      <c r="N26" s="25">
        <f t="shared" si="2"/>
        <v>140000</v>
      </c>
      <c r="O26" s="25">
        <f t="shared" si="3"/>
        <v>19031.484583758342</v>
      </c>
      <c r="P26" s="25"/>
      <c r="Q26" s="25">
        <f t="shared" si="0"/>
        <v>19031.484583758342</v>
      </c>
      <c r="R26" s="26">
        <f t="shared" si="4"/>
        <v>700000</v>
      </c>
    </row>
    <row r="27" spans="1:18" x14ac:dyDescent="0.35">
      <c r="A27" s="13" t="s">
        <v>105</v>
      </c>
      <c r="B27" s="33" t="str">
        <f>VLOOKUP(A27,[16]LISTADHERENT!A$5:H$39,3,0)</f>
        <v>NOUBE ETIENNE</v>
      </c>
      <c r="C27" s="25">
        <f>VLOOKUP(A27,[15]MVTRESUME23!$A$6:$AN$36,3,0)</f>
        <v>0</v>
      </c>
      <c r="D27" s="25">
        <f>VLOOKUP(A27,[15]MVTRESUME23!$A$6:$AN$36,4,0)</f>
        <v>0</v>
      </c>
      <c r="E27" s="25">
        <f>VLOOKUP(A27,[15]MVTRESUME23!$A$6:$AN$36,7,0)</f>
        <v>518.81693285918482</v>
      </c>
      <c r="F27" s="25">
        <f>VLOOKUP($A27,[15]MVTRESUME23!$A$6:$AN$36,11,0)</f>
        <v>720500</v>
      </c>
      <c r="G27" s="25"/>
      <c r="H27" s="25"/>
      <c r="I27" s="25">
        <f t="shared" si="1"/>
        <v>721018.81693285913</v>
      </c>
      <c r="J27" s="25">
        <f>VLOOKUP($A27,[15]MVTRESUME23!$A$6:$AN$36,9,0)</f>
        <v>0</v>
      </c>
      <c r="K27" s="25">
        <v>40000</v>
      </c>
      <c r="L27" s="25">
        <v>700000</v>
      </c>
      <c r="M27" s="25">
        <v>15000</v>
      </c>
      <c r="N27" s="25">
        <f t="shared" si="2"/>
        <v>755000</v>
      </c>
      <c r="O27" s="40">
        <f t="shared" si="3"/>
        <v>-33981.183067140868</v>
      </c>
      <c r="P27" s="25"/>
      <c r="Q27" s="25">
        <f t="shared" si="0"/>
        <v>-33981.183067140868</v>
      </c>
      <c r="R27" s="26">
        <f>C27+L27+O27</f>
        <v>666018.81693285913</v>
      </c>
    </row>
    <row r="28" spans="1:18" x14ac:dyDescent="0.35">
      <c r="A28" s="13" t="s">
        <v>79</v>
      </c>
      <c r="B28" s="33" t="str">
        <f>VLOOKUP(A28,[16]LISTADHERENT!A$5:H$39,3,0)</f>
        <v>PATEGO NJOSSU GUSTAVE</v>
      </c>
      <c r="C28" s="25">
        <f>VLOOKUP(A28,[15]MVTRESUME23!$A$6:$AN$36,3,0)</f>
        <v>600000</v>
      </c>
      <c r="D28" s="25">
        <f>VLOOKUP(A28,[15]MVTRESUME23!$A$6:$AN$36,4,0)</f>
        <v>21452</v>
      </c>
      <c r="E28" s="25">
        <f>VLOOKUP(A28,[15]MVTRESUME23!$A$6:$AN$36,7,0)</f>
        <v>54245.666300758479</v>
      </c>
      <c r="F28" s="25">
        <f>VLOOKUP($A28,[15]MVTRESUME23!$A$6:$AN$36,11,0)</f>
        <v>108000</v>
      </c>
      <c r="G28" s="25"/>
      <c r="H28" s="25"/>
      <c r="I28" s="25">
        <f t="shared" si="1"/>
        <v>183697.66630075849</v>
      </c>
      <c r="J28" s="25">
        <f>VLOOKUP($A28,[15]MVTRESUME23!$A$6:$AN$36,9,0)</f>
        <v>0</v>
      </c>
      <c r="K28" s="25">
        <v>40000</v>
      </c>
      <c r="L28" s="25">
        <v>100000</v>
      </c>
      <c r="M28" s="25"/>
      <c r="N28" s="25">
        <f t="shared" si="2"/>
        <v>140000</v>
      </c>
      <c r="O28" s="25">
        <f t="shared" si="3"/>
        <v>43697.666300758487</v>
      </c>
      <c r="P28" s="25"/>
      <c r="Q28" s="25">
        <f t="shared" si="0"/>
        <v>43697.666300758487</v>
      </c>
      <c r="R28" s="26">
        <f t="shared" si="4"/>
        <v>700000</v>
      </c>
    </row>
    <row r="29" spans="1:18" s="2" customFormat="1" x14ac:dyDescent="0.35">
      <c r="A29" s="13" t="s">
        <v>130</v>
      </c>
      <c r="B29" s="33" t="str">
        <f>VLOOKUP(A29,[16]LISTADHERENT!A$5:H$39,3,0)</f>
        <v>SEUMO POLYCARPE</v>
      </c>
      <c r="C29" s="25">
        <f>VLOOKUP(A29,[15]MVTRESUME23!$A$6:$AN$36,3,0)</f>
        <v>0</v>
      </c>
      <c r="D29" s="25">
        <f>VLOOKUP(A29,[15]MVTRESUME23!$A$6:$AN$36,4,0)</f>
        <v>0</v>
      </c>
      <c r="E29" s="25">
        <f>VLOOKUP(A29,[15]MVTRESUME23!$A$6:$AN$36,7,0)</f>
        <v>0</v>
      </c>
      <c r="F29" s="25">
        <f>VLOOKUP($A29,[15]MVTRESUME23!$A$6:$AN$36,11,0)</f>
        <v>285500</v>
      </c>
      <c r="G29" s="40"/>
      <c r="H29" s="40"/>
      <c r="I29" s="25">
        <f t="shared" si="1"/>
        <v>285500</v>
      </c>
      <c r="J29" s="25">
        <f>VLOOKUP($A29,[15]MVTRESUME23!$A$6:$AN$36,9,0)</f>
        <v>0</v>
      </c>
      <c r="K29" s="25">
        <v>40000</v>
      </c>
      <c r="L29" s="25"/>
      <c r="M29" s="25"/>
      <c r="N29" s="25">
        <f t="shared" si="2"/>
        <v>40000</v>
      </c>
      <c r="O29" s="25">
        <f t="shared" si="3"/>
        <v>245500</v>
      </c>
      <c r="P29" s="25"/>
      <c r="Q29" s="25">
        <f t="shared" si="0"/>
        <v>245500</v>
      </c>
      <c r="R29" s="26">
        <f t="shared" si="4"/>
        <v>0</v>
      </c>
    </row>
    <row r="30" spans="1:18" x14ac:dyDescent="0.35">
      <c r="A30" s="13" t="s">
        <v>89</v>
      </c>
      <c r="B30" s="33" t="str">
        <f>VLOOKUP(A30,[16]LISTADHERENT!A$5:H$39,3,0)</f>
        <v>SIME BRICE</v>
      </c>
      <c r="C30" s="25">
        <f>VLOOKUP(A30,[15]MVTRESUME23!$A$6:$AN$36,3,0)</f>
        <v>600000</v>
      </c>
      <c r="D30" s="25">
        <f>VLOOKUP(A30,[15]MVTRESUME23!$A$6:$AN$36,4,0)</f>
        <v>200752</v>
      </c>
      <c r="E30" s="25">
        <f>VLOOKUP(A30,[15]MVTRESUME23!$A$6:$AN$36,7,0)</f>
        <v>69612.150550164253</v>
      </c>
      <c r="F30" s="25">
        <f>VLOOKUP($A30,[15]MVTRESUME23!$A$6:$AN$36,11,0)</f>
        <v>108000</v>
      </c>
      <c r="G30" s="25"/>
      <c r="H30" s="25"/>
      <c r="I30" s="25">
        <f t="shared" si="1"/>
        <v>378364.15055016428</v>
      </c>
      <c r="J30" s="25">
        <f>VLOOKUP($A30,[15]MVTRESUME23!$A$6:$AN$36,9,0)</f>
        <v>34000</v>
      </c>
      <c r="K30" s="25">
        <v>40000</v>
      </c>
      <c r="L30" s="25">
        <v>100000</v>
      </c>
      <c r="M30" s="25"/>
      <c r="N30" s="25">
        <f t="shared" si="2"/>
        <v>174000</v>
      </c>
      <c r="O30" s="25">
        <f t="shared" si="3"/>
        <v>204364.15055016428</v>
      </c>
      <c r="P30" s="40">
        <v>100000</v>
      </c>
      <c r="Q30" s="25">
        <f t="shared" si="0"/>
        <v>104364.15055016428</v>
      </c>
      <c r="R30" s="26">
        <f t="shared" si="4"/>
        <v>700000</v>
      </c>
    </row>
    <row r="31" spans="1:18" x14ac:dyDescent="0.35">
      <c r="A31" s="13" t="s">
        <v>80</v>
      </c>
      <c r="B31" s="33" t="str">
        <f>VLOOKUP(A31,[16]LISTADHERENT!A$5:H$39,3,0)</f>
        <v>SIMO PIERRE</v>
      </c>
      <c r="C31" s="25">
        <f>VLOOKUP(A31,[15]MVTRESUME23!$A$6:$AN$36,3,0)</f>
        <v>600000</v>
      </c>
      <c r="D31" s="25">
        <f>VLOOKUP(A31,[15]MVTRESUME23!$A$6:$AN$36,4,0)</f>
        <v>103606</v>
      </c>
      <c r="E31" s="25">
        <f>VLOOKUP(A31,[15]MVTRESUME23!$A$6:$AN$36,7,0)</f>
        <v>63580.612182999699</v>
      </c>
      <c r="F31" s="25">
        <f>VLOOKUP($A31,[15]MVTRESUME23!$A$6:$AN$36,11,0)</f>
        <v>218500</v>
      </c>
      <c r="G31" s="25"/>
      <c r="H31" s="25"/>
      <c r="I31" s="25">
        <f t="shared" si="1"/>
        <v>385686.61218299973</v>
      </c>
      <c r="J31" s="25">
        <f>VLOOKUP($A31,[15]MVTRESUME23!$A$6:$AN$36,9,0)</f>
        <v>0</v>
      </c>
      <c r="K31" s="25">
        <v>40000</v>
      </c>
      <c r="L31" s="25">
        <v>100000</v>
      </c>
      <c r="M31" s="25">
        <v>15000</v>
      </c>
      <c r="N31" s="25">
        <f t="shared" si="2"/>
        <v>155000</v>
      </c>
      <c r="O31" s="25">
        <f t="shared" si="3"/>
        <v>230686.61218299973</v>
      </c>
      <c r="P31" s="40">
        <v>230000</v>
      </c>
      <c r="Q31" s="25">
        <f t="shared" si="0"/>
        <v>686.61218299972825</v>
      </c>
      <c r="R31" s="26">
        <f t="shared" si="4"/>
        <v>700000</v>
      </c>
    </row>
    <row r="32" spans="1:18" x14ac:dyDescent="0.35">
      <c r="A32" s="13" t="s">
        <v>82</v>
      </c>
      <c r="B32" s="33" t="str">
        <f>VLOOKUP(A32,[16]LISTADHERENT!A$5:H$39,3,0)</f>
        <v>TCHOUAMOU MATHIEU</v>
      </c>
      <c r="C32" s="25">
        <f>VLOOKUP(A32,[15]MVTRESUME23!$A$6:$AN$36,3,0)</f>
        <v>600000</v>
      </c>
      <c r="D32" s="25">
        <f>VLOOKUP(A32,[15]MVTRESUME23!$A$6:$AN$36,4,0)</f>
        <v>4208</v>
      </c>
      <c r="E32" s="25">
        <f>VLOOKUP(A32,[15]MVTRESUME23!$A$6:$AN$36,7,0)</f>
        <v>52767.8062065169</v>
      </c>
      <c r="F32" s="25">
        <f>VLOOKUP($A32,[15]MVTRESUME23!$A$6:$AN$36,11,0)</f>
        <v>108000</v>
      </c>
      <c r="G32" s="25"/>
      <c r="H32" s="25"/>
      <c r="I32" s="25">
        <f t="shared" si="1"/>
        <v>164975.80620651689</v>
      </c>
      <c r="J32" s="25">
        <f>VLOOKUP($A32,[15]MVTRESUME23!$A$6:$AN$36,9,0)</f>
        <v>0</v>
      </c>
      <c r="K32" s="25">
        <v>40000</v>
      </c>
      <c r="L32" s="25">
        <v>100000</v>
      </c>
      <c r="M32" s="25"/>
      <c r="N32" s="25">
        <f t="shared" si="2"/>
        <v>140000</v>
      </c>
      <c r="O32" s="25">
        <f t="shared" si="3"/>
        <v>24975.806206516892</v>
      </c>
      <c r="P32" s="40">
        <v>24000</v>
      </c>
      <c r="Q32" s="25">
        <f t="shared" si="0"/>
        <v>975.80620651689242</v>
      </c>
      <c r="R32" s="26">
        <f t="shared" si="4"/>
        <v>700000</v>
      </c>
    </row>
    <row r="33" spans="1:18" x14ac:dyDescent="0.35">
      <c r="A33" s="13" t="s">
        <v>83</v>
      </c>
      <c r="B33" s="33" t="str">
        <f>VLOOKUP(A33,[16]LISTADHERENT!A$5:H$39,3,0)</f>
        <v>TCHOUTOU NANA CLAUDE</v>
      </c>
      <c r="C33" s="25">
        <f>VLOOKUP(A33,[15]MVTRESUME23!$A$6:$AN$36,3,0)</f>
        <v>0</v>
      </c>
      <c r="D33" s="25">
        <f>VLOOKUP(A33,[15]MVTRESUME23!$A$6:$AN$36,4,0)</f>
        <v>0</v>
      </c>
      <c r="E33" s="25">
        <f>VLOOKUP(A33,[15]MVTRESUME23!$A$6:$AN$36,7,0)</f>
        <v>0</v>
      </c>
      <c r="F33" s="25">
        <f>VLOOKUP($A33,[15]MVTRESUME23!$A$6:$AN$36,11,0)</f>
        <v>103000</v>
      </c>
      <c r="G33" s="25"/>
      <c r="H33" s="25"/>
      <c r="I33" s="25">
        <f t="shared" si="1"/>
        <v>103000</v>
      </c>
      <c r="J33" s="25">
        <f>VLOOKUP($A33,[15]MVTRESUME23!$A$6:$AN$36,9,0)</f>
        <v>0</v>
      </c>
      <c r="K33" s="25"/>
      <c r="L33" s="25"/>
      <c r="M33" s="25"/>
      <c r="N33" s="25">
        <f t="shared" si="2"/>
        <v>0</v>
      </c>
      <c r="O33" s="25">
        <f t="shared" si="3"/>
        <v>103000</v>
      </c>
      <c r="P33" s="25"/>
      <c r="Q33" s="25">
        <f>O33-P33+76000</f>
        <v>179000</v>
      </c>
      <c r="R33" s="26">
        <f t="shared" si="4"/>
        <v>0</v>
      </c>
    </row>
    <row r="34" spans="1:18" x14ac:dyDescent="0.35">
      <c r="A34" s="13" t="s">
        <v>131</v>
      </c>
      <c r="B34" s="33" t="str">
        <f>VLOOKUP(A34,[16]LISTADHERENT!A$5:H$39,3,0)</f>
        <v>YANTCHOU GERVAIS</v>
      </c>
      <c r="C34" s="25">
        <f>VLOOKUP(A34,[15]MVTRESUME23!$A$6:$AN$36,3,0)</f>
        <v>0</v>
      </c>
      <c r="D34" s="25">
        <f>VLOOKUP(A34,[15]MVTRESUME23!$A$6:$AN$36,4,0)</f>
        <v>0</v>
      </c>
      <c r="E34" s="25">
        <f>VLOOKUP(A34,[15]MVTRESUME23!$A$6:$AN$36,7,0)</f>
        <v>524.13813217056111</v>
      </c>
      <c r="F34" s="25">
        <f>VLOOKUP($A34,[15]MVTRESUME23!$A$6:$AN$36,11,0)</f>
        <v>737500</v>
      </c>
      <c r="G34" s="25"/>
      <c r="H34" s="25"/>
      <c r="I34" s="25">
        <f t="shared" si="1"/>
        <v>738024.13813217054</v>
      </c>
      <c r="J34" s="25">
        <f>VLOOKUP($A34,[15]MVTRESUME23!$A$6:$AN$36,9,0)</f>
        <v>0</v>
      </c>
      <c r="K34" s="25">
        <v>40000</v>
      </c>
      <c r="L34" s="25">
        <v>700000</v>
      </c>
      <c r="M34" s="25"/>
      <c r="N34" s="25">
        <f t="shared" si="2"/>
        <v>740000</v>
      </c>
      <c r="O34" s="40">
        <f t="shared" si="3"/>
        <v>-1975.8618678294588</v>
      </c>
      <c r="P34" s="25"/>
      <c r="Q34" s="25">
        <f t="shared" si="0"/>
        <v>-1975.8618678294588</v>
      </c>
      <c r="R34" s="26">
        <f>C34+L34+O34</f>
        <v>698024.13813217054</v>
      </c>
    </row>
    <row r="35" spans="1:18" x14ac:dyDescent="0.35">
      <c r="A35" s="13" t="s">
        <v>84</v>
      </c>
      <c r="B35" s="33" t="str">
        <f>VLOOKUP(A35,[16]LISTADHERENT!A$5:H$39,3,0)</f>
        <v>YEPMOU JEAN JACQUES</v>
      </c>
      <c r="C35" s="25">
        <f>VLOOKUP(A35,[15]MVTRESUME23!$A$6:$AN$36,3,0)</f>
        <v>600000</v>
      </c>
      <c r="D35" s="25">
        <f>VLOOKUP(A35,[15]MVTRESUME23!$A$6:$AN$36,4,0)</f>
        <v>914734</v>
      </c>
      <c r="E35" s="25">
        <f>VLOOKUP(A35,[15]MVTRESUME23!$A$6:$AN$36,7,0)</f>
        <v>130592.84770588134</v>
      </c>
      <c r="F35" s="25">
        <f>VLOOKUP($A35,[15]MVTRESUME23!$A$6:$AN$36,11,0)</f>
        <v>98000</v>
      </c>
      <c r="G35" s="25"/>
      <c r="H35" s="25"/>
      <c r="I35" s="25">
        <f t="shared" si="1"/>
        <v>1143326.8477058813</v>
      </c>
      <c r="J35" s="25">
        <f>VLOOKUP($A35,[15]MVTRESUME23!$A$6:$AN$36,9,0)</f>
        <v>0</v>
      </c>
      <c r="K35" s="25">
        <v>40000</v>
      </c>
      <c r="L35" s="25">
        <v>100000</v>
      </c>
      <c r="M35" s="25"/>
      <c r="N35" s="25">
        <f t="shared" si="2"/>
        <v>140000</v>
      </c>
      <c r="O35" s="25">
        <f t="shared" si="3"/>
        <v>1003326.8477058813</v>
      </c>
      <c r="P35" s="25"/>
      <c r="Q35" s="25">
        <f t="shared" si="0"/>
        <v>1003326.8477058813</v>
      </c>
      <c r="R35" s="26">
        <f t="shared" si="4"/>
        <v>700000</v>
      </c>
    </row>
    <row r="36" spans="1:18" x14ac:dyDescent="0.35">
      <c r="A36" s="13" t="s">
        <v>85</v>
      </c>
      <c r="B36" s="33" t="str">
        <f>VLOOKUP(A36,[16]LISTADHERENT!A$5:H$39,3,0)</f>
        <v>YOUMBI EMMANUEL</v>
      </c>
      <c r="C36" s="25">
        <f>VLOOKUP(A36,[15]MVTRESUME23!$A$6:$AN$36,3,0)</f>
        <v>600000</v>
      </c>
      <c r="D36" s="25">
        <f>VLOOKUP(A36,[15]MVTRESUME23!$A$6:$AN$36,4,0)</f>
        <v>1057774</v>
      </c>
      <c r="E36" s="25">
        <f>VLOOKUP(A36,[15]MVTRESUME23!$A$6:$AN$36,7,0)</f>
        <v>143060.96984560182</v>
      </c>
      <c r="F36" s="25">
        <f>VLOOKUP($A36,[15]MVTRESUME23!$A$6:$AN$36,11,0)</f>
        <v>108000</v>
      </c>
      <c r="G36" s="25"/>
      <c r="H36" s="25"/>
      <c r="I36" s="25">
        <f t="shared" si="1"/>
        <v>1308834.9698456018</v>
      </c>
      <c r="J36" s="25">
        <f>VLOOKUP($A36,[15]MVTRESUME23!$A$6:$AN$36,9,0)</f>
        <v>11000</v>
      </c>
      <c r="K36" s="25">
        <v>40000</v>
      </c>
      <c r="L36" s="25">
        <v>100000</v>
      </c>
      <c r="M36" s="25"/>
      <c r="N36" s="25">
        <f t="shared" si="2"/>
        <v>151000</v>
      </c>
      <c r="O36" s="25">
        <f t="shared" si="3"/>
        <v>1157834.9698456018</v>
      </c>
      <c r="P36" s="25"/>
      <c r="Q36" s="25">
        <f t="shared" si="0"/>
        <v>1157834.9698456018</v>
      </c>
      <c r="R36" s="26">
        <f t="shared" si="4"/>
        <v>700000</v>
      </c>
    </row>
    <row r="37" spans="1:18" x14ac:dyDescent="0.35">
      <c r="A37" s="13"/>
      <c r="B37" s="33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6"/>
    </row>
    <row r="38" spans="1:18" ht="18" thickBot="1" x14ac:dyDescent="0.4">
      <c r="A38" s="85" t="s">
        <v>23</v>
      </c>
      <c r="B38" s="86"/>
      <c r="C38" s="87">
        <f>SUM(C6:C36)</f>
        <v>15000000</v>
      </c>
      <c r="D38" s="87">
        <f t="shared" ref="D38:R38" si="5">SUM(D6:D36)</f>
        <v>4359124.5213484811</v>
      </c>
      <c r="E38" s="87">
        <f t="shared" si="5"/>
        <v>1707932.1339265031</v>
      </c>
      <c r="F38" s="87">
        <f t="shared" si="5"/>
        <v>6445600</v>
      </c>
      <c r="G38" s="87">
        <f t="shared" si="5"/>
        <v>0</v>
      </c>
      <c r="H38" s="87">
        <f t="shared" si="5"/>
        <v>0</v>
      </c>
      <c r="I38" s="87">
        <f t="shared" si="5"/>
        <v>12512656.655274983</v>
      </c>
      <c r="J38" s="87">
        <f t="shared" si="5"/>
        <v>207000</v>
      </c>
      <c r="K38" s="87">
        <f t="shared" si="5"/>
        <v>1160000</v>
      </c>
      <c r="L38" s="87">
        <f t="shared" si="5"/>
        <v>4600000</v>
      </c>
      <c r="M38" s="87">
        <f t="shared" si="5"/>
        <v>125000</v>
      </c>
      <c r="N38" s="87">
        <f t="shared" si="5"/>
        <v>6092000</v>
      </c>
      <c r="O38" s="87">
        <f t="shared" si="5"/>
        <v>6420656.6552749854</v>
      </c>
      <c r="P38" s="87">
        <f t="shared" si="5"/>
        <v>1791000</v>
      </c>
      <c r="Q38" s="87">
        <f t="shared" si="5"/>
        <v>5405656.158913983</v>
      </c>
      <c r="R38" s="96">
        <f t="shared" si="5"/>
        <v>19518742.582153067</v>
      </c>
    </row>
    <row r="39" spans="1:18" ht="15" thickTop="1" x14ac:dyDescent="0.35">
      <c r="A39" s="1"/>
      <c r="B39" s="1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6"/>
    </row>
    <row r="40" spans="1:18" x14ac:dyDescent="0.35">
      <c r="A40" s="1"/>
      <c r="B40" s="1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6"/>
    </row>
    <row r="41" spans="1:18" x14ac:dyDescent="0.35">
      <c r="A41" s="13" t="s">
        <v>106</v>
      </c>
      <c r="B41" s="33" t="str">
        <f>VLOOKUP(A41,[17]LISTADHERENT!A$5:H$60,3,0)</f>
        <v>HODIEP JULES</v>
      </c>
      <c r="C41" s="25">
        <f>VLOOKUP(A41,[18]FONDSCAISSE!$A$2:$H$51,8,0)</f>
        <v>80000</v>
      </c>
      <c r="D41" s="33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53"/>
      <c r="P41" s="53"/>
      <c r="Q41" s="53"/>
      <c r="R41" s="26">
        <f>C41</f>
        <v>80000</v>
      </c>
    </row>
    <row r="42" spans="1:18" x14ac:dyDescent="0.35">
      <c r="A42" s="13" t="s">
        <v>76</v>
      </c>
      <c r="B42" s="33" t="str">
        <f>VLOOKUP(A42,[17]LISTADHERENT!A$5:H$60,3,0)</f>
        <v>NGONGANG JEAN THEODORE</v>
      </c>
      <c r="C42" s="25">
        <f>VLOOKUP(A42,[18]FONDSCAISSE!$A$2:$H$51,8,0)</f>
        <v>227663</v>
      </c>
      <c r="D42" s="33"/>
      <c r="E42" s="25"/>
      <c r="F42" s="54"/>
      <c r="G42" s="25"/>
      <c r="H42" s="25"/>
      <c r="I42" s="25"/>
      <c r="J42" s="25"/>
      <c r="K42" s="25"/>
      <c r="L42" s="25"/>
      <c r="M42" s="25"/>
      <c r="N42" s="25"/>
      <c r="O42" s="53"/>
      <c r="P42" s="53"/>
      <c r="Q42" s="53"/>
      <c r="R42" s="26">
        <f>C42</f>
        <v>227663</v>
      </c>
    </row>
    <row r="43" spans="1:18" x14ac:dyDescent="0.35">
      <c r="A43" s="13" t="s">
        <v>107</v>
      </c>
      <c r="B43" s="33" t="str">
        <f>VLOOKUP(A43,[17]LISTADHERENT!A$5:H$60,3,0)</f>
        <v>NDOMBOU JEAN CLAUDE</v>
      </c>
      <c r="C43" s="25">
        <f>VLOOKUP(A43,[18]FONDSCAISSE!$A$2:$H$51,8,0)</f>
        <v>480000</v>
      </c>
      <c r="D43" s="33"/>
      <c r="E43" s="25"/>
      <c r="F43" s="54"/>
      <c r="G43" s="25"/>
      <c r="H43" s="25"/>
      <c r="I43" s="25"/>
      <c r="J43" s="25"/>
      <c r="K43" s="25"/>
      <c r="L43" s="25"/>
      <c r="M43" s="25"/>
      <c r="N43" s="25"/>
      <c r="O43" s="53"/>
      <c r="P43" s="53"/>
      <c r="Q43" s="53"/>
      <c r="R43" s="26">
        <f>C43</f>
        <v>480000</v>
      </c>
    </row>
    <row r="44" spans="1:18" x14ac:dyDescent="0.35">
      <c r="A44" s="13" t="s">
        <v>88</v>
      </c>
      <c r="B44" s="33" t="str">
        <f>VLOOKUP(A44,[17]LISTADHERENT!A$5:H$60,3,0)</f>
        <v>NGANHOU JEAN</v>
      </c>
      <c r="C44" s="25">
        <f>VLOOKUP(A44,[18]FONDSCAISSE!$A$2:$H$51,8,0)</f>
        <v>130000</v>
      </c>
      <c r="D44" s="33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53"/>
      <c r="P44" s="53"/>
      <c r="Q44" s="53"/>
      <c r="R44" s="26">
        <f>C44</f>
        <v>130000</v>
      </c>
    </row>
    <row r="45" spans="1:18" x14ac:dyDescent="0.35">
      <c r="A45" s="55"/>
      <c r="B45" s="33"/>
      <c r="C45" s="25"/>
      <c r="D45" s="33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53"/>
      <c r="P45" s="53"/>
      <c r="Q45" s="53"/>
      <c r="R45" s="56"/>
    </row>
    <row r="46" spans="1:18" x14ac:dyDescent="0.35">
      <c r="A46" s="55"/>
      <c r="B46" s="33"/>
      <c r="C46" s="25"/>
      <c r="D46" s="33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53"/>
      <c r="P46" s="53"/>
      <c r="Q46" s="53"/>
      <c r="R46" s="56"/>
    </row>
    <row r="47" spans="1:18" x14ac:dyDescent="0.35">
      <c r="A47" s="55"/>
      <c r="B47" s="33"/>
      <c r="C47" s="25"/>
      <c r="D47" s="33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53"/>
      <c r="P47" s="53"/>
      <c r="Q47" s="53"/>
      <c r="R47" s="56"/>
    </row>
    <row r="48" spans="1:18" x14ac:dyDescent="0.35">
      <c r="A48" s="55"/>
      <c r="B48" s="33"/>
      <c r="C48" s="25"/>
      <c r="D48" s="33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53"/>
      <c r="P48" s="53"/>
      <c r="Q48" s="53"/>
      <c r="R48" s="56"/>
    </row>
    <row r="49" spans="1:18" ht="22.5" customHeight="1" x14ac:dyDescent="0.35">
      <c r="A49" s="57"/>
      <c r="B49" s="33"/>
      <c r="C49" s="33"/>
      <c r="D49" s="33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53"/>
      <c r="P49" s="53"/>
      <c r="Q49" s="53"/>
      <c r="R49" s="56"/>
    </row>
    <row r="50" spans="1:18" ht="18" thickBot="1" x14ac:dyDescent="0.4">
      <c r="A50" s="31" t="s">
        <v>23</v>
      </c>
      <c r="B50" s="58"/>
      <c r="C50" s="59">
        <f>SUM(C6:C49)</f>
        <v>30917663</v>
      </c>
      <c r="D50" s="59">
        <f t="shared" ref="D50:R50" si="6">SUM(D6:D49)</f>
        <v>8718249.0426969621</v>
      </c>
      <c r="E50" s="59">
        <f t="shared" si="6"/>
        <v>3415864.2678530063</v>
      </c>
      <c r="F50" s="59">
        <f t="shared" si="6"/>
        <v>12891200</v>
      </c>
      <c r="G50" s="59">
        <f t="shared" si="6"/>
        <v>0</v>
      </c>
      <c r="H50" s="59">
        <f t="shared" si="6"/>
        <v>0</v>
      </c>
      <c r="I50" s="59">
        <f t="shared" si="6"/>
        <v>25025313.310549967</v>
      </c>
      <c r="J50" s="59">
        <f t="shared" si="6"/>
        <v>414000</v>
      </c>
      <c r="K50" s="59">
        <f t="shared" si="6"/>
        <v>2320000</v>
      </c>
      <c r="L50" s="59">
        <f t="shared" si="6"/>
        <v>9200000</v>
      </c>
      <c r="M50" s="59"/>
      <c r="N50" s="59">
        <f t="shared" si="6"/>
        <v>12184000</v>
      </c>
      <c r="O50" s="59">
        <f t="shared" si="6"/>
        <v>12841313.310549971</v>
      </c>
      <c r="P50" s="59">
        <f t="shared" si="6"/>
        <v>3582000</v>
      </c>
      <c r="Q50" s="59">
        <f t="shared" si="6"/>
        <v>10811312.317827966</v>
      </c>
      <c r="R50" s="60">
        <f t="shared" si="6"/>
        <v>39955148.164306134</v>
      </c>
    </row>
    <row r="51" spans="1:18" ht="15" thickTop="1" x14ac:dyDescent="0.35">
      <c r="F51" s="57"/>
    </row>
    <row r="52" spans="1:18" x14ac:dyDescent="0.35">
      <c r="E52" s="27"/>
      <c r="F52" s="27"/>
      <c r="G52" s="27"/>
      <c r="H52" s="27"/>
      <c r="I52" s="27"/>
      <c r="P52" s="3"/>
    </row>
    <row r="53" spans="1:18" x14ac:dyDescent="0.35">
      <c r="P53" s="3"/>
    </row>
    <row r="54" spans="1:18" x14ac:dyDescent="0.35">
      <c r="P54" s="3"/>
    </row>
    <row r="55" spans="1:18" x14ac:dyDescent="0.35">
      <c r="P55" s="3"/>
    </row>
    <row r="56" spans="1:18" x14ac:dyDescent="0.35">
      <c r="P56" s="3"/>
    </row>
    <row r="57" spans="1:18" x14ac:dyDescent="0.35">
      <c r="P57" s="3"/>
    </row>
    <row r="58" spans="1:18" x14ac:dyDescent="0.35">
      <c r="P58" s="3"/>
    </row>
    <row r="59" spans="1:18" x14ac:dyDescent="0.35">
      <c r="P59" s="3"/>
    </row>
    <row r="60" spans="1:18" x14ac:dyDescent="0.35">
      <c r="P60" s="3"/>
    </row>
    <row r="61" spans="1:18" x14ac:dyDescent="0.35">
      <c r="P61" s="3"/>
    </row>
    <row r="62" spans="1:18" x14ac:dyDescent="0.35">
      <c r="P62" s="3"/>
    </row>
    <row r="63" spans="1:18" x14ac:dyDescent="0.35">
      <c r="P63" s="3"/>
    </row>
    <row r="64" spans="1:18" x14ac:dyDescent="0.35">
      <c r="P64" s="3"/>
    </row>
    <row r="65" spans="16:16" x14ac:dyDescent="0.35">
      <c r="P65" s="3"/>
    </row>
  </sheetData>
  <autoFilter ref="A5:Q40" xr:uid="{00000000-0009-0000-0000-000006000000}">
    <sortState ref="A5:L48">
      <sortCondition ref="B5:B48"/>
    </sortState>
  </autoFilter>
  <mergeCells count="1">
    <mergeCell ref="E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activeCell="B3" sqref="B3:C3"/>
    </sheetView>
  </sheetViews>
  <sheetFormatPr baseColWidth="10" defaultRowHeight="14.5" x14ac:dyDescent="0.35"/>
  <sheetData>
    <row r="1" spans="1:3" x14ac:dyDescent="0.35">
      <c r="A1" t="s">
        <v>181</v>
      </c>
      <c r="B1" t="s">
        <v>181</v>
      </c>
      <c r="C1" t="s">
        <v>182</v>
      </c>
    </row>
    <row r="3" spans="1:3" x14ac:dyDescent="0.35">
      <c r="A3" t="s">
        <v>186</v>
      </c>
      <c r="B3">
        <v>154000</v>
      </c>
      <c r="C3">
        <v>307000</v>
      </c>
    </row>
    <row r="4" spans="1:3" x14ac:dyDescent="0.35">
      <c r="A4" t="s">
        <v>187</v>
      </c>
      <c r="C4">
        <v>206000</v>
      </c>
    </row>
    <row r="5" spans="1:3" x14ac:dyDescent="0.35">
      <c r="A5" t="s">
        <v>188</v>
      </c>
      <c r="C5">
        <v>206000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7"/>
  <sheetViews>
    <sheetView topLeftCell="A7" workbookViewId="0">
      <selection activeCell="G14" sqref="G14"/>
    </sheetView>
  </sheetViews>
  <sheetFormatPr baseColWidth="10" defaultRowHeight="14.5" x14ac:dyDescent="0.35"/>
  <cols>
    <col min="2" max="2" width="31.26953125" bestFit="1" customWidth="1"/>
    <col min="3" max="3" width="19.1796875" bestFit="1" customWidth="1"/>
    <col min="4" max="4" width="18.26953125" bestFit="1" customWidth="1"/>
    <col min="5" max="5" width="17.7265625" customWidth="1"/>
    <col min="6" max="6" width="18.2695312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2023</v>
      </c>
    </row>
    <row r="4" spans="1:6" ht="26" x14ac:dyDescent="0.35">
      <c r="A4" s="133" t="s">
        <v>108</v>
      </c>
      <c r="B4" s="134"/>
      <c r="C4" s="134"/>
      <c r="D4" s="134"/>
      <c r="E4" s="134"/>
      <c r="F4" s="134"/>
    </row>
    <row r="5" spans="1:6" ht="15" thickBot="1" x14ac:dyDescent="0.4"/>
    <row r="6" spans="1:6" ht="37.5" thickTop="1" x14ac:dyDescent="0.45">
      <c r="A6" s="21" t="s">
        <v>109</v>
      </c>
      <c r="B6" s="23" t="s">
        <v>26</v>
      </c>
      <c r="C6" s="22" t="s">
        <v>27</v>
      </c>
      <c r="D6" s="23" t="s">
        <v>28</v>
      </c>
      <c r="E6" s="23" t="s">
        <v>29</v>
      </c>
      <c r="F6" s="24" t="s">
        <v>30</v>
      </c>
    </row>
    <row r="7" spans="1:6" ht="18.5" x14ac:dyDescent="0.45">
      <c r="A7" s="34"/>
      <c r="B7" s="36"/>
      <c r="C7" s="35"/>
      <c r="D7" s="36"/>
      <c r="E7" s="36"/>
      <c r="F7" s="37"/>
    </row>
    <row r="8" spans="1:6" x14ac:dyDescent="0.35">
      <c r="A8" s="62">
        <f>'BILAN 2023'!A8</f>
        <v>1</v>
      </c>
      <c r="B8" s="62" t="str">
        <f>'BILAN 2023'!B8</f>
        <v>FONDS DE CAISSE ET RECONDUCTION</v>
      </c>
      <c r="C8" s="62">
        <f>'BILAN 2023'!C8</f>
        <v>21291466</v>
      </c>
      <c r="D8" s="62">
        <f>'BILAN 2023'!D8</f>
        <v>24118742.582153067</v>
      </c>
      <c r="E8" s="40">
        <f>'BILAN 2023'!E8</f>
        <v>640700</v>
      </c>
      <c r="F8" s="26">
        <f>C8+D8-E8</f>
        <v>44769508.582153067</v>
      </c>
    </row>
    <row r="9" spans="1:6" x14ac:dyDescent="0.35">
      <c r="A9" s="62">
        <f>'BILAN 2023'!A9</f>
        <v>2</v>
      </c>
      <c r="B9" s="62" t="str">
        <f>'BILAN 2023'!B9</f>
        <v>FONDS DE ROULEMENT</v>
      </c>
      <c r="C9" s="62">
        <f>'BILAN 2023'!C9</f>
        <v>1996228</v>
      </c>
      <c r="D9" s="62">
        <f>'BILAN 2023'!D9</f>
        <v>363000</v>
      </c>
      <c r="E9" s="40">
        <f>'BILAN 2023'!E9</f>
        <v>193000</v>
      </c>
      <c r="F9" s="26">
        <f t="shared" ref="F9:F24" si="0">C9+D9-E9</f>
        <v>2166228</v>
      </c>
    </row>
    <row r="10" spans="1:6" x14ac:dyDescent="0.35">
      <c r="A10" s="62">
        <f>'BILAN 2023'!A10</f>
        <v>3</v>
      </c>
      <c r="B10" s="62" t="str">
        <f>'BILAN 2023'!B10</f>
        <v>FRAIS EXCEPTIONNELS</v>
      </c>
      <c r="C10" s="62">
        <f>'BILAN 2023'!C10</f>
        <v>1503460</v>
      </c>
      <c r="D10" s="62">
        <f>'BILAN 2023'!D10</f>
        <v>360000</v>
      </c>
      <c r="E10" s="40">
        <f>'BILAN 2023'!E10</f>
        <v>825000</v>
      </c>
      <c r="F10" s="26">
        <f t="shared" si="0"/>
        <v>1038460</v>
      </c>
    </row>
    <row r="11" spans="1:6" x14ac:dyDescent="0.35">
      <c r="A11" s="62">
        <f>'BILAN 2023'!A11</f>
        <v>4</v>
      </c>
      <c r="B11" s="62" t="str">
        <f>'BILAN 2023'!B11</f>
        <v>MUTUELLE\COMPLEMENT MUTUEL</v>
      </c>
      <c r="C11" s="62">
        <f>'BILAN 2023'!C11</f>
        <v>614762</v>
      </c>
      <c r="D11" s="62">
        <f>'BILAN 2023'!D11</f>
        <v>1520000</v>
      </c>
      <c r="E11" s="40">
        <f>'BILAN 2023'!E11</f>
        <v>1320000</v>
      </c>
      <c r="F11" s="26">
        <f t="shared" si="0"/>
        <v>814762</v>
      </c>
    </row>
    <row r="12" spans="1:6" x14ac:dyDescent="0.35">
      <c r="A12" s="62">
        <f>'BILAN 2023'!A12</f>
        <v>5</v>
      </c>
      <c r="B12" s="62" t="str">
        <f>'BILAN 2023'!B12</f>
        <v>INSCRIPTION</v>
      </c>
      <c r="C12" s="62">
        <f>'BILAN 2023'!C12</f>
        <v>680000</v>
      </c>
      <c r="D12" s="62">
        <f>'BILAN 2023'!D12</f>
        <v>75000</v>
      </c>
      <c r="E12" s="40">
        <f>'BILAN 2023'!E12</f>
        <v>0</v>
      </c>
      <c r="F12" s="26">
        <f t="shared" si="0"/>
        <v>755000</v>
      </c>
    </row>
    <row r="13" spans="1:6" x14ac:dyDescent="0.35">
      <c r="A13" s="62">
        <f>'BILAN 2023'!A13</f>
        <v>6</v>
      </c>
      <c r="B13" s="62" t="str">
        <f>'BILAN 2023'!B13</f>
        <v>PENALITES PAIEMENT ESPECES</v>
      </c>
      <c r="C13" s="62">
        <f>'BILAN 2023'!C13</f>
        <v>768025</v>
      </c>
      <c r="D13" s="62">
        <f>'BILAN 2023'!D13</f>
        <v>79000</v>
      </c>
      <c r="E13" s="40">
        <f>'BILAN 2023'!E13</f>
        <v>200000</v>
      </c>
      <c r="F13" s="26">
        <f t="shared" si="0"/>
        <v>647025</v>
      </c>
    </row>
    <row r="14" spans="1:6" x14ac:dyDescent="0.35">
      <c r="A14" s="62">
        <f>'BILAN 2023'!A14</f>
        <v>7</v>
      </c>
      <c r="B14" s="14" t="s">
        <v>51</v>
      </c>
      <c r="C14" s="62">
        <f>'BILAN 2023'!C14</f>
        <v>0</v>
      </c>
      <c r="D14" s="62">
        <f>'BILAN 2023'!D14</f>
        <v>207000</v>
      </c>
      <c r="E14" s="40">
        <f>'BILAN 2023'!E14</f>
        <v>0</v>
      </c>
      <c r="F14" s="26">
        <f t="shared" si="0"/>
        <v>207000</v>
      </c>
    </row>
    <row r="15" spans="1:6" x14ac:dyDescent="0.35">
      <c r="A15" s="62">
        <f>'BILAN 2023'!A15</f>
        <v>8</v>
      </c>
      <c r="B15" s="62" t="str">
        <f>'BILAN 2023'!B15</f>
        <v>COLLATION</v>
      </c>
      <c r="C15" s="62">
        <f>'BILAN 2023'!C15</f>
        <v>1320525</v>
      </c>
      <c r="D15" s="62">
        <f>'BILAN 2023'!D15</f>
        <v>1440000</v>
      </c>
      <c r="E15" s="40">
        <f>'BILAN 2023'!E15</f>
        <v>1010000</v>
      </c>
      <c r="F15" s="26">
        <f t="shared" si="0"/>
        <v>1750525</v>
      </c>
    </row>
    <row r="16" spans="1:6" x14ac:dyDescent="0.35">
      <c r="A16" s="62">
        <f>'BILAN 2023'!A16</f>
        <v>9</v>
      </c>
      <c r="B16" s="62" t="str">
        <f>'BILAN 2023'!B16</f>
        <v>TONTINE DE PRESENCE</v>
      </c>
      <c r="C16" s="62">
        <f>'BILAN 2023'!C16</f>
        <v>94000</v>
      </c>
      <c r="D16" s="62">
        <f>'BILAN 2023'!D16</f>
        <v>9000000</v>
      </c>
      <c r="E16" s="40">
        <f>'BILAN 2023'!E16</f>
        <v>8788000</v>
      </c>
      <c r="F16" s="26">
        <f t="shared" si="0"/>
        <v>306000</v>
      </c>
    </row>
    <row r="17" spans="1:6" x14ac:dyDescent="0.35">
      <c r="A17" s="62">
        <f>'BILAN 2023'!A17</f>
        <v>10</v>
      </c>
      <c r="B17" s="62" t="str">
        <f>'BILAN 2023'!B17</f>
        <v>RECOUVREMENT POUR LA'AGWEU</v>
      </c>
      <c r="C17" s="62">
        <f>'BILAN 2023'!C17</f>
        <v>0</v>
      </c>
      <c r="D17" s="62">
        <f>'BILAN 2023'!D17</f>
        <v>0</v>
      </c>
      <c r="E17" s="40">
        <f>'BILAN 2023'!E17</f>
        <v>0</v>
      </c>
      <c r="F17" s="26">
        <f t="shared" si="0"/>
        <v>0</v>
      </c>
    </row>
    <row r="18" spans="1:6" x14ac:dyDescent="0.35">
      <c r="A18" s="62">
        <f>'BILAN 2023'!A18</f>
        <v>11</v>
      </c>
      <c r="B18" s="62" t="str">
        <f>'BILAN 2023'!B18</f>
        <v>FOYER</v>
      </c>
      <c r="C18" s="62">
        <f>'BILAN 2023'!C18</f>
        <v>543000</v>
      </c>
      <c r="D18" s="62">
        <f>'BILAN 2023'!D18</f>
        <v>2240000</v>
      </c>
      <c r="E18" s="40">
        <f>'BILAN 2023'!E18</f>
        <v>1750000</v>
      </c>
      <c r="F18" s="26">
        <f t="shared" si="0"/>
        <v>1033000</v>
      </c>
    </row>
    <row r="19" spans="1:6" x14ac:dyDescent="0.35">
      <c r="A19" s="62">
        <f>'BILAN 2023'!A19</f>
        <v>12</v>
      </c>
      <c r="B19" s="62" t="str">
        <f>'BILAN 2023'!B19</f>
        <v>CHAISES</v>
      </c>
      <c r="C19" s="62">
        <f>'BILAN 2023'!C19</f>
        <v>0</v>
      </c>
      <c r="D19" s="62">
        <f>'BILAN 2023'!D19</f>
        <v>0</v>
      </c>
      <c r="E19" s="40">
        <f>'BILAN 2023'!E19</f>
        <v>0</v>
      </c>
      <c r="F19" s="26">
        <f t="shared" si="0"/>
        <v>0</v>
      </c>
    </row>
    <row r="20" spans="1:6" x14ac:dyDescent="0.35">
      <c r="A20" s="62">
        <f>'BILAN 2023'!A20</f>
        <v>13</v>
      </c>
      <c r="B20" s="62" t="str">
        <f>'BILAN 2023'!B20</f>
        <v>DIVERS</v>
      </c>
      <c r="C20" s="62">
        <f>'BILAN 2023'!C20</f>
        <v>0</v>
      </c>
      <c r="D20" s="62">
        <f>'BILAN 2023'!D20</f>
        <v>0</v>
      </c>
      <c r="E20" s="40">
        <f>'BILAN 2023'!E20</f>
        <v>0</v>
      </c>
      <c r="F20" s="26">
        <f t="shared" si="0"/>
        <v>0</v>
      </c>
    </row>
    <row r="21" spans="1:6" x14ac:dyDescent="0.35">
      <c r="A21" s="62">
        <f>'BILAN 2023'!A21</f>
        <v>14</v>
      </c>
      <c r="B21" s="62" t="str">
        <f>'BILAN 2023'!B21</f>
        <v>TENUES</v>
      </c>
      <c r="C21" s="62">
        <f>'BILAN 2023'!C21</f>
        <v>0</v>
      </c>
      <c r="D21" s="62">
        <f>'BILAN 2023'!D21</f>
        <v>0</v>
      </c>
      <c r="E21" s="40">
        <f>'BILAN 2023'!E21</f>
        <v>0</v>
      </c>
      <c r="F21" s="26">
        <f t="shared" si="0"/>
        <v>0</v>
      </c>
    </row>
    <row r="22" spans="1:6" x14ac:dyDescent="0.35">
      <c r="A22" s="62">
        <f>'BILAN 2023'!A22</f>
        <v>15</v>
      </c>
      <c r="B22" s="62" t="str">
        <f>'BILAN 2023'!B22</f>
        <v>FONDS GELES</v>
      </c>
      <c r="C22" s="62">
        <f>'BILAN 2023'!C22</f>
        <v>0</v>
      </c>
      <c r="D22" s="62">
        <f>'BILAN 2023'!D22</f>
        <v>0</v>
      </c>
      <c r="E22" s="40">
        <f>'BILAN 2023'!E22</f>
        <v>0</v>
      </c>
      <c r="F22" s="26">
        <f t="shared" si="0"/>
        <v>0</v>
      </c>
    </row>
    <row r="23" spans="1:6" x14ac:dyDescent="0.35">
      <c r="A23" s="62">
        <f>'BILAN 2023'!A23</f>
        <v>16</v>
      </c>
      <c r="B23" s="62" t="str">
        <f>'BILAN 2023'!B23</f>
        <v>INTERETS ET AUTRES</v>
      </c>
      <c r="C23" s="62">
        <f>'BILAN 2023'!C23</f>
        <v>6606334</v>
      </c>
      <c r="D23" s="62">
        <f>'BILAN 2023'!D23</f>
        <v>0</v>
      </c>
      <c r="E23" s="40">
        <f>'BILAN 2023'!E23</f>
        <v>0</v>
      </c>
      <c r="F23" s="26">
        <f t="shared" si="0"/>
        <v>6606334</v>
      </c>
    </row>
    <row r="24" spans="1:6" x14ac:dyDescent="0.35">
      <c r="A24" s="62">
        <f>'BILAN 2023'!A24</f>
        <v>17</v>
      </c>
      <c r="B24" s="62" t="str">
        <f>'BILAN 2023'!B24</f>
        <v xml:space="preserve">INTERET TONTINE </v>
      </c>
      <c r="C24" s="62">
        <f>'BILAN 2023'!C24</f>
        <v>28000</v>
      </c>
      <c r="D24" s="62">
        <f>'BILAN 2023'!D24</f>
        <v>63707.983193277309</v>
      </c>
      <c r="E24" s="40">
        <f>'BILAN 2023'!E24</f>
        <v>0</v>
      </c>
      <c r="F24" s="26">
        <f t="shared" si="0"/>
        <v>91707.983193277309</v>
      </c>
    </row>
    <row r="25" spans="1:6" x14ac:dyDescent="0.35">
      <c r="A25" s="19"/>
      <c r="B25" s="33"/>
      <c r="C25" s="25"/>
      <c r="D25" s="25"/>
      <c r="E25" s="40"/>
      <c r="F25" s="26"/>
    </row>
    <row r="26" spans="1:6" ht="20.5" thickBot="1" x14ac:dyDescent="0.45">
      <c r="A26" s="68"/>
      <c r="B26" s="69" t="s">
        <v>23</v>
      </c>
      <c r="C26" s="70">
        <v>32658100</v>
      </c>
      <c r="D26" s="70">
        <f>SUM(D9:D24)</f>
        <v>15347707.983193276</v>
      </c>
      <c r="E26" s="70">
        <v>4688408</v>
      </c>
      <c r="F26" s="88">
        <f>SUM(F8:F24)</f>
        <v>60185550.565346345</v>
      </c>
    </row>
    <row r="27" spans="1:6" ht="15" thickTop="1" x14ac:dyDescent="0.35"/>
  </sheetData>
  <mergeCells count="1">
    <mergeCell ref="A4:F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8"/>
  <sheetViews>
    <sheetView workbookViewId="0">
      <selection sqref="A1:XFD7"/>
    </sheetView>
  </sheetViews>
  <sheetFormatPr baseColWidth="10" defaultRowHeight="14.5" x14ac:dyDescent="0.35"/>
  <cols>
    <col min="1" max="1" width="13.81640625" bestFit="1" customWidth="1"/>
    <col min="2" max="2" width="47.453125" bestFit="1" customWidth="1"/>
    <col min="3" max="4" width="18.26953125" bestFit="1" customWidth="1"/>
  </cols>
  <sheetData>
    <row r="1" spans="1:8" x14ac:dyDescent="0.35">
      <c r="A1" s="1" t="s">
        <v>94</v>
      </c>
      <c r="B1" s="1" t="s">
        <v>95</v>
      </c>
    </row>
    <row r="2" spans="1:8" x14ac:dyDescent="0.35">
      <c r="A2" s="1" t="s">
        <v>10</v>
      </c>
      <c r="B2" s="1">
        <v>2023</v>
      </c>
    </row>
    <row r="4" spans="1:8" ht="26" x14ac:dyDescent="0.35">
      <c r="A4" s="133" t="s">
        <v>120</v>
      </c>
      <c r="B4" s="134"/>
      <c r="C4" s="134"/>
      <c r="D4" s="134"/>
      <c r="E4" s="134"/>
      <c r="F4" s="134"/>
      <c r="G4" s="71"/>
    </row>
    <row r="5" spans="1:8" ht="15" thickBot="1" x14ac:dyDescent="0.4">
      <c r="A5" s="71"/>
      <c r="B5" s="72"/>
      <c r="C5" s="73"/>
      <c r="D5" s="73"/>
      <c r="E5" s="74"/>
      <c r="F5" s="73"/>
      <c r="G5" s="27"/>
    </row>
    <row r="6" spans="1:8" ht="15.75" customHeight="1" thickTop="1" x14ac:dyDescent="0.35">
      <c r="A6" s="137" t="s">
        <v>109</v>
      </c>
      <c r="B6" s="135" t="s">
        <v>26</v>
      </c>
      <c r="C6" s="103">
        <v>2022</v>
      </c>
      <c r="D6" s="104">
        <v>2023</v>
      </c>
      <c r="E6" s="74"/>
      <c r="F6" s="73"/>
      <c r="G6" s="27"/>
    </row>
    <row r="7" spans="1:8" ht="20" x14ac:dyDescent="0.35">
      <c r="A7" s="138"/>
      <c r="B7" s="136"/>
      <c r="C7" s="106" t="s">
        <v>134</v>
      </c>
      <c r="D7" s="107" t="s">
        <v>134</v>
      </c>
      <c r="E7" s="74"/>
      <c r="F7" s="73"/>
      <c r="G7" s="27"/>
    </row>
    <row r="8" spans="1:8" ht="21" x14ac:dyDescent="0.5">
      <c r="A8" s="105">
        <f>'BILAN 2023'!A32</f>
        <v>1</v>
      </c>
      <c r="B8" s="98" t="str">
        <f>'BILAN 2023'!B32</f>
        <v>COMPTE CCA AU 30/12/2022</v>
      </c>
      <c r="C8" s="99">
        <f>'BILAN 2023'!C32</f>
        <v>4337431</v>
      </c>
      <c r="D8" s="100">
        <f>'BILAN 2023'!D32</f>
        <v>0</v>
      </c>
      <c r="E8" s="74"/>
      <c r="F8" s="73"/>
      <c r="G8" s="27"/>
    </row>
    <row r="9" spans="1:8" ht="21" x14ac:dyDescent="0.5">
      <c r="A9" s="105">
        <f>'BILAN 2023'!A33</f>
        <v>2</v>
      </c>
      <c r="B9" s="98" t="str">
        <f>'BILAN 2023'!B33</f>
        <v>COMPTE MC²(NON ACTUALISE)</v>
      </c>
      <c r="C9" s="99">
        <f>'BILAN 2023'!C33</f>
        <v>630005</v>
      </c>
      <c r="D9" s="100">
        <f>'BILAN 2023'!D33</f>
        <v>0</v>
      </c>
      <c r="E9" s="74"/>
      <c r="F9" s="73"/>
      <c r="G9" s="27"/>
      <c r="H9" s="27"/>
    </row>
    <row r="10" spans="1:8" ht="21" x14ac:dyDescent="0.5">
      <c r="A10" s="105">
        <f>'BILAN 2023'!A34</f>
        <v>3</v>
      </c>
      <c r="B10" s="98" t="str">
        <f>'BILAN 2023'!B34</f>
        <v>COMPTE AFRILAND</v>
      </c>
      <c r="C10" s="99">
        <f>'BILAN 2023'!C34</f>
        <v>1423702</v>
      </c>
      <c r="D10" s="100">
        <f>'BILAN 2023'!D34</f>
        <v>0</v>
      </c>
      <c r="E10" s="74"/>
      <c r="F10" s="73"/>
      <c r="G10" s="27"/>
    </row>
    <row r="11" spans="1:8" ht="21" x14ac:dyDescent="0.5">
      <c r="A11" s="105">
        <f>'BILAN 2023'!A35</f>
        <v>4</v>
      </c>
      <c r="B11" s="98" t="str">
        <f>'BILAN 2023'!B35</f>
        <v>DETTE PREFINANCEMENT LA'AGWEU</v>
      </c>
      <c r="C11" s="99">
        <f>'BILAN 2023'!C35</f>
        <v>744700</v>
      </c>
      <c r="D11" s="100">
        <f>'BILAN 2023'!D35</f>
        <v>0</v>
      </c>
      <c r="E11" s="74"/>
      <c r="F11" s="73"/>
      <c r="G11" s="27"/>
    </row>
    <row r="12" spans="1:8" ht="21" x14ac:dyDescent="0.5">
      <c r="A12" s="105">
        <f>'BILAN 2023'!A36</f>
        <v>5</v>
      </c>
      <c r="B12" s="98" t="str">
        <f>'BILAN 2023'!B36</f>
        <v>DETTE MR KOUATCHO</v>
      </c>
      <c r="C12" s="99">
        <f>'BILAN 2023'!C36</f>
        <v>0</v>
      </c>
      <c r="D12" s="100">
        <f>'BILAN 2023'!D36</f>
        <v>0</v>
      </c>
      <c r="E12" s="73"/>
      <c r="F12" s="73"/>
      <c r="G12" s="27"/>
    </row>
    <row r="13" spans="1:8" ht="21" x14ac:dyDescent="0.5">
      <c r="A13" s="105">
        <f>'BILAN 2023'!A37</f>
        <v>6</v>
      </c>
      <c r="B13" s="98" t="str">
        <f>'BILAN 2023'!B37</f>
        <v>RESTE A RECUPERE AU CONSEIL</v>
      </c>
      <c r="C13" s="99">
        <f>'BILAN 2023'!C37</f>
        <v>154000</v>
      </c>
      <c r="D13" s="100">
        <f>'BILAN 2023'!D37</f>
        <v>0</v>
      </c>
      <c r="E13" s="73"/>
      <c r="F13" s="73"/>
      <c r="G13" s="27"/>
    </row>
    <row r="14" spans="1:8" ht="21" x14ac:dyDescent="0.5">
      <c r="A14" s="105">
        <f>'BILAN 2023'!A38</f>
        <v>7</v>
      </c>
      <c r="B14" s="98" t="str">
        <f>'BILAN 2023'!B38</f>
        <v>FONDS EN CIRCULATION</v>
      </c>
      <c r="C14" s="99">
        <f>'BILAN 2023'!C38</f>
        <v>18658500</v>
      </c>
      <c r="D14" s="100">
        <f>'BILAN 2023'!D38</f>
        <v>14068300</v>
      </c>
      <c r="E14" s="73"/>
      <c r="F14" s="73"/>
      <c r="G14" s="27"/>
    </row>
    <row r="15" spans="1:8" ht="21" x14ac:dyDescent="0.5">
      <c r="A15" s="105">
        <f>'BILAN 2023'!A39</f>
        <v>8</v>
      </c>
      <c r="B15" s="98" t="str">
        <f>'BILAN 2023'!B39</f>
        <v>DETTES TONTINES</v>
      </c>
      <c r="C15" s="99">
        <f>'BILAN 2023'!C39</f>
        <v>656618</v>
      </c>
      <c r="D15" s="100">
        <f>'BILAN 2023'!D39</f>
        <v>0</v>
      </c>
      <c r="E15" s="74"/>
      <c r="F15" s="73"/>
      <c r="G15" s="27"/>
    </row>
    <row r="16" spans="1:8" ht="21" x14ac:dyDescent="0.5">
      <c r="A16" s="19"/>
      <c r="B16" s="98"/>
      <c r="C16" s="101"/>
      <c r="D16" s="102"/>
      <c r="E16" s="74"/>
      <c r="F16" s="73"/>
      <c r="G16" s="27"/>
    </row>
    <row r="17" spans="1:7" ht="20.5" thickBot="1" x14ac:dyDescent="0.45">
      <c r="A17" s="68"/>
      <c r="B17" s="69" t="s">
        <v>23</v>
      </c>
      <c r="C17" s="70">
        <f>SUM(C8:C16)</f>
        <v>26604956</v>
      </c>
      <c r="D17" s="88">
        <f>SUM(D8:D16)</f>
        <v>14068300</v>
      </c>
      <c r="E17" s="80"/>
      <c r="F17" s="73"/>
      <c r="G17" s="30"/>
    </row>
    <row r="18" spans="1:7" ht="15" thickTop="1" x14ac:dyDescent="0.35">
      <c r="A18" s="71"/>
      <c r="B18" s="71"/>
      <c r="C18" s="81"/>
      <c r="D18" s="81"/>
      <c r="E18" s="80"/>
      <c r="F18" s="73"/>
      <c r="G18" s="27"/>
    </row>
  </sheetData>
  <mergeCells count="3">
    <mergeCell ref="A4:F4"/>
    <mergeCell ref="B6:B7"/>
    <mergeCell ref="A6:A7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1"/>
  <sheetViews>
    <sheetView topLeftCell="A10" workbookViewId="0">
      <selection activeCell="G22" sqref="G22"/>
    </sheetView>
  </sheetViews>
  <sheetFormatPr baseColWidth="10" defaultRowHeight="14.5" x14ac:dyDescent="0.35"/>
  <cols>
    <col min="1" max="1" width="13.81640625" bestFit="1" customWidth="1"/>
    <col min="2" max="2" width="30" bestFit="1" customWidth="1"/>
    <col min="3" max="3" width="15" bestFit="1" customWidth="1"/>
    <col min="5" max="5" width="30.2695312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2023</v>
      </c>
    </row>
    <row r="4" spans="1:6" ht="26" x14ac:dyDescent="0.35">
      <c r="A4" s="133" t="s">
        <v>2</v>
      </c>
      <c r="B4" s="134"/>
      <c r="C4" s="134"/>
      <c r="D4" s="134"/>
      <c r="E4" s="134"/>
      <c r="F4" s="134"/>
    </row>
    <row r="5" spans="1:6" ht="15" thickBot="1" x14ac:dyDescent="0.4">
      <c r="A5" s="71"/>
      <c r="B5" s="72"/>
      <c r="C5" s="73"/>
      <c r="D5" s="73"/>
      <c r="E5" s="74"/>
      <c r="F5" s="73"/>
    </row>
    <row r="6" spans="1:6" ht="15.75" customHeight="1" thickTop="1" x14ac:dyDescent="0.4">
      <c r="A6" s="139" t="s">
        <v>96</v>
      </c>
      <c r="B6" s="141" t="s">
        <v>52</v>
      </c>
      <c r="C6" s="108" t="s">
        <v>138</v>
      </c>
      <c r="D6" s="141" t="s">
        <v>135</v>
      </c>
      <c r="E6" s="141"/>
      <c r="F6" s="143"/>
    </row>
    <row r="7" spans="1:6" ht="21.75" customHeight="1" x14ac:dyDescent="0.35">
      <c r="A7" s="140"/>
      <c r="B7" s="142"/>
      <c r="C7" s="109" t="s">
        <v>134</v>
      </c>
      <c r="D7" s="109" t="s">
        <v>136</v>
      </c>
      <c r="E7" s="109" t="s">
        <v>137</v>
      </c>
      <c r="F7" s="26" t="s">
        <v>134</v>
      </c>
    </row>
    <row r="8" spans="1:6" ht="18.5" x14ac:dyDescent="0.45">
      <c r="A8" s="13" t="s">
        <v>90</v>
      </c>
      <c r="B8" s="14" t="str">
        <f>VLOOKUP(A8,[16]LISTADHERENT!A$5:H$60,3,0)</f>
        <v>ASELBY</v>
      </c>
      <c r="C8" s="110">
        <f>VLOOKUP(A8,[15]MVTRESUME23!$A$6:$AO$36,12,0)</f>
        <v>3000</v>
      </c>
      <c r="D8" s="112">
        <v>44927</v>
      </c>
      <c r="E8" s="14" t="s">
        <v>140</v>
      </c>
      <c r="F8" s="111">
        <f>[19]HISTOJANV23!$BP$16</f>
        <v>6000</v>
      </c>
    </row>
    <row r="9" spans="1:6" ht="18.5" x14ac:dyDescent="0.45">
      <c r="A9" s="13" t="s">
        <v>62</v>
      </c>
      <c r="B9" s="14" t="str">
        <f>VLOOKUP(A9,[16]LISTADHERENT!A$5:H$60,3,0)</f>
        <v>BAKOP ACHILLE</v>
      </c>
      <c r="C9" s="110">
        <f>VLOOKUP(A9,[15]MVTRESUME23!$A$6:$AO$36,12,0)</f>
        <v>12000</v>
      </c>
      <c r="D9" s="112">
        <v>44959</v>
      </c>
      <c r="E9" s="14" t="s">
        <v>141</v>
      </c>
      <c r="F9" s="111">
        <f>+[19]HISTOFEV23!$BP$8</f>
        <v>27500</v>
      </c>
    </row>
    <row r="10" spans="1:6" ht="18.5" x14ac:dyDescent="0.45">
      <c r="A10" s="13" t="s">
        <v>63</v>
      </c>
      <c r="B10" s="14" t="str">
        <f>VLOOKUP(A10,[16]LISTADHERENT!A$5:H$60,3,0)</f>
        <v>BOUTCHOUANG WILLIAM</v>
      </c>
      <c r="C10" s="110">
        <f>VLOOKUP(A10,[15]MVTRESUME23!$A$6:$AO$36,12,0)</f>
        <v>12000</v>
      </c>
      <c r="D10" s="112">
        <v>44959</v>
      </c>
      <c r="E10" s="14" t="s">
        <v>142</v>
      </c>
      <c r="F10" s="111">
        <f>[19]HISTOFEV23!$BP$11</f>
        <v>35000</v>
      </c>
    </row>
    <row r="11" spans="1:6" ht="18.5" x14ac:dyDescent="0.45">
      <c r="A11" s="13" t="s">
        <v>64</v>
      </c>
      <c r="B11" s="14" t="str">
        <f>VLOOKUP(A11,[16]LISTADHERENT!A$5:H$60,3,0)</f>
        <v xml:space="preserve">DJOMO JEAN PAUL </v>
      </c>
      <c r="C11" s="110">
        <f>VLOOKUP(A11,[15]MVTRESUME23!$A$6:$AO$36,12,0)</f>
        <v>12000</v>
      </c>
      <c r="D11" s="112">
        <v>44958</v>
      </c>
      <c r="E11" s="14" t="s">
        <v>140</v>
      </c>
      <c r="F11" s="111">
        <f>[19]HISTOFEV23!$BP$13</f>
        <v>6000</v>
      </c>
    </row>
    <row r="12" spans="1:6" ht="18.5" x14ac:dyDescent="0.45">
      <c r="A12" s="13" t="s">
        <v>104</v>
      </c>
      <c r="B12" s="14" t="str">
        <f>VLOOKUP(A12,[16]LISTADHERENT!A$5:H$60,3,0)</f>
        <v>DJOMOU TCHAPDA</v>
      </c>
      <c r="C12" s="110">
        <f>VLOOKUP(A12,[15]MVTRESUME23!$A$6:$AO$36,12,0)</f>
        <v>12000</v>
      </c>
      <c r="D12" s="112">
        <v>44986</v>
      </c>
      <c r="E12" s="14" t="s">
        <v>140</v>
      </c>
      <c r="F12" s="111">
        <f>[19]HISTOMARS23!$BP$16</f>
        <v>6000</v>
      </c>
    </row>
    <row r="13" spans="1:6" ht="18.5" x14ac:dyDescent="0.45">
      <c r="A13" s="13" t="s">
        <v>65</v>
      </c>
      <c r="B13" s="14" t="str">
        <f>VLOOKUP(A13,[16]LISTADHERENT!A$5:H$60,3,0)</f>
        <v>DJOUKWE NANGUEN GUY BLAISE</v>
      </c>
      <c r="C13" s="110">
        <f>VLOOKUP(A13,[15]MVTRESUME23!$A$6:$AO$36,12,0)</f>
        <v>12000</v>
      </c>
      <c r="D13" s="112">
        <v>45018</v>
      </c>
      <c r="E13" s="14" t="s">
        <v>140</v>
      </c>
      <c r="F13" s="111">
        <f>[19]HISTOAVRIL23!$BP$16</f>
        <v>6000</v>
      </c>
    </row>
    <row r="14" spans="1:6" ht="18.5" x14ac:dyDescent="0.45">
      <c r="A14" s="13" t="s">
        <v>66</v>
      </c>
      <c r="B14" s="14" t="str">
        <f>VLOOKUP(A14,[16]LISTADHERENT!A$5:H$60,3,0)</f>
        <v>DJUOMBESSY ANTOINE</v>
      </c>
      <c r="C14" s="110">
        <f>VLOOKUP(A14,[15]MVTRESUME23!$A$6:$AO$36,12,0)</f>
        <v>12000</v>
      </c>
      <c r="D14" s="112">
        <v>45049</v>
      </c>
      <c r="E14" s="14" t="s">
        <v>140</v>
      </c>
      <c r="F14" s="111">
        <f>[19]HISTOMAI23!$BP$16</f>
        <v>6000</v>
      </c>
    </row>
    <row r="15" spans="1:6" ht="18.5" x14ac:dyDescent="0.45">
      <c r="A15" s="13" t="s">
        <v>87</v>
      </c>
      <c r="B15" s="14" t="str">
        <f>VLOOKUP(A15,[16]LISTADHERENT!A$5:H$60,3,0)</f>
        <v>DOMOU FABIEN</v>
      </c>
      <c r="C15" s="110">
        <f>VLOOKUP(A15,[15]MVTRESUME23!$A$6:$AO$36,12,0)</f>
        <v>12000</v>
      </c>
      <c r="D15" s="112">
        <v>45080</v>
      </c>
      <c r="E15" s="14" t="s">
        <v>178</v>
      </c>
      <c r="F15" s="111">
        <f>[19]HISTOJUIN23!$BP$8</f>
        <v>15000</v>
      </c>
    </row>
    <row r="16" spans="1:6" ht="18.5" x14ac:dyDescent="0.45">
      <c r="A16" s="13" t="s">
        <v>67</v>
      </c>
      <c r="B16" s="14" t="str">
        <f>VLOOKUP(A16,[16]LISTADHERENT!A$5:H$60,3,0)</f>
        <v>DONHOU DAVID</v>
      </c>
      <c r="C16" s="110">
        <f>VLOOKUP(A16,[15]MVTRESUME23!$A$6:$AO$36,12,0)</f>
        <v>12000</v>
      </c>
      <c r="D16" s="112">
        <v>45080</v>
      </c>
      <c r="E16" s="14" t="s">
        <v>142</v>
      </c>
      <c r="F16" s="111">
        <f>[19]HISTOJUIN23!$BP$11</f>
        <v>3000</v>
      </c>
    </row>
    <row r="17" spans="1:6" ht="18.5" x14ac:dyDescent="0.45">
      <c r="A17" s="13" t="s">
        <v>68</v>
      </c>
      <c r="B17" s="14" t="str">
        <f>VLOOKUP(A17,[16]LISTADHERENT!A$5:H$60,3,0)</f>
        <v>HENGUE PAUL OMER</v>
      </c>
      <c r="C17" s="110">
        <f>VLOOKUP(A17,[15]MVTRESUME23!$A$6:$AO$36,12,0)</f>
        <v>12000</v>
      </c>
      <c r="D17" s="112">
        <v>45110</v>
      </c>
      <c r="E17" s="14" t="s">
        <v>140</v>
      </c>
      <c r="F17" s="111">
        <f>[19]HISTOJUIL23!$BP$13</f>
        <v>6000</v>
      </c>
    </row>
    <row r="18" spans="1:6" ht="18.5" x14ac:dyDescent="0.45">
      <c r="A18" s="13" t="s">
        <v>69</v>
      </c>
      <c r="B18" s="14" t="str">
        <f>VLOOKUP(A18,[16]LISTADHERENT!A$5:H$60,3,0)</f>
        <v>HOTCHO BENJAMIN</v>
      </c>
      <c r="C18" s="110">
        <f>VLOOKUP(A18,[15]MVTRESUME23!$A$6:$AO$36,12,0)</f>
        <v>12000</v>
      </c>
      <c r="D18" s="112">
        <v>45141</v>
      </c>
      <c r="E18" s="14" t="s">
        <v>140</v>
      </c>
      <c r="F18" s="111">
        <f>[19]HISTOAOUT23!$BP$13</f>
        <v>12000</v>
      </c>
    </row>
    <row r="19" spans="1:6" ht="18.5" x14ac:dyDescent="0.45">
      <c r="A19" s="13" t="s">
        <v>70</v>
      </c>
      <c r="B19" s="14" t="str">
        <f>VLOOKUP(A19,[16]LISTADHERENT!A$5:H$60,3,0)</f>
        <v>KOUAMOU MOISE</v>
      </c>
      <c r="C19" s="110">
        <f>VLOOKUP(A19,[15]MVTRESUME23!$A$6:$AO$36,12,0)</f>
        <v>12000</v>
      </c>
      <c r="D19" s="112">
        <v>45141</v>
      </c>
      <c r="E19" s="14" t="s">
        <v>172</v>
      </c>
      <c r="F19" s="111">
        <f>[19]HISTOAOUT23!$BP$8</f>
        <v>33000</v>
      </c>
    </row>
    <row r="20" spans="1:6" ht="18.5" x14ac:dyDescent="0.45">
      <c r="A20" s="13" t="s">
        <v>71</v>
      </c>
      <c r="B20" s="14" t="str">
        <f>VLOOKUP(A20,[16]LISTADHERENT!A$5:H$60,3,0)</f>
        <v>KOUATCHO MESSACK</v>
      </c>
      <c r="C20" s="110">
        <f>VLOOKUP(A20,[15]MVTRESUME23!$A$6:$AO$36,12,0)</f>
        <v>12000</v>
      </c>
      <c r="D20" s="112">
        <v>45172</v>
      </c>
      <c r="E20" s="14" t="s">
        <v>140</v>
      </c>
      <c r="F20" s="111">
        <f>[19]HISTOSEPT23!$BP$13</f>
        <v>6000</v>
      </c>
    </row>
    <row r="21" spans="1:6" ht="18.5" x14ac:dyDescent="0.45">
      <c r="A21" s="13" t="s">
        <v>72</v>
      </c>
      <c r="B21" s="14" t="str">
        <f>VLOOKUP(A21,[16]LISTADHERENT!A$5:H$60,3,0)</f>
        <v>LOWE JEAN</v>
      </c>
      <c r="C21" s="110">
        <f>VLOOKUP(A21,[15]MVTRESUME23!$A$6:$AO$36,12,0)</f>
        <v>12000</v>
      </c>
      <c r="D21" s="112">
        <v>45202</v>
      </c>
      <c r="E21" s="14" t="s">
        <v>143</v>
      </c>
      <c r="F21" s="111">
        <f>[19]HISTOOCT23!$BP$8</f>
        <v>7500</v>
      </c>
    </row>
    <row r="22" spans="1:6" ht="18.5" x14ac:dyDescent="0.45">
      <c r="A22" s="13" t="s">
        <v>86</v>
      </c>
      <c r="B22" s="14" t="str">
        <f>VLOOKUP(A22,[16]LISTADHERENT!A$5:H$60,3,0)</f>
        <v>MBOGNING TUGMA GUY</v>
      </c>
      <c r="C22" s="110">
        <f>VLOOKUP(A22,[15]MVTRESUME23!$A$6:$AO$36,12,0)</f>
        <v>12000</v>
      </c>
      <c r="D22" s="112">
        <v>45202</v>
      </c>
      <c r="E22" s="14" t="s">
        <v>140</v>
      </c>
      <c r="F22" s="111">
        <f>[19]HISTOOCT23!$BP$13</f>
        <v>6000</v>
      </c>
    </row>
    <row r="23" spans="1:6" ht="18.5" x14ac:dyDescent="0.45">
      <c r="A23" s="13" t="s">
        <v>81</v>
      </c>
      <c r="B23" s="14" t="str">
        <f>VLOOKUP(A23,[16]LISTADHERENT!A$5:H$60,3,0)</f>
        <v>NANGUEN MARTIN</v>
      </c>
      <c r="C23" s="110">
        <f>VLOOKUP(A23,[15]MVTRESUME23!$A$6:$AO$36,12,0)</f>
        <v>12000</v>
      </c>
      <c r="D23" s="112">
        <v>45233</v>
      </c>
      <c r="E23" s="14" t="s">
        <v>140</v>
      </c>
      <c r="F23" s="111">
        <f>[19]HISTONOV23!$BP$16</f>
        <v>6000</v>
      </c>
    </row>
    <row r="24" spans="1:6" ht="18.5" x14ac:dyDescent="0.45">
      <c r="A24" s="13" t="s">
        <v>73</v>
      </c>
      <c r="B24" s="14" t="str">
        <f>VLOOKUP(A24,[16]LISTADHERENT!A$5:H$60,3,0)</f>
        <v>NANKAM APPOLINAIRE</v>
      </c>
      <c r="C24" s="110">
        <f>VLOOKUP(A24,[15]MVTRESUME23!$A$6:$AO$36,12,0)</f>
        <v>12000</v>
      </c>
      <c r="D24" s="112">
        <v>45263</v>
      </c>
      <c r="E24" s="14" t="s">
        <v>140</v>
      </c>
      <c r="F24" s="111">
        <f>[19]HISTODEC23!$BP$13</f>
        <v>6000</v>
      </c>
    </row>
    <row r="25" spans="1:6" ht="18.5" x14ac:dyDescent="0.45">
      <c r="A25" s="13" t="s">
        <v>74</v>
      </c>
      <c r="B25" s="14" t="str">
        <f>VLOOKUP(A25,[16]LISTADHERENT!A$5:H$60,3,0)</f>
        <v>NDJOMO ETIENNE</v>
      </c>
      <c r="C25" s="110">
        <f>VLOOKUP(A25,[15]MVTRESUME23!$A$6:$AO$36,12,0)</f>
        <v>12000</v>
      </c>
      <c r="D25" s="112"/>
      <c r="E25" s="14"/>
      <c r="F25" s="111"/>
    </row>
    <row r="26" spans="1:6" ht="18.5" x14ac:dyDescent="0.45">
      <c r="A26" s="13" t="s">
        <v>75</v>
      </c>
      <c r="B26" s="14" t="str">
        <f>VLOOKUP(A26,[16]LISTADHERENT!A$5:H$60,3,0)</f>
        <v>NGONDIEP CLAUDE</v>
      </c>
      <c r="C26" s="110">
        <f>VLOOKUP(A26,[15]MVTRESUME23!$A$6:$AO$36,12,0)</f>
        <v>12000</v>
      </c>
      <c r="D26" s="112"/>
      <c r="E26" s="14"/>
      <c r="F26" s="111"/>
    </row>
    <row r="27" spans="1:6" ht="18.5" x14ac:dyDescent="0.45">
      <c r="A27" s="13" t="s">
        <v>77</v>
      </c>
      <c r="B27" s="14" t="str">
        <f>VLOOKUP(A27,[16]LISTADHERENT!A$5:H$60,3,0)</f>
        <v>NGUIEMEGNI MATHIEU BLAISE</v>
      </c>
      <c r="C27" s="110">
        <f>VLOOKUP(A27,[15]MVTRESUME23!$A$6:$AO$36,12,0)</f>
        <v>12000</v>
      </c>
      <c r="D27" s="112"/>
      <c r="E27" s="14"/>
      <c r="F27" s="111"/>
    </row>
    <row r="28" spans="1:6" ht="18.5" x14ac:dyDescent="0.45">
      <c r="A28" s="13" t="s">
        <v>78</v>
      </c>
      <c r="B28" s="14" t="str">
        <f>VLOOKUP(A28,[16]LISTADHERENT!A$5:H$60,3,0)</f>
        <v>NKAMGANG JUSTIN DEJOLIE</v>
      </c>
      <c r="C28" s="110">
        <f>VLOOKUP(A28,[15]MVTRESUME23!$A$6:$AO$36,12,0)</f>
        <v>12000</v>
      </c>
      <c r="D28" s="14"/>
      <c r="E28" s="14"/>
      <c r="F28" s="111"/>
    </row>
    <row r="29" spans="1:6" ht="18.5" x14ac:dyDescent="0.45">
      <c r="A29" s="13" t="s">
        <v>105</v>
      </c>
      <c r="B29" s="14" t="str">
        <f>VLOOKUP(A29,[16]LISTADHERENT!A$5:H$60,3,0)</f>
        <v>NOUBE ETIENNE</v>
      </c>
      <c r="C29" s="110">
        <f>VLOOKUP(A29,[15]MVTRESUME23!$A$6:$AO$36,12,0)</f>
        <v>12000</v>
      </c>
      <c r="D29" s="14"/>
      <c r="E29" s="14"/>
      <c r="F29" s="111"/>
    </row>
    <row r="30" spans="1:6" ht="18.5" x14ac:dyDescent="0.45">
      <c r="A30" s="13" t="s">
        <v>79</v>
      </c>
      <c r="B30" s="14" t="str">
        <f>VLOOKUP(A30,[16]LISTADHERENT!A$5:H$60,3,0)</f>
        <v>PATEGO NJOSSU GUSTAVE</v>
      </c>
      <c r="C30" s="110">
        <f>VLOOKUP(A30,[15]MVTRESUME23!$A$6:$AO$36,12,0)</f>
        <v>12000</v>
      </c>
      <c r="D30" s="14"/>
      <c r="E30" s="14"/>
      <c r="F30" s="111"/>
    </row>
    <row r="31" spans="1:6" ht="18.5" x14ac:dyDescent="0.45">
      <c r="A31" s="13" t="s">
        <v>130</v>
      </c>
      <c r="B31" s="14" t="str">
        <f>VLOOKUP(A31,[16]LISTADHERENT!A$5:H$60,3,0)</f>
        <v>SEUMO POLYCARPE</v>
      </c>
      <c r="C31" s="110">
        <f>VLOOKUP(A31,[15]MVTRESUME23!$A$6:$AO$36,12,0)</f>
        <v>12000</v>
      </c>
      <c r="D31" s="14"/>
      <c r="E31" s="14"/>
      <c r="F31" s="111"/>
    </row>
    <row r="32" spans="1:6" ht="18.5" x14ac:dyDescent="0.45">
      <c r="A32" s="13" t="s">
        <v>89</v>
      </c>
      <c r="B32" s="14" t="str">
        <f>VLOOKUP(A32,[16]LISTADHERENT!A$5:H$60,3,0)</f>
        <v>SIME BRICE</v>
      </c>
      <c r="C32" s="110">
        <f>VLOOKUP(A32,[15]MVTRESUME23!$A$6:$AO$36,12,0)</f>
        <v>12000</v>
      </c>
      <c r="D32" s="14"/>
      <c r="E32" s="14"/>
      <c r="F32" s="111"/>
    </row>
    <row r="33" spans="1:6" ht="18.5" x14ac:dyDescent="0.45">
      <c r="A33" s="13" t="s">
        <v>80</v>
      </c>
      <c r="B33" s="14" t="str">
        <f>VLOOKUP(A33,[16]LISTADHERENT!A$5:H$60,3,0)</f>
        <v>SIMO PIERRE</v>
      </c>
      <c r="C33" s="110">
        <f>VLOOKUP(A33,[15]MVTRESUME23!$A$6:$AO$36,12,0)</f>
        <v>12000</v>
      </c>
      <c r="D33" s="14"/>
      <c r="E33" s="14"/>
      <c r="F33" s="111"/>
    </row>
    <row r="34" spans="1:6" ht="18.5" x14ac:dyDescent="0.45">
      <c r="A34" s="13" t="s">
        <v>82</v>
      </c>
      <c r="B34" s="14" t="str">
        <f>VLOOKUP(A34,[16]LISTADHERENT!A$5:H$60,3,0)</f>
        <v>TCHOUAMOU MATHIEU</v>
      </c>
      <c r="C34" s="110">
        <f>VLOOKUP(A34,[15]MVTRESUME23!$A$6:$AO$36,12,0)</f>
        <v>12000</v>
      </c>
      <c r="D34" s="14"/>
      <c r="E34" s="14"/>
      <c r="F34" s="111"/>
    </row>
    <row r="35" spans="1:6" ht="18.5" x14ac:dyDescent="0.45">
      <c r="A35" s="13" t="s">
        <v>83</v>
      </c>
      <c r="B35" s="14" t="str">
        <f>VLOOKUP(A35,[16]LISTADHERENT!A$5:H$60,3,0)</f>
        <v>TCHOUTOU NANA CLAUDE</v>
      </c>
      <c r="C35" s="110">
        <f>VLOOKUP(A35,[15]MVTRESUME23!$A$6:$AO$36,12,0)</f>
        <v>12000</v>
      </c>
      <c r="D35" s="14"/>
      <c r="E35" s="14"/>
      <c r="F35" s="111"/>
    </row>
    <row r="36" spans="1:6" ht="18.5" x14ac:dyDescent="0.45">
      <c r="A36" s="13" t="s">
        <v>131</v>
      </c>
      <c r="B36" s="14" t="str">
        <f>VLOOKUP(A36,[16]LISTADHERENT!A$5:H$60,3,0)</f>
        <v>YANTCHOU GERVAIS</v>
      </c>
      <c r="C36" s="110">
        <f>VLOOKUP(A36,[15]MVTRESUME23!$A$6:$AO$36,12,0)</f>
        <v>12000</v>
      </c>
      <c r="D36" s="14"/>
      <c r="E36" s="14"/>
      <c r="F36" s="111"/>
    </row>
    <row r="37" spans="1:6" ht="18.5" x14ac:dyDescent="0.45">
      <c r="A37" s="13" t="s">
        <v>84</v>
      </c>
      <c r="B37" s="14" t="str">
        <f>VLOOKUP(A37,[16]LISTADHERENT!A$5:H$60,3,0)</f>
        <v>YEPMOU JEAN JACQUES</v>
      </c>
      <c r="C37" s="110">
        <f>VLOOKUP(A37,[15]MVTRESUME23!$A$6:$AO$36,12,0)</f>
        <v>12000</v>
      </c>
      <c r="D37" s="14"/>
      <c r="E37" s="14"/>
      <c r="F37" s="111"/>
    </row>
    <row r="38" spans="1:6" ht="18.5" x14ac:dyDescent="0.45">
      <c r="A38" s="13" t="s">
        <v>85</v>
      </c>
      <c r="B38" s="14" t="str">
        <f>VLOOKUP(A38,[16]LISTADHERENT!A$5:H$60,3,0)</f>
        <v>YOUMBI EMMANUEL</v>
      </c>
      <c r="C38" s="110">
        <f>VLOOKUP(A38,[15]MVTRESUME23!$A$6:$AO$36,12,0)</f>
        <v>12000</v>
      </c>
      <c r="D38" s="14"/>
      <c r="E38" s="14"/>
      <c r="F38" s="111"/>
    </row>
    <row r="39" spans="1:6" x14ac:dyDescent="0.35">
      <c r="A39" s="19"/>
      <c r="B39" s="14"/>
      <c r="C39" s="14"/>
      <c r="D39" s="14"/>
      <c r="E39" s="14"/>
      <c r="F39" s="15"/>
    </row>
    <row r="40" spans="1:6" ht="18" thickBot="1" x14ac:dyDescent="0.4">
      <c r="A40" s="31" t="s">
        <v>23</v>
      </c>
      <c r="B40" s="58"/>
      <c r="C40" s="59">
        <f>SUM(C8:C39)</f>
        <v>363000</v>
      </c>
      <c r="D40" s="59"/>
      <c r="E40" s="59">
        <f t="shared" ref="E40:F40" si="0">SUM(E6:E39)</f>
        <v>0</v>
      </c>
      <c r="F40" s="60">
        <f t="shared" si="0"/>
        <v>193000</v>
      </c>
    </row>
    <row r="41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1"/>
  <sheetViews>
    <sheetView topLeftCell="A31" workbookViewId="0">
      <selection activeCell="E17" sqref="E17"/>
    </sheetView>
  </sheetViews>
  <sheetFormatPr baseColWidth="10" defaultRowHeight="14.5" x14ac:dyDescent="0.35"/>
  <cols>
    <col min="2" max="2" width="30" bestFit="1" customWidth="1"/>
    <col min="3" max="3" width="12.453125" bestFit="1" customWidth="1"/>
    <col min="4" max="4" width="8.1796875" bestFit="1" customWidth="1"/>
    <col min="5" max="5" width="43" bestFit="1" customWidth="1"/>
    <col min="6" max="6" width="12.45312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2023</v>
      </c>
    </row>
    <row r="4" spans="1:6" ht="26" x14ac:dyDescent="0.35">
      <c r="A4" s="133" t="s">
        <v>144</v>
      </c>
      <c r="B4" s="134"/>
      <c r="C4" s="134"/>
      <c r="D4" s="134"/>
      <c r="E4" s="134"/>
      <c r="F4" s="134"/>
    </row>
    <row r="5" spans="1:6" ht="15" thickBot="1" x14ac:dyDescent="0.4">
      <c r="A5" s="71"/>
      <c r="B5" s="72"/>
      <c r="C5" s="73"/>
      <c r="D5" s="73"/>
      <c r="E5" s="74"/>
      <c r="F5" s="73"/>
    </row>
    <row r="6" spans="1:6" ht="15.75" customHeight="1" thickTop="1" x14ac:dyDescent="0.4">
      <c r="A6" s="139" t="s">
        <v>96</v>
      </c>
      <c r="B6" s="141" t="s">
        <v>52</v>
      </c>
      <c r="C6" s="108" t="s">
        <v>138</v>
      </c>
      <c r="D6" s="141" t="s">
        <v>135</v>
      </c>
      <c r="E6" s="141"/>
      <c r="F6" s="143"/>
    </row>
    <row r="7" spans="1:6" ht="21.75" customHeight="1" x14ac:dyDescent="0.35">
      <c r="A7" s="140"/>
      <c r="B7" s="142"/>
      <c r="C7" s="109" t="s">
        <v>134</v>
      </c>
      <c r="D7" s="109" t="s">
        <v>136</v>
      </c>
      <c r="E7" s="109" t="s">
        <v>137</v>
      </c>
      <c r="F7" s="26" t="s">
        <v>134</v>
      </c>
    </row>
    <row r="8" spans="1:6" ht="18.5" x14ac:dyDescent="0.45">
      <c r="A8" s="13" t="s">
        <v>90</v>
      </c>
      <c r="B8" s="14" t="str">
        <f>VLOOKUP(A8,[16]LISTADHERENT!A$5:H$60,3,0)</f>
        <v>ASELBY</v>
      </c>
      <c r="C8" s="110">
        <f>VLOOKUP(A8,[15]MVTRESUME23!$A$6:$AO$36,13,0)</f>
        <v>0</v>
      </c>
      <c r="D8" s="112">
        <v>45078</v>
      </c>
      <c r="E8" s="14" t="s">
        <v>145</v>
      </c>
      <c r="F8" s="111">
        <f>[19]HISTOJUIN23!$BP$26</f>
        <v>20000</v>
      </c>
    </row>
    <row r="9" spans="1:6" ht="18.5" x14ac:dyDescent="0.45">
      <c r="A9" s="13" t="s">
        <v>62</v>
      </c>
      <c r="B9" s="14" t="str">
        <f>VLOOKUP(A9,[16]LISTADHERENT!A$5:H$60,3,0)</f>
        <v>BAKOP ACHILLE</v>
      </c>
      <c r="C9" s="110">
        <f>VLOOKUP(A9,[15]MVTRESUME23!$A$6:$AO$36,13,0)</f>
        <v>12000</v>
      </c>
      <c r="D9" s="112">
        <v>45108</v>
      </c>
      <c r="E9" s="14" t="s">
        <v>145</v>
      </c>
      <c r="F9" s="111">
        <f>[19]HISTOJUIL23!$BP$26</f>
        <v>50000</v>
      </c>
    </row>
    <row r="10" spans="1:6" ht="18.5" x14ac:dyDescent="0.45">
      <c r="A10" s="13" t="s">
        <v>63</v>
      </c>
      <c r="B10" s="14" t="str">
        <f>VLOOKUP(A10,[16]LISTADHERENT!A$5:H$60,3,0)</f>
        <v>BOUTCHOUANG WILLIAM</v>
      </c>
      <c r="C10" s="110">
        <f>VLOOKUP(A10,[15]MVTRESUME23!$A$6:$AO$36,13,0)</f>
        <v>12000</v>
      </c>
      <c r="D10" s="112">
        <v>45139</v>
      </c>
      <c r="E10" s="14" t="s">
        <v>179</v>
      </c>
      <c r="F10" s="111">
        <f>[19]HISTOAOUT23!$BP$26</f>
        <v>155000</v>
      </c>
    </row>
    <row r="11" spans="1:6" ht="18.5" x14ac:dyDescent="0.45">
      <c r="A11" s="13" t="s">
        <v>64</v>
      </c>
      <c r="B11" s="14" t="str">
        <f>VLOOKUP(A11,[16]LISTADHERENT!A$5:H$60,3,0)</f>
        <v xml:space="preserve">DJOMO JEAN PAUL </v>
      </c>
      <c r="C11" s="110">
        <f>VLOOKUP(A11,[15]MVTRESUME23!$A$6:$AO$36,13,0)</f>
        <v>12000</v>
      </c>
      <c r="D11" s="112">
        <v>45200</v>
      </c>
      <c r="E11" s="14" t="s">
        <v>145</v>
      </c>
      <c r="F11" s="111">
        <f>[19]HISTOOCT23!$BP$25</f>
        <v>600000</v>
      </c>
    </row>
    <row r="12" spans="1:6" ht="18.5" x14ac:dyDescent="0.45">
      <c r="A12" s="13" t="s">
        <v>104</v>
      </c>
      <c r="B12" s="14" t="str">
        <f>VLOOKUP(A12,[16]LISTADHERENT!A$5:H$60,3,0)</f>
        <v>DJOMOU TCHAPDA</v>
      </c>
      <c r="C12" s="110">
        <f>VLOOKUP(A12,[15]MVTRESUME23!$A$6:$AO$36,13,0)</f>
        <v>12000</v>
      </c>
      <c r="D12" s="112"/>
      <c r="E12" s="14"/>
      <c r="F12" s="111"/>
    </row>
    <row r="13" spans="1:6" ht="18.5" x14ac:dyDescent="0.45">
      <c r="A13" s="13" t="s">
        <v>65</v>
      </c>
      <c r="B13" s="14" t="str">
        <f>VLOOKUP(A13,[16]LISTADHERENT!A$5:H$60,3,0)</f>
        <v>DJOUKWE NANGUEN GUY BLAISE</v>
      </c>
      <c r="C13" s="110">
        <f>VLOOKUP(A13,[15]MVTRESUME23!$A$6:$AO$36,13,0)</f>
        <v>12000</v>
      </c>
      <c r="D13" s="112"/>
      <c r="E13" s="14"/>
      <c r="F13" s="111"/>
    </row>
    <row r="14" spans="1:6" ht="18.5" x14ac:dyDescent="0.45">
      <c r="A14" s="13" t="s">
        <v>66</v>
      </c>
      <c r="B14" s="14" t="str">
        <f>VLOOKUP(A14,[16]LISTADHERENT!A$5:H$60,3,0)</f>
        <v>DJUOMBESSY ANTOINE</v>
      </c>
      <c r="C14" s="110">
        <f>VLOOKUP(A14,[15]MVTRESUME23!$A$6:$AO$36,13,0)</f>
        <v>12000</v>
      </c>
      <c r="D14" s="112"/>
      <c r="E14" s="14"/>
      <c r="F14" s="111"/>
    </row>
    <row r="15" spans="1:6" ht="18.5" x14ac:dyDescent="0.45">
      <c r="A15" s="13" t="s">
        <v>87</v>
      </c>
      <c r="B15" s="14" t="str">
        <f>VLOOKUP(A15,[16]LISTADHERENT!A$5:H$60,3,0)</f>
        <v>DOMOU FABIEN</v>
      </c>
      <c r="C15" s="110">
        <f>VLOOKUP(A15,[15]MVTRESUME23!$A$6:$AO$36,13,0)</f>
        <v>12000</v>
      </c>
      <c r="D15" s="112"/>
      <c r="E15" s="14"/>
      <c r="F15" s="111"/>
    </row>
    <row r="16" spans="1:6" ht="18.5" x14ac:dyDescent="0.45">
      <c r="A16" s="13" t="s">
        <v>67</v>
      </c>
      <c r="B16" s="14" t="str">
        <f>VLOOKUP(A16,[16]LISTADHERENT!A$5:H$60,3,0)</f>
        <v>DONHOU DAVID</v>
      </c>
      <c r="C16" s="110">
        <f>VLOOKUP(A16,[15]MVTRESUME23!$A$6:$AO$36,13,0)</f>
        <v>12000</v>
      </c>
      <c r="D16" s="112"/>
      <c r="E16" s="14"/>
      <c r="F16" s="111"/>
    </row>
    <row r="17" spans="1:6" ht="18.5" x14ac:dyDescent="0.45">
      <c r="A17" s="13" t="s">
        <v>68</v>
      </c>
      <c r="B17" s="14" t="str">
        <f>VLOOKUP(A17,[16]LISTADHERENT!A$5:H$60,3,0)</f>
        <v>HENGUE PAUL OMER</v>
      </c>
      <c r="C17" s="110">
        <f>VLOOKUP(A17,[15]MVTRESUME23!$A$6:$AO$36,13,0)</f>
        <v>12000</v>
      </c>
      <c r="D17" s="112"/>
      <c r="E17" s="14"/>
      <c r="F17" s="111"/>
    </row>
    <row r="18" spans="1:6" ht="18.5" x14ac:dyDescent="0.45">
      <c r="A18" s="13" t="s">
        <v>69</v>
      </c>
      <c r="B18" s="14" t="str">
        <f>VLOOKUP(A18,[16]LISTADHERENT!A$5:H$60,3,0)</f>
        <v>HOTCHO BENJAMIN</v>
      </c>
      <c r="C18" s="110">
        <f>VLOOKUP(A18,[15]MVTRESUME23!$A$6:$AO$36,13,0)</f>
        <v>12000</v>
      </c>
      <c r="D18" s="112"/>
      <c r="E18" s="14"/>
      <c r="F18" s="111"/>
    </row>
    <row r="19" spans="1:6" ht="18.5" x14ac:dyDescent="0.45">
      <c r="A19" s="13" t="s">
        <v>70</v>
      </c>
      <c r="B19" s="14" t="str">
        <f>VLOOKUP(A19,[16]LISTADHERENT!A$5:H$60,3,0)</f>
        <v>KOUAMOU MOISE</v>
      </c>
      <c r="C19" s="110">
        <f>VLOOKUP(A19,[15]MVTRESUME23!$A$6:$AO$36,13,0)</f>
        <v>12000</v>
      </c>
      <c r="D19" s="112"/>
      <c r="E19" s="14"/>
      <c r="F19" s="111"/>
    </row>
    <row r="20" spans="1:6" ht="18.5" x14ac:dyDescent="0.45">
      <c r="A20" s="13" t="s">
        <v>71</v>
      </c>
      <c r="B20" s="14" t="str">
        <f>VLOOKUP(A20,[16]LISTADHERENT!A$5:H$60,3,0)</f>
        <v>KOUATCHO MESSACK</v>
      </c>
      <c r="C20" s="110">
        <f>VLOOKUP(A20,[15]MVTRESUME23!$A$6:$AO$36,13,0)</f>
        <v>12000</v>
      </c>
      <c r="D20" s="112"/>
      <c r="E20" s="14"/>
      <c r="F20" s="111"/>
    </row>
    <row r="21" spans="1:6" ht="18.5" x14ac:dyDescent="0.45">
      <c r="A21" s="13" t="s">
        <v>72</v>
      </c>
      <c r="B21" s="14" t="str">
        <f>VLOOKUP(A21,[16]LISTADHERENT!A$5:H$60,3,0)</f>
        <v>LOWE JEAN</v>
      </c>
      <c r="C21" s="110">
        <f>VLOOKUP(A21,[15]MVTRESUME23!$A$6:$AO$36,13,0)</f>
        <v>12000</v>
      </c>
      <c r="D21" s="112"/>
      <c r="E21" s="14"/>
      <c r="F21" s="111"/>
    </row>
    <row r="22" spans="1:6" ht="18.5" x14ac:dyDescent="0.45">
      <c r="A22" s="13" t="s">
        <v>86</v>
      </c>
      <c r="B22" s="14" t="str">
        <f>VLOOKUP(A22,[16]LISTADHERENT!A$5:H$60,3,0)</f>
        <v>MBOGNING TUGMA GUY</v>
      </c>
      <c r="C22" s="110">
        <f>VLOOKUP(A22,[15]MVTRESUME23!$A$6:$AO$36,13,0)</f>
        <v>12000</v>
      </c>
      <c r="D22" s="112"/>
      <c r="E22" s="14"/>
      <c r="F22" s="111"/>
    </row>
    <row r="23" spans="1:6" ht="18.5" x14ac:dyDescent="0.45">
      <c r="A23" s="13" t="s">
        <v>81</v>
      </c>
      <c r="B23" s="14" t="str">
        <f>VLOOKUP(A23,[16]LISTADHERENT!A$5:H$60,3,0)</f>
        <v>NANGUEN MARTIN</v>
      </c>
      <c r="C23" s="110">
        <f>VLOOKUP(A23,[15]MVTRESUME23!$A$6:$AO$36,13,0)</f>
        <v>12000</v>
      </c>
      <c r="D23" s="112"/>
      <c r="E23" s="14"/>
      <c r="F23" s="111"/>
    </row>
    <row r="24" spans="1:6" ht="18.5" x14ac:dyDescent="0.45">
      <c r="A24" s="13" t="s">
        <v>73</v>
      </c>
      <c r="B24" s="14" t="str">
        <f>VLOOKUP(A24,[16]LISTADHERENT!A$5:H$60,3,0)</f>
        <v>NANKAM APPOLINAIRE</v>
      </c>
      <c r="C24" s="110">
        <f>VLOOKUP(A24,[15]MVTRESUME23!$A$6:$AO$36,13,0)</f>
        <v>12000</v>
      </c>
      <c r="D24" s="112"/>
      <c r="E24" s="14"/>
      <c r="F24" s="111"/>
    </row>
    <row r="25" spans="1:6" ht="18.5" x14ac:dyDescent="0.45">
      <c r="A25" s="13" t="s">
        <v>74</v>
      </c>
      <c r="B25" s="14" t="str">
        <f>VLOOKUP(A25,[16]LISTADHERENT!A$5:H$60,3,0)</f>
        <v>NDJOMO ETIENNE</v>
      </c>
      <c r="C25" s="110">
        <f>VLOOKUP(A25,[15]MVTRESUME23!$A$6:$AO$36,13,0)</f>
        <v>12000</v>
      </c>
      <c r="D25" s="112"/>
      <c r="E25" s="14"/>
      <c r="F25" s="111"/>
    </row>
    <row r="26" spans="1:6" ht="18.5" x14ac:dyDescent="0.45">
      <c r="A26" s="13" t="s">
        <v>75</v>
      </c>
      <c r="B26" s="14" t="str">
        <f>VLOOKUP(A26,[16]LISTADHERENT!A$5:H$60,3,0)</f>
        <v>NGONDIEP CLAUDE</v>
      </c>
      <c r="C26" s="110">
        <f>VLOOKUP(A26,[15]MVTRESUME23!$A$6:$AO$36,13,0)</f>
        <v>12000</v>
      </c>
      <c r="D26" s="14"/>
      <c r="E26" s="14"/>
      <c r="F26" s="111"/>
    </row>
    <row r="27" spans="1:6" ht="18.5" x14ac:dyDescent="0.45">
      <c r="A27" s="13" t="s">
        <v>77</v>
      </c>
      <c r="B27" s="14" t="str">
        <f>VLOOKUP(A27,[16]LISTADHERENT!A$5:H$60,3,0)</f>
        <v>NGUIEMEGNI MATHIEU BLAISE</v>
      </c>
      <c r="C27" s="110">
        <f>VLOOKUP(A27,[15]MVTRESUME23!$A$6:$AO$36,13,0)</f>
        <v>12000</v>
      </c>
      <c r="D27" s="14"/>
      <c r="E27" s="14"/>
      <c r="F27" s="111"/>
    </row>
    <row r="28" spans="1:6" ht="18.5" x14ac:dyDescent="0.45">
      <c r="A28" s="13" t="s">
        <v>78</v>
      </c>
      <c r="B28" s="14" t="str">
        <f>VLOOKUP(A28,[16]LISTADHERENT!A$5:H$60,3,0)</f>
        <v>NKAMGANG JUSTIN DEJOLIE</v>
      </c>
      <c r="C28" s="110">
        <f>VLOOKUP(A28,[15]MVTRESUME23!$A$6:$AO$36,13,0)</f>
        <v>12000</v>
      </c>
      <c r="D28" s="14"/>
      <c r="E28" s="14"/>
      <c r="F28" s="111"/>
    </row>
    <row r="29" spans="1:6" ht="18.5" x14ac:dyDescent="0.45">
      <c r="A29" s="13" t="s">
        <v>105</v>
      </c>
      <c r="B29" s="14" t="str">
        <f>VLOOKUP(A29,[16]LISTADHERENT!A$5:H$60,3,0)</f>
        <v>NOUBE ETIENNE</v>
      </c>
      <c r="C29" s="110">
        <f>VLOOKUP(A29,[15]MVTRESUME23!$A$6:$AO$36,13,0)</f>
        <v>12000</v>
      </c>
      <c r="D29" s="14"/>
      <c r="E29" s="14"/>
      <c r="F29" s="111"/>
    </row>
    <row r="30" spans="1:6" ht="18.5" x14ac:dyDescent="0.45">
      <c r="A30" s="13" t="s">
        <v>79</v>
      </c>
      <c r="B30" s="14" t="str">
        <f>VLOOKUP(A30,[16]LISTADHERENT!A$5:H$60,3,0)</f>
        <v>PATEGO NJOSSU GUSTAVE</v>
      </c>
      <c r="C30" s="110">
        <f>VLOOKUP(A30,[15]MVTRESUME23!$A$6:$AO$36,13,0)</f>
        <v>12000</v>
      </c>
      <c r="D30" s="14"/>
      <c r="E30" s="14"/>
      <c r="F30" s="111"/>
    </row>
    <row r="31" spans="1:6" ht="18.5" x14ac:dyDescent="0.45">
      <c r="A31" s="13" t="s">
        <v>130</v>
      </c>
      <c r="B31" s="14" t="str">
        <f>VLOOKUP(A31,[16]LISTADHERENT!A$5:H$60,3,0)</f>
        <v>SEUMO POLYCARPE</v>
      </c>
      <c r="C31" s="110">
        <f>VLOOKUP(A31,[15]MVTRESUME23!$A$6:$AO$36,13,0)</f>
        <v>12000</v>
      </c>
      <c r="D31" s="14"/>
      <c r="E31" s="14"/>
      <c r="F31" s="111"/>
    </row>
    <row r="32" spans="1:6" ht="18.5" x14ac:dyDescent="0.45">
      <c r="A32" s="13" t="s">
        <v>89</v>
      </c>
      <c r="B32" s="14" t="str">
        <f>VLOOKUP(A32,[16]LISTADHERENT!A$5:H$60,3,0)</f>
        <v>SIME BRICE</v>
      </c>
      <c r="C32" s="110">
        <f>VLOOKUP(A32,[15]MVTRESUME23!$A$6:$AO$36,13,0)</f>
        <v>12000</v>
      </c>
      <c r="D32" s="14"/>
      <c r="E32" s="14"/>
      <c r="F32" s="111"/>
    </row>
    <row r="33" spans="1:6" ht="18.5" x14ac:dyDescent="0.45">
      <c r="A33" s="13" t="s">
        <v>80</v>
      </c>
      <c r="B33" s="14" t="str">
        <f>VLOOKUP(A33,[16]LISTADHERENT!A$5:H$60,3,0)</f>
        <v>SIMO PIERRE</v>
      </c>
      <c r="C33" s="110">
        <f>VLOOKUP(A33,[15]MVTRESUME23!$A$6:$AO$36,13,0)</f>
        <v>12000</v>
      </c>
      <c r="D33" s="14"/>
      <c r="E33" s="14"/>
      <c r="F33" s="111"/>
    </row>
    <row r="34" spans="1:6" ht="18.5" x14ac:dyDescent="0.45">
      <c r="A34" s="13" t="s">
        <v>82</v>
      </c>
      <c r="B34" s="14" t="str">
        <f>VLOOKUP(A34,[16]LISTADHERENT!A$5:H$60,3,0)</f>
        <v>TCHOUAMOU MATHIEU</v>
      </c>
      <c r="C34" s="110">
        <f>VLOOKUP(A34,[15]MVTRESUME23!$A$6:$AO$36,13,0)</f>
        <v>12000</v>
      </c>
      <c r="D34" s="14"/>
      <c r="E34" s="14"/>
      <c r="F34" s="111"/>
    </row>
    <row r="35" spans="1:6" ht="18.5" x14ac:dyDescent="0.45">
      <c r="A35" s="13" t="s">
        <v>83</v>
      </c>
      <c r="B35" s="14" t="str">
        <f>VLOOKUP(A35,[16]LISTADHERENT!A$5:H$60,3,0)</f>
        <v>TCHOUTOU NANA CLAUDE</v>
      </c>
      <c r="C35" s="110">
        <f>VLOOKUP(A35,[15]MVTRESUME23!$A$6:$AO$36,13,0)</f>
        <v>12000</v>
      </c>
      <c r="D35" s="14"/>
      <c r="E35" s="14"/>
      <c r="F35" s="111"/>
    </row>
    <row r="36" spans="1:6" ht="18.5" x14ac:dyDescent="0.45">
      <c r="A36" s="13" t="s">
        <v>131</v>
      </c>
      <c r="B36" s="14" t="str">
        <f>VLOOKUP(A36,[16]LISTADHERENT!A$5:H$60,3,0)</f>
        <v>YANTCHOU GERVAIS</v>
      </c>
      <c r="C36" s="110">
        <f>VLOOKUP(A36,[15]MVTRESUME23!$A$6:$AO$36,13,0)</f>
        <v>12000</v>
      </c>
      <c r="D36" s="14"/>
      <c r="E36" s="14"/>
      <c r="F36" s="111"/>
    </row>
    <row r="37" spans="1:6" ht="18.5" x14ac:dyDescent="0.45">
      <c r="A37" s="13" t="s">
        <v>84</v>
      </c>
      <c r="B37" s="14" t="str">
        <f>VLOOKUP(A37,[16]LISTADHERENT!A$5:H$60,3,0)</f>
        <v>YEPMOU JEAN JACQUES</v>
      </c>
      <c r="C37" s="110">
        <f>VLOOKUP(A37,[15]MVTRESUME23!$A$6:$AO$36,13,0)</f>
        <v>12000</v>
      </c>
      <c r="D37" s="14"/>
      <c r="E37" s="14"/>
      <c r="F37" s="111"/>
    </row>
    <row r="38" spans="1:6" ht="18.5" x14ac:dyDescent="0.45">
      <c r="A38" s="13" t="s">
        <v>85</v>
      </c>
      <c r="B38" s="14" t="str">
        <f>VLOOKUP(A38,[16]LISTADHERENT!A$5:H$60,3,0)</f>
        <v>YOUMBI EMMANUEL</v>
      </c>
      <c r="C38" s="110">
        <f>VLOOKUP(A38,[15]MVTRESUME23!$A$6:$AO$36,13,0)</f>
        <v>12000</v>
      </c>
      <c r="D38" s="14"/>
      <c r="E38" s="14"/>
      <c r="F38" s="111"/>
    </row>
    <row r="39" spans="1:6" x14ac:dyDescent="0.35">
      <c r="A39" s="19"/>
      <c r="B39" s="14"/>
      <c r="C39" s="14"/>
      <c r="D39" s="14"/>
      <c r="E39" s="14"/>
      <c r="F39" s="15"/>
    </row>
    <row r="40" spans="1:6" ht="18" thickBot="1" x14ac:dyDescent="0.4">
      <c r="A40" s="31" t="s">
        <v>23</v>
      </c>
      <c r="B40" s="58"/>
      <c r="C40" s="59">
        <f>SUM(C8:C39)</f>
        <v>360000</v>
      </c>
      <c r="D40" s="59"/>
      <c r="E40" s="59">
        <f t="shared" ref="E40:F40" si="0">SUM(E6:E39)</f>
        <v>0</v>
      </c>
      <c r="F40" s="60">
        <f t="shared" si="0"/>
        <v>825000</v>
      </c>
    </row>
    <row r="41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1"/>
  <sheetViews>
    <sheetView topLeftCell="A31" workbookViewId="0">
      <selection activeCell="B34" sqref="B34"/>
    </sheetView>
  </sheetViews>
  <sheetFormatPr baseColWidth="10" defaultRowHeight="14.5" x14ac:dyDescent="0.35"/>
  <cols>
    <col min="2" max="2" width="30" bestFit="1" customWidth="1"/>
    <col min="3" max="3" width="12.453125" bestFit="1" customWidth="1"/>
    <col min="4" max="4" width="15" bestFit="1" customWidth="1"/>
    <col min="5" max="5" width="18.453125" customWidth="1"/>
    <col min="7" max="7" width="36.453125" bestFit="1" customWidth="1"/>
    <col min="8" max="8" width="20.7265625" customWidth="1"/>
  </cols>
  <sheetData>
    <row r="1" spans="1:8" x14ac:dyDescent="0.35">
      <c r="A1" s="1" t="s">
        <v>94</v>
      </c>
      <c r="B1" s="1" t="s">
        <v>95</v>
      </c>
    </row>
    <row r="2" spans="1:8" x14ac:dyDescent="0.35">
      <c r="A2" s="1" t="s">
        <v>10</v>
      </c>
      <c r="B2" s="1">
        <v>2023</v>
      </c>
    </row>
    <row r="4" spans="1:8" ht="26" x14ac:dyDescent="0.35">
      <c r="A4" s="133" t="s">
        <v>147</v>
      </c>
      <c r="B4" s="134"/>
      <c r="C4" s="134"/>
      <c r="D4" s="134"/>
      <c r="E4" s="134"/>
      <c r="F4" s="134"/>
      <c r="G4" s="134"/>
      <c r="H4" s="134"/>
    </row>
    <row r="5" spans="1:8" ht="15" thickBot="1" x14ac:dyDescent="0.4">
      <c r="A5" s="71"/>
      <c r="B5" s="72"/>
      <c r="C5" s="73"/>
      <c r="D5" s="73"/>
      <c r="E5" s="73"/>
      <c r="F5" s="73"/>
      <c r="G5" s="74"/>
      <c r="H5" s="73"/>
    </row>
    <row r="6" spans="1:8" ht="15.75" customHeight="1" thickTop="1" x14ac:dyDescent="0.4">
      <c r="A6" s="139" t="s">
        <v>96</v>
      </c>
      <c r="B6" s="141" t="s">
        <v>52</v>
      </c>
      <c r="C6" s="108" t="s">
        <v>138</v>
      </c>
      <c r="D6" s="108"/>
      <c r="E6" s="108"/>
      <c r="F6" s="141" t="s">
        <v>135</v>
      </c>
      <c r="G6" s="141"/>
      <c r="H6" s="143"/>
    </row>
    <row r="7" spans="1:8" ht="21.75" customHeight="1" x14ac:dyDescent="0.35">
      <c r="A7" s="140"/>
      <c r="B7" s="142"/>
      <c r="C7" s="109" t="s">
        <v>134</v>
      </c>
      <c r="D7" s="109" t="s">
        <v>176</v>
      </c>
      <c r="E7" s="109" t="s">
        <v>23</v>
      </c>
      <c r="F7" s="109" t="s">
        <v>136</v>
      </c>
      <c r="G7" s="109" t="s">
        <v>137</v>
      </c>
      <c r="H7" s="26" t="s">
        <v>134</v>
      </c>
    </row>
    <row r="8" spans="1:8" ht="18.5" x14ac:dyDescent="0.45">
      <c r="A8" s="13" t="s">
        <v>90</v>
      </c>
      <c r="B8" s="14" t="str">
        <f>VLOOKUP(A8,[16]LISTADHERENT!A$5:H$60,3,0)</f>
        <v>ASELBY</v>
      </c>
      <c r="C8" s="110">
        <f>VLOOKUP(A8,[15]MVTRESUME23!$A$6:$AO$36,17,0)</f>
        <v>0</v>
      </c>
      <c r="D8" s="110">
        <f>DETAILFICHECASSATION!K6</f>
        <v>0</v>
      </c>
      <c r="E8" s="110">
        <f>C8+D8</f>
        <v>0</v>
      </c>
      <c r="F8" s="112">
        <v>44958</v>
      </c>
      <c r="G8" s="14" t="s">
        <v>169</v>
      </c>
      <c r="H8" s="111">
        <f>[19]HISTOFEV23!$BP$30</f>
        <v>560000</v>
      </c>
    </row>
    <row r="9" spans="1:8" ht="18.5" x14ac:dyDescent="0.45">
      <c r="A9" s="13" t="s">
        <v>62</v>
      </c>
      <c r="B9" s="14" t="str">
        <f>VLOOKUP(A9,[16]LISTADHERENT!A$5:H$60,3,0)</f>
        <v>BAKOP ACHILLE</v>
      </c>
      <c r="C9" s="110">
        <f>VLOOKUP(A9,[15]MVTRESUME23!$A$6:$AO$36,17,0)</f>
        <v>0</v>
      </c>
      <c r="D9" s="110">
        <f>DETAILFICHECASSATION!K7</f>
        <v>40000</v>
      </c>
      <c r="E9" s="110">
        <f t="shared" ref="E9:E38" si="0">C9+D9</f>
        <v>40000</v>
      </c>
      <c r="F9" s="112">
        <v>44958</v>
      </c>
      <c r="G9" s="14" t="s">
        <v>148</v>
      </c>
      <c r="H9" s="111">
        <f>[19]HISTOFEV23!$BP$31</f>
        <v>0</v>
      </c>
    </row>
    <row r="10" spans="1:8" ht="18.5" x14ac:dyDescent="0.45">
      <c r="A10" s="13" t="s">
        <v>63</v>
      </c>
      <c r="B10" s="14" t="str">
        <f>VLOOKUP(A10,[16]LISTADHERENT!A$5:H$60,3,0)</f>
        <v>BOUTCHOUANG WILLIAM</v>
      </c>
      <c r="C10" s="110">
        <f>VLOOKUP(A10,[15]MVTRESUME23!$A$6:$AO$36,17,0)</f>
        <v>0</v>
      </c>
      <c r="D10" s="110">
        <f>DETAILFICHECASSATION!K8</f>
        <v>40000</v>
      </c>
      <c r="E10" s="110">
        <f t="shared" si="0"/>
        <v>40000</v>
      </c>
      <c r="F10" s="112">
        <v>45047</v>
      </c>
      <c r="G10" s="14" t="s">
        <v>149</v>
      </c>
      <c r="H10" s="111">
        <f>[19]HISTOMAI23!$BP$30-100000</f>
        <v>100000</v>
      </c>
    </row>
    <row r="11" spans="1:8" ht="18.5" x14ac:dyDescent="0.45">
      <c r="A11" s="13" t="s">
        <v>64</v>
      </c>
      <c r="B11" s="14" t="str">
        <f>VLOOKUP(A11,[16]LISTADHERENT!A$5:H$60,3,0)</f>
        <v xml:space="preserve">DJOMO JEAN PAUL </v>
      </c>
      <c r="C11" s="110">
        <f>VLOOKUP(A11,[15]MVTRESUME23!$A$6:$AO$36,17,0)</f>
        <v>0</v>
      </c>
      <c r="D11" s="110">
        <f>DETAILFICHECASSATION!K9</f>
        <v>40000</v>
      </c>
      <c r="E11" s="110">
        <f t="shared" si="0"/>
        <v>40000</v>
      </c>
      <c r="F11" s="112">
        <v>45047</v>
      </c>
      <c r="G11" s="14" t="s">
        <v>150</v>
      </c>
      <c r="H11" s="111">
        <f>[19]HISTOMAI23!$BP$30-100000</f>
        <v>100000</v>
      </c>
    </row>
    <row r="12" spans="1:8" ht="18.5" x14ac:dyDescent="0.45">
      <c r="A12" s="13" t="s">
        <v>104</v>
      </c>
      <c r="B12" s="14" t="str">
        <f>VLOOKUP(A12,[16]LISTADHERENT!A$5:H$60,3,0)</f>
        <v>DJOMOU TCHAPDA</v>
      </c>
      <c r="C12" s="110">
        <f>VLOOKUP(A12,[15]MVTRESUME23!$A$6:$AO$36,17,0)</f>
        <v>0</v>
      </c>
      <c r="D12" s="110">
        <f>DETAILFICHECASSATION!K10</f>
        <v>40000</v>
      </c>
      <c r="E12" s="110">
        <f t="shared" si="0"/>
        <v>40000</v>
      </c>
      <c r="F12" s="112">
        <v>45139</v>
      </c>
      <c r="G12" s="14" t="s">
        <v>170</v>
      </c>
      <c r="H12" s="111">
        <f>[19]HISTOAOUT23!$BP$33</f>
        <v>560000</v>
      </c>
    </row>
    <row r="13" spans="1:8" ht="18.5" x14ac:dyDescent="0.45">
      <c r="A13" s="13" t="s">
        <v>65</v>
      </c>
      <c r="B13" s="14" t="str">
        <f>VLOOKUP(A13,[16]LISTADHERENT!A$5:H$60,3,0)</f>
        <v>DJOUKWE NANGUEN GUY BLAISE</v>
      </c>
      <c r="C13" s="110">
        <f>VLOOKUP(A13,[15]MVTRESUME23!$A$6:$AO$36,17,0)</f>
        <v>0</v>
      </c>
      <c r="D13" s="110">
        <f>DETAILFICHECASSATION!K11</f>
        <v>40000</v>
      </c>
      <c r="E13" s="110">
        <f t="shared" si="0"/>
        <v>40000</v>
      </c>
      <c r="F13" s="112"/>
      <c r="G13" s="14"/>
      <c r="H13" s="111"/>
    </row>
    <row r="14" spans="1:8" ht="18.5" x14ac:dyDescent="0.45">
      <c r="A14" s="13" t="s">
        <v>66</v>
      </c>
      <c r="B14" s="14" t="str">
        <f>VLOOKUP(A14,[16]LISTADHERENT!A$5:H$60,3,0)</f>
        <v>DJUOMBESSY ANTOINE</v>
      </c>
      <c r="C14" s="110">
        <f>VLOOKUP(A14,[15]MVTRESUME23!$A$6:$AO$36,17,0)</f>
        <v>0</v>
      </c>
      <c r="D14" s="110">
        <f>DETAILFICHECASSATION!K12</f>
        <v>40000</v>
      </c>
      <c r="E14" s="110">
        <f t="shared" si="0"/>
        <v>40000</v>
      </c>
      <c r="F14" s="112"/>
      <c r="G14" s="14"/>
      <c r="H14" s="111"/>
    </row>
    <row r="15" spans="1:8" ht="18.5" x14ac:dyDescent="0.45">
      <c r="A15" s="13" t="s">
        <v>87</v>
      </c>
      <c r="B15" s="14" t="str">
        <f>VLOOKUP(A15,[16]LISTADHERENT!A$5:H$60,3,0)</f>
        <v>DOMOU FABIEN</v>
      </c>
      <c r="C15" s="110">
        <f>VLOOKUP(A15,[15]MVTRESUME23!$A$6:$AO$36,17,0)</f>
        <v>0</v>
      </c>
      <c r="D15" s="110">
        <f>DETAILFICHECASSATION!K13</f>
        <v>40000</v>
      </c>
      <c r="E15" s="110">
        <f t="shared" si="0"/>
        <v>40000</v>
      </c>
      <c r="F15" s="112"/>
      <c r="G15" s="14"/>
      <c r="H15" s="111"/>
    </row>
    <row r="16" spans="1:8" ht="18.5" x14ac:dyDescent="0.45">
      <c r="A16" s="13" t="s">
        <v>67</v>
      </c>
      <c r="B16" s="14" t="str">
        <f>VLOOKUP(A16,[16]LISTADHERENT!A$5:H$60,3,0)</f>
        <v>DONHOU DAVID</v>
      </c>
      <c r="C16" s="110">
        <f>VLOOKUP(A16,[15]MVTRESUME23!$A$6:$AO$36,17,0)</f>
        <v>0</v>
      </c>
      <c r="D16" s="110">
        <f>DETAILFICHECASSATION!K14</f>
        <v>40000</v>
      </c>
      <c r="E16" s="110">
        <f t="shared" si="0"/>
        <v>40000</v>
      </c>
      <c r="F16" s="112"/>
      <c r="G16" s="14"/>
      <c r="H16" s="111"/>
    </row>
    <row r="17" spans="1:8" ht="18.5" x14ac:dyDescent="0.45">
      <c r="A17" s="13" t="s">
        <v>68</v>
      </c>
      <c r="B17" s="14" t="str">
        <f>VLOOKUP(A17,[16]LISTADHERENT!A$5:H$60,3,0)</f>
        <v>HENGUE PAUL OMER</v>
      </c>
      <c r="C17" s="110">
        <f>VLOOKUP(A17,[15]MVTRESUME23!$A$6:$AO$36,17,0)</f>
        <v>0</v>
      </c>
      <c r="D17" s="110">
        <f>DETAILFICHECASSATION!K15</f>
        <v>40000</v>
      </c>
      <c r="E17" s="110">
        <f t="shared" si="0"/>
        <v>40000</v>
      </c>
      <c r="F17" s="112"/>
      <c r="G17" s="14"/>
      <c r="H17" s="111"/>
    </row>
    <row r="18" spans="1:8" ht="18.5" x14ac:dyDescent="0.45">
      <c r="A18" s="13" t="s">
        <v>69</v>
      </c>
      <c r="B18" s="14" t="str">
        <f>VLOOKUP(A18,[16]LISTADHERENT!A$5:H$60,3,0)</f>
        <v>HOTCHO BENJAMIN</v>
      </c>
      <c r="C18" s="110">
        <f>VLOOKUP(A18,[15]MVTRESUME23!$A$6:$AO$36,17,0)</f>
        <v>0</v>
      </c>
      <c r="D18" s="110">
        <f>DETAILFICHECASSATION!K16</f>
        <v>40000</v>
      </c>
      <c r="E18" s="110">
        <f t="shared" si="0"/>
        <v>40000</v>
      </c>
      <c r="F18" s="112"/>
      <c r="G18" s="14"/>
      <c r="H18" s="111"/>
    </row>
    <row r="19" spans="1:8" ht="18.5" x14ac:dyDescent="0.45">
      <c r="A19" s="13" t="s">
        <v>70</v>
      </c>
      <c r="B19" s="14" t="str">
        <f>VLOOKUP(A19,[16]LISTADHERENT!A$5:H$60,3,0)</f>
        <v>KOUAMOU MOISE</v>
      </c>
      <c r="C19" s="110">
        <f>VLOOKUP(A19,[15]MVTRESUME23!$A$6:$AO$36,17,0)</f>
        <v>0</v>
      </c>
      <c r="D19" s="110">
        <f>DETAILFICHECASSATION!K17</f>
        <v>40000</v>
      </c>
      <c r="E19" s="110">
        <f t="shared" si="0"/>
        <v>40000</v>
      </c>
      <c r="F19" s="112"/>
      <c r="G19" s="14"/>
      <c r="H19" s="111"/>
    </row>
    <row r="20" spans="1:8" ht="18.5" x14ac:dyDescent="0.45">
      <c r="A20" s="13" t="s">
        <v>71</v>
      </c>
      <c r="B20" s="14" t="str">
        <f>VLOOKUP(A20,[16]LISTADHERENT!A$5:H$60,3,0)</f>
        <v>KOUATCHO MESSACK</v>
      </c>
      <c r="C20" s="110">
        <f>VLOOKUP(A20,[15]MVTRESUME23!$A$6:$AO$36,17,0)</f>
        <v>0</v>
      </c>
      <c r="D20" s="110">
        <f>DETAILFICHECASSATION!K18</f>
        <v>40000</v>
      </c>
      <c r="E20" s="110">
        <f t="shared" si="0"/>
        <v>40000</v>
      </c>
      <c r="F20" s="112"/>
      <c r="G20" s="14"/>
      <c r="H20" s="111"/>
    </row>
    <row r="21" spans="1:8" ht="18.5" x14ac:dyDescent="0.45">
      <c r="A21" s="13" t="s">
        <v>72</v>
      </c>
      <c r="B21" s="14" t="str">
        <f>VLOOKUP(A21,[16]LISTADHERENT!A$5:H$60,3,0)</f>
        <v>LOWE JEAN</v>
      </c>
      <c r="C21" s="110">
        <f>VLOOKUP(A21,[15]MVTRESUME23!$A$6:$AO$36,17,0)</f>
        <v>0</v>
      </c>
      <c r="D21" s="110">
        <f>DETAILFICHECASSATION!K19</f>
        <v>40000</v>
      </c>
      <c r="E21" s="110">
        <f t="shared" si="0"/>
        <v>40000</v>
      </c>
      <c r="F21" s="112"/>
      <c r="G21" s="14"/>
      <c r="H21" s="111"/>
    </row>
    <row r="22" spans="1:8" ht="18.5" x14ac:dyDescent="0.45">
      <c r="A22" s="13" t="s">
        <v>86</v>
      </c>
      <c r="B22" s="14" t="str">
        <f>VLOOKUP(A22,[16]LISTADHERENT!A$5:H$60,3,0)</f>
        <v>MBOGNING TUGMA GUY</v>
      </c>
      <c r="C22" s="110">
        <f>VLOOKUP(A22,[15]MVTRESUME23!$A$6:$AO$36,17,0)</f>
        <v>0</v>
      </c>
      <c r="D22" s="110">
        <f>DETAILFICHECASSATION!K20</f>
        <v>40000</v>
      </c>
      <c r="E22" s="110">
        <f t="shared" si="0"/>
        <v>40000</v>
      </c>
      <c r="F22" s="112"/>
      <c r="G22" s="14"/>
      <c r="H22" s="111"/>
    </row>
    <row r="23" spans="1:8" ht="18.5" x14ac:dyDescent="0.45">
      <c r="A23" s="13" t="s">
        <v>81</v>
      </c>
      <c r="B23" s="14" t="str">
        <f>VLOOKUP(A23,[16]LISTADHERENT!A$5:H$60,3,0)</f>
        <v>NANGUEN MARTIN</v>
      </c>
      <c r="C23" s="110">
        <f>VLOOKUP(A23,[15]MVTRESUME23!$A$6:$AO$36,17,0)</f>
        <v>0</v>
      </c>
      <c r="D23" s="110">
        <f>DETAILFICHECASSATION!K21</f>
        <v>40000</v>
      </c>
      <c r="E23" s="110">
        <f t="shared" si="0"/>
        <v>40000</v>
      </c>
      <c r="F23" s="112"/>
      <c r="G23" s="14"/>
      <c r="H23" s="111"/>
    </row>
    <row r="24" spans="1:8" ht="18.5" x14ac:dyDescent="0.45">
      <c r="A24" s="13" t="s">
        <v>73</v>
      </c>
      <c r="B24" s="14" t="str">
        <f>VLOOKUP(A24,[16]LISTADHERENT!A$5:H$60,3,0)</f>
        <v>NANKAM APPOLINAIRE</v>
      </c>
      <c r="C24" s="110">
        <f>VLOOKUP(A24,[15]MVTRESUME23!$A$6:$AO$36,17,0)</f>
        <v>0</v>
      </c>
      <c r="D24" s="110">
        <f>DETAILFICHECASSATION!K22</f>
        <v>40000</v>
      </c>
      <c r="E24" s="110">
        <f t="shared" si="0"/>
        <v>40000</v>
      </c>
      <c r="F24" s="112"/>
      <c r="G24" s="14"/>
      <c r="H24" s="111"/>
    </row>
    <row r="25" spans="1:8" ht="18.5" x14ac:dyDescent="0.45">
      <c r="A25" s="13" t="s">
        <v>74</v>
      </c>
      <c r="B25" s="14" t="str">
        <f>VLOOKUP(A25,[16]LISTADHERENT!A$5:H$60,3,0)</f>
        <v>NDJOMO ETIENNE</v>
      </c>
      <c r="C25" s="110">
        <f>VLOOKUP(A25,[15]MVTRESUME23!$A$6:$AO$36,17,0)</f>
        <v>0</v>
      </c>
      <c r="D25" s="110">
        <f>DETAILFICHECASSATION!K23</f>
        <v>40000</v>
      </c>
      <c r="E25" s="110">
        <f t="shared" si="0"/>
        <v>40000</v>
      </c>
      <c r="F25" s="112"/>
      <c r="G25" s="14"/>
      <c r="H25" s="111"/>
    </row>
    <row r="26" spans="1:8" ht="18.5" x14ac:dyDescent="0.45">
      <c r="A26" s="13" t="s">
        <v>75</v>
      </c>
      <c r="B26" s="14" t="str">
        <f>VLOOKUP(A26,[16]LISTADHERENT!A$5:H$60,3,0)</f>
        <v>NGONDIEP CLAUDE</v>
      </c>
      <c r="C26" s="110">
        <f>VLOOKUP(A26,[15]MVTRESUME23!$A$6:$AO$36,17,0)</f>
        <v>0</v>
      </c>
      <c r="D26" s="110">
        <f>DETAILFICHECASSATION!K24</f>
        <v>40000</v>
      </c>
      <c r="E26" s="110">
        <f t="shared" si="0"/>
        <v>40000</v>
      </c>
      <c r="F26" s="14"/>
      <c r="G26" s="14"/>
      <c r="H26" s="111"/>
    </row>
    <row r="27" spans="1:8" ht="18.5" x14ac:dyDescent="0.45">
      <c r="A27" s="13" t="s">
        <v>77</v>
      </c>
      <c r="B27" s="14" t="str">
        <f>VLOOKUP(A27,[16]LISTADHERENT!A$5:H$60,3,0)</f>
        <v>NGUIEMEGNI MATHIEU BLAISE</v>
      </c>
      <c r="C27" s="110">
        <f>VLOOKUP(A27,[15]MVTRESUME23!$A$6:$AO$36,17,0)</f>
        <v>0</v>
      </c>
      <c r="D27" s="110">
        <f>DETAILFICHECASSATION!K25</f>
        <v>40000</v>
      </c>
      <c r="E27" s="110">
        <f t="shared" si="0"/>
        <v>40000</v>
      </c>
      <c r="F27" s="14"/>
      <c r="G27" s="14"/>
      <c r="H27" s="111"/>
    </row>
    <row r="28" spans="1:8" ht="18.5" x14ac:dyDescent="0.45">
      <c r="A28" s="13" t="s">
        <v>78</v>
      </c>
      <c r="B28" s="14" t="str">
        <f>VLOOKUP(A28,[16]LISTADHERENT!A$5:H$60,3,0)</f>
        <v>NKAMGANG JUSTIN DEJOLIE</v>
      </c>
      <c r="C28" s="110">
        <f>VLOOKUP(A28,[15]MVTRESUME23!$A$6:$AO$36,17,0)</f>
        <v>0</v>
      </c>
      <c r="D28" s="110">
        <f>DETAILFICHECASSATION!K26</f>
        <v>40000</v>
      </c>
      <c r="E28" s="110">
        <f t="shared" si="0"/>
        <v>40000</v>
      </c>
      <c r="F28" s="14"/>
      <c r="G28" s="14"/>
      <c r="H28" s="111"/>
    </row>
    <row r="29" spans="1:8" ht="18.5" x14ac:dyDescent="0.45">
      <c r="A29" s="13" t="s">
        <v>105</v>
      </c>
      <c r="B29" s="14" t="str">
        <f>VLOOKUP(A29,[16]LISTADHERENT!A$5:H$60,3,0)</f>
        <v>NOUBE ETIENNE</v>
      </c>
      <c r="C29" s="110">
        <f>VLOOKUP(A29,[15]MVTRESUME23!$A$6:$AO$36,17,0)</f>
        <v>120000</v>
      </c>
      <c r="D29" s="110">
        <f>DETAILFICHECASSATION!K27</f>
        <v>40000</v>
      </c>
      <c r="E29" s="110">
        <f t="shared" si="0"/>
        <v>160000</v>
      </c>
      <c r="F29" s="14"/>
      <c r="G29" s="14"/>
      <c r="H29" s="111"/>
    </row>
    <row r="30" spans="1:8" ht="18.5" x14ac:dyDescent="0.45">
      <c r="A30" s="13" t="s">
        <v>79</v>
      </c>
      <c r="B30" s="14" t="str">
        <f>VLOOKUP(A30,[16]LISTADHERENT!A$5:H$60,3,0)</f>
        <v>PATEGO NJOSSU GUSTAVE</v>
      </c>
      <c r="C30" s="110">
        <f>VLOOKUP(A30,[15]MVTRESUME23!$A$6:$AO$36,17,0)</f>
        <v>0</v>
      </c>
      <c r="D30" s="110">
        <f>DETAILFICHECASSATION!K28</f>
        <v>40000</v>
      </c>
      <c r="E30" s="110">
        <f t="shared" si="0"/>
        <v>40000</v>
      </c>
      <c r="F30" s="14"/>
      <c r="G30" s="14"/>
      <c r="H30" s="111"/>
    </row>
    <row r="31" spans="1:8" ht="18.5" x14ac:dyDescent="0.45">
      <c r="A31" s="13" t="s">
        <v>130</v>
      </c>
      <c r="B31" s="14" t="str">
        <f>VLOOKUP(A31,[16]LISTADHERENT!A$5:H$60,3,0)</f>
        <v>SEUMO POLYCARPE</v>
      </c>
      <c r="C31" s="110">
        <f>VLOOKUP(A31,[15]MVTRESUME23!$A$6:$AO$36,17,0)</f>
        <v>120000</v>
      </c>
      <c r="D31" s="110">
        <f>DETAILFICHECASSATION!K29</f>
        <v>40000</v>
      </c>
      <c r="E31" s="110">
        <f t="shared" si="0"/>
        <v>160000</v>
      </c>
      <c r="F31" s="14"/>
      <c r="G31" s="14"/>
      <c r="H31" s="111"/>
    </row>
    <row r="32" spans="1:8" ht="18.5" x14ac:dyDescent="0.45">
      <c r="A32" s="13" t="s">
        <v>89</v>
      </c>
      <c r="B32" s="14" t="str">
        <f>VLOOKUP(A32,[16]LISTADHERENT!A$5:H$60,3,0)</f>
        <v>SIME BRICE</v>
      </c>
      <c r="C32" s="110">
        <f>VLOOKUP(A32,[15]MVTRESUME23!$A$6:$AO$36,17,0)</f>
        <v>0</v>
      </c>
      <c r="D32" s="110">
        <f>DETAILFICHECASSATION!K30</f>
        <v>40000</v>
      </c>
      <c r="E32" s="110">
        <f t="shared" si="0"/>
        <v>40000</v>
      </c>
      <c r="F32" s="14"/>
      <c r="G32" s="14"/>
      <c r="H32" s="111"/>
    </row>
    <row r="33" spans="1:8" ht="18.5" x14ac:dyDescent="0.45">
      <c r="A33" s="13" t="s">
        <v>80</v>
      </c>
      <c r="B33" s="14" t="str">
        <f>VLOOKUP(A33,[16]LISTADHERENT!A$5:H$60,3,0)</f>
        <v>SIMO PIERRE</v>
      </c>
      <c r="C33" s="110">
        <f>VLOOKUP(A33,[15]MVTRESUME23!$A$6:$AO$36,17,0)</f>
        <v>0</v>
      </c>
      <c r="D33" s="110">
        <f>DETAILFICHECASSATION!K31</f>
        <v>40000</v>
      </c>
      <c r="E33" s="110">
        <f t="shared" si="0"/>
        <v>40000</v>
      </c>
      <c r="F33" s="14"/>
      <c r="G33" s="14"/>
      <c r="H33" s="111"/>
    </row>
    <row r="34" spans="1:8" ht="18.5" x14ac:dyDescent="0.45">
      <c r="A34" s="13" t="s">
        <v>82</v>
      </c>
      <c r="B34" s="14" t="str">
        <f>VLOOKUP(A34,[16]LISTADHERENT!A$5:H$60,3,0)</f>
        <v>TCHOUAMOU MATHIEU</v>
      </c>
      <c r="C34" s="110">
        <f>VLOOKUP(A34,[15]MVTRESUME23!$A$6:$AO$36,17,0)</f>
        <v>0</v>
      </c>
      <c r="D34" s="110">
        <f>DETAILFICHECASSATION!K32</f>
        <v>40000</v>
      </c>
      <c r="E34" s="110">
        <f t="shared" si="0"/>
        <v>40000</v>
      </c>
      <c r="F34" s="14"/>
      <c r="G34" s="14"/>
      <c r="H34" s="111"/>
    </row>
    <row r="35" spans="1:8" ht="18.5" x14ac:dyDescent="0.45">
      <c r="A35" s="13" t="s">
        <v>83</v>
      </c>
      <c r="B35" s="14" t="str">
        <f>VLOOKUP(A35,[16]LISTADHERENT!A$5:H$60,3,0)</f>
        <v>TCHOUTOU NANA CLAUDE</v>
      </c>
      <c r="C35" s="110">
        <f>VLOOKUP(A35,[15]MVTRESUME23!$A$6:$AO$36,17,0)</f>
        <v>0</v>
      </c>
      <c r="D35" s="110">
        <f>DETAILFICHECASSATION!K33</f>
        <v>0</v>
      </c>
      <c r="E35" s="110">
        <f t="shared" si="0"/>
        <v>0</v>
      </c>
      <c r="F35" s="14"/>
      <c r="G35" s="14"/>
      <c r="H35" s="111"/>
    </row>
    <row r="36" spans="1:8" ht="18.5" x14ac:dyDescent="0.45">
      <c r="A36" s="13" t="s">
        <v>131</v>
      </c>
      <c r="B36" s="14" t="str">
        <f>VLOOKUP(A36,[16]LISTADHERENT!A$5:H$60,3,0)</f>
        <v>YANTCHOU GERVAIS</v>
      </c>
      <c r="C36" s="110">
        <f>VLOOKUP(A36,[15]MVTRESUME23!$A$6:$AO$36,17,0)</f>
        <v>120000</v>
      </c>
      <c r="D36" s="110">
        <f>DETAILFICHECASSATION!K34</f>
        <v>40000</v>
      </c>
      <c r="E36" s="110">
        <f t="shared" si="0"/>
        <v>160000</v>
      </c>
      <c r="F36" s="14"/>
      <c r="G36" s="14"/>
      <c r="H36" s="111"/>
    </row>
    <row r="37" spans="1:8" ht="18.5" x14ac:dyDescent="0.45">
      <c r="A37" s="13" t="s">
        <v>84</v>
      </c>
      <c r="B37" s="14" t="str">
        <f>VLOOKUP(A37,[16]LISTADHERENT!A$5:H$60,3,0)</f>
        <v>YEPMOU JEAN JACQUES</v>
      </c>
      <c r="C37" s="110">
        <f>VLOOKUP(A37,[15]MVTRESUME23!$A$6:$AO$36,17,0)</f>
        <v>0</v>
      </c>
      <c r="D37" s="110">
        <f>DETAILFICHECASSATION!K35</f>
        <v>40000</v>
      </c>
      <c r="E37" s="110">
        <f t="shared" si="0"/>
        <v>40000</v>
      </c>
      <c r="F37" s="14"/>
      <c r="G37" s="14"/>
      <c r="H37" s="111"/>
    </row>
    <row r="38" spans="1:8" ht="18.5" x14ac:dyDescent="0.45">
      <c r="A38" s="13" t="s">
        <v>85</v>
      </c>
      <c r="B38" s="14" t="str">
        <f>VLOOKUP(A38,[16]LISTADHERENT!A$5:H$60,3,0)</f>
        <v>YOUMBI EMMANUEL</v>
      </c>
      <c r="C38" s="110">
        <f>VLOOKUP(A38,[15]MVTRESUME23!$A$6:$AO$36,17,0)</f>
        <v>0</v>
      </c>
      <c r="D38" s="110">
        <f>DETAILFICHECASSATION!K36</f>
        <v>40000</v>
      </c>
      <c r="E38" s="110">
        <f t="shared" si="0"/>
        <v>40000</v>
      </c>
      <c r="F38" s="14"/>
      <c r="G38" s="14"/>
      <c r="H38" s="111"/>
    </row>
    <row r="39" spans="1:8" x14ac:dyDescent="0.35">
      <c r="A39" s="19"/>
      <c r="B39" s="14"/>
      <c r="C39" s="14"/>
      <c r="D39" s="14"/>
      <c r="E39" s="14"/>
      <c r="F39" s="14"/>
      <c r="G39" s="14"/>
      <c r="H39" s="15"/>
    </row>
    <row r="40" spans="1:8" ht="18" thickBot="1" x14ac:dyDescent="0.4">
      <c r="A40" s="31" t="s">
        <v>23</v>
      </c>
      <c r="B40" s="58"/>
      <c r="C40" s="59">
        <f>SUM(C8:C39)</f>
        <v>360000</v>
      </c>
      <c r="D40" s="59">
        <f t="shared" ref="D40:E40" si="1">SUM(D8:D39)</f>
        <v>1160000</v>
      </c>
      <c r="E40" s="59">
        <f t="shared" si="1"/>
        <v>1520000</v>
      </c>
      <c r="F40" s="59"/>
      <c r="G40" s="59">
        <f t="shared" ref="G40:H40" si="2">SUM(G6:G39)</f>
        <v>0</v>
      </c>
      <c r="H40" s="60">
        <f t="shared" si="2"/>
        <v>1320000</v>
      </c>
    </row>
    <row r="41" spans="1:8" ht="15" thickTop="1" x14ac:dyDescent="0.35"/>
  </sheetData>
  <mergeCells count="4">
    <mergeCell ref="A4:H4"/>
    <mergeCell ref="A6:A7"/>
    <mergeCell ref="B6:B7"/>
    <mergeCell ref="F6:H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1"/>
  <sheetViews>
    <sheetView topLeftCell="A28" workbookViewId="0">
      <selection activeCell="C7" sqref="C7"/>
    </sheetView>
  </sheetViews>
  <sheetFormatPr baseColWidth="10" defaultRowHeight="14.5" x14ac:dyDescent="0.35"/>
  <cols>
    <col min="2" max="2" width="30" bestFit="1" customWidth="1"/>
    <col min="3" max="3" width="15" bestFit="1" customWidth="1"/>
    <col min="4" max="4" width="15" customWidth="1"/>
    <col min="6" max="6" width="36.453125" bestFit="1" customWidth="1"/>
    <col min="7" max="7" width="15" bestFit="1" customWidth="1"/>
  </cols>
  <sheetData>
    <row r="1" spans="1:7" x14ac:dyDescent="0.35">
      <c r="A1" s="1" t="s">
        <v>94</v>
      </c>
      <c r="B1" s="1" t="s">
        <v>95</v>
      </c>
    </row>
    <row r="2" spans="1:7" x14ac:dyDescent="0.35">
      <c r="A2" s="1" t="s">
        <v>10</v>
      </c>
      <c r="B2" s="1">
        <v>2023</v>
      </c>
    </row>
    <row r="4" spans="1:7" ht="26" x14ac:dyDescent="0.35">
      <c r="A4" s="133" t="s">
        <v>111</v>
      </c>
      <c r="B4" s="134"/>
      <c r="C4" s="134"/>
      <c r="D4" s="134"/>
      <c r="E4" s="134"/>
      <c r="F4" s="134"/>
      <c r="G4" s="134"/>
    </row>
    <row r="5" spans="1:7" ht="15" thickBot="1" x14ac:dyDescent="0.4">
      <c r="A5" s="71"/>
      <c r="B5" s="72"/>
      <c r="C5" s="73"/>
      <c r="D5" s="73"/>
      <c r="E5" s="73"/>
      <c r="F5" s="74"/>
      <c r="G5" s="73"/>
    </row>
    <row r="6" spans="1:7" ht="15.75" customHeight="1" thickTop="1" x14ac:dyDescent="0.4">
      <c r="A6" s="139" t="s">
        <v>96</v>
      </c>
      <c r="B6" s="141" t="s">
        <v>52</v>
      </c>
      <c r="C6" s="108" t="s">
        <v>138</v>
      </c>
      <c r="D6" s="108"/>
      <c r="E6" s="141" t="s">
        <v>135</v>
      </c>
      <c r="F6" s="141"/>
      <c r="G6" s="143"/>
    </row>
    <row r="7" spans="1:7" ht="21.75" customHeight="1" x14ac:dyDescent="0.35">
      <c r="A7" s="140"/>
      <c r="B7" s="142"/>
      <c r="C7" s="109" t="s">
        <v>173</v>
      </c>
      <c r="D7" s="109" t="s">
        <v>174</v>
      </c>
      <c r="E7" s="109" t="s">
        <v>136</v>
      </c>
      <c r="F7" s="109" t="s">
        <v>137</v>
      </c>
      <c r="G7" s="26" t="s">
        <v>134</v>
      </c>
    </row>
    <row r="8" spans="1:7" ht="18.5" x14ac:dyDescent="0.45">
      <c r="A8" s="13" t="s">
        <v>90</v>
      </c>
      <c r="B8" s="14" t="str">
        <f>VLOOKUP(A8,[16]LISTADHERENT!A$5:H$60,3,0)</f>
        <v>ASELBY</v>
      </c>
      <c r="C8" s="110">
        <f>VLOOKUP(A8,[15]MVTRESUME23!$A$6:$AO$36,15,0)</f>
        <v>4000</v>
      </c>
      <c r="D8" s="110">
        <f>VLOOKUP(A8,[15]MVTRESUME23!$A$6:$AO$36,9,0)</f>
        <v>0</v>
      </c>
      <c r="E8" s="112">
        <v>44958</v>
      </c>
      <c r="F8" t="s">
        <v>146</v>
      </c>
      <c r="G8" s="111">
        <f>[19]HISTOFEV23!$BP$22</f>
        <v>200000</v>
      </c>
    </row>
    <row r="9" spans="1:7" ht="18.5" x14ac:dyDescent="0.45">
      <c r="A9" s="13" t="s">
        <v>62</v>
      </c>
      <c r="B9" s="14" t="str">
        <f>VLOOKUP(A9,[16]LISTADHERENT!A$5:H$60,3,0)</f>
        <v>BAKOP ACHILLE</v>
      </c>
      <c r="C9" s="110">
        <f>VLOOKUP(A9,[15]MVTRESUME23!$A$6:$AO$36,15,0)</f>
        <v>3000</v>
      </c>
      <c r="D9" s="110">
        <f>VLOOKUP(A9,[15]MVTRESUME23!$A$6:$AO$36,9,0)</f>
        <v>0</v>
      </c>
      <c r="E9" s="112"/>
      <c r="F9" s="14"/>
      <c r="G9" s="111"/>
    </row>
    <row r="10" spans="1:7" ht="18.5" x14ac:dyDescent="0.45">
      <c r="A10" s="13" t="s">
        <v>63</v>
      </c>
      <c r="B10" s="14" t="str">
        <f>VLOOKUP(A10,[16]LISTADHERENT!A$5:H$60,3,0)</f>
        <v>BOUTCHOUANG WILLIAM</v>
      </c>
      <c r="C10" s="110">
        <f>VLOOKUP(A10,[15]MVTRESUME23!$A$6:$AO$36,15,0)</f>
        <v>0</v>
      </c>
      <c r="D10" s="110">
        <f>VLOOKUP(A10,[15]MVTRESUME23!$A$6:$AO$36,9,0)</f>
        <v>19000</v>
      </c>
      <c r="E10" s="112"/>
      <c r="F10" s="14"/>
      <c r="G10" s="111"/>
    </row>
    <row r="11" spans="1:7" ht="18.5" x14ac:dyDescent="0.45">
      <c r="A11" s="13" t="s">
        <v>64</v>
      </c>
      <c r="B11" s="14" t="str">
        <f>VLOOKUP(A11,[16]LISTADHERENT!A$5:H$60,3,0)</f>
        <v xml:space="preserve">DJOMO JEAN PAUL </v>
      </c>
      <c r="C11" s="110">
        <f>VLOOKUP(A11,[15]MVTRESUME23!$A$6:$AO$36,15,0)</f>
        <v>3000</v>
      </c>
      <c r="D11" s="110">
        <f>VLOOKUP(A11,[15]MVTRESUME23!$A$6:$AO$36,9,0)</f>
        <v>9000</v>
      </c>
      <c r="E11" s="112"/>
      <c r="F11" s="14"/>
      <c r="G11" s="111"/>
    </row>
    <row r="12" spans="1:7" ht="18.5" x14ac:dyDescent="0.45">
      <c r="A12" s="13" t="s">
        <v>104</v>
      </c>
      <c r="B12" s="14" t="str">
        <f>VLOOKUP(A12,[16]LISTADHERENT!A$5:H$60,3,0)</f>
        <v>DJOMOU TCHAPDA</v>
      </c>
      <c r="C12" s="110">
        <f>VLOOKUP(A12,[15]MVTRESUME23!$A$6:$AO$36,15,0)</f>
        <v>15000</v>
      </c>
      <c r="D12" s="110">
        <f>VLOOKUP(A12,[15]MVTRESUME23!$A$6:$AO$36,9,0)</f>
        <v>22000</v>
      </c>
      <c r="E12" s="112"/>
      <c r="F12" s="14"/>
      <c r="G12" s="111"/>
    </row>
    <row r="13" spans="1:7" ht="18.5" x14ac:dyDescent="0.45">
      <c r="A13" s="13" t="s">
        <v>65</v>
      </c>
      <c r="B13" s="14" t="str">
        <f>VLOOKUP(A13,[16]LISTADHERENT!A$5:H$60,3,0)</f>
        <v>DJOUKWE NANGUEN GUY BLAISE</v>
      </c>
      <c r="C13" s="110">
        <f>VLOOKUP(A13,[15]MVTRESUME23!$A$6:$AO$36,15,0)</f>
        <v>3000</v>
      </c>
      <c r="D13" s="110">
        <f>VLOOKUP(A13,[15]MVTRESUME23!$A$6:$AO$36,9,0)</f>
        <v>0</v>
      </c>
      <c r="E13" s="112"/>
      <c r="F13" s="14"/>
      <c r="G13" s="111"/>
    </row>
    <row r="14" spans="1:7" ht="18.5" x14ac:dyDescent="0.45">
      <c r="A14" s="13" t="s">
        <v>66</v>
      </c>
      <c r="B14" s="14" t="str">
        <f>VLOOKUP(A14,[16]LISTADHERENT!A$5:H$60,3,0)</f>
        <v>DJUOMBESSY ANTOINE</v>
      </c>
      <c r="C14" s="110">
        <f>VLOOKUP(A14,[15]MVTRESUME23!$A$6:$AO$36,15,0)</f>
        <v>0</v>
      </c>
      <c r="D14" s="110">
        <f>VLOOKUP(A14,[15]MVTRESUME23!$A$6:$AO$36,9,0)</f>
        <v>0</v>
      </c>
      <c r="E14" s="112"/>
      <c r="F14" s="14"/>
      <c r="G14" s="111"/>
    </row>
    <row r="15" spans="1:7" ht="18.5" x14ac:dyDescent="0.45">
      <c r="A15" s="13" t="s">
        <v>87</v>
      </c>
      <c r="B15" s="14" t="str">
        <f>VLOOKUP(A15,[16]LISTADHERENT!A$5:H$60,3,0)</f>
        <v>DOMOU FABIEN</v>
      </c>
      <c r="C15" s="110">
        <f>VLOOKUP(A15,[15]MVTRESUME23!$A$6:$AO$36,15,0)</f>
        <v>0</v>
      </c>
      <c r="D15" s="110">
        <f>VLOOKUP(A15,[15]MVTRESUME23!$A$6:$AO$36,9,0)</f>
        <v>0</v>
      </c>
      <c r="E15" s="112"/>
      <c r="F15" s="14"/>
      <c r="G15" s="111"/>
    </row>
    <row r="16" spans="1:7" ht="18.5" x14ac:dyDescent="0.45">
      <c r="A16" s="13" t="s">
        <v>67</v>
      </c>
      <c r="B16" s="14" t="str">
        <f>VLOOKUP(A16,[16]LISTADHERENT!A$5:H$60,3,0)</f>
        <v>DONHOU DAVID</v>
      </c>
      <c r="C16" s="110">
        <f>VLOOKUP(A16,[15]MVTRESUME23!$A$6:$AO$36,15,0)</f>
        <v>0</v>
      </c>
      <c r="D16" s="110">
        <f>VLOOKUP(A16,[15]MVTRESUME23!$A$6:$AO$36,9,0)</f>
        <v>0</v>
      </c>
      <c r="E16" s="112"/>
      <c r="F16" s="14"/>
      <c r="G16" s="111"/>
    </row>
    <row r="17" spans="1:7" ht="18.5" x14ac:dyDescent="0.45">
      <c r="A17" s="13" t="s">
        <v>68</v>
      </c>
      <c r="B17" s="14" t="str">
        <f>VLOOKUP(A17,[16]LISTADHERENT!A$5:H$60,3,0)</f>
        <v>HENGUE PAUL OMER</v>
      </c>
      <c r="C17" s="110">
        <f>VLOOKUP(A17,[15]MVTRESUME23!$A$6:$AO$36,15,0)</f>
        <v>3000</v>
      </c>
      <c r="D17" s="110">
        <f>VLOOKUP(A17,[15]MVTRESUME23!$A$6:$AO$36,9,0)</f>
        <v>18000</v>
      </c>
      <c r="E17" s="112"/>
      <c r="F17" s="14"/>
      <c r="G17" s="111"/>
    </row>
    <row r="18" spans="1:7" ht="18.5" x14ac:dyDescent="0.45">
      <c r="A18" s="13" t="s">
        <v>69</v>
      </c>
      <c r="B18" s="14" t="str">
        <f>VLOOKUP(A18,[16]LISTADHERENT!A$5:H$60,3,0)</f>
        <v>HOTCHO BENJAMIN</v>
      </c>
      <c r="C18" s="110">
        <f>VLOOKUP(A18,[15]MVTRESUME23!$A$6:$AO$36,15,0)</f>
        <v>0</v>
      </c>
      <c r="D18" s="110">
        <f>VLOOKUP(A18,[15]MVTRESUME23!$A$6:$AO$36,9,0)</f>
        <v>12000</v>
      </c>
      <c r="E18" s="112"/>
      <c r="F18" s="14"/>
      <c r="G18" s="111"/>
    </row>
    <row r="19" spans="1:7" ht="18.5" x14ac:dyDescent="0.45">
      <c r="A19" s="13" t="s">
        <v>70</v>
      </c>
      <c r="B19" s="14" t="str">
        <f>VLOOKUP(A19,[16]LISTADHERENT!A$5:H$60,3,0)</f>
        <v>KOUAMOU MOISE</v>
      </c>
      <c r="C19" s="110">
        <f>VLOOKUP(A19,[15]MVTRESUME23!$A$6:$AO$36,15,0)</f>
        <v>0</v>
      </c>
      <c r="D19" s="110">
        <f>VLOOKUP(A19,[15]MVTRESUME23!$A$6:$AO$36,9,0)</f>
        <v>9000</v>
      </c>
      <c r="E19" s="112"/>
      <c r="F19" s="14"/>
      <c r="G19" s="111"/>
    </row>
    <row r="20" spans="1:7" ht="18.5" x14ac:dyDescent="0.45">
      <c r="A20" s="13" t="s">
        <v>71</v>
      </c>
      <c r="B20" s="14" t="str">
        <f>VLOOKUP(A20,[16]LISTADHERENT!A$5:H$60,3,0)</f>
        <v>KOUATCHO MESSACK</v>
      </c>
      <c r="C20" s="110">
        <f>VLOOKUP(A20,[15]MVTRESUME23!$A$6:$AO$36,15,0)</f>
        <v>0</v>
      </c>
      <c r="D20" s="110">
        <f>VLOOKUP(A20,[15]MVTRESUME23!$A$6:$AO$36,9,0)</f>
        <v>3000</v>
      </c>
      <c r="E20" s="112"/>
      <c r="F20" s="14"/>
      <c r="G20" s="111"/>
    </row>
    <row r="21" spans="1:7" ht="18.5" x14ac:dyDescent="0.45">
      <c r="A21" s="13" t="s">
        <v>72</v>
      </c>
      <c r="B21" s="14" t="str">
        <f>VLOOKUP(A21,[16]LISTADHERENT!A$5:H$60,3,0)</f>
        <v>LOWE JEAN</v>
      </c>
      <c r="C21" s="110">
        <f>VLOOKUP(A21,[15]MVTRESUME23!$A$6:$AO$36,15,0)</f>
        <v>0</v>
      </c>
      <c r="D21" s="110">
        <f>VLOOKUP(A21,[15]MVTRESUME23!$A$6:$AO$36,9,0)</f>
        <v>20000</v>
      </c>
      <c r="E21" s="112"/>
      <c r="F21" s="14"/>
      <c r="G21" s="111"/>
    </row>
    <row r="22" spans="1:7" ht="18.5" x14ac:dyDescent="0.45">
      <c r="A22" s="13" t="s">
        <v>86</v>
      </c>
      <c r="B22" s="14" t="str">
        <f>VLOOKUP(A22,[16]LISTADHERENT!A$5:H$60,3,0)</f>
        <v>MBOGNING TUGMA GUY</v>
      </c>
      <c r="C22" s="110">
        <f>VLOOKUP(A22,[15]MVTRESUME23!$A$6:$AO$36,15,0)</f>
        <v>0</v>
      </c>
      <c r="D22" s="110">
        <f>VLOOKUP(A22,[15]MVTRESUME23!$A$6:$AO$36,9,0)</f>
        <v>0</v>
      </c>
      <c r="E22" s="112"/>
      <c r="F22" s="14"/>
      <c r="G22" s="111"/>
    </row>
    <row r="23" spans="1:7" ht="18.5" x14ac:dyDescent="0.45">
      <c r="A23" s="13" t="s">
        <v>81</v>
      </c>
      <c r="B23" s="14" t="str">
        <f>VLOOKUP(A23,[16]LISTADHERENT!A$5:H$60,3,0)</f>
        <v>NANGUEN MARTIN</v>
      </c>
      <c r="C23" s="110">
        <f>VLOOKUP(A23,[15]MVTRESUME23!$A$6:$AO$36,15,0)</f>
        <v>0</v>
      </c>
      <c r="D23" s="110">
        <f>VLOOKUP(A23,[15]MVTRESUME23!$A$6:$AO$36,9,0)</f>
        <v>0</v>
      </c>
      <c r="E23" s="112"/>
      <c r="F23" s="14"/>
      <c r="G23" s="111"/>
    </row>
    <row r="24" spans="1:7" ht="18.5" x14ac:dyDescent="0.45">
      <c r="A24" s="13" t="s">
        <v>73</v>
      </c>
      <c r="B24" s="14" t="str">
        <f>VLOOKUP(A24,[16]LISTADHERENT!A$5:H$60,3,0)</f>
        <v>NANKAM APPOLINAIRE</v>
      </c>
      <c r="C24" s="110">
        <f>VLOOKUP(A24,[15]MVTRESUME23!$A$6:$AO$36,15,0)</f>
        <v>0</v>
      </c>
      <c r="D24" s="110">
        <f>VLOOKUP(A24,[15]MVTRESUME23!$A$6:$AO$36,9,0)</f>
        <v>20000</v>
      </c>
      <c r="E24" s="112"/>
      <c r="F24" s="14"/>
      <c r="G24" s="111"/>
    </row>
    <row r="25" spans="1:7" ht="18.5" x14ac:dyDescent="0.45">
      <c r="A25" s="13" t="s">
        <v>74</v>
      </c>
      <c r="B25" s="14" t="str">
        <f>VLOOKUP(A25,[16]LISTADHERENT!A$5:H$60,3,0)</f>
        <v>NDJOMO ETIENNE</v>
      </c>
      <c r="C25" s="110">
        <f>VLOOKUP(A25,[15]MVTRESUME23!$A$6:$AO$36,15,0)</f>
        <v>0</v>
      </c>
      <c r="D25" s="110">
        <f>VLOOKUP(A25,[15]MVTRESUME23!$A$6:$AO$36,9,0)</f>
        <v>0</v>
      </c>
      <c r="E25" s="112"/>
      <c r="F25" s="14"/>
      <c r="G25" s="111"/>
    </row>
    <row r="26" spans="1:7" ht="18.5" x14ac:dyDescent="0.45">
      <c r="A26" s="13" t="s">
        <v>75</v>
      </c>
      <c r="B26" s="14" t="str">
        <f>VLOOKUP(A26,[16]LISTADHERENT!A$5:H$60,3,0)</f>
        <v>NGONDIEP CLAUDE</v>
      </c>
      <c r="C26" s="110">
        <f>VLOOKUP(A26,[15]MVTRESUME23!$A$6:$AO$36,15,0)</f>
        <v>3000</v>
      </c>
      <c r="D26" s="110">
        <f>VLOOKUP(A26,[15]MVTRESUME23!$A$6:$AO$36,9,0)</f>
        <v>15000</v>
      </c>
      <c r="E26" s="14"/>
      <c r="F26" s="14"/>
      <c r="G26" s="111"/>
    </row>
    <row r="27" spans="1:7" ht="18.5" x14ac:dyDescent="0.45">
      <c r="A27" s="13" t="s">
        <v>77</v>
      </c>
      <c r="B27" s="14" t="str">
        <f>VLOOKUP(A27,[16]LISTADHERENT!A$5:H$60,3,0)</f>
        <v>NGUIEMEGNI MATHIEU BLAISE</v>
      </c>
      <c r="C27" s="110">
        <f>VLOOKUP(A27,[15]MVTRESUME23!$A$6:$AO$36,15,0)</f>
        <v>0</v>
      </c>
      <c r="D27" s="110">
        <f>VLOOKUP(A27,[15]MVTRESUME23!$A$6:$AO$36,9,0)</f>
        <v>15000</v>
      </c>
      <c r="E27" s="14"/>
      <c r="F27" s="14"/>
      <c r="G27" s="111"/>
    </row>
    <row r="28" spans="1:7" ht="18.5" x14ac:dyDescent="0.45">
      <c r="A28" s="13" t="s">
        <v>78</v>
      </c>
      <c r="B28" s="14" t="str">
        <f>VLOOKUP(A28,[16]LISTADHERENT!A$5:H$60,3,0)</f>
        <v>NKAMGANG JUSTIN DEJOLIE</v>
      </c>
      <c r="C28" s="110">
        <f>VLOOKUP(A28,[15]MVTRESUME23!$A$6:$AO$36,15,0)</f>
        <v>18000</v>
      </c>
      <c r="D28" s="110">
        <f>VLOOKUP(A28,[15]MVTRESUME23!$A$6:$AO$36,9,0)</f>
        <v>0</v>
      </c>
      <c r="E28" s="14"/>
      <c r="F28" s="14"/>
      <c r="G28" s="111"/>
    </row>
    <row r="29" spans="1:7" ht="18.5" x14ac:dyDescent="0.45">
      <c r="A29" s="13" t="s">
        <v>105</v>
      </c>
      <c r="B29" s="14" t="str">
        <f>VLOOKUP(A29,[16]LISTADHERENT!A$5:H$60,3,0)</f>
        <v>NOUBE ETIENNE</v>
      </c>
      <c r="C29" s="110">
        <f>VLOOKUP(A29,[15]MVTRESUME23!$A$6:$AO$36,15,0)</f>
        <v>0</v>
      </c>
      <c r="D29" s="110">
        <f>VLOOKUP(A29,[15]MVTRESUME23!$A$6:$AO$36,9,0)</f>
        <v>0</v>
      </c>
      <c r="E29" s="14"/>
      <c r="F29" s="14"/>
      <c r="G29" s="111"/>
    </row>
    <row r="30" spans="1:7" ht="18.5" x14ac:dyDescent="0.45">
      <c r="A30" s="13" t="s">
        <v>79</v>
      </c>
      <c r="B30" s="14" t="str">
        <f>VLOOKUP(A30,[16]LISTADHERENT!A$5:H$60,3,0)</f>
        <v>PATEGO NJOSSU GUSTAVE</v>
      </c>
      <c r="C30" s="110">
        <f>VLOOKUP(A30,[15]MVTRESUME23!$A$6:$AO$36,15,0)</f>
        <v>0</v>
      </c>
      <c r="D30" s="110">
        <f>VLOOKUP(A30,[15]MVTRESUME23!$A$6:$AO$36,9,0)</f>
        <v>0</v>
      </c>
      <c r="E30" s="14"/>
      <c r="F30" s="14"/>
      <c r="G30" s="111"/>
    </row>
    <row r="31" spans="1:7" ht="18.5" x14ac:dyDescent="0.45">
      <c r="A31" s="13" t="s">
        <v>130</v>
      </c>
      <c r="B31" s="14" t="str">
        <f>VLOOKUP(A31,[16]LISTADHERENT!A$5:H$60,3,0)</f>
        <v>SEUMO POLYCARPE</v>
      </c>
      <c r="C31" s="110">
        <f>VLOOKUP(A31,[15]MVTRESUME23!$A$6:$AO$36,15,0)</f>
        <v>0</v>
      </c>
      <c r="D31" s="110">
        <f>VLOOKUP(A31,[15]MVTRESUME23!$A$6:$AO$36,9,0)</f>
        <v>0</v>
      </c>
      <c r="E31" s="14"/>
      <c r="F31" s="14"/>
      <c r="G31" s="111"/>
    </row>
    <row r="32" spans="1:7" ht="18.5" x14ac:dyDescent="0.45">
      <c r="A32" s="13" t="s">
        <v>89</v>
      </c>
      <c r="B32" s="14" t="str">
        <f>VLOOKUP(A32,[16]LISTADHERENT!A$5:H$60,3,0)</f>
        <v>SIME BRICE</v>
      </c>
      <c r="C32" s="110">
        <f>VLOOKUP(A32,[15]MVTRESUME23!$A$6:$AO$36,15,0)</f>
        <v>0</v>
      </c>
      <c r="D32" s="110">
        <f>VLOOKUP(A32,[15]MVTRESUME23!$A$6:$AO$36,9,0)</f>
        <v>34000</v>
      </c>
      <c r="E32" s="14"/>
      <c r="F32" s="14"/>
      <c r="G32" s="111"/>
    </row>
    <row r="33" spans="1:7" ht="18.5" x14ac:dyDescent="0.45">
      <c r="A33" s="13" t="s">
        <v>80</v>
      </c>
      <c r="B33" s="14" t="str">
        <f>VLOOKUP(A33,[16]LISTADHERENT!A$5:H$60,3,0)</f>
        <v>SIMO PIERRE</v>
      </c>
      <c r="C33" s="110">
        <f>VLOOKUP(A33,[15]MVTRESUME23!$A$6:$AO$36,15,0)</f>
        <v>0</v>
      </c>
      <c r="D33" s="110">
        <f>VLOOKUP(A33,[15]MVTRESUME23!$A$6:$AO$36,9,0)</f>
        <v>0</v>
      </c>
      <c r="E33" s="14"/>
      <c r="F33" s="14"/>
      <c r="G33" s="111"/>
    </row>
    <row r="34" spans="1:7" ht="18.5" x14ac:dyDescent="0.45">
      <c r="A34" s="13" t="s">
        <v>82</v>
      </c>
      <c r="B34" s="14" t="str">
        <f>VLOOKUP(A34,[16]LISTADHERENT!A$5:H$60,3,0)</f>
        <v>TCHOUAMOU MATHIEU</v>
      </c>
      <c r="C34" s="110">
        <f>VLOOKUP(A34,[15]MVTRESUME23!$A$6:$AO$36,15,0)</f>
        <v>0</v>
      </c>
      <c r="D34" s="110">
        <f>VLOOKUP(A34,[15]MVTRESUME23!$A$6:$AO$36,9,0)</f>
        <v>0</v>
      </c>
      <c r="E34" s="14"/>
      <c r="F34" s="14"/>
      <c r="G34" s="111"/>
    </row>
    <row r="35" spans="1:7" ht="18.5" x14ac:dyDescent="0.45">
      <c r="A35" s="13" t="s">
        <v>83</v>
      </c>
      <c r="B35" s="14" t="str">
        <f>VLOOKUP(A35,[16]LISTADHERENT!A$5:H$60,3,0)</f>
        <v>TCHOUTOU NANA CLAUDE</v>
      </c>
      <c r="C35" s="110">
        <f>VLOOKUP(A35,[15]MVTRESUME23!$A$6:$AO$36,15,0)</f>
        <v>18000</v>
      </c>
      <c r="D35" s="110">
        <f>VLOOKUP(A35,[15]MVTRESUME23!$A$6:$AO$36,9,0)</f>
        <v>0</v>
      </c>
      <c r="E35" s="14"/>
      <c r="F35" s="14"/>
      <c r="G35" s="111"/>
    </row>
    <row r="36" spans="1:7" ht="18.5" x14ac:dyDescent="0.45">
      <c r="A36" s="13" t="s">
        <v>131</v>
      </c>
      <c r="B36" s="14" t="str">
        <f>VLOOKUP(A36,[16]LISTADHERENT!A$5:H$60,3,0)</f>
        <v>YANTCHOU GERVAIS</v>
      </c>
      <c r="C36" s="110">
        <f>VLOOKUP(A36,[15]MVTRESUME23!$A$6:$AO$36,15,0)</f>
        <v>3000</v>
      </c>
      <c r="D36" s="110">
        <f>VLOOKUP(A36,[15]MVTRESUME23!$A$6:$AO$36,9,0)</f>
        <v>0</v>
      </c>
      <c r="E36" s="14"/>
      <c r="F36" s="14"/>
      <c r="G36" s="111"/>
    </row>
    <row r="37" spans="1:7" ht="18.5" x14ac:dyDescent="0.45">
      <c r="A37" s="13" t="s">
        <v>84</v>
      </c>
      <c r="B37" s="14" t="str">
        <f>VLOOKUP(A37,[16]LISTADHERENT!A$5:H$60,3,0)</f>
        <v>YEPMOU JEAN JACQUES</v>
      </c>
      <c r="C37" s="110">
        <f>VLOOKUP(A37,[15]MVTRESUME23!$A$6:$AO$36,15,0)</f>
        <v>6000</v>
      </c>
      <c r="D37" s="110">
        <f>VLOOKUP(A37,[15]MVTRESUME23!$A$6:$AO$36,9,0)</f>
        <v>0</v>
      </c>
      <c r="E37" s="14"/>
      <c r="F37" s="14"/>
      <c r="G37" s="111"/>
    </row>
    <row r="38" spans="1:7" ht="18.5" x14ac:dyDescent="0.45">
      <c r="A38" s="13" t="s">
        <v>85</v>
      </c>
      <c r="B38" s="14" t="str">
        <f>VLOOKUP(A38,[16]LISTADHERENT!A$5:H$60,3,0)</f>
        <v>YOUMBI EMMANUEL</v>
      </c>
      <c r="C38" s="110">
        <f>VLOOKUP(A38,[15]MVTRESUME23!$A$6:$AO$36,15,0)</f>
        <v>0</v>
      </c>
      <c r="D38" s="110">
        <f>VLOOKUP(A38,[15]MVTRESUME23!$A$6:$AO$36,9,0)</f>
        <v>11000</v>
      </c>
      <c r="E38" s="14"/>
      <c r="F38" s="14"/>
      <c r="G38" s="111"/>
    </row>
    <row r="39" spans="1:7" x14ac:dyDescent="0.35">
      <c r="A39" s="19"/>
      <c r="B39" s="14"/>
      <c r="C39" s="14"/>
      <c r="D39" s="14"/>
      <c r="E39" s="14"/>
      <c r="F39" s="14"/>
      <c r="G39" s="15"/>
    </row>
    <row r="40" spans="1:7" ht="18" thickBot="1" x14ac:dyDescent="0.4">
      <c r="A40" s="31" t="s">
        <v>23</v>
      </c>
      <c r="B40" s="58"/>
      <c r="C40" s="59">
        <f>SUM(C8:C39)</f>
        <v>79000</v>
      </c>
      <c r="D40" s="59">
        <f>SUM(D8:D39)</f>
        <v>207000</v>
      </c>
      <c r="E40" s="59"/>
      <c r="F40" s="59">
        <f t="shared" ref="F40:G40" si="0">SUM(F6:F39)</f>
        <v>0</v>
      </c>
      <c r="G40" s="60">
        <f t="shared" si="0"/>
        <v>200000</v>
      </c>
    </row>
    <row r="41" spans="1:7" ht="15" thickTop="1" x14ac:dyDescent="0.35"/>
  </sheetData>
  <mergeCells count="4">
    <mergeCell ref="A4:G4"/>
    <mergeCell ref="A6:A7"/>
    <mergeCell ref="B6:B7"/>
    <mergeCell ref="E6:G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1"/>
  <sheetViews>
    <sheetView topLeftCell="A25" workbookViewId="0">
      <selection activeCell="C8" sqref="C8"/>
    </sheetView>
  </sheetViews>
  <sheetFormatPr baseColWidth="10" defaultRowHeight="14.5" x14ac:dyDescent="0.35"/>
  <cols>
    <col min="2" max="2" width="30" bestFit="1" customWidth="1"/>
    <col min="3" max="3" width="15" bestFit="1" customWidth="1"/>
    <col min="5" max="5" width="36.45312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2023</v>
      </c>
    </row>
    <row r="4" spans="1:6" ht="26" x14ac:dyDescent="0.35">
      <c r="A4" s="133" t="s">
        <v>4</v>
      </c>
      <c r="B4" s="134"/>
      <c r="C4" s="134"/>
      <c r="D4" s="134"/>
      <c r="E4" s="134"/>
      <c r="F4" s="134"/>
    </row>
    <row r="5" spans="1:6" ht="15" thickBot="1" x14ac:dyDescent="0.4">
      <c r="A5" s="71"/>
      <c r="B5" s="72"/>
      <c r="C5" s="73"/>
      <c r="D5" s="73"/>
      <c r="E5" s="74"/>
      <c r="F5" s="73"/>
    </row>
    <row r="6" spans="1:6" ht="15.75" customHeight="1" thickTop="1" x14ac:dyDescent="0.4">
      <c r="A6" s="139" t="s">
        <v>96</v>
      </c>
      <c r="B6" s="141" t="s">
        <v>52</v>
      </c>
      <c r="C6" s="108" t="s">
        <v>138</v>
      </c>
      <c r="D6" s="141" t="s">
        <v>135</v>
      </c>
      <c r="E6" s="141"/>
      <c r="F6" s="143"/>
    </row>
    <row r="7" spans="1:6" ht="21.75" customHeight="1" x14ac:dyDescent="0.35">
      <c r="A7" s="140"/>
      <c r="B7" s="142"/>
      <c r="C7" s="109" t="s">
        <v>134</v>
      </c>
      <c r="D7" s="109" t="s">
        <v>136</v>
      </c>
      <c r="E7" s="109" t="s">
        <v>137</v>
      </c>
      <c r="F7" s="26" t="s">
        <v>134</v>
      </c>
    </row>
    <row r="8" spans="1:6" ht="18.5" x14ac:dyDescent="0.45">
      <c r="A8" s="13" t="s">
        <v>90</v>
      </c>
      <c r="B8" s="14" t="str">
        <f>VLOOKUP(A8,[16]LISTADHERENT!A$5:H$60,3,0)</f>
        <v>ASELBY</v>
      </c>
      <c r="C8" s="110">
        <f>VLOOKUP(A8,[15]MVTRESUME23!$A$6:$AO$36,14,0)</f>
        <v>0</v>
      </c>
      <c r="D8" s="112">
        <v>44927</v>
      </c>
      <c r="E8" s="14" t="str">
        <f>B21</f>
        <v>LOWE JEAN</v>
      </c>
      <c r="F8" s="111">
        <f>[19]HISTOJANV23!$BP$38</f>
        <v>100000</v>
      </c>
    </row>
    <row r="9" spans="1:6" ht="18.5" x14ac:dyDescent="0.45">
      <c r="A9" s="13" t="s">
        <v>62</v>
      </c>
      <c r="B9" s="14" t="str">
        <f>VLOOKUP(A9,[16]LISTADHERENT!A$5:H$60,3,0)</f>
        <v>BAKOP ACHILLE</v>
      </c>
      <c r="C9" s="110">
        <f>VLOOKUP(A9,[15]MVTRESUME23!$A$6:$AO$36,14,0)</f>
        <v>48000</v>
      </c>
      <c r="D9" s="112">
        <v>44958</v>
      </c>
      <c r="E9" s="14" t="s">
        <v>35</v>
      </c>
      <c r="F9" s="111">
        <f>[19]HISTOFEV23!$BP$38</f>
        <v>0</v>
      </c>
    </row>
    <row r="10" spans="1:6" ht="18.5" x14ac:dyDescent="0.45">
      <c r="A10" s="13" t="s">
        <v>63</v>
      </c>
      <c r="B10" s="14" t="str">
        <f>VLOOKUP(A10,[16]LISTADHERENT!A$5:H$60,3,0)</f>
        <v>BOUTCHOUANG WILLIAM</v>
      </c>
      <c r="C10" s="110">
        <f>VLOOKUP(A10,[15]MVTRESUME23!$A$6:$AO$36,14,0)</f>
        <v>48000</v>
      </c>
      <c r="D10" s="112">
        <v>44986</v>
      </c>
      <c r="E10" s="14"/>
      <c r="F10" s="111">
        <f>[19]HISTOMARS23!$BP$38</f>
        <v>100000</v>
      </c>
    </row>
    <row r="11" spans="1:6" ht="18.5" x14ac:dyDescent="0.45">
      <c r="A11" s="13" t="s">
        <v>64</v>
      </c>
      <c r="B11" s="14" t="str">
        <f>VLOOKUP(A11,[16]LISTADHERENT!A$5:H$60,3,0)</f>
        <v xml:space="preserve">DJOMO JEAN PAUL </v>
      </c>
      <c r="C11" s="110">
        <f>VLOOKUP(A11,[15]MVTRESUME23!$A$6:$AO$36,14,0)</f>
        <v>48000</v>
      </c>
      <c r="D11" s="112">
        <v>45017</v>
      </c>
      <c r="E11" s="14" t="str">
        <f>B12</f>
        <v>DJOMOU TCHAPDA</v>
      </c>
      <c r="F11" s="111">
        <f>[19]HISTOAVRIL23!$BP$38</f>
        <v>100000</v>
      </c>
    </row>
    <row r="12" spans="1:6" ht="18.5" x14ac:dyDescent="0.45">
      <c r="A12" s="13" t="s">
        <v>104</v>
      </c>
      <c r="B12" s="14" t="str">
        <f>VLOOKUP(A12,[16]LISTADHERENT!A$5:H$60,3,0)</f>
        <v>DJOMOU TCHAPDA</v>
      </c>
      <c r="C12" s="110">
        <f>VLOOKUP(A12,[15]MVTRESUME23!$A$6:$AO$36,14,0)</f>
        <v>48000</v>
      </c>
      <c r="D12" s="112">
        <v>45047</v>
      </c>
      <c r="E12" s="14" t="str">
        <f>B28</f>
        <v>NKAMGANG JUSTIN DEJOLIE</v>
      </c>
      <c r="F12" s="111">
        <f>[19]HISTOMAI23!$BP$38</f>
        <v>100000</v>
      </c>
    </row>
    <row r="13" spans="1:6" ht="18.5" x14ac:dyDescent="0.45">
      <c r="A13" s="13" t="s">
        <v>65</v>
      </c>
      <c r="B13" s="14" t="str">
        <f>VLOOKUP(A13,[16]LISTADHERENT!A$5:H$60,3,0)</f>
        <v>DJOUKWE NANGUEN GUY BLAISE</v>
      </c>
      <c r="C13" s="110">
        <f>VLOOKUP(A13,[15]MVTRESUME23!$A$6:$AO$36,14,0)</f>
        <v>48000</v>
      </c>
      <c r="D13" s="112">
        <v>45078</v>
      </c>
      <c r="E13" s="14" t="str">
        <f>B24</f>
        <v>NANKAM APPOLINAIRE</v>
      </c>
      <c r="F13" s="111">
        <f>[19]HISTOJUIN23!$BP$35</f>
        <v>100000</v>
      </c>
    </row>
    <row r="14" spans="1:6" ht="18.5" x14ac:dyDescent="0.45">
      <c r="A14" s="13" t="s">
        <v>66</v>
      </c>
      <c r="B14" s="14" t="str">
        <f>VLOOKUP(A14,[16]LISTADHERENT!A$5:H$60,3,0)</f>
        <v>DJUOMBESSY ANTOINE</v>
      </c>
      <c r="C14" s="110">
        <f>VLOOKUP(A14,[15]MVTRESUME23!$A$6:$AO$36,14,0)</f>
        <v>48000</v>
      </c>
      <c r="D14" s="112">
        <v>45108</v>
      </c>
      <c r="E14" s="14" t="str">
        <f>B14</f>
        <v>DJUOMBESSY ANTOINE</v>
      </c>
      <c r="F14" s="111">
        <f>[19]HISTOJUIL23!$BP$38</f>
        <v>100000</v>
      </c>
    </row>
    <row r="15" spans="1:6" ht="18.5" x14ac:dyDescent="0.45">
      <c r="A15" s="13" t="s">
        <v>87</v>
      </c>
      <c r="B15" s="14" t="str">
        <f>VLOOKUP(A15,[16]LISTADHERENT!A$5:H$60,3,0)</f>
        <v>DOMOU FABIEN</v>
      </c>
      <c r="C15" s="110">
        <f>VLOOKUP(A15,[15]MVTRESUME23!$A$6:$AO$36,14,0)</f>
        <v>48000</v>
      </c>
      <c r="D15" s="112">
        <v>45139</v>
      </c>
      <c r="E15" s="14" t="str">
        <f>B34</f>
        <v>TCHOUAMOU MATHIEU</v>
      </c>
      <c r="F15" s="111">
        <f>[19]HISTOAOUT23!$BP$38</f>
        <v>100000</v>
      </c>
    </row>
    <row r="16" spans="1:6" ht="18.5" x14ac:dyDescent="0.45">
      <c r="A16" s="13" t="s">
        <v>67</v>
      </c>
      <c r="B16" s="14" t="str">
        <f>VLOOKUP(A16,[16]LISTADHERENT!A$5:H$60,3,0)</f>
        <v>DONHOU DAVID</v>
      </c>
      <c r="C16" s="110">
        <f>VLOOKUP(A16,[15]MVTRESUME23!$A$6:$AO$36,14,0)</f>
        <v>48000</v>
      </c>
      <c r="D16" s="112">
        <v>45170</v>
      </c>
      <c r="E16" s="14" t="str">
        <f>B22</f>
        <v>MBOGNING TUGMA GUY</v>
      </c>
      <c r="F16" s="111">
        <f>[19]HISTOSEPT23!$BP$38</f>
        <v>100000</v>
      </c>
    </row>
    <row r="17" spans="1:6" ht="18.5" x14ac:dyDescent="0.45">
      <c r="A17" s="13" t="s">
        <v>68</v>
      </c>
      <c r="B17" s="14" t="str">
        <f>VLOOKUP(A17,[16]LISTADHERENT!A$5:H$60,3,0)</f>
        <v>HENGUE PAUL OMER</v>
      </c>
      <c r="C17" s="110">
        <f>VLOOKUP(A17,[15]MVTRESUME23!$A$6:$AO$36,14,0)</f>
        <v>48000</v>
      </c>
      <c r="D17" s="112">
        <v>45200</v>
      </c>
      <c r="E17" s="14"/>
      <c r="F17" s="111">
        <f>[19]HISTOOCT23!$BP$38</f>
        <v>100000</v>
      </c>
    </row>
    <row r="18" spans="1:6" ht="18.5" x14ac:dyDescent="0.45">
      <c r="A18" s="13" t="s">
        <v>69</v>
      </c>
      <c r="B18" s="14" t="str">
        <f>VLOOKUP(A18,[16]LISTADHERENT!A$5:H$60,3,0)</f>
        <v>HOTCHO BENJAMIN</v>
      </c>
      <c r="C18" s="110">
        <f>VLOOKUP(A18,[15]MVTRESUME23!$A$6:$AO$36,14,0)</f>
        <v>48000</v>
      </c>
      <c r="D18" s="112">
        <v>45231</v>
      </c>
      <c r="E18" s="14" t="s">
        <v>35</v>
      </c>
      <c r="F18" s="111">
        <f>[19]HISTONOV23!$BP$35</f>
        <v>110000</v>
      </c>
    </row>
    <row r="19" spans="1:6" ht="18.5" x14ac:dyDescent="0.45">
      <c r="A19" s="13" t="s">
        <v>70</v>
      </c>
      <c r="B19" s="14" t="str">
        <f>VLOOKUP(A19,[16]LISTADHERENT!A$5:H$60,3,0)</f>
        <v>KOUAMOU MOISE</v>
      </c>
      <c r="C19" s="110">
        <f>VLOOKUP(A19,[15]MVTRESUME23!$A$6:$AO$36,14,0)</f>
        <v>48000</v>
      </c>
      <c r="D19" s="112">
        <v>45261</v>
      </c>
      <c r="E19" s="14" t="str">
        <f>B15</f>
        <v>DOMOU FABIEN</v>
      </c>
      <c r="F19" s="111">
        <f>[19]HISTODEC23!$BP$38</f>
        <v>0</v>
      </c>
    </row>
    <row r="20" spans="1:6" ht="18.5" x14ac:dyDescent="0.45">
      <c r="A20" s="13" t="s">
        <v>71</v>
      </c>
      <c r="B20" s="14" t="str">
        <f>VLOOKUP(A20,[16]LISTADHERENT!A$5:H$60,3,0)</f>
        <v>KOUATCHO MESSACK</v>
      </c>
      <c r="C20" s="110">
        <f>VLOOKUP(A20,[15]MVTRESUME23!$A$6:$AO$36,14,0)</f>
        <v>48000</v>
      </c>
      <c r="D20" s="112"/>
      <c r="E20" s="14"/>
      <c r="F20" s="111"/>
    </row>
    <row r="21" spans="1:6" ht="18.5" x14ac:dyDescent="0.45">
      <c r="A21" s="13" t="s">
        <v>72</v>
      </c>
      <c r="B21" s="14" t="str">
        <f>VLOOKUP(A21,[16]LISTADHERENT!A$5:H$60,3,0)</f>
        <v>LOWE JEAN</v>
      </c>
      <c r="C21" s="110">
        <f>VLOOKUP(A21,[15]MVTRESUME23!$A$6:$AO$36,14,0)</f>
        <v>48000</v>
      </c>
      <c r="D21" s="112"/>
      <c r="E21" s="14"/>
      <c r="F21" s="111"/>
    </row>
    <row r="22" spans="1:6" ht="18.5" x14ac:dyDescent="0.45">
      <c r="A22" s="13" t="s">
        <v>86</v>
      </c>
      <c r="B22" s="14" t="str">
        <f>VLOOKUP(A22,[16]LISTADHERENT!A$5:H$60,3,0)</f>
        <v>MBOGNING TUGMA GUY</v>
      </c>
      <c r="C22" s="110">
        <f>VLOOKUP(A22,[15]MVTRESUME23!$A$6:$AO$36,14,0)</f>
        <v>48000</v>
      </c>
      <c r="D22" s="112"/>
      <c r="E22" s="14"/>
      <c r="F22" s="111"/>
    </row>
    <row r="23" spans="1:6" ht="18.5" x14ac:dyDescent="0.45">
      <c r="A23" s="13" t="s">
        <v>81</v>
      </c>
      <c r="B23" s="14" t="str">
        <f>VLOOKUP(A23,[16]LISTADHERENT!A$5:H$60,3,0)</f>
        <v>NANGUEN MARTIN</v>
      </c>
      <c r="C23" s="110">
        <f>VLOOKUP(A23,[15]MVTRESUME23!$A$6:$AO$36,14,0)</f>
        <v>48000</v>
      </c>
      <c r="D23" s="112"/>
      <c r="E23" s="14"/>
      <c r="F23" s="111"/>
    </row>
    <row r="24" spans="1:6" ht="18.5" x14ac:dyDescent="0.45">
      <c r="A24" s="13" t="s">
        <v>73</v>
      </c>
      <c r="B24" s="14" t="str">
        <f>VLOOKUP(A24,[16]LISTADHERENT!A$5:H$60,3,0)</f>
        <v>NANKAM APPOLINAIRE</v>
      </c>
      <c r="C24" s="110">
        <f>VLOOKUP(A24,[15]MVTRESUME23!$A$6:$AO$36,14,0)</f>
        <v>48000</v>
      </c>
      <c r="D24" s="112"/>
      <c r="E24" s="14"/>
      <c r="F24" s="111"/>
    </row>
    <row r="25" spans="1:6" ht="18.5" x14ac:dyDescent="0.45">
      <c r="A25" s="13" t="s">
        <v>74</v>
      </c>
      <c r="B25" s="14" t="str">
        <f>VLOOKUP(A25,[16]LISTADHERENT!A$5:H$60,3,0)</f>
        <v>NDJOMO ETIENNE</v>
      </c>
      <c r="C25" s="110">
        <f>VLOOKUP(A25,[15]MVTRESUME23!$A$6:$AO$36,14,0)</f>
        <v>48000</v>
      </c>
      <c r="D25" s="112"/>
      <c r="E25" s="14"/>
      <c r="F25" s="111"/>
    </row>
    <row r="26" spans="1:6" ht="18.5" x14ac:dyDescent="0.45">
      <c r="A26" s="13" t="s">
        <v>75</v>
      </c>
      <c r="B26" s="14" t="str">
        <f>VLOOKUP(A26,[16]LISTADHERENT!A$5:H$60,3,0)</f>
        <v>NGONDIEP CLAUDE</v>
      </c>
      <c r="C26" s="110">
        <f>VLOOKUP(A26,[15]MVTRESUME23!$A$6:$AO$36,14,0)</f>
        <v>48000</v>
      </c>
      <c r="D26" s="14"/>
      <c r="E26" s="14"/>
      <c r="F26" s="111"/>
    </row>
    <row r="27" spans="1:6" ht="18.5" x14ac:dyDescent="0.45">
      <c r="A27" s="13" t="s">
        <v>77</v>
      </c>
      <c r="B27" s="14" t="str">
        <f>VLOOKUP(A27,[16]LISTADHERENT!A$5:H$60,3,0)</f>
        <v>NGUIEMEGNI MATHIEU BLAISE</v>
      </c>
      <c r="C27" s="110">
        <f>VLOOKUP(A27,[15]MVTRESUME23!$A$6:$AO$36,14,0)</f>
        <v>48000</v>
      </c>
      <c r="D27" s="14"/>
      <c r="E27" s="14"/>
      <c r="F27" s="111"/>
    </row>
    <row r="28" spans="1:6" ht="18.5" x14ac:dyDescent="0.45">
      <c r="A28" s="13" t="s">
        <v>78</v>
      </c>
      <c r="B28" s="14" t="str">
        <f>VLOOKUP(A28,[16]LISTADHERENT!A$5:H$60,3,0)</f>
        <v>NKAMGANG JUSTIN DEJOLIE</v>
      </c>
      <c r="C28" s="110">
        <f>VLOOKUP(A28,[15]MVTRESUME23!$A$6:$AO$36,14,0)</f>
        <v>48000</v>
      </c>
      <c r="D28" s="14"/>
      <c r="E28" s="14"/>
      <c r="F28" s="111"/>
    </row>
    <row r="29" spans="1:6" ht="18.5" x14ac:dyDescent="0.45">
      <c r="A29" s="13" t="s">
        <v>105</v>
      </c>
      <c r="B29" s="14" t="str">
        <f>VLOOKUP(A29,[16]LISTADHERENT!A$5:H$60,3,0)</f>
        <v>NOUBE ETIENNE</v>
      </c>
      <c r="C29" s="110">
        <f>VLOOKUP(A29,[15]MVTRESUME23!$A$6:$AO$36,14,0)</f>
        <v>48000</v>
      </c>
      <c r="D29" s="14"/>
      <c r="E29" s="14"/>
      <c r="F29" s="111"/>
    </row>
    <row r="30" spans="1:6" ht="18.5" x14ac:dyDescent="0.45">
      <c r="A30" s="13" t="s">
        <v>79</v>
      </c>
      <c r="B30" s="14" t="str">
        <f>VLOOKUP(A30,[16]LISTADHERENT!A$5:H$60,3,0)</f>
        <v>PATEGO NJOSSU GUSTAVE</v>
      </c>
      <c r="C30" s="110">
        <f>VLOOKUP(A30,[15]MVTRESUME23!$A$6:$AO$36,14,0)</f>
        <v>48000</v>
      </c>
      <c r="D30" s="14"/>
      <c r="E30" s="14"/>
      <c r="F30" s="111"/>
    </row>
    <row r="31" spans="1:6" ht="18.5" x14ac:dyDescent="0.45">
      <c r="A31" s="13" t="s">
        <v>130</v>
      </c>
      <c r="B31" s="14" t="str">
        <f>VLOOKUP(A31,[16]LISTADHERENT!A$5:H$60,3,0)</f>
        <v>SEUMO POLYCARPE</v>
      </c>
      <c r="C31" s="110">
        <f>VLOOKUP(A31,[15]MVTRESUME23!$A$6:$AO$36,14,0)</f>
        <v>48000</v>
      </c>
      <c r="D31" s="14"/>
      <c r="E31" s="14"/>
      <c r="F31" s="111"/>
    </row>
    <row r="32" spans="1:6" ht="18.5" x14ac:dyDescent="0.45">
      <c r="A32" s="13" t="s">
        <v>89</v>
      </c>
      <c r="B32" s="14" t="str">
        <f>VLOOKUP(A32,[16]LISTADHERENT!A$5:H$60,3,0)</f>
        <v>SIME BRICE</v>
      </c>
      <c r="C32" s="110">
        <f>VLOOKUP(A32,[15]MVTRESUME23!$A$6:$AO$36,14,0)</f>
        <v>48000</v>
      </c>
      <c r="D32" s="14"/>
      <c r="E32" s="14"/>
      <c r="F32" s="111"/>
    </row>
    <row r="33" spans="1:6" ht="18.5" x14ac:dyDescent="0.45">
      <c r="A33" s="13" t="s">
        <v>80</v>
      </c>
      <c r="B33" s="14" t="str">
        <f>VLOOKUP(A33,[16]LISTADHERENT!A$5:H$60,3,0)</f>
        <v>SIMO PIERRE</v>
      </c>
      <c r="C33" s="110">
        <f>VLOOKUP(A33,[15]MVTRESUME23!$A$6:$AO$36,14,0)</f>
        <v>48000</v>
      </c>
      <c r="D33" s="14"/>
      <c r="E33" s="14"/>
      <c r="F33" s="111"/>
    </row>
    <row r="34" spans="1:6" ht="18.5" x14ac:dyDescent="0.45">
      <c r="A34" s="13" t="s">
        <v>82</v>
      </c>
      <c r="B34" s="14" t="str">
        <f>VLOOKUP(A34,[16]LISTADHERENT!A$5:H$60,3,0)</f>
        <v>TCHOUAMOU MATHIEU</v>
      </c>
      <c r="C34" s="110">
        <f>VLOOKUP(A34,[15]MVTRESUME23!$A$6:$AO$36,14,0)</f>
        <v>48000</v>
      </c>
      <c r="D34" s="14"/>
      <c r="E34" s="14"/>
      <c r="F34" s="111"/>
    </row>
    <row r="35" spans="1:6" ht="18.5" x14ac:dyDescent="0.45">
      <c r="A35" s="13" t="s">
        <v>83</v>
      </c>
      <c r="B35" s="14" t="str">
        <f>VLOOKUP(A35,[16]LISTADHERENT!A$5:H$60,3,0)</f>
        <v>TCHOUTOU NANA CLAUDE</v>
      </c>
      <c r="C35" s="110">
        <f>VLOOKUP(A35,[15]MVTRESUME23!$A$6:$AO$36,14,0)</f>
        <v>48000</v>
      </c>
      <c r="D35" s="14"/>
      <c r="E35" s="14"/>
      <c r="F35" s="111"/>
    </row>
    <row r="36" spans="1:6" ht="18.5" x14ac:dyDescent="0.45">
      <c r="A36" s="13" t="s">
        <v>131</v>
      </c>
      <c r="B36" s="14" t="str">
        <f>VLOOKUP(A36,[16]LISTADHERENT!A$5:H$60,3,0)</f>
        <v>YANTCHOU GERVAIS</v>
      </c>
      <c r="C36" s="110">
        <f>VLOOKUP(A36,[15]MVTRESUME23!$A$6:$AO$36,14,0)</f>
        <v>48000</v>
      </c>
      <c r="D36" s="14"/>
      <c r="E36" s="14"/>
      <c r="F36" s="111"/>
    </row>
    <row r="37" spans="1:6" ht="18.5" x14ac:dyDescent="0.45">
      <c r="A37" s="13" t="s">
        <v>84</v>
      </c>
      <c r="B37" s="14" t="str">
        <f>VLOOKUP(A37,[16]LISTADHERENT!A$5:H$60,3,0)</f>
        <v>YEPMOU JEAN JACQUES</v>
      </c>
      <c r="C37" s="110">
        <f>VLOOKUP(A37,[15]MVTRESUME23!$A$6:$AO$36,14,0)</f>
        <v>48000</v>
      </c>
      <c r="D37" s="14"/>
      <c r="E37" s="14"/>
      <c r="F37" s="111"/>
    </row>
    <row r="38" spans="1:6" ht="18.5" x14ac:dyDescent="0.45">
      <c r="A38" s="13" t="s">
        <v>85</v>
      </c>
      <c r="B38" s="14" t="str">
        <f>VLOOKUP(A38,[16]LISTADHERENT!A$5:H$60,3,0)</f>
        <v>YOUMBI EMMANUEL</v>
      </c>
      <c r="C38" s="110">
        <f>VLOOKUP(A38,[15]MVTRESUME23!$A$6:$AO$36,14,0)</f>
        <v>48000</v>
      </c>
      <c r="D38" s="14"/>
      <c r="E38" s="14"/>
      <c r="F38" s="111"/>
    </row>
    <row r="39" spans="1:6" x14ac:dyDescent="0.35">
      <c r="A39" s="19"/>
      <c r="B39" s="14"/>
      <c r="C39" s="14"/>
      <c r="D39" s="14"/>
      <c r="E39" s="14"/>
      <c r="F39" s="15"/>
    </row>
    <row r="40" spans="1:6" ht="18" thickBot="1" x14ac:dyDescent="0.4">
      <c r="A40" s="31" t="s">
        <v>23</v>
      </c>
      <c r="B40" s="58"/>
      <c r="C40" s="59">
        <f>SUM(C8:C39)</f>
        <v>1440000</v>
      </c>
      <c r="D40" s="59"/>
      <c r="E40" s="59">
        <f t="shared" ref="E40:F40" si="0">SUM(E6:E39)</f>
        <v>0</v>
      </c>
      <c r="F40" s="60">
        <f t="shared" si="0"/>
        <v>1010000</v>
      </c>
    </row>
    <row r="41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2"/>
  <sheetViews>
    <sheetView workbookViewId="0">
      <selection activeCell="E42" sqref="E42"/>
    </sheetView>
  </sheetViews>
  <sheetFormatPr baseColWidth="10" defaultRowHeight="14.5" x14ac:dyDescent="0.35"/>
  <cols>
    <col min="1" max="1" width="18" customWidth="1"/>
    <col min="2" max="2" width="31.81640625" bestFit="1" customWidth="1"/>
    <col min="3" max="3" width="15" bestFit="1" customWidth="1"/>
    <col min="5" max="5" width="30.2695312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2023</v>
      </c>
    </row>
    <row r="4" spans="1:6" ht="26" x14ac:dyDescent="0.35">
      <c r="A4" s="133" t="s">
        <v>35</v>
      </c>
      <c r="B4" s="134"/>
      <c r="C4" s="134"/>
      <c r="D4" s="134"/>
      <c r="E4" s="134"/>
      <c r="F4" s="134"/>
    </row>
    <row r="5" spans="1:6" ht="15" thickBot="1" x14ac:dyDescent="0.4">
      <c r="A5" s="71"/>
      <c r="B5" s="72"/>
      <c r="C5" s="73"/>
      <c r="D5" s="73"/>
      <c r="E5" s="74"/>
      <c r="F5" s="73"/>
    </row>
    <row r="6" spans="1:6" ht="15.75" customHeight="1" thickTop="1" x14ac:dyDescent="0.4">
      <c r="A6" s="139" t="s">
        <v>96</v>
      </c>
      <c r="B6" s="141" t="s">
        <v>52</v>
      </c>
      <c r="C6" s="108" t="s">
        <v>138</v>
      </c>
      <c r="D6" s="141" t="s">
        <v>135</v>
      </c>
      <c r="E6" s="141"/>
      <c r="F6" s="143"/>
    </row>
    <row r="7" spans="1:6" ht="21.75" customHeight="1" x14ac:dyDescent="0.35">
      <c r="A7" s="140"/>
      <c r="B7" s="142"/>
      <c r="C7" s="109" t="s">
        <v>134</v>
      </c>
      <c r="D7" s="109" t="s">
        <v>136</v>
      </c>
      <c r="E7" s="109" t="s">
        <v>137</v>
      </c>
      <c r="F7" s="26" t="s">
        <v>134</v>
      </c>
    </row>
    <row r="8" spans="1:6" ht="18.5" x14ac:dyDescent="0.45">
      <c r="A8" s="13" t="s">
        <v>90</v>
      </c>
      <c r="B8" s="14" t="str">
        <f>VLOOKUP(A8,[16]LISTADHERENT!A$5:H$60,3,0)</f>
        <v>ASELBY</v>
      </c>
      <c r="C8" s="110">
        <f>VLOOKUP(A8,[15]MVTRESUME23!$A$6:$AO$36,30,0)</f>
        <v>0</v>
      </c>
      <c r="D8" s="14"/>
      <c r="E8" s="14" t="s">
        <v>139</v>
      </c>
      <c r="F8" s="111">
        <f>SORTIE!L22</f>
        <v>1750000</v>
      </c>
    </row>
    <row r="9" spans="1:6" ht="17.5" x14ac:dyDescent="0.35">
      <c r="A9" s="13" t="s">
        <v>62</v>
      </c>
      <c r="B9" s="14" t="str">
        <f>VLOOKUP(A9,[16]LISTADHERENT!A$5:H$60,3,0)</f>
        <v>BAKOP ACHILLE</v>
      </c>
      <c r="C9" s="110">
        <f>VLOOKUP(A9,[15]MVTRESUME23!$A$6:$AO$36,30,0)</f>
        <v>140000</v>
      </c>
      <c r="D9" s="14"/>
      <c r="E9" s="14"/>
      <c r="F9" s="15"/>
    </row>
    <row r="10" spans="1:6" ht="17.5" x14ac:dyDescent="0.35">
      <c r="A10" s="13" t="s">
        <v>63</v>
      </c>
      <c r="B10" s="14" t="str">
        <f>VLOOKUP(A10,[16]LISTADHERENT!A$5:H$60,3,0)</f>
        <v>BOUTCHOUANG WILLIAM</v>
      </c>
      <c r="C10" s="110">
        <f>VLOOKUP(A10,[15]MVTRESUME23!$A$6:$AO$36,30,0)</f>
        <v>70000</v>
      </c>
      <c r="D10" s="14"/>
      <c r="E10" s="14"/>
      <c r="F10" s="15"/>
    </row>
    <row r="11" spans="1:6" ht="17.5" x14ac:dyDescent="0.35">
      <c r="A11" s="13" t="s">
        <v>64</v>
      </c>
      <c r="B11" s="14" t="str">
        <f>VLOOKUP(A11,[16]LISTADHERENT!A$5:H$60,3,0)</f>
        <v xml:space="preserve">DJOMO JEAN PAUL </v>
      </c>
      <c r="C11" s="110">
        <f>VLOOKUP(A11,[15]MVTRESUME23!$A$6:$AO$36,30,0)</f>
        <v>140000</v>
      </c>
      <c r="D11" s="14"/>
      <c r="E11" s="14"/>
      <c r="F11" s="15"/>
    </row>
    <row r="12" spans="1:6" ht="17.5" x14ac:dyDescent="0.35">
      <c r="A12" s="13" t="s">
        <v>104</v>
      </c>
      <c r="B12" s="14" t="str">
        <f>VLOOKUP(A12,[16]LISTADHERENT!A$5:H$60,3,0)</f>
        <v>DJOMOU TCHAPDA</v>
      </c>
      <c r="C12" s="110">
        <f>VLOOKUP(A12,[15]MVTRESUME23!$A$6:$AO$36,30,0)</f>
        <v>70000</v>
      </c>
      <c r="D12" s="14"/>
      <c r="E12" s="14"/>
      <c r="F12" s="15"/>
    </row>
    <row r="13" spans="1:6" ht="17.5" x14ac:dyDescent="0.35">
      <c r="A13" s="13" t="s">
        <v>65</v>
      </c>
      <c r="B13" s="14" t="str">
        <f>VLOOKUP(A13,[16]LISTADHERENT!A$5:H$60,3,0)</f>
        <v>DJOUKWE NANGUEN GUY BLAISE</v>
      </c>
      <c r="C13" s="110">
        <f>VLOOKUP(A13,[15]MVTRESUME23!$A$6:$AO$36,30,0)</f>
        <v>70000</v>
      </c>
      <c r="D13" s="14"/>
      <c r="E13" s="14"/>
      <c r="F13" s="15"/>
    </row>
    <row r="14" spans="1:6" ht="17.5" x14ac:dyDescent="0.35">
      <c r="A14" s="13" t="s">
        <v>66</v>
      </c>
      <c r="B14" s="14" t="str">
        <f>VLOOKUP(A14,[16]LISTADHERENT!A$5:H$60,3,0)</f>
        <v>DJUOMBESSY ANTOINE</v>
      </c>
      <c r="C14" s="110">
        <f>VLOOKUP(A14,[15]MVTRESUME23!$A$6:$AO$36,30,0)</f>
        <v>70000</v>
      </c>
      <c r="D14" s="14"/>
      <c r="E14" s="14"/>
      <c r="F14" s="15"/>
    </row>
    <row r="15" spans="1:6" ht="17.5" x14ac:dyDescent="0.35">
      <c r="A15" s="13" t="s">
        <v>87</v>
      </c>
      <c r="B15" s="14" t="str">
        <f>VLOOKUP(A15,[16]LISTADHERENT!A$5:H$60,3,0)</f>
        <v>DOMOU FABIEN</v>
      </c>
      <c r="C15" s="110">
        <f>VLOOKUP(A15,[15]MVTRESUME23!$A$6:$AO$36,30,0)</f>
        <v>70000</v>
      </c>
      <c r="D15" s="14"/>
      <c r="E15" s="14"/>
      <c r="F15" s="15"/>
    </row>
    <row r="16" spans="1:6" ht="17.5" x14ac:dyDescent="0.35">
      <c r="A16" s="13" t="s">
        <v>67</v>
      </c>
      <c r="B16" s="14" t="str">
        <f>VLOOKUP(A16,[16]LISTADHERENT!A$5:H$60,3,0)</f>
        <v>DONHOU DAVID</v>
      </c>
      <c r="C16" s="110">
        <f>VLOOKUP(A16,[15]MVTRESUME23!$A$6:$AO$36,30,0)</f>
        <v>70000</v>
      </c>
      <c r="D16" s="14"/>
      <c r="E16" s="14"/>
      <c r="F16" s="15"/>
    </row>
    <row r="17" spans="1:6" ht="17.5" x14ac:dyDescent="0.35">
      <c r="A17" s="13" t="s">
        <v>68</v>
      </c>
      <c r="B17" s="14" t="str">
        <f>VLOOKUP(A17,[16]LISTADHERENT!A$5:H$60,3,0)</f>
        <v>HENGUE PAUL OMER</v>
      </c>
      <c r="C17" s="110">
        <f>VLOOKUP(A17,[15]MVTRESUME23!$A$6:$AO$36,30,0)</f>
        <v>70000</v>
      </c>
      <c r="D17" s="14"/>
      <c r="E17" s="14"/>
      <c r="F17" s="15"/>
    </row>
    <row r="18" spans="1:6" ht="17.5" x14ac:dyDescent="0.35">
      <c r="A18" s="13" t="s">
        <v>69</v>
      </c>
      <c r="B18" s="14" t="str">
        <f>VLOOKUP(A18,[16]LISTADHERENT!A$5:H$60,3,0)</f>
        <v>HOTCHO BENJAMIN</v>
      </c>
      <c r="C18" s="110">
        <f>VLOOKUP(A18,[15]MVTRESUME23!$A$6:$AO$36,30,0)</f>
        <v>70000</v>
      </c>
      <c r="D18" s="14"/>
      <c r="E18" s="14"/>
      <c r="F18" s="15"/>
    </row>
    <row r="19" spans="1:6" ht="17.5" x14ac:dyDescent="0.35">
      <c r="A19" s="13" t="s">
        <v>70</v>
      </c>
      <c r="B19" s="14" t="str">
        <f>VLOOKUP(A19,[16]LISTADHERENT!A$5:H$60,3,0)</f>
        <v>KOUAMOU MOISE</v>
      </c>
      <c r="C19" s="110">
        <f>VLOOKUP(A19,[15]MVTRESUME23!$A$6:$AO$36,30,0)</f>
        <v>70000</v>
      </c>
      <c r="D19" s="14"/>
      <c r="E19" s="14"/>
      <c r="F19" s="15"/>
    </row>
    <row r="20" spans="1:6" ht="17.5" x14ac:dyDescent="0.35">
      <c r="A20" s="13" t="s">
        <v>71</v>
      </c>
      <c r="B20" s="14" t="str">
        <f>VLOOKUP(A20,[16]LISTADHERENT!A$5:H$60,3,0)</f>
        <v>KOUATCHO MESSACK</v>
      </c>
      <c r="C20" s="110">
        <f>VLOOKUP(A20,[15]MVTRESUME23!$A$6:$AO$36,30,0)</f>
        <v>70000</v>
      </c>
      <c r="D20" s="14"/>
      <c r="E20" s="14"/>
      <c r="F20" s="15"/>
    </row>
    <row r="21" spans="1:6" ht="17.5" x14ac:dyDescent="0.35">
      <c r="A21" s="13" t="s">
        <v>72</v>
      </c>
      <c r="B21" s="14" t="str">
        <f>VLOOKUP(A21,[16]LISTADHERENT!A$5:H$60,3,0)</f>
        <v>LOWE JEAN</v>
      </c>
      <c r="C21" s="110">
        <f>VLOOKUP(A21,[15]MVTRESUME23!$A$6:$AO$36,30,0)</f>
        <v>70000</v>
      </c>
      <c r="D21" s="14"/>
      <c r="E21" s="14"/>
      <c r="F21" s="15"/>
    </row>
    <row r="22" spans="1:6" ht="17.5" x14ac:dyDescent="0.35">
      <c r="A22" s="13" t="s">
        <v>86</v>
      </c>
      <c r="B22" s="14" t="str">
        <f>VLOOKUP(A22,[16]LISTADHERENT!A$5:H$60,3,0)</f>
        <v>MBOGNING TUGMA GUY</v>
      </c>
      <c r="C22" s="110">
        <f>VLOOKUP(A22,[15]MVTRESUME23!$A$6:$AO$36,30,0)</f>
        <v>70000</v>
      </c>
      <c r="D22" s="14"/>
      <c r="E22" s="14"/>
      <c r="F22" s="15"/>
    </row>
    <row r="23" spans="1:6" ht="17.5" x14ac:dyDescent="0.35">
      <c r="A23" s="13" t="s">
        <v>81</v>
      </c>
      <c r="B23" s="14" t="str">
        <f>VLOOKUP(A23,[16]LISTADHERENT!A$5:H$60,3,0)</f>
        <v>NANGUEN MARTIN</v>
      </c>
      <c r="C23" s="110">
        <f>VLOOKUP(A23,[15]MVTRESUME23!$A$6:$AO$36,30,0)</f>
        <v>70000</v>
      </c>
      <c r="D23" s="14"/>
      <c r="E23" s="14"/>
      <c r="F23" s="15"/>
    </row>
    <row r="24" spans="1:6" ht="17.5" x14ac:dyDescent="0.35">
      <c r="A24" s="13" t="s">
        <v>73</v>
      </c>
      <c r="B24" s="14" t="str">
        <f>VLOOKUP(A24,[16]LISTADHERENT!A$5:H$60,3,0)</f>
        <v>NANKAM APPOLINAIRE</v>
      </c>
      <c r="C24" s="110">
        <f>VLOOKUP(A24,[15]MVTRESUME23!$A$6:$AO$36,30,0)</f>
        <v>70000</v>
      </c>
      <c r="D24" s="14"/>
      <c r="E24" s="14"/>
      <c r="F24" s="15"/>
    </row>
    <row r="25" spans="1:6" ht="17.5" x14ac:dyDescent="0.35">
      <c r="A25" s="13" t="s">
        <v>74</v>
      </c>
      <c r="B25" s="14" t="str">
        <f>VLOOKUP(A25,[16]LISTADHERENT!A$5:H$60,3,0)</f>
        <v>NDJOMO ETIENNE</v>
      </c>
      <c r="C25" s="110">
        <f>VLOOKUP(A25,[15]MVTRESUME23!$A$6:$AO$36,30,0)</f>
        <v>70000</v>
      </c>
      <c r="D25" s="14"/>
      <c r="E25" s="14"/>
      <c r="F25" s="15"/>
    </row>
    <row r="26" spans="1:6" ht="17.5" x14ac:dyDescent="0.35">
      <c r="A26" s="13" t="s">
        <v>75</v>
      </c>
      <c r="B26" s="14" t="str">
        <f>VLOOKUP(A26,[16]LISTADHERENT!A$5:H$60,3,0)</f>
        <v>NGONDIEP CLAUDE</v>
      </c>
      <c r="C26" s="110">
        <f>VLOOKUP(A26,[15]MVTRESUME23!$A$6:$AO$36,30,0)</f>
        <v>70000</v>
      </c>
      <c r="D26" s="14"/>
      <c r="E26" s="14"/>
      <c r="F26" s="15"/>
    </row>
    <row r="27" spans="1:6" ht="17.5" x14ac:dyDescent="0.35">
      <c r="A27" s="13" t="s">
        <v>77</v>
      </c>
      <c r="B27" s="14" t="str">
        <f>VLOOKUP(A27,[16]LISTADHERENT!A$5:H$60,3,0)</f>
        <v>NGUIEMEGNI MATHIEU BLAISE</v>
      </c>
      <c r="C27" s="110">
        <f>VLOOKUP(A27,[15]MVTRESUME23!$A$6:$AO$36,30,0)</f>
        <v>70000</v>
      </c>
      <c r="D27" s="14"/>
      <c r="E27" s="14"/>
      <c r="F27" s="15"/>
    </row>
    <row r="28" spans="1:6" ht="17.5" x14ac:dyDescent="0.35">
      <c r="A28" s="13" t="s">
        <v>78</v>
      </c>
      <c r="B28" s="14" t="str">
        <f>VLOOKUP(A28,[16]LISTADHERENT!A$5:H$60,3,0)</f>
        <v>NKAMGANG JUSTIN DEJOLIE</v>
      </c>
      <c r="C28" s="110">
        <f>VLOOKUP(A28,[15]MVTRESUME23!$A$6:$AO$36,30,0)</f>
        <v>70000</v>
      </c>
      <c r="D28" s="14"/>
      <c r="E28" s="14"/>
      <c r="F28" s="15"/>
    </row>
    <row r="29" spans="1:6" ht="17.5" x14ac:dyDescent="0.35">
      <c r="A29" s="13" t="s">
        <v>105</v>
      </c>
      <c r="B29" s="14" t="str">
        <f>VLOOKUP(A29,[16]LISTADHERENT!A$5:H$60,3,0)</f>
        <v>NOUBE ETIENNE</v>
      </c>
      <c r="C29" s="110">
        <f>VLOOKUP(A29,[15]MVTRESUME23!$A$6:$AO$36,30,0)</f>
        <v>70000</v>
      </c>
      <c r="D29" s="14"/>
      <c r="E29" s="14"/>
      <c r="F29" s="15"/>
    </row>
    <row r="30" spans="1:6" ht="17.5" x14ac:dyDescent="0.35">
      <c r="A30" s="13" t="s">
        <v>79</v>
      </c>
      <c r="B30" s="14" t="str">
        <f>VLOOKUP(A30,[16]LISTADHERENT!A$5:H$60,3,0)</f>
        <v>PATEGO NJOSSU GUSTAVE</v>
      </c>
      <c r="C30" s="110">
        <f>VLOOKUP(A30,[15]MVTRESUME23!$A$6:$AO$36,30,0)</f>
        <v>70000</v>
      </c>
      <c r="D30" s="14"/>
      <c r="E30" s="14"/>
      <c r="F30" s="15"/>
    </row>
    <row r="31" spans="1:6" ht="17.5" x14ac:dyDescent="0.35">
      <c r="A31" s="13" t="s">
        <v>130</v>
      </c>
      <c r="B31" s="14" t="str">
        <f>VLOOKUP(A31,[16]LISTADHERENT!A$5:H$60,3,0)</f>
        <v>SEUMO POLYCARPE</v>
      </c>
      <c r="C31" s="110">
        <f>VLOOKUP(A31,[15]MVTRESUME23!$A$6:$AO$36,30,0)</f>
        <v>70000</v>
      </c>
      <c r="D31" s="14"/>
      <c r="E31" s="14"/>
      <c r="F31" s="15"/>
    </row>
    <row r="32" spans="1:6" ht="17.5" x14ac:dyDescent="0.35">
      <c r="A32" s="13" t="s">
        <v>89</v>
      </c>
      <c r="B32" s="14" t="str">
        <f>VLOOKUP(A32,[16]LISTADHERENT!A$5:H$60,3,0)</f>
        <v>SIME BRICE</v>
      </c>
      <c r="C32" s="110">
        <f>VLOOKUP(A32,[15]MVTRESUME23!$A$6:$AO$36,30,0)</f>
        <v>70000</v>
      </c>
      <c r="D32" s="14"/>
      <c r="E32" s="14"/>
      <c r="F32" s="15"/>
    </row>
    <row r="33" spans="1:6" ht="17.5" x14ac:dyDescent="0.35">
      <c r="A33" s="13" t="s">
        <v>80</v>
      </c>
      <c r="B33" s="14" t="str">
        <f>VLOOKUP(A33,[16]LISTADHERENT!A$5:H$60,3,0)</f>
        <v>SIMO PIERRE</v>
      </c>
      <c r="C33" s="110">
        <f>VLOOKUP(A33,[15]MVTRESUME23!$A$6:$AO$36,30,0)</f>
        <v>70000</v>
      </c>
      <c r="D33" s="14"/>
      <c r="E33" s="14"/>
      <c r="F33" s="15"/>
    </row>
    <row r="34" spans="1:6" ht="17.5" x14ac:dyDescent="0.35">
      <c r="A34" s="13" t="s">
        <v>82</v>
      </c>
      <c r="B34" s="14" t="str">
        <f>VLOOKUP(A34,[16]LISTADHERENT!A$5:H$60,3,0)</f>
        <v>TCHOUAMOU MATHIEU</v>
      </c>
      <c r="C34" s="110">
        <f>VLOOKUP(A34,[15]MVTRESUME23!$A$6:$AO$36,30,0)</f>
        <v>70000</v>
      </c>
      <c r="D34" s="14"/>
      <c r="E34" s="14"/>
      <c r="F34" s="15"/>
    </row>
    <row r="35" spans="1:6" ht="17.5" x14ac:dyDescent="0.35">
      <c r="A35" s="13" t="s">
        <v>83</v>
      </c>
      <c r="B35" s="14" t="str">
        <f>VLOOKUP(A35,[16]LISTADHERENT!A$5:H$60,3,0)</f>
        <v>TCHOUTOU NANA CLAUDE</v>
      </c>
      <c r="C35" s="110">
        <f>VLOOKUP(A35,[15]MVTRESUME23!$A$6:$AO$36,30,0)</f>
        <v>70000</v>
      </c>
      <c r="D35" s="14"/>
      <c r="E35" s="14"/>
      <c r="F35" s="15"/>
    </row>
    <row r="36" spans="1:6" ht="17.5" x14ac:dyDescent="0.35">
      <c r="A36" s="13" t="s">
        <v>131</v>
      </c>
      <c r="B36" s="14" t="str">
        <f>VLOOKUP(A36,[16]LISTADHERENT!A$5:H$60,3,0)</f>
        <v>YANTCHOU GERVAIS</v>
      </c>
      <c r="C36" s="110">
        <f>VLOOKUP(A36,[15]MVTRESUME23!$A$6:$AO$36,30,0)</f>
        <v>70000</v>
      </c>
      <c r="D36" s="14"/>
      <c r="E36" s="14"/>
      <c r="F36" s="15"/>
    </row>
    <row r="37" spans="1:6" ht="17.5" x14ac:dyDescent="0.35">
      <c r="A37" s="13" t="s">
        <v>84</v>
      </c>
      <c r="B37" s="14" t="str">
        <f>VLOOKUP(A37,[16]LISTADHERENT!A$5:H$60,3,0)</f>
        <v>YEPMOU JEAN JACQUES</v>
      </c>
      <c r="C37" s="110">
        <f>VLOOKUP(A37,[15]MVTRESUME23!$A$6:$AO$36,30,0)</f>
        <v>70000</v>
      </c>
      <c r="D37" s="14"/>
      <c r="E37" s="14"/>
      <c r="F37" s="15"/>
    </row>
    <row r="38" spans="1:6" ht="17.5" x14ac:dyDescent="0.35">
      <c r="A38" s="13" t="s">
        <v>85</v>
      </c>
      <c r="B38" s="14" t="str">
        <f>VLOOKUP(A38,[16]LISTADHERENT!A$5:H$60,3,0)</f>
        <v>YOUMBI EMMANUEL</v>
      </c>
      <c r="C38" s="110">
        <f>VLOOKUP(A38,[15]MVTRESUME23!$A$6:$AO$36,30,0)</f>
        <v>70000</v>
      </c>
      <c r="D38" s="14"/>
      <c r="E38" s="14"/>
      <c r="F38" s="15"/>
    </row>
    <row r="39" spans="1:6" x14ac:dyDescent="0.35">
      <c r="A39" s="19"/>
      <c r="B39" s="14"/>
      <c r="C39" s="14"/>
      <c r="D39" s="14"/>
      <c r="E39" s="14"/>
      <c r="F39" s="15"/>
    </row>
    <row r="40" spans="1:6" ht="18" thickBot="1" x14ac:dyDescent="0.4">
      <c r="A40" s="31" t="s">
        <v>23</v>
      </c>
      <c r="B40" s="58"/>
      <c r="C40" s="59">
        <f>SUM(C8:C39)</f>
        <v>2240000</v>
      </c>
      <c r="D40" s="59"/>
      <c r="E40" s="59">
        <f t="shared" ref="E40:F40" si="0">SUM(E6:E39)</f>
        <v>0</v>
      </c>
      <c r="F40" s="60">
        <f t="shared" si="0"/>
        <v>1750000</v>
      </c>
    </row>
    <row r="41" spans="1:6" ht="15" thickTop="1" x14ac:dyDescent="0.35"/>
    <row r="42" spans="1:6" x14ac:dyDescent="0.35">
      <c r="E42" s="27">
        <f>C40-F40</f>
        <v>490000</v>
      </c>
    </row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0"/>
  <sheetViews>
    <sheetView workbookViewId="0">
      <selection activeCell="I12" sqref="I12"/>
    </sheetView>
  </sheetViews>
  <sheetFormatPr baseColWidth="10" defaultRowHeight="14.5" x14ac:dyDescent="0.35"/>
  <cols>
    <col min="1" max="1" width="18.1796875" customWidth="1"/>
    <col min="2" max="2" width="30" bestFit="1" customWidth="1"/>
    <col min="3" max="3" width="16.81640625" bestFit="1" customWidth="1"/>
    <col min="4" max="4" width="15" bestFit="1" customWidth="1"/>
    <col min="5" max="5" width="30.26953125" bestFit="1" customWidth="1"/>
  </cols>
  <sheetData>
    <row r="1" spans="1:5" x14ac:dyDescent="0.35">
      <c r="A1" s="1" t="s">
        <v>94</v>
      </c>
      <c r="B1" s="1" t="s">
        <v>95</v>
      </c>
    </row>
    <row r="2" spans="1:5" x14ac:dyDescent="0.35">
      <c r="A2" s="1" t="s">
        <v>10</v>
      </c>
      <c r="B2" s="1">
        <v>2023</v>
      </c>
    </row>
    <row r="4" spans="1:5" ht="26" x14ac:dyDescent="0.35">
      <c r="A4" s="133" t="s">
        <v>126</v>
      </c>
      <c r="B4" s="134"/>
      <c r="C4" s="134"/>
      <c r="D4" s="134"/>
      <c r="E4" s="134"/>
    </row>
    <row r="5" spans="1:5" ht="15" thickBot="1" x14ac:dyDescent="0.4">
      <c r="A5" s="71"/>
      <c r="B5" s="72"/>
      <c r="C5" s="73"/>
      <c r="D5" s="73"/>
      <c r="E5" s="74"/>
    </row>
    <row r="6" spans="1:5" ht="48" customHeight="1" thickTop="1" x14ac:dyDescent="0.35">
      <c r="A6" s="114" t="s">
        <v>96</v>
      </c>
      <c r="B6" s="113" t="s">
        <v>52</v>
      </c>
      <c r="C6" s="115" t="s">
        <v>134</v>
      </c>
      <c r="D6" s="115" t="s">
        <v>92</v>
      </c>
      <c r="E6" s="116" t="s">
        <v>151</v>
      </c>
    </row>
    <row r="7" spans="1:5" ht="17.5" x14ac:dyDescent="0.35">
      <c r="A7" s="13" t="s">
        <v>90</v>
      </c>
      <c r="B7" s="14" t="str">
        <f>VLOOKUP(A7,[16]LISTADHERENT!A$5:H$60,3,0)</f>
        <v>ASELBY</v>
      </c>
      <c r="C7" s="110">
        <f>VLOOKUP(A7,[15]MVTRESUME23!$A$6:$AO$36,37,0)</f>
        <v>0</v>
      </c>
      <c r="D7" s="110">
        <f>VLOOKUP(A7,[15]MVTRESUME23!$A$6:$AO$36,39,0)</f>
        <v>0</v>
      </c>
      <c r="E7" s="117"/>
    </row>
    <row r="8" spans="1:5" ht="17.5" x14ac:dyDescent="0.35">
      <c r="A8" s="13" t="s">
        <v>62</v>
      </c>
      <c r="B8" s="14" t="str">
        <f>VLOOKUP(A8,[16]LISTADHERENT!A$5:H$60,3,0)</f>
        <v>BAKOP ACHILLE</v>
      </c>
      <c r="C8" s="110">
        <f>VLOOKUP(A8,[15]MVTRESUME23!$A$6:$AO$36,37,0)</f>
        <v>0</v>
      </c>
      <c r="D8" s="110">
        <f>VLOOKUP(A8,[15]MVTRESUME23!$A$6:$AO$36,39,0)</f>
        <v>36000</v>
      </c>
      <c r="E8" s="117">
        <f>VLOOKUP(A8,[15]MVTRESUME23!$A$6:$AO$36,38,0)</f>
        <v>45261</v>
      </c>
    </row>
    <row r="9" spans="1:5" ht="17.5" x14ac:dyDescent="0.35">
      <c r="A9" s="13" t="s">
        <v>63</v>
      </c>
      <c r="B9" s="14" t="str">
        <f>VLOOKUP(A9,[16]LISTADHERENT!A$5:H$60,3,0)</f>
        <v>BOUTCHOUANG WILLIAM</v>
      </c>
      <c r="C9" s="110">
        <f>VLOOKUP(A9,[15]MVTRESUME23!$A$6:$AO$36,37,0)</f>
        <v>500000</v>
      </c>
      <c r="D9" s="110">
        <f>VLOOKUP(A9,[15]MVTRESUME23!$A$6:$AO$36,39,0)</f>
        <v>35000</v>
      </c>
      <c r="E9" s="117"/>
    </row>
    <row r="10" spans="1:5" ht="17.5" x14ac:dyDescent="0.35">
      <c r="A10" s="13" t="s">
        <v>64</v>
      </c>
      <c r="B10" s="14" t="str">
        <f>VLOOKUP(A10,[16]LISTADHERENT!A$5:H$60,3,0)</f>
        <v xml:space="preserve">DJOMO JEAN PAUL </v>
      </c>
      <c r="C10" s="110">
        <f>VLOOKUP(A10,[15]MVTRESUME23!$A$6:$AO$36,37,0)</f>
        <v>1000000</v>
      </c>
      <c r="D10" s="110">
        <f>VLOOKUP(A10,[15]MVTRESUME23!$A$6:$AO$36,39,0)</f>
        <v>240000</v>
      </c>
      <c r="E10" s="117">
        <f>VLOOKUP(A10,[15]MVTRESUME23!$A$6:$AO$36,38,0)</f>
        <v>45261</v>
      </c>
    </row>
    <row r="11" spans="1:5" ht="17.5" x14ac:dyDescent="0.35">
      <c r="A11" s="13" t="s">
        <v>104</v>
      </c>
      <c r="B11" s="14" t="str">
        <f>VLOOKUP(A11,[16]LISTADHERENT!A$5:H$60,3,0)</f>
        <v>DJOMOU TCHAPDA</v>
      </c>
      <c r="C11" s="110">
        <f>VLOOKUP(A11,[15]MVTRESUME23!$A$6:$AO$36,37,0)</f>
        <v>1000000</v>
      </c>
      <c r="D11" s="110">
        <f>VLOOKUP(A11,[15]MVTRESUME23!$A$6:$AO$36,39,0)</f>
        <v>120000</v>
      </c>
      <c r="E11" s="117"/>
    </row>
    <row r="12" spans="1:5" ht="17.5" x14ac:dyDescent="0.35">
      <c r="A12" s="13" t="s">
        <v>65</v>
      </c>
      <c r="B12" s="14" t="str">
        <f>VLOOKUP(A12,[16]LISTADHERENT!A$5:H$60,3,0)</f>
        <v>DJOUKWE NANGUEN GUY BLAISE</v>
      </c>
      <c r="C12" s="110">
        <f>VLOOKUP(A12,[15]MVTRESUME23!$A$6:$AO$36,37,0)</f>
        <v>1000000</v>
      </c>
      <c r="D12" s="110">
        <f>VLOOKUP(A12,[15]MVTRESUME23!$A$6:$AO$36,39,0)</f>
        <v>140000</v>
      </c>
      <c r="E12" s="117">
        <f>VLOOKUP(A12,[15]MVTRESUME23!$A$6:$AO$36,38,0)</f>
        <v>45261</v>
      </c>
    </row>
    <row r="13" spans="1:5" ht="17.5" x14ac:dyDescent="0.35">
      <c r="A13" s="13" t="s">
        <v>66</v>
      </c>
      <c r="B13" s="14" t="str">
        <f>VLOOKUP(A13,[16]LISTADHERENT!A$5:H$60,3,0)</f>
        <v>DJUOMBESSY ANTOINE</v>
      </c>
      <c r="C13" s="110">
        <f>VLOOKUP(A13,[15]MVTRESUME23!$A$6:$AO$36,37,0)</f>
        <v>985800</v>
      </c>
      <c r="D13" s="110">
        <f>VLOOKUP(A13,[15]MVTRESUME23!$A$6:$AO$36,39,0)</f>
        <v>162300</v>
      </c>
      <c r="E13" s="117">
        <f>VLOOKUP(A13,[15]MVTRESUME23!$A$6:$AO$36,38,0)</f>
        <v>45200</v>
      </c>
    </row>
    <row r="14" spans="1:5" ht="17.5" x14ac:dyDescent="0.35">
      <c r="A14" s="13" t="s">
        <v>87</v>
      </c>
      <c r="B14" s="14" t="str">
        <f>VLOOKUP(A14,[16]LISTADHERENT!A$5:H$60,3,0)</f>
        <v>DOMOU FABIEN</v>
      </c>
      <c r="C14" s="110">
        <f>VLOOKUP(A14,[15]MVTRESUME23!$A$6:$AO$36,37,0)</f>
        <v>1000000</v>
      </c>
      <c r="D14" s="110">
        <f>VLOOKUP(A14,[15]MVTRESUME23!$A$6:$AO$36,39,0)</f>
        <v>240000</v>
      </c>
      <c r="E14" s="117">
        <f>VLOOKUP(A14,[15]MVTRESUME23!$A$6:$AO$36,38,0)</f>
        <v>45261</v>
      </c>
    </row>
    <row r="15" spans="1:5" ht="17.5" x14ac:dyDescent="0.35">
      <c r="A15" s="13" t="s">
        <v>67</v>
      </c>
      <c r="B15" s="14" t="str">
        <f>VLOOKUP(A15,[16]LISTADHERENT!A$5:H$60,3,0)</f>
        <v>DONHOU DAVID</v>
      </c>
      <c r="C15" s="110">
        <f>VLOOKUP(A15,[15]MVTRESUME23!$A$6:$AO$36,37,0)</f>
        <v>0</v>
      </c>
      <c r="D15" s="110">
        <f>VLOOKUP(A15,[15]MVTRESUME23!$A$6:$AO$36,39,0)</f>
        <v>0</v>
      </c>
      <c r="E15" s="117"/>
    </row>
    <row r="16" spans="1:5" ht="17.5" x14ac:dyDescent="0.35">
      <c r="A16" s="13" t="s">
        <v>68</v>
      </c>
      <c r="B16" s="14" t="str">
        <f>VLOOKUP(A16,[16]LISTADHERENT!A$5:H$60,3,0)</f>
        <v>HENGUE PAUL OMER</v>
      </c>
      <c r="C16" s="110">
        <f>VLOOKUP(A16,[15]MVTRESUME23!$A$6:$AO$36,37,0)</f>
        <v>0</v>
      </c>
      <c r="D16" s="110">
        <f>VLOOKUP(A16,[15]MVTRESUME23!$A$6:$AO$36,39,0)</f>
        <v>0</v>
      </c>
      <c r="E16" s="117"/>
    </row>
    <row r="17" spans="1:5" ht="17.5" x14ac:dyDescent="0.35">
      <c r="A17" s="13" t="s">
        <v>69</v>
      </c>
      <c r="B17" s="14" t="str">
        <f>VLOOKUP(A17,[16]LISTADHERENT!A$5:H$60,3,0)</f>
        <v>HOTCHO BENJAMIN</v>
      </c>
      <c r="C17" s="110">
        <f>VLOOKUP(A17,[15]MVTRESUME23!$A$6:$AO$36,37,0)</f>
        <v>0</v>
      </c>
      <c r="D17" s="110">
        <f>VLOOKUP(A17,[15]MVTRESUME23!$A$6:$AO$36,39,0)</f>
        <v>120000</v>
      </c>
      <c r="E17" s="117">
        <f>VLOOKUP(A17,[15]MVTRESUME23!$A$6:$AO$36,38,0)</f>
        <v>45261</v>
      </c>
    </row>
    <row r="18" spans="1:5" ht="17.5" x14ac:dyDescent="0.35">
      <c r="A18" s="13" t="s">
        <v>70</v>
      </c>
      <c r="B18" s="14" t="str">
        <f>VLOOKUP(A18,[16]LISTADHERENT!A$5:H$60,3,0)</f>
        <v>KOUAMOU MOISE</v>
      </c>
      <c r="C18" s="110">
        <f>VLOOKUP(A18,[15]MVTRESUME23!$A$6:$AO$36,37,0)</f>
        <v>0</v>
      </c>
      <c r="D18" s="110">
        <f>VLOOKUP(A18,[15]MVTRESUME23!$A$6:$AO$36,39,0)</f>
        <v>50000</v>
      </c>
      <c r="E18" s="117">
        <f>VLOOKUP(A18,[15]MVTRESUME23!$A$6:$AO$36,38,0)</f>
        <v>45261</v>
      </c>
    </row>
    <row r="19" spans="1:5" ht="17.5" x14ac:dyDescent="0.35">
      <c r="A19" s="13" t="s">
        <v>71</v>
      </c>
      <c r="B19" s="14" t="str">
        <f>VLOOKUP(A19,[16]LISTADHERENT!A$5:H$60,3,0)</f>
        <v>KOUATCHO MESSACK</v>
      </c>
      <c r="C19" s="110">
        <f>VLOOKUP(A19,[15]MVTRESUME23!$A$6:$AO$36,37,0)</f>
        <v>1000000</v>
      </c>
      <c r="D19" s="110">
        <f>VLOOKUP(A19,[15]MVTRESUME23!$A$6:$AO$36,39,0)</f>
        <v>140000</v>
      </c>
      <c r="E19" s="117">
        <f>VLOOKUP(A19,[15]MVTRESUME23!$A$6:$AO$36,38,0)</f>
        <v>45261</v>
      </c>
    </row>
    <row r="20" spans="1:5" ht="17.5" x14ac:dyDescent="0.35">
      <c r="A20" s="13" t="s">
        <v>72</v>
      </c>
      <c r="B20" s="14" t="str">
        <f>VLOOKUP(A20,[16]LISTADHERENT!A$5:H$60,3,0)</f>
        <v>LOWE JEAN</v>
      </c>
      <c r="C20" s="110">
        <f>VLOOKUP(A20,[15]MVTRESUME23!$A$6:$AO$36,37,0)</f>
        <v>0</v>
      </c>
      <c r="D20" s="110">
        <f>VLOOKUP(A20,[15]MVTRESUME23!$A$6:$AO$36,39,0)</f>
        <v>52000</v>
      </c>
      <c r="E20" s="117"/>
    </row>
    <row r="21" spans="1:5" ht="17.5" x14ac:dyDescent="0.35">
      <c r="A21" s="13" t="s">
        <v>86</v>
      </c>
      <c r="B21" s="14" t="str">
        <f>VLOOKUP(A21,[16]LISTADHERENT!A$5:H$60,3,0)</f>
        <v>MBOGNING TUGMA GUY</v>
      </c>
      <c r="C21" s="110">
        <f>VLOOKUP(A21,[15]MVTRESUME23!$A$6:$AO$36,37,0)</f>
        <v>1060000</v>
      </c>
      <c r="D21" s="110">
        <f>VLOOKUP(A21,[15]MVTRESUME23!$A$6:$AO$36,39,0)</f>
        <v>180000</v>
      </c>
      <c r="E21" s="117">
        <f>VLOOKUP(A21,[15]MVTRESUME23!$A$6:$AO$36,38,0)</f>
        <v>45261</v>
      </c>
    </row>
    <row r="22" spans="1:5" ht="17.5" x14ac:dyDescent="0.35">
      <c r="A22" s="13" t="s">
        <v>81</v>
      </c>
      <c r="B22" s="14" t="str">
        <f>VLOOKUP(A22,[16]LISTADHERENT!A$5:H$60,3,0)</f>
        <v>NANGUEN MARTIN</v>
      </c>
      <c r="C22" s="110">
        <f>VLOOKUP(A22,[15]MVTRESUME23!$A$6:$AO$36,37,0)</f>
        <v>300000</v>
      </c>
      <c r="D22" s="110">
        <f>VLOOKUP(A22,[15]MVTRESUME23!$A$6:$AO$36,39,0)</f>
        <v>78000</v>
      </c>
      <c r="E22" s="117">
        <f>VLOOKUP(A22,[15]MVTRESUME23!$A$6:$AO$36,38,0)</f>
        <v>45261</v>
      </c>
    </row>
    <row r="23" spans="1:5" ht="17.5" x14ac:dyDescent="0.35">
      <c r="A23" s="13" t="s">
        <v>73</v>
      </c>
      <c r="B23" s="14" t="str">
        <f>VLOOKUP(A23,[16]LISTADHERENT!A$5:H$60,3,0)</f>
        <v>NANKAM APPOLINAIRE</v>
      </c>
      <c r="C23" s="110">
        <f>VLOOKUP(A23,[15]MVTRESUME23!$A$6:$AO$36,37,0)</f>
        <v>1000000</v>
      </c>
      <c r="D23" s="110">
        <f>VLOOKUP(A23,[15]MVTRESUME23!$A$6:$AO$36,39,0)</f>
        <v>240000</v>
      </c>
      <c r="E23" s="117"/>
    </row>
    <row r="24" spans="1:5" ht="17.5" x14ac:dyDescent="0.35">
      <c r="A24" s="13" t="s">
        <v>74</v>
      </c>
      <c r="B24" s="14" t="str">
        <f>VLOOKUP(A24,[16]LISTADHERENT!A$5:H$60,3,0)</f>
        <v>NDJOMO ETIENNE</v>
      </c>
      <c r="C24" s="110">
        <f>VLOOKUP(A24,[15]MVTRESUME23!$A$6:$AO$36,37,0)</f>
        <v>500000</v>
      </c>
      <c r="D24" s="110">
        <f>VLOOKUP(A24,[15]MVTRESUME23!$A$6:$AO$36,39,0)</f>
        <v>102000</v>
      </c>
      <c r="E24" s="117">
        <f>VLOOKUP(A24,[15]MVTRESUME23!$A$6:$AO$36,38,0)</f>
        <v>45261</v>
      </c>
    </row>
    <row r="25" spans="1:5" ht="17.5" x14ac:dyDescent="0.35">
      <c r="A25" s="13" t="s">
        <v>75</v>
      </c>
      <c r="B25" s="14" t="str">
        <f>VLOOKUP(A25,[16]LISTADHERENT!A$5:H$60,3,0)</f>
        <v>NGONDIEP CLAUDE</v>
      </c>
      <c r="C25" s="110">
        <f>VLOOKUP(A25,[15]MVTRESUME23!$A$6:$AO$36,37,0)</f>
        <v>1000000</v>
      </c>
      <c r="D25" s="110">
        <f>VLOOKUP(A25,[15]MVTRESUME23!$A$6:$AO$36,39,0)</f>
        <v>240000</v>
      </c>
      <c r="E25" s="117">
        <f>VLOOKUP(A25,[15]MVTRESUME23!$A$6:$AO$36,38,0)</f>
        <v>45261</v>
      </c>
    </row>
    <row r="26" spans="1:5" ht="17.5" x14ac:dyDescent="0.35">
      <c r="A26" s="13" t="s">
        <v>77</v>
      </c>
      <c r="B26" s="14" t="str">
        <f>VLOOKUP(A26,[16]LISTADHERENT!A$5:H$60,3,0)</f>
        <v>NGUIEMEGNI MATHIEU BLAISE</v>
      </c>
      <c r="C26" s="110">
        <f>VLOOKUP(A26,[15]MVTRESUME23!$A$6:$AO$36,37,0)</f>
        <v>1000000</v>
      </c>
      <c r="D26" s="110">
        <f>VLOOKUP(A26,[15]MVTRESUME23!$A$6:$AO$36,39,0)</f>
        <v>240000</v>
      </c>
      <c r="E26" s="117">
        <f>VLOOKUP(A26,[15]MVTRESUME23!$A$6:$AO$36,38,0)</f>
        <v>45261</v>
      </c>
    </row>
    <row r="27" spans="1:5" ht="17.5" x14ac:dyDescent="0.35">
      <c r="A27" s="13" t="s">
        <v>78</v>
      </c>
      <c r="B27" s="14" t="str">
        <f>VLOOKUP(A27,[16]LISTADHERENT!A$5:H$60,3,0)</f>
        <v>NKAMGANG JUSTIN DEJOLIE</v>
      </c>
      <c r="C27" s="110">
        <f>VLOOKUP(A27,[15]MVTRESUME23!$A$6:$AO$36,37,0)</f>
        <v>1000000</v>
      </c>
      <c r="D27" s="110">
        <f>VLOOKUP(A27,[15]MVTRESUME23!$A$6:$AO$36,39,0)</f>
        <v>150000</v>
      </c>
      <c r="E27" s="117">
        <f>VLOOKUP(A27,[15]MVTRESUME23!$A$6:$AO$36,38,0)</f>
        <v>45261</v>
      </c>
    </row>
    <row r="28" spans="1:5" ht="17.5" x14ac:dyDescent="0.35">
      <c r="A28" s="13" t="s">
        <v>105</v>
      </c>
      <c r="B28" s="14" t="str">
        <f>VLOOKUP(A28,[16]LISTADHERENT!A$5:H$60,3,0)</f>
        <v>NOUBE ETIENNE</v>
      </c>
      <c r="C28" s="110">
        <f>VLOOKUP(A28,[15]MVTRESUME23!$A$6:$AO$36,37,0)</f>
        <v>0</v>
      </c>
      <c r="D28" s="110">
        <f>VLOOKUP(A28,[15]MVTRESUME23!$A$6:$AO$36,39,0)</f>
        <v>0</v>
      </c>
      <c r="E28" s="117"/>
    </row>
    <row r="29" spans="1:5" ht="17.5" x14ac:dyDescent="0.35">
      <c r="A29" s="13" t="s">
        <v>79</v>
      </c>
      <c r="B29" s="14" t="str">
        <f>VLOOKUP(A29,[16]LISTADHERENT!A$5:H$60,3,0)</f>
        <v>PATEGO NJOSSU GUSTAVE</v>
      </c>
      <c r="C29" s="110">
        <f>VLOOKUP(A29,[15]MVTRESUME23!$A$6:$AO$36,37,0)</f>
        <v>0</v>
      </c>
      <c r="D29" s="110">
        <f>VLOOKUP(A29,[15]MVTRESUME23!$A$6:$AO$36,39,0)</f>
        <v>0</v>
      </c>
      <c r="E29" s="117"/>
    </row>
    <row r="30" spans="1:5" ht="17.5" x14ac:dyDescent="0.35">
      <c r="A30" s="13" t="s">
        <v>130</v>
      </c>
      <c r="B30" s="14" t="str">
        <f>VLOOKUP(A30,[16]LISTADHERENT!A$5:H$60,3,0)</f>
        <v>SEUMO POLYCARPE</v>
      </c>
      <c r="C30" s="110">
        <f>VLOOKUP(A30,[15]MVTRESUME23!$A$6:$AO$36,37,0)</f>
        <v>0</v>
      </c>
      <c r="D30" s="110">
        <f>VLOOKUP(A30,[15]MVTRESUME23!$A$6:$AO$36,39,0)</f>
        <v>0</v>
      </c>
      <c r="E30" s="117"/>
    </row>
    <row r="31" spans="1:5" ht="17.5" x14ac:dyDescent="0.35">
      <c r="A31" s="13" t="s">
        <v>89</v>
      </c>
      <c r="B31" s="14" t="str">
        <f>VLOOKUP(A31,[16]LISTADHERENT!A$5:H$60,3,0)</f>
        <v>SIME BRICE</v>
      </c>
      <c r="C31" s="110">
        <f>VLOOKUP(A31,[15]MVTRESUME23!$A$6:$AO$36,37,0)</f>
        <v>1000000</v>
      </c>
      <c r="D31" s="110">
        <f>VLOOKUP(A31,[15]MVTRESUME23!$A$6:$AO$36,39,0)</f>
        <v>60000</v>
      </c>
      <c r="E31" s="117"/>
    </row>
    <row r="32" spans="1:5" ht="17.5" x14ac:dyDescent="0.35">
      <c r="A32" s="13" t="s">
        <v>80</v>
      </c>
      <c r="B32" s="14" t="str">
        <f>VLOOKUP(A32,[16]LISTADHERENT!A$5:H$60,3,0)</f>
        <v>SIMO PIERRE</v>
      </c>
      <c r="C32" s="110">
        <f>VLOOKUP(A32,[15]MVTRESUME23!$A$6:$AO$36,37,0)</f>
        <v>250000</v>
      </c>
      <c r="D32" s="110">
        <f>VLOOKUP(A32,[15]MVTRESUME23!$A$6:$AO$36,39,0)</f>
        <v>135000</v>
      </c>
      <c r="E32" s="117">
        <f>VLOOKUP(A32,[15]MVTRESUME23!$A$6:$AO$36,38,0)</f>
        <v>45261</v>
      </c>
    </row>
    <row r="33" spans="1:5" ht="17.5" x14ac:dyDescent="0.35">
      <c r="A33" s="13" t="s">
        <v>82</v>
      </c>
      <c r="B33" s="14" t="str">
        <f>VLOOKUP(A33,[16]LISTADHERENT!A$5:H$60,3,0)</f>
        <v>TCHOUAMOU MATHIEU</v>
      </c>
      <c r="C33" s="110">
        <f>VLOOKUP(A33,[15]MVTRESUME23!$A$6:$AO$36,37,0)</f>
        <v>0</v>
      </c>
      <c r="D33" s="110">
        <f>VLOOKUP(A33,[15]MVTRESUME23!$A$6:$AO$36,39,0)</f>
        <v>78000</v>
      </c>
      <c r="E33" s="117"/>
    </row>
    <row r="34" spans="1:5" ht="17.5" x14ac:dyDescent="0.35">
      <c r="A34" s="13" t="s">
        <v>83</v>
      </c>
      <c r="B34" s="14" t="str">
        <f>VLOOKUP(A34,[16]LISTADHERENT!A$5:H$60,3,0)</f>
        <v>TCHOUTOU NANA CLAUDE</v>
      </c>
      <c r="C34" s="110">
        <f>VLOOKUP(A34,[15]MVTRESUME23!$A$6:$AO$36,37,0)</f>
        <v>0</v>
      </c>
      <c r="D34" s="110">
        <f>VLOOKUP(A34,[15]MVTRESUME23!$A$6:$AO$36,39,0)</f>
        <v>0</v>
      </c>
      <c r="E34" s="117"/>
    </row>
    <row r="35" spans="1:5" ht="17.5" x14ac:dyDescent="0.35">
      <c r="A35" s="13" t="s">
        <v>131</v>
      </c>
      <c r="B35" s="14" t="str">
        <f>VLOOKUP(A35,[16]LISTADHERENT!A$5:H$60,3,0)</f>
        <v>YANTCHOU GERVAIS</v>
      </c>
      <c r="C35" s="110">
        <f>VLOOKUP(A35,[15]MVTRESUME23!$A$6:$AO$36,37,0)</f>
        <v>700000</v>
      </c>
      <c r="D35" s="110">
        <f>VLOOKUP(A35,[15]MVTRESUME23!$A$6:$AO$36,39,0)</f>
        <v>84000</v>
      </c>
      <c r="E35" s="117"/>
    </row>
    <row r="36" spans="1:5" ht="17.5" x14ac:dyDescent="0.35">
      <c r="A36" s="13" t="s">
        <v>84</v>
      </c>
      <c r="B36" s="14" t="str">
        <f>VLOOKUP(A36,[16]LISTADHERENT!A$5:H$60,3,0)</f>
        <v>YEPMOU JEAN JACQUES</v>
      </c>
      <c r="C36" s="110">
        <f>VLOOKUP(A36,[15]MVTRESUME23!$A$6:$AO$36,37,0)</f>
        <v>-227500</v>
      </c>
      <c r="D36" s="110">
        <f>VLOOKUP(A36,[15]MVTRESUME23!$A$6:$AO$36,39,0)</f>
        <v>0</v>
      </c>
      <c r="E36" s="117"/>
    </row>
    <row r="37" spans="1:5" ht="17.5" x14ac:dyDescent="0.35">
      <c r="A37" s="13" t="s">
        <v>85</v>
      </c>
      <c r="B37" s="14" t="str">
        <f>VLOOKUP(A37,[16]LISTADHERENT!A$5:H$60,3,0)</f>
        <v>YOUMBI EMMANUEL</v>
      </c>
      <c r="C37" s="110">
        <f>VLOOKUP(A37,[15]MVTRESUME23!$A$6:$AO$36,37,0)</f>
        <v>0</v>
      </c>
      <c r="D37" s="110">
        <f>VLOOKUP(A37,[15]MVTRESUME23!$A$6:$AO$36,39,0)</f>
        <v>60000</v>
      </c>
      <c r="E37" s="117">
        <f>VLOOKUP(A37,[15]MVTRESUME23!$A$6:$AO$36,38,0)</f>
        <v>45261</v>
      </c>
    </row>
    <row r="38" spans="1:5" x14ac:dyDescent="0.35">
      <c r="A38" s="19"/>
      <c r="B38" s="14"/>
      <c r="C38" s="14"/>
      <c r="D38" s="14"/>
      <c r="E38" s="15"/>
    </row>
    <row r="39" spans="1:5" ht="18" thickBot="1" x14ac:dyDescent="0.4">
      <c r="A39" s="31" t="s">
        <v>23</v>
      </c>
      <c r="B39" s="58"/>
      <c r="C39" s="59">
        <f>SUM(C7:C38)</f>
        <v>14068300</v>
      </c>
      <c r="D39" s="59">
        <f>SUM(D7:D38)</f>
        <v>2982300</v>
      </c>
      <c r="E39" s="60">
        <f>SUM(E6:E38)</f>
        <v>724115</v>
      </c>
    </row>
    <row r="40" spans="1:5" ht="15" thickTop="1" x14ac:dyDescent="0.35"/>
  </sheetData>
  <mergeCells count="1">
    <mergeCell ref="A4:E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9"/>
  <sheetViews>
    <sheetView topLeftCell="A3" workbookViewId="0">
      <selection activeCell="I11" sqref="I11"/>
    </sheetView>
  </sheetViews>
  <sheetFormatPr baseColWidth="10" defaultRowHeight="14.5" x14ac:dyDescent="0.35"/>
  <cols>
    <col min="1" max="1" width="21.54296875" customWidth="1"/>
    <col min="2" max="2" width="30" bestFit="1" customWidth="1"/>
    <col min="3" max="3" width="16.81640625" bestFit="1" customWidth="1"/>
    <col min="4" max="4" width="18.7265625" customWidth="1"/>
    <col min="5" max="6" width="22.7265625" customWidth="1"/>
    <col min="7" max="7" width="19.453125" bestFit="1" customWidth="1"/>
  </cols>
  <sheetData>
    <row r="1" spans="1:7" x14ac:dyDescent="0.35">
      <c r="A1" s="1" t="s">
        <v>94</v>
      </c>
      <c r="B1" s="1" t="s">
        <v>95</v>
      </c>
    </row>
    <row r="2" spans="1:7" x14ac:dyDescent="0.35">
      <c r="A2" s="1" t="s">
        <v>10</v>
      </c>
      <c r="B2" s="1">
        <v>2023</v>
      </c>
    </row>
    <row r="4" spans="1:7" ht="26" x14ac:dyDescent="0.35">
      <c r="A4" s="133" t="s">
        <v>152</v>
      </c>
      <c r="B4" s="134"/>
      <c r="C4" s="134"/>
      <c r="D4" s="134"/>
      <c r="E4" s="134"/>
      <c r="F4" s="97"/>
    </row>
    <row r="5" spans="1:7" ht="15" thickBot="1" x14ac:dyDescent="0.4">
      <c r="A5" s="71"/>
      <c r="B5" s="72"/>
      <c r="C5" s="73"/>
      <c r="D5" s="73"/>
      <c r="E5" s="74"/>
      <c r="F5" s="74"/>
    </row>
    <row r="6" spans="1:7" ht="48" customHeight="1" thickTop="1" x14ac:dyDescent="0.35">
      <c r="A6" s="114" t="s">
        <v>96</v>
      </c>
      <c r="B6" s="113" t="s">
        <v>52</v>
      </c>
      <c r="C6" s="115" t="s">
        <v>9</v>
      </c>
      <c r="D6" s="115" t="s">
        <v>153</v>
      </c>
      <c r="E6" s="115" t="s">
        <v>30</v>
      </c>
      <c r="F6" s="122" t="s">
        <v>160</v>
      </c>
      <c r="G6" s="118" t="s">
        <v>156</v>
      </c>
    </row>
    <row r="7" spans="1:7" ht="17.5" x14ac:dyDescent="0.35">
      <c r="A7" s="13" t="s">
        <v>90</v>
      </c>
      <c r="B7" s="14" t="s">
        <v>154</v>
      </c>
      <c r="C7" s="121">
        <f>[15]CPTEFOTSOTHOMAS!$B$6</f>
        <v>1132500</v>
      </c>
      <c r="D7" s="110">
        <f>[15]CPTEFOTSOTHOMAS!$C$8</f>
        <v>540421</v>
      </c>
      <c r="E7" s="120">
        <f>C7-D7</f>
        <v>592079</v>
      </c>
      <c r="F7" s="123"/>
      <c r="G7" s="15" t="s">
        <v>155</v>
      </c>
    </row>
    <row r="8" spans="1:7" ht="17.5" x14ac:dyDescent="0.35">
      <c r="A8" s="13" t="s">
        <v>62</v>
      </c>
      <c r="B8" s="14" t="s">
        <v>157</v>
      </c>
      <c r="C8" s="121">
        <f>'[15]CPTEKEHEPDAVID)'!$B$6</f>
        <v>2518500</v>
      </c>
      <c r="D8" s="110">
        <f>'[15]CPTEKEHEPDAVID)'!$C$31</f>
        <v>2518500</v>
      </c>
      <c r="E8" s="120">
        <f>C8-D8</f>
        <v>0</v>
      </c>
      <c r="F8" s="123"/>
      <c r="G8" s="15" t="s">
        <v>155</v>
      </c>
    </row>
    <row r="9" spans="1:7" ht="17.5" x14ac:dyDescent="0.35">
      <c r="A9" s="13" t="s">
        <v>63</v>
      </c>
      <c r="B9" s="14" t="s">
        <v>158</v>
      </c>
      <c r="C9" s="121">
        <f>[15]CPTETYAMERNEST!$B$6</f>
        <v>1667000</v>
      </c>
      <c r="D9" s="110">
        <f>[15]CPTETYAMERNEST!$C$28</f>
        <v>1137217</v>
      </c>
      <c r="E9" s="120">
        <f t="shared" ref="E9:E14" si="0">C9-D9</f>
        <v>529783</v>
      </c>
      <c r="F9" s="123"/>
      <c r="G9" s="15" t="s">
        <v>155</v>
      </c>
    </row>
    <row r="10" spans="1:7" ht="17.5" x14ac:dyDescent="0.35">
      <c r="A10" s="13" t="s">
        <v>64</v>
      </c>
      <c r="B10" s="14" t="s">
        <v>159</v>
      </c>
      <c r="C10" s="121">
        <f>[15]CPTEFOGANGERIC!$B$6</f>
        <v>1553000</v>
      </c>
      <c r="D10" s="110">
        <f>[15]CPTEFOGANGERIC!$C$14</f>
        <v>1706468</v>
      </c>
      <c r="E10" s="110"/>
      <c r="F10" s="124">
        <f>D10-C10</f>
        <v>153468</v>
      </c>
      <c r="G10" s="15" t="s">
        <v>155</v>
      </c>
    </row>
    <row r="11" spans="1:7" ht="17.5" x14ac:dyDescent="0.35">
      <c r="A11" s="13" t="s">
        <v>104</v>
      </c>
      <c r="B11" s="14" t="s">
        <v>161</v>
      </c>
      <c r="C11" s="121">
        <f>[15]CPTETCHOUANTE!$B$6</f>
        <v>319855</v>
      </c>
      <c r="D11" s="110">
        <f>[15]CPTETCHOUANTE!$C$11</f>
        <v>76050</v>
      </c>
      <c r="E11" s="120">
        <f t="shared" si="0"/>
        <v>243805</v>
      </c>
      <c r="F11" s="123"/>
      <c r="G11" s="15" t="s">
        <v>162</v>
      </c>
    </row>
    <row r="12" spans="1:7" ht="17.5" x14ac:dyDescent="0.35">
      <c r="A12" s="13" t="s">
        <v>65</v>
      </c>
      <c r="B12" s="14" t="s">
        <v>163</v>
      </c>
      <c r="C12" s="121">
        <f>[15]CPTECHINGUE!$B$6</f>
        <v>763899.37129714503</v>
      </c>
      <c r="D12" s="110">
        <f>[15]CPTECHINGUE!$D$20</f>
        <v>335000</v>
      </c>
      <c r="E12" s="120">
        <f t="shared" si="0"/>
        <v>428899.37129714503</v>
      </c>
      <c r="F12" s="123"/>
      <c r="G12" s="15" t="s">
        <v>162</v>
      </c>
    </row>
    <row r="13" spans="1:7" ht="17.5" x14ac:dyDescent="0.35">
      <c r="A13" s="13" t="s">
        <v>66</v>
      </c>
      <c r="B13" s="14" t="s">
        <v>164</v>
      </c>
      <c r="C13" s="121">
        <f>[15]CPTENJEPDJIO!$B$6</f>
        <v>996118</v>
      </c>
      <c r="D13" s="110">
        <f>[15]CPTENJEPDJIO!$C$11</f>
        <v>500000</v>
      </c>
      <c r="E13" s="120">
        <f t="shared" si="0"/>
        <v>496118</v>
      </c>
      <c r="F13" s="123"/>
      <c r="G13" s="15" t="s">
        <v>162</v>
      </c>
    </row>
    <row r="14" spans="1:7" ht="17.5" x14ac:dyDescent="0.35">
      <c r="A14" s="13" t="s">
        <v>87</v>
      </c>
      <c r="B14" s="14" t="s">
        <v>165</v>
      </c>
      <c r="C14" s="121">
        <v>1011250</v>
      </c>
      <c r="D14" s="110">
        <v>227500</v>
      </c>
      <c r="E14" s="120">
        <f t="shared" si="0"/>
        <v>783750</v>
      </c>
      <c r="F14" s="123"/>
      <c r="G14" s="15"/>
    </row>
    <row r="15" spans="1:7" ht="17.5" x14ac:dyDescent="0.35">
      <c r="A15" s="13" t="s">
        <v>67</v>
      </c>
      <c r="B15" s="14" t="s">
        <v>166</v>
      </c>
      <c r="C15" s="121">
        <f>[15]CPTETCHOUTOU!$B$6</f>
        <v>51453.696796924203</v>
      </c>
      <c r="D15" s="110">
        <f>[15]CPTETCHOUTOU!$C$12</f>
        <v>127454</v>
      </c>
      <c r="E15" s="120"/>
      <c r="F15" s="124">
        <f>D15-C15</f>
        <v>76000.303203075804</v>
      </c>
      <c r="G15" s="15" t="s">
        <v>162</v>
      </c>
    </row>
    <row r="16" spans="1:7" x14ac:dyDescent="0.35">
      <c r="A16" s="19"/>
      <c r="B16" s="14"/>
      <c r="C16" s="14"/>
      <c r="D16" s="14"/>
      <c r="E16" s="14"/>
      <c r="F16" s="44"/>
      <c r="G16" s="15"/>
    </row>
    <row r="17" spans="1:7" ht="18" thickBot="1" x14ac:dyDescent="0.4">
      <c r="A17" s="31" t="s">
        <v>23</v>
      </c>
      <c r="B17" s="58"/>
      <c r="C17" s="59">
        <f>SUM(C7:C16)</f>
        <v>10013576.068094069</v>
      </c>
      <c r="D17" s="59">
        <f>SUM(D7:D16)</f>
        <v>7168610</v>
      </c>
      <c r="E17" s="59">
        <f>SUM(E6:E16)</f>
        <v>3074434.3712971453</v>
      </c>
      <c r="F17" s="125"/>
      <c r="G17" s="119"/>
    </row>
    <row r="18" spans="1:7" ht="15" thickTop="1" x14ac:dyDescent="0.35"/>
    <row r="19" spans="1:7" ht="17.5" x14ac:dyDescent="0.35">
      <c r="F19" s="121"/>
    </row>
  </sheetData>
  <mergeCells count="1">
    <mergeCell ref="A4:E4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41"/>
  <sheetViews>
    <sheetView topLeftCell="A31" workbookViewId="0">
      <selection activeCell="C36" sqref="C36"/>
    </sheetView>
  </sheetViews>
  <sheetFormatPr baseColWidth="10" defaultRowHeight="14.5" x14ac:dyDescent="0.35"/>
  <cols>
    <col min="2" max="2" width="30" bestFit="1" customWidth="1"/>
    <col min="3" max="3" width="1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2023</v>
      </c>
    </row>
    <row r="4" spans="1:6" ht="26" x14ac:dyDescent="0.35">
      <c r="A4" s="133" t="s">
        <v>6</v>
      </c>
      <c r="B4" s="134"/>
      <c r="C4" s="134"/>
      <c r="D4" s="134"/>
      <c r="E4" s="134"/>
      <c r="F4" s="134"/>
    </row>
    <row r="5" spans="1:6" ht="15" thickBot="1" x14ac:dyDescent="0.4">
      <c r="A5" s="71"/>
      <c r="B5" s="72"/>
      <c r="C5" s="73"/>
      <c r="D5" s="73"/>
      <c r="E5" s="74"/>
      <c r="F5" s="73"/>
    </row>
    <row r="6" spans="1:6" ht="15.75" customHeight="1" thickTop="1" x14ac:dyDescent="0.4">
      <c r="A6" s="139" t="s">
        <v>96</v>
      </c>
      <c r="B6" s="141" t="s">
        <v>52</v>
      </c>
      <c r="C6" s="108" t="s">
        <v>138</v>
      </c>
      <c r="D6" s="141" t="s">
        <v>135</v>
      </c>
      <c r="E6" s="141"/>
      <c r="F6" s="143"/>
    </row>
    <row r="7" spans="1:6" ht="21.75" customHeight="1" x14ac:dyDescent="0.35">
      <c r="A7" s="140"/>
      <c r="B7" s="142"/>
      <c r="C7" s="109" t="s">
        <v>134</v>
      </c>
      <c r="D7" s="109" t="s">
        <v>136</v>
      </c>
      <c r="E7" s="109" t="s">
        <v>137</v>
      </c>
      <c r="F7" s="26" t="s">
        <v>134</v>
      </c>
    </row>
    <row r="8" spans="1:6" ht="18.5" x14ac:dyDescent="0.45">
      <c r="A8" s="13" t="s">
        <v>90</v>
      </c>
      <c r="B8" s="14" t="str">
        <f>VLOOKUP(A8,[16]LISTADHERENT!A$5:H$60,3,0)</f>
        <v>ASELBY</v>
      </c>
      <c r="C8" s="110">
        <f>VLOOKUP(A8,[15]MVTRESUME23!$A$6:$AO$36,16,0)</f>
        <v>0</v>
      </c>
      <c r="D8" s="14"/>
      <c r="E8" s="14"/>
      <c r="F8" s="111"/>
    </row>
    <row r="9" spans="1:6" ht="17.5" x14ac:dyDescent="0.35">
      <c r="A9" s="13" t="s">
        <v>62</v>
      </c>
      <c r="B9" s="14" t="str">
        <f>VLOOKUP(A9,[16]LISTADHERENT!A$5:H$60,3,0)</f>
        <v>BAKOP ACHILLE</v>
      </c>
      <c r="C9" s="110">
        <f>VLOOKUP(A9,[15]MVTRESUME23!$A$6:$AO$36,16,0)</f>
        <v>0</v>
      </c>
      <c r="D9" s="14"/>
      <c r="E9" s="14"/>
      <c r="F9" s="15"/>
    </row>
    <row r="10" spans="1:6" ht="17.5" x14ac:dyDescent="0.35">
      <c r="A10" s="13" t="s">
        <v>63</v>
      </c>
      <c r="B10" s="14" t="str">
        <f>VLOOKUP(A10,[16]LISTADHERENT!A$5:H$60,3,0)</f>
        <v>BOUTCHOUANG WILLIAM</v>
      </c>
      <c r="C10" s="110">
        <f>VLOOKUP(A10,[15]MVTRESUME23!$A$6:$AO$36,16,0)</f>
        <v>0</v>
      </c>
      <c r="D10" s="14"/>
      <c r="E10" s="14"/>
      <c r="F10" s="15"/>
    </row>
    <row r="11" spans="1:6" ht="17.5" x14ac:dyDescent="0.35">
      <c r="A11" s="13" t="s">
        <v>64</v>
      </c>
      <c r="B11" s="14" t="str">
        <f>VLOOKUP(A11,[16]LISTADHERENT!A$5:H$60,3,0)</f>
        <v xml:space="preserve">DJOMO JEAN PAUL </v>
      </c>
      <c r="C11" s="110">
        <f>VLOOKUP(A11,[15]MVTRESUME23!$A$6:$AO$36,16,0)</f>
        <v>0</v>
      </c>
      <c r="D11" s="14"/>
      <c r="E11" s="14"/>
      <c r="F11" s="15"/>
    </row>
    <row r="12" spans="1:6" ht="17.5" x14ac:dyDescent="0.35">
      <c r="A12" s="13" t="s">
        <v>104</v>
      </c>
      <c r="B12" s="14" t="str">
        <f>VLOOKUP(A12,[16]LISTADHERENT!A$5:H$60,3,0)</f>
        <v>DJOMOU TCHAPDA</v>
      </c>
      <c r="C12" s="110">
        <f>VLOOKUP(A12,[15]MVTRESUME23!$A$6:$AO$36,16,0)</f>
        <v>0</v>
      </c>
      <c r="D12" s="14"/>
      <c r="E12" s="14"/>
      <c r="F12" s="15"/>
    </row>
    <row r="13" spans="1:6" ht="17.5" x14ac:dyDescent="0.35">
      <c r="A13" s="13" t="s">
        <v>65</v>
      </c>
      <c r="B13" s="14" t="str">
        <f>VLOOKUP(A13,[16]LISTADHERENT!A$5:H$60,3,0)</f>
        <v>DJOUKWE NANGUEN GUY BLAISE</v>
      </c>
      <c r="C13" s="110">
        <f>VLOOKUP(A13,[15]MVTRESUME23!$A$6:$AO$36,16,0)</f>
        <v>0</v>
      </c>
      <c r="D13" s="14"/>
      <c r="E13" s="14"/>
      <c r="F13" s="15"/>
    </row>
    <row r="14" spans="1:6" ht="17.5" x14ac:dyDescent="0.35">
      <c r="A14" s="13" t="s">
        <v>66</v>
      </c>
      <c r="B14" s="14" t="str">
        <f>VLOOKUP(A14,[16]LISTADHERENT!A$5:H$60,3,0)</f>
        <v>DJUOMBESSY ANTOINE</v>
      </c>
      <c r="C14" s="110">
        <f>VLOOKUP(A14,[15]MVTRESUME23!$A$6:$AO$36,16,0)</f>
        <v>0</v>
      </c>
      <c r="D14" s="14"/>
      <c r="E14" s="14"/>
      <c r="F14" s="15"/>
    </row>
    <row r="15" spans="1:6" ht="17.5" x14ac:dyDescent="0.35">
      <c r="A15" s="13" t="s">
        <v>87</v>
      </c>
      <c r="B15" s="14" t="str">
        <f>VLOOKUP(A15,[16]LISTADHERENT!A$5:H$60,3,0)</f>
        <v>DOMOU FABIEN</v>
      </c>
      <c r="C15" s="110">
        <f>VLOOKUP(A15,[15]MVTRESUME23!$A$6:$AO$36,16,0)</f>
        <v>0</v>
      </c>
      <c r="D15" s="14"/>
      <c r="E15" s="14"/>
      <c r="F15" s="15"/>
    </row>
    <row r="16" spans="1:6" ht="17.5" x14ac:dyDescent="0.35">
      <c r="A16" s="13" t="s">
        <v>67</v>
      </c>
      <c r="B16" s="14" t="str">
        <f>VLOOKUP(A16,[16]LISTADHERENT!A$5:H$60,3,0)</f>
        <v>DONHOU DAVID</v>
      </c>
      <c r="C16" s="110">
        <f>VLOOKUP(A16,[15]MVTRESUME23!$A$6:$AO$36,16,0)</f>
        <v>0</v>
      </c>
      <c r="D16" s="14"/>
      <c r="E16" s="14"/>
      <c r="F16" s="15"/>
    </row>
    <row r="17" spans="1:6" ht="17.5" x14ac:dyDescent="0.35">
      <c r="A17" s="13" t="s">
        <v>68</v>
      </c>
      <c r="B17" s="14" t="str">
        <f>VLOOKUP(A17,[16]LISTADHERENT!A$5:H$60,3,0)</f>
        <v>HENGUE PAUL OMER</v>
      </c>
      <c r="C17" s="110">
        <f>VLOOKUP(A17,[15]MVTRESUME23!$A$6:$AO$36,16,0)</f>
        <v>0</v>
      </c>
      <c r="D17" s="14"/>
      <c r="E17" s="14"/>
      <c r="F17" s="15"/>
    </row>
    <row r="18" spans="1:6" ht="17.5" x14ac:dyDescent="0.35">
      <c r="A18" s="13" t="s">
        <v>69</v>
      </c>
      <c r="B18" s="14" t="str">
        <f>VLOOKUP(A18,[16]LISTADHERENT!A$5:H$60,3,0)</f>
        <v>HOTCHO BENJAMIN</v>
      </c>
      <c r="C18" s="110">
        <f>VLOOKUP(A18,[15]MVTRESUME23!$A$6:$AO$36,16,0)</f>
        <v>0</v>
      </c>
      <c r="D18" s="14"/>
      <c r="E18" s="14"/>
      <c r="F18" s="15"/>
    </row>
    <row r="19" spans="1:6" ht="17.5" x14ac:dyDescent="0.35">
      <c r="A19" s="13" t="s">
        <v>70</v>
      </c>
      <c r="B19" s="14" t="str">
        <f>VLOOKUP(A19,[16]LISTADHERENT!A$5:H$60,3,0)</f>
        <v>KOUAMOU MOISE</v>
      </c>
      <c r="C19" s="110">
        <f>VLOOKUP(A19,[15]MVTRESUME23!$A$6:$AO$36,16,0)</f>
        <v>0</v>
      </c>
      <c r="D19" s="14"/>
      <c r="E19" s="14"/>
      <c r="F19" s="15"/>
    </row>
    <row r="20" spans="1:6" ht="17.5" x14ac:dyDescent="0.35">
      <c r="A20" s="13" t="s">
        <v>71</v>
      </c>
      <c r="B20" s="14" t="str">
        <f>VLOOKUP(A20,[16]LISTADHERENT!A$5:H$60,3,0)</f>
        <v>KOUATCHO MESSACK</v>
      </c>
      <c r="C20" s="110">
        <f>VLOOKUP(A20,[15]MVTRESUME23!$A$6:$AO$36,16,0)</f>
        <v>0</v>
      </c>
      <c r="D20" s="14"/>
      <c r="E20" s="14"/>
      <c r="F20" s="15"/>
    </row>
    <row r="21" spans="1:6" ht="17.5" x14ac:dyDescent="0.35">
      <c r="A21" s="13" t="s">
        <v>72</v>
      </c>
      <c r="B21" s="14" t="str">
        <f>VLOOKUP(A21,[16]LISTADHERENT!A$5:H$60,3,0)</f>
        <v>LOWE JEAN</v>
      </c>
      <c r="C21" s="110">
        <f>VLOOKUP(A21,[15]MVTRESUME23!$A$6:$AO$36,16,0)</f>
        <v>0</v>
      </c>
      <c r="D21" s="14"/>
      <c r="E21" s="14"/>
      <c r="F21" s="15"/>
    </row>
    <row r="22" spans="1:6" ht="17.5" x14ac:dyDescent="0.35">
      <c r="A22" s="13" t="s">
        <v>86</v>
      </c>
      <c r="B22" s="14" t="str">
        <f>VLOOKUP(A22,[16]LISTADHERENT!A$5:H$60,3,0)</f>
        <v>MBOGNING TUGMA GUY</v>
      </c>
      <c r="C22" s="110">
        <f>VLOOKUP(A22,[15]MVTRESUME23!$A$6:$AO$36,16,0)</f>
        <v>0</v>
      </c>
      <c r="D22" s="14"/>
      <c r="E22" s="14"/>
      <c r="F22" s="15"/>
    </row>
    <row r="23" spans="1:6" ht="17.5" x14ac:dyDescent="0.35">
      <c r="A23" s="13" t="s">
        <v>81</v>
      </c>
      <c r="B23" s="14" t="str">
        <f>VLOOKUP(A23,[16]LISTADHERENT!A$5:H$60,3,0)</f>
        <v>NANGUEN MARTIN</v>
      </c>
      <c r="C23" s="110">
        <f>VLOOKUP(A23,[15]MVTRESUME23!$A$6:$AO$36,16,0)</f>
        <v>0</v>
      </c>
      <c r="D23" s="14"/>
      <c r="E23" s="14"/>
      <c r="F23" s="15"/>
    </row>
    <row r="24" spans="1:6" ht="17.5" x14ac:dyDescent="0.35">
      <c r="A24" s="13" t="s">
        <v>73</v>
      </c>
      <c r="B24" s="14" t="str">
        <f>VLOOKUP(A24,[16]LISTADHERENT!A$5:H$60,3,0)</f>
        <v>NANKAM APPOLINAIRE</v>
      </c>
      <c r="C24" s="110">
        <f>VLOOKUP(A24,[15]MVTRESUME23!$A$6:$AO$36,16,0)</f>
        <v>0</v>
      </c>
      <c r="D24" s="14"/>
      <c r="E24" s="14"/>
      <c r="F24" s="15"/>
    </row>
    <row r="25" spans="1:6" ht="17.5" x14ac:dyDescent="0.35">
      <c r="A25" s="13" t="s">
        <v>74</v>
      </c>
      <c r="B25" s="14" t="str">
        <f>VLOOKUP(A25,[16]LISTADHERENT!A$5:H$60,3,0)</f>
        <v>NDJOMO ETIENNE</v>
      </c>
      <c r="C25" s="110">
        <f>VLOOKUP(A25,[15]MVTRESUME23!$A$6:$AO$36,16,0)</f>
        <v>0</v>
      </c>
      <c r="D25" s="14"/>
      <c r="E25" s="14"/>
      <c r="F25" s="15"/>
    </row>
    <row r="26" spans="1:6" ht="17.5" x14ac:dyDescent="0.35">
      <c r="A26" s="13" t="s">
        <v>75</v>
      </c>
      <c r="B26" s="14" t="str">
        <f>VLOOKUP(A26,[16]LISTADHERENT!A$5:H$60,3,0)</f>
        <v>NGONDIEP CLAUDE</v>
      </c>
      <c r="C26" s="110">
        <f>VLOOKUP(A26,[15]MVTRESUME23!$A$6:$AO$36,16,0)</f>
        <v>0</v>
      </c>
      <c r="D26" s="14"/>
      <c r="E26" s="14"/>
      <c r="F26" s="15"/>
    </row>
    <row r="27" spans="1:6" ht="17.5" x14ac:dyDescent="0.35">
      <c r="A27" s="13" t="s">
        <v>77</v>
      </c>
      <c r="B27" s="14" t="str">
        <f>VLOOKUP(A27,[16]LISTADHERENT!A$5:H$60,3,0)</f>
        <v>NGUIEMEGNI MATHIEU BLAISE</v>
      </c>
      <c r="C27" s="110">
        <f>VLOOKUP(A27,[15]MVTRESUME23!$A$6:$AO$36,16,0)</f>
        <v>0</v>
      </c>
      <c r="D27" s="14"/>
      <c r="E27" s="14"/>
      <c r="F27" s="15"/>
    </row>
    <row r="28" spans="1:6" ht="17.5" x14ac:dyDescent="0.35">
      <c r="A28" s="13" t="s">
        <v>78</v>
      </c>
      <c r="B28" s="14" t="str">
        <f>VLOOKUP(A28,[16]LISTADHERENT!A$5:H$60,3,0)</f>
        <v>NKAMGANG JUSTIN DEJOLIE</v>
      </c>
      <c r="C28" s="110">
        <f>VLOOKUP(A28,[15]MVTRESUME23!$A$6:$AO$36,16,0)</f>
        <v>0</v>
      </c>
      <c r="D28" s="14"/>
      <c r="E28" s="14"/>
      <c r="F28" s="15"/>
    </row>
    <row r="29" spans="1:6" ht="17.5" x14ac:dyDescent="0.35">
      <c r="A29" s="13" t="s">
        <v>105</v>
      </c>
      <c r="B29" s="14" t="str">
        <f>VLOOKUP(A29,[16]LISTADHERENT!A$5:H$60,3,0)</f>
        <v>NOUBE ETIENNE</v>
      </c>
      <c r="C29" s="110">
        <f>VLOOKUP(A29,[15]MVTRESUME23!$A$6:$AO$36,16,0)</f>
        <v>25000</v>
      </c>
      <c r="D29" s="14"/>
      <c r="E29" s="14"/>
      <c r="F29" s="15"/>
    </row>
    <row r="30" spans="1:6" ht="17.5" x14ac:dyDescent="0.35">
      <c r="A30" s="13" t="s">
        <v>79</v>
      </c>
      <c r="B30" s="14" t="str">
        <f>VLOOKUP(A30,[16]LISTADHERENT!A$5:H$60,3,0)</f>
        <v>PATEGO NJOSSU GUSTAVE</v>
      </c>
      <c r="C30" s="110">
        <f>VLOOKUP(A30,[15]MVTRESUME23!$A$6:$AO$36,16,0)</f>
        <v>0</v>
      </c>
      <c r="D30" s="14"/>
      <c r="E30" s="14"/>
      <c r="F30" s="15"/>
    </row>
    <row r="31" spans="1:6" ht="17.5" x14ac:dyDescent="0.35">
      <c r="A31" s="13" t="s">
        <v>130</v>
      </c>
      <c r="B31" s="14" t="str">
        <f>VLOOKUP(A31,[16]LISTADHERENT!A$5:H$60,3,0)</f>
        <v>SEUMO POLYCARPE</v>
      </c>
      <c r="C31" s="110">
        <f>VLOOKUP(A31,[15]MVTRESUME23!$A$6:$AO$36,16,0)</f>
        <v>25000</v>
      </c>
      <c r="D31" s="14"/>
      <c r="E31" s="14"/>
      <c r="F31" s="15"/>
    </row>
    <row r="32" spans="1:6" ht="17.5" x14ac:dyDescent="0.35">
      <c r="A32" s="13" t="s">
        <v>89</v>
      </c>
      <c r="B32" s="14" t="str">
        <f>VLOOKUP(A32,[16]LISTADHERENT!A$5:H$60,3,0)</f>
        <v>SIME BRICE</v>
      </c>
      <c r="C32" s="110">
        <f>VLOOKUP(A32,[15]MVTRESUME23!$A$6:$AO$36,16,0)</f>
        <v>0</v>
      </c>
      <c r="D32" s="14"/>
      <c r="E32" s="14"/>
      <c r="F32" s="15"/>
    </row>
    <row r="33" spans="1:6" ht="17.5" x14ac:dyDescent="0.35">
      <c r="A33" s="13" t="s">
        <v>80</v>
      </c>
      <c r="B33" s="14" t="str">
        <f>VLOOKUP(A33,[16]LISTADHERENT!A$5:H$60,3,0)</f>
        <v>SIMO PIERRE</v>
      </c>
      <c r="C33" s="110">
        <f>VLOOKUP(A33,[15]MVTRESUME23!$A$6:$AO$36,16,0)</f>
        <v>0</v>
      </c>
      <c r="D33" s="14"/>
      <c r="E33" s="14"/>
      <c r="F33" s="15"/>
    </row>
    <row r="34" spans="1:6" ht="17.5" x14ac:dyDescent="0.35">
      <c r="A34" s="13" t="s">
        <v>82</v>
      </c>
      <c r="B34" s="14" t="str">
        <f>VLOOKUP(A34,[16]LISTADHERENT!A$5:H$60,3,0)</f>
        <v>TCHOUAMOU MATHIEU</v>
      </c>
      <c r="C34" s="110">
        <f>VLOOKUP(A34,[15]MVTRESUME23!$A$6:$AO$36,16,0)</f>
        <v>0</v>
      </c>
      <c r="D34" s="14"/>
      <c r="E34" s="14"/>
      <c r="F34" s="15"/>
    </row>
    <row r="35" spans="1:6" ht="17.5" x14ac:dyDescent="0.35">
      <c r="A35" s="13" t="s">
        <v>83</v>
      </c>
      <c r="B35" s="14" t="str">
        <f>VLOOKUP(A35,[16]LISTADHERENT!A$5:H$60,3,0)</f>
        <v>TCHOUTOU NANA CLAUDE</v>
      </c>
      <c r="C35" s="110">
        <f>VLOOKUP(A35,[15]MVTRESUME23!$A$6:$AO$36,16,0)</f>
        <v>0</v>
      </c>
      <c r="D35" s="14"/>
      <c r="E35" s="14"/>
      <c r="F35" s="15"/>
    </row>
    <row r="36" spans="1:6" ht="17.5" x14ac:dyDescent="0.35">
      <c r="A36" s="13" t="s">
        <v>131</v>
      </c>
      <c r="B36" s="14" t="str">
        <f>VLOOKUP(A36,[16]LISTADHERENT!A$5:H$60,3,0)</f>
        <v>YANTCHOU GERVAIS</v>
      </c>
      <c r="C36" s="110">
        <f>VLOOKUP(A36,[15]MVTRESUME23!$A$6:$AO$36,16,0)</f>
        <v>25000</v>
      </c>
      <c r="D36" s="14"/>
      <c r="E36" s="14"/>
      <c r="F36" s="15"/>
    </row>
    <row r="37" spans="1:6" ht="17.5" x14ac:dyDescent="0.35">
      <c r="A37" s="13" t="s">
        <v>84</v>
      </c>
      <c r="B37" s="14" t="str">
        <f>VLOOKUP(A37,[16]LISTADHERENT!A$5:H$60,3,0)</f>
        <v>YEPMOU JEAN JACQUES</v>
      </c>
      <c r="C37" s="110">
        <f>VLOOKUP(A37,[15]MVTRESUME23!$A$6:$AO$36,16,0)</f>
        <v>0</v>
      </c>
      <c r="D37" s="14"/>
      <c r="E37" s="14"/>
      <c r="F37" s="15"/>
    </row>
    <row r="38" spans="1:6" ht="17.5" x14ac:dyDescent="0.35">
      <c r="A38" s="13" t="s">
        <v>85</v>
      </c>
      <c r="B38" s="14" t="str">
        <f>VLOOKUP(A38,[16]LISTADHERENT!A$5:H$60,3,0)</f>
        <v>YOUMBI EMMANUEL</v>
      </c>
      <c r="C38" s="110">
        <f>VLOOKUP(A38,[15]MVTRESUME23!$A$6:$AO$36,16,0)</f>
        <v>0</v>
      </c>
      <c r="D38" s="14"/>
      <c r="E38" s="14"/>
      <c r="F38" s="15"/>
    </row>
    <row r="39" spans="1:6" x14ac:dyDescent="0.35">
      <c r="A39" s="19"/>
      <c r="B39" s="14"/>
      <c r="C39" s="14"/>
      <c r="D39" s="14"/>
      <c r="E39" s="14"/>
      <c r="F39" s="15"/>
    </row>
    <row r="40" spans="1:6" ht="18" thickBot="1" x14ac:dyDescent="0.4">
      <c r="A40" s="31" t="s">
        <v>23</v>
      </c>
      <c r="B40" s="58"/>
      <c r="C40" s="59">
        <f>SUM(C8:C39)</f>
        <v>75000</v>
      </c>
      <c r="D40" s="59"/>
      <c r="E40" s="59">
        <f t="shared" ref="E40:F40" si="0">SUM(E6:E39)</f>
        <v>0</v>
      </c>
      <c r="F40" s="60">
        <f t="shared" si="0"/>
        <v>0</v>
      </c>
    </row>
    <row r="41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C8"/>
  <sheetViews>
    <sheetView workbookViewId="0">
      <selection activeCell="E10" sqref="E10"/>
    </sheetView>
  </sheetViews>
  <sheetFormatPr baseColWidth="10" defaultRowHeight="14.5" x14ac:dyDescent="0.35"/>
  <cols>
    <col min="2" max="2" width="15" bestFit="1" customWidth="1"/>
    <col min="3" max="3" width="18.1796875" bestFit="1" customWidth="1"/>
  </cols>
  <sheetData>
    <row r="2" spans="1:3" x14ac:dyDescent="0.35">
      <c r="B2" t="s">
        <v>183</v>
      </c>
      <c r="C2" t="s">
        <v>184</v>
      </c>
    </row>
    <row r="4" spans="1:3" ht="17.5" x14ac:dyDescent="0.35">
      <c r="A4" t="s">
        <v>180</v>
      </c>
      <c r="B4" s="110">
        <f>[12]TONTRESUME23!$R$42</f>
        <v>239000</v>
      </c>
      <c r="C4" s="110">
        <f>[12]TONTRESUME23!$V$35</f>
        <v>7000</v>
      </c>
    </row>
    <row r="5" spans="1:3" ht="17.5" x14ac:dyDescent="0.35">
      <c r="A5" t="s">
        <v>181</v>
      </c>
      <c r="B5" s="110">
        <f>[13]TONTRESUME23!$P$27</f>
        <v>323500</v>
      </c>
      <c r="C5" s="110">
        <f>[13]TONTRESUME23!$T$19</f>
        <v>18000</v>
      </c>
    </row>
    <row r="6" spans="1:3" ht="17.5" x14ac:dyDescent="0.35">
      <c r="A6" t="s">
        <v>182</v>
      </c>
      <c r="B6" s="110">
        <f>[14]TONTRESUME23!$Q$26</f>
        <v>625500</v>
      </c>
      <c r="C6" s="110">
        <f>[14]TONTRESUME23!$T$17</f>
        <v>44000</v>
      </c>
    </row>
    <row r="8" spans="1:3" ht="17.5" x14ac:dyDescent="0.35">
      <c r="A8" t="s">
        <v>185</v>
      </c>
      <c r="B8" s="110">
        <f>SUM(B4:B7)</f>
        <v>1188000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20</vt:i4>
      </vt:variant>
    </vt:vector>
  </HeadingPairs>
  <TitlesOfParts>
    <vt:vector size="20" baseType="lpstr">
      <vt:lpstr>BILAN 2016</vt:lpstr>
      <vt:lpstr>BILAN 2017</vt:lpstr>
      <vt:lpstr>BILAN 2022</vt:lpstr>
      <vt:lpstr>BILAN 2023</vt:lpstr>
      <vt:lpstr>ENTREE</vt:lpstr>
      <vt:lpstr>SORTIE</vt:lpstr>
      <vt:lpstr>DETAILFICHECASSATION</vt:lpstr>
      <vt:lpstr>SITUATION GUY</vt:lpstr>
      <vt:lpstr>SYNTHESECOMPTE</vt:lpstr>
      <vt:lpstr>DISPOFONDS</vt:lpstr>
      <vt:lpstr>DETAILFPNDSROULT</vt:lpstr>
      <vt:lpstr>DETAILFRAISEXCEPTIONNEL</vt:lpstr>
      <vt:lpstr>DETAILFONDSMUTUEL</vt:lpstr>
      <vt:lpstr>DETAILPENALITES</vt:lpstr>
      <vt:lpstr>DETAILCOLLATION</vt:lpstr>
      <vt:lpstr>DETAILFOYER</vt:lpstr>
      <vt:lpstr>DETAIL PRETENCIRCULATION</vt:lpstr>
      <vt:lpstr>DETAILLISTEROUGE</vt:lpstr>
      <vt:lpstr>DETAILINSCRIPTION</vt:lpstr>
      <vt:lpstr>INTERETTONTINE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HP</cp:lastModifiedBy>
  <cp:lastPrinted>2018-08-03T12:05:54Z</cp:lastPrinted>
  <dcterms:created xsi:type="dcterms:W3CDTF">2018-07-05T07:24:12Z</dcterms:created>
  <dcterms:modified xsi:type="dcterms:W3CDTF">2025-01-17T15:31:25Z</dcterms:modified>
</cp:coreProperties>
</file>